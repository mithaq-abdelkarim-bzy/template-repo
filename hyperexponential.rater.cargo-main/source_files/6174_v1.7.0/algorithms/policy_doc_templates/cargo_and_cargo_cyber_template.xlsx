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azley-my.sharepoint.com/personal/yifei_zhao_beazley_com/Documents/Documents/Downloads/"/>
    </mc:Choice>
  </mc:AlternateContent>
  <xr:revisionPtr revIDLastSave="444" documentId="13_ncr:1_{F31A5FB9-1600-4671-AA17-B671F7187A23}" xr6:coauthVersionLast="47" xr6:coauthVersionMax="47" xr10:uidLastSave="{35279003-1753-4300-AA6D-86199D3F1420}"/>
  <bookViews>
    <workbookView xWindow="-120" yWindow="-120" windowWidth="29040" windowHeight="15720" xr2:uid="{00000000-000D-0000-FFFF-FFFF00000000}"/>
  </bookViews>
  <sheets>
    <sheet name="Summary - Cargo" sheetId="1" r:id="rId1"/>
    <sheet name="Summary - Cargo Cyber" sheetId="4" r:id="rId2"/>
  </sheets>
  <definedNames>
    <definedName name="all_else_expo">'Summary - Cargo'!$I$38</definedName>
    <definedName name="all_else_expo_cyber">'Summary - Cargo Cyber'!$I$38</definedName>
    <definedName name="all_else_load">'Summary - Cargo'!$J$38</definedName>
    <definedName name="all_else_load_cyber">'Summary - Cargo Cyber'!$J$38</definedName>
    <definedName name="avg_val_pcm">'Summary - Cargo'!$I$28</definedName>
    <definedName name="avg_val_pcm_cyber">'Summary - Cargo Cyber'!$I$28</definedName>
    <definedName name="benchmark_premium">'Summary - Cargo'!$E$58</definedName>
    <definedName name="benchmark_premium_cyber">'Summary - Cargo Cyber'!$E$58</definedName>
    <definedName name="bpi">'Summary - Cargo'!$E$59</definedName>
    <definedName name="bpi_cyber">'Summary - Cargo Cyber'!$E$59</definedName>
    <definedName name="brokerage">'Summary - Cargo'!$J$8</definedName>
    <definedName name="brokerage_cyber">'Summary - Cargo Cyber'!$J$8</definedName>
    <definedName name="cat_expo">'Summary - Cargo'!$I$30</definedName>
    <definedName name="cat_expo_1">'Summary - Cargo'!$I$31</definedName>
    <definedName name="cat_expo_1_cyber">'Summary - Cargo Cyber'!$I$31</definedName>
    <definedName name="cat_expo_2">'Summary - Cargo'!$I$32</definedName>
    <definedName name="cat_expo_2_cyber">'Summary - Cargo Cyber'!$I$32</definedName>
    <definedName name="cat_expo_3">'Summary - Cargo'!$I$33</definedName>
    <definedName name="cat_expo_3_cyber">'Summary - Cargo Cyber'!$I$33</definedName>
    <definedName name="cat_expo_4">'Summary - Cargo'!$I$34</definedName>
    <definedName name="cat_expo_4_cyber">'Summary - Cargo Cyber'!$I$34</definedName>
    <definedName name="cat_expo_5">'Summary - Cargo'!$I$35</definedName>
    <definedName name="cat_expo_5_cyber">'Summary - Cargo Cyber'!$I$35</definedName>
    <definedName name="cat_expo_cyber">'Summary - Cargo Cyber'!$I$30</definedName>
    <definedName name="cat_load_1">'Summary - Cargo'!$J$31</definedName>
    <definedName name="cat_load_1_cyber">'Summary - Cargo Cyber'!$J$31</definedName>
    <definedName name="cat_load_2">'Summary - Cargo'!$J$32</definedName>
    <definedName name="cat_load_2_cyber">'Summary - Cargo Cyber'!$J$32</definedName>
    <definedName name="cat_load_3">'Summary - Cargo'!$J$33</definedName>
    <definedName name="cat_load_3_cyber">'Summary - Cargo Cyber'!$J$33</definedName>
    <definedName name="cat_load_4">'Summary - Cargo'!$J$34</definedName>
    <definedName name="cat_load_4_cyber">'Summary - Cargo Cyber'!$J$34</definedName>
    <definedName name="cat_load_5">'Summary - Cargo'!$J$35</definedName>
    <definedName name="cat_load_5_cyber">'Summary - Cargo Cyber'!$J$35</definedName>
    <definedName name="combined_cat_load">'Summary - Cargo'!$J$30</definedName>
    <definedName name="combined_cat_load_cyber">'Summary - Cargo Cyber'!$J$30</definedName>
    <definedName name="conv_air_factor">'Summary - Cargo'!$E$29</definedName>
    <definedName name="conv_air_factor_cyber">'Summary - Cargo Cyber'!$E$29</definedName>
    <definedName name="conv_factor">'Summary - Cargo'!$E$32</definedName>
    <definedName name="conv_factor_cyber">'Summary - Cargo Cyber'!$E$32</definedName>
    <definedName name="conv_land_factor">'Summary - Cargo'!$E$30</definedName>
    <definedName name="conv_land_factor_cyber">'Summary - Cargo Cyber'!$E$30</definedName>
    <definedName name="conv_sea_factor">'Summary - Cargo'!$E$31</definedName>
    <definedName name="conv_sea_factor_cyber">'Summary - Cargo Cyber'!$E$31</definedName>
    <definedName name="country_1">'Summary - Cargo'!$H$31</definedName>
    <definedName name="country_1_cyber">'Summary - Cargo Cyber'!$H$31</definedName>
    <definedName name="country_2">'Summary - Cargo'!$H$32</definedName>
    <definedName name="country_2_cyber">'Summary - Cargo Cyber'!$H$32</definedName>
    <definedName name="country_3">'Summary - Cargo'!$H$33</definedName>
    <definedName name="country_3_cyber">'Summary - Cargo Cyber'!$H$33</definedName>
    <definedName name="country_4">'Summary - Cargo'!$H$34</definedName>
    <definedName name="country_4_cyber">'Summary - Cargo Cyber'!$H$34</definedName>
    <definedName name="country_5">'Summary - Cargo'!$H$35</definedName>
    <definedName name="country_5_cyber">'Summary - Cargo Cyber'!$H$35</definedName>
    <definedName name="expiring_benchmark_premium">'Summary - Cargo'!$G$58</definedName>
    <definedName name="expiring_benchmark_premium_cyber">'Summary - Cargo Cyber'!$G$58</definedName>
    <definedName name="expiring_bpi">'Summary - Cargo'!$G$59</definedName>
    <definedName name="expiring_bpi_cyber">'Summary - Cargo Cyber'!$G$59</definedName>
    <definedName name="expiring_premium">'Summary - Cargo'!$G$56</definedName>
    <definedName name="expiring_premium_cyber">'Summary - Cargo Cyber'!$G$56</definedName>
    <definedName name="expiring_technical_premium">'Summary - Cargo'!$G$61</definedName>
    <definedName name="expiring_technical_premium_cyber">'Summary - Cargo Cyber'!$G$61</definedName>
    <definedName name="expiring_tpi">'Summary - Cargo'!$G$62</definedName>
    <definedName name="expiring_tpi_cyber">'Summary - Cargo Cyber'!$G$62</definedName>
    <definedName name="expiry_date">'Summary - Cargo'!$D$10</definedName>
    <definedName name="expiry_date_cyber">'Summary - Cargo Cyber'!$D$10</definedName>
    <definedName name="gross_premium_label">'Summary - Cargo'!$D$56</definedName>
    <definedName name="gross_premium_label_cyber">'Summary - Cargo Cyber'!$D$56</definedName>
    <definedName name="inception_date">'Summary - Cargo'!$D$8</definedName>
    <definedName name="inception_date_cyber">'Summary - Cargo Cyber'!$D$8</definedName>
    <definedName name="insured_name">'Summary - Cargo'!$H$4</definedName>
    <definedName name="insured_name_cyber">'Summary - Cargo Cyber'!$H$4</definedName>
    <definedName name="loading_flag">'Summary - Cargo'!$E$16</definedName>
    <definedName name="loading_flag_cyber">'Summary - Cargo Cyber'!$E$16</definedName>
    <definedName name="packaging">'Summary - Cargo'!$D$27</definedName>
    <definedName name="packaging_cyber">'Summary - Cargo Cyber'!$D$27</definedName>
    <definedName name="packaging_factor">'Summary - Cargo'!$E$27</definedName>
    <definedName name="packaging_factor_cyber">'Summary - Cargo Cyber'!$E$27</definedName>
    <definedName name="policy_url">'Summary - Cargo'!$H$2</definedName>
    <definedName name="policy_url_cyber">'Summary - Cargo Cyber'!$H$2</definedName>
    <definedName name="port_to_wh_flag">'Summary - Cargo'!$E$19</definedName>
    <definedName name="port_to_wh_flag_cyber">'Summary - Cargo Cyber'!$E$19</definedName>
    <definedName name="quoted_premium">'Summary - Cargo'!$E$56</definedName>
    <definedName name="quoted_premium_cyber">'Summary - Cargo Cyber'!$E$56</definedName>
    <definedName name="retail_expo">'Summary - Cargo'!$I$37</definedName>
    <definedName name="retail_expo_cyber">'Summary - Cargo Cyber'!$I$37</definedName>
    <definedName name="retail_load">'Summary - Cargo'!$J$37</definedName>
    <definedName name="retail_load_cyber">'Summary - Cargo Cyber'!$J$37</definedName>
    <definedName name="risk_mgmt">'Summary - Cargo'!$I$22</definedName>
    <definedName name="risk_mgmt_cyber">'Summary - Cargo Cyber'!$I$22</definedName>
    <definedName name="risk_mgmt_factor">'Summary - Cargo'!$J$22</definedName>
    <definedName name="risk_mgmt_factor_cyber">'Summary - Cargo Cyber'!$J$22</definedName>
    <definedName name="section_reference">'Summary - Cargo'!$H$6</definedName>
    <definedName name="section_reference_cyber">'Summary - Cargo Cyber'!$H$6</definedName>
    <definedName name="source_currency">'Summary - Cargo'!$H$10</definedName>
    <definedName name="source_currency_cyber">'Summary - Cargo Cyber'!$H$10</definedName>
    <definedName name="stock_vals">'Summary - Cargo'!$I$18</definedName>
    <definedName name="stock_vals_cyber">'Summary - Cargo Cyber'!$I$18</definedName>
    <definedName name="storage_actual_rate">'Summary - Cargo'!$J$49</definedName>
    <definedName name="storage_actual_rate_cyber">'Summary - Cargo Cyber'!$J$49</definedName>
    <definedName name="storage_base_rate">'Summary - Cargo'!$J$16</definedName>
    <definedName name="storage_base_rate_cyber">'Summary - Cargo Cyber'!$J$16</definedName>
    <definedName name="storage_deductible_level">'Summary - Cargo'!$I$19</definedName>
    <definedName name="storage_deductible_level_cyber">'Summary - Cargo Cyber'!$I$19</definedName>
    <definedName name="storage_deductible_level_factor">'Summary - Cargo'!$J$19</definedName>
    <definedName name="storage_deductible_level_factor_cyber">'Summary - Cargo Cyber'!$J$19</definedName>
    <definedName name="storage_excess">'Summary - Cargo'!$I$20</definedName>
    <definedName name="storage_excess_cyber">'Summary - Cargo Cyber'!$I$20</definedName>
    <definedName name="storage_excess_factor">'Summary - Cargo'!$J$20</definedName>
    <definedName name="storage_excess_factor_cyber">'Summary - Cargo Cyber'!$J$20</definedName>
    <definedName name="storage_flag">'Summary - Cargo'!$J$14</definedName>
    <definedName name="storage_flag_cyber">'Summary - Cargo Cyber'!$J$14</definedName>
    <definedName name="storage_pct_of_technical">'Summary - Cargo'!$J$48</definedName>
    <definedName name="storage_pct_of_technical_cyber">'Summary - Cargo Cyber'!$J$48</definedName>
    <definedName name="storage_quoted_premium">'Summary - Cargo'!$J$50</definedName>
    <definedName name="storage_quoted_premium_cyber">'Summary - Cargo Cyber'!$J$50</definedName>
    <definedName name="storage_rate">'Summary - Cargo'!$J$26</definedName>
    <definedName name="storage_rate_cyber">'Summary - Cargo Cyber'!$J$26</definedName>
    <definedName name="storage_technical_deductions">'Summary - Cargo'!$J$42</definedName>
    <definedName name="storage_technical_deductions_cyber">'Summary - Cargo Cyber'!$J$42</definedName>
    <definedName name="storage_technical_premium">'Summary - Cargo'!$J$44</definedName>
    <definedName name="storage_technical_premium_cyber">'Summary - Cargo Cyber'!$J$44</definedName>
    <definedName name="storage_technical_rate">'Summary - Cargo'!$J$43</definedName>
    <definedName name="storage_technical_rate_cyber">'Summary - Cargo Cyber'!$J$43</definedName>
    <definedName name="storage_type_of_cover">'Summary - Cargo'!$I$23</definedName>
    <definedName name="storage_type_of_cover_cyber">'Summary - Cargo Cyber'!$I$23</definedName>
    <definedName name="storage_type_of_cover_factor">'Summary - Cargo'!$J$23</definedName>
    <definedName name="storage_type_of_cover_factor_cyber">'Summary - Cargo Cyber'!$J$23</definedName>
    <definedName name="storage_uw_discretion">'Summary - Cargo'!$I$24</definedName>
    <definedName name="storage_uw_discretion_cyber">'Summary - Cargo Cyber'!$I$24</definedName>
    <definedName name="storage_uw_discretion_factor">'Summary - Cargo'!$J$24</definedName>
    <definedName name="storage_uw_discretion_factor_cyber">'Summary - Cargo Cyber'!$J$24</definedName>
    <definedName name="survey">'Summary - Cargo'!$I$21</definedName>
    <definedName name="survey_cyber">'Summary - Cargo Cyber'!$I$21</definedName>
    <definedName name="survey_factor">'Summary - Cargo'!$J$21</definedName>
    <definedName name="survey_factor_cyber">'Summary - Cargo Cyber'!$J$21</definedName>
    <definedName name="surveyor">'Summary - Cargo'!$D$35</definedName>
    <definedName name="surveyor_cyber">'Summary - Cargo Cyber'!$D$35</definedName>
    <definedName name="surveyor_factor">'Summary - Cargo'!$E$35</definedName>
    <definedName name="surveyor_factor_cyber">'Summary - Cargo Cyber'!$E$35</definedName>
    <definedName name="technical_premium">'Summary - Cargo'!$E$61</definedName>
    <definedName name="technical_premium_cyber">'Summary - Cargo Cyber'!$E$61</definedName>
    <definedName name="technical_premium_pre_uw_adj">'Summary - Cargo'!$E$64</definedName>
    <definedName name="technical_premium_pre_uw_adj_cyber">'Summary - Cargo Cyber'!$E$64</definedName>
    <definedName name="term">'Summary - Cargo'!$H$8</definedName>
    <definedName name="term_cyber">'Summary - Cargo Cyber'!$H$8</definedName>
    <definedName name="tpi">'Summary - Cargo'!$E$62</definedName>
    <definedName name="tpi_cyber">'Summary - Cargo Cyber'!$E$62</definedName>
    <definedName name="tpi_pre_uw_adj">'Summary - Cargo'!$E$65</definedName>
    <definedName name="tpi_pre_uw_adj_cyber">'Summary - Cargo Cyber'!$E$65</definedName>
    <definedName name="trans_vals">'Summary - Cargo'!$D$24</definedName>
    <definedName name="trans_vals_cyber">'Summary - Cargo Cyber'!$D$24</definedName>
    <definedName name="trans_vals_factor">'Summary - Cargo'!$E$24</definedName>
    <definedName name="trans_vals_factor_cyber">'Summary - Cargo Cyber'!$E$24</definedName>
    <definedName name="transit_actual_rate">'Summary - Cargo'!$E$49</definedName>
    <definedName name="transit_actual_rate_cyber">'Summary - Cargo Cyber'!$E$49</definedName>
    <definedName name="transit_base_rate">'Summary - Cargo'!$E$21</definedName>
    <definedName name="transit_base_rate_cyber">'Summary - Cargo Cyber'!$E$21</definedName>
    <definedName name="transit_commodity">'Summary - Cargo'!$D$23</definedName>
    <definedName name="transit_commodity_cyber">'Summary - Cargo Cyber'!$D$23</definedName>
    <definedName name="transit_commodity_factor">'Summary - Cargo'!$E$23</definedName>
    <definedName name="transit_commodity_factor_cyber">'Summary - Cargo Cyber'!$E$23</definedName>
    <definedName name="transit_deductible_level">'Summary - Cargo'!$D$25</definedName>
    <definedName name="transit_deductible_level_cyber">'Summary - Cargo Cyber'!$D$25</definedName>
    <definedName name="transit_deductible_level_factor">'Summary - Cargo'!$E$25</definedName>
    <definedName name="transit_deductible_level_factor_cyber">'Summary - Cargo Cyber'!$E$25</definedName>
    <definedName name="transit_excess">'Summary - Cargo'!$D$26</definedName>
    <definedName name="transit_excess_cyber">'Summary - Cargo Cyber'!$D$26</definedName>
    <definedName name="transit_excess_factor">'Summary - Cargo'!$E$26</definedName>
    <definedName name="transit_excess_factor_cyber">'Summary - Cargo Cyber'!$E$26</definedName>
    <definedName name="transit_flag">'Summary - Cargo'!$E$14</definedName>
    <definedName name="transit_flag_cyber">'Summary - Cargo Cyber'!$E$14</definedName>
    <definedName name="transit_pct_of_technical">'Summary - Cargo'!$E$48</definedName>
    <definedName name="transit_pct_of_technical_cyber">'Summary - Cargo Cyber'!$E$48</definedName>
    <definedName name="transit_quoted_premium">'Summary - Cargo'!$E$50</definedName>
    <definedName name="transit_quoted_premium_cyber">'Summary - Cargo Cyber'!$E$50</definedName>
    <definedName name="transit_technical_deductions">'Summary - Cargo'!$E$42</definedName>
    <definedName name="transit_technical_deductions_cyber">'Summary - Cargo Cyber'!$E$42</definedName>
    <definedName name="transit_technical_premium">'Summary - Cargo'!$E$44</definedName>
    <definedName name="transit_technical_premium_cyber">'Summary - Cargo Cyber'!$E$44</definedName>
    <definedName name="transit_technical_rate">'Summary - Cargo'!$E$43</definedName>
    <definedName name="transit_technical_rate_cyber">'Summary - Cargo Cyber'!$E$43</definedName>
    <definedName name="transit_type_of_cover">'Summary - Cargo'!$D$37</definedName>
    <definedName name="transit_type_of_cover_cyber">'Summary - Cargo Cyber'!$D$37</definedName>
    <definedName name="transit_type_of_cover_factor">'Summary - Cargo'!$E$37</definedName>
    <definedName name="transit_type_of_cover_factor_cyber">'Summary - Cargo Cyber'!$E$37</definedName>
    <definedName name="transit_uw_discretion">'Summary - Cargo'!$D$38</definedName>
    <definedName name="transit_uw_discretion_cyber">'Summary - Cargo Cyber'!$D$38</definedName>
    <definedName name="transit_uw_discretion_factor">'Summary - Cargo'!$E$38</definedName>
    <definedName name="transit_uw_discretion_factor_cyber">'Summary - Cargo Cyber'!$E$38</definedName>
    <definedName name="unloading_flag">'Summary - Cargo'!$E$18</definedName>
    <definedName name="unloading_flag_cyber">'Summary - Cargo Cyber'!$E$18</definedName>
    <definedName name="uw_rationale">'Summary - Cargo'!$I$56</definedName>
    <definedName name="uw_rationale_cyber">'Summary - Cargo Cyber'!$I$56</definedName>
    <definedName name="vessel">'Summary - Cargo'!$D$36</definedName>
    <definedName name="vessel_cyber">'Summary - Cargo Cyber'!$D$36</definedName>
    <definedName name="vessel_factor">'Summary - Cargo'!$E$36</definedName>
    <definedName name="vessel_factor_cyber">'Summary - Cargo Cyber'!$E$36</definedName>
    <definedName name="voyage">'Summary - Cargo'!$D$34</definedName>
    <definedName name="voyage_cyber">'Summary - Cargo Cyber'!$D$34</definedName>
    <definedName name="voyage_factor">'Summary - Cargo'!$E$34</definedName>
    <definedName name="voyage_factor_cyber">'Summary - Cargo Cyber'!$E$34</definedName>
    <definedName name="voyage_flag">'Summary - Cargo'!$E$17</definedName>
    <definedName name="voyage_flag_cyber">'Summary - Cargo Cyber'!$E$17</definedName>
    <definedName name="wh_to_port_flag">'Summary - Cargo'!$E$15</definedName>
    <definedName name="wh_to_port_flag_cyber">'Summary - Cargo Cyber'!$E$15</definedName>
    <definedName name="written_line">'Summary - Cargo'!$J$10</definedName>
    <definedName name="written_line_cyber">'Summary - Cargo Cyber'!$J$10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8" i="4"/>
  <c r="D10" i="4"/>
  <c r="D8" i="4"/>
  <c r="H4" i="4"/>
  <c r="H2" i="4"/>
</calcChain>
</file>

<file path=xl/sharedStrings.xml><?xml version="1.0" encoding="utf-8"?>
<sst xmlns="http://schemas.openxmlformats.org/spreadsheetml/2006/main" count="264" uniqueCount="64">
  <si>
    <t>Assured</t>
  </si>
  <si>
    <t>Reference</t>
  </si>
  <si>
    <t>Currency</t>
  </si>
  <si>
    <t>Deductions</t>
  </si>
  <si>
    <t>Term (Years)</t>
  </si>
  <si>
    <t>Beazley Share</t>
  </si>
  <si>
    <t>Inception Date</t>
  </si>
  <si>
    <t>Expiry Date</t>
  </si>
  <si>
    <t>Transit</t>
  </si>
  <si>
    <t>Storage</t>
  </si>
  <si>
    <t>(excl contingent)</t>
  </si>
  <si>
    <t>Commodity</t>
  </si>
  <si>
    <t/>
  </si>
  <si>
    <t>Est Ann Transit Vals</t>
  </si>
  <si>
    <t>Deductible Level</t>
  </si>
  <si>
    <t>Excess Amount</t>
  </si>
  <si>
    <t>Packaging</t>
  </si>
  <si>
    <t>Conveyance</t>
  </si>
  <si>
    <t>Voyage</t>
  </si>
  <si>
    <t>Surveyor Present</t>
  </si>
  <si>
    <t>Vessel</t>
  </si>
  <si>
    <t>Type Of Cover</t>
  </si>
  <si>
    <t>Satis. Survey Report</t>
  </si>
  <si>
    <t>Risk Management</t>
  </si>
  <si>
    <t>Expo'd Stock Vals</t>
  </si>
  <si>
    <t>UW Discretion</t>
  </si>
  <si>
    <t>AIR</t>
  </si>
  <si>
    <t>LAND</t>
  </si>
  <si>
    <t>SEA</t>
  </si>
  <si>
    <t>Storage Rate</t>
  </si>
  <si>
    <t>Avg Val Expo'd Pcm</t>
  </si>
  <si>
    <t>Total Cat Expo</t>
  </si>
  <si>
    <t>Retail Expo</t>
  </si>
  <si>
    <t>Everything Else</t>
  </si>
  <si>
    <t>Transit Rate (Base Deductions)</t>
  </si>
  <si>
    <t>Transit Premium (Term)</t>
  </si>
  <si>
    <t>Model</t>
  </si>
  <si>
    <t>Actual</t>
  </si>
  <si>
    <t>Percentage of Model</t>
  </si>
  <si>
    <t>Rating Summary</t>
  </si>
  <si>
    <t>TPI</t>
  </si>
  <si>
    <t>BPI</t>
  </si>
  <si>
    <t>TPI (Pre-UW Adjustment)</t>
  </si>
  <si>
    <t>Quoted Premium</t>
  </si>
  <si>
    <t>Benchmark Premium</t>
  </si>
  <si>
    <t>Technical Premium</t>
  </si>
  <si>
    <t>Technical Premium (Pre-UW Adjustment)</t>
  </si>
  <si>
    <t>Coverage</t>
  </si>
  <si>
    <t>Initial Warehouse to Port</t>
  </si>
  <si>
    <t>Loading</t>
  </si>
  <si>
    <t>Unloading</t>
  </si>
  <si>
    <t>Port to Final Warehouse</t>
  </si>
  <si>
    <t>Base Rate</t>
  </si>
  <si>
    <t>Link to hx</t>
  </si>
  <si>
    <t>.</t>
  </si>
  <si>
    <t>UW Rationale</t>
  </si>
  <si>
    <t>Cargo Transit</t>
  </si>
  <si>
    <t>Cargo Storage</t>
  </si>
  <si>
    <t>Storage Rate (Base Deductions)</t>
  </si>
  <si>
    <t>Storage Rate (Annual)</t>
  </si>
  <si>
    <t>Storage Premium (Term)</t>
  </si>
  <si>
    <t>Transit Rate (Annual)</t>
  </si>
  <si>
    <t>Current</t>
  </si>
  <si>
    <t>Expiring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</si>
</sst>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3" applyNumberFormat="0" applyFill="0" applyAlignment="0" applyProtection="0"/>
  </cellStyleXfs>
  <cellXfs count="36">
    <xf numFmtId="0" fontId="0" fillId="0" borderId="0" xfId="0"/>
    <xf numFmtId="0" fontId="3" fillId="0" borderId="0" xfId="3" applyAlignment="1">
      <alignment horizontal="right"/>
    </xf>
    <xf numFmtId="0" fontId="4" fillId="2" borderId="0" xfId="4" applyFont="1"/>
    <xf numFmtId="0" fontId="2" fillId="0" borderId="1" xfId="2"/>
    <xf numFmtId="0" fontId="4" fillId="2" borderId="0" xfId="4" applyFont="1" applyAlignment="1">
      <alignment horizontal="center"/>
    </xf>
    <xf numFmtId="164" fontId="4" fillId="2" borderId="0" xfId="1" applyNumberFormat="1" applyFont="1" applyFill="1" applyAlignment="1">
      <alignment horizontal="center"/>
    </xf>
    <xf numFmtId="14" fontId="4" fillId="2" borderId="0" xfId="4" applyNumberFormat="1" applyFont="1" applyAlignment="1">
      <alignment horizontal="center"/>
    </xf>
    <xf numFmtId="0" fontId="5" fillId="0" borderId="0" xfId="3" applyFont="1" applyAlignment="1">
      <alignment horizontal="right"/>
    </xf>
    <xf numFmtId="0" fontId="4" fillId="2" borderId="2" xfId="4" applyFont="1" applyBorder="1" applyAlignment="1">
      <alignment horizontal="center"/>
    </xf>
    <xf numFmtId="2" fontId="6" fillId="3" borderId="2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4" fillId="3" borderId="2" xfId="1" applyFont="1" applyFill="1" applyBorder="1" applyAlignment="1">
      <alignment horizontal="center"/>
    </xf>
    <xf numFmtId="165" fontId="6" fillId="3" borderId="2" xfId="5" applyNumberFormat="1" applyFont="1" applyBorder="1" applyAlignment="1">
      <alignment horizontal="center"/>
    </xf>
    <xf numFmtId="3" fontId="4" fillId="2" borderId="2" xfId="4" applyNumberFormat="1" applyFont="1" applyBorder="1" applyAlignment="1">
      <alignment horizontal="center"/>
    </xf>
    <xf numFmtId="3" fontId="6" fillId="2" borderId="2" xfId="4" applyNumberFormat="1" applyFont="1" applyBorder="1" applyAlignment="1">
      <alignment horizontal="center"/>
    </xf>
    <xf numFmtId="2" fontId="4" fillId="3" borderId="2" xfId="5" applyNumberFormat="1" applyFont="1" applyBorder="1" applyAlignment="1">
      <alignment horizontal="center"/>
    </xf>
    <xf numFmtId="3" fontId="6" fillId="3" borderId="2" xfId="6" applyNumberFormat="1" applyFont="1" applyFill="1" applyBorder="1" applyAlignment="1">
      <alignment horizontal="center"/>
    </xf>
    <xf numFmtId="0" fontId="3" fillId="0" borderId="3" xfId="7"/>
    <xf numFmtId="165" fontId="6" fillId="4" borderId="2" xfId="5" applyNumberFormat="1" applyFont="1" applyFill="1" applyBorder="1" applyAlignment="1">
      <alignment horizontal="center"/>
    </xf>
    <xf numFmtId="3" fontId="6" fillId="4" borderId="2" xfId="6" applyNumberFormat="1" applyFont="1" applyFill="1" applyBorder="1" applyAlignment="1">
      <alignment horizontal="center"/>
    </xf>
    <xf numFmtId="164" fontId="6" fillId="3" borderId="2" xfId="1" applyNumberFormat="1" applyFont="1" applyFill="1" applyBorder="1" applyAlignment="1">
      <alignment horizontal="center"/>
    </xf>
    <xf numFmtId="0" fontId="6" fillId="2" borderId="2" xfId="4" applyFont="1" applyBorder="1" applyAlignment="1">
      <alignment horizontal="center"/>
    </xf>
    <xf numFmtId="0" fontId="7" fillId="0" borderId="0" xfId="0" applyFont="1"/>
    <xf numFmtId="0" fontId="8" fillId="2" borderId="0" xfId="4" applyFont="1"/>
    <xf numFmtId="0" fontId="9" fillId="0" borderId="0" xfId="3" applyFont="1" applyAlignment="1">
      <alignment horizontal="right"/>
    </xf>
    <xf numFmtId="0" fontId="10" fillId="0" borderId="0" xfId="0" applyFont="1"/>
    <xf numFmtId="0" fontId="10" fillId="0" borderId="0" xfId="3" applyFont="1" applyAlignment="1">
      <alignment horizontal="right"/>
    </xf>
    <xf numFmtId="0" fontId="9" fillId="0" borderId="0" xfId="3" applyFont="1" applyAlignment="1">
      <alignment horizontal="left"/>
    </xf>
    <xf numFmtId="2" fontId="4" fillId="2" borderId="0" xfId="4" applyNumberFormat="1" applyFont="1" applyAlignment="1">
      <alignment horizontal="center"/>
    </xf>
    <xf numFmtId="0" fontId="11" fillId="0" borderId="0" xfId="0" applyFont="1"/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Comma" xfId="6" builtinId="3"/>
    <cellStyle name="Heading 2" xfId="2" builtinId="17"/>
    <cellStyle name="Heading 3" xfId="7" builtinId="18"/>
    <cellStyle name="Heading 4" xfId="3" builtinId="19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E9632-3EC6-473C-A0D0-885DE027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75"/>
  <sheetViews>
    <sheetView showGridLines="0" tabSelected="1" zoomScaleNormal="100" workbookViewId="0">
      <selection activeCell="I30" sqref="I30"/>
    </sheetView>
  </sheetViews>
  <sheetFormatPr defaultColWidth="0" defaultRowHeight="14.25" zeroHeight="1" x14ac:dyDescent="0.2"/>
  <cols>
    <col min="1" max="1" width="6.25" style="22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2">
      <c r="A1" s="22" t="s">
        <v>54</v>
      </c>
    </row>
    <row r="2" spans="1:10" ht="15" x14ac:dyDescent="0.25">
      <c r="A2" s="22" t="s">
        <v>54</v>
      </c>
      <c r="G2" s="24" t="s">
        <v>53</v>
      </c>
      <c r="H2" s="23"/>
      <c r="I2" s="2"/>
      <c r="J2" s="2"/>
    </row>
    <row r="3" spans="1:10" x14ac:dyDescent="0.2">
      <c r="A3" s="22" t="s">
        <v>54</v>
      </c>
      <c r="G3" s="25"/>
    </row>
    <row r="4" spans="1:10" ht="15" x14ac:dyDescent="0.25">
      <c r="A4" s="22" t="s">
        <v>54</v>
      </c>
      <c r="G4" s="24" t="s">
        <v>0</v>
      </c>
      <c r="H4" s="2"/>
      <c r="I4" s="2"/>
      <c r="J4" s="2"/>
    </row>
    <row r="5" spans="1:10" x14ac:dyDescent="0.2">
      <c r="A5" s="22" t="s">
        <v>54</v>
      </c>
      <c r="G5" s="25"/>
    </row>
    <row r="6" spans="1:10" ht="15" x14ac:dyDescent="0.25">
      <c r="A6" s="22" t="s">
        <v>54</v>
      </c>
      <c r="G6" s="24" t="s">
        <v>1</v>
      </c>
      <c r="H6" s="2"/>
      <c r="I6" s="2"/>
      <c r="J6" s="2"/>
    </row>
    <row r="7" spans="1:10" x14ac:dyDescent="0.2">
      <c r="A7" s="22" t="s">
        <v>54</v>
      </c>
      <c r="G7" s="25"/>
    </row>
    <row r="8" spans="1:10" ht="15" x14ac:dyDescent="0.25">
      <c r="A8" s="22" t="s">
        <v>54</v>
      </c>
      <c r="C8" s="24" t="s">
        <v>6</v>
      </c>
      <c r="D8" s="6"/>
      <c r="G8" s="24" t="s">
        <v>4</v>
      </c>
      <c r="H8" s="28"/>
      <c r="I8" s="24" t="s">
        <v>3</v>
      </c>
      <c r="J8" s="5"/>
    </row>
    <row r="9" spans="1:10" x14ac:dyDescent="0.2">
      <c r="A9" s="22" t="s">
        <v>54</v>
      </c>
      <c r="C9" s="25"/>
      <c r="G9" s="25"/>
      <c r="I9" s="25"/>
    </row>
    <row r="10" spans="1:10" ht="15" x14ac:dyDescent="0.25">
      <c r="A10" s="22" t="s">
        <v>54</v>
      </c>
      <c r="C10" s="24" t="s">
        <v>7</v>
      </c>
      <c r="D10" s="6"/>
      <c r="G10" s="24" t="s">
        <v>2</v>
      </c>
      <c r="H10" s="4"/>
      <c r="I10" s="24" t="s">
        <v>5</v>
      </c>
      <c r="J10" s="5"/>
    </row>
    <row r="11" spans="1:10" x14ac:dyDescent="0.2">
      <c r="A11" s="22" t="s">
        <v>54</v>
      </c>
    </row>
    <row r="12" spans="1:10" ht="17.25" thickBot="1" x14ac:dyDescent="0.3">
      <c r="A12" s="22" t="s">
        <v>54</v>
      </c>
      <c r="B12" s="3" t="s">
        <v>56</v>
      </c>
      <c r="C12" s="3"/>
      <c r="D12" s="3"/>
      <c r="E12" s="3"/>
      <c r="G12" s="3" t="s">
        <v>57</v>
      </c>
      <c r="H12" s="3"/>
      <c r="I12" s="3"/>
      <c r="J12" s="3"/>
    </row>
    <row r="13" spans="1:10" ht="15" thickTop="1" x14ac:dyDescent="0.2">
      <c r="A13" s="22" t="s">
        <v>54</v>
      </c>
    </row>
    <row r="14" spans="1:10" ht="15" x14ac:dyDescent="0.25">
      <c r="A14" s="22" t="s">
        <v>54</v>
      </c>
      <c r="C14" s="24" t="s">
        <v>47</v>
      </c>
      <c r="D14" s="21" t="s">
        <v>8</v>
      </c>
      <c r="E14" s="9"/>
      <c r="H14" s="24" t="s">
        <v>47</v>
      </c>
      <c r="I14" s="21" t="s">
        <v>9</v>
      </c>
      <c r="J14" s="9"/>
    </row>
    <row r="15" spans="1:10" x14ac:dyDescent="0.2">
      <c r="A15" s="22" t="s">
        <v>54</v>
      </c>
      <c r="C15" s="25"/>
      <c r="D15" s="8" t="s">
        <v>48</v>
      </c>
      <c r="E15" s="15"/>
      <c r="H15" s="25"/>
    </row>
    <row r="16" spans="1:10" ht="15" x14ac:dyDescent="0.25">
      <c r="A16" s="22" t="s">
        <v>54</v>
      </c>
      <c r="C16" s="25"/>
      <c r="D16" s="8" t="s">
        <v>49</v>
      </c>
      <c r="E16" s="15"/>
      <c r="H16" s="25"/>
      <c r="I16" s="24" t="s">
        <v>52</v>
      </c>
      <c r="J16" s="12"/>
    </row>
    <row r="17" spans="1:10" x14ac:dyDescent="0.2">
      <c r="A17" s="22" t="s">
        <v>54</v>
      </c>
      <c r="C17" s="25"/>
      <c r="D17" s="8" t="s">
        <v>18</v>
      </c>
      <c r="E17" s="15"/>
      <c r="H17" s="25"/>
    </row>
    <row r="18" spans="1:10" ht="15" x14ac:dyDescent="0.25">
      <c r="A18" s="22" t="s">
        <v>54</v>
      </c>
      <c r="C18" s="25"/>
      <c r="D18" s="8" t="s">
        <v>50</v>
      </c>
      <c r="E18" s="15"/>
      <c r="H18" s="24" t="s">
        <v>24</v>
      </c>
      <c r="I18" s="13"/>
    </row>
    <row r="19" spans="1:10" ht="15" x14ac:dyDescent="0.25">
      <c r="A19" s="22" t="s">
        <v>54</v>
      </c>
      <c r="C19" s="25"/>
      <c r="D19" s="8" t="s">
        <v>51</v>
      </c>
      <c r="E19" s="15"/>
      <c r="H19" s="24" t="s">
        <v>14</v>
      </c>
      <c r="I19" s="8"/>
      <c r="J19" s="9"/>
    </row>
    <row r="20" spans="1:10" ht="15" x14ac:dyDescent="0.25">
      <c r="A20" s="22" t="s">
        <v>54</v>
      </c>
      <c r="C20" s="25"/>
      <c r="H20" s="24" t="s">
        <v>15</v>
      </c>
      <c r="I20" s="13"/>
      <c r="J20" s="9"/>
    </row>
    <row r="21" spans="1:10" ht="15" x14ac:dyDescent="0.25">
      <c r="A21" s="22" t="s">
        <v>54</v>
      </c>
      <c r="C21" s="25"/>
      <c r="D21" s="24" t="s">
        <v>52</v>
      </c>
      <c r="E21" s="12"/>
      <c r="H21" s="24" t="s">
        <v>22</v>
      </c>
      <c r="I21" s="8"/>
      <c r="J21" s="9"/>
    </row>
    <row r="22" spans="1:10" ht="15" x14ac:dyDescent="0.25">
      <c r="A22" s="22" t="s">
        <v>54</v>
      </c>
      <c r="C22" s="25"/>
      <c r="H22" s="24" t="s">
        <v>23</v>
      </c>
      <c r="I22" s="8"/>
      <c r="J22" s="9"/>
    </row>
    <row r="23" spans="1:10" ht="15" x14ac:dyDescent="0.25">
      <c r="A23" s="22" t="s">
        <v>54</v>
      </c>
      <c r="C23" s="24" t="s">
        <v>11</v>
      </c>
      <c r="D23" s="8"/>
      <c r="E23" s="9"/>
      <c r="H23" s="24" t="s">
        <v>21</v>
      </c>
      <c r="I23" s="8"/>
      <c r="J23" s="9"/>
    </row>
    <row r="24" spans="1:10" ht="15" x14ac:dyDescent="0.25">
      <c r="A24" s="22" t="s">
        <v>54</v>
      </c>
      <c r="C24" s="24" t="s">
        <v>13</v>
      </c>
      <c r="D24" s="13"/>
      <c r="E24" s="9"/>
      <c r="H24" s="24" t="s">
        <v>25</v>
      </c>
      <c r="I24" s="8"/>
      <c r="J24" s="9"/>
    </row>
    <row r="25" spans="1:10" ht="15" x14ac:dyDescent="0.25">
      <c r="A25" s="22" t="s">
        <v>54</v>
      </c>
      <c r="C25" s="24" t="s">
        <v>14</v>
      </c>
      <c r="D25" s="8"/>
      <c r="E25" s="9"/>
      <c r="H25" s="25"/>
    </row>
    <row r="26" spans="1:10" ht="15" x14ac:dyDescent="0.25">
      <c r="A26" s="22" t="s">
        <v>54</v>
      </c>
      <c r="C26" s="24" t="s">
        <v>15</v>
      </c>
      <c r="D26" s="13"/>
      <c r="E26" s="9"/>
      <c r="H26" s="25" t="s">
        <v>12</v>
      </c>
      <c r="I26" s="24" t="s">
        <v>29</v>
      </c>
      <c r="J26" s="12"/>
    </row>
    <row r="27" spans="1:10" ht="15" x14ac:dyDescent="0.25">
      <c r="A27" s="22" t="s">
        <v>54</v>
      </c>
      <c r="C27" s="24" t="s">
        <v>16</v>
      </c>
      <c r="D27" s="8"/>
      <c r="E27" s="9"/>
      <c r="H27" s="25"/>
    </row>
    <row r="28" spans="1:10" ht="15" x14ac:dyDescent="0.25">
      <c r="A28" s="22" t="s">
        <v>54</v>
      </c>
      <c r="C28" s="25"/>
      <c r="D28" s="10"/>
      <c r="E28" s="10"/>
      <c r="H28" s="24" t="s">
        <v>30</v>
      </c>
      <c r="I28" s="13"/>
    </row>
    <row r="29" spans="1:10" ht="15" x14ac:dyDescent="0.25">
      <c r="A29" s="22" t="s">
        <v>54</v>
      </c>
      <c r="C29" s="24" t="s">
        <v>17</v>
      </c>
      <c r="D29" s="8" t="s">
        <v>26</v>
      </c>
      <c r="E29" s="11"/>
      <c r="H29" s="25"/>
    </row>
    <row r="30" spans="1:10" ht="15" x14ac:dyDescent="0.25">
      <c r="A30" s="22" t="s">
        <v>54</v>
      </c>
      <c r="C30" s="26" t="s">
        <v>10</v>
      </c>
      <c r="D30" s="8" t="s">
        <v>27</v>
      </c>
      <c r="E30" s="11"/>
      <c r="H30" s="24" t="s">
        <v>31</v>
      </c>
      <c r="I30" s="14"/>
      <c r="J30" s="9"/>
    </row>
    <row r="31" spans="1:10" x14ac:dyDescent="0.2">
      <c r="A31" s="22" t="s">
        <v>54</v>
      </c>
      <c r="C31" s="25"/>
      <c r="D31" s="8" t="s">
        <v>28</v>
      </c>
      <c r="E31" s="11"/>
      <c r="H31" s="26"/>
      <c r="I31" s="13"/>
      <c r="J31" s="15"/>
    </row>
    <row r="32" spans="1:10" x14ac:dyDescent="0.2">
      <c r="A32" s="22" t="s">
        <v>54</v>
      </c>
      <c r="C32" s="25"/>
      <c r="D32" s="10"/>
      <c r="E32" s="9"/>
      <c r="H32" s="26"/>
      <c r="I32" s="13"/>
      <c r="J32" s="15"/>
    </row>
    <row r="33" spans="1:10" x14ac:dyDescent="0.2">
      <c r="A33" s="22" t="s">
        <v>54</v>
      </c>
      <c r="C33" s="25"/>
      <c r="D33" s="10"/>
      <c r="E33" s="10"/>
      <c r="H33" s="26"/>
      <c r="I33" s="13"/>
      <c r="J33" s="15"/>
    </row>
    <row r="34" spans="1:10" ht="15" x14ac:dyDescent="0.25">
      <c r="A34" s="22" t="s">
        <v>54</v>
      </c>
      <c r="C34" s="24" t="s">
        <v>18</v>
      </c>
      <c r="D34" s="8"/>
      <c r="E34" s="9"/>
      <c r="H34" s="26"/>
      <c r="I34" s="13"/>
      <c r="J34" s="15"/>
    </row>
    <row r="35" spans="1:10" ht="15" x14ac:dyDescent="0.25">
      <c r="A35" s="22" t="s">
        <v>54</v>
      </c>
      <c r="C35" s="24" t="s">
        <v>19</v>
      </c>
      <c r="D35" s="8"/>
      <c r="E35" s="9"/>
      <c r="H35" s="26"/>
      <c r="I35" s="13"/>
      <c r="J35" s="15"/>
    </row>
    <row r="36" spans="1:10" ht="15" x14ac:dyDescent="0.25">
      <c r="A36" s="22" t="s">
        <v>54</v>
      </c>
      <c r="C36" s="24" t="s">
        <v>20</v>
      </c>
      <c r="D36" s="8"/>
      <c r="E36" s="9"/>
      <c r="H36" s="26"/>
    </row>
    <row r="37" spans="1:10" ht="15" x14ac:dyDescent="0.25">
      <c r="A37" s="22" t="s">
        <v>54</v>
      </c>
      <c r="C37" s="24" t="s">
        <v>21</v>
      </c>
      <c r="D37" s="8"/>
      <c r="E37" s="9"/>
      <c r="H37" s="24" t="s">
        <v>32</v>
      </c>
      <c r="I37" s="13"/>
      <c r="J37" s="9"/>
    </row>
    <row r="38" spans="1:10" ht="15" x14ac:dyDescent="0.25">
      <c r="A38" s="22" t="s">
        <v>54</v>
      </c>
      <c r="C38" s="24" t="s">
        <v>25</v>
      </c>
      <c r="D38" s="8"/>
      <c r="E38" s="9"/>
      <c r="H38" s="24" t="s">
        <v>33</v>
      </c>
      <c r="I38" s="13"/>
      <c r="J38" s="9"/>
    </row>
    <row r="39" spans="1:10" x14ac:dyDescent="0.2">
      <c r="A39" s="22" t="s">
        <v>54</v>
      </c>
    </row>
    <row r="40" spans="1:10" ht="15.75" thickBot="1" x14ac:dyDescent="0.3">
      <c r="A40" s="22" t="s">
        <v>54</v>
      </c>
      <c r="C40" s="17" t="s">
        <v>36</v>
      </c>
      <c r="D40" s="17"/>
      <c r="E40" s="17"/>
      <c r="H40" s="17" t="s">
        <v>36</v>
      </c>
      <c r="I40" s="17"/>
      <c r="J40" s="17"/>
    </row>
    <row r="41" spans="1:10" x14ac:dyDescent="0.2">
      <c r="A41" s="22" t="s">
        <v>54</v>
      </c>
    </row>
    <row r="42" spans="1:10" ht="15" x14ac:dyDescent="0.25">
      <c r="A42" s="22" t="s">
        <v>54</v>
      </c>
      <c r="D42" s="24" t="s">
        <v>34</v>
      </c>
      <c r="E42" s="12"/>
      <c r="I42" s="24" t="s">
        <v>58</v>
      </c>
      <c r="J42" s="12"/>
    </row>
    <row r="43" spans="1:10" ht="15" x14ac:dyDescent="0.25">
      <c r="A43" s="22" t="s">
        <v>54</v>
      </c>
      <c r="D43" s="24" t="s">
        <v>61</v>
      </c>
      <c r="E43" s="12"/>
      <c r="I43" s="24" t="s">
        <v>59</v>
      </c>
      <c r="J43" s="12"/>
    </row>
    <row r="44" spans="1:10" ht="15" x14ac:dyDescent="0.25">
      <c r="A44" s="22" t="s">
        <v>54</v>
      </c>
      <c r="D44" s="24" t="s">
        <v>35</v>
      </c>
      <c r="E44" s="16"/>
      <c r="I44" s="24" t="s">
        <v>60</v>
      </c>
      <c r="J44" s="16"/>
    </row>
    <row r="45" spans="1:10" x14ac:dyDescent="0.2">
      <c r="A45" s="22" t="s">
        <v>54</v>
      </c>
    </row>
    <row r="46" spans="1:10" ht="15.75" thickBot="1" x14ac:dyDescent="0.3">
      <c r="A46" s="22" t="s">
        <v>54</v>
      </c>
      <c r="C46" s="17" t="s">
        <v>37</v>
      </c>
      <c r="D46" s="17"/>
      <c r="E46" s="17"/>
      <c r="H46" s="17" t="s">
        <v>37</v>
      </c>
      <c r="I46" s="17"/>
      <c r="J46" s="17"/>
    </row>
    <row r="47" spans="1:10" x14ac:dyDescent="0.2">
      <c r="A47" s="22" t="s">
        <v>54</v>
      </c>
    </row>
    <row r="48" spans="1:10" ht="15" x14ac:dyDescent="0.25">
      <c r="A48" s="22" t="s">
        <v>54</v>
      </c>
      <c r="D48" s="24" t="s">
        <v>38</v>
      </c>
      <c r="E48" s="20"/>
      <c r="I48" s="24" t="s">
        <v>38</v>
      </c>
      <c r="J48" s="20"/>
    </row>
    <row r="49" spans="1:10" ht="15" x14ac:dyDescent="0.25">
      <c r="A49" s="22" t="s">
        <v>54</v>
      </c>
      <c r="D49" s="24" t="s">
        <v>61</v>
      </c>
      <c r="E49" s="18"/>
      <c r="I49" s="24" t="s">
        <v>59</v>
      </c>
      <c r="J49" s="18"/>
    </row>
    <row r="50" spans="1:10" ht="15" x14ac:dyDescent="0.25">
      <c r="A50" s="22" t="s">
        <v>54</v>
      </c>
      <c r="D50" s="24" t="s">
        <v>35</v>
      </c>
      <c r="E50" s="19"/>
      <c r="I50" s="24" t="s">
        <v>60</v>
      </c>
      <c r="J50" s="19"/>
    </row>
    <row r="51" spans="1:10" x14ac:dyDescent="0.2">
      <c r="A51" s="22" t="s">
        <v>54</v>
      </c>
    </row>
    <row r="52" spans="1:10" x14ac:dyDescent="0.2">
      <c r="A52" s="22" t="s">
        <v>54</v>
      </c>
    </row>
    <row r="53" spans="1:10" ht="17.25" thickBot="1" x14ac:dyDescent="0.3">
      <c r="A53" s="22" t="s">
        <v>54</v>
      </c>
      <c r="B53" s="3" t="s">
        <v>39</v>
      </c>
      <c r="C53" s="3"/>
      <c r="D53" s="3"/>
      <c r="E53" s="3"/>
      <c r="F53" s="3"/>
      <c r="G53" s="3"/>
      <c r="H53" s="3"/>
      <c r="I53" s="3"/>
      <c r="J53" s="3"/>
    </row>
    <row r="54" spans="1:10" ht="15" thickTop="1" x14ac:dyDescent="0.2">
      <c r="A54" s="22" t="s">
        <v>54</v>
      </c>
    </row>
    <row r="55" spans="1:10" ht="15" x14ac:dyDescent="0.25">
      <c r="E55" s="29" t="s">
        <v>62</v>
      </c>
      <c r="G55" s="29" t="s">
        <v>63</v>
      </c>
      <c r="I55" s="27" t="s">
        <v>55</v>
      </c>
    </row>
    <row r="56" spans="1:10" ht="15" x14ac:dyDescent="0.25">
      <c r="D56" s="24" t="s">
        <v>43</v>
      </c>
      <c r="E56" s="14"/>
      <c r="G56" s="14"/>
      <c r="I56" s="30"/>
      <c r="J56" s="31"/>
    </row>
    <row r="57" spans="1:10" x14ac:dyDescent="0.2">
      <c r="D57" s="25"/>
      <c r="I57" s="32"/>
      <c r="J57" s="33"/>
    </row>
    <row r="58" spans="1:10" ht="15" x14ac:dyDescent="0.25">
      <c r="D58" s="24" t="s">
        <v>44</v>
      </c>
      <c r="E58" s="16"/>
      <c r="G58" s="16"/>
      <c r="I58" s="32"/>
      <c r="J58" s="33"/>
    </row>
    <row r="59" spans="1:10" ht="15" x14ac:dyDescent="0.25">
      <c r="D59" s="24" t="s">
        <v>41</v>
      </c>
      <c r="E59" s="20"/>
      <c r="G59" s="20"/>
      <c r="I59" s="32"/>
      <c r="J59" s="33"/>
    </row>
    <row r="60" spans="1:10" x14ac:dyDescent="0.2">
      <c r="D60" s="25"/>
      <c r="I60" s="32"/>
      <c r="J60" s="33"/>
    </row>
    <row r="61" spans="1:10" ht="15" x14ac:dyDescent="0.25">
      <c r="D61" s="24" t="s">
        <v>45</v>
      </c>
      <c r="E61" s="16"/>
      <c r="G61" s="16"/>
      <c r="I61" s="32"/>
      <c r="J61" s="33"/>
    </row>
    <row r="62" spans="1:10" ht="15" x14ac:dyDescent="0.25">
      <c r="D62" s="24" t="s">
        <v>40</v>
      </c>
      <c r="E62" s="20"/>
      <c r="G62" s="20"/>
      <c r="I62" s="32"/>
      <c r="J62" s="33"/>
    </row>
    <row r="63" spans="1:10" x14ac:dyDescent="0.2">
      <c r="D63" s="25"/>
      <c r="I63" s="32"/>
      <c r="J63" s="33"/>
    </row>
    <row r="64" spans="1:10" ht="15" x14ac:dyDescent="0.25">
      <c r="D64" s="24" t="s">
        <v>46</v>
      </c>
      <c r="E64" s="16"/>
      <c r="I64" s="32"/>
      <c r="J64" s="33"/>
    </row>
    <row r="65" spans="1:10" ht="15" x14ac:dyDescent="0.25">
      <c r="D65" s="24" t="s">
        <v>42</v>
      </c>
      <c r="E65" s="20"/>
      <c r="I65" s="34"/>
      <c r="J65" s="35"/>
    </row>
    <row r="66" spans="1:10" ht="15" x14ac:dyDescent="0.25">
      <c r="A66" s="22" t="s">
        <v>54</v>
      </c>
      <c r="F66" s="1"/>
    </row>
    <row r="67" spans="1:10" ht="15" hidden="1" x14ac:dyDescent="0.25">
      <c r="F67" s="1"/>
    </row>
    <row r="68" spans="1:10" ht="15" hidden="1" x14ac:dyDescent="0.25">
      <c r="F68" s="1"/>
    </row>
    <row r="69" spans="1:10" ht="15" hidden="1" x14ac:dyDescent="0.25">
      <c r="F69" s="1"/>
    </row>
    <row r="70" spans="1:10" ht="15" hidden="1" x14ac:dyDescent="0.25">
      <c r="F70" s="1"/>
    </row>
    <row r="71" spans="1:10" ht="15" hidden="1" x14ac:dyDescent="0.25">
      <c r="F71" s="1"/>
    </row>
    <row r="72" spans="1:10" ht="15" hidden="1" x14ac:dyDescent="0.25">
      <c r="F72" s="1"/>
    </row>
    <row r="73" spans="1:10" ht="15" hidden="1" x14ac:dyDescent="0.25">
      <c r="F73" s="1"/>
    </row>
    <row r="74" spans="1:10" hidden="1" x14ac:dyDescent="0.2">
      <c r="F74" s="7"/>
    </row>
    <row r="75" spans="1:10" ht="15" hidden="1" x14ac:dyDescent="0.25">
      <c r="G75" s="1"/>
    </row>
  </sheetData>
  <mergeCells count="1">
    <mergeCell ref="I56:J65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8AC8-6543-4B29-BFEC-85E3BB4D4452}">
  <sheetPr codeName="Sheet2">
    <pageSetUpPr fitToPage="1"/>
  </sheetPr>
  <dimension ref="A1:K75"/>
  <sheetViews>
    <sheetView showGridLines="0" zoomScaleNormal="100" workbookViewId="0">
      <selection activeCell="I18" sqref="I18"/>
    </sheetView>
  </sheetViews>
  <sheetFormatPr defaultColWidth="0" defaultRowHeight="14.25" customHeight="1" zeroHeight="1" x14ac:dyDescent="0.2"/>
  <cols>
    <col min="1" max="1" width="6.25" style="22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2">
      <c r="A1" s="22" t="s">
        <v>54</v>
      </c>
    </row>
    <row r="2" spans="1:10" ht="15" x14ac:dyDescent="0.25">
      <c r="A2" s="22" t="s">
        <v>54</v>
      </c>
      <c r="G2" s="24" t="s">
        <v>53</v>
      </c>
      <c r="H2" s="23">
        <f>policy_url</f>
        <v>0</v>
      </c>
      <c r="I2" s="2"/>
      <c r="J2" s="2"/>
    </row>
    <row r="3" spans="1:10" x14ac:dyDescent="0.2">
      <c r="A3" s="22" t="s">
        <v>54</v>
      </c>
      <c r="G3" s="25"/>
    </row>
    <row r="4" spans="1:10" ht="15" x14ac:dyDescent="0.25">
      <c r="A4" s="22" t="s">
        <v>54</v>
      </c>
      <c r="G4" s="24" t="s">
        <v>0</v>
      </c>
      <c r="H4" s="2">
        <f>insured_name</f>
        <v>0</v>
      </c>
      <c r="I4" s="2"/>
      <c r="J4" s="2"/>
    </row>
    <row r="5" spans="1:10" x14ac:dyDescent="0.2">
      <c r="A5" s="22" t="s">
        <v>54</v>
      </c>
      <c r="G5" s="25"/>
    </row>
    <row r="6" spans="1:10" ht="15" x14ac:dyDescent="0.25">
      <c r="A6" s="22" t="s">
        <v>54</v>
      </c>
      <c r="G6" s="24" t="s">
        <v>1</v>
      </c>
      <c r="H6" s="2"/>
      <c r="I6" s="2"/>
      <c r="J6" s="2"/>
    </row>
    <row r="7" spans="1:10" x14ac:dyDescent="0.2">
      <c r="A7" s="22" t="s">
        <v>54</v>
      </c>
      <c r="G7" s="25"/>
    </row>
    <row r="8" spans="1:10" ht="15" x14ac:dyDescent="0.25">
      <c r="A8" s="22" t="s">
        <v>54</v>
      </c>
      <c r="C8" s="24" t="s">
        <v>6</v>
      </c>
      <c r="D8" s="6">
        <f>inception_date</f>
        <v>0</v>
      </c>
      <c r="G8" s="24" t="s">
        <v>4</v>
      </c>
      <c r="H8" s="28">
        <f>term</f>
        <v>0</v>
      </c>
      <c r="I8" s="24" t="s">
        <v>3</v>
      </c>
      <c r="J8" s="5"/>
    </row>
    <row r="9" spans="1:10" x14ac:dyDescent="0.2">
      <c r="A9" s="22" t="s">
        <v>54</v>
      </c>
      <c r="C9" s="25"/>
      <c r="G9" s="25"/>
      <c r="I9" s="25"/>
    </row>
    <row r="10" spans="1:10" ht="15" x14ac:dyDescent="0.25">
      <c r="A10" s="22" t="s">
        <v>54</v>
      </c>
      <c r="C10" s="24" t="s">
        <v>7</v>
      </c>
      <c r="D10" s="6">
        <f>expiry_date</f>
        <v>0</v>
      </c>
      <c r="G10" s="24" t="s">
        <v>2</v>
      </c>
      <c r="H10" s="4">
        <f>source_currency</f>
        <v>0</v>
      </c>
      <c r="I10" s="24" t="s">
        <v>5</v>
      </c>
      <c r="J10" s="5"/>
    </row>
    <row r="11" spans="1:10" x14ac:dyDescent="0.2">
      <c r="A11" s="22" t="s">
        <v>54</v>
      </c>
    </row>
    <row r="12" spans="1:10" ht="17.25" thickBot="1" x14ac:dyDescent="0.3">
      <c r="A12" s="22" t="s">
        <v>54</v>
      </c>
      <c r="B12" s="3" t="s">
        <v>56</v>
      </c>
      <c r="C12" s="3"/>
      <c r="D12" s="3"/>
      <c r="E12" s="3"/>
      <c r="G12" s="3" t="s">
        <v>57</v>
      </c>
      <c r="H12" s="3"/>
      <c r="I12" s="3"/>
      <c r="J12" s="3"/>
    </row>
    <row r="13" spans="1:10" ht="15" thickTop="1" x14ac:dyDescent="0.2">
      <c r="A13" s="22" t="s">
        <v>54</v>
      </c>
    </row>
    <row r="14" spans="1:10" ht="15" x14ac:dyDescent="0.25">
      <c r="A14" s="22" t="s">
        <v>54</v>
      </c>
      <c r="C14" s="24" t="s">
        <v>47</v>
      </c>
      <c r="D14" s="21" t="s">
        <v>8</v>
      </c>
      <c r="E14" s="9"/>
      <c r="H14" s="24" t="s">
        <v>47</v>
      </c>
      <c r="I14" s="21" t="s">
        <v>9</v>
      </c>
      <c r="J14" s="9"/>
    </row>
    <row r="15" spans="1:10" x14ac:dyDescent="0.2">
      <c r="A15" s="22" t="s">
        <v>54</v>
      </c>
      <c r="C15" s="25"/>
      <c r="D15" s="8" t="s">
        <v>48</v>
      </c>
      <c r="E15" s="15"/>
      <c r="H15" s="25"/>
    </row>
    <row r="16" spans="1:10" ht="15" x14ac:dyDescent="0.25">
      <c r="A16" s="22" t="s">
        <v>54</v>
      </c>
      <c r="C16" s="25"/>
      <c r="D16" s="8" t="s">
        <v>49</v>
      </c>
      <c r="E16" s="15"/>
      <c r="H16" s="25"/>
      <c r="I16" s="24" t="s">
        <v>52</v>
      </c>
      <c r="J16" s="12"/>
    </row>
    <row r="17" spans="1:10" x14ac:dyDescent="0.2">
      <c r="A17" s="22" t="s">
        <v>54</v>
      </c>
      <c r="C17" s="25"/>
      <c r="D17" s="8" t="s">
        <v>18</v>
      </c>
      <c r="E17" s="15"/>
      <c r="H17" s="25"/>
    </row>
    <row r="18" spans="1:10" ht="15" x14ac:dyDescent="0.25">
      <c r="A18" s="22" t="s">
        <v>54</v>
      </c>
      <c r="C18" s="25"/>
      <c r="D18" s="8" t="s">
        <v>50</v>
      </c>
      <c r="E18" s="15"/>
      <c r="H18" s="24" t="s">
        <v>24</v>
      </c>
      <c r="I18" s="13"/>
    </row>
    <row r="19" spans="1:10" ht="15" x14ac:dyDescent="0.25">
      <c r="A19" s="22" t="s">
        <v>54</v>
      </c>
      <c r="C19" s="25"/>
      <c r="D19" s="8" t="s">
        <v>51</v>
      </c>
      <c r="E19" s="15"/>
      <c r="H19" s="24" t="s">
        <v>14</v>
      </c>
      <c r="I19" s="8"/>
      <c r="J19" s="9"/>
    </row>
    <row r="20" spans="1:10" ht="15" x14ac:dyDescent="0.25">
      <c r="A20" s="22" t="s">
        <v>54</v>
      </c>
      <c r="C20" s="25"/>
      <c r="H20" s="24" t="s">
        <v>15</v>
      </c>
      <c r="I20" s="13"/>
      <c r="J20" s="9"/>
    </row>
    <row r="21" spans="1:10" ht="15" x14ac:dyDescent="0.25">
      <c r="A21" s="22" t="s">
        <v>54</v>
      </c>
      <c r="C21" s="25"/>
      <c r="D21" s="24" t="s">
        <v>52</v>
      </c>
      <c r="E21" s="12"/>
      <c r="H21" s="24" t="s">
        <v>22</v>
      </c>
      <c r="I21" s="8"/>
      <c r="J21" s="9"/>
    </row>
    <row r="22" spans="1:10" ht="15" x14ac:dyDescent="0.25">
      <c r="A22" s="22" t="s">
        <v>54</v>
      </c>
      <c r="C22" s="25"/>
      <c r="H22" s="24" t="s">
        <v>23</v>
      </c>
      <c r="I22" s="8"/>
      <c r="J22" s="9"/>
    </row>
    <row r="23" spans="1:10" ht="15" x14ac:dyDescent="0.25">
      <c r="A23" s="22" t="s">
        <v>54</v>
      </c>
      <c r="C23" s="24" t="s">
        <v>11</v>
      </c>
      <c r="D23" s="8"/>
      <c r="E23" s="9"/>
      <c r="H23" s="24" t="s">
        <v>21</v>
      </c>
      <c r="I23" s="8"/>
      <c r="J23" s="9"/>
    </row>
    <row r="24" spans="1:10" ht="15" x14ac:dyDescent="0.25">
      <c r="A24" s="22" t="s">
        <v>54</v>
      </c>
      <c r="C24" s="24" t="s">
        <v>13</v>
      </c>
      <c r="D24" s="13"/>
      <c r="E24" s="9"/>
      <c r="H24" s="24" t="s">
        <v>25</v>
      </c>
      <c r="I24" s="8"/>
      <c r="J24" s="9"/>
    </row>
    <row r="25" spans="1:10" ht="15" x14ac:dyDescent="0.25">
      <c r="A25" s="22" t="s">
        <v>54</v>
      </c>
      <c r="C25" s="24" t="s">
        <v>14</v>
      </c>
      <c r="D25" s="8"/>
      <c r="E25" s="9"/>
      <c r="H25" s="25"/>
    </row>
    <row r="26" spans="1:10" ht="15" x14ac:dyDescent="0.25">
      <c r="A26" s="22" t="s">
        <v>54</v>
      </c>
      <c r="C26" s="24" t="s">
        <v>15</v>
      </c>
      <c r="D26" s="13"/>
      <c r="E26" s="9"/>
      <c r="H26" s="25" t="s">
        <v>12</v>
      </c>
      <c r="I26" s="24" t="s">
        <v>29</v>
      </c>
      <c r="J26" s="12"/>
    </row>
    <row r="27" spans="1:10" ht="15" x14ac:dyDescent="0.25">
      <c r="A27" s="22" t="s">
        <v>54</v>
      </c>
      <c r="C27" s="24" t="s">
        <v>16</v>
      </c>
      <c r="D27" s="8"/>
      <c r="E27" s="9"/>
      <c r="H27" s="25"/>
    </row>
    <row r="28" spans="1:10" ht="15" x14ac:dyDescent="0.25">
      <c r="A28" s="22" t="s">
        <v>54</v>
      </c>
      <c r="C28" s="25"/>
      <c r="D28" s="10"/>
      <c r="E28" s="10"/>
      <c r="H28" s="24" t="s">
        <v>30</v>
      </c>
      <c r="I28" s="13"/>
    </row>
    <row r="29" spans="1:10" ht="15" x14ac:dyDescent="0.25">
      <c r="A29" s="22" t="s">
        <v>54</v>
      </c>
      <c r="C29" s="24" t="s">
        <v>17</v>
      </c>
      <c r="D29" s="8" t="s">
        <v>26</v>
      </c>
      <c r="E29" s="11"/>
      <c r="H29" s="25"/>
    </row>
    <row r="30" spans="1:10" ht="15" x14ac:dyDescent="0.25">
      <c r="A30" s="22" t="s">
        <v>54</v>
      </c>
      <c r="C30" s="26" t="s">
        <v>10</v>
      </c>
      <c r="D30" s="8" t="s">
        <v>27</v>
      </c>
      <c r="E30" s="11"/>
      <c r="H30" s="24" t="s">
        <v>31</v>
      </c>
      <c r="I30" s="14"/>
      <c r="J30" s="9"/>
    </row>
    <row r="31" spans="1:10" x14ac:dyDescent="0.2">
      <c r="A31" s="22" t="s">
        <v>54</v>
      </c>
      <c r="C31" s="25"/>
      <c r="D31" s="8" t="s">
        <v>28</v>
      </c>
      <c r="E31" s="11"/>
      <c r="H31" s="26"/>
      <c r="I31" s="13"/>
      <c r="J31" s="15"/>
    </row>
    <row r="32" spans="1:10" x14ac:dyDescent="0.2">
      <c r="A32" s="22" t="s">
        <v>54</v>
      </c>
      <c r="C32" s="25"/>
      <c r="D32" s="10"/>
      <c r="E32" s="9"/>
      <c r="H32" s="26"/>
      <c r="I32" s="13"/>
      <c r="J32" s="15"/>
    </row>
    <row r="33" spans="1:10" x14ac:dyDescent="0.2">
      <c r="A33" s="22" t="s">
        <v>54</v>
      </c>
      <c r="C33" s="25"/>
      <c r="D33" s="10"/>
      <c r="E33" s="10"/>
      <c r="H33" s="26"/>
      <c r="I33" s="13"/>
      <c r="J33" s="15"/>
    </row>
    <row r="34" spans="1:10" ht="15" x14ac:dyDescent="0.25">
      <c r="A34" s="22" t="s">
        <v>54</v>
      </c>
      <c r="C34" s="24" t="s">
        <v>18</v>
      </c>
      <c r="D34" s="8"/>
      <c r="E34" s="9"/>
      <c r="H34" s="26"/>
      <c r="I34" s="13"/>
      <c r="J34" s="15"/>
    </row>
    <row r="35" spans="1:10" ht="15" x14ac:dyDescent="0.25">
      <c r="A35" s="22" t="s">
        <v>54</v>
      </c>
      <c r="C35" s="24" t="s">
        <v>19</v>
      </c>
      <c r="D35" s="8"/>
      <c r="E35" s="9"/>
      <c r="H35" s="26"/>
      <c r="I35" s="13"/>
      <c r="J35" s="15"/>
    </row>
    <row r="36" spans="1:10" ht="15" x14ac:dyDescent="0.25">
      <c r="A36" s="22" t="s">
        <v>54</v>
      </c>
      <c r="C36" s="24" t="s">
        <v>20</v>
      </c>
      <c r="D36" s="8"/>
      <c r="E36" s="9"/>
      <c r="H36" s="26"/>
    </row>
    <row r="37" spans="1:10" ht="15" x14ac:dyDescent="0.25">
      <c r="A37" s="22" t="s">
        <v>54</v>
      </c>
      <c r="C37" s="24" t="s">
        <v>21</v>
      </c>
      <c r="D37" s="8"/>
      <c r="E37" s="9"/>
      <c r="H37" s="24" t="s">
        <v>32</v>
      </c>
      <c r="I37" s="13"/>
      <c r="J37" s="9"/>
    </row>
    <row r="38" spans="1:10" ht="15" x14ac:dyDescent="0.25">
      <c r="A38" s="22" t="s">
        <v>54</v>
      </c>
      <c r="C38" s="24" t="s">
        <v>25</v>
      </c>
      <c r="D38" s="8"/>
      <c r="E38" s="9"/>
      <c r="H38" s="24" t="s">
        <v>33</v>
      </c>
      <c r="I38" s="13"/>
      <c r="J38" s="9"/>
    </row>
    <row r="39" spans="1:10" x14ac:dyDescent="0.2">
      <c r="A39" s="22" t="s">
        <v>54</v>
      </c>
    </row>
    <row r="40" spans="1:10" ht="15.75" thickBot="1" x14ac:dyDescent="0.3">
      <c r="A40" s="22" t="s">
        <v>54</v>
      </c>
      <c r="C40" s="17" t="s">
        <v>36</v>
      </c>
      <c r="D40" s="17"/>
      <c r="E40" s="17"/>
      <c r="H40" s="17" t="s">
        <v>36</v>
      </c>
      <c r="I40" s="17"/>
      <c r="J40" s="17"/>
    </row>
    <row r="41" spans="1:10" x14ac:dyDescent="0.2">
      <c r="A41" s="22" t="s">
        <v>54</v>
      </c>
    </row>
    <row r="42" spans="1:10" ht="15" x14ac:dyDescent="0.25">
      <c r="A42" s="22" t="s">
        <v>54</v>
      </c>
      <c r="D42" s="24" t="s">
        <v>34</v>
      </c>
      <c r="E42" s="12"/>
      <c r="I42" s="24" t="s">
        <v>58</v>
      </c>
      <c r="J42" s="12"/>
    </row>
    <row r="43" spans="1:10" ht="15" x14ac:dyDescent="0.25">
      <c r="A43" s="22" t="s">
        <v>54</v>
      </c>
      <c r="D43" s="24" t="s">
        <v>61</v>
      </c>
      <c r="E43" s="12"/>
      <c r="I43" s="24" t="s">
        <v>59</v>
      </c>
      <c r="J43" s="12"/>
    </row>
    <row r="44" spans="1:10" ht="15" x14ac:dyDescent="0.25">
      <c r="A44" s="22" t="s">
        <v>54</v>
      </c>
      <c r="D44" s="24" t="s">
        <v>35</v>
      </c>
      <c r="E44" s="16"/>
      <c r="I44" s="24" t="s">
        <v>60</v>
      </c>
      <c r="J44" s="16"/>
    </row>
    <row r="45" spans="1:10" x14ac:dyDescent="0.2">
      <c r="A45" s="22" t="s">
        <v>54</v>
      </c>
    </row>
    <row r="46" spans="1:10" ht="15.75" thickBot="1" x14ac:dyDescent="0.3">
      <c r="A46" s="22" t="s">
        <v>54</v>
      </c>
      <c r="C46" s="17" t="s">
        <v>37</v>
      </c>
      <c r="D46" s="17"/>
      <c r="E46" s="17"/>
      <c r="H46" s="17" t="s">
        <v>37</v>
      </c>
      <c r="I46" s="17"/>
      <c r="J46" s="17"/>
    </row>
    <row r="47" spans="1:10" x14ac:dyDescent="0.2">
      <c r="A47" s="22" t="s">
        <v>54</v>
      </c>
    </row>
    <row r="48" spans="1:10" ht="15" x14ac:dyDescent="0.25">
      <c r="A48" s="22" t="s">
        <v>54</v>
      </c>
      <c r="D48" s="24" t="s">
        <v>38</v>
      </c>
      <c r="E48" s="20"/>
      <c r="I48" s="24" t="s">
        <v>38</v>
      </c>
      <c r="J48" s="20"/>
    </row>
    <row r="49" spans="1:10" ht="15" x14ac:dyDescent="0.25">
      <c r="A49" s="22" t="s">
        <v>54</v>
      </c>
      <c r="D49" s="24" t="s">
        <v>61</v>
      </c>
      <c r="E49" s="18"/>
      <c r="I49" s="24" t="s">
        <v>59</v>
      </c>
      <c r="J49" s="18"/>
    </row>
    <row r="50" spans="1:10" ht="15" x14ac:dyDescent="0.25">
      <c r="A50" s="22" t="s">
        <v>54</v>
      </c>
      <c r="D50" s="24" t="s">
        <v>35</v>
      </c>
      <c r="E50" s="19"/>
      <c r="I50" s="24" t="s">
        <v>60</v>
      </c>
      <c r="J50" s="19"/>
    </row>
    <row r="51" spans="1:10" x14ac:dyDescent="0.2">
      <c r="A51" s="22" t="s">
        <v>54</v>
      </c>
    </row>
    <row r="52" spans="1:10" x14ac:dyDescent="0.2">
      <c r="A52" s="22" t="s">
        <v>54</v>
      </c>
    </row>
    <row r="53" spans="1:10" ht="17.25" thickBot="1" x14ac:dyDescent="0.3">
      <c r="A53" s="22" t="s">
        <v>54</v>
      </c>
      <c r="B53" s="3" t="s">
        <v>39</v>
      </c>
      <c r="C53" s="3"/>
      <c r="D53" s="3"/>
      <c r="E53" s="3"/>
      <c r="F53" s="3"/>
      <c r="G53" s="3"/>
      <c r="H53" s="3"/>
      <c r="I53" s="3"/>
      <c r="J53" s="3"/>
    </row>
    <row r="54" spans="1:10" ht="15" thickTop="1" x14ac:dyDescent="0.2">
      <c r="A54" s="22" t="s">
        <v>54</v>
      </c>
    </row>
    <row r="55" spans="1:10" ht="15" x14ac:dyDescent="0.25">
      <c r="E55" s="29" t="s">
        <v>62</v>
      </c>
      <c r="G55" s="29" t="s">
        <v>63</v>
      </c>
      <c r="I55" s="27" t="s">
        <v>55</v>
      </c>
    </row>
    <row r="56" spans="1:10" ht="15" x14ac:dyDescent="0.25">
      <c r="D56" s="24" t="s">
        <v>43</v>
      </c>
      <c r="E56" s="14"/>
      <c r="G56" s="14"/>
      <c r="I56" s="30"/>
      <c r="J56" s="31"/>
    </row>
    <row r="57" spans="1:10" x14ac:dyDescent="0.2">
      <c r="D57" s="25"/>
      <c r="I57" s="32"/>
      <c r="J57" s="33"/>
    </row>
    <row r="58" spans="1:10" ht="15" x14ac:dyDescent="0.25">
      <c r="D58" s="24" t="s">
        <v>44</v>
      </c>
      <c r="E58" s="16"/>
      <c r="G58" s="16"/>
      <c r="I58" s="32"/>
      <c r="J58" s="33"/>
    </row>
    <row r="59" spans="1:10" ht="15" x14ac:dyDescent="0.25">
      <c r="D59" s="24" t="s">
        <v>41</v>
      </c>
      <c r="E59" s="20"/>
      <c r="G59" s="20"/>
      <c r="I59" s="32"/>
      <c r="J59" s="33"/>
    </row>
    <row r="60" spans="1:10" x14ac:dyDescent="0.2">
      <c r="D60" s="25"/>
      <c r="I60" s="32"/>
      <c r="J60" s="33"/>
    </row>
    <row r="61" spans="1:10" ht="15" x14ac:dyDescent="0.25">
      <c r="D61" s="24" t="s">
        <v>45</v>
      </c>
      <c r="E61" s="16"/>
      <c r="G61" s="16"/>
      <c r="I61" s="32"/>
      <c r="J61" s="33"/>
    </row>
    <row r="62" spans="1:10" ht="15" x14ac:dyDescent="0.25">
      <c r="D62" s="24" t="s">
        <v>40</v>
      </c>
      <c r="E62" s="20"/>
      <c r="G62" s="20"/>
      <c r="I62" s="32"/>
      <c r="J62" s="33"/>
    </row>
    <row r="63" spans="1:10" x14ac:dyDescent="0.2">
      <c r="D63" s="25"/>
      <c r="I63" s="32"/>
      <c r="J63" s="33"/>
    </row>
    <row r="64" spans="1:10" ht="15" x14ac:dyDescent="0.25">
      <c r="D64" s="24" t="s">
        <v>46</v>
      </c>
      <c r="E64" s="16"/>
      <c r="I64" s="32"/>
      <c r="J64" s="33"/>
    </row>
    <row r="65" spans="1:10" ht="15" x14ac:dyDescent="0.25">
      <c r="D65" s="24" t="s">
        <v>42</v>
      </c>
      <c r="E65" s="20"/>
      <c r="I65" s="34"/>
      <c r="J65" s="35"/>
    </row>
    <row r="66" spans="1:10" ht="15" x14ac:dyDescent="0.25">
      <c r="A66" s="22" t="s">
        <v>54</v>
      </c>
      <c r="F66" s="1"/>
    </row>
    <row r="67" spans="1:10" ht="15" hidden="1" x14ac:dyDescent="0.25">
      <c r="F67" s="1"/>
    </row>
    <row r="68" spans="1:10" ht="15" hidden="1" x14ac:dyDescent="0.25">
      <c r="F68" s="1"/>
    </row>
    <row r="69" spans="1:10" ht="15" hidden="1" x14ac:dyDescent="0.25">
      <c r="F69" s="1"/>
    </row>
    <row r="70" spans="1:10" ht="15" hidden="1" x14ac:dyDescent="0.25">
      <c r="F70" s="1"/>
    </row>
    <row r="71" spans="1:10" ht="15" hidden="1" x14ac:dyDescent="0.25">
      <c r="F71" s="1"/>
    </row>
    <row r="72" spans="1:10" ht="15" hidden="1" x14ac:dyDescent="0.25">
      <c r="F72" s="1"/>
    </row>
    <row r="73" spans="1:10" ht="15" hidden="1" x14ac:dyDescent="0.25">
      <c r="F73" s="1"/>
    </row>
    <row r="74" spans="1:10" hidden="1" x14ac:dyDescent="0.2">
      <c r="F74" s="7"/>
    </row>
    <row r="75" spans="1:10" ht="15" hidden="1" x14ac:dyDescent="0.25">
      <c r="G75" s="1"/>
    </row>
  </sheetData>
  <mergeCells count="1">
    <mergeCell ref="I56:J65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208</vt:i4>
      </vt:variant>
    </vt:vector>
  </HeadingPairs>
  <TitlesOfParts>
    <vt:vector size="210" baseType="lpstr">
      <vt:lpstr>Summary - Cargo</vt:lpstr>
      <vt:lpstr>Summary - Cargo Cyber</vt:lpstr>
      <vt:lpstr>all_else_expo</vt:lpstr>
      <vt:lpstr>all_else_expo_cyber</vt:lpstr>
      <vt:lpstr>all_else_load</vt:lpstr>
      <vt:lpstr>all_else_load_cyber</vt:lpstr>
      <vt:lpstr>avg_val_pcm</vt:lpstr>
      <vt:lpstr>avg_val_pcm_cyber</vt:lpstr>
      <vt:lpstr>benchmark_premium</vt:lpstr>
      <vt:lpstr>benchmark_premium_cyber</vt:lpstr>
      <vt:lpstr>bpi</vt:lpstr>
      <vt:lpstr>bpi_cyber</vt:lpstr>
      <vt:lpstr>brokerage</vt:lpstr>
      <vt:lpstr>brokerage_cyber</vt:lpstr>
      <vt:lpstr>cat_expo</vt:lpstr>
      <vt:lpstr>cat_expo_1</vt:lpstr>
      <vt:lpstr>cat_expo_1_cyber</vt:lpstr>
      <vt:lpstr>cat_expo_2</vt:lpstr>
      <vt:lpstr>cat_expo_2_cyber</vt:lpstr>
      <vt:lpstr>cat_expo_3</vt:lpstr>
      <vt:lpstr>cat_expo_3_cyber</vt:lpstr>
      <vt:lpstr>cat_expo_4</vt:lpstr>
      <vt:lpstr>cat_expo_4_cyber</vt:lpstr>
      <vt:lpstr>cat_expo_5</vt:lpstr>
      <vt:lpstr>cat_expo_5_cyber</vt:lpstr>
      <vt:lpstr>cat_expo_cyber</vt:lpstr>
      <vt:lpstr>cat_load_1</vt:lpstr>
      <vt:lpstr>cat_load_1_cyber</vt:lpstr>
      <vt:lpstr>cat_load_2</vt:lpstr>
      <vt:lpstr>cat_load_2_cyber</vt:lpstr>
      <vt:lpstr>cat_load_3</vt:lpstr>
      <vt:lpstr>cat_load_3_cyber</vt:lpstr>
      <vt:lpstr>cat_load_4</vt:lpstr>
      <vt:lpstr>cat_load_4_cyber</vt:lpstr>
      <vt:lpstr>cat_load_5</vt:lpstr>
      <vt:lpstr>cat_load_5_cyber</vt:lpstr>
      <vt:lpstr>combined_cat_load</vt:lpstr>
      <vt:lpstr>combined_cat_load_cyber</vt:lpstr>
      <vt:lpstr>conv_air_factor</vt:lpstr>
      <vt:lpstr>conv_air_factor_cyber</vt:lpstr>
      <vt:lpstr>conv_factor</vt:lpstr>
      <vt:lpstr>conv_factor_cyber</vt:lpstr>
      <vt:lpstr>conv_land_factor</vt:lpstr>
      <vt:lpstr>conv_land_factor_cyber</vt:lpstr>
      <vt:lpstr>conv_sea_factor</vt:lpstr>
      <vt:lpstr>conv_sea_factor_cyber</vt:lpstr>
      <vt:lpstr>country_1</vt:lpstr>
      <vt:lpstr>country_1_cyber</vt:lpstr>
      <vt:lpstr>country_2</vt:lpstr>
      <vt:lpstr>country_2_cyber</vt:lpstr>
      <vt:lpstr>country_3</vt:lpstr>
      <vt:lpstr>country_3_cyber</vt:lpstr>
      <vt:lpstr>country_4</vt:lpstr>
      <vt:lpstr>country_4_cyber</vt:lpstr>
      <vt:lpstr>country_5</vt:lpstr>
      <vt:lpstr>country_5_cyber</vt:lpstr>
      <vt:lpstr>expiring_benchmark_premium</vt:lpstr>
      <vt:lpstr>expiring_benchmark_premium_cyber</vt:lpstr>
      <vt:lpstr>expiring_bpi</vt:lpstr>
      <vt:lpstr>expiring_bpi_cyber</vt:lpstr>
      <vt:lpstr>expiring_premium</vt:lpstr>
      <vt:lpstr>expiring_premium_cyber</vt:lpstr>
      <vt:lpstr>expiring_technical_premium</vt:lpstr>
      <vt:lpstr>expiring_technical_premium_cyber</vt:lpstr>
      <vt:lpstr>expiring_tpi</vt:lpstr>
      <vt:lpstr>expiring_tpi_cyber</vt:lpstr>
      <vt:lpstr>expiry_date</vt:lpstr>
      <vt:lpstr>expiry_date_cyber</vt:lpstr>
      <vt:lpstr>gross_premium_label</vt:lpstr>
      <vt:lpstr>gross_premium_label_cyber</vt:lpstr>
      <vt:lpstr>inception_date</vt:lpstr>
      <vt:lpstr>inception_date_cyber</vt:lpstr>
      <vt:lpstr>insured_name</vt:lpstr>
      <vt:lpstr>insured_name_cyber</vt:lpstr>
      <vt:lpstr>loading_flag</vt:lpstr>
      <vt:lpstr>loading_flag_cyber</vt:lpstr>
      <vt:lpstr>packaging</vt:lpstr>
      <vt:lpstr>packaging_cyber</vt:lpstr>
      <vt:lpstr>packaging_factor</vt:lpstr>
      <vt:lpstr>packaging_factor_cyber</vt:lpstr>
      <vt:lpstr>policy_url</vt:lpstr>
      <vt:lpstr>policy_url_cyber</vt:lpstr>
      <vt:lpstr>port_to_wh_flag</vt:lpstr>
      <vt:lpstr>port_to_wh_flag_cyber</vt:lpstr>
      <vt:lpstr>quoted_premium</vt:lpstr>
      <vt:lpstr>quoted_premium_cyber</vt:lpstr>
      <vt:lpstr>retail_expo</vt:lpstr>
      <vt:lpstr>retail_expo_cyber</vt:lpstr>
      <vt:lpstr>retail_load</vt:lpstr>
      <vt:lpstr>retail_load_cyber</vt:lpstr>
      <vt:lpstr>risk_mgmt</vt:lpstr>
      <vt:lpstr>risk_mgmt_cyber</vt:lpstr>
      <vt:lpstr>risk_mgmt_factor</vt:lpstr>
      <vt:lpstr>risk_mgmt_factor_cyber</vt:lpstr>
      <vt:lpstr>section_reference</vt:lpstr>
      <vt:lpstr>section_reference_cyber</vt:lpstr>
      <vt:lpstr>source_currency</vt:lpstr>
      <vt:lpstr>source_currency_cyber</vt:lpstr>
      <vt:lpstr>stock_vals</vt:lpstr>
      <vt:lpstr>stock_vals_cyber</vt:lpstr>
      <vt:lpstr>storage_actual_rate</vt:lpstr>
      <vt:lpstr>storage_actual_rate_cyber</vt:lpstr>
      <vt:lpstr>storage_base_rate</vt:lpstr>
      <vt:lpstr>storage_base_rate_cyber</vt:lpstr>
      <vt:lpstr>storage_deductible_level</vt:lpstr>
      <vt:lpstr>storage_deductible_level_cyber</vt:lpstr>
      <vt:lpstr>storage_deductible_level_factor</vt:lpstr>
      <vt:lpstr>storage_deductible_level_factor_cyber</vt:lpstr>
      <vt:lpstr>storage_excess</vt:lpstr>
      <vt:lpstr>storage_excess_cyber</vt:lpstr>
      <vt:lpstr>storage_excess_factor</vt:lpstr>
      <vt:lpstr>storage_excess_factor_cyber</vt:lpstr>
      <vt:lpstr>storage_flag</vt:lpstr>
      <vt:lpstr>storage_flag_cyber</vt:lpstr>
      <vt:lpstr>storage_pct_of_technical</vt:lpstr>
      <vt:lpstr>storage_pct_of_technical_cyber</vt:lpstr>
      <vt:lpstr>storage_quoted_premium</vt:lpstr>
      <vt:lpstr>storage_quoted_premium_cyber</vt:lpstr>
      <vt:lpstr>storage_rate</vt:lpstr>
      <vt:lpstr>storage_rate_cyber</vt:lpstr>
      <vt:lpstr>storage_technical_deductions</vt:lpstr>
      <vt:lpstr>storage_technical_deductions_cyber</vt:lpstr>
      <vt:lpstr>storage_technical_premium</vt:lpstr>
      <vt:lpstr>storage_technical_premium_cyber</vt:lpstr>
      <vt:lpstr>storage_technical_rate</vt:lpstr>
      <vt:lpstr>storage_technical_rate_cyber</vt:lpstr>
      <vt:lpstr>storage_type_of_cover</vt:lpstr>
      <vt:lpstr>storage_type_of_cover_cyber</vt:lpstr>
      <vt:lpstr>storage_type_of_cover_factor</vt:lpstr>
      <vt:lpstr>storage_type_of_cover_factor_cyber</vt:lpstr>
      <vt:lpstr>storage_uw_discretion</vt:lpstr>
      <vt:lpstr>storage_uw_discretion_cyber</vt:lpstr>
      <vt:lpstr>storage_uw_discretion_factor</vt:lpstr>
      <vt:lpstr>storage_uw_discretion_factor_cyber</vt:lpstr>
      <vt:lpstr>survey</vt:lpstr>
      <vt:lpstr>survey_cyber</vt:lpstr>
      <vt:lpstr>survey_factor</vt:lpstr>
      <vt:lpstr>survey_factor_cyber</vt:lpstr>
      <vt:lpstr>surveyor</vt:lpstr>
      <vt:lpstr>surveyor_cyber</vt:lpstr>
      <vt:lpstr>surveyor_factor</vt:lpstr>
      <vt:lpstr>surveyor_factor_cyber</vt:lpstr>
      <vt:lpstr>technical_premium</vt:lpstr>
      <vt:lpstr>technical_premium_cyber</vt:lpstr>
      <vt:lpstr>technical_premium_pre_uw_adj</vt:lpstr>
      <vt:lpstr>technical_premium_pre_uw_adj_cyber</vt:lpstr>
      <vt:lpstr>term</vt:lpstr>
      <vt:lpstr>term_cyber</vt:lpstr>
      <vt:lpstr>tpi</vt:lpstr>
      <vt:lpstr>tpi_cyber</vt:lpstr>
      <vt:lpstr>tpi_pre_uw_adj</vt:lpstr>
      <vt:lpstr>tpi_pre_uw_adj_cyber</vt:lpstr>
      <vt:lpstr>trans_vals</vt:lpstr>
      <vt:lpstr>trans_vals_cyber</vt:lpstr>
      <vt:lpstr>trans_vals_factor</vt:lpstr>
      <vt:lpstr>trans_vals_factor_cyber</vt:lpstr>
      <vt:lpstr>transit_actual_rate</vt:lpstr>
      <vt:lpstr>transit_actual_rate_cyber</vt:lpstr>
      <vt:lpstr>transit_base_rate</vt:lpstr>
      <vt:lpstr>transit_base_rate_cyber</vt:lpstr>
      <vt:lpstr>transit_commodity</vt:lpstr>
      <vt:lpstr>transit_commodity_cyber</vt:lpstr>
      <vt:lpstr>transit_commodity_factor</vt:lpstr>
      <vt:lpstr>transit_commodity_factor_cyber</vt:lpstr>
      <vt:lpstr>transit_deductible_level</vt:lpstr>
      <vt:lpstr>transit_deductible_level_cyber</vt:lpstr>
      <vt:lpstr>transit_deductible_level_factor</vt:lpstr>
      <vt:lpstr>transit_deductible_level_factor_cyber</vt:lpstr>
      <vt:lpstr>transit_excess</vt:lpstr>
      <vt:lpstr>transit_excess_cyber</vt:lpstr>
      <vt:lpstr>transit_excess_factor</vt:lpstr>
      <vt:lpstr>transit_excess_factor_cyber</vt:lpstr>
      <vt:lpstr>transit_flag</vt:lpstr>
      <vt:lpstr>transit_flag_cyber</vt:lpstr>
      <vt:lpstr>transit_pct_of_technical</vt:lpstr>
      <vt:lpstr>transit_pct_of_technical_cyber</vt:lpstr>
      <vt:lpstr>transit_quoted_premium</vt:lpstr>
      <vt:lpstr>transit_quoted_premium_cyber</vt:lpstr>
      <vt:lpstr>transit_technical_deductions</vt:lpstr>
      <vt:lpstr>transit_technical_deductions_cyber</vt:lpstr>
      <vt:lpstr>transit_technical_premium</vt:lpstr>
      <vt:lpstr>transit_technical_premium_cyber</vt:lpstr>
      <vt:lpstr>transit_technical_rate</vt:lpstr>
      <vt:lpstr>transit_technical_rate_cyber</vt:lpstr>
      <vt:lpstr>transit_type_of_cover</vt:lpstr>
      <vt:lpstr>transit_type_of_cover_cyber</vt:lpstr>
      <vt:lpstr>transit_type_of_cover_factor</vt:lpstr>
      <vt:lpstr>transit_type_of_cover_factor_cyber</vt:lpstr>
      <vt:lpstr>transit_uw_discretion</vt:lpstr>
      <vt:lpstr>transit_uw_discretion_cyber</vt:lpstr>
      <vt:lpstr>transit_uw_discretion_factor</vt:lpstr>
      <vt:lpstr>transit_uw_discretion_factor_cyber</vt:lpstr>
      <vt:lpstr>unloading_flag</vt:lpstr>
      <vt:lpstr>unloading_flag_cyber</vt:lpstr>
      <vt:lpstr>uw_rationale</vt:lpstr>
      <vt:lpstr>uw_rationale_cyber</vt:lpstr>
      <vt:lpstr>vessel</vt:lpstr>
      <vt:lpstr>vessel_cyber</vt:lpstr>
      <vt:lpstr>vessel_factor</vt:lpstr>
      <vt:lpstr>vessel_factor_cyber</vt:lpstr>
      <vt:lpstr>voyage</vt:lpstr>
      <vt:lpstr>voyage_cyber</vt:lpstr>
      <vt:lpstr>voyage_factor</vt:lpstr>
      <vt:lpstr>voyage_factor_cyber</vt:lpstr>
      <vt:lpstr>voyage_flag</vt:lpstr>
      <vt:lpstr>voyage_flag_cyber</vt:lpstr>
      <vt:lpstr>wh_to_port_flag</vt:lpstr>
      <vt:lpstr>wh_to_port_flag_cyber</vt:lpstr>
      <vt:lpstr>written_line</vt:lpstr>
      <vt:lpstr>written_line_cyber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Yifei Zhao</cp:lastModifiedBy>
  <cp:lastPrinted>2024-10-01T13:59:05Z</cp:lastPrinted>
  <dcterms:created xsi:type="dcterms:W3CDTF">2015-06-05T18:19:34Z</dcterms:created>
  <dcterms:modified xsi:type="dcterms:W3CDTF">2025-12-07T17:32:33Z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2025-12-04T22:27:43Z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a629ca74-e892-47f3-b1e0-9f3e91c7dbd9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