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W:\Finance\Actuarial\Pricing\04 - Specialty\08 - Modernisation\US A&amp;E &amp; Specialty Professions\02. Parameter Tables\"/>
    </mc:Choice>
  </mc:AlternateContent>
  <xr:revisionPtr revIDLastSave="0" documentId="13_ncr:1_{D9D982D8-2746-4113-A6DB-5C75FACEA494}" xr6:coauthVersionLast="47" xr6:coauthVersionMax="47" xr10:uidLastSave="{00000000-0000-0000-0000-000000000000}"/>
  <bookViews>
    <workbookView xWindow="-120" yWindow="-120" windowWidth="29040" windowHeight="15840" firstSheet="12" activeTab="16" xr2:uid="{3366D1EB-5BCD-464F-9179-8DD2445D9711}"/>
  </bookViews>
  <sheets>
    <sheet name="lst_yn" sheetId="1" r:id="rId1"/>
    <sheet name="lst_claimstatus" sheetId="2" r:id="rId2"/>
    <sheet name="lst_dealstatus" sheetId="3" r:id="rId3"/>
    <sheet name="lst_underwriters" sheetId="4" r:id="rId4"/>
    <sheet name="tbl_ccy" sheetId="5" r:id="rId5"/>
    <sheet name="tbl_ilfs" sheetId="6" r:id="rId6"/>
    <sheet name="tbl_reinstatements" sheetId="7" r:id="rId7"/>
    <sheet name="tbl_primarymins" sheetId="8" r:id="rId8"/>
    <sheet name="tbl_engineeringmins" sheetId="9" r:id="rId9"/>
    <sheet name="tbl_contractorsmins" sheetId="10" r:id="rId10"/>
    <sheet name="tbl_exposureprop" sheetId="11" r:id="rId11"/>
    <sheet name="tbl_yrsinbusiness" sheetId="12" r:id="rId12"/>
    <sheet name="tbl_erp" sheetId="13" r:id="rId13"/>
    <sheet name="tbl_retro" sheetId="14" r:id="rId14"/>
    <sheet name="tbl_quotedguidelineded" sheetId="15" r:id="rId15"/>
    <sheet name="tbl_riskgroup" sheetId="18" r:id="rId16"/>
    <sheet name="tbl_state" sheetId="19" r:id="rId17"/>
    <sheet name="tbl_baserate" sheetId="20" r:id="rId18"/>
    <sheet name="tbl_excessilf" sheetId="21" r:id="rId19"/>
    <sheet name="lst_excessilfs" sheetId="22" r:id="rId20"/>
    <sheet name="tbl_sizeadjust" sheetId="23" r:id="rId21"/>
  </sheets>
  <definedNames>
    <definedName name="_xlnm._FilterDatabase" localSheetId="3" hidden="1">lst_underwriters!$A$1:$A$8</definedName>
    <definedName name="_xlnm._FilterDatabase" localSheetId="17" hidden="1">tbl_baserate!$S$3:$S$28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2" l="1"/>
  <c r="A5" i="22"/>
  <c r="A6" i="22"/>
  <c r="A3" i="22"/>
  <c r="B3" i="21"/>
  <c r="B4" i="21"/>
  <c r="B5" i="21"/>
  <c r="B6" i="21"/>
  <c r="B2" i="21"/>
  <c r="C7" i="21"/>
  <c r="C12" i="21" s="1"/>
  <c r="C17" i="21" s="1"/>
  <c r="C22" i="21" s="1"/>
  <c r="C3" i="21"/>
  <c r="C4" i="21" s="1"/>
  <c r="C8" i="21" l="1"/>
  <c r="C13" i="21" s="1"/>
  <c r="C18" i="21" s="1"/>
  <c r="C23" i="21" s="1"/>
  <c r="C5" i="21"/>
  <c r="C9" i="21"/>
  <c r="C14" i="21" s="1"/>
  <c r="C19" i="21" s="1"/>
  <c r="C24" i="21" s="1"/>
  <c r="C6" i="21" l="1"/>
  <c r="C11" i="21" s="1"/>
  <c r="C16" i="21" s="1"/>
  <c r="C21" i="21" s="1"/>
  <c r="C26" i="21" s="1"/>
  <c r="C10" i="21"/>
  <c r="C15" i="21" s="1"/>
  <c r="C20" i="21" s="1"/>
  <c r="C25" i="21" s="1"/>
</calcChain>
</file>

<file path=xl/sharedStrings.xml><?xml version="1.0" encoding="utf-8"?>
<sst xmlns="http://schemas.openxmlformats.org/spreadsheetml/2006/main" count="605" uniqueCount="434">
  <si>
    <t>Construction with In House Design</t>
  </si>
  <si>
    <t>Design Only – No Construction</t>
  </si>
  <si>
    <t>Construction Only – No Design</t>
  </si>
  <si>
    <t>At Risk Construction Management</t>
  </si>
  <si>
    <t>Agency Construction Management</t>
  </si>
  <si>
    <t>Construction with Sub Contracted Design</t>
  </si>
  <si>
    <t>Other (specify)</t>
  </si>
  <si>
    <t>Other 1 (Specify)</t>
  </si>
  <si>
    <t>Other 2 (Specify)</t>
  </si>
  <si>
    <t>Other 3 (Specify)</t>
  </si>
  <si>
    <t>Other 4 (Specify)</t>
  </si>
  <si>
    <t>Other 5 (Specify)</t>
  </si>
  <si>
    <t>Limit</t>
  </si>
  <si>
    <t>Attachment</t>
  </si>
  <si>
    <t>Excess Limit</t>
  </si>
  <si>
    <t>Ross Simmonds</t>
  </si>
  <si>
    <t>CAD</t>
  </si>
  <si>
    <t>USD</t>
  </si>
  <si>
    <t>EUR</t>
  </si>
  <si>
    <t>GBP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</si>
  <si>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</si>
  <si>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</si>
  <si>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</si>
  <si>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</si>
  <si>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</si>
  <si>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</si>
  <si>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</si>
  <si>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</si>
  <si>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</si>
  <si>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</si>
  <si>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</si>
  <si>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</si>
  <si>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</si>
  <si>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</si>
  <si>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</si>
  <si>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</si>
  <si>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</si>
  <si>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</si>
  <si>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</si>
  <si>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</si>
  <si>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</si>
  <si>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</si>
  <si>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</si>
  <si>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BYN</t>
  </si>
  <si>
    <t>BZD</t>
  </si>
  <si>
    <t>CDF</t>
  </si>
  <si>
    <t>CHF</t>
  </si>
  <si>
    <t>CLP</t>
  </si>
  <si>
    <t>CNY</t>
  </si>
  <si>
    <t>COP</t>
  </si>
  <si>
    <t>CRC</t>
  </si>
  <si>
    <t>CUC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</si>
  <si>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</si>
  <si>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</si>
  <si>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</si>
  <si>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</si>
  <si>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</si>
  <si>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</si>
  <si>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</si>
  <si>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</si>
  <si>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</si>
  <si>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</si>
  <si>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FJD</t>
  </si>
  <si>
    <t>FKP</t>
  </si>
  <si>
    <t>GEL</t>
  </si>
  <si>
    <t>GGP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</si>
  <si>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</si>
  <si>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</si>
  <si>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</si>
  <si>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</si>
  <si>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</si>
  <si>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</si>
  <si>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</si>
  <si>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</si>
  <si>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</si>
  <si>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</si>
  <si>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</si>
  <si>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</si>
  <si>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</si>
  <si>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IMP</t>
  </si>
  <si>
    <t>INR</t>
  </si>
  <si>
    <t>IQD</t>
  </si>
  <si>
    <t>IRR</t>
  </si>
  <si>
    <t>ISK</t>
  </si>
  <si>
    <t>JEP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</si>
  <si>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</si>
  <si>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</si>
  <si>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</si>
  <si>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</si>
  <si>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</si>
  <si>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</si>
  <si>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</si>
  <si>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</si>
  <si>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</si>
  <si>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</si>
  <si>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</si>
  <si>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</si>
  <si>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</si>
  <si>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</si>
  <si>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</si>
  <si>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</si>
  <si>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</si>
  <si>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</si>
  <si>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</si>
  <si>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</si>
  <si>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</si>
  <si>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</si>
  <si>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</si>
  <si>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</si>
  <si>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</si>
  <si>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MRO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</si>
  <si>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</si>
  <si>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</si>
  <si>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</si>
  <si>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</si>
  <si>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</si>
  <si>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</si>
  <si>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</si>
  <si>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</si>
  <si>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</si>
  <si>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</si>
  <si>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</si>
  <si>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</si>
  <si>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</si>
  <si>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</si>
  <si>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</si>
  <si>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</si>
  <si>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</si>
  <si>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</si>
  <si>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</si>
  <si>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</si>
  <si>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</si>
  <si>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</si>
  <si>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</si>
  <si>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</si>
  <si>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</si>
  <si>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</si>
  <si>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</si>
  <si>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</si>
  <si>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</si>
  <si>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</si>
  <si>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</si>
  <si>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</si>
  <si>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SLL</t>
  </si>
  <si>
    <t>SOS</t>
  </si>
  <si>
    <t>SPL</t>
  </si>
  <si>
    <t>SRD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</si>
  <si>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</si>
  <si>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</si>
  <si>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</si>
  <si>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</si>
  <si>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</si>
  <si>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</si>
  <si>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</si>
  <si>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</si>
  <si>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</si>
  <si>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</si>
  <si>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</si>
  <si>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TVD</t>
  </si>
  <si>
    <t>TWD</t>
  </si>
  <si>
    <t>TZS</t>
  </si>
  <si>
    <t>UAH</t>
  </si>
  <si>
    <t>UGX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</si>
  <si>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</si>
  <si>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</si>
  <si>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</si>
  <si>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</si>
  <si>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</si>
  <si>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</si>
  <si>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</si>
  <si>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</si>
  <si>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</si>
  <si>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XCD</t>
  </si>
  <si>
    <t>XDR</t>
  </si>
  <si>
    <t>XOF</t>
  </si>
  <si>
    <t>XPD</t>
  </si>
  <si>
    <t>XPF</t>
  </si>
  <si>
    <t>XPT</t>
  </si>
  <si>
    <t>YER</t>
  </si>
  <si>
    <t>ZAR</t>
  </si>
  <si>
    <t>ZMW</t>
  </si>
  <si>
    <t>ZWD</t>
  </si>
  <si>
    <t>Alix Borley</t>
  </si>
  <si>
    <t>Jamie Rogers</t>
  </si>
  <si>
    <t>Jake Burke</t>
  </si>
  <si>
    <t>Harry Rowe</t>
  </si>
  <si>
    <t>Alastair Ackroyd</t>
  </si>
  <si>
    <t>Tom Pexton</t>
  </si>
  <si>
    <t>YesNo</t>
  </si>
  <si>
    <t>Yes</t>
  </si>
  <si>
    <t>No</t>
  </si>
  <si>
    <t>ClaimStatus</t>
  </si>
  <si>
    <t>CLOSED</t>
  </si>
  <si>
    <t>OPEN</t>
  </si>
  <si>
    <t>DealStatus</t>
  </si>
  <si>
    <t>Submission</t>
  </si>
  <si>
    <t>Quoted</t>
  </si>
  <si>
    <t>Bound</t>
  </si>
  <si>
    <t>Declined</t>
  </si>
  <si>
    <t>Underwriters</t>
  </si>
  <si>
    <t>Currency code</t>
  </si>
  <si>
    <t>Units Per USD</t>
  </si>
  <si>
    <t>Light</t>
  </si>
  <si>
    <t>Heavy</t>
  </si>
  <si>
    <t>Number of Reinstatement</t>
  </si>
  <si>
    <t>Factor</t>
  </si>
  <si>
    <t>A&amp;E</t>
  </si>
  <si>
    <t>DBC</t>
  </si>
  <si>
    <t>Regret</t>
  </si>
  <si>
    <t>Discipline</t>
  </si>
  <si>
    <t>Minimum Premium $1m</t>
  </si>
  <si>
    <t>Aerospace</t>
  </si>
  <si>
    <t>Architect (Residential)</t>
  </si>
  <si>
    <t>Aviation</t>
  </si>
  <si>
    <t>Chemical</t>
  </si>
  <si>
    <t>Civil Engineer</t>
  </si>
  <si>
    <t>Civil Engineer (Bridges &amp; Roads)</t>
  </si>
  <si>
    <t>Fire Protection</t>
  </si>
  <si>
    <t>Geotechnical</t>
  </si>
  <si>
    <t>Mechanical Engineering</t>
  </si>
  <si>
    <t>Mining</t>
  </si>
  <si>
    <t>Nuclear</t>
  </si>
  <si>
    <t>Oil &amp; Gas</t>
  </si>
  <si>
    <t>Process</t>
  </si>
  <si>
    <t>Structural (Steel Fabricators / Stairs etc)</t>
  </si>
  <si>
    <t>Structural (Residential and Institutional)</t>
  </si>
  <si>
    <t>Structural Engineer (Non resi &amp; Institutional)</t>
  </si>
  <si>
    <t>Architect (Commercial / Other)</t>
  </si>
  <si>
    <t>Construction Manager @Risk</t>
  </si>
  <si>
    <t>Construction Manager Agency</t>
  </si>
  <si>
    <t>Electrical Engineering</t>
  </si>
  <si>
    <t>Environmental Consultant</t>
  </si>
  <si>
    <t>Environmental Labs</t>
  </si>
  <si>
    <t>Forensic Engineer</t>
  </si>
  <si>
    <t>Non Destructive Testing</t>
  </si>
  <si>
    <t>HVAC</t>
  </si>
  <si>
    <t>Interior Designer</t>
  </si>
  <si>
    <t>Landscape Architecture</t>
  </si>
  <si>
    <t>Mechanical/Electrical</t>
  </si>
  <si>
    <t>Surveyor</t>
  </si>
  <si>
    <t>Surveyor (Residential)</t>
  </si>
  <si>
    <t>Drafting</t>
  </si>
  <si>
    <t>LEED Consulting</t>
  </si>
  <si>
    <t>Electrical Contractor</t>
  </si>
  <si>
    <t>Mechanical Contractor</t>
  </si>
  <si>
    <t>Landscape Contractor</t>
  </si>
  <si>
    <t>Plumbing Contractor</t>
  </si>
  <si>
    <t>Carpenter</t>
  </si>
  <si>
    <t>Non residential Renovation Contractor</t>
  </si>
  <si>
    <t>Painting Contractor</t>
  </si>
  <si>
    <t>HVAC Contractor</t>
  </si>
  <si>
    <t>General Contractor (Commercial)</t>
  </si>
  <si>
    <t>Steel Contractor</t>
  </si>
  <si>
    <t>Demolition Contractor</t>
  </si>
  <si>
    <t>Masonry Contractor</t>
  </si>
  <si>
    <t>Environmental Contractor</t>
  </si>
  <si>
    <t>Asbestos / Lead Contractor</t>
  </si>
  <si>
    <t>Fire Protection Contractor</t>
  </si>
  <si>
    <t xml:space="preserve">Telecommunications Contractor </t>
  </si>
  <si>
    <t>Renovation Contractor (Residential)</t>
  </si>
  <si>
    <t>General Contractor (Residential)</t>
  </si>
  <si>
    <t>Concrete Contractor</t>
  </si>
  <si>
    <t>Foundation &amp; Excavation Contractor</t>
  </si>
  <si>
    <t>Roofing Contractor</t>
  </si>
  <si>
    <t>Building Enveloping Contractor</t>
  </si>
  <si>
    <t>Utility Contractor</t>
  </si>
  <si>
    <t>O&amp;G Contractor</t>
  </si>
  <si>
    <t xml:space="preserve">Glazing Contractor </t>
  </si>
  <si>
    <t>Proportion</t>
  </si>
  <si>
    <t>Construction Values</t>
  </si>
  <si>
    <t>Professional Fees</t>
  </si>
  <si>
    <t>Years in Business</t>
  </si>
  <si>
    <t>Extended Reporting Period</t>
  </si>
  <si>
    <t>None</t>
  </si>
  <si>
    <t>12 months</t>
  </si>
  <si>
    <t>24 months</t>
  </si>
  <si>
    <t>36 months</t>
  </si>
  <si>
    <t>Retro</t>
  </si>
  <si>
    <t>Lower Ratio</t>
  </si>
  <si>
    <t>Upper Ratio</t>
  </si>
  <si>
    <t>Lower Ratio Factor</t>
  </si>
  <si>
    <t>Upper Ratio Factor</t>
  </si>
  <si>
    <t>Risk Group</t>
  </si>
  <si>
    <t>Low</t>
  </si>
  <si>
    <t>Medium</t>
  </si>
  <si>
    <t>High</t>
  </si>
  <si>
    <t>State</t>
  </si>
  <si>
    <t>State Abbrev</t>
  </si>
  <si>
    <t>Default Factor</t>
  </si>
  <si>
    <t>Gross Billings Factor</t>
  </si>
  <si>
    <t>Selected Factor</t>
  </si>
  <si>
    <t>Claims Heat Map Factor</t>
  </si>
  <si>
    <t>Residential Factor</t>
  </si>
  <si>
    <t>Canada</t>
  </si>
  <si>
    <t/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</si>
  <si>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</si>
  <si>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</si>
  <si>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</si>
  <si>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</si>
  <si>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</si>
  <si>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</si>
  <si>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</si>
  <si>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</si>
  <si>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 -Territory 1</t>
  </si>
  <si>
    <t>California -Territory 2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</si>
  <si>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</si>
  <si>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</si>
  <si>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</si>
  <si>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</si>
  <si>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</si>
  <si>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</si>
  <si>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</si>
  <si>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</si>
  <si>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</si>
  <si>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</si>
  <si>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</si>
  <si>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</si>
  <si>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</si>
  <si>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</si>
  <si>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</si>
  <si>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</si>
  <si>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</si>
  <si>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</si>
  <si>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</si>
  <si>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</si>
  <si>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</si>
  <si>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</si>
  <si>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</si>
  <si>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</si>
  <si>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</si>
  <si>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</si>
  <si>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</si>
  <si>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</si>
  <si>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</si>
  <si>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</si>
  <si>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</si>
  <si>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</si>
  <si>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</si>
  <si>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</si>
  <si>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</si>
  <si>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</si>
  <si>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</si>
  <si>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</si>
  <si>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</si>
  <si>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</si>
  <si>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</si>
  <si>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</si>
  <si>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</si>
  <si>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</si>
  <si>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</si>
  <si>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</si>
  <si>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</si>
  <si>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</si>
  <si>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</si>
  <si>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</si>
  <si>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</si>
  <si>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</si>
  <si>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</si>
  <si>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</si>
  <si>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 5 Boroughs</t>
  </si>
  <si>
    <t>NY</t>
  </si>
  <si>
    <t>New York Other than 5 Boroughs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</si>
  <si>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</si>
  <si>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</si>
  <si>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</si>
  <si>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</si>
  <si>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</si>
  <si>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</si>
  <si>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</si>
  <si>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</si>
  <si>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</si>
  <si>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</si>
  <si>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</si>
  <si>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</si>
  <si>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</si>
  <si>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</si>
  <si>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</si>
  <si>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</si>
  <si>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</si>
  <si>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</si>
  <si>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</si>
  <si>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</si>
  <si>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</si>
  <si>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</si>
  <si>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</si>
  <si>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</si>
  <si>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</si>
  <si>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</si>
  <si>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</si>
  <si>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</si>
  <si>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</si>
  <si>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</si>
  <si>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</si>
  <si>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</si>
  <si>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</si>
  <si>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</si>
  <si>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</si>
  <si>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</si>
  <si>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Engineering Discipline</t>
  </si>
  <si>
    <t>Contractor Discipline</t>
  </si>
  <si>
    <t>Selected Base Rate</t>
  </si>
  <si>
    <t>Blank</t>
  </si>
  <si>
    <t>LimitandAttachment</t>
  </si>
  <si>
    <t>10000001000000</t>
  </si>
  <si>
    <t>10000002000000</t>
  </si>
  <si>
    <t>10000003000000</t>
  </si>
  <si>
    <t>10000004000000</t>
  </si>
  <si>
    <t>10000005000000</t>
  </si>
  <si>
    <t>20000001000000</t>
  </si>
  <si>
    <t>20000002000000</t>
  </si>
  <si>
    <t>20000003000000</t>
  </si>
  <si>
    <t>20000004000000</t>
  </si>
  <si>
    <t>20000005000000</t>
  </si>
  <si>
    <t>30000001000000</t>
  </si>
  <si>
    <t>30000002000000</t>
  </si>
  <si>
    <t>30000003000000</t>
  </si>
  <si>
    <t>30000004000000</t>
  </si>
  <si>
    <t>30000005000000</t>
  </si>
  <si>
    <t>40000001000000</t>
  </si>
  <si>
    <t>40000002000000</t>
  </si>
  <si>
    <t>40000003000000</t>
  </si>
  <si>
    <t>40000004000000</t>
  </si>
  <si>
    <t>40000005000000</t>
  </si>
  <si>
    <t>50000001000000</t>
  </si>
  <si>
    <t>50000002000000</t>
  </si>
  <si>
    <t>50000003000000</t>
  </si>
  <si>
    <t>50000004000000</t>
  </si>
  <si>
    <t>50000005000000</t>
  </si>
  <si>
    <t>Rateable Revenue</t>
  </si>
  <si>
    <t>Size discount</t>
  </si>
  <si>
    <t>BUSA A&amp;E</t>
  </si>
  <si>
    <t>Minimum Retention $1m</t>
  </si>
  <si>
    <t>CA1</t>
  </si>
  <si>
    <t>CA2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</si>
</sst>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52A4-7E23-40B7-B7AA-3245C8F91E24}">
  <dimension ref="A1:A3"/>
  <sheetViews>
    <sheetView workbookViewId="0">
      <selection activeCell="E40" sqref="E40"/>
    </sheetView>
  </sheetViews>
  <sheetFormatPr defaultRowHeight="15" x14ac:dyDescent="0.25"/>
  <sheetData>
    <row r="1" spans="1:1" x14ac:dyDescent="0.25">
      <c r="A1" t="s">
        <v>188</v>
      </c>
    </row>
    <row r="2" spans="1:1" x14ac:dyDescent="0.25">
      <c r="A2" t="s">
        <v>189</v>
      </c>
    </row>
    <row r="3" spans="1:1" x14ac:dyDescent="0.25">
      <c r="A3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87C1-7484-4928-B72C-9CF171CAEEBA}">
  <dimension ref="A1:A3"/>
  <sheetViews>
    <sheetView workbookViewId="0"/>
  </sheetViews>
  <sheetFormatPr defaultRowHeight="15" x14ac:dyDescent="0.25"/>
  <sheetData>
    <row r="1" spans="1:1" x14ac:dyDescent="0.25">
      <c r="A1" t="s">
        <v>191</v>
      </c>
    </row>
    <row r="2" spans="1:1" x14ac:dyDescent="0.25">
      <c r="A2" t="s">
        <v>192</v>
      </c>
    </row>
    <row r="3" spans="1:1" x14ac:dyDescent="0.25">
      <c r="A3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228E-1159-4B14-8239-0ECE46DB865C}">
  <dimension ref="A1:A5"/>
  <sheetViews>
    <sheetView workbookViewId="0"/>
  </sheetViews>
  <sheetFormatPr defaultRowHeight="15" x14ac:dyDescent="0.25"/>
  <sheetData>
    <row r="1" spans="1:1" x14ac:dyDescent="0.25">
      <c r="A1" t="s">
        <v>194</v>
      </c>
    </row>
    <row r="2" spans="1:1" x14ac:dyDescent="0.25">
      <c r="A2" t="s">
        <v>195</v>
      </c>
    </row>
    <row r="3" spans="1:1" x14ac:dyDescent="0.25">
      <c r="A3" t="s">
        <v>196</v>
      </c>
    </row>
    <row r="4" spans="1:1" x14ac:dyDescent="0.25">
      <c r="A4" t="s">
        <v>197</v>
      </c>
    </row>
    <row r="5" spans="1:1" x14ac:dyDescent="0.25">
      <c r="A5" t="s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9FB22-234D-45A1-9C18-8D9EC509FC04}">
  <dimension ref="A1:A8"/>
  <sheetViews>
    <sheetView workbookViewId="0">
      <selection activeCell="D8" sqref="D8:E8"/>
    </sheetView>
  </sheetViews>
  <sheetFormatPr defaultRowHeight="15" x14ac:dyDescent="0.25"/>
  <cols>
    <col min="1" max="1" width="15.28515625" bestFit="1" customWidth="1"/>
  </cols>
  <sheetData>
    <row r="1" spans="1:1" x14ac:dyDescent="0.25">
      <c r="A1" t="s">
        <v>199</v>
      </c>
    </row>
    <row r="2" spans="1:1" x14ac:dyDescent="0.25">
      <c r="A2" t="s">
        <v>186</v>
      </c>
    </row>
    <row r="3" spans="1:1" x14ac:dyDescent="0.25">
      <c r="A3" t="s">
        <v>182</v>
      </c>
    </row>
    <row r="4" spans="1:1" x14ac:dyDescent="0.25">
      <c r="A4" t="s">
        <v>185</v>
      </c>
    </row>
    <row r="5" spans="1:1" x14ac:dyDescent="0.25">
      <c r="A5" t="s">
        <v>184</v>
      </c>
    </row>
    <row r="6" spans="1:1" x14ac:dyDescent="0.25">
      <c r="A6" t="s">
        <v>183</v>
      </c>
    </row>
    <row r="7" spans="1:1" x14ac:dyDescent="0.25">
      <c r="A7" t="s">
        <v>15</v>
      </c>
    </row>
    <row r="8" spans="1:1" x14ac:dyDescent="0.25">
      <c r="A8" t="s">
        <v>187</v>
      </c>
    </row>
  </sheetData>
  <autoFilter ref="A1:A9" xr:uid="{3579FB22-234D-45A1-9C18-8D9EC509FC0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B958-9278-4107-BBE1-D2C68EDD7D77}">
  <dimension ref="A1:B167"/>
  <sheetViews>
    <sheetView workbookViewId="0"/>
  </sheetViews>
  <sheetFormatPr defaultRowHeight="15" x14ac:dyDescent="0.25"/>
  <cols>
    <col min="1" max="1" width="13.5703125" bestFit="1" customWidth="1"/>
  </cols>
  <sheetData>
    <row r="1" spans="1:2" x14ac:dyDescent="0.25">
      <c r="A1" t="s">
        <v>200</v>
      </c>
      <c r="B1" t="s">
        <v>201</v>
      </c>
    </row>
    <row r="2" spans="1:2" x14ac:dyDescent="0.25">
      <c r="A2" t="s">
        <v>17</v>
      </c>
      <c r="B2">
        <v>1</v>
      </c>
    </row>
    <row r="3" spans="1:2" x14ac:dyDescent="0.25">
      <c r="A3" t="s">
        <v>16</v>
      </c>
      <c r="B3">
        <v>1.3224050000000001</v>
      </c>
    </row>
    <row r="4" spans="1:2" x14ac:dyDescent="0.25">
      <c r="A4" t="s">
        <v>18</v>
      </c>
      <c r="B4">
        <v>0.90452100000000002</v>
      </c>
    </row>
    <row r="5" spans="1:2" x14ac:dyDescent="0.25">
      <c r="A5" t="s">
        <v>19</v>
      </c>
      <c r="B5">
        <v>0.77688000000000001</v>
      </c>
    </row>
    <row r="6" spans="1:2" x14ac:dyDescent="0.25">
      <c r="A6" t="s">
        <v>20</v>
      </c>
      <c r="B6">
        <v>3.67239</v>
      </c>
    </row>
    <row r="7" spans="1:2" x14ac:dyDescent="0.25">
      <c r="A7" t="s">
        <v>21</v>
      </c>
      <c r="B7">
        <v>85.175730000000001</v>
      </c>
    </row>
    <row r="8" spans="1:2" x14ac:dyDescent="0.25">
      <c r="A8" t="s">
        <v>22</v>
      </c>
      <c r="B8">
        <v>92.596177999999995</v>
      </c>
    </row>
    <row r="9" spans="1:2" x14ac:dyDescent="0.25">
      <c r="A9" t="s">
        <v>23</v>
      </c>
      <c r="B9">
        <v>369.13657599999999</v>
      </c>
    </row>
    <row r="10" spans="1:2" x14ac:dyDescent="0.25">
      <c r="A10" t="s">
        <v>24</v>
      </c>
      <c r="B10">
        <v>1.790009</v>
      </c>
    </row>
    <row r="11" spans="1:2" x14ac:dyDescent="0.25">
      <c r="A11" t="s">
        <v>25</v>
      </c>
      <c r="B11">
        <v>824.37002800000005</v>
      </c>
    </row>
    <row r="12" spans="1:2" x14ac:dyDescent="0.25">
      <c r="A12" t="s">
        <v>26</v>
      </c>
      <c r="B12">
        <v>263.86831899999999</v>
      </c>
    </row>
    <row r="13" spans="1:2" x14ac:dyDescent="0.25">
      <c r="A13" t="s">
        <v>27</v>
      </c>
      <c r="B13">
        <v>1.484618</v>
      </c>
    </row>
    <row r="14" spans="1:2" x14ac:dyDescent="0.25">
      <c r="A14" t="s">
        <v>28</v>
      </c>
      <c r="B14">
        <v>1.7917179999999999</v>
      </c>
    </row>
    <row r="15" spans="1:2" x14ac:dyDescent="0.25">
      <c r="A15" t="s">
        <v>29</v>
      </c>
      <c r="B15">
        <v>1.7000470000000001</v>
      </c>
    </row>
    <row r="16" spans="1:2" x14ac:dyDescent="0.25">
      <c r="A16" t="s">
        <v>30</v>
      </c>
      <c r="B16">
        <v>1.7691110000000001</v>
      </c>
    </row>
    <row r="17" spans="1:2" x14ac:dyDescent="0.25">
      <c r="A17" t="s">
        <v>31</v>
      </c>
      <c r="B17">
        <v>2</v>
      </c>
    </row>
    <row r="18" spans="1:2" x14ac:dyDescent="0.25">
      <c r="A18" t="s">
        <v>32</v>
      </c>
      <c r="B18">
        <v>107.343226</v>
      </c>
    </row>
    <row r="19" spans="1:2" x14ac:dyDescent="0.25">
      <c r="A19" t="s">
        <v>33</v>
      </c>
      <c r="B19">
        <v>1.7691110000000001</v>
      </c>
    </row>
    <row r="20" spans="1:2" x14ac:dyDescent="0.25">
      <c r="A20" t="s">
        <v>34</v>
      </c>
      <c r="B20">
        <v>0.37453399999999998</v>
      </c>
    </row>
    <row r="21" spans="1:2" x14ac:dyDescent="0.25">
      <c r="A21" t="s">
        <v>35</v>
      </c>
      <c r="B21">
        <v>2802.2141080000001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1.336311</v>
      </c>
    </row>
    <row r="24" spans="1:2" x14ac:dyDescent="0.25">
      <c r="A24" t="s">
        <v>38</v>
      </c>
      <c r="B24">
        <v>6.7239750000000003</v>
      </c>
    </row>
    <row r="25" spans="1:2" x14ac:dyDescent="0.25">
      <c r="A25" t="s">
        <v>39</v>
      </c>
      <c r="B25">
        <v>4.8117619999999999</v>
      </c>
    </row>
    <row r="26" spans="1:2" x14ac:dyDescent="0.25">
      <c r="A26" t="s">
        <v>40</v>
      </c>
      <c r="B26">
        <v>1</v>
      </c>
    </row>
    <row r="27" spans="1:2" x14ac:dyDescent="0.25">
      <c r="A27" t="s">
        <v>41</v>
      </c>
      <c r="B27">
        <v>82.166408000000004</v>
      </c>
    </row>
    <row r="28" spans="1:2" x14ac:dyDescent="0.25">
      <c r="A28" t="s">
        <v>42</v>
      </c>
      <c r="B28">
        <v>13.145587000000001</v>
      </c>
    </row>
    <row r="29" spans="1:2" x14ac:dyDescent="0.25">
      <c r="A29" t="s">
        <v>43</v>
      </c>
      <c r="B29">
        <v>1</v>
      </c>
    </row>
    <row r="30" spans="1:2" x14ac:dyDescent="0.25">
      <c r="A30" t="s">
        <v>44</v>
      </c>
      <c r="B30">
        <v>1.968847</v>
      </c>
    </row>
    <row r="31" spans="1:2" x14ac:dyDescent="0.25">
      <c r="A31" t="s">
        <v>45</v>
      </c>
      <c r="B31">
        <v>1</v>
      </c>
    </row>
    <row r="32" spans="1:2" x14ac:dyDescent="0.25">
      <c r="A32" t="s">
        <v>46</v>
      </c>
      <c r="B32">
        <v>0.87647600000000003</v>
      </c>
    </row>
    <row r="33" spans="1:2" x14ac:dyDescent="0.25">
      <c r="A33" t="s">
        <v>47</v>
      </c>
      <c r="B33">
        <v>811.11925099999996</v>
      </c>
    </row>
    <row r="34" spans="1:2" x14ac:dyDescent="0.25">
      <c r="A34" t="s">
        <v>48</v>
      </c>
      <c r="B34">
        <v>7.1977159999999998</v>
      </c>
    </row>
    <row r="35" spans="1:2" x14ac:dyDescent="0.25">
      <c r="A35" t="s">
        <v>49</v>
      </c>
      <c r="B35">
        <v>4081.6076760000001</v>
      </c>
    </row>
    <row r="36" spans="1:2" x14ac:dyDescent="0.25">
      <c r="A36" t="s">
        <v>50</v>
      </c>
      <c r="B36">
        <v>529.21721600000001</v>
      </c>
    </row>
    <row r="37" spans="1:2" x14ac:dyDescent="0.25">
      <c r="A37" t="s">
        <v>51</v>
      </c>
      <c r="B37">
        <v>1</v>
      </c>
    </row>
    <row r="38" spans="1:2" x14ac:dyDescent="0.25">
      <c r="A38" t="s">
        <v>52</v>
      </c>
      <c r="B38">
        <v>0.99793299999999996</v>
      </c>
    </row>
    <row r="39" spans="1:2" x14ac:dyDescent="0.25">
      <c r="A39" t="s">
        <v>53</v>
      </c>
      <c r="B39">
        <v>99.740133999999998</v>
      </c>
    </row>
    <row r="40" spans="1:2" x14ac:dyDescent="0.25">
      <c r="A40" t="s">
        <v>54</v>
      </c>
      <c r="B40">
        <v>21.575279999999999</v>
      </c>
    </row>
    <row r="41" spans="1:2" x14ac:dyDescent="0.25">
      <c r="A41" t="s">
        <v>55</v>
      </c>
      <c r="B41">
        <v>177.71208799999999</v>
      </c>
    </row>
    <row r="42" spans="1:2" x14ac:dyDescent="0.25">
      <c r="A42" t="s">
        <v>56</v>
      </c>
      <c r="B42">
        <v>6.7381140000000004</v>
      </c>
    </row>
    <row r="43" spans="1:2" x14ac:dyDescent="0.25">
      <c r="A43" t="s">
        <v>57</v>
      </c>
      <c r="B43">
        <v>55.281464</v>
      </c>
    </row>
    <row r="44" spans="1:2" x14ac:dyDescent="0.25">
      <c r="A44" t="s">
        <v>58</v>
      </c>
      <c r="B44">
        <v>134.675186</v>
      </c>
    </row>
    <row r="45" spans="1:2" x14ac:dyDescent="0.25">
      <c r="A45" t="s">
        <v>59</v>
      </c>
      <c r="B45">
        <v>30.852160000000001</v>
      </c>
    </row>
    <row r="46" spans="1:2" x14ac:dyDescent="0.25">
      <c r="A46" t="s">
        <v>60</v>
      </c>
      <c r="B46">
        <v>1</v>
      </c>
    </row>
    <row r="47" spans="1:2" x14ac:dyDescent="0.25">
      <c r="A47" t="s">
        <v>61</v>
      </c>
      <c r="B47">
        <v>54.63541</v>
      </c>
    </row>
    <row r="48" spans="1:2" x14ac:dyDescent="0.25">
      <c r="A48" t="s">
        <v>62</v>
      </c>
      <c r="B48">
        <v>2.2046299999999999</v>
      </c>
    </row>
    <row r="49" spans="1:2" x14ac:dyDescent="0.25">
      <c r="A49" t="s">
        <v>63</v>
      </c>
      <c r="B49">
        <v>0.77688000000000001</v>
      </c>
    </row>
    <row r="50" spans="1:2" x14ac:dyDescent="0.25">
      <c r="A50" t="s">
        <v>64</v>
      </c>
      <c r="B50">
        <v>2.5601310000000002</v>
      </c>
    </row>
    <row r="51" spans="1:2" x14ac:dyDescent="0.25">
      <c r="A51" t="s">
        <v>65</v>
      </c>
      <c r="B51">
        <v>1</v>
      </c>
    </row>
    <row r="52" spans="1:2" x14ac:dyDescent="0.25">
      <c r="A52" t="s">
        <v>66</v>
      </c>
      <c r="B52">
        <v>11.298555</v>
      </c>
    </row>
    <row r="53" spans="1:2" x14ac:dyDescent="0.25">
      <c r="A53" t="s">
        <v>67</v>
      </c>
      <c r="B53">
        <v>0.77688000000000001</v>
      </c>
    </row>
    <row r="54" spans="1:2" x14ac:dyDescent="0.25">
      <c r="A54" t="s">
        <v>68</v>
      </c>
      <c r="B54">
        <v>59.334057999999999</v>
      </c>
    </row>
    <row r="55" spans="1:2" x14ac:dyDescent="0.25">
      <c r="A55" t="s">
        <v>69</v>
      </c>
      <c r="B55">
        <v>8529.6969389999995</v>
      </c>
    </row>
    <row r="56" spans="1:2" x14ac:dyDescent="0.25">
      <c r="A56" t="s">
        <v>70</v>
      </c>
      <c r="B56">
        <v>7.658328</v>
      </c>
    </row>
    <row r="57" spans="1:2" x14ac:dyDescent="0.25">
      <c r="A57" t="s">
        <v>71</v>
      </c>
      <c r="B57">
        <v>200.98873499999999</v>
      </c>
    </row>
    <row r="58" spans="1:2" x14ac:dyDescent="0.25">
      <c r="A58" t="s">
        <v>72</v>
      </c>
      <c r="B58">
        <v>7.8211620000000002</v>
      </c>
    </row>
    <row r="59" spans="1:2" x14ac:dyDescent="0.25">
      <c r="A59" t="s">
        <v>73</v>
      </c>
      <c r="B59">
        <v>24.326212000000002</v>
      </c>
    </row>
    <row r="60" spans="1:2" x14ac:dyDescent="0.25">
      <c r="A60" t="s">
        <v>74</v>
      </c>
      <c r="B60">
        <v>6.8153360000000003</v>
      </c>
    </row>
    <row r="61" spans="1:2" x14ac:dyDescent="0.25">
      <c r="A61" t="s">
        <v>75</v>
      </c>
      <c r="B61">
        <v>137.00769099999999</v>
      </c>
    </row>
    <row r="62" spans="1:2" x14ac:dyDescent="0.25">
      <c r="A62" t="s">
        <v>76</v>
      </c>
      <c r="B62">
        <v>341.59477900000002</v>
      </c>
    </row>
    <row r="63" spans="1:2" x14ac:dyDescent="0.25">
      <c r="A63" t="s">
        <v>77</v>
      </c>
      <c r="B63">
        <v>15040.70012</v>
      </c>
    </row>
    <row r="64" spans="1:2" x14ac:dyDescent="0.25">
      <c r="A64" t="s">
        <v>78</v>
      </c>
      <c r="B64">
        <v>3.6565409999999998</v>
      </c>
    </row>
    <row r="65" spans="1:2" x14ac:dyDescent="0.25">
      <c r="A65" t="s">
        <v>79</v>
      </c>
      <c r="B65">
        <v>1</v>
      </c>
    </row>
    <row r="66" spans="1:2" x14ac:dyDescent="0.25">
      <c r="A66" t="s">
        <v>80</v>
      </c>
      <c r="B66">
        <v>82.166408000000004</v>
      </c>
    </row>
    <row r="67" spans="1:2" x14ac:dyDescent="0.25">
      <c r="A67" t="s">
        <v>81</v>
      </c>
      <c r="B67">
        <v>1293.570541</v>
      </c>
    </row>
    <row r="68" spans="1:2" x14ac:dyDescent="0.25">
      <c r="A68" t="s">
        <v>82</v>
      </c>
      <c r="B68">
        <v>42014.381759999997</v>
      </c>
    </row>
    <row r="69" spans="1:2" x14ac:dyDescent="0.25">
      <c r="A69" t="s">
        <v>83</v>
      </c>
      <c r="B69">
        <v>132.82178400000001</v>
      </c>
    </row>
    <row r="70" spans="1:2" x14ac:dyDescent="0.25">
      <c r="A70" t="s">
        <v>84</v>
      </c>
      <c r="B70">
        <v>1</v>
      </c>
    </row>
    <row r="71" spans="1:2" x14ac:dyDescent="0.25">
      <c r="A71" t="s">
        <v>85</v>
      </c>
      <c r="B71">
        <v>152.68373199999999</v>
      </c>
    </row>
    <row r="72" spans="1:2" x14ac:dyDescent="0.25">
      <c r="A72" t="s">
        <v>86</v>
      </c>
      <c r="B72">
        <v>0.70898099999999997</v>
      </c>
    </row>
    <row r="73" spans="1:2" x14ac:dyDescent="0.25">
      <c r="A73" t="s">
        <v>87</v>
      </c>
      <c r="B73">
        <v>141.405764</v>
      </c>
    </row>
    <row r="74" spans="1:2" x14ac:dyDescent="0.25">
      <c r="A74" t="s">
        <v>88</v>
      </c>
      <c r="B74">
        <v>140.42829399999999</v>
      </c>
    </row>
    <row r="75" spans="1:2" x14ac:dyDescent="0.25">
      <c r="A75" t="s">
        <v>89</v>
      </c>
      <c r="B75">
        <v>87.699657999999999</v>
      </c>
    </row>
    <row r="76" spans="1:2" x14ac:dyDescent="0.25">
      <c r="A76" t="s">
        <v>90</v>
      </c>
      <c r="B76">
        <v>4070.1326909999998</v>
      </c>
    </row>
    <row r="77" spans="1:2" x14ac:dyDescent="0.25">
      <c r="A77" t="s">
        <v>91</v>
      </c>
      <c r="B77">
        <v>445.00924500000002</v>
      </c>
    </row>
    <row r="78" spans="1:2" x14ac:dyDescent="0.25">
      <c r="A78" t="s">
        <v>92</v>
      </c>
      <c r="B78">
        <v>1</v>
      </c>
    </row>
    <row r="79" spans="1:2" x14ac:dyDescent="0.25">
      <c r="A79" t="s">
        <v>93</v>
      </c>
      <c r="B79">
        <v>1287.1473739999999</v>
      </c>
    </row>
    <row r="80" spans="1:2" x14ac:dyDescent="0.25">
      <c r="A80" t="s">
        <v>94</v>
      </c>
      <c r="B80">
        <v>0.306168</v>
      </c>
    </row>
    <row r="81" spans="1:2" x14ac:dyDescent="0.25">
      <c r="A81" t="s">
        <v>95</v>
      </c>
      <c r="B81">
        <v>0.83335899999999996</v>
      </c>
    </row>
    <row r="82" spans="1:2" x14ac:dyDescent="0.25">
      <c r="A82" t="s">
        <v>96</v>
      </c>
      <c r="B82">
        <v>444.11894000000001</v>
      </c>
    </row>
    <row r="83" spans="1:2" x14ac:dyDescent="0.25">
      <c r="A83" t="s">
        <v>97</v>
      </c>
      <c r="B83">
        <v>18904.090820000001</v>
      </c>
    </row>
    <row r="84" spans="1:2" x14ac:dyDescent="0.25">
      <c r="A84" t="s">
        <v>98</v>
      </c>
      <c r="B84">
        <v>15000.17884</v>
      </c>
    </row>
    <row r="85" spans="1:2" x14ac:dyDescent="0.25">
      <c r="A85" t="s">
        <v>99</v>
      </c>
      <c r="B85">
        <v>316.12134900000001</v>
      </c>
    </row>
    <row r="86" spans="1:2" x14ac:dyDescent="0.25">
      <c r="A86" t="s">
        <v>100</v>
      </c>
      <c r="B86">
        <v>181.49432899999999</v>
      </c>
    </row>
    <row r="87" spans="1:2" x14ac:dyDescent="0.25">
      <c r="A87" t="s">
        <v>101</v>
      </c>
      <c r="B87">
        <v>18.328075999999999</v>
      </c>
    </row>
    <row r="88" spans="1:2" x14ac:dyDescent="0.25">
      <c r="A88" t="s">
        <v>102</v>
      </c>
      <c r="B88">
        <v>4.7504660000000003</v>
      </c>
    </row>
    <row r="89" spans="1:2" x14ac:dyDescent="0.25">
      <c r="A89" t="s">
        <v>103</v>
      </c>
      <c r="B89">
        <v>9.6510250000000006</v>
      </c>
    </row>
    <row r="90" spans="1:2" x14ac:dyDescent="0.25">
      <c r="A90" t="s">
        <v>104</v>
      </c>
      <c r="B90">
        <v>17.800497</v>
      </c>
    </row>
    <row r="91" spans="1:2" x14ac:dyDescent="0.25">
      <c r="A91" t="s">
        <v>105</v>
      </c>
      <c r="B91">
        <v>4471.696473</v>
      </c>
    </row>
    <row r="92" spans="1:2" x14ac:dyDescent="0.25">
      <c r="A92" t="s">
        <v>106</v>
      </c>
      <c r="B92">
        <v>55.228403</v>
      </c>
    </row>
    <row r="93" spans="1:2" x14ac:dyDescent="0.25">
      <c r="A93" t="s">
        <v>107</v>
      </c>
      <c r="B93">
        <v>2078.7634400000002</v>
      </c>
    </row>
    <row r="94" spans="1:2" x14ac:dyDescent="0.25">
      <c r="A94" t="s">
        <v>108</v>
      </c>
      <c r="B94">
        <v>2620.0312309999999</v>
      </c>
    </row>
    <row r="95" spans="1:2" x14ac:dyDescent="0.25">
      <c r="A95" t="s">
        <v>109</v>
      </c>
      <c r="B95">
        <v>8.0557800000000004</v>
      </c>
    </row>
    <row r="96" spans="1:2" x14ac:dyDescent="0.25">
      <c r="A96" t="s">
        <v>110</v>
      </c>
      <c r="B96">
        <v>354.69165600000002</v>
      </c>
    </row>
    <row r="97" spans="1:2" x14ac:dyDescent="0.25">
      <c r="A97" t="s">
        <v>111</v>
      </c>
      <c r="B97">
        <v>44.435130999999998</v>
      </c>
    </row>
    <row r="98" spans="1:2" x14ac:dyDescent="0.25">
      <c r="A98" t="s">
        <v>112</v>
      </c>
      <c r="B98">
        <v>15.262741</v>
      </c>
    </row>
    <row r="99" spans="1:2" x14ac:dyDescent="0.25">
      <c r="A99" t="s">
        <v>113</v>
      </c>
      <c r="B99">
        <v>1042.875311</v>
      </c>
    </row>
    <row r="100" spans="1:2" x14ac:dyDescent="0.25">
      <c r="A100" t="s">
        <v>114</v>
      </c>
      <c r="B100">
        <v>16.962088000000001</v>
      </c>
    </row>
    <row r="101" spans="1:2" x14ac:dyDescent="0.25">
      <c r="A101" t="s">
        <v>115</v>
      </c>
      <c r="B101">
        <v>4.6027810000000002</v>
      </c>
    </row>
    <row r="102" spans="1:2" x14ac:dyDescent="0.25">
      <c r="A102" t="s">
        <v>116</v>
      </c>
      <c r="B102">
        <v>63.200746000000002</v>
      </c>
    </row>
    <row r="103" spans="1:2" x14ac:dyDescent="0.25">
      <c r="A103" t="s">
        <v>117</v>
      </c>
      <c r="B103">
        <v>18.328075999999999</v>
      </c>
    </row>
    <row r="104" spans="1:2" x14ac:dyDescent="0.25">
      <c r="A104" t="s">
        <v>118</v>
      </c>
      <c r="B104">
        <v>776.08025199999997</v>
      </c>
    </row>
    <row r="105" spans="1:2" x14ac:dyDescent="0.25">
      <c r="A105" t="s">
        <v>119</v>
      </c>
      <c r="B105">
        <v>36.121271</v>
      </c>
    </row>
    <row r="106" spans="1:2" x14ac:dyDescent="0.25">
      <c r="A106" t="s">
        <v>120</v>
      </c>
      <c r="B106">
        <v>10.324037000000001</v>
      </c>
    </row>
    <row r="107" spans="1:2" x14ac:dyDescent="0.25">
      <c r="A107" t="s">
        <v>121</v>
      </c>
      <c r="B107">
        <v>129.827921</v>
      </c>
    </row>
    <row r="108" spans="1:2" x14ac:dyDescent="0.25">
      <c r="A108" t="s">
        <v>122</v>
      </c>
      <c r="B108">
        <v>1.6058110000000001</v>
      </c>
    </row>
    <row r="109" spans="1:2" x14ac:dyDescent="0.25">
      <c r="A109" t="s">
        <v>123</v>
      </c>
      <c r="B109">
        <v>0.38385599999999998</v>
      </c>
    </row>
    <row r="110" spans="1:2" x14ac:dyDescent="0.25">
      <c r="A110" t="s">
        <v>124</v>
      </c>
      <c r="B110">
        <v>1</v>
      </c>
    </row>
    <row r="111" spans="1:2" x14ac:dyDescent="0.25">
      <c r="A111" t="s">
        <v>125</v>
      </c>
      <c r="B111">
        <v>3.565957</v>
      </c>
    </row>
    <row r="112" spans="1:2" x14ac:dyDescent="0.25">
      <c r="A112" t="s">
        <v>126</v>
      </c>
      <c r="B112">
        <v>3.5043510000000002</v>
      </c>
    </row>
    <row r="113" spans="1:2" x14ac:dyDescent="0.25">
      <c r="A113" t="s">
        <v>127</v>
      </c>
      <c r="B113">
        <v>54.915630999999998</v>
      </c>
    </row>
    <row r="114" spans="1:2" x14ac:dyDescent="0.25">
      <c r="A114" t="s">
        <v>128</v>
      </c>
      <c r="B114">
        <v>280.72832499999998</v>
      </c>
    </row>
    <row r="115" spans="1:2" x14ac:dyDescent="0.25">
      <c r="A115" t="s">
        <v>129</v>
      </c>
      <c r="B115">
        <v>4.0216750000000001</v>
      </c>
    </row>
    <row r="116" spans="1:2" x14ac:dyDescent="0.25">
      <c r="A116" t="s">
        <v>130</v>
      </c>
      <c r="B116">
        <v>7147.5720940000001</v>
      </c>
    </row>
    <row r="117" spans="1:2" x14ac:dyDescent="0.25">
      <c r="A117" t="s">
        <v>131</v>
      </c>
      <c r="B117">
        <v>3.6166100000000001</v>
      </c>
    </row>
    <row r="118" spans="1:2" x14ac:dyDescent="0.25">
      <c r="A118" t="s">
        <v>132</v>
      </c>
      <c r="B118">
        <v>4.4672929999999997</v>
      </c>
    </row>
    <row r="119" spans="1:2" x14ac:dyDescent="0.25">
      <c r="A119" t="s">
        <v>133</v>
      </c>
      <c r="B119">
        <v>105.89760699999999</v>
      </c>
    </row>
    <row r="120" spans="1:2" x14ac:dyDescent="0.25">
      <c r="A120" t="s">
        <v>134</v>
      </c>
      <c r="B120">
        <v>90.350451000000007</v>
      </c>
    </row>
    <row r="121" spans="1:2" x14ac:dyDescent="0.25">
      <c r="A121" t="s">
        <v>135</v>
      </c>
      <c r="B121">
        <v>1154.7900090000001</v>
      </c>
    </row>
    <row r="122" spans="1:2" x14ac:dyDescent="0.25">
      <c r="A122" t="s">
        <v>136</v>
      </c>
      <c r="B122">
        <v>3.748135</v>
      </c>
    </row>
    <row r="123" spans="1:2" x14ac:dyDescent="0.25">
      <c r="A123" t="s">
        <v>137</v>
      </c>
      <c r="B123">
        <v>8.2938159999999996</v>
      </c>
    </row>
    <row r="124" spans="1:2" x14ac:dyDescent="0.25">
      <c r="A124" t="s">
        <v>138</v>
      </c>
      <c r="B124">
        <v>12.626942</v>
      </c>
    </row>
    <row r="125" spans="1:2" x14ac:dyDescent="0.25">
      <c r="A125" t="s">
        <v>139</v>
      </c>
      <c r="B125">
        <v>598.86552200000006</v>
      </c>
    </row>
    <row r="126" spans="1:2" x14ac:dyDescent="0.25">
      <c r="A126" t="s">
        <v>140</v>
      </c>
      <c r="B126">
        <v>10.543661</v>
      </c>
    </row>
    <row r="127" spans="1:2" x14ac:dyDescent="0.25">
      <c r="A127" t="s">
        <v>141</v>
      </c>
      <c r="B127">
        <v>1.336311</v>
      </c>
    </row>
    <row r="128" spans="1:2" x14ac:dyDescent="0.25">
      <c r="A128" t="s">
        <v>142</v>
      </c>
      <c r="B128">
        <v>0.77688000000000001</v>
      </c>
    </row>
    <row r="129" spans="1:2" x14ac:dyDescent="0.25">
      <c r="A129" t="s">
        <v>143</v>
      </c>
      <c r="B129">
        <v>19750.235400000001</v>
      </c>
    </row>
    <row r="130" spans="1:2" x14ac:dyDescent="0.25">
      <c r="A130" t="s">
        <v>144</v>
      </c>
      <c r="B130">
        <v>559.47343100000001</v>
      </c>
    </row>
    <row r="131" spans="1:2" x14ac:dyDescent="0.25">
      <c r="A131" t="s">
        <v>145</v>
      </c>
      <c r="B131">
        <v>1</v>
      </c>
    </row>
    <row r="132" spans="1:2" x14ac:dyDescent="0.25">
      <c r="A132" t="s">
        <v>146</v>
      </c>
      <c r="B132">
        <v>37.722965000000002</v>
      </c>
    </row>
    <row r="133" spans="1:2" x14ac:dyDescent="0.25">
      <c r="A133" t="s">
        <v>147</v>
      </c>
      <c r="B133">
        <v>22049.753570000001</v>
      </c>
    </row>
    <row r="134" spans="1:2" x14ac:dyDescent="0.25">
      <c r="A134" t="s">
        <v>148</v>
      </c>
      <c r="B134">
        <v>8.7500780000000002</v>
      </c>
    </row>
    <row r="135" spans="1:2" x14ac:dyDescent="0.25">
      <c r="A135" t="s">
        <v>149</v>
      </c>
      <c r="B135">
        <v>512.80111899999997</v>
      </c>
    </row>
    <row r="136" spans="1:2" x14ac:dyDescent="0.25">
      <c r="A136" t="s">
        <v>150</v>
      </c>
      <c r="B136">
        <v>18.328075999999999</v>
      </c>
    </row>
    <row r="137" spans="1:2" x14ac:dyDescent="0.25">
      <c r="A137" t="s">
        <v>151</v>
      </c>
      <c r="B137">
        <v>34.720478999999997</v>
      </c>
    </row>
    <row r="138" spans="1:2" x14ac:dyDescent="0.25">
      <c r="A138" t="s">
        <v>152</v>
      </c>
      <c r="B138">
        <v>1</v>
      </c>
    </row>
    <row r="139" spans="1:2" x14ac:dyDescent="0.25">
      <c r="A139" t="s">
        <v>153</v>
      </c>
      <c r="B139">
        <v>1</v>
      </c>
    </row>
    <row r="140" spans="1:2" x14ac:dyDescent="0.25">
      <c r="A140" t="s">
        <v>154</v>
      </c>
      <c r="B140">
        <v>3.057178</v>
      </c>
    </row>
    <row r="141" spans="1:2" x14ac:dyDescent="0.25">
      <c r="A141" t="s">
        <v>155</v>
      </c>
      <c r="B141">
        <v>2.3046920000000002</v>
      </c>
    </row>
    <row r="142" spans="1:2" x14ac:dyDescent="0.25">
      <c r="A142" t="s">
        <v>156</v>
      </c>
      <c r="B142">
        <v>26.337710000000001</v>
      </c>
    </row>
    <row r="143" spans="1:2" x14ac:dyDescent="0.25">
      <c r="A143" t="s">
        <v>157</v>
      </c>
      <c r="B143">
        <v>6.6455099999999998</v>
      </c>
    </row>
    <row r="144" spans="1:2" x14ac:dyDescent="0.25">
      <c r="A144" t="s">
        <v>158</v>
      </c>
      <c r="B144">
        <v>1</v>
      </c>
    </row>
    <row r="145" spans="1:2" x14ac:dyDescent="0.25">
      <c r="A145" t="s">
        <v>159</v>
      </c>
      <c r="B145">
        <v>31.157862000000002</v>
      </c>
    </row>
    <row r="146" spans="1:2" x14ac:dyDescent="0.25">
      <c r="A146" t="s">
        <v>160</v>
      </c>
      <c r="B146">
        <v>2430.6311369999999</v>
      </c>
    </row>
    <row r="147" spans="1:2" x14ac:dyDescent="0.25">
      <c r="A147" t="s">
        <v>161</v>
      </c>
      <c r="B147">
        <v>36.601537999999998</v>
      </c>
    </row>
    <row r="148" spans="1:2" x14ac:dyDescent="0.25">
      <c r="A148" t="s">
        <v>162</v>
      </c>
      <c r="B148">
        <v>3646.6606590000001</v>
      </c>
    </row>
    <row r="149" spans="1:2" x14ac:dyDescent="0.25">
      <c r="A149" t="s">
        <v>163</v>
      </c>
      <c r="B149">
        <v>37.4617</v>
      </c>
    </row>
    <row r="150" spans="1:2" x14ac:dyDescent="0.25">
      <c r="A150" t="s">
        <v>164</v>
      </c>
      <c r="B150">
        <v>11545.783100000001</v>
      </c>
    </row>
    <row r="151" spans="1:2" x14ac:dyDescent="0.25">
      <c r="A151" t="s">
        <v>165</v>
      </c>
      <c r="B151">
        <v>2930681.611</v>
      </c>
    </row>
    <row r="152" spans="1:2" x14ac:dyDescent="0.25">
      <c r="A152" t="s">
        <v>166</v>
      </c>
      <c r="B152">
        <v>23649.016469999999</v>
      </c>
    </row>
    <row r="153" spans="1:2" x14ac:dyDescent="0.25">
      <c r="A153" t="s">
        <v>167</v>
      </c>
      <c r="B153">
        <v>112.14131399999999</v>
      </c>
    </row>
    <row r="154" spans="1:2" x14ac:dyDescent="0.25">
      <c r="A154" t="s">
        <v>168</v>
      </c>
      <c r="B154">
        <v>2.6595710000000001</v>
      </c>
    </row>
    <row r="155" spans="1:2" x14ac:dyDescent="0.25">
      <c r="A155" t="s">
        <v>169</v>
      </c>
      <c r="B155">
        <v>593.34571200000005</v>
      </c>
    </row>
    <row r="156" spans="1:2" x14ac:dyDescent="0.25">
      <c r="A156" t="s">
        <v>170</v>
      </c>
      <c r="B156">
        <v>1</v>
      </c>
    </row>
    <row r="157" spans="1:2" x14ac:dyDescent="0.25">
      <c r="A157" t="s">
        <v>171</v>
      </c>
      <c r="B157">
        <v>1</v>
      </c>
    </row>
    <row r="158" spans="1:2" x14ac:dyDescent="0.25">
      <c r="A158" t="s">
        <v>172</v>
      </c>
      <c r="B158">
        <v>2.7000470000000001</v>
      </c>
    </row>
    <row r="159" spans="1:2" x14ac:dyDescent="0.25">
      <c r="A159" t="s">
        <v>173</v>
      </c>
      <c r="B159">
        <v>1</v>
      </c>
    </row>
    <row r="160" spans="1:2" x14ac:dyDescent="0.25">
      <c r="A160" t="s">
        <v>174</v>
      </c>
      <c r="B160">
        <v>593.34571200000005</v>
      </c>
    </row>
    <row r="161" spans="1:2" x14ac:dyDescent="0.25">
      <c r="A161" t="s">
        <v>175</v>
      </c>
      <c r="B161">
        <v>1</v>
      </c>
    </row>
    <row r="162" spans="1:2" x14ac:dyDescent="0.25">
      <c r="A162" t="s">
        <v>176</v>
      </c>
      <c r="B162">
        <v>107.941423</v>
      </c>
    </row>
    <row r="163" spans="1:2" x14ac:dyDescent="0.25">
      <c r="A163" t="s">
        <v>177</v>
      </c>
      <c r="B163">
        <v>1</v>
      </c>
    </row>
    <row r="164" spans="1:2" x14ac:dyDescent="0.25">
      <c r="A164" t="s">
        <v>178</v>
      </c>
      <c r="B164">
        <v>249.81308300000001</v>
      </c>
    </row>
    <row r="165" spans="1:2" x14ac:dyDescent="0.25">
      <c r="A165" t="s">
        <v>179</v>
      </c>
      <c r="B165">
        <v>18.328075999999999</v>
      </c>
    </row>
    <row r="166" spans="1:2" x14ac:dyDescent="0.25">
      <c r="A166" t="s">
        <v>180</v>
      </c>
      <c r="B166">
        <v>18.139061999999999</v>
      </c>
    </row>
    <row r="167" spans="1:2" x14ac:dyDescent="0.25">
      <c r="A167" t="s">
        <v>181</v>
      </c>
      <c r="B16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2EA0-F6A1-4CE6-A90A-13D92C696FB2}">
  <dimension ref="A1:D10"/>
  <sheetViews>
    <sheetView zoomScale="85" zoomScaleNormal="85" workbookViewId="0"/>
  </sheetViews>
  <sheetFormatPr defaultRowHeight="15" x14ac:dyDescent="0.25"/>
  <sheetData>
    <row r="1" spans="1:4" x14ac:dyDescent="0.25">
      <c r="A1" t="s">
        <v>12</v>
      </c>
      <c r="B1" t="s">
        <v>202</v>
      </c>
      <c r="C1" t="s">
        <v>203</v>
      </c>
      <c r="D1" t="s">
        <v>430</v>
      </c>
    </row>
    <row r="2" spans="1:4" x14ac:dyDescent="0.25">
      <c r="A2">
        <v>100000</v>
      </c>
      <c r="B2">
        <v>0.5</v>
      </c>
      <c r="C2">
        <v>0.6</v>
      </c>
      <c r="D2">
        <v>0.55000000000000004</v>
      </c>
    </row>
    <row r="3" spans="1:4" x14ac:dyDescent="0.25">
      <c r="A3">
        <v>250000</v>
      </c>
      <c r="B3">
        <v>0.65</v>
      </c>
      <c r="C3">
        <v>0.75</v>
      </c>
      <c r="D3">
        <v>0.8</v>
      </c>
    </row>
    <row r="4" spans="1:4" x14ac:dyDescent="0.25">
      <c r="A4">
        <v>500000</v>
      </c>
      <c r="B4">
        <v>0.8</v>
      </c>
      <c r="C4">
        <v>0.85</v>
      </c>
      <c r="D4">
        <v>1</v>
      </c>
    </row>
    <row r="5" spans="1:4" x14ac:dyDescent="0.25">
      <c r="A5">
        <v>1000000</v>
      </c>
      <c r="B5">
        <v>1</v>
      </c>
      <c r="C5">
        <v>1</v>
      </c>
      <c r="D5">
        <v>1.25</v>
      </c>
    </row>
    <row r="6" spans="1:4" x14ac:dyDescent="0.25">
      <c r="A6">
        <v>2000000</v>
      </c>
      <c r="B6">
        <v>1.35</v>
      </c>
      <c r="C6">
        <v>1.5</v>
      </c>
      <c r="D6">
        <v>1.76</v>
      </c>
    </row>
    <row r="7" spans="1:4" x14ac:dyDescent="0.25">
      <c r="A7">
        <v>3000000</v>
      </c>
      <c r="B7">
        <v>1.66</v>
      </c>
      <c r="C7">
        <v>1.8</v>
      </c>
      <c r="D7">
        <v>2.0699999999999998</v>
      </c>
    </row>
    <row r="8" spans="1:4" x14ac:dyDescent="0.25">
      <c r="A8">
        <v>4000000</v>
      </c>
      <c r="B8">
        <v>1.81</v>
      </c>
      <c r="C8">
        <v>1.9500000000000002</v>
      </c>
      <c r="D8">
        <v>2.2599999999999998</v>
      </c>
    </row>
    <row r="9" spans="1:4" x14ac:dyDescent="0.25">
      <c r="A9">
        <v>5000000</v>
      </c>
      <c r="B9">
        <v>1.96</v>
      </c>
      <c r="C9">
        <v>2.1</v>
      </c>
      <c r="D9">
        <v>2.4500000000000002</v>
      </c>
    </row>
    <row r="10" spans="1:4" x14ac:dyDescent="0.25">
      <c r="A10">
        <v>10000000</v>
      </c>
      <c r="B10">
        <v>2.4500000000000002</v>
      </c>
      <c r="C10">
        <v>2.62</v>
      </c>
      <c r="D10">
        <v>3.16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93926-9BFF-4B51-AE2F-A2D14F3BB32E}">
  <dimension ref="A1:B5"/>
  <sheetViews>
    <sheetView workbookViewId="0"/>
  </sheetViews>
  <sheetFormatPr defaultRowHeight="15" x14ac:dyDescent="0.25"/>
  <sheetData>
    <row r="1" spans="1:2" x14ac:dyDescent="0.25">
      <c r="A1" t="s">
        <v>204</v>
      </c>
      <c r="B1" t="s">
        <v>205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1.1499999999999999</v>
      </c>
    </row>
    <row r="4" spans="1:2" x14ac:dyDescent="0.25">
      <c r="A4">
        <v>2</v>
      </c>
      <c r="B4">
        <v>1.25</v>
      </c>
    </row>
    <row r="5" spans="1:2" x14ac:dyDescent="0.25">
      <c r="A5">
        <v>3</v>
      </c>
      <c r="B5">
        <v>1.3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D217-50FE-46B7-A646-45856B79A19B}">
  <dimension ref="A1:C6"/>
  <sheetViews>
    <sheetView workbookViewId="0"/>
  </sheetViews>
  <sheetFormatPr defaultRowHeight="15" x14ac:dyDescent="0.25"/>
  <sheetData>
    <row r="1" spans="1:3" x14ac:dyDescent="0.25">
      <c r="A1" t="s">
        <v>12</v>
      </c>
      <c r="B1" t="s">
        <v>206</v>
      </c>
      <c r="C1" t="s">
        <v>207</v>
      </c>
    </row>
    <row r="2" spans="1:3" x14ac:dyDescent="0.25">
      <c r="A2">
        <v>1000000</v>
      </c>
      <c r="B2">
        <v>2500</v>
      </c>
      <c r="C2">
        <v>2500</v>
      </c>
    </row>
    <row r="3" spans="1:3" x14ac:dyDescent="0.25">
      <c r="A3">
        <v>2000000</v>
      </c>
      <c r="B3">
        <v>6000</v>
      </c>
      <c r="C3">
        <v>6000</v>
      </c>
    </row>
    <row r="4" spans="1:3" x14ac:dyDescent="0.25">
      <c r="A4">
        <v>3000000</v>
      </c>
      <c r="B4">
        <v>10000</v>
      </c>
      <c r="C4">
        <v>10000</v>
      </c>
    </row>
    <row r="5" spans="1:3" x14ac:dyDescent="0.25">
      <c r="A5">
        <v>4000000</v>
      </c>
      <c r="B5" t="s">
        <v>208</v>
      </c>
      <c r="C5" t="s">
        <v>208</v>
      </c>
    </row>
    <row r="6" spans="1:3" x14ac:dyDescent="0.25">
      <c r="A6">
        <v>5000000</v>
      </c>
      <c r="B6">
        <v>20000</v>
      </c>
      <c r="C6">
        <v>20000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4903-102C-4666-AD01-B895EFD66695}">
  <dimension ref="A1:C38"/>
  <sheetViews>
    <sheetView zoomScale="85" zoomScaleNormal="85" workbookViewId="0">
      <selection activeCell="C1" sqref="C1"/>
    </sheetView>
  </sheetViews>
  <sheetFormatPr defaultRowHeight="15" x14ac:dyDescent="0.25"/>
  <cols>
    <col min="1" max="1" width="40.7109375" bestFit="1" customWidth="1"/>
    <col min="2" max="2" width="22.42578125" bestFit="1" customWidth="1"/>
    <col min="3" max="3" width="22.7109375" bestFit="1" customWidth="1"/>
  </cols>
  <sheetData>
    <row r="1" spans="1:3" x14ac:dyDescent="0.25">
      <c r="A1" t="s">
        <v>209</v>
      </c>
      <c r="B1" t="s">
        <v>210</v>
      </c>
      <c r="C1" t="s">
        <v>431</v>
      </c>
    </row>
    <row r="2" spans="1:3" x14ac:dyDescent="0.25">
      <c r="A2" t="s">
        <v>211</v>
      </c>
      <c r="B2">
        <v>2500</v>
      </c>
      <c r="C2">
        <v>2500</v>
      </c>
    </row>
    <row r="3" spans="1:3" x14ac:dyDescent="0.25">
      <c r="A3" t="s">
        <v>212</v>
      </c>
      <c r="B3">
        <v>15000</v>
      </c>
      <c r="C3">
        <v>15000</v>
      </c>
    </row>
    <row r="4" spans="1:3" x14ac:dyDescent="0.25">
      <c r="A4" t="s">
        <v>213</v>
      </c>
      <c r="B4">
        <v>2500</v>
      </c>
      <c r="C4">
        <v>2500</v>
      </c>
    </row>
    <row r="5" spans="1:3" x14ac:dyDescent="0.25">
      <c r="A5" t="s">
        <v>214</v>
      </c>
      <c r="B5">
        <v>7500</v>
      </c>
      <c r="C5">
        <v>7500</v>
      </c>
    </row>
    <row r="6" spans="1:3" x14ac:dyDescent="0.25">
      <c r="A6" t="s">
        <v>215</v>
      </c>
      <c r="B6">
        <v>5000</v>
      </c>
      <c r="C6">
        <v>5000</v>
      </c>
    </row>
    <row r="7" spans="1:3" x14ac:dyDescent="0.25">
      <c r="A7" t="s">
        <v>216</v>
      </c>
      <c r="B7">
        <v>15000</v>
      </c>
      <c r="C7">
        <v>15000</v>
      </c>
    </row>
    <row r="8" spans="1:3" x14ac:dyDescent="0.25">
      <c r="A8" t="s">
        <v>217</v>
      </c>
      <c r="B8">
        <v>15000</v>
      </c>
      <c r="C8">
        <v>15000</v>
      </c>
    </row>
    <row r="9" spans="1:3" x14ac:dyDescent="0.25">
      <c r="A9" t="s">
        <v>218</v>
      </c>
      <c r="B9">
        <v>25000</v>
      </c>
      <c r="C9">
        <v>25000</v>
      </c>
    </row>
    <row r="10" spans="1:3" x14ac:dyDescent="0.25">
      <c r="A10" t="s">
        <v>219</v>
      </c>
      <c r="B10">
        <v>3000</v>
      </c>
      <c r="C10">
        <v>5000</v>
      </c>
    </row>
    <row r="11" spans="1:3" x14ac:dyDescent="0.25">
      <c r="A11" t="s">
        <v>220</v>
      </c>
      <c r="B11">
        <v>15000</v>
      </c>
      <c r="C11">
        <v>15000</v>
      </c>
    </row>
    <row r="12" spans="1:3" x14ac:dyDescent="0.25">
      <c r="A12" t="s">
        <v>221</v>
      </c>
      <c r="B12">
        <v>3500</v>
      </c>
      <c r="C12">
        <v>2500</v>
      </c>
    </row>
    <row r="13" spans="1:3" x14ac:dyDescent="0.25">
      <c r="A13" t="s">
        <v>222</v>
      </c>
      <c r="B13">
        <v>4000</v>
      </c>
      <c r="C13">
        <v>2500</v>
      </c>
    </row>
    <row r="14" spans="1:3" x14ac:dyDescent="0.25">
      <c r="A14" t="s">
        <v>223</v>
      </c>
      <c r="B14">
        <v>7500</v>
      </c>
      <c r="C14">
        <v>7500</v>
      </c>
    </row>
    <row r="15" spans="1:3" x14ac:dyDescent="0.25">
      <c r="A15" t="s">
        <v>224</v>
      </c>
      <c r="B15">
        <v>10000</v>
      </c>
      <c r="C15">
        <v>10000</v>
      </c>
    </row>
    <row r="16" spans="1:3" x14ac:dyDescent="0.25">
      <c r="A16" t="s">
        <v>225</v>
      </c>
      <c r="B16">
        <v>20000</v>
      </c>
      <c r="C16">
        <v>20000</v>
      </c>
    </row>
    <row r="17" spans="1:3" x14ac:dyDescent="0.25">
      <c r="A17" t="s">
        <v>226</v>
      </c>
      <c r="B17">
        <v>10000</v>
      </c>
      <c r="C17">
        <v>10000</v>
      </c>
    </row>
    <row r="18" spans="1:3" x14ac:dyDescent="0.25">
      <c r="A18" t="s">
        <v>227</v>
      </c>
      <c r="B18">
        <v>5000</v>
      </c>
      <c r="C18">
        <v>5000</v>
      </c>
    </row>
    <row r="19" spans="1:3" x14ac:dyDescent="0.25">
      <c r="A19" t="s">
        <v>228</v>
      </c>
      <c r="B19">
        <v>4000</v>
      </c>
      <c r="C19">
        <v>5000</v>
      </c>
    </row>
    <row r="20" spans="1:3" x14ac:dyDescent="0.25">
      <c r="A20" t="s">
        <v>229</v>
      </c>
      <c r="B20">
        <v>3500</v>
      </c>
      <c r="C20">
        <v>5000</v>
      </c>
    </row>
    <row r="21" spans="1:3" x14ac:dyDescent="0.25">
      <c r="A21" t="s">
        <v>230</v>
      </c>
      <c r="B21">
        <v>2500</v>
      </c>
      <c r="C21">
        <v>2500</v>
      </c>
    </row>
    <row r="22" spans="1:3" x14ac:dyDescent="0.25">
      <c r="A22" t="s">
        <v>231</v>
      </c>
      <c r="B22">
        <v>5000</v>
      </c>
      <c r="C22">
        <v>5000</v>
      </c>
    </row>
    <row r="23" spans="1:3" x14ac:dyDescent="0.25">
      <c r="A23" t="s">
        <v>232</v>
      </c>
      <c r="B23">
        <v>2500</v>
      </c>
      <c r="C23">
        <v>2500</v>
      </c>
    </row>
    <row r="24" spans="1:3" x14ac:dyDescent="0.25">
      <c r="A24" t="s">
        <v>233</v>
      </c>
      <c r="B24">
        <v>3000</v>
      </c>
      <c r="C24">
        <v>5000</v>
      </c>
    </row>
    <row r="25" spans="1:3" x14ac:dyDescent="0.25">
      <c r="A25" t="s">
        <v>234</v>
      </c>
      <c r="B25">
        <v>4000</v>
      </c>
      <c r="C25">
        <v>5000</v>
      </c>
    </row>
    <row r="26" spans="1:3" x14ac:dyDescent="0.25">
      <c r="A26" t="s">
        <v>235</v>
      </c>
      <c r="B26">
        <v>5000</v>
      </c>
      <c r="C26">
        <v>5000</v>
      </c>
    </row>
    <row r="27" spans="1:3" x14ac:dyDescent="0.25">
      <c r="A27" t="s">
        <v>236</v>
      </c>
      <c r="B27">
        <v>2500</v>
      </c>
      <c r="C27">
        <v>2500</v>
      </c>
    </row>
    <row r="28" spans="1:3" x14ac:dyDescent="0.25">
      <c r="A28" t="s">
        <v>237</v>
      </c>
      <c r="B28">
        <v>2500</v>
      </c>
      <c r="C28">
        <v>2500</v>
      </c>
    </row>
    <row r="29" spans="1:3" x14ac:dyDescent="0.25">
      <c r="A29" t="s">
        <v>238</v>
      </c>
      <c r="B29">
        <v>4000</v>
      </c>
      <c r="C29">
        <v>5000</v>
      </c>
    </row>
    <row r="30" spans="1:3" x14ac:dyDescent="0.25">
      <c r="A30" t="s">
        <v>239</v>
      </c>
      <c r="B30">
        <v>5000</v>
      </c>
      <c r="C30">
        <v>5000</v>
      </c>
    </row>
    <row r="31" spans="1:3" x14ac:dyDescent="0.25">
      <c r="A31" t="s">
        <v>240</v>
      </c>
      <c r="B31">
        <v>15000</v>
      </c>
      <c r="C31">
        <v>15000</v>
      </c>
    </row>
    <row r="32" spans="1:3" x14ac:dyDescent="0.25">
      <c r="A32" t="s">
        <v>241</v>
      </c>
      <c r="B32">
        <v>5000</v>
      </c>
      <c r="C32">
        <v>5000</v>
      </c>
    </row>
    <row r="33" spans="1:3" x14ac:dyDescent="0.25">
      <c r="A33" t="s">
        <v>242</v>
      </c>
      <c r="B33">
        <v>5000</v>
      </c>
      <c r="C33">
        <v>5000</v>
      </c>
    </row>
    <row r="34" spans="1:3" x14ac:dyDescent="0.25">
      <c r="A34" t="s">
        <v>7</v>
      </c>
      <c r="B34">
        <v>2500</v>
      </c>
      <c r="C34">
        <v>2500</v>
      </c>
    </row>
    <row r="35" spans="1:3" x14ac:dyDescent="0.25">
      <c r="A35" t="s">
        <v>8</v>
      </c>
      <c r="B35">
        <v>2500</v>
      </c>
      <c r="C35">
        <v>2500</v>
      </c>
    </row>
    <row r="36" spans="1:3" x14ac:dyDescent="0.25">
      <c r="A36" t="s">
        <v>9</v>
      </c>
      <c r="B36">
        <v>2500</v>
      </c>
      <c r="C36">
        <v>2500</v>
      </c>
    </row>
    <row r="37" spans="1:3" x14ac:dyDescent="0.25">
      <c r="A37" t="s">
        <v>10</v>
      </c>
      <c r="B37">
        <v>2500</v>
      </c>
      <c r="C37">
        <v>2500</v>
      </c>
    </row>
    <row r="38" spans="1:3" x14ac:dyDescent="0.25">
      <c r="A38" t="s">
        <v>11</v>
      </c>
      <c r="B38">
        <v>2500</v>
      </c>
      <c r="C38">
        <v>2500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CA98-6FBC-4B70-BF5F-DF6272E9BCF2}">
  <dimension ref="A1:C31"/>
  <sheetViews>
    <sheetView workbookViewId="0"/>
  </sheetViews>
  <sheetFormatPr defaultRowHeight="15" x14ac:dyDescent="0.25"/>
  <cols>
    <col min="1" max="1" width="35.42578125" bestFit="1" customWidth="1"/>
    <col min="2" max="2" width="22.42578125" bestFit="1" customWidth="1"/>
    <col min="3" max="3" width="22.7109375" bestFit="1" customWidth="1"/>
  </cols>
  <sheetData>
    <row r="1" spans="1:3" x14ac:dyDescent="0.25">
      <c r="A1" t="s">
        <v>209</v>
      </c>
      <c r="B1" t="s">
        <v>210</v>
      </c>
      <c r="C1" t="s">
        <v>431</v>
      </c>
    </row>
    <row r="2" spans="1:3" x14ac:dyDescent="0.25">
      <c r="A2" t="s">
        <v>243</v>
      </c>
      <c r="B2">
        <v>2500</v>
      </c>
      <c r="C2">
        <v>5000</v>
      </c>
    </row>
    <row r="3" spans="1:3" x14ac:dyDescent="0.25">
      <c r="A3" t="s">
        <v>244</v>
      </c>
      <c r="B3">
        <v>2500</v>
      </c>
      <c r="C3">
        <v>5000</v>
      </c>
    </row>
    <row r="4" spans="1:3" x14ac:dyDescent="0.25">
      <c r="A4" t="s">
        <v>245</v>
      </c>
      <c r="B4">
        <v>2500</v>
      </c>
      <c r="C4">
        <v>5000</v>
      </c>
    </row>
    <row r="5" spans="1:3" x14ac:dyDescent="0.25">
      <c r="A5" t="s">
        <v>246</v>
      </c>
      <c r="B5">
        <v>2500</v>
      </c>
      <c r="C5">
        <v>5000</v>
      </c>
    </row>
    <row r="6" spans="1:3" x14ac:dyDescent="0.25">
      <c r="A6" t="s">
        <v>247</v>
      </c>
      <c r="B6">
        <v>2500</v>
      </c>
      <c r="C6">
        <v>5000</v>
      </c>
    </row>
    <row r="7" spans="1:3" x14ac:dyDescent="0.25">
      <c r="A7" t="s">
        <v>248</v>
      </c>
      <c r="B7">
        <v>2500</v>
      </c>
      <c r="C7">
        <v>5000</v>
      </c>
    </row>
    <row r="8" spans="1:3" x14ac:dyDescent="0.25">
      <c r="A8" t="s">
        <v>249</v>
      </c>
      <c r="B8">
        <v>2500</v>
      </c>
      <c r="C8">
        <v>5000</v>
      </c>
    </row>
    <row r="9" spans="1:3" x14ac:dyDescent="0.25">
      <c r="A9" t="s">
        <v>250</v>
      </c>
      <c r="B9">
        <v>4000</v>
      </c>
      <c r="C9">
        <v>5000</v>
      </c>
    </row>
    <row r="10" spans="1:3" x14ac:dyDescent="0.25">
      <c r="A10" t="s">
        <v>251</v>
      </c>
      <c r="B10">
        <v>5000</v>
      </c>
      <c r="C10">
        <v>5000</v>
      </c>
    </row>
    <row r="11" spans="1:3" x14ac:dyDescent="0.25">
      <c r="A11" t="s">
        <v>252</v>
      </c>
      <c r="B11">
        <v>7500</v>
      </c>
      <c r="C11">
        <v>7500</v>
      </c>
    </row>
    <row r="12" spans="1:3" x14ac:dyDescent="0.25">
      <c r="A12" t="s">
        <v>253</v>
      </c>
      <c r="B12">
        <v>7500</v>
      </c>
      <c r="C12">
        <v>7500</v>
      </c>
    </row>
    <row r="13" spans="1:3" x14ac:dyDescent="0.25">
      <c r="A13" t="s">
        <v>254</v>
      </c>
      <c r="B13">
        <v>7500</v>
      </c>
      <c r="C13">
        <v>7500</v>
      </c>
    </row>
    <row r="14" spans="1:3" x14ac:dyDescent="0.25">
      <c r="A14" t="s">
        <v>255</v>
      </c>
      <c r="B14">
        <v>10000</v>
      </c>
      <c r="C14">
        <v>10000</v>
      </c>
    </row>
    <row r="15" spans="1:3" x14ac:dyDescent="0.25">
      <c r="A15" t="s">
        <v>256</v>
      </c>
      <c r="B15">
        <v>7500</v>
      </c>
      <c r="C15">
        <v>7500</v>
      </c>
    </row>
    <row r="16" spans="1:3" x14ac:dyDescent="0.25">
      <c r="A16" t="s">
        <v>257</v>
      </c>
      <c r="B16">
        <v>7500</v>
      </c>
      <c r="C16">
        <v>7500</v>
      </c>
    </row>
    <row r="17" spans="1:3" x14ac:dyDescent="0.25">
      <c r="A17" t="s">
        <v>258</v>
      </c>
      <c r="B17">
        <v>7500</v>
      </c>
      <c r="C17">
        <v>7500</v>
      </c>
    </row>
    <row r="18" spans="1:3" x14ac:dyDescent="0.25">
      <c r="A18" t="s">
        <v>259</v>
      </c>
      <c r="B18">
        <v>10000</v>
      </c>
      <c r="C18">
        <v>10000</v>
      </c>
    </row>
    <row r="19" spans="1:3" x14ac:dyDescent="0.25">
      <c r="A19" t="s">
        <v>260</v>
      </c>
      <c r="B19">
        <v>10000</v>
      </c>
      <c r="C19">
        <v>10000</v>
      </c>
    </row>
    <row r="20" spans="1:3" x14ac:dyDescent="0.25">
      <c r="A20" t="s">
        <v>261</v>
      </c>
      <c r="B20">
        <v>10000</v>
      </c>
      <c r="C20">
        <v>10000</v>
      </c>
    </row>
    <row r="21" spans="1:3" x14ac:dyDescent="0.25">
      <c r="A21" t="s">
        <v>262</v>
      </c>
      <c r="B21">
        <v>20000</v>
      </c>
      <c r="C21">
        <v>20000</v>
      </c>
    </row>
    <row r="22" spans="1:3" x14ac:dyDescent="0.25">
      <c r="A22" t="s">
        <v>263</v>
      </c>
      <c r="B22">
        <v>20000</v>
      </c>
      <c r="C22">
        <v>20000</v>
      </c>
    </row>
    <row r="23" spans="1:3" x14ac:dyDescent="0.25">
      <c r="A23" t="s">
        <v>264</v>
      </c>
      <c r="B23">
        <v>20000</v>
      </c>
      <c r="C23">
        <v>20000</v>
      </c>
    </row>
    <row r="24" spans="1:3" x14ac:dyDescent="0.25">
      <c r="A24" t="s">
        <v>265</v>
      </c>
      <c r="B24">
        <v>15000</v>
      </c>
      <c r="C24">
        <v>15000</v>
      </c>
    </row>
    <row r="25" spans="1:3" x14ac:dyDescent="0.25">
      <c r="A25" t="s">
        <v>266</v>
      </c>
      <c r="B25">
        <v>10000</v>
      </c>
      <c r="C25">
        <v>10000</v>
      </c>
    </row>
    <row r="26" spans="1:3" x14ac:dyDescent="0.25">
      <c r="A26" t="s">
        <v>267</v>
      </c>
      <c r="B26">
        <v>15000</v>
      </c>
      <c r="C26">
        <v>15000</v>
      </c>
    </row>
    <row r="27" spans="1:3" x14ac:dyDescent="0.25">
      <c r="A27" t="s">
        <v>7</v>
      </c>
      <c r="B27">
        <v>2500</v>
      </c>
      <c r="C27">
        <v>2500</v>
      </c>
    </row>
    <row r="28" spans="1:3" x14ac:dyDescent="0.25">
      <c r="A28" t="s">
        <v>8</v>
      </c>
      <c r="B28">
        <v>2500</v>
      </c>
      <c r="C28">
        <v>2500</v>
      </c>
    </row>
    <row r="29" spans="1:3" x14ac:dyDescent="0.25">
      <c r="A29" t="s">
        <v>9</v>
      </c>
      <c r="B29">
        <v>2500</v>
      </c>
      <c r="C29">
        <v>2500</v>
      </c>
    </row>
    <row r="30" spans="1:3" x14ac:dyDescent="0.25">
      <c r="A30" t="s">
        <v>10</v>
      </c>
      <c r="B30">
        <v>2500</v>
      </c>
      <c r="C30">
        <v>2500</v>
      </c>
    </row>
    <row r="31" spans="1:3" x14ac:dyDescent="0.25">
      <c r="A31" t="s">
        <v>11</v>
      </c>
      <c r="B31">
        <v>2500</v>
      </c>
      <c r="C31">
        <v>2500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0CC9-B97D-4983-919C-7C222FBF3386}">
  <dimension ref="A1:C8"/>
  <sheetViews>
    <sheetView workbookViewId="0"/>
  </sheetViews>
  <sheetFormatPr defaultRowHeight="15" x14ac:dyDescent="0.25"/>
  <cols>
    <col min="1" max="1" width="38" bestFit="1" customWidth="1"/>
    <col min="2" max="2" width="19" bestFit="1" customWidth="1"/>
    <col min="3" max="3" width="16.7109375" bestFit="1" customWidth="1"/>
  </cols>
  <sheetData>
    <row r="1" spans="1:3" x14ac:dyDescent="0.25">
      <c r="A1" t="s">
        <v>268</v>
      </c>
      <c r="B1" t="s">
        <v>269</v>
      </c>
      <c r="C1" t="s">
        <v>270</v>
      </c>
    </row>
    <row r="2" spans="1:3" x14ac:dyDescent="0.25">
      <c r="A2" t="s">
        <v>0</v>
      </c>
      <c r="B2">
        <v>0.1</v>
      </c>
      <c r="C2">
        <v>1</v>
      </c>
    </row>
    <row r="3" spans="1:3" x14ac:dyDescent="0.25">
      <c r="A3" t="s">
        <v>5</v>
      </c>
      <c r="B3">
        <v>0.05</v>
      </c>
      <c r="C3">
        <v>1</v>
      </c>
    </row>
    <row r="4" spans="1:3" x14ac:dyDescent="0.25">
      <c r="A4" t="s">
        <v>1</v>
      </c>
      <c r="B4">
        <v>1</v>
      </c>
      <c r="C4">
        <v>1</v>
      </c>
    </row>
    <row r="5" spans="1:3" x14ac:dyDescent="0.25">
      <c r="A5" t="s">
        <v>2</v>
      </c>
      <c r="B5">
        <v>0.05</v>
      </c>
      <c r="C5">
        <v>1</v>
      </c>
    </row>
    <row r="6" spans="1:3" x14ac:dyDescent="0.25">
      <c r="A6" t="s">
        <v>3</v>
      </c>
      <c r="B6">
        <v>0.1</v>
      </c>
      <c r="C6">
        <v>1</v>
      </c>
    </row>
    <row r="7" spans="1:3" x14ac:dyDescent="0.25">
      <c r="A7" t="s">
        <v>4</v>
      </c>
      <c r="B7">
        <v>7.4999999999999997E-2</v>
      </c>
      <c r="C7">
        <v>1</v>
      </c>
    </row>
    <row r="8" spans="1:3" x14ac:dyDescent="0.25">
      <c r="A8" t="s">
        <v>6</v>
      </c>
      <c r="B8">
        <v>0</v>
      </c>
      <c r="C8">
        <v>0.01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46803-CCB0-4381-A21A-DA092CCB11F8}">
  <dimension ref="A1:B6"/>
  <sheetViews>
    <sheetView workbookViewId="0"/>
  </sheetViews>
  <sheetFormatPr defaultRowHeight="15" x14ac:dyDescent="0.25"/>
  <sheetData>
    <row r="1" spans="1:2" x14ac:dyDescent="0.25">
      <c r="A1" t="s">
        <v>271</v>
      </c>
      <c r="B1" t="s">
        <v>205</v>
      </c>
    </row>
    <row r="2" spans="1:2" x14ac:dyDescent="0.25">
      <c r="A2">
        <v>0</v>
      </c>
      <c r="B2">
        <v>1.1000000000000001</v>
      </c>
    </row>
    <row r="3" spans="1:2" x14ac:dyDescent="0.25">
      <c r="A3">
        <v>1</v>
      </c>
      <c r="B3">
        <v>1.05</v>
      </c>
    </row>
    <row r="4" spans="1:2" x14ac:dyDescent="0.25">
      <c r="A4">
        <v>3</v>
      </c>
      <c r="B4">
        <v>1</v>
      </c>
    </row>
    <row r="5" spans="1:2" x14ac:dyDescent="0.25">
      <c r="A5">
        <v>10</v>
      </c>
      <c r="B5">
        <v>0.95</v>
      </c>
    </row>
    <row r="6" spans="1:2" x14ac:dyDescent="0.25">
      <c r="A6">
        <v>20.001000000000001</v>
      </c>
      <c r="B6">
        <v>0.85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CD41-5DC8-4879-BEE1-8BA56DBF38FE}">
  <dimension ref="A1:B5"/>
  <sheetViews>
    <sheetView workbookViewId="0"/>
  </sheetViews>
  <sheetFormatPr defaultRowHeight="15" x14ac:dyDescent="0.25"/>
  <cols>
    <col min="1" max="1" width="24.28515625" bestFit="1" customWidth="1"/>
  </cols>
  <sheetData>
    <row r="1" spans="1:2" x14ac:dyDescent="0.25">
      <c r="A1" t="s">
        <v>272</v>
      </c>
      <c r="B1" t="s">
        <v>205</v>
      </c>
    </row>
    <row r="2" spans="1:2" x14ac:dyDescent="0.25">
      <c r="A2" t="s">
        <v>273</v>
      </c>
      <c r="B2">
        <v>1</v>
      </c>
    </row>
    <row r="3" spans="1:2" x14ac:dyDescent="0.25">
      <c r="A3" t="s">
        <v>274</v>
      </c>
      <c r="B3">
        <v>1</v>
      </c>
    </row>
    <row r="4" spans="1:2" x14ac:dyDescent="0.25">
      <c r="A4" t="s">
        <v>275</v>
      </c>
      <c r="B4">
        <v>1.75</v>
      </c>
    </row>
    <row r="5" spans="1:2" x14ac:dyDescent="0.25">
      <c r="A5" t="s">
        <v>276</v>
      </c>
      <c r="B5">
        <v>2.25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6465-B438-4F9A-AF4B-DE3D8569BF94}">
  <dimension ref="A1:B6"/>
  <sheetViews>
    <sheetView workbookViewId="0"/>
  </sheetViews>
  <sheetFormatPr defaultRowHeight="15" x14ac:dyDescent="0.25"/>
  <sheetData>
    <row r="1" spans="1:2" x14ac:dyDescent="0.25">
      <c r="A1" t="s">
        <v>277</v>
      </c>
      <c r="B1" t="s">
        <v>205</v>
      </c>
    </row>
    <row r="2" spans="1:2" x14ac:dyDescent="0.25">
      <c r="A2">
        <v>0</v>
      </c>
      <c r="B2">
        <v>0.8</v>
      </c>
    </row>
    <row r="3" spans="1:2" x14ac:dyDescent="0.25">
      <c r="A3">
        <v>1</v>
      </c>
      <c r="B3">
        <v>0.87</v>
      </c>
    </row>
    <row r="4" spans="1:2" x14ac:dyDescent="0.25">
      <c r="A4">
        <v>2</v>
      </c>
      <c r="B4">
        <v>0.93</v>
      </c>
    </row>
    <row r="5" spans="1:2" x14ac:dyDescent="0.25">
      <c r="A5">
        <v>3</v>
      </c>
      <c r="B5">
        <v>0.97</v>
      </c>
    </row>
    <row r="6" spans="1:2" x14ac:dyDescent="0.25">
      <c r="A6">
        <v>4</v>
      </c>
      <c r="B6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5740-324D-4C8E-A6D5-4E1C67E8ABEF}">
  <dimension ref="A1:D32"/>
  <sheetViews>
    <sheetView workbookViewId="0"/>
  </sheetViews>
  <sheetFormatPr defaultRowHeight="15" x14ac:dyDescent="0.25"/>
  <sheetData>
    <row r="1" spans="1:4" x14ac:dyDescent="0.25">
      <c r="A1" t="s">
        <v>278</v>
      </c>
      <c r="B1" t="s">
        <v>279</v>
      </c>
      <c r="C1" t="s">
        <v>280</v>
      </c>
      <c r="D1" t="s">
        <v>281</v>
      </c>
    </row>
    <row r="2" spans="1:4" x14ac:dyDescent="0.25">
      <c r="A2">
        <v>0</v>
      </c>
      <c r="B2">
        <v>0.1</v>
      </c>
      <c r="C2">
        <v>1.4</v>
      </c>
      <c r="D2">
        <v>1.4</v>
      </c>
    </row>
    <row r="3" spans="1:4" x14ac:dyDescent="0.25">
      <c r="A3">
        <v>0.1</v>
      </c>
      <c r="B3">
        <v>0.2</v>
      </c>
      <c r="C3">
        <v>1.36</v>
      </c>
      <c r="D3">
        <v>1.32</v>
      </c>
    </row>
    <row r="4" spans="1:4" x14ac:dyDescent="0.25">
      <c r="A4">
        <v>0.2</v>
      </c>
      <c r="B4">
        <v>0.3</v>
      </c>
      <c r="C4">
        <v>1.32</v>
      </c>
      <c r="D4">
        <v>1.28</v>
      </c>
    </row>
    <row r="5" spans="1:4" x14ac:dyDescent="0.25">
      <c r="A5">
        <v>0.3</v>
      </c>
      <c r="B5">
        <v>0.4</v>
      </c>
      <c r="C5">
        <v>1.28</v>
      </c>
      <c r="D5">
        <v>1.24</v>
      </c>
    </row>
    <row r="6" spans="1:4" x14ac:dyDescent="0.25">
      <c r="A6">
        <v>0.4</v>
      </c>
      <c r="B6">
        <v>0.5</v>
      </c>
      <c r="C6">
        <v>1.24</v>
      </c>
      <c r="D6">
        <v>1.2</v>
      </c>
    </row>
    <row r="7" spans="1:4" x14ac:dyDescent="0.25">
      <c r="A7">
        <v>0.5</v>
      </c>
      <c r="B7">
        <v>0.6</v>
      </c>
      <c r="C7">
        <v>1.2</v>
      </c>
      <c r="D7">
        <v>1.1599999999999999</v>
      </c>
    </row>
    <row r="8" spans="1:4" x14ac:dyDescent="0.25">
      <c r="A8">
        <v>0.6</v>
      </c>
      <c r="B8">
        <v>0.7</v>
      </c>
      <c r="C8">
        <v>1.1599999999999999</v>
      </c>
      <c r="D8">
        <v>1.1200000000000001</v>
      </c>
    </row>
    <row r="9" spans="1:4" x14ac:dyDescent="0.25">
      <c r="A9">
        <v>0.7</v>
      </c>
      <c r="B9">
        <v>0.8</v>
      </c>
      <c r="C9">
        <v>1.1200000000000001</v>
      </c>
      <c r="D9">
        <v>1.08</v>
      </c>
    </row>
    <row r="10" spans="1:4" x14ac:dyDescent="0.25">
      <c r="A10">
        <v>0.8</v>
      </c>
      <c r="B10">
        <v>0.9</v>
      </c>
      <c r="C10">
        <v>1.08</v>
      </c>
      <c r="D10">
        <v>1.04</v>
      </c>
    </row>
    <row r="11" spans="1:4" x14ac:dyDescent="0.25">
      <c r="A11">
        <v>0.9</v>
      </c>
      <c r="B11">
        <v>1</v>
      </c>
      <c r="C11">
        <v>1.04</v>
      </c>
      <c r="D11">
        <v>1</v>
      </c>
    </row>
    <row r="12" spans="1:4" x14ac:dyDescent="0.25">
      <c r="A12">
        <v>1</v>
      </c>
      <c r="B12">
        <v>1.1000000000000001</v>
      </c>
      <c r="C12">
        <v>1</v>
      </c>
      <c r="D12">
        <v>0.98499999999999999</v>
      </c>
    </row>
    <row r="13" spans="1:4" x14ac:dyDescent="0.25">
      <c r="A13">
        <v>1.1000000000000001</v>
      </c>
      <c r="B13">
        <v>1.2</v>
      </c>
      <c r="C13">
        <v>0.98499999999999999</v>
      </c>
      <c r="D13">
        <v>0.97</v>
      </c>
    </row>
    <row r="14" spans="1:4" x14ac:dyDescent="0.25">
      <c r="A14">
        <v>1.2</v>
      </c>
      <c r="B14">
        <v>1.3</v>
      </c>
      <c r="C14">
        <v>0.97</v>
      </c>
      <c r="D14">
        <v>0.95499999999999996</v>
      </c>
    </row>
    <row r="15" spans="1:4" x14ac:dyDescent="0.25">
      <c r="A15">
        <v>1.3</v>
      </c>
      <c r="B15">
        <v>1.4</v>
      </c>
      <c r="C15">
        <v>0.95499999999999996</v>
      </c>
      <c r="D15">
        <v>0.94</v>
      </c>
    </row>
    <row r="16" spans="1:4" x14ac:dyDescent="0.25">
      <c r="A16">
        <v>1.4</v>
      </c>
      <c r="B16">
        <v>1.5</v>
      </c>
      <c r="C16">
        <v>0.94</v>
      </c>
      <c r="D16">
        <v>0.92500000000000004</v>
      </c>
    </row>
    <row r="17" spans="1:4" x14ac:dyDescent="0.25">
      <c r="A17">
        <v>1.5</v>
      </c>
      <c r="B17">
        <v>1.6</v>
      </c>
      <c r="C17">
        <v>0.92500000000000004</v>
      </c>
      <c r="D17">
        <v>0.91</v>
      </c>
    </row>
    <row r="18" spans="1:4" x14ac:dyDescent="0.25">
      <c r="A18">
        <v>1.6</v>
      </c>
      <c r="B18">
        <v>1.7</v>
      </c>
      <c r="C18">
        <v>0.91</v>
      </c>
      <c r="D18">
        <v>0.89500000000000002</v>
      </c>
    </row>
    <row r="19" spans="1:4" x14ac:dyDescent="0.25">
      <c r="A19">
        <v>1.7</v>
      </c>
      <c r="B19">
        <v>1.8</v>
      </c>
      <c r="C19">
        <v>0.89500000000000002</v>
      </c>
      <c r="D19">
        <v>0.88</v>
      </c>
    </row>
    <row r="20" spans="1:4" x14ac:dyDescent="0.25">
      <c r="A20">
        <v>1.8</v>
      </c>
      <c r="B20">
        <v>1.9</v>
      </c>
      <c r="C20">
        <v>0.88</v>
      </c>
      <c r="D20">
        <v>0.86499999999999999</v>
      </c>
    </row>
    <row r="21" spans="1:4" x14ac:dyDescent="0.25">
      <c r="A21">
        <v>1.9</v>
      </c>
      <c r="B21">
        <v>2</v>
      </c>
      <c r="C21">
        <v>0.86499999999999999</v>
      </c>
      <c r="D21">
        <v>0.85</v>
      </c>
    </row>
    <row r="22" spans="1:4" x14ac:dyDescent="0.25">
      <c r="A22">
        <v>2</v>
      </c>
      <c r="B22">
        <v>2.1</v>
      </c>
      <c r="C22">
        <v>0.85</v>
      </c>
      <c r="D22">
        <v>0.83499999999999996</v>
      </c>
    </row>
    <row r="23" spans="1:4" x14ac:dyDescent="0.25">
      <c r="A23">
        <v>2.1</v>
      </c>
      <c r="B23">
        <v>2.2000000000000002</v>
      </c>
      <c r="C23">
        <v>0.83499999999999996</v>
      </c>
      <c r="D23">
        <v>0.82</v>
      </c>
    </row>
    <row r="24" spans="1:4" x14ac:dyDescent="0.25">
      <c r="A24">
        <v>2.2000000000000002</v>
      </c>
      <c r="B24">
        <v>2.2999999999999998</v>
      </c>
      <c r="C24">
        <v>0.82</v>
      </c>
      <c r="D24">
        <v>0.80500000000000005</v>
      </c>
    </row>
    <row r="25" spans="1:4" x14ac:dyDescent="0.25">
      <c r="A25">
        <v>2.2999999999999998</v>
      </c>
      <c r="B25">
        <v>2.4</v>
      </c>
      <c r="C25">
        <v>0.80500000000000005</v>
      </c>
      <c r="D25">
        <v>0.79</v>
      </c>
    </row>
    <row r="26" spans="1:4" x14ac:dyDescent="0.25">
      <c r="A26">
        <v>2.4</v>
      </c>
      <c r="B26">
        <v>2.5</v>
      </c>
      <c r="C26">
        <v>0.79</v>
      </c>
      <c r="D26">
        <v>0.77500000000000002</v>
      </c>
    </row>
    <row r="27" spans="1:4" x14ac:dyDescent="0.25">
      <c r="A27">
        <v>2.5</v>
      </c>
      <c r="B27">
        <v>2.6</v>
      </c>
      <c r="C27">
        <v>0.77500000000000002</v>
      </c>
      <c r="D27">
        <v>0.76</v>
      </c>
    </row>
    <row r="28" spans="1:4" x14ac:dyDescent="0.25">
      <c r="A28">
        <v>2.6</v>
      </c>
      <c r="B28">
        <v>2.7</v>
      </c>
      <c r="C28">
        <v>0.76</v>
      </c>
      <c r="D28">
        <v>0.745</v>
      </c>
    </row>
    <row r="29" spans="1:4" x14ac:dyDescent="0.25">
      <c r="A29">
        <v>2.7</v>
      </c>
      <c r="B29">
        <v>2.8</v>
      </c>
      <c r="C29">
        <v>0.745</v>
      </c>
      <c r="D29">
        <v>0.73</v>
      </c>
    </row>
    <row r="30" spans="1:4" x14ac:dyDescent="0.25">
      <c r="A30">
        <v>2.8</v>
      </c>
      <c r="B30">
        <v>2.9</v>
      </c>
      <c r="C30">
        <v>0.73</v>
      </c>
      <c r="D30">
        <v>0.71499999999999997</v>
      </c>
    </row>
    <row r="31" spans="1:4" x14ac:dyDescent="0.25">
      <c r="A31">
        <v>2.9</v>
      </c>
      <c r="B31">
        <v>3</v>
      </c>
      <c r="C31">
        <v>0.71499999999999997</v>
      </c>
      <c r="D31">
        <v>0.7</v>
      </c>
    </row>
    <row r="32" spans="1:4" x14ac:dyDescent="0.25">
      <c r="A32">
        <v>3</v>
      </c>
      <c r="B32">
        <v>3</v>
      </c>
      <c r="C32">
        <v>0.7</v>
      </c>
      <c r="D32">
        <v>0.7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4A6A-B7B5-496F-8458-3A58A705A1FD}">
  <dimension ref="A1:B4"/>
  <sheetViews>
    <sheetView workbookViewId="0"/>
  </sheetViews>
  <sheetFormatPr defaultRowHeight="15" x14ac:dyDescent="0.25"/>
  <cols>
    <col min="1" max="1" width="10.5703125" bestFit="1" customWidth="1"/>
    <col min="2" max="2" width="12" bestFit="1" customWidth="1"/>
  </cols>
  <sheetData>
    <row r="1" spans="1:2" x14ac:dyDescent="0.25">
      <c r="A1" t="s">
        <v>282</v>
      </c>
      <c r="B1" t="s">
        <v>205</v>
      </c>
    </row>
    <row r="2" spans="1:2" x14ac:dyDescent="0.25">
      <c r="A2" t="s">
        <v>283</v>
      </c>
      <c r="B2">
        <v>0.90909090909090906</v>
      </c>
    </row>
    <row r="3" spans="1:2" x14ac:dyDescent="0.25">
      <c r="A3" t="s">
        <v>284</v>
      </c>
      <c r="B3">
        <v>1</v>
      </c>
    </row>
    <row r="4" spans="1:2" x14ac:dyDescent="0.25">
      <c r="A4" t="s">
        <v>285</v>
      </c>
      <c r="B4">
        <v>1.0909090909090908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5B0BB-A068-4860-8DBF-169DD5056B2C}">
  <dimension ref="A1:H55"/>
  <sheetViews>
    <sheetView tabSelected="1" workbookViewId="0">
      <selection activeCell="E13" sqref="E13"/>
    </sheetView>
  </sheetViews>
  <sheetFormatPr defaultRowHeight="15" x14ac:dyDescent="0.25"/>
  <cols>
    <col min="1" max="1" width="29.85546875" bestFit="1" customWidth="1"/>
    <col min="2" max="2" width="11.7109375" bestFit="1" customWidth="1"/>
    <col min="3" max="3" width="10.5703125" bestFit="1" customWidth="1"/>
    <col min="4" max="4" width="13.42578125" bestFit="1" customWidth="1"/>
    <col min="5" max="5" width="19.42578125" bestFit="1" customWidth="1"/>
    <col min="6" max="6" width="14.42578125" bestFit="1" customWidth="1"/>
    <col min="7" max="7" width="22.28515625" bestFit="1" customWidth="1"/>
    <col min="8" max="8" width="17" bestFit="1" customWidth="1"/>
  </cols>
  <sheetData>
    <row r="1" spans="1:8" x14ac:dyDescent="0.25">
      <c r="A1" t="s">
        <v>286</v>
      </c>
      <c r="B1" t="s">
        <v>287</v>
      </c>
      <c r="C1" t="s">
        <v>282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</row>
    <row r="2" spans="1:8" x14ac:dyDescent="0.25">
      <c r="A2" t="s">
        <v>293</v>
      </c>
      <c r="B2" t="s">
        <v>294</v>
      </c>
      <c r="C2" t="s">
        <v>283</v>
      </c>
      <c r="D2">
        <v>0.90909090909090906</v>
      </c>
      <c r="E2">
        <v>1</v>
      </c>
      <c r="F2">
        <v>0.8</v>
      </c>
      <c r="G2">
        <v>1</v>
      </c>
      <c r="H2">
        <v>1</v>
      </c>
    </row>
    <row r="3" spans="1:8" x14ac:dyDescent="0.25">
      <c r="A3" t="s">
        <v>295</v>
      </c>
      <c r="B3" t="s">
        <v>296</v>
      </c>
      <c r="C3" t="s">
        <v>284</v>
      </c>
      <c r="D3">
        <v>1</v>
      </c>
      <c r="E3">
        <v>1</v>
      </c>
      <c r="F3">
        <v>1</v>
      </c>
      <c r="G3">
        <v>1</v>
      </c>
      <c r="H3">
        <v>1</v>
      </c>
    </row>
    <row r="4" spans="1:8" x14ac:dyDescent="0.25">
      <c r="A4" t="s">
        <v>297</v>
      </c>
      <c r="B4" t="s">
        <v>298</v>
      </c>
      <c r="C4" t="s">
        <v>284</v>
      </c>
      <c r="D4">
        <v>1</v>
      </c>
      <c r="E4">
        <v>1</v>
      </c>
      <c r="F4">
        <v>1</v>
      </c>
      <c r="G4">
        <v>1</v>
      </c>
      <c r="H4">
        <v>1</v>
      </c>
    </row>
    <row r="5" spans="1:8" x14ac:dyDescent="0.25">
      <c r="A5" t="s">
        <v>299</v>
      </c>
      <c r="B5" t="s">
        <v>300</v>
      </c>
      <c r="C5" t="s">
        <v>284</v>
      </c>
      <c r="D5">
        <v>1</v>
      </c>
      <c r="E5">
        <v>1</v>
      </c>
      <c r="F5">
        <v>1</v>
      </c>
      <c r="G5">
        <v>1</v>
      </c>
      <c r="H5">
        <v>1</v>
      </c>
    </row>
    <row r="6" spans="1:8" x14ac:dyDescent="0.25">
      <c r="A6" t="s">
        <v>301</v>
      </c>
      <c r="B6" t="s">
        <v>302</v>
      </c>
      <c r="C6" t="s">
        <v>283</v>
      </c>
      <c r="D6">
        <v>0.90909090909090906</v>
      </c>
      <c r="E6">
        <v>1</v>
      </c>
      <c r="F6">
        <v>0.90909090909090906</v>
      </c>
      <c r="G6">
        <v>1</v>
      </c>
      <c r="H6">
        <v>1</v>
      </c>
    </row>
    <row r="7" spans="1:8" x14ac:dyDescent="0.25">
      <c r="A7" t="s">
        <v>303</v>
      </c>
      <c r="B7" t="s">
        <v>432</v>
      </c>
      <c r="C7" t="s">
        <v>285</v>
      </c>
      <c r="D7">
        <v>1.0909090909090908</v>
      </c>
      <c r="E7">
        <v>1</v>
      </c>
      <c r="F7">
        <v>1.0909090909090908</v>
      </c>
      <c r="G7">
        <v>1.2</v>
      </c>
      <c r="H7">
        <v>1.25</v>
      </c>
    </row>
    <row r="8" spans="1:8" x14ac:dyDescent="0.25">
      <c r="A8" t="s">
        <v>304</v>
      </c>
      <c r="B8" t="s">
        <v>433</v>
      </c>
      <c r="C8" t="s">
        <v>285</v>
      </c>
      <c r="D8">
        <v>1.0909090909090908</v>
      </c>
      <c r="E8">
        <v>1</v>
      </c>
      <c r="F8">
        <v>1.0909090909090908</v>
      </c>
      <c r="G8">
        <v>1.1299999999999999</v>
      </c>
      <c r="H8">
        <v>1.25</v>
      </c>
    </row>
    <row r="9" spans="1:8" x14ac:dyDescent="0.25">
      <c r="A9" t="s">
        <v>305</v>
      </c>
      <c r="B9" t="s">
        <v>306</v>
      </c>
      <c r="C9" t="s">
        <v>284</v>
      </c>
      <c r="D9">
        <v>1</v>
      </c>
      <c r="E9">
        <v>1</v>
      </c>
      <c r="F9">
        <v>1</v>
      </c>
      <c r="G9">
        <v>1</v>
      </c>
      <c r="H9">
        <v>1.25</v>
      </c>
    </row>
    <row r="10" spans="1:8" x14ac:dyDescent="0.25">
      <c r="A10" t="s">
        <v>307</v>
      </c>
      <c r="B10" t="s">
        <v>308</v>
      </c>
      <c r="C10" t="s">
        <v>284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1:8" x14ac:dyDescent="0.25">
      <c r="A11" t="s">
        <v>309</v>
      </c>
      <c r="B11" t="s">
        <v>310</v>
      </c>
      <c r="C11" t="s">
        <v>283</v>
      </c>
      <c r="D11">
        <v>0.90909090909090906</v>
      </c>
      <c r="E11">
        <v>1</v>
      </c>
      <c r="F11">
        <v>0.90909090909090906</v>
      </c>
      <c r="G11">
        <v>1</v>
      </c>
      <c r="H11">
        <v>1</v>
      </c>
    </row>
    <row r="12" spans="1:8" x14ac:dyDescent="0.25">
      <c r="A12" t="s">
        <v>311</v>
      </c>
      <c r="B12" t="s">
        <v>312</v>
      </c>
      <c r="C12" t="s">
        <v>284</v>
      </c>
      <c r="D12">
        <v>1</v>
      </c>
      <c r="E12">
        <v>1</v>
      </c>
      <c r="F12">
        <v>1</v>
      </c>
      <c r="G12">
        <v>1</v>
      </c>
      <c r="H12">
        <v>1</v>
      </c>
    </row>
    <row r="13" spans="1:8" x14ac:dyDescent="0.25">
      <c r="A13" t="s">
        <v>313</v>
      </c>
      <c r="B13" t="s">
        <v>314</v>
      </c>
      <c r="C13" t="s">
        <v>285</v>
      </c>
      <c r="D13">
        <v>1.0909090909090908</v>
      </c>
      <c r="E13">
        <v>1</v>
      </c>
      <c r="F13">
        <v>1.0909090909090908</v>
      </c>
      <c r="G13">
        <v>1.2</v>
      </c>
      <c r="H13">
        <v>1.25</v>
      </c>
    </row>
    <row r="14" spans="1:8" x14ac:dyDescent="0.25">
      <c r="A14" t="s">
        <v>315</v>
      </c>
      <c r="B14" t="s">
        <v>316</v>
      </c>
      <c r="C14" t="s">
        <v>284</v>
      </c>
      <c r="D14">
        <v>1</v>
      </c>
      <c r="E14">
        <v>1</v>
      </c>
      <c r="F14">
        <v>1</v>
      </c>
      <c r="G14">
        <v>1</v>
      </c>
      <c r="H14">
        <v>1</v>
      </c>
    </row>
    <row r="15" spans="1:8" x14ac:dyDescent="0.25">
      <c r="A15" t="s">
        <v>317</v>
      </c>
      <c r="B15" t="s">
        <v>318</v>
      </c>
      <c r="C15" t="s">
        <v>284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8" x14ac:dyDescent="0.25">
      <c r="A16" t="s">
        <v>319</v>
      </c>
      <c r="B16" t="s">
        <v>320</v>
      </c>
      <c r="C16" t="s">
        <v>283</v>
      </c>
      <c r="D16">
        <v>0.90909090909090906</v>
      </c>
      <c r="E16">
        <v>1</v>
      </c>
      <c r="F16">
        <v>0.90909090909090906</v>
      </c>
      <c r="G16">
        <v>1</v>
      </c>
      <c r="H16">
        <v>1</v>
      </c>
    </row>
    <row r="17" spans="1:8" x14ac:dyDescent="0.25">
      <c r="A17" t="s">
        <v>321</v>
      </c>
      <c r="B17" t="s">
        <v>322</v>
      </c>
      <c r="C17" t="s">
        <v>284</v>
      </c>
      <c r="D17">
        <v>1</v>
      </c>
      <c r="E17">
        <v>1</v>
      </c>
      <c r="F17">
        <v>1</v>
      </c>
      <c r="G17">
        <v>1.2</v>
      </c>
      <c r="H17">
        <v>1</v>
      </c>
    </row>
    <row r="18" spans="1:8" x14ac:dyDescent="0.25">
      <c r="A18" t="s">
        <v>323</v>
      </c>
      <c r="B18" t="s">
        <v>324</v>
      </c>
      <c r="C18" t="s">
        <v>283</v>
      </c>
      <c r="D18">
        <v>0.90909090909090906</v>
      </c>
      <c r="E18">
        <v>1</v>
      </c>
      <c r="F18">
        <v>0.90909090909090906</v>
      </c>
      <c r="G18">
        <v>1</v>
      </c>
      <c r="H18">
        <v>1</v>
      </c>
    </row>
    <row r="19" spans="1:8" x14ac:dyDescent="0.25">
      <c r="A19" t="s">
        <v>325</v>
      </c>
      <c r="B19" t="s">
        <v>326</v>
      </c>
      <c r="C19" t="s">
        <v>283</v>
      </c>
      <c r="D19">
        <v>0.90909090909090906</v>
      </c>
      <c r="E19">
        <v>1</v>
      </c>
      <c r="F19">
        <v>0.90909090909090906</v>
      </c>
      <c r="G19">
        <v>1</v>
      </c>
      <c r="H19">
        <v>1</v>
      </c>
    </row>
    <row r="20" spans="1:8" x14ac:dyDescent="0.25">
      <c r="A20" t="s">
        <v>327</v>
      </c>
      <c r="B20" t="s">
        <v>328</v>
      </c>
      <c r="C20" t="s">
        <v>283</v>
      </c>
      <c r="D20">
        <v>0.90909090909090906</v>
      </c>
      <c r="E20">
        <v>1</v>
      </c>
      <c r="F20">
        <v>0.90909090909090906</v>
      </c>
      <c r="G20">
        <v>1</v>
      </c>
      <c r="H20">
        <v>1</v>
      </c>
    </row>
    <row r="21" spans="1:8" x14ac:dyDescent="0.25">
      <c r="A21" t="s">
        <v>329</v>
      </c>
      <c r="B21" t="s">
        <v>330</v>
      </c>
      <c r="C21" t="s">
        <v>283</v>
      </c>
      <c r="D21">
        <v>0.90909090909090906</v>
      </c>
      <c r="E21">
        <v>1</v>
      </c>
      <c r="F21">
        <v>0.90909090909090906</v>
      </c>
      <c r="G21">
        <v>1</v>
      </c>
      <c r="H21">
        <v>1</v>
      </c>
    </row>
    <row r="22" spans="1:8" x14ac:dyDescent="0.25">
      <c r="A22" t="s">
        <v>331</v>
      </c>
      <c r="B22" t="s">
        <v>332</v>
      </c>
      <c r="C22" t="s">
        <v>284</v>
      </c>
      <c r="D22">
        <v>1</v>
      </c>
      <c r="E22">
        <v>1</v>
      </c>
      <c r="F22">
        <v>1</v>
      </c>
      <c r="G22">
        <v>1</v>
      </c>
      <c r="H22">
        <v>1</v>
      </c>
    </row>
    <row r="23" spans="1:8" x14ac:dyDescent="0.25">
      <c r="A23" t="s">
        <v>333</v>
      </c>
      <c r="B23" t="s">
        <v>334</v>
      </c>
      <c r="C23" t="s">
        <v>283</v>
      </c>
      <c r="D23">
        <v>0.90909090909090906</v>
      </c>
      <c r="E23">
        <v>1</v>
      </c>
      <c r="F23">
        <v>0.90909090909090906</v>
      </c>
      <c r="G23">
        <v>1</v>
      </c>
      <c r="H23">
        <v>1</v>
      </c>
    </row>
    <row r="24" spans="1:8" x14ac:dyDescent="0.25">
      <c r="A24" t="s">
        <v>335</v>
      </c>
      <c r="B24" t="s">
        <v>336</v>
      </c>
      <c r="C24" t="s">
        <v>284</v>
      </c>
      <c r="D24">
        <v>1</v>
      </c>
      <c r="E24">
        <v>1</v>
      </c>
      <c r="F24">
        <v>1</v>
      </c>
      <c r="G24">
        <v>1</v>
      </c>
      <c r="H24">
        <v>1</v>
      </c>
    </row>
    <row r="25" spans="1:8" x14ac:dyDescent="0.25">
      <c r="A25" t="s">
        <v>337</v>
      </c>
      <c r="B25" t="s">
        <v>338</v>
      </c>
      <c r="C25" t="s">
        <v>284</v>
      </c>
      <c r="D25">
        <v>1</v>
      </c>
      <c r="E25">
        <v>1</v>
      </c>
      <c r="F25">
        <v>1</v>
      </c>
      <c r="G25">
        <v>1</v>
      </c>
      <c r="H25">
        <v>1</v>
      </c>
    </row>
    <row r="26" spans="1:8" x14ac:dyDescent="0.25">
      <c r="A26" t="s">
        <v>339</v>
      </c>
      <c r="B26" t="s">
        <v>340</v>
      </c>
      <c r="C26" t="s">
        <v>284</v>
      </c>
      <c r="D26">
        <v>1</v>
      </c>
      <c r="E26">
        <v>1</v>
      </c>
      <c r="F26">
        <v>1</v>
      </c>
      <c r="G26">
        <v>1</v>
      </c>
      <c r="H26">
        <v>1</v>
      </c>
    </row>
    <row r="27" spans="1:8" x14ac:dyDescent="0.25">
      <c r="A27" t="s">
        <v>341</v>
      </c>
      <c r="B27" t="s">
        <v>342</v>
      </c>
      <c r="C27" t="s">
        <v>283</v>
      </c>
      <c r="D27">
        <v>0.90909090909090906</v>
      </c>
      <c r="E27">
        <v>1</v>
      </c>
      <c r="F27">
        <v>0.90909090909090906</v>
      </c>
      <c r="G27">
        <v>1</v>
      </c>
      <c r="H27">
        <v>1</v>
      </c>
    </row>
    <row r="28" spans="1:8" x14ac:dyDescent="0.25">
      <c r="A28" t="s">
        <v>343</v>
      </c>
      <c r="B28" t="s">
        <v>344</v>
      </c>
      <c r="C28" t="s">
        <v>284</v>
      </c>
      <c r="D28">
        <v>1</v>
      </c>
      <c r="E28">
        <v>1</v>
      </c>
      <c r="F28">
        <v>1</v>
      </c>
      <c r="G28">
        <v>1</v>
      </c>
      <c r="H28">
        <v>1</v>
      </c>
    </row>
    <row r="29" spans="1:8" x14ac:dyDescent="0.25">
      <c r="A29" t="s">
        <v>345</v>
      </c>
      <c r="B29" t="s">
        <v>346</v>
      </c>
      <c r="C29" t="s">
        <v>284</v>
      </c>
      <c r="D29">
        <v>1</v>
      </c>
      <c r="E29">
        <v>1</v>
      </c>
      <c r="F29">
        <v>1</v>
      </c>
      <c r="G29">
        <v>1.2</v>
      </c>
      <c r="H29">
        <v>1</v>
      </c>
    </row>
    <row r="30" spans="1:8" x14ac:dyDescent="0.25">
      <c r="A30" t="s">
        <v>347</v>
      </c>
      <c r="B30" t="s">
        <v>348</v>
      </c>
      <c r="C30" t="s">
        <v>283</v>
      </c>
      <c r="D30">
        <v>0.90909090909090906</v>
      </c>
      <c r="E30">
        <v>1</v>
      </c>
      <c r="F30">
        <v>0.90909090909090906</v>
      </c>
      <c r="G30">
        <v>1</v>
      </c>
      <c r="H30">
        <v>1</v>
      </c>
    </row>
    <row r="31" spans="1:8" x14ac:dyDescent="0.25">
      <c r="A31" t="s">
        <v>349</v>
      </c>
      <c r="B31" t="s">
        <v>350</v>
      </c>
      <c r="C31" t="s">
        <v>283</v>
      </c>
      <c r="D31">
        <v>0.90909090909090906</v>
      </c>
      <c r="E31">
        <v>1</v>
      </c>
      <c r="F31">
        <v>0.90909090909090906</v>
      </c>
      <c r="G31">
        <v>1</v>
      </c>
      <c r="H31">
        <v>1</v>
      </c>
    </row>
    <row r="32" spans="1:8" x14ac:dyDescent="0.25">
      <c r="A32" t="s">
        <v>351</v>
      </c>
      <c r="B32" t="s">
        <v>352</v>
      </c>
      <c r="C32" t="s">
        <v>284</v>
      </c>
      <c r="D32">
        <v>1</v>
      </c>
      <c r="E32">
        <v>1</v>
      </c>
      <c r="F32">
        <v>1</v>
      </c>
      <c r="G32">
        <v>1.2</v>
      </c>
      <c r="H32">
        <v>1</v>
      </c>
    </row>
    <row r="33" spans="1:8" x14ac:dyDescent="0.25">
      <c r="A33" t="s">
        <v>353</v>
      </c>
      <c r="B33" t="s">
        <v>354</v>
      </c>
      <c r="C33" t="s">
        <v>284</v>
      </c>
      <c r="D33">
        <v>1</v>
      </c>
      <c r="E33">
        <v>1</v>
      </c>
      <c r="F33">
        <v>1</v>
      </c>
      <c r="G33">
        <v>1</v>
      </c>
      <c r="H33">
        <v>1</v>
      </c>
    </row>
    <row r="34" spans="1:8" x14ac:dyDescent="0.25">
      <c r="A34" t="s">
        <v>355</v>
      </c>
      <c r="B34" t="s">
        <v>356</v>
      </c>
      <c r="C34" t="s">
        <v>284</v>
      </c>
      <c r="D34">
        <v>1</v>
      </c>
      <c r="E34">
        <v>1</v>
      </c>
      <c r="F34">
        <v>1</v>
      </c>
      <c r="G34">
        <v>1</v>
      </c>
      <c r="H34">
        <v>1.25</v>
      </c>
    </row>
    <row r="35" spans="1:8" x14ac:dyDescent="0.25">
      <c r="A35" t="s">
        <v>357</v>
      </c>
      <c r="B35" t="s">
        <v>358</v>
      </c>
      <c r="C35" t="s">
        <v>283</v>
      </c>
      <c r="D35">
        <v>0.90909090909090906</v>
      </c>
      <c r="E35">
        <v>1</v>
      </c>
      <c r="F35">
        <v>0.90909090909090906</v>
      </c>
      <c r="G35">
        <v>1</v>
      </c>
      <c r="H35">
        <v>1</v>
      </c>
    </row>
    <row r="36" spans="1:8" x14ac:dyDescent="0.25">
      <c r="A36" t="s">
        <v>359</v>
      </c>
      <c r="B36" t="s">
        <v>360</v>
      </c>
      <c r="C36" t="s">
        <v>285</v>
      </c>
      <c r="D36">
        <v>1.0909090909090908</v>
      </c>
      <c r="E36">
        <v>1</v>
      </c>
      <c r="F36">
        <v>1.0909090909090908</v>
      </c>
      <c r="G36">
        <v>1.2</v>
      </c>
      <c r="H36">
        <v>1.25</v>
      </c>
    </row>
    <row r="37" spans="1:8" x14ac:dyDescent="0.25">
      <c r="A37" t="s">
        <v>361</v>
      </c>
      <c r="B37" t="s">
        <v>360</v>
      </c>
      <c r="C37" t="s">
        <v>284</v>
      </c>
      <c r="D37">
        <v>1</v>
      </c>
      <c r="E37">
        <v>1</v>
      </c>
      <c r="F37">
        <v>1</v>
      </c>
      <c r="G37">
        <v>1.2</v>
      </c>
      <c r="H37">
        <v>1.25</v>
      </c>
    </row>
    <row r="38" spans="1:8" x14ac:dyDescent="0.25">
      <c r="A38" t="s">
        <v>362</v>
      </c>
      <c r="B38" t="s">
        <v>363</v>
      </c>
      <c r="C38" t="s">
        <v>284</v>
      </c>
      <c r="D38">
        <v>1</v>
      </c>
      <c r="E38">
        <v>1</v>
      </c>
      <c r="F38">
        <v>1</v>
      </c>
      <c r="G38">
        <v>1</v>
      </c>
      <c r="H38">
        <v>1</v>
      </c>
    </row>
    <row r="39" spans="1:8" x14ac:dyDescent="0.25">
      <c r="A39" t="s">
        <v>364</v>
      </c>
      <c r="B39" t="s">
        <v>365</v>
      </c>
      <c r="C39" t="s">
        <v>283</v>
      </c>
      <c r="D39">
        <v>0.90909090909090906</v>
      </c>
      <c r="E39">
        <v>1</v>
      </c>
      <c r="F39">
        <v>0.90909090909090906</v>
      </c>
      <c r="G39">
        <v>1</v>
      </c>
      <c r="H39">
        <v>1</v>
      </c>
    </row>
    <row r="40" spans="1:8" x14ac:dyDescent="0.25">
      <c r="A40" t="s">
        <v>366</v>
      </c>
      <c r="B40" t="s">
        <v>367</v>
      </c>
      <c r="C40" t="s">
        <v>284</v>
      </c>
      <c r="D40">
        <v>1</v>
      </c>
      <c r="E40">
        <v>1</v>
      </c>
      <c r="F40">
        <v>1</v>
      </c>
      <c r="G40">
        <v>1.2</v>
      </c>
      <c r="H40">
        <v>1</v>
      </c>
    </row>
    <row r="41" spans="1:8" x14ac:dyDescent="0.25">
      <c r="A41" t="s">
        <v>368</v>
      </c>
      <c r="B41" t="s">
        <v>369</v>
      </c>
      <c r="C41" t="s">
        <v>283</v>
      </c>
      <c r="D41">
        <v>0.90909090909090906</v>
      </c>
      <c r="E41">
        <v>1</v>
      </c>
      <c r="F41">
        <v>0.90909090909090906</v>
      </c>
      <c r="G41">
        <v>1</v>
      </c>
      <c r="H41">
        <v>1</v>
      </c>
    </row>
    <row r="42" spans="1:8" x14ac:dyDescent="0.25">
      <c r="A42" t="s">
        <v>370</v>
      </c>
      <c r="B42" t="s">
        <v>371</v>
      </c>
      <c r="C42" t="s">
        <v>284</v>
      </c>
      <c r="D42">
        <v>1</v>
      </c>
      <c r="E42">
        <v>1</v>
      </c>
      <c r="F42">
        <v>1</v>
      </c>
      <c r="G42">
        <v>1</v>
      </c>
      <c r="H42">
        <v>1</v>
      </c>
    </row>
    <row r="43" spans="1:8" x14ac:dyDescent="0.25">
      <c r="A43" t="s">
        <v>372</v>
      </c>
      <c r="B43" t="s">
        <v>373</v>
      </c>
      <c r="C43" t="s">
        <v>284</v>
      </c>
      <c r="D43">
        <v>1</v>
      </c>
      <c r="E43">
        <v>1</v>
      </c>
      <c r="F43">
        <v>1</v>
      </c>
      <c r="G43">
        <v>1.2</v>
      </c>
      <c r="H43">
        <v>1</v>
      </c>
    </row>
    <row r="44" spans="1:8" x14ac:dyDescent="0.25">
      <c r="A44" t="s">
        <v>374</v>
      </c>
      <c r="B44" t="s">
        <v>375</v>
      </c>
      <c r="C44" t="s">
        <v>284</v>
      </c>
      <c r="D44">
        <v>1</v>
      </c>
      <c r="E44">
        <v>1</v>
      </c>
      <c r="F44">
        <v>1</v>
      </c>
      <c r="G44">
        <v>1</v>
      </c>
      <c r="H44">
        <v>1</v>
      </c>
    </row>
    <row r="45" spans="1:8" x14ac:dyDescent="0.25">
      <c r="A45" t="s">
        <v>376</v>
      </c>
      <c r="B45" t="s">
        <v>377</v>
      </c>
      <c r="C45" t="s">
        <v>284</v>
      </c>
      <c r="D45">
        <v>1</v>
      </c>
      <c r="E45">
        <v>1</v>
      </c>
      <c r="F45">
        <v>1</v>
      </c>
      <c r="G45">
        <v>1</v>
      </c>
      <c r="H45">
        <v>1</v>
      </c>
    </row>
    <row r="46" spans="1:8" x14ac:dyDescent="0.25">
      <c r="A46" t="s">
        <v>378</v>
      </c>
      <c r="B46" t="s">
        <v>379</v>
      </c>
      <c r="C46" t="s">
        <v>283</v>
      </c>
      <c r="D46">
        <v>0.90909090909090906</v>
      </c>
      <c r="E46">
        <v>1</v>
      </c>
      <c r="F46">
        <v>0.90909090909090906</v>
      </c>
      <c r="G46">
        <v>1</v>
      </c>
      <c r="H46">
        <v>1</v>
      </c>
    </row>
    <row r="47" spans="1:8" x14ac:dyDescent="0.25">
      <c r="A47" t="s">
        <v>380</v>
      </c>
      <c r="B47" t="s">
        <v>381</v>
      </c>
      <c r="C47" t="s">
        <v>284</v>
      </c>
      <c r="D47">
        <v>1</v>
      </c>
      <c r="E47">
        <v>1</v>
      </c>
      <c r="F47">
        <v>1</v>
      </c>
      <c r="G47">
        <v>1</v>
      </c>
      <c r="H47">
        <v>1</v>
      </c>
    </row>
    <row r="48" spans="1:8" x14ac:dyDescent="0.25">
      <c r="A48" t="s">
        <v>382</v>
      </c>
      <c r="B48" t="s">
        <v>383</v>
      </c>
      <c r="C48" t="s">
        <v>284</v>
      </c>
      <c r="D48">
        <v>1</v>
      </c>
      <c r="E48">
        <v>1</v>
      </c>
      <c r="F48">
        <v>1</v>
      </c>
      <c r="G48">
        <v>1</v>
      </c>
      <c r="H48">
        <v>1.25</v>
      </c>
    </row>
    <row r="49" spans="1:8" x14ac:dyDescent="0.25">
      <c r="A49" t="s">
        <v>384</v>
      </c>
      <c r="B49" t="s">
        <v>385</v>
      </c>
      <c r="C49" t="s">
        <v>283</v>
      </c>
      <c r="D49">
        <v>0.90909090909090906</v>
      </c>
      <c r="E49">
        <v>1</v>
      </c>
      <c r="F49">
        <v>0.90909090909090906</v>
      </c>
      <c r="G49">
        <v>1</v>
      </c>
      <c r="H49">
        <v>1</v>
      </c>
    </row>
    <row r="50" spans="1:8" x14ac:dyDescent="0.25">
      <c r="A50" t="s">
        <v>386</v>
      </c>
      <c r="B50" t="s">
        <v>387</v>
      </c>
      <c r="C50" t="s">
        <v>283</v>
      </c>
      <c r="D50">
        <v>0.90909090909090906</v>
      </c>
      <c r="E50">
        <v>1</v>
      </c>
      <c r="F50">
        <v>0.90909090909090906</v>
      </c>
      <c r="G50">
        <v>1</v>
      </c>
      <c r="H50">
        <v>1</v>
      </c>
    </row>
    <row r="51" spans="1:8" x14ac:dyDescent="0.25">
      <c r="A51" t="s">
        <v>388</v>
      </c>
      <c r="B51" t="s">
        <v>389</v>
      </c>
      <c r="C51" t="s">
        <v>284</v>
      </c>
      <c r="D51">
        <v>1</v>
      </c>
      <c r="E51">
        <v>1</v>
      </c>
      <c r="F51">
        <v>1</v>
      </c>
      <c r="G51">
        <v>1</v>
      </c>
      <c r="H51">
        <v>1</v>
      </c>
    </row>
    <row r="52" spans="1:8" x14ac:dyDescent="0.25">
      <c r="A52" t="s">
        <v>390</v>
      </c>
      <c r="B52" t="s">
        <v>391</v>
      </c>
      <c r="C52" t="s">
        <v>284</v>
      </c>
      <c r="D52">
        <v>1</v>
      </c>
      <c r="E52">
        <v>1</v>
      </c>
      <c r="F52">
        <v>1</v>
      </c>
      <c r="G52">
        <v>1.2</v>
      </c>
      <c r="H52">
        <v>1</v>
      </c>
    </row>
    <row r="53" spans="1:8" x14ac:dyDescent="0.25">
      <c r="A53" t="s">
        <v>392</v>
      </c>
      <c r="B53" t="s">
        <v>393</v>
      </c>
      <c r="C53" t="s">
        <v>284</v>
      </c>
      <c r="D53">
        <v>1</v>
      </c>
      <c r="E53">
        <v>1</v>
      </c>
      <c r="F53">
        <v>1</v>
      </c>
      <c r="G53">
        <v>1.2</v>
      </c>
      <c r="H53">
        <v>1</v>
      </c>
    </row>
    <row r="54" spans="1:8" x14ac:dyDescent="0.25">
      <c r="A54" t="s">
        <v>394</v>
      </c>
      <c r="B54" t="s">
        <v>395</v>
      </c>
      <c r="C54" t="s">
        <v>283</v>
      </c>
      <c r="D54">
        <v>0.90909090909090906</v>
      </c>
      <c r="E54">
        <v>1</v>
      </c>
      <c r="F54">
        <v>0.90909090909090906</v>
      </c>
      <c r="G54">
        <v>1</v>
      </c>
      <c r="H54">
        <v>1</v>
      </c>
    </row>
    <row r="55" spans="1:8" x14ac:dyDescent="0.25">
      <c r="A55" t="s">
        <v>396</v>
      </c>
      <c r="B55" t="s">
        <v>397</v>
      </c>
      <c r="C55" t="s">
        <v>283</v>
      </c>
      <c r="D55">
        <v>0.90909090909090906</v>
      </c>
      <c r="E55">
        <v>1</v>
      </c>
      <c r="F55">
        <v>0.90909090909090906</v>
      </c>
      <c r="G55">
        <v>1</v>
      </c>
      <c r="H55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1CC37-F750-46E1-ACCA-BA0C9285D705}">
  <dimension ref="A1:C50"/>
  <sheetViews>
    <sheetView zoomScale="85" zoomScaleNormal="85" workbookViewId="0"/>
  </sheetViews>
  <sheetFormatPr defaultRowHeight="15" x14ac:dyDescent="0.25"/>
  <cols>
    <col min="1" max="1" width="40.7109375" bestFit="1" customWidth="1"/>
    <col min="2" max="2" width="35.42578125" bestFit="1" customWidth="1"/>
    <col min="3" max="3" width="17.5703125" bestFit="1" customWidth="1"/>
  </cols>
  <sheetData>
    <row r="1" spans="1:3" x14ac:dyDescent="0.25">
      <c r="A1" t="s">
        <v>398</v>
      </c>
      <c r="B1" t="s">
        <v>399</v>
      </c>
      <c r="C1" t="s">
        <v>400</v>
      </c>
    </row>
    <row r="2" spans="1:3" x14ac:dyDescent="0.25">
      <c r="A2" t="s">
        <v>211</v>
      </c>
      <c r="B2" t="s">
        <v>401</v>
      </c>
      <c r="C2">
        <v>0.4</v>
      </c>
    </row>
    <row r="3" spans="1:3" x14ac:dyDescent="0.25">
      <c r="A3" t="s">
        <v>227</v>
      </c>
      <c r="B3" t="s">
        <v>401</v>
      </c>
      <c r="C3">
        <v>0.7</v>
      </c>
    </row>
    <row r="4" spans="1:3" x14ac:dyDescent="0.25">
      <c r="A4" t="s">
        <v>212</v>
      </c>
      <c r="B4" t="s">
        <v>401</v>
      </c>
      <c r="C4">
        <v>1</v>
      </c>
    </row>
    <row r="5" spans="1:3" x14ac:dyDescent="0.25">
      <c r="A5" t="s">
        <v>213</v>
      </c>
      <c r="B5" t="s">
        <v>401</v>
      </c>
      <c r="C5">
        <v>0.5</v>
      </c>
    </row>
    <row r="6" spans="1:3" x14ac:dyDescent="0.25">
      <c r="A6" t="s">
        <v>214</v>
      </c>
      <c r="B6" t="s">
        <v>401</v>
      </c>
      <c r="C6">
        <v>0.7</v>
      </c>
    </row>
    <row r="7" spans="1:3" x14ac:dyDescent="0.25">
      <c r="A7" t="s">
        <v>215</v>
      </c>
      <c r="B7" t="s">
        <v>401</v>
      </c>
      <c r="C7">
        <v>0.7</v>
      </c>
    </row>
    <row r="8" spans="1:3" x14ac:dyDescent="0.25">
      <c r="A8" t="s">
        <v>216</v>
      </c>
      <c r="B8" t="s">
        <v>401</v>
      </c>
      <c r="C8">
        <v>1</v>
      </c>
    </row>
    <row r="9" spans="1:3" x14ac:dyDescent="0.25">
      <c r="A9" t="s">
        <v>228</v>
      </c>
      <c r="B9" t="s">
        <v>401</v>
      </c>
      <c r="C9">
        <v>0.5</v>
      </c>
    </row>
    <row r="10" spans="1:3" x14ac:dyDescent="0.25">
      <c r="A10" t="s">
        <v>229</v>
      </c>
      <c r="B10" t="s">
        <v>401</v>
      </c>
      <c r="C10">
        <v>0.5</v>
      </c>
    </row>
    <row r="11" spans="1:3" x14ac:dyDescent="0.25">
      <c r="A11" t="s">
        <v>241</v>
      </c>
      <c r="B11" t="s">
        <v>401</v>
      </c>
      <c r="C11">
        <v>0.6</v>
      </c>
    </row>
    <row r="12" spans="1:3" x14ac:dyDescent="0.25">
      <c r="A12" t="s">
        <v>230</v>
      </c>
      <c r="B12" t="s">
        <v>243</v>
      </c>
      <c r="C12">
        <v>0.25</v>
      </c>
    </row>
    <row r="13" spans="1:3" x14ac:dyDescent="0.25">
      <c r="A13" t="s">
        <v>231</v>
      </c>
      <c r="B13" t="s">
        <v>255</v>
      </c>
      <c r="C13">
        <v>0.6</v>
      </c>
    </row>
    <row r="14" spans="1:3" x14ac:dyDescent="0.25">
      <c r="A14" t="s">
        <v>232</v>
      </c>
      <c r="B14" t="s">
        <v>401</v>
      </c>
      <c r="C14">
        <v>0.25</v>
      </c>
    </row>
    <row r="15" spans="1:3" x14ac:dyDescent="0.25">
      <c r="A15" t="s">
        <v>217</v>
      </c>
      <c r="B15" t="s">
        <v>257</v>
      </c>
      <c r="C15">
        <v>0.75</v>
      </c>
    </row>
    <row r="16" spans="1:3" x14ac:dyDescent="0.25">
      <c r="A16" t="s">
        <v>233</v>
      </c>
      <c r="B16" t="s">
        <v>401</v>
      </c>
      <c r="C16">
        <v>0.25</v>
      </c>
    </row>
    <row r="17" spans="1:3" x14ac:dyDescent="0.25">
      <c r="A17" t="s">
        <v>218</v>
      </c>
      <c r="B17" t="s">
        <v>401</v>
      </c>
      <c r="C17">
        <v>1.5</v>
      </c>
    </row>
    <row r="18" spans="1:3" x14ac:dyDescent="0.25">
      <c r="A18" t="s">
        <v>235</v>
      </c>
      <c r="B18" t="s">
        <v>250</v>
      </c>
      <c r="C18">
        <v>0.6</v>
      </c>
    </row>
    <row r="19" spans="1:3" x14ac:dyDescent="0.25">
      <c r="A19" t="s">
        <v>236</v>
      </c>
      <c r="B19" t="s">
        <v>401</v>
      </c>
      <c r="C19">
        <v>0.25</v>
      </c>
    </row>
    <row r="20" spans="1:3" x14ac:dyDescent="0.25">
      <c r="A20" t="s">
        <v>237</v>
      </c>
      <c r="B20" t="s">
        <v>245</v>
      </c>
      <c r="C20">
        <v>0.25</v>
      </c>
    </row>
    <row r="21" spans="1:3" x14ac:dyDescent="0.25">
      <c r="A21" t="s">
        <v>242</v>
      </c>
      <c r="B21" t="s">
        <v>401</v>
      </c>
      <c r="C21">
        <v>0.7</v>
      </c>
    </row>
    <row r="22" spans="1:3" x14ac:dyDescent="0.25">
      <c r="A22" t="s">
        <v>219</v>
      </c>
      <c r="B22" t="s">
        <v>244</v>
      </c>
      <c r="C22">
        <v>0.5</v>
      </c>
    </row>
    <row r="23" spans="1:3" x14ac:dyDescent="0.25">
      <c r="A23" t="s">
        <v>238</v>
      </c>
      <c r="B23" t="s">
        <v>401</v>
      </c>
      <c r="C23">
        <v>0.35</v>
      </c>
    </row>
    <row r="24" spans="1:3" x14ac:dyDescent="0.25">
      <c r="A24" t="s">
        <v>220</v>
      </c>
      <c r="B24" t="s">
        <v>401</v>
      </c>
      <c r="C24">
        <v>1.5</v>
      </c>
    </row>
    <row r="25" spans="1:3" x14ac:dyDescent="0.25">
      <c r="A25" t="s">
        <v>234</v>
      </c>
      <c r="B25" t="s">
        <v>401</v>
      </c>
      <c r="C25">
        <v>0.6</v>
      </c>
    </row>
    <row r="26" spans="1:3" x14ac:dyDescent="0.25">
      <c r="A26" t="s">
        <v>221</v>
      </c>
      <c r="B26" t="s">
        <v>401</v>
      </c>
      <c r="C26">
        <v>0.5</v>
      </c>
    </row>
    <row r="27" spans="1:3" x14ac:dyDescent="0.25">
      <c r="A27" t="s">
        <v>222</v>
      </c>
      <c r="B27" t="s">
        <v>266</v>
      </c>
      <c r="C27">
        <v>0.5</v>
      </c>
    </row>
    <row r="28" spans="1:3" x14ac:dyDescent="0.25">
      <c r="A28" t="s">
        <v>223</v>
      </c>
      <c r="B28" t="s">
        <v>401</v>
      </c>
      <c r="C28">
        <v>1</v>
      </c>
    </row>
    <row r="29" spans="1:3" x14ac:dyDescent="0.25">
      <c r="A29" t="s">
        <v>225</v>
      </c>
      <c r="B29" t="s">
        <v>401</v>
      </c>
      <c r="C29">
        <v>1.4</v>
      </c>
    </row>
    <row r="30" spans="1:3" x14ac:dyDescent="0.25">
      <c r="A30" t="s">
        <v>224</v>
      </c>
      <c r="B30" t="s">
        <v>401</v>
      </c>
      <c r="C30">
        <v>0.9</v>
      </c>
    </row>
    <row r="31" spans="1:3" x14ac:dyDescent="0.25">
      <c r="A31" t="s">
        <v>226</v>
      </c>
      <c r="B31" t="s">
        <v>248</v>
      </c>
      <c r="C31">
        <v>1</v>
      </c>
    </row>
    <row r="32" spans="1:3" x14ac:dyDescent="0.25">
      <c r="A32" t="s">
        <v>239</v>
      </c>
      <c r="B32" t="s">
        <v>401</v>
      </c>
      <c r="C32">
        <v>0.7</v>
      </c>
    </row>
    <row r="33" spans="1:3" x14ac:dyDescent="0.25">
      <c r="A33" t="s">
        <v>240</v>
      </c>
      <c r="B33" t="s">
        <v>401</v>
      </c>
      <c r="C33">
        <v>1</v>
      </c>
    </row>
    <row r="34" spans="1:3" x14ac:dyDescent="0.25">
      <c r="A34" t="s">
        <v>401</v>
      </c>
      <c r="B34" t="s">
        <v>256</v>
      </c>
      <c r="C34">
        <v>1</v>
      </c>
    </row>
    <row r="35" spans="1:3" x14ac:dyDescent="0.25">
      <c r="A35" t="s">
        <v>401</v>
      </c>
      <c r="B35" t="s">
        <v>264</v>
      </c>
      <c r="C35">
        <v>1.5</v>
      </c>
    </row>
    <row r="36" spans="1:3" x14ac:dyDescent="0.25">
      <c r="A36" t="s">
        <v>401</v>
      </c>
      <c r="B36" t="s">
        <v>247</v>
      </c>
      <c r="C36">
        <v>0.75</v>
      </c>
    </row>
    <row r="37" spans="1:3" x14ac:dyDescent="0.25">
      <c r="A37" t="s">
        <v>401</v>
      </c>
      <c r="B37" t="s">
        <v>261</v>
      </c>
      <c r="C37">
        <v>1.5</v>
      </c>
    </row>
    <row r="38" spans="1:3" x14ac:dyDescent="0.25">
      <c r="A38" t="s">
        <v>401</v>
      </c>
      <c r="B38" t="s">
        <v>253</v>
      </c>
      <c r="C38">
        <v>1</v>
      </c>
    </row>
    <row r="39" spans="1:3" x14ac:dyDescent="0.25">
      <c r="A39" t="s">
        <v>401</v>
      </c>
      <c r="B39" t="s">
        <v>262</v>
      </c>
      <c r="C39">
        <v>1.5</v>
      </c>
    </row>
    <row r="40" spans="1:3" x14ac:dyDescent="0.25">
      <c r="A40" t="s">
        <v>401</v>
      </c>
      <c r="B40" t="s">
        <v>251</v>
      </c>
      <c r="C40">
        <v>1</v>
      </c>
    </row>
    <row r="41" spans="1:3" x14ac:dyDescent="0.25">
      <c r="A41" t="s">
        <v>401</v>
      </c>
      <c r="B41" t="s">
        <v>260</v>
      </c>
      <c r="C41">
        <v>1.5</v>
      </c>
    </row>
    <row r="42" spans="1:3" x14ac:dyDescent="0.25">
      <c r="A42" t="s">
        <v>401</v>
      </c>
      <c r="B42" t="s">
        <v>267</v>
      </c>
      <c r="C42">
        <v>1.5</v>
      </c>
    </row>
    <row r="43" spans="1:3" x14ac:dyDescent="0.25">
      <c r="A43" t="s">
        <v>401</v>
      </c>
      <c r="B43" t="s">
        <v>254</v>
      </c>
      <c r="C43">
        <v>1</v>
      </c>
    </row>
    <row r="44" spans="1:3" x14ac:dyDescent="0.25">
      <c r="A44" t="s">
        <v>401</v>
      </c>
      <c r="B44" t="s">
        <v>249</v>
      </c>
      <c r="C44">
        <v>0.75</v>
      </c>
    </row>
    <row r="45" spans="1:3" x14ac:dyDescent="0.25">
      <c r="A45" t="s">
        <v>401</v>
      </c>
      <c r="B45" t="s">
        <v>246</v>
      </c>
      <c r="C45">
        <v>0.75</v>
      </c>
    </row>
    <row r="46" spans="1:3" x14ac:dyDescent="0.25">
      <c r="A46" t="s">
        <v>401</v>
      </c>
      <c r="B46" t="s">
        <v>259</v>
      </c>
      <c r="C46">
        <v>1</v>
      </c>
    </row>
    <row r="47" spans="1:3" x14ac:dyDescent="0.25">
      <c r="A47" t="s">
        <v>401</v>
      </c>
      <c r="B47" t="s">
        <v>263</v>
      </c>
      <c r="C47">
        <v>1.5</v>
      </c>
    </row>
    <row r="48" spans="1:3" x14ac:dyDescent="0.25">
      <c r="A48" t="s">
        <v>401</v>
      </c>
      <c r="B48" t="s">
        <v>252</v>
      </c>
      <c r="C48">
        <v>1</v>
      </c>
    </row>
    <row r="49" spans="1:3" x14ac:dyDescent="0.25">
      <c r="A49" t="s">
        <v>401</v>
      </c>
      <c r="B49" t="s">
        <v>258</v>
      </c>
      <c r="C49">
        <v>1</v>
      </c>
    </row>
    <row r="50" spans="1:3" x14ac:dyDescent="0.25">
      <c r="A50" t="s">
        <v>401</v>
      </c>
      <c r="B50" t="s">
        <v>265</v>
      </c>
      <c r="C50">
        <v>1.5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8D59-6B7B-4E8A-AA21-B62A305ACAD7}">
  <dimension ref="A1:F26"/>
  <sheetViews>
    <sheetView workbookViewId="0"/>
  </sheetViews>
  <sheetFormatPr defaultRowHeight="15" x14ac:dyDescent="0.25"/>
  <cols>
    <col min="1" max="1" width="19" bestFit="1" customWidth="1"/>
    <col min="2" max="3" width="19" customWidth="1"/>
  </cols>
  <sheetData>
    <row r="1" spans="1:6" x14ac:dyDescent="0.25">
      <c r="A1" t="s">
        <v>402</v>
      </c>
      <c r="B1" t="s">
        <v>12</v>
      </c>
      <c r="C1" t="s">
        <v>13</v>
      </c>
      <c r="D1" t="s">
        <v>202</v>
      </c>
      <c r="E1" t="s">
        <v>203</v>
      </c>
      <c r="F1" t="s">
        <v>430</v>
      </c>
    </row>
    <row r="2" spans="1:6" x14ac:dyDescent="0.25">
      <c r="A2" t="s">
        <v>403</v>
      </c>
      <c r="B2" s="1">
        <f>$C$2</f>
        <v>1000000</v>
      </c>
      <c r="C2" s="1">
        <v>1000000</v>
      </c>
      <c r="D2">
        <v>0.35</v>
      </c>
      <c r="E2">
        <v>0.5</v>
      </c>
      <c r="F2">
        <v>0.5</v>
      </c>
    </row>
    <row r="3" spans="1:6" x14ac:dyDescent="0.25">
      <c r="A3" t="s">
        <v>404</v>
      </c>
      <c r="B3" s="1">
        <f t="shared" ref="B3:B6" si="0">$C$2</f>
        <v>1000000</v>
      </c>
      <c r="C3" s="1">
        <f>C2+1000000</f>
        <v>2000000</v>
      </c>
      <c r="D3">
        <v>0.31818181818181812</v>
      </c>
      <c r="E3">
        <v>0.45454545454545453</v>
      </c>
      <c r="F3">
        <v>0.45454545454545453</v>
      </c>
    </row>
    <row r="4" spans="1:6" x14ac:dyDescent="0.25">
      <c r="A4" t="s">
        <v>405</v>
      </c>
      <c r="B4" s="1">
        <f t="shared" si="0"/>
        <v>1000000</v>
      </c>
      <c r="C4" s="1">
        <f t="shared" ref="C4:C6" si="1">C3+1000000</f>
        <v>3000000</v>
      </c>
      <c r="D4">
        <v>0.28925619834710736</v>
      </c>
      <c r="E4">
        <v>0.41322314049586772</v>
      </c>
      <c r="F4">
        <v>0.41322314049586772</v>
      </c>
    </row>
    <row r="5" spans="1:6" x14ac:dyDescent="0.25">
      <c r="A5" t="s">
        <v>406</v>
      </c>
      <c r="B5" s="1">
        <f t="shared" si="0"/>
        <v>1000000</v>
      </c>
      <c r="C5" s="1">
        <f t="shared" si="1"/>
        <v>4000000</v>
      </c>
      <c r="D5">
        <v>0.26296018031555213</v>
      </c>
      <c r="E5">
        <v>0.37565740045078883</v>
      </c>
      <c r="F5">
        <v>0.37565740045078883</v>
      </c>
    </row>
    <row r="6" spans="1:6" x14ac:dyDescent="0.25">
      <c r="A6" t="s">
        <v>407</v>
      </c>
      <c r="B6" s="1">
        <f t="shared" si="0"/>
        <v>1000000</v>
      </c>
      <c r="C6" s="1">
        <f t="shared" si="1"/>
        <v>5000000</v>
      </c>
      <c r="D6">
        <v>0.23905470937777465</v>
      </c>
      <c r="E6">
        <v>0.34150672768253526</v>
      </c>
      <c r="F6">
        <v>0.34150672768253526</v>
      </c>
    </row>
    <row r="7" spans="1:6" x14ac:dyDescent="0.25">
      <c r="A7" t="s">
        <v>408</v>
      </c>
      <c r="B7" s="1">
        <v>2000000</v>
      </c>
      <c r="C7" s="1">
        <f>C2</f>
        <v>1000000</v>
      </c>
      <c r="D7">
        <v>0.66</v>
      </c>
      <c r="E7">
        <v>0.8</v>
      </c>
      <c r="F7">
        <v>0.8</v>
      </c>
    </row>
    <row r="8" spans="1:6" x14ac:dyDescent="0.25">
      <c r="A8" t="s">
        <v>409</v>
      </c>
      <c r="B8" s="1">
        <v>2000000</v>
      </c>
      <c r="C8" s="1">
        <f t="shared" ref="C8:C26" si="2">C3</f>
        <v>2000000</v>
      </c>
      <c r="D8">
        <v>0.45454545454545453</v>
      </c>
      <c r="E8">
        <v>0.59090909090909083</v>
      </c>
      <c r="F8">
        <v>0.59090909090909083</v>
      </c>
    </row>
    <row r="9" spans="1:6" x14ac:dyDescent="0.25">
      <c r="A9" t="s">
        <v>410</v>
      </c>
      <c r="B9" s="1">
        <v>2000000</v>
      </c>
      <c r="C9" s="1">
        <f t="shared" si="2"/>
        <v>3000000</v>
      </c>
      <c r="D9">
        <v>0.41322314049586772</v>
      </c>
      <c r="E9">
        <v>0.53719008264462798</v>
      </c>
      <c r="F9">
        <v>0.53719008264462798</v>
      </c>
    </row>
    <row r="10" spans="1:6" x14ac:dyDescent="0.25">
      <c r="A10" t="s">
        <v>411</v>
      </c>
      <c r="B10" s="1">
        <v>2000000</v>
      </c>
      <c r="C10" s="1">
        <f t="shared" si="2"/>
        <v>4000000</v>
      </c>
      <c r="D10">
        <v>0.37565740045078883</v>
      </c>
      <c r="E10">
        <v>0.48835462058602541</v>
      </c>
      <c r="F10">
        <v>0.48835462058602541</v>
      </c>
    </row>
    <row r="11" spans="1:6" x14ac:dyDescent="0.25">
      <c r="A11" t="s">
        <v>412</v>
      </c>
      <c r="B11" s="1">
        <v>2000000</v>
      </c>
      <c r="C11" s="1">
        <f t="shared" si="2"/>
        <v>5000000</v>
      </c>
      <c r="D11">
        <v>0.34150672768253526</v>
      </c>
      <c r="E11">
        <v>0.44395874598729579</v>
      </c>
      <c r="F11">
        <v>0.44395874598729579</v>
      </c>
    </row>
    <row r="12" spans="1:6" x14ac:dyDescent="0.25">
      <c r="A12" t="s">
        <v>413</v>
      </c>
      <c r="B12" s="1">
        <v>3000000</v>
      </c>
      <c r="C12" s="1">
        <f t="shared" si="2"/>
        <v>1000000</v>
      </c>
      <c r="D12">
        <v>0.72600000000000009</v>
      </c>
      <c r="E12">
        <v>0.88000000000000012</v>
      </c>
      <c r="F12">
        <v>0.88000000000000012</v>
      </c>
    </row>
    <row r="13" spans="1:6" x14ac:dyDescent="0.25">
      <c r="A13" t="s">
        <v>414</v>
      </c>
      <c r="B13" s="1">
        <v>3000000</v>
      </c>
      <c r="C13" s="1">
        <f t="shared" si="2"/>
        <v>2000000</v>
      </c>
      <c r="D13">
        <v>0.5</v>
      </c>
      <c r="E13">
        <v>0.65</v>
      </c>
      <c r="F13">
        <v>0.65</v>
      </c>
    </row>
    <row r="14" spans="1:6" x14ac:dyDescent="0.25">
      <c r="A14" t="s">
        <v>415</v>
      </c>
      <c r="B14" s="1">
        <v>3000000</v>
      </c>
      <c r="C14" s="1">
        <f t="shared" si="2"/>
        <v>3000000</v>
      </c>
      <c r="D14">
        <v>0.45454545454545453</v>
      </c>
      <c r="E14">
        <v>0.59090909090909083</v>
      </c>
      <c r="F14">
        <v>0.59090909090909083</v>
      </c>
    </row>
    <row r="15" spans="1:6" x14ac:dyDescent="0.25">
      <c r="A15" t="s">
        <v>416</v>
      </c>
      <c r="B15" s="1">
        <v>3000000</v>
      </c>
      <c r="C15" s="1">
        <f t="shared" si="2"/>
        <v>4000000</v>
      </c>
      <c r="D15">
        <v>0.41322314049586772</v>
      </c>
      <c r="E15">
        <v>0.53719008264462798</v>
      </c>
      <c r="F15">
        <v>0.53719008264462798</v>
      </c>
    </row>
    <row r="16" spans="1:6" x14ac:dyDescent="0.25">
      <c r="A16" t="s">
        <v>417</v>
      </c>
      <c r="B16" s="1">
        <v>3000000</v>
      </c>
      <c r="C16" s="1">
        <f t="shared" si="2"/>
        <v>5000000</v>
      </c>
      <c r="D16">
        <v>0.37565740045078883</v>
      </c>
      <c r="E16">
        <v>0.48835462058602541</v>
      </c>
      <c r="F16">
        <v>0.48835462058602541</v>
      </c>
    </row>
    <row r="17" spans="1:6" x14ac:dyDescent="0.25">
      <c r="A17" t="s">
        <v>418</v>
      </c>
      <c r="B17" s="1">
        <v>4000000</v>
      </c>
      <c r="C17" s="1">
        <f t="shared" si="2"/>
        <v>1000000</v>
      </c>
      <c r="D17">
        <v>0.83490000000000009</v>
      </c>
      <c r="E17">
        <v>0.96800000000000019</v>
      </c>
      <c r="F17">
        <v>0.96800000000000019</v>
      </c>
    </row>
    <row r="18" spans="1:6" x14ac:dyDescent="0.25">
      <c r="A18" t="s">
        <v>419</v>
      </c>
      <c r="B18" s="1">
        <v>4000000</v>
      </c>
      <c r="C18" s="1">
        <f t="shared" si="2"/>
        <v>2000000</v>
      </c>
      <c r="D18">
        <v>0.65</v>
      </c>
      <c r="E18">
        <v>0.84500000000000008</v>
      </c>
      <c r="F18">
        <v>0.84500000000000008</v>
      </c>
    </row>
    <row r="19" spans="1:6" x14ac:dyDescent="0.25">
      <c r="A19" t="s">
        <v>420</v>
      </c>
      <c r="B19" s="1">
        <v>4000000</v>
      </c>
      <c r="C19" s="1">
        <f t="shared" si="2"/>
        <v>3000000</v>
      </c>
      <c r="D19">
        <v>0.59090909090909094</v>
      </c>
      <c r="E19">
        <v>0.76818181818181808</v>
      </c>
      <c r="F19">
        <v>0.76818181818181808</v>
      </c>
    </row>
    <row r="20" spans="1:6" x14ac:dyDescent="0.25">
      <c r="A20" t="s">
        <v>421</v>
      </c>
      <c r="B20" s="1">
        <v>4000000</v>
      </c>
      <c r="C20" s="1">
        <f t="shared" si="2"/>
        <v>4000000</v>
      </c>
      <c r="D20">
        <v>0.53719008264462809</v>
      </c>
      <c r="E20">
        <v>0.69834710743801642</v>
      </c>
      <c r="F20">
        <v>0.69834710743801642</v>
      </c>
    </row>
    <row r="21" spans="1:6" x14ac:dyDescent="0.25">
      <c r="A21" t="s">
        <v>422</v>
      </c>
      <c r="B21" s="1">
        <v>4000000</v>
      </c>
      <c r="C21" s="1">
        <f t="shared" si="2"/>
        <v>5000000</v>
      </c>
      <c r="D21">
        <v>0.48835462058602547</v>
      </c>
      <c r="E21">
        <v>0.6348610067618331</v>
      </c>
      <c r="F21">
        <v>0.6348610067618331</v>
      </c>
    </row>
    <row r="22" spans="1:6" x14ac:dyDescent="0.25">
      <c r="A22" t="s">
        <v>423</v>
      </c>
      <c r="B22" s="1">
        <v>5000000</v>
      </c>
      <c r="C22" s="1">
        <f t="shared" si="2"/>
        <v>1000000</v>
      </c>
      <c r="D22">
        <v>1.0367999999999999</v>
      </c>
      <c r="E22">
        <v>1.5551999999999997</v>
      </c>
      <c r="F22">
        <v>1.5551999999999997</v>
      </c>
    </row>
    <row r="23" spans="1:6" x14ac:dyDescent="0.25">
      <c r="A23" t="s">
        <v>424</v>
      </c>
      <c r="B23" s="1">
        <v>5000000</v>
      </c>
      <c r="C23" s="1">
        <f t="shared" si="2"/>
        <v>2000000</v>
      </c>
      <c r="D23">
        <v>0.86399999999999999</v>
      </c>
      <c r="E23">
        <v>1.2959999999999998</v>
      </c>
      <c r="F23">
        <v>1.2959999999999998</v>
      </c>
    </row>
    <row r="24" spans="1:6" x14ac:dyDescent="0.25">
      <c r="A24" t="s">
        <v>425</v>
      </c>
      <c r="B24" s="1">
        <v>5000000</v>
      </c>
      <c r="C24" s="1">
        <f t="shared" si="2"/>
        <v>3000000</v>
      </c>
      <c r="D24">
        <v>0.72</v>
      </c>
      <c r="E24">
        <v>1.0799999999999998</v>
      </c>
      <c r="F24">
        <v>1.0799999999999998</v>
      </c>
    </row>
    <row r="25" spans="1:6" x14ac:dyDescent="0.25">
      <c r="A25" t="s">
        <v>426</v>
      </c>
      <c r="B25" s="1">
        <v>5000000</v>
      </c>
      <c r="C25" s="1">
        <f t="shared" si="2"/>
        <v>4000000</v>
      </c>
      <c r="D25">
        <v>0.6</v>
      </c>
      <c r="E25">
        <v>0.89999999999999991</v>
      </c>
      <c r="F25">
        <v>0.89999999999999991</v>
      </c>
    </row>
    <row r="26" spans="1:6" x14ac:dyDescent="0.25">
      <c r="A26" t="s">
        <v>427</v>
      </c>
      <c r="B26" s="1">
        <v>5000000</v>
      </c>
      <c r="C26" s="1">
        <f t="shared" si="2"/>
        <v>5000000</v>
      </c>
      <c r="D26">
        <v>0.5</v>
      </c>
      <c r="E26">
        <v>0.75</v>
      </c>
      <c r="F26">
        <v>0.75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1245-4FB4-4D09-AD35-80B293500DD4}">
  <dimension ref="A1:A7"/>
  <sheetViews>
    <sheetView workbookViewId="0"/>
  </sheetViews>
  <sheetFormatPr defaultRowHeight="15" x14ac:dyDescent="0.25"/>
  <cols>
    <col min="1" max="1" width="11.7109375" bestFit="1" customWidth="1"/>
  </cols>
  <sheetData>
    <row r="1" spans="1:1" x14ac:dyDescent="0.25">
      <c r="A1" t="s">
        <v>14</v>
      </c>
    </row>
    <row r="2" spans="1:1" x14ac:dyDescent="0.25">
      <c r="A2" s="1">
        <v>1000000</v>
      </c>
    </row>
    <row r="3" spans="1:1" x14ac:dyDescent="0.25">
      <c r="A3" s="1">
        <f>A2+1000000</f>
        <v>2000000</v>
      </c>
    </row>
    <row r="4" spans="1:1" x14ac:dyDescent="0.25">
      <c r="A4" s="1">
        <f t="shared" ref="A4:A6" si="0">A3+1000000</f>
        <v>3000000</v>
      </c>
    </row>
    <row r="5" spans="1:1" x14ac:dyDescent="0.25">
      <c r="A5" s="1">
        <f t="shared" si="0"/>
        <v>4000000</v>
      </c>
    </row>
    <row r="6" spans="1:1" x14ac:dyDescent="0.25">
      <c r="A6" s="1">
        <f t="shared" si="0"/>
        <v>5000000</v>
      </c>
    </row>
    <row r="7" spans="1:1" x14ac:dyDescent="0.25">
      <c r="A7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5CF75-3F1F-43DD-A408-8D6E1E66FA8D}">
  <dimension ref="A1:E28"/>
  <sheetViews>
    <sheetView zoomScaleNormal="100" workbookViewId="0"/>
  </sheetViews>
  <sheetFormatPr defaultRowHeight="15" x14ac:dyDescent="0.25"/>
  <cols>
    <col min="1" max="1" width="22.42578125" bestFit="1" customWidth="1"/>
    <col min="2" max="2" width="18.42578125" bestFit="1" customWidth="1"/>
    <col min="3" max="3" width="15" bestFit="1" customWidth="1"/>
    <col min="4" max="4" width="16.140625" bestFit="1" customWidth="1"/>
    <col min="5" max="5" width="21.140625" bestFit="1" customWidth="1"/>
  </cols>
  <sheetData>
    <row r="1" spans="1:5" x14ac:dyDescent="0.25">
      <c r="A1" t="s">
        <v>428</v>
      </c>
      <c r="B1" t="s">
        <v>429</v>
      </c>
      <c r="E1" s="4"/>
    </row>
    <row r="2" spans="1:5" x14ac:dyDescent="0.25">
      <c r="A2" s="1">
        <v>0</v>
      </c>
      <c r="B2" s="5">
        <v>0</v>
      </c>
      <c r="C2" s="2"/>
      <c r="D2" s="3"/>
      <c r="E2" s="1"/>
    </row>
    <row r="3" spans="1:5" x14ac:dyDescent="0.25">
      <c r="A3" s="1">
        <v>100000</v>
      </c>
      <c r="B3" s="5">
        <v>0</v>
      </c>
      <c r="C3" s="2"/>
      <c r="D3" s="3"/>
      <c r="E3" s="1"/>
    </row>
    <row r="4" spans="1:5" x14ac:dyDescent="0.25">
      <c r="A4" s="1">
        <v>200000</v>
      </c>
      <c r="B4" s="5">
        <v>0</v>
      </c>
      <c r="C4" s="2"/>
      <c r="D4" s="3"/>
      <c r="E4" s="1"/>
    </row>
    <row r="5" spans="1:5" x14ac:dyDescent="0.25">
      <c r="A5" s="1">
        <v>300000</v>
      </c>
      <c r="B5" s="5">
        <v>0</v>
      </c>
      <c r="C5" s="2"/>
      <c r="D5" s="3"/>
      <c r="E5" s="1"/>
    </row>
    <row r="6" spans="1:5" x14ac:dyDescent="0.25">
      <c r="A6" s="1">
        <v>400000</v>
      </c>
      <c r="B6" s="5">
        <v>0</v>
      </c>
      <c r="C6" s="2"/>
      <c r="D6" s="3"/>
      <c r="E6" s="1"/>
    </row>
    <row r="7" spans="1:5" x14ac:dyDescent="0.25">
      <c r="A7" s="1">
        <v>500000</v>
      </c>
      <c r="B7" s="5">
        <v>0</v>
      </c>
      <c r="C7" s="2"/>
      <c r="D7" s="3"/>
      <c r="E7" s="1"/>
    </row>
    <row r="8" spans="1:5" x14ac:dyDescent="0.25">
      <c r="A8" s="1">
        <v>600000</v>
      </c>
      <c r="B8" s="5">
        <v>0</v>
      </c>
      <c r="C8" s="2"/>
      <c r="D8" s="3"/>
      <c r="E8" s="1"/>
    </row>
    <row r="9" spans="1:5" x14ac:dyDescent="0.25">
      <c r="A9" s="1">
        <v>700000</v>
      </c>
      <c r="B9" s="5">
        <v>0</v>
      </c>
      <c r="C9" s="2"/>
      <c r="D9" s="3"/>
      <c r="E9" s="1"/>
    </row>
    <row r="10" spans="1:5" x14ac:dyDescent="0.25">
      <c r="A10" s="1">
        <v>800000</v>
      </c>
      <c r="B10" s="5">
        <v>0</v>
      </c>
      <c r="C10" s="2"/>
      <c r="D10" s="3"/>
      <c r="E10" s="1"/>
    </row>
    <row r="11" spans="1:5" x14ac:dyDescent="0.25">
      <c r="A11" s="1">
        <v>900000</v>
      </c>
      <c r="B11" s="5">
        <v>0</v>
      </c>
      <c r="C11" s="2"/>
      <c r="D11" s="3"/>
      <c r="E11" s="1"/>
    </row>
    <row r="12" spans="1:5" x14ac:dyDescent="0.25">
      <c r="A12" s="1">
        <v>1000000</v>
      </c>
      <c r="B12" s="5">
        <v>0</v>
      </c>
      <c r="C12" s="2"/>
      <c r="D12" s="3"/>
      <c r="E12" s="1"/>
    </row>
    <row r="13" spans="1:5" x14ac:dyDescent="0.25">
      <c r="A13" s="1">
        <v>5000000</v>
      </c>
      <c r="B13" s="5">
        <v>5.0000000000000044E-2</v>
      </c>
    </row>
    <row r="14" spans="1:5" x14ac:dyDescent="0.25">
      <c r="A14" s="1">
        <v>10000000</v>
      </c>
      <c r="B14" s="5">
        <v>9.7500000000000031E-2</v>
      </c>
    </row>
    <row r="15" spans="1:5" x14ac:dyDescent="0.25">
      <c r="A15" s="1">
        <v>15000000</v>
      </c>
      <c r="B15" s="5">
        <v>0.15164999999999995</v>
      </c>
    </row>
    <row r="16" spans="1:5" x14ac:dyDescent="0.25">
      <c r="A16" s="1">
        <v>20000000</v>
      </c>
      <c r="B16" s="5">
        <v>0.20467187499999995</v>
      </c>
    </row>
    <row r="17" spans="1:2" x14ac:dyDescent="0.25">
      <c r="A17" s="1">
        <v>25000000</v>
      </c>
      <c r="B17" s="5">
        <v>0.24921024999999997</v>
      </c>
    </row>
    <row r="18" spans="1:2" x14ac:dyDescent="0.25">
      <c r="A18" s="1">
        <v>30000000</v>
      </c>
      <c r="B18" s="5">
        <v>0.30668916293226622</v>
      </c>
    </row>
    <row r="19" spans="1:2" x14ac:dyDescent="0.25">
      <c r="A19" s="1">
        <v>35000000</v>
      </c>
      <c r="B19" s="5">
        <v>0.35139288470909025</v>
      </c>
    </row>
    <row r="20" spans="1:2" x14ac:dyDescent="0.25">
      <c r="A20" s="1">
        <v>40000000</v>
      </c>
      <c r="B20" s="5">
        <v>0.39090777123458775</v>
      </c>
    </row>
    <row r="21" spans="1:2" x14ac:dyDescent="0.25">
      <c r="A21" s="1">
        <v>45000000</v>
      </c>
      <c r="B21" s="5">
        <v>0.42119038385146212</v>
      </c>
    </row>
    <row r="22" spans="1:2" x14ac:dyDescent="0.25">
      <c r="A22" s="1">
        <v>50000000</v>
      </c>
      <c r="B22" s="5">
        <v>0.4490634989550264</v>
      </c>
    </row>
    <row r="23" spans="1:2" x14ac:dyDescent="0.25">
      <c r="A23" s="1">
        <v>100000000</v>
      </c>
      <c r="B23" s="5">
        <v>0.56655518533299432</v>
      </c>
    </row>
    <row r="24" spans="1:2" x14ac:dyDescent="0.25">
      <c r="A24" s="1">
        <v>150000000</v>
      </c>
      <c r="B24" s="5">
        <v>0.6244829442801425</v>
      </c>
    </row>
    <row r="25" spans="1:2" x14ac:dyDescent="0.25">
      <c r="A25" s="1">
        <v>200000000</v>
      </c>
      <c r="B25" s="5">
        <v>0.66120010444188981</v>
      </c>
    </row>
    <row r="26" spans="1:2" x14ac:dyDescent="0.25">
      <c r="A26" s="1">
        <v>250000000</v>
      </c>
      <c r="B26" s="5">
        <v>0.68702753823879881</v>
      </c>
    </row>
    <row r="27" spans="1:2" x14ac:dyDescent="0.25">
      <c r="A27" s="1">
        <v>300000000</v>
      </c>
      <c r="B27" s="5">
        <v>0.70497930600719205</v>
      </c>
    </row>
    <row r="28" spans="1:2" x14ac:dyDescent="0.25">
      <c r="A28" s="1">
        <v>999999999999999</v>
      </c>
      <c r="B28" s="5">
        <v>0.70497930600719205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lst_yn</vt:lpstr>
      <vt:lpstr>lst_claimstatus</vt:lpstr>
      <vt:lpstr>lst_dealstatus</vt:lpstr>
      <vt:lpstr>lst_underwriters</vt:lpstr>
      <vt:lpstr>tbl_ccy</vt:lpstr>
      <vt:lpstr>tbl_ilfs</vt:lpstr>
      <vt:lpstr>tbl_reinstatements</vt:lpstr>
      <vt:lpstr>tbl_primarymins</vt:lpstr>
      <vt:lpstr>tbl_engineeringmins</vt:lpstr>
      <vt:lpstr>tbl_contractorsmins</vt:lpstr>
      <vt:lpstr>tbl_exposureprop</vt:lpstr>
      <vt:lpstr>tbl_yrsinbusiness</vt:lpstr>
      <vt:lpstr>tbl_erp</vt:lpstr>
      <vt:lpstr>tbl_retro</vt:lpstr>
      <vt:lpstr>tbl_quotedguidelineded</vt:lpstr>
      <vt:lpstr>tbl_riskgroup</vt:lpstr>
      <vt:lpstr>tbl_state</vt:lpstr>
      <vt:lpstr>tbl_baserate</vt:lpstr>
      <vt:lpstr>tbl_excessilf</vt:lpstr>
      <vt:lpstr>lst_excessilfs</vt:lpstr>
      <vt:lpstr>tbl_sizeadjust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Khou</dc:creator>
  <cp:lastModifiedBy>Darren Khou</cp:lastModifiedBy>
  <dcterms:created xsi:type="dcterms:W3CDTF">2024-06-04T08:40:36Z</dcterms:created>
  <dcterms:modified xsi:type="dcterms:W3CDTF">2024-11-25T16:05:31Z</dcterms:modified>
</cp:coreProperties>
</file>