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W:\Finance\Actuarial\Pricing\01 - Property\02 - BUSA Homeowners\2026\2. hx rater update\3. Parameter Tables\"/>
    </mc:Choice>
  </mc:AlternateContent>
  <xr:revisionPtr revIDLastSave="0" documentId="13_ncr:1_{48CB86F8-2120-4DE4-AA75-2FEE64A89AAC}" xr6:coauthVersionLast="47" xr6:coauthVersionMax="47" xr10:uidLastSave="{00000000-0000-0000-0000-000000000000}"/>
  <bookViews>
    <workbookView xWindow="-120" yWindow="-120" windowWidth="51840" windowHeight="21240" tabRatio="770" firstSheet="4" activeTab="9" xr2:uid="{5E9EEA39-9BB1-49BD-A34A-685D0742FD2F}"/>
  </bookViews>
  <sheets>
    <sheet name="table_aop_prospective_tiv" sheetId="18" r:id="rId1"/>
    <sheet name="table_aop_split" sheetId="27" r:id="rId2"/>
    <sheet name="table_aop_weights" sheetId="24" r:id="rId3"/>
    <sheet name="table_base_rate" sheetId="28" r:id="rId4"/>
    <sheet name="table_building_occupancy" sheetId="30" r:id="rId5"/>
    <sheet name="table_construction_type" sheetId="31" r:id="rId6"/>
    <sheet name="table_distance_to_coast" sheetId="33" r:id="rId7"/>
    <sheet name="table_limit_scale" sheetId="34" r:id="rId8"/>
    <sheet name="table_ppc" sheetId="35" r:id="rId9"/>
    <sheet name="table_product_line" sheetId="36" r:id="rId10"/>
    <sheet name="table_roof_age" sheetId="37" r:id="rId11"/>
    <sheet name="table_roof_type" sheetId="38" r:id="rId12"/>
    <sheet name="table_sprinkler" sheetId="39" r:id="rId13"/>
    <sheet name="table_state_rels" sheetId="40" r:id="rId14"/>
    <sheet name="table_water_damage_limit_scale" sheetId="41" r:id="rId15"/>
    <sheet name="table_year_built" sheetId="42" r:id="rId16"/>
  </sheets>
  <externalReferences>
    <externalReference r:id="rId17"/>
  </externalReferences>
  <definedNames>
    <definedName name="_xlnm._FilterDatabase" localSheetId="0" hidden="1">table_aop_prospective_tiv!#REF!</definedName>
    <definedName name="_xlnm._FilterDatabase" localSheetId="2" hidden="1">table_aop_weights!#REF!</definedName>
    <definedName name="_xlnm._FilterDatabase" localSheetId="3" hidden="1">table_base_rate!#REF!</definedName>
    <definedName name="_xlnm._FilterDatabase" localSheetId="4" hidden="1">table_building_occupancy!#REF!</definedName>
    <definedName name="_xlnm._FilterDatabase" localSheetId="5" hidden="1">table_construction_type!#REF!</definedName>
    <definedName name="_xlnm._FilterDatabase" localSheetId="6" hidden="1">table_distance_to_coast!#REF!</definedName>
    <definedName name="_xlnm._FilterDatabase" localSheetId="7" hidden="1">table_limit_scale!#REF!</definedName>
    <definedName name="_xlnm._FilterDatabase" localSheetId="8" hidden="1">table_ppc!#REF!</definedName>
    <definedName name="_xlnm._FilterDatabase" localSheetId="9" hidden="1">table_product_line!#REF!</definedName>
    <definedName name="_xlnm._FilterDatabase" localSheetId="10" hidden="1">table_roof_age!#REF!</definedName>
    <definedName name="_xlnm._FilterDatabase" localSheetId="11" hidden="1">table_roof_type!#REF!</definedName>
    <definedName name="_xlnm._FilterDatabase" localSheetId="12" hidden="1">table_sprinkler!#REF!</definedName>
    <definedName name="_xlnm._FilterDatabase" localSheetId="13" hidden="1">table_state_rels!$C$2:$C$307</definedName>
    <definedName name="_xlnm._FilterDatabase" localSheetId="14" hidden="1">table_water_damage_limit_scale!#REF!</definedName>
    <definedName name="_xlnm._FilterDatabase" localSheetId="15" hidden="1">table_year_built!#REF!</definedName>
    <definedName name="acq">#REF!</definedName>
    <definedName name="allbaserates">#REF!</definedName>
    <definedName name="CIQWBGuid" hidden="1">"a8777e0e-2119-40e1-a986-b4c47881c516"</definedName>
    <definedName name="Cov_A">#REF!</definedName>
    <definedName name="Cov_C">#REF!</definedName>
    <definedName name="hazard_zones">#REF!</definedName>
    <definedName name="HVH_TIV">#REF!</definedName>
    <definedName name="inception_d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x_discount">#REF!</definedName>
    <definedName name="PAF_Total_TIV">#REF!</definedName>
    <definedName name="Select_YOA">#REF!</definedName>
    <definedName name="Start_AOP">#REF!</definedName>
    <definedName name="Start_P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31" l="1"/>
  <c r="T5" i="31"/>
  <c r="S5" i="31"/>
  <c r="R5" i="31"/>
  <c r="Q5" i="31"/>
  <c r="P5" i="31"/>
  <c r="O5" i="31"/>
  <c r="N5" i="31"/>
  <c r="M5" i="31"/>
  <c r="L5" i="31"/>
  <c r="K5" i="31"/>
  <c r="J5" i="31"/>
  <c r="G5" i="31"/>
  <c r="F5" i="31"/>
  <c r="E5" i="31"/>
  <c r="D5" i="31"/>
  <c r="U4" i="31"/>
  <c r="T4" i="31"/>
  <c r="S4" i="31"/>
  <c r="R4" i="31"/>
  <c r="Q4" i="31"/>
  <c r="P4" i="31"/>
  <c r="O4" i="31"/>
  <c r="N4" i="31"/>
  <c r="M4" i="31"/>
  <c r="L4" i="31"/>
  <c r="K4" i="31"/>
  <c r="J4" i="31"/>
  <c r="U3" i="31"/>
  <c r="T3" i="31"/>
  <c r="S3" i="31"/>
  <c r="R3" i="31"/>
  <c r="Q3" i="31"/>
  <c r="P3" i="31"/>
  <c r="O3" i="31"/>
  <c r="N3" i="31"/>
  <c r="M3" i="31"/>
  <c r="L3" i="31"/>
  <c r="K3" i="31"/>
  <c r="J3" i="31"/>
  <c r="G4" i="31"/>
  <c r="F4" i="31"/>
  <c r="E4" i="31"/>
  <c r="D4" i="31"/>
  <c r="G3" i="31"/>
  <c r="F3" i="31"/>
  <c r="E3" i="31"/>
  <c r="D3" i="31"/>
  <c r="C3" i="27"/>
  <c r="C4" i="27"/>
  <c r="C5" i="27"/>
  <c r="C2" i="27"/>
  <c r="B5" i="27"/>
  <c r="B4" i="27"/>
  <c r="B3" i="27"/>
  <c r="B2" i="27"/>
  <c r="G2" i="18" l="1"/>
  <c r="U2" i="18" l="1"/>
  <c r="T2" i="18"/>
  <c r="S2" i="18"/>
  <c r="R2" i="18"/>
  <c r="Q2" i="18"/>
  <c r="P2" i="18"/>
  <c r="O2" i="18"/>
  <c r="N2" i="18"/>
  <c r="M2" i="18"/>
  <c r="L2" i="18"/>
  <c r="K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C1683691-5128-4802-8CCD-548CB347DC03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360A763C-8033-4424-AADA-DDC989A909AF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E03264AA-1AB2-4BBF-9CDE-FD4BAE25FC70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9B0DC23D-9388-4D43-A9F2-2AE8D3B194AC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C9A2B186-10B8-4AC4-A5BC-D704FBFBCD3D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3390A7A2-67DA-415E-9F23-1CF40F6916D1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B5A43B18-7869-44E2-858D-10ACCBE4E59C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EB1071CB-813C-43FE-A8D4-93D675794B2F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61A9CA5A-6E50-40B2-93E7-815E8F9C9F37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E3E6068F-6A12-4428-BE42-8DA9C2E7948D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7440309C-E6A2-45A1-8A84-32FCA46E1381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C89B928B-7FD9-4167-8351-96D85E2895E9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C1" authorId="0" shapeId="0" xr:uid="{53F44283-42F0-40E2-B2A5-375E12DBF25A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Khou</author>
  </authors>
  <commentList>
    <comment ref="B1" authorId="0" shapeId="0" xr:uid="{7B5B8B04-81B4-41D0-8A75-1702F077B906}">
      <text>
        <r>
          <rPr>
            <b/>
            <sz val="9"/>
            <color indexed="81"/>
            <rFont val="Tahoma"/>
            <family val="2"/>
          </rPr>
          <t>Darren Khou:</t>
        </r>
        <r>
          <rPr>
            <sz val="9"/>
            <color indexed="81"/>
            <rFont val="Tahoma"/>
            <family val="2"/>
          </rPr>
          <t xml:space="preserve">
Split into WaterDamage, Hail, Wind etc..</t>
        </r>
      </text>
    </comment>
  </commentList>
</comments>
</file>

<file path=xl/sharedStrings.xml><?xml version="1.0" encoding="utf-8"?>
<sst xmlns="http://schemas.openxmlformats.org/spreadsheetml/2006/main" count="1115" uniqueCount="499">
  <si>
    <t>Wildfire</t>
  </si>
  <si>
    <t>Base Rate</t>
  </si>
  <si>
    <t>Homeowners (HO5)</t>
  </si>
  <si>
    <t>Homeowners (HO3)</t>
  </si>
  <si>
    <t>Condominium (HO6)</t>
  </si>
  <si>
    <t>Dwelling</t>
  </si>
  <si>
    <t>Frame</t>
  </si>
  <si>
    <t>Joisted Masonry</t>
  </si>
  <si>
    <t>Non Combustible</t>
  </si>
  <si>
    <t>Masonry Non Combustible</t>
  </si>
  <si>
    <t>Modified Fire Resistive</t>
  </si>
  <si>
    <t>Fire Resistive</t>
  </si>
  <si>
    <t>C1</t>
  </si>
  <si>
    <t>C2</t>
  </si>
  <si>
    <t>C3</t>
  </si>
  <si>
    <t>I1</t>
  </si>
  <si>
    <t>I2</t>
  </si>
  <si>
    <t>I3</t>
  </si>
  <si>
    <t>Lookup code</t>
  </si>
  <si>
    <t>AOP</t>
  </si>
  <si>
    <t>Primary</t>
  </si>
  <si>
    <t>Secondary</t>
  </si>
  <si>
    <t>Secondary / Seasonal Rental</t>
  </si>
  <si>
    <t>Vacant</t>
  </si>
  <si>
    <t>Rental</t>
  </si>
  <si>
    <t>Renovation (builders risk)</t>
  </si>
  <si>
    <t>Spec home / Model Home</t>
  </si>
  <si>
    <t>a</t>
  </si>
  <si>
    <t>b</t>
  </si>
  <si>
    <t>Liability</t>
  </si>
  <si>
    <t>WaterDamage</t>
  </si>
  <si>
    <t>Hail</t>
  </si>
  <si>
    <t>Wind</t>
  </si>
  <si>
    <t>Other</t>
  </si>
  <si>
    <t>RoofDamageLeak</t>
  </si>
  <si>
    <t>Theft</t>
  </si>
  <si>
    <t>Lightning</t>
  </si>
  <si>
    <t>Fire</t>
  </si>
  <si>
    <t>IceSnowDamage</t>
  </si>
  <si>
    <t>PowerSurge</t>
  </si>
  <si>
    <t>WinterStorm</t>
  </si>
  <si>
    <t>Values</t>
  </si>
  <si>
    <t>WS</t>
  </si>
  <si>
    <t>EQ</t>
  </si>
  <si>
    <t>Excess FL</t>
  </si>
  <si>
    <t>Equipment breakdown</t>
  </si>
  <si>
    <t>PAF</t>
  </si>
  <si>
    <t>Antique FurnitureBlanket</t>
  </si>
  <si>
    <t>Baseball/ Sports Cards &amp; Comic booksBlanket</t>
  </si>
  <si>
    <t>BooksBlanket</t>
  </si>
  <si>
    <t>CamerasBlanket</t>
  </si>
  <si>
    <t>CoinsBlanket</t>
  </si>
  <si>
    <t>Fine ArtBlanket</t>
  </si>
  <si>
    <t>FursBlanket</t>
  </si>
  <si>
    <t>GunsBlanket</t>
  </si>
  <si>
    <t>HandbagsBlanket</t>
  </si>
  <si>
    <t>Jewellery &amp; WatchesBlanket</t>
  </si>
  <si>
    <t>MemorabiliaBlanket</t>
  </si>
  <si>
    <t>Musical InstrumentsBlanket</t>
  </si>
  <si>
    <t>RugsBlanket</t>
  </si>
  <si>
    <t>SilverwareBlanket</t>
  </si>
  <si>
    <t>StampsBlanket</t>
  </si>
  <si>
    <t>Wine &amp; CigarsBlanket</t>
  </si>
  <si>
    <t>Gold/ Silver BullionBank Vault</t>
  </si>
  <si>
    <t>Gold/ Silver BullionHome Safe</t>
  </si>
  <si>
    <t>Fine ArtScheduled - Fragile</t>
  </si>
  <si>
    <t>Fine ArtScheduled - Non Fragile</t>
  </si>
  <si>
    <t>Antique FurnitureScheduled</t>
  </si>
  <si>
    <t>Audio/ Visual EquipmentScheduled</t>
  </si>
  <si>
    <t>Baseball/ Sports Cards &amp; Comic booksScheduled</t>
  </si>
  <si>
    <t>BicyclesScheduled</t>
  </si>
  <si>
    <t>BooksScheduled</t>
  </si>
  <si>
    <t>CoinsScheduled</t>
  </si>
  <si>
    <t>ComputersScheduled</t>
  </si>
  <si>
    <t>FursScheduled</t>
  </si>
  <si>
    <t>Golf ClubsScheduled</t>
  </si>
  <si>
    <t>GunsScheduled</t>
  </si>
  <si>
    <t>HandbagsScheduled</t>
  </si>
  <si>
    <t>MemorabiliaScheduled</t>
  </si>
  <si>
    <t>Misc.Scheduled</t>
  </si>
  <si>
    <t>RugsScheduled</t>
  </si>
  <si>
    <t>SilverwareScheduled</t>
  </si>
  <si>
    <t>StampsScheduled</t>
  </si>
  <si>
    <t>Wine &amp; CigarsScheduled</t>
  </si>
  <si>
    <t>Golf ClubsScheduled - Golf Carts - Excluding Collision</t>
  </si>
  <si>
    <t>Jewellery &amp; WatchesScheduled - Jewellery</t>
  </si>
  <si>
    <t>Jewellery &amp; WatchesScheduled Jewellery/Watches - Bank vault only</t>
  </si>
  <si>
    <t>CamerasScheduled - Personal Use</t>
  </si>
  <si>
    <t>Musical InstrumentsScheduled - Personal Use</t>
  </si>
  <si>
    <t>CamerasScheduled - Professional Use</t>
  </si>
  <si>
    <t>Musical InstrumentsScheduled - Professional Use</t>
  </si>
  <si>
    <t>Jewellery &amp; WatchesScheduled - Watches</t>
  </si>
  <si>
    <t>Unknown</t>
  </si>
  <si>
    <t>Metal Sheathing with exposed fasteners</t>
  </si>
  <si>
    <t>Metal Sheathing with concealed fasteners</t>
  </si>
  <si>
    <t>Built-up roof or single-ply membrane roof with the presence of gutters</t>
  </si>
  <si>
    <t>Built-up roof or single-ply membrane roof without the presence of gutters</t>
  </si>
  <si>
    <t>Concrete/clay tiles</t>
  </si>
  <si>
    <t>Wood Shakes</t>
  </si>
  <si>
    <t>Normal Shingle (55mph)</t>
  </si>
  <si>
    <t>Normal Shingle (55 mph) with Secondary Water Resistance (SWR)</t>
  </si>
  <si>
    <t>Shingle rated for high wind speeds (110 mph)</t>
  </si>
  <si>
    <t>Shingle rated for high wind speeds (110 mph) with Secondary Water Resistance (SWR)</t>
  </si>
  <si>
    <t>AGE_0_5</t>
  </si>
  <si>
    <t>AGE_6_10</t>
  </si>
  <si>
    <t>AGE_11_PLUS</t>
  </si>
  <si>
    <t>Prospective TIV</t>
  </si>
  <si>
    <t>AOP Weights</t>
  </si>
  <si>
    <t>Excess Wind &amp; Hail</t>
  </si>
  <si>
    <t>Monoline Earthquake</t>
  </si>
  <si>
    <t>Excess Flood</t>
  </si>
  <si>
    <t>Base Premium Coverage A Limit0</t>
  </si>
  <si>
    <t>Base Premium Coverage A Limit500000</t>
  </si>
  <si>
    <t>Base Premium Coverage A Limit1000000</t>
  </si>
  <si>
    <t>Base Premium Coverage A Limit2000000</t>
  </si>
  <si>
    <t>Base Premium Coverage A Limit5000000</t>
  </si>
  <si>
    <t>Base Premium Coverage A Limit999999999</t>
  </si>
  <si>
    <t>AKC1</t>
  </si>
  <si>
    <t>AKC2</t>
  </si>
  <si>
    <t>AKC3</t>
  </si>
  <si>
    <t>AKI1</t>
  </si>
  <si>
    <t>AKI2</t>
  </si>
  <si>
    <t>AKI3</t>
  </si>
  <si>
    <t>ALC1</t>
  </si>
  <si>
    <t>ALC2</t>
  </si>
  <si>
    <t>ALC3</t>
  </si>
  <si>
    <t>ALI1</t>
  </si>
  <si>
    <t>ALI2</t>
  </si>
  <si>
    <t>ALI3</t>
  </si>
  <si>
    <t>ARC1</t>
  </si>
  <si>
    <t>ARC2</t>
  </si>
  <si>
    <t>ARC3</t>
  </si>
  <si>
    <t>ARI1</t>
  </si>
  <si>
    <t>ARI2</t>
  </si>
  <si>
    <t>ARI3</t>
  </si>
  <si>
    <t>AZC1</t>
  </si>
  <si>
    <t>AZC2</t>
  </si>
  <si>
    <t>AZC3</t>
  </si>
  <si>
    <t>AZI1</t>
  </si>
  <si>
    <t>AZI2</t>
  </si>
  <si>
    <t>AZI3</t>
  </si>
  <si>
    <t>CAC1</t>
  </si>
  <si>
    <t>CAC2</t>
  </si>
  <si>
    <t>CAC3</t>
  </si>
  <si>
    <t>CAI1</t>
  </si>
  <si>
    <t>CAI2</t>
  </si>
  <si>
    <t>CAI3</t>
  </si>
  <si>
    <t>COC1</t>
  </si>
  <si>
    <t>COC2</t>
  </si>
  <si>
    <t>COC3</t>
  </si>
  <si>
    <t>COI1</t>
  </si>
  <si>
    <t>COI2</t>
  </si>
  <si>
    <t>COI3</t>
  </si>
  <si>
    <t>CTC1</t>
  </si>
  <si>
    <t>CTC2</t>
  </si>
  <si>
    <t>CTC3</t>
  </si>
  <si>
    <t>CTI1</t>
  </si>
  <si>
    <t>CTI2</t>
  </si>
  <si>
    <t>CTI3</t>
  </si>
  <si>
    <t>DCC1</t>
  </si>
  <si>
    <t>DCC2</t>
  </si>
  <si>
    <t>DCC3</t>
  </si>
  <si>
    <t>DCI1</t>
  </si>
  <si>
    <t>DCI2</t>
  </si>
  <si>
    <t>DCI3</t>
  </si>
  <si>
    <t>DEC1</t>
  </si>
  <si>
    <t>DEC2</t>
  </si>
  <si>
    <t>DEC3</t>
  </si>
  <si>
    <t>DEI1</t>
  </si>
  <si>
    <t>DEI2</t>
  </si>
  <si>
    <t>DEI3</t>
  </si>
  <si>
    <t>FLC1</t>
  </si>
  <si>
    <t>FLC2</t>
  </si>
  <si>
    <t>FLC3</t>
  </si>
  <si>
    <t>FLI1</t>
  </si>
  <si>
    <t>FLI2</t>
  </si>
  <si>
    <t>FLI3</t>
  </si>
  <si>
    <t>GAC1</t>
  </si>
  <si>
    <t>GAC2</t>
  </si>
  <si>
    <t>GAC3</t>
  </si>
  <si>
    <t>GAI1</t>
  </si>
  <si>
    <t>GAI2</t>
  </si>
  <si>
    <t>GAI3</t>
  </si>
  <si>
    <t>HIC1</t>
  </si>
  <si>
    <t>HIC2</t>
  </si>
  <si>
    <t>HIC3</t>
  </si>
  <si>
    <t>HII1</t>
  </si>
  <si>
    <t>HII2</t>
  </si>
  <si>
    <t>HII3</t>
  </si>
  <si>
    <t>IAC1</t>
  </si>
  <si>
    <t>IAC2</t>
  </si>
  <si>
    <t>IAC3</t>
  </si>
  <si>
    <t>IAI1</t>
  </si>
  <si>
    <t>IAI2</t>
  </si>
  <si>
    <t>IAI3</t>
  </si>
  <si>
    <t>IDC1</t>
  </si>
  <si>
    <t>IDC2</t>
  </si>
  <si>
    <t>IDC3</t>
  </si>
  <si>
    <t>IDI1</t>
  </si>
  <si>
    <t>IDI2</t>
  </si>
  <si>
    <t>IDI3</t>
  </si>
  <si>
    <t>ILC1</t>
  </si>
  <si>
    <t>ILC2</t>
  </si>
  <si>
    <t>ILC3</t>
  </si>
  <si>
    <t>ILI1</t>
  </si>
  <si>
    <t>ILI2</t>
  </si>
  <si>
    <t>ILI3</t>
  </si>
  <si>
    <t>INC1</t>
  </si>
  <si>
    <t>INC2</t>
  </si>
  <si>
    <t>INC3</t>
  </si>
  <si>
    <t>INI1</t>
  </si>
  <si>
    <t>INI2</t>
  </si>
  <si>
    <t>INI3</t>
  </si>
  <si>
    <t>KSC1</t>
  </si>
  <si>
    <t>KSC2</t>
  </si>
  <si>
    <t>KSC3</t>
  </si>
  <si>
    <t>KSI1</t>
  </si>
  <si>
    <t>KSI2</t>
  </si>
  <si>
    <t>KSI3</t>
  </si>
  <si>
    <t>KYC1</t>
  </si>
  <si>
    <t>KYC2</t>
  </si>
  <si>
    <t>KYC3</t>
  </si>
  <si>
    <t>KYI1</t>
  </si>
  <si>
    <t>KYI2</t>
  </si>
  <si>
    <t>KYI3</t>
  </si>
  <si>
    <t>LAC1</t>
  </si>
  <si>
    <t>LAC2</t>
  </si>
  <si>
    <t>LAC3</t>
  </si>
  <si>
    <t>LAI1</t>
  </si>
  <si>
    <t>LAI2</t>
  </si>
  <si>
    <t>LAI3</t>
  </si>
  <si>
    <t>MAC1</t>
  </si>
  <si>
    <t>MAC2</t>
  </si>
  <si>
    <t>MAC3</t>
  </si>
  <si>
    <t>MAI1</t>
  </si>
  <si>
    <t>MAI2</t>
  </si>
  <si>
    <t>MAI3</t>
  </si>
  <si>
    <t>MDC1</t>
  </si>
  <si>
    <t>MDC2</t>
  </si>
  <si>
    <t>MDC3</t>
  </si>
  <si>
    <t>MDI1</t>
  </si>
  <si>
    <t>MDI2</t>
  </si>
  <si>
    <t>MDI3</t>
  </si>
  <si>
    <t>MEC1</t>
  </si>
  <si>
    <t>MEC2</t>
  </si>
  <si>
    <t>MEC3</t>
  </si>
  <si>
    <t>MEI1</t>
  </si>
  <si>
    <t>MEI2</t>
  </si>
  <si>
    <t>MEI3</t>
  </si>
  <si>
    <t>MIC1</t>
  </si>
  <si>
    <t>MIC2</t>
  </si>
  <si>
    <t>MIC3</t>
  </si>
  <si>
    <t>MII1</t>
  </si>
  <si>
    <t>MII2</t>
  </si>
  <si>
    <t>MII3</t>
  </si>
  <si>
    <t>MNC1</t>
  </si>
  <si>
    <t>MNC2</t>
  </si>
  <si>
    <t>MNC3</t>
  </si>
  <si>
    <t>MNI1</t>
  </si>
  <si>
    <t>MNI2</t>
  </si>
  <si>
    <t>MNI3</t>
  </si>
  <si>
    <t>MOC1</t>
  </si>
  <si>
    <t>MOC2</t>
  </si>
  <si>
    <t>MOC3</t>
  </si>
  <si>
    <t>MOI1</t>
  </si>
  <si>
    <t>MOI2</t>
  </si>
  <si>
    <t>MOI3</t>
  </si>
  <si>
    <t>MSC1</t>
  </si>
  <si>
    <t>MSC2</t>
  </si>
  <si>
    <t>MSC3</t>
  </si>
  <si>
    <t>MSI1</t>
  </si>
  <si>
    <t>MSI2</t>
  </si>
  <si>
    <t>MSI3</t>
  </si>
  <si>
    <t>MTC1</t>
  </si>
  <si>
    <t>MTC2</t>
  </si>
  <si>
    <t>MTC3</t>
  </si>
  <si>
    <t>MTI1</t>
  </si>
  <si>
    <t>MTI2</t>
  </si>
  <si>
    <t>MTI3</t>
  </si>
  <si>
    <t>NCC1</t>
  </si>
  <si>
    <t>NCC2</t>
  </si>
  <si>
    <t>NCC3</t>
  </si>
  <si>
    <t>NCI1</t>
  </si>
  <si>
    <t>NCI2</t>
  </si>
  <si>
    <t>NCI3</t>
  </si>
  <si>
    <t>NDC1</t>
  </si>
  <si>
    <t>NDC2</t>
  </si>
  <si>
    <t>NDC3</t>
  </si>
  <si>
    <t>NDI1</t>
  </si>
  <si>
    <t>NDI2</t>
  </si>
  <si>
    <t>NDI3</t>
  </si>
  <si>
    <t>NEC1</t>
  </si>
  <si>
    <t>NEC2</t>
  </si>
  <si>
    <t>NEC3</t>
  </si>
  <si>
    <t>NEI1</t>
  </si>
  <si>
    <t>NEI2</t>
  </si>
  <si>
    <t>NEI3</t>
  </si>
  <si>
    <t>NHC1</t>
  </si>
  <si>
    <t>NHC2</t>
  </si>
  <si>
    <t>NHC3</t>
  </si>
  <si>
    <t>NHI1</t>
  </si>
  <si>
    <t>NHI2</t>
  </si>
  <si>
    <t>NHI3</t>
  </si>
  <si>
    <t>NJC1</t>
  </si>
  <si>
    <t>NJC2</t>
  </si>
  <si>
    <t>NJC3</t>
  </si>
  <si>
    <t>NJI1</t>
  </si>
  <si>
    <t>NJI2</t>
  </si>
  <si>
    <t>NJI3</t>
  </si>
  <si>
    <t>NMC1</t>
  </si>
  <si>
    <t>NMC2</t>
  </si>
  <si>
    <t>NMC3</t>
  </si>
  <si>
    <t>NMI1</t>
  </si>
  <si>
    <t>NMI2</t>
  </si>
  <si>
    <t>NMI3</t>
  </si>
  <si>
    <t>NVC1</t>
  </si>
  <si>
    <t>NVC2</t>
  </si>
  <si>
    <t>NVC3</t>
  </si>
  <si>
    <t>NVI1</t>
  </si>
  <si>
    <t>NVI2</t>
  </si>
  <si>
    <t>NVI3</t>
  </si>
  <si>
    <t>NYC1</t>
  </si>
  <si>
    <t>NYC2</t>
  </si>
  <si>
    <t>NYC3</t>
  </si>
  <si>
    <t>NYI1</t>
  </si>
  <si>
    <t>NYI2</t>
  </si>
  <si>
    <t>NYI3</t>
  </si>
  <si>
    <t>OHC1</t>
  </si>
  <si>
    <t>OHC2</t>
  </si>
  <si>
    <t>OHC3</t>
  </si>
  <si>
    <t>OHI1</t>
  </si>
  <si>
    <t>OHI2</t>
  </si>
  <si>
    <t>OHI3</t>
  </si>
  <si>
    <t>OKC1</t>
  </si>
  <si>
    <t>OKC2</t>
  </si>
  <si>
    <t>OKC3</t>
  </si>
  <si>
    <t>OKI1</t>
  </si>
  <si>
    <t>OKI2</t>
  </si>
  <si>
    <t>OKI3</t>
  </si>
  <si>
    <t>ORC1</t>
  </si>
  <si>
    <t>ORC2</t>
  </si>
  <si>
    <t>ORC3</t>
  </si>
  <si>
    <t>ORI1</t>
  </si>
  <si>
    <t>ORI2</t>
  </si>
  <si>
    <t>ORI3</t>
  </si>
  <si>
    <t>PAC1</t>
  </si>
  <si>
    <t>PAC2</t>
  </si>
  <si>
    <t>PAC3</t>
  </si>
  <si>
    <t>PAI1</t>
  </si>
  <si>
    <t>PAI2</t>
  </si>
  <si>
    <t>PAI3</t>
  </si>
  <si>
    <t>RIC1</t>
  </si>
  <si>
    <t>RIC2</t>
  </si>
  <si>
    <t>RIC3</t>
  </si>
  <si>
    <t>RII1</t>
  </si>
  <si>
    <t>RII2</t>
  </si>
  <si>
    <t>RII3</t>
  </si>
  <si>
    <t>SCC1</t>
  </si>
  <si>
    <t>SCC2</t>
  </si>
  <si>
    <t>SCC3</t>
  </si>
  <si>
    <t>SCI1</t>
  </si>
  <si>
    <t>SCI2</t>
  </si>
  <si>
    <t>SCI3</t>
  </si>
  <si>
    <t>SDC1</t>
  </si>
  <si>
    <t>SDC2</t>
  </si>
  <si>
    <t>SDC3</t>
  </si>
  <si>
    <t>SDI1</t>
  </si>
  <si>
    <t>SDI2</t>
  </si>
  <si>
    <t>SDI3</t>
  </si>
  <si>
    <t>TNC1</t>
  </si>
  <si>
    <t>TNC2</t>
  </si>
  <si>
    <t>TNC3</t>
  </si>
  <si>
    <t>TNI1</t>
  </si>
  <si>
    <t>TNI2</t>
  </si>
  <si>
    <t>TNI3</t>
  </si>
  <si>
    <t>TXC1</t>
  </si>
  <si>
    <t>TXC2</t>
  </si>
  <si>
    <t>TXC3</t>
  </si>
  <si>
    <t>TXI1</t>
  </si>
  <si>
    <t>TXI2</t>
  </si>
  <si>
    <t>TXI3</t>
  </si>
  <si>
    <t>UTC1</t>
  </si>
  <si>
    <t>UTC2</t>
  </si>
  <si>
    <t>UTC3</t>
  </si>
  <si>
    <t>UTI1</t>
  </si>
  <si>
    <t>UTI2</t>
  </si>
  <si>
    <t>UTI3</t>
  </si>
  <si>
    <t>VAC1</t>
  </si>
  <si>
    <t>VAC2</t>
  </si>
  <si>
    <t>VAC3</t>
  </si>
  <si>
    <t>VAI1</t>
  </si>
  <si>
    <t>VAI2</t>
  </si>
  <si>
    <t>VAI3</t>
  </si>
  <si>
    <t>VTC1</t>
  </si>
  <si>
    <t>VTC2</t>
  </si>
  <si>
    <t>VTC3</t>
  </si>
  <si>
    <t>VTI1</t>
  </si>
  <si>
    <t>VTI2</t>
  </si>
  <si>
    <t>VTI3</t>
  </si>
  <si>
    <t>WAC1</t>
  </si>
  <si>
    <t>WAC2</t>
  </si>
  <si>
    <t>WAC3</t>
  </si>
  <si>
    <t>WAI1</t>
  </si>
  <si>
    <t>WAI2</t>
  </si>
  <si>
    <t>WAI3</t>
  </si>
  <si>
    <t>WIC1</t>
  </si>
  <si>
    <t>WIC2</t>
  </si>
  <si>
    <t>WIC3</t>
  </si>
  <si>
    <t>WII1</t>
  </si>
  <si>
    <t>WII2</t>
  </si>
  <si>
    <t>WII3</t>
  </si>
  <si>
    <t>WVC1</t>
  </si>
  <si>
    <t>WVC2</t>
  </si>
  <si>
    <t>WVC3</t>
  </si>
  <si>
    <t>WVI1</t>
  </si>
  <si>
    <t>WVI2</t>
  </si>
  <si>
    <t>WVI3</t>
  </si>
  <si>
    <t>WYC1</t>
  </si>
  <si>
    <t>WYC2</t>
  </si>
  <si>
    <t>WYC3</t>
  </si>
  <si>
    <t>WYI1</t>
  </si>
  <si>
    <t>WYI2</t>
  </si>
  <si>
    <t>WYI3</t>
  </si>
  <si>
    <t>Peril</t>
  </si>
  <si>
    <t>Base Rate Proportions</t>
  </si>
  <si>
    <t>Water Damage</t>
  </si>
  <si>
    <t>Hail/Wind</t>
  </si>
  <si>
    <t>Masonry</t>
  </si>
  <si>
    <t>Masonry Veneer</t>
  </si>
  <si>
    <t>Superior</t>
  </si>
  <si>
    <t>Distance to Coast0</t>
  </si>
  <si>
    <t>Distance to Coast1</t>
  </si>
  <si>
    <t>Distance to Coast2</t>
  </si>
  <si>
    <t>Distance to Coast3</t>
  </si>
  <si>
    <t>Distance to Coast4</t>
  </si>
  <si>
    <t>Distance to Coast5</t>
  </si>
  <si>
    <t>Distance to Coast6</t>
  </si>
  <si>
    <t>Distance to Coast7</t>
  </si>
  <si>
    <t>Distance to Coast8</t>
  </si>
  <si>
    <t>Distance to Coast9</t>
  </si>
  <si>
    <t>Distance to Coast10</t>
  </si>
  <si>
    <t>Distance to Coast11</t>
  </si>
  <si>
    <t>Distance to Coast12</t>
  </si>
  <si>
    <t>Distance to Coast13</t>
  </si>
  <si>
    <t>Distance to Coast14</t>
  </si>
  <si>
    <t>Distance to Coast15</t>
  </si>
  <si>
    <t>Distance to Coast20</t>
  </si>
  <si>
    <t>Distance to Coast50</t>
  </si>
  <si>
    <t>Distance to Coast100 Plus</t>
  </si>
  <si>
    <t>LimitScalea</t>
  </si>
  <si>
    <t>LimitScaleb</t>
  </si>
  <si>
    <t>Base RateAntique FurnitureBlanket</t>
  </si>
  <si>
    <t>Base RateBaseball/ Sports Cards &amp; Comic booksBlanket</t>
  </si>
  <si>
    <t>Base RateBooksBlanket</t>
  </si>
  <si>
    <t>Base RateCamerasBlanket</t>
  </si>
  <si>
    <t>Base RateCoinsBlanket</t>
  </si>
  <si>
    <t>Base RateFine ArtBlanket</t>
  </si>
  <si>
    <t>Base RateFursBlanket</t>
  </si>
  <si>
    <t>Base RateGunsBlanket</t>
  </si>
  <si>
    <t>Base RateHandbagsBlanket</t>
  </si>
  <si>
    <t>Base RateJewellery &amp; WatchesBlanket</t>
  </si>
  <si>
    <t>Base RateMemorabiliaBlanket</t>
  </si>
  <si>
    <t>Base RateMusical InstrumentsBlanket</t>
  </si>
  <si>
    <t>Base RateRugsBlanket</t>
  </si>
  <si>
    <t>Base RateSilverwareBlanket</t>
  </si>
  <si>
    <t>Base RateStampsBlanket</t>
  </si>
  <si>
    <t>Base RateWine &amp; CigarsBlanket</t>
  </si>
  <si>
    <t>Base RateGold/ Silver BullionBank Vault</t>
  </si>
  <si>
    <t>Base RateGold/ Silver BullionHome Safe</t>
  </si>
  <si>
    <t>Base RateFine ArtScheduled - Fragile</t>
  </si>
  <si>
    <t>Base RateFine ArtScheduled - Non Fragile</t>
  </si>
  <si>
    <t>Base RateAntique FurnitureScheduled</t>
  </si>
  <si>
    <t>Base RateAudio/ Visual EquipmentScheduled</t>
  </si>
  <si>
    <t>Base RateBaseball/ Sports Cards &amp; Comic booksScheduled</t>
  </si>
  <si>
    <t>Base RateBicyclesScheduled</t>
  </si>
  <si>
    <t>Base RateBooksScheduled</t>
  </si>
  <si>
    <t>Base RateCoinsScheduled</t>
  </si>
  <si>
    <t>Base RateComputersScheduled</t>
  </si>
  <si>
    <t>Base RateFursScheduled</t>
  </si>
  <si>
    <t>Base RateGolf ClubsScheduled</t>
  </si>
  <si>
    <t>Base RateGunsScheduled</t>
  </si>
  <si>
    <t>Base RateHandbagsScheduled</t>
  </si>
  <si>
    <t>Base RateMemorabiliaScheduled</t>
  </si>
  <si>
    <t>Base RateMisc.Scheduled</t>
  </si>
  <si>
    <t>Base RateRugsScheduled</t>
  </si>
  <si>
    <t>Base RateSilverwareScheduled</t>
  </si>
  <si>
    <t>Base RateStampsScheduled</t>
  </si>
  <si>
    <t>Base RateWine &amp; CigarsScheduled</t>
  </si>
  <si>
    <t>Base RateGolf ClubsScheduled - Golf Carts - Excluding Collision</t>
  </si>
  <si>
    <t>Base RateJewellery &amp; WatchesScheduled - Jewellery</t>
  </si>
  <si>
    <t>Base RateJewellery &amp; WatchesScheduled Jewellery/Watches - Bank vault only</t>
  </si>
  <si>
    <t>Base RateCamerasScheduled - Personal Use</t>
  </si>
  <si>
    <t>Base RateMusical InstrumentsScheduled - Personal Use</t>
  </si>
  <si>
    <t>Base RateCamerasScheduled - Professional Use</t>
  </si>
  <si>
    <t>Base RateMusical InstrumentsScheduled - Professional Use</t>
  </si>
  <si>
    <t>Base RateJewellery &amp; WatchesScheduled - Watches</t>
  </si>
  <si>
    <t>Full</t>
  </si>
  <si>
    <t>Partial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</si>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</sst>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%"/>
    <numFmt numFmtId="165" formatCode="#,##0.0000"/>
    <numFmt numFmtId="166" formatCode="#,##0.000"/>
    <numFmt numFmtId="167" formatCode="0.0000%"/>
    <numFmt numFmtId="168" formatCode="0.000000"/>
    <numFmt numFmtId="169" formatCode="#,##0.00000"/>
  </numFmts>
  <fonts count="1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Arial"/>
      <family val="2"/>
      <scheme val="minor"/>
    </font>
    <font>
      <sz val="11"/>
      <color rgb="FF0070C0"/>
      <name val="Arial"/>
      <family val="2"/>
      <scheme val="minor"/>
    </font>
    <font>
      <sz val="8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theme="7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9" tint="-0.249977111117893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2" fillId="0" borderId="0" xfId="0" applyFont="1"/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quotePrefix="1"/>
    <xf numFmtId="4" fontId="0" fillId="0" borderId="0" xfId="0" applyNumberFormat="1"/>
    <xf numFmtId="3" fontId="0" fillId="0" borderId="0" xfId="0" applyNumberFormat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6" fontId="0" fillId="0" borderId="0" xfId="0" applyNumberFormat="1"/>
    <xf numFmtId="167" fontId="0" fillId="2" borderId="0" xfId="0" applyNumberForma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4" fontId="9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4" fontId="9" fillId="5" borderId="0" xfId="0" applyNumberFormat="1" applyFont="1" applyFill="1" applyAlignment="1">
      <alignment horizontal="center"/>
    </xf>
    <xf numFmtId="4" fontId="6" fillId="5" borderId="0" xfId="0" applyNumberFormat="1" applyFont="1" applyFill="1" applyAlignment="1">
      <alignment horizontal="center"/>
    </xf>
    <xf numFmtId="4" fontId="6" fillId="6" borderId="0" xfId="0" applyNumberFormat="1" applyFont="1" applyFill="1" applyAlignment="1">
      <alignment horizontal="center"/>
    </xf>
    <xf numFmtId="4" fontId="3" fillId="6" borderId="0" xfId="0" applyNumberFormat="1" applyFont="1" applyFill="1" applyAlignment="1">
      <alignment horizontal="center"/>
    </xf>
    <xf numFmtId="4" fontId="9" fillId="6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4" fontId="9" fillId="7" borderId="0" xfId="0" applyNumberFormat="1" applyFont="1" applyFill="1" applyAlignment="1">
      <alignment horizontal="center"/>
    </xf>
    <xf numFmtId="4" fontId="6" fillId="7" borderId="0" xfId="0" applyNumberFormat="1" applyFont="1" applyFill="1" applyAlignment="1">
      <alignment horizontal="center"/>
    </xf>
    <xf numFmtId="4" fontId="6" fillId="8" borderId="0" xfId="0" applyNumberFormat="1" applyFont="1" applyFill="1" applyAlignment="1">
      <alignment horizontal="center"/>
    </xf>
    <xf numFmtId="4" fontId="3" fillId="8" borderId="0" xfId="0" applyNumberFormat="1" applyFont="1" applyFill="1" applyAlignment="1">
      <alignment horizontal="center"/>
    </xf>
    <xf numFmtId="4" fontId="9" fillId="8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4" fontId="3" fillId="9" borderId="0" xfId="0" applyNumberFormat="1" applyFont="1" applyFill="1" applyAlignment="1">
      <alignment horizontal="center"/>
    </xf>
    <xf numFmtId="4" fontId="6" fillId="9" borderId="0" xfId="0" applyNumberFormat="1" applyFont="1" applyFill="1" applyAlignment="1">
      <alignment horizontal="center"/>
    </xf>
    <xf numFmtId="4" fontId="3" fillId="10" borderId="0" xfId="0" applyNumberFormat="1" applyFont="1" applyFill="1" applyAlignment="1">
      <alignment horizontal="center"/>
    </xf>
    <xf numFmtId="4" fontId="6" fillId="10" borderId="0" xfId="0" applyNumberFormat="1" applyFont="1" applyFill="1" applyAlignment="1">
      <alignment horizontal="center"/>
    </xf>
    <xf numFmtId="168" fontId="0" fillId="0" borderId="0" xfId="0" applyNumberFormat="1"/>
    <xf numFmtId="169" fontId="6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69" fontId="9" fillId="2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4" fontId="12" fillId="2" borderId="0" xfId="0" applyNumberFormat="1" applyFont="1" applyFill="1" applyAlignment="1">
      <alignment horizontal="center"/>
    </xf>
    <xf numFmtId="4" fontId="11" fillId="2" borderId="0" xfId="0" applyNumberFormat="1" applyFont="1" applyFill="1" applyAlignment="1">
      <alignment horizontal="center"/>
    </xf>
    <xf numFmtId="3" fontId="1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USA%20HVH%20Dashboard/Revised%20Benchmark%20Calculator%20model%20-%20FOR%20DB.xlsm" TargetMode="External"/><Relationship Id="rId2" Type="http://schemas.openxmlformats.org/officeDocument/2006/relationships/externalLinkPath" Target="file:///W:\Finance\Actuarial\Pricing\01%20-%20Property\02%20-%20BUSA%20Homeowners\BUSA%20HVH%20Dashboard\Revised%20Benchmark%20Calculator%20model%20-%20FOR%20DB.xlsm" TargetMode="External"/><Relationship Id="rId1" Type="http://schemas.openxmlformats.org/officeDocument/2006/relationships/externalLinkPath" Target="/Finance/Actuarial/Pricing/01%20-%20Property/02%20-%20BUSA%20Homeowners/BUSA%20HVH%20Dashboard/Revised%20Benchmark%20Calculator%20model%20-%20FOR%20D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s"/>
      <sheetName val="Prior years"/>
      <sheetName val="Sheet4"/>
      <sheetName val="Policy Data"/>
      <sheetName val="Sheet1"/>
      <sheetName val="TP Assump."/>
      <sheetName val="Deductibles"/>
      <sheetName val="Exposure curves"/>
      <sheetName val="Report"/>
      <sheetName val="Checks"/>
      <sheetName val="StateCounty List - TBA"/>
      <sheetName val="Lookup - TBA"/>
      <sheetName val="Check RC"/>
      <sheetName val="Proposed Rating"/>
      <sheetName val="Mappings"/>
      <sheetName val="Territory Mapping"/>
      <sheetName val="Legacy"/>
      <sheetName val="Sheet2"/>
      <sheetName val="AALs"/>
      <sheetName val="County Mapping"/>
      <sheetName val="Exposure data"/>
      <sheetName val="Report_workings"/>
      <sheetName val="Rating factors"/>
      <sheetName val="BI Upload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D4183125PNYH</v>
          </cell>
        </row>
      </sheetData>
      <sheetData sheetId="4" refreshError="1"/>
      <sheetData sheetId="5" refreshError="1"/>
      <sheetData sheetId="6" refreshError="1"/>
      <sheetData sheetId="7">
        <row r="3">
          <cell r="A3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>
            <v>1383858.0542250837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678B-E90D-4DB7-B030-6B46E9A8C2A3}">
  <sheetPr codeName="Sheet2">
    <tabColor theme="4"/>
  </sheetPr>
  <dimension ref="A1:U2"/>
  <sheetViews>
    <sheetView zoomScaleNormal="100" workbookViewId="0">
      <selection activeCell="D22" sqref="D22"/>
    </sheetView>
  </sheetViews>
  <sheetFormatPr defaultRowHeight="14.25" x14ac:dyDescent="0.2"/>
  <cols>
    <col min="1" max="1" width="36.5" customWidth="1"/>
    <col min="2" max="2" width="47.375" customWidth="1"/>
    <col min="3" max="5" width="8.875" bestFit="1" customWidth="1"/>
    <col min="6" max="6" width="10" bestFit="1" customWidth="1"/>
    <col min="7" max="7" width="10.375" bestFit="1" customWidth="1"/>
    <col min="8" max="8" width="25.125" bestFit="1" customWidth="1"/>
    <col min="9" max="9" width="6.25" bestFit="1" customWidth="1"/>
    <col min="10" max="10" width="10.375" bestFit="1" customWidth="1"/>
    <col min="11" max="11" width="16.25" bestFit="1" customWidth="1"/>
    <col min="12" max="14" width="9.625" bestFit="1" customWidth="1"/>
    <col min="15" max="15" width="19.875" bestFit="1" customWidth="1"/>
    <col min="16" max="16" width="9.625" bestFit="1" customWidth="1"/>
    <col min="17" max="17" width="11.5" bestFit="1" customWidth="1"/>
    <col min="18" max="18" width="9.625" bestFit="1" customWidth="1"/>
    <col min="19" max="19" width="18.5" bestFit="1" customWidth="1"/>
    <col min="20" max="20" width="14.25" bestFit="1" customWidth="1"/>
    <col min="21" max="21" width="14.875" bestFit="1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t="s">
        <v>106</v>
      </c>
      <c r="B2" t="s">
        <v>106</v>
      </c>
      <c r="C2" s="52">
        <v>1</v>
      </c>
      <c r="D2" s="52">
        <v>1</v>
      </c>
      <c r="E2" s="52">
        <v>1</v>
      </c>
      <c r="F2" s="52">
        <v>1</v>
      </c>
      <c r="G2" s="42">
        <f>'[1]Proposed Rating'!$C$3</f>
        <v>1383858.0542250837</v>
      </c>
      <c r="H2" s="52">
        <v>1</v>
      </c>
      <c r="I2" s="52">
        <v>1</v>
      </c>
      <c r="J2" s="52">
        <v>1</v>
      </c>
      <c r="K2" s="42">
        <f>'[1]Proposed Rating'!$C$3</f>
        <v>1383858.0542250837</v>
      </c>
      <c r="L2" s="42">
        <f>'[1]Proposed Rating'!$C$3</f>
        <v>1383858.0542250837</v>
      </c>
      <c r="M2" s="42">
        <f>'[1]Proposed Rating'!$C$3</f>
        <v>1383858.0542250837</v>
      </c>
      <c r="N2" s="42">
        <f>'[1]Proposed Rating'!$C$3</f>
        <v>1383858.0542250837</v>
      </c>
      <c r="O2" s="42">
        <f>'[1]Proposed Rating'!$C$3</f>
        <v>1383858.0542250837</v>
      </c>
      <c r="P2" s="42">
        <f>'[1]Proposed Rating'!$C$3</f>
        <v>1383858.0542250837</v>
      </c>
      <c r="Q2" s="42">
        <f>'[1]Proposed Rating'!$C$3</f>
        <v>1383858.0542250837</v>
      </c>
      <c r="R2" s="42">
        <f>'[1]Proposed Rating'!$C$3</f>
        <v>1383858.0542250837</v>
      </c>
      <c r="S2" s="42">
        <f>'[1]Proposed Rating'!$C$3</f>
        <v>1383858.0542250837</v>
      </c>
      <c r="T2" s="42">
        <f>'[1]Proposed Rating'!$C$3</f>
        <v>1383858.0542250837</v>
      </c>
      <c r="U2" s="42">
        <f>'[1]Proposed Rating'!$C$3</f>
        <v>1383858.0542250837</v>
      </c>
    </row>
  </sheetData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AA43-3572-4042-8E2E-33B12DC07ACA}">
  <dimension ref="A1:C5"/>
  <sheetViews>
    <sheetView workbookViewId="0"/>
  </sheetViews>
  <sheetFormatPr defaultRowHeight="14.25" x14ac:dyDescent="0.2"/>
  <cols>
    <col min="1" max="1" width="13.5" bestFit="1" customWidth="1"/>
    <col min="2" max="2" width="9.5" bestFit="1" customWidth="1"/>
    <col min="3" max="3" width="19.625" bestFit="1" customWidth="1"/>
  </cols>
  <sheetData>
    <row r="1" spans="1:3" x14ac:dyDescent="0.2">
      <c r="A1" t="s">
        <v>423</v>
      </c>
      <c r="B1" t="s">
        <v>1</v>
      </c>
      <c r="C1" t="s">
        <v>424</v>
      </c>
    </row>
    <row r="2" spans="1:3" x14ac:dyDescent="0.2">
      <c r="A2" t="s">
        <v>425</v>
      </c>
      <c r="B2" s="48">
        <f>table_base_rate!K2</f>
        <v>9.7578771850434347E-4</v>
      </c>
      <c r="C2" s="11">
        <f>B2/SUM($B$2:$B$5)</f>
        <v>0.37860924256596767</v>
      </c>
    </row>
    <row r="3" spans="1:3" x14ac:dyDescent="0.2">
      <c r="A3" t="s">
        <v>426</v>
      </c>
      <c r="B3" s="48">
        <f>table_base_rate!L2+table_base_rate!M2</f>
        <v>2.432816448687486E-4</v>
      </c>
      <c r="C3" s="11">
        <f t="shared" ref="C3:C5" si="0">B3/SUM($B$2:$B$5)</f>
        <v>9.4394177695883402E-2</v>
      </c>
    </row>
    <row r="4" spans="1:3" x14ac:dyDescent="0.2">
      <c r="A4" t="s">
        <v>37</v>
      </c>
      <c r="B4" s="48">
        <f>table_base_rate!R2</f>
        <v>8.7485948001689501E-4</v>
      </c>
      <c r="C4" s="11">
        <f t="shared" si="0"/>
        <v>0.33944871287020467</v>
      </c>
    </row>
    <row r="5" spans="1:3" x14ac:dyDescent="0.2">
      <c r="A5" t="s">
        <v>33</v>
      </c>
      <c r="B5" s="48">
        <f>table_base_rate!N2+table_base_rate!O2+table_base_rate!P2+table_base_rate!Q2+table_base_rate!S2+table_base_rate!T2+table_base_rate!U2</f>
        <v>4.83366184832482E-4</v>
      </c>
      <c r="C5" s="11">
        <f t="shared" si="0"/>
        <v>0.18754786686794414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F8A2-059D-421A-8B7A-D488352F3B90}">
  <sheetPr>
    <tabColor theme="4"/>
  </sheetPr>
  <dimension ref="A1:V2"/>
  <sheetViews>
    <sheetView zoomScale="55" zoomScaleNormal="55" workbookViewId="0">
      <selection activeCell="C2" sqref="C2:J2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2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2" ht="15" x14ac:dyDescent="0.25">
      <c r="A2" t="s">
        <v>107</v>
      </c>
      <c r="B2" t="s">
        <v>107</v>
      </c>
      <c r="C2" s="52">
        <v>1</v>
      </c>
      <c r="D2" s="52">
        <v>1</v>
      </c>
      <c r="E2" s="52">
        <v>1</v>
      </c>
      <c r="F2" s="52">
        <v>1</v>
      </c>
      <c r="G2" s="52">
        <v>1</v>
      </c>
      <c r="H2" s="52">
        <v>1</v>
      </c>
      <c r="I2" s="52">
        <v>1</v>
      </c>
      <c r="J2" s="52">
        <v>1</v>
      </c>
      <c r="K2" s="43">
        <v>0.37860924256596767</v>
      </c>
      <c r="L2" s="43">
        <v>3.2794869124739522E-2</v>
      </c>
      <c r="M2" s="43">
        <v>6.1599308571143874E-2</v>
      </c>
      <c r="N2" s="43">
        <v>0.12206377203289345</v>
      </c>
      <c r="O2" s="43">
        <v>2.617040097056432E-2</v>
      </c>
      <c r="P2" s="43">
        <v>7.0174053113664862E-4</v>
      </c>
      <c r="Q2" s="43">
        <v>1.4877184859144762E-2</v>
      </c>
      <c r="R2" s="43">
        <v>0.33944871287020467</v>
      </c>
      <c r="S2" s="43">
        <v>2.0973626086887016E-3</v>
      </c>
      <c r="T2" s="43">
        <v>1.1210897421444872E-3</v>
      </c>
      <c r="U2" s="43">
        <v>2.0516316123371774E-2</v>
      </c>
      <c r="V2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CA7D-6454-4141-9DB2-1AC2044859E6}">
  <sheetPr>
    <tabColor theme="4"/>
  </sheetPr>
  <dimension ref="A1:U53"/>
  <sheetViews>
    <sheetView topLeftCell="A5" zoomScale="70" zoomScaleNormal="70" workbookViewId="0">
      <selection activeCell="J56" sqref="J56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t="s">
        <v>1</v>
      </c>
      <c r="B2" t="s">
        <v>1</v>
      </c>
      <c r="C2" s="52">
        <v>1</v>
      </c>
      <c r="D2" s="52">
        <v>1</v>
      </c>
      <c r="E2" s="15">
        <v>4.4993344529048471E-3</v>
      </c>
      <c r="F2" s="1">
        <v>2.2651365243853047E-4</v>
      </c>
      <c r="G2" s="13">
        <v>1.2171196712987312E-4</v>
      </c>
      <c r="H2" s="52">
        <v>1</v>
      </c>
      <c r="I2" s="52">
        <v>1</v>
      </c>
      <c r="J2" s="14">
        <v>3.7781006019898978E-5</v>
      </c>
      <c r="K2" s="13">
        <v>9.7578771850434347E-4</v>
      </c>
      <c r="L2" s="13">
        <v>8.4522053146397739E-5</v>
      </c>
      <c r="M2" s="13">
        <v>1.5875959172235085E-4</v>
      </c>
      <c r="N2" s="13">
        <v>3.1459435278645718E-4</v>
      </c>
      <c r="O2" s="12">
        <v>6.7448844308023908E-5</v>
      </c>
      <c r="P2" s="12">
        <v>1.8085923820006794E-6</v>
      </c>
      <c r="Q2" s="12">
        <v>3.8342894571420392E-5</v>
      </c>
      <c r="R2" s="12">
        <v>8.7485948001689501E-4</v>
      </c>
      <c r="S2" s="12">
        <v>5.4055222237530995E-6</v>
      </c>
      <c r="T2" s="12">
        <v>2.8893790186201968E-6</v>
      </c>
      <c r="U2" s="13">
        <v>5.2876599542206557E-5</v>
      </c>
    </row>
    <row r="3" spans="1:21" x14ac:dyDescent="0.2">
      <c r="A3" t="s">
        <v>111</v>
      </c>
      <c r="B3" s="8">
        <v>0</v>
      </c>
      <c r="C3" s="52">
        <v>1</v>
      </c>
      <c r="D3" s="52">
        <v>1</v>
      </c>
      <c r="E3" s="52">
        <v>1</v>
      </c>
      <c r="F3" s="52">
        <v>1</v>
      </c>
      <c r="G3" s="52">
        <v>1</v>
      </c>
      <c r="H3" s="16">
        <v>18</v>
      </c>
      <c r="I3" s="52">
        <v>1</v>
      </c>
      <c r="J3" s="52">
        <v>1</v>
      </c>
      <c r="K3" s="52">
        <v>1</v>
      </c>
      <c r="L3" s="52">
        <v>1</v>
      </c>
      <c r="M3" s="52">
        <v>1</v>
      </c>
      <c r="N3" s="52">
        <v>1</v>
      </c>
      <c r="O3" s="52">
        <v>1</v>
      </c>
      <c r="P3" s="52">
        <v>1</v>
      </c>
      <c r="Q3" s="52">
        <v>1</v>
      </c>
      <c r="R3" s="52">
        <v>1</v>
      </c>
      <c r="S3" s="52">
        <v>1</v>
      </c>
      <c r="T3" s="52">
        <v>1</v>
      </c>
      <c r="U3" s="52">
        <v>1</v>
      </c>
    </row>
    <row r="4" spans="1:21" x14ac:dyDescent="0.2">
      <c r="A4" t="s">
        <v>112</v>
      </c>
      <c r="B4" s="8">
        <v>500000</v>
      </c>
      <c r="C4" s="52">
        <v>1</v>
      </c>
      <c r="D4" s="52">
        <v>1</v>
      </c>
      <c r="E4" s="52">
        <v>1</v>
      </c>
      <c r="F4" s="52">
        <v>1</v>
      </c>
      <c r="G4" s="52">
        <v>1</v>
      </c>
      <c r="H4" s="16">
        <v>27</v>
      </c>
      <c r="I4" s="52">
        <v>1</v>
      </c>
      <c r="J4" s="52">
        <v>1</v>
      </c>
      <c r="K4" s="52">
        <v>1</v>
      </c>
      <c r="L4" s="52">
        <v>1</v>
      </c>
      <c r="M4" s="52">
        <v>1</v>
      </c>
      <c r="N4" s="52">
        <v>1</v>
      </c>
      <c r="O4" s="52">
        <v>1</v>
      </c>
      <c r="P4" s="52">
        <v>1</v>
      </c>
      <c r="Q4" s="52">
        <v>1</v>
      </c>
      <c r="R4" s="52">
        <v>1</v>
      </c>
      <c r="S4" s="52">
        <v>1</v>
      </c>
      <c r="T4" s="52">
        <v>1</v>
      </c>
      <c r="U4" s="52">
        <v>1</v>
      </c>
    </row>
    <row r="5" spans="1:21" x14ac:dyDescent="0.2">
      <c r="A5" t="s">
        <v>113</v>
      </c>
      <c r="B5" s="8">
        <v>1000000</v>
      </c>
      <c r="C5" s="52">
        <v>1</v>
      </c>
      <c r="D5" s="52">
        <v>1</v>
      </c>
      <c r="E5" s="52">
        <v>1</v>
      </c>
      <c r="F5" s="52">
        <v>1</v>
      </c>
      <c r="G5" s="52">
        <v>1</v>
      </c>
      <c r="H5" s="16">
        <v>58</v>
      </c>
      <c r="I5" s="52">
        <v>1</v>
      </c>
      <c r="J5" s="52">
        <v>1</v>
      </c>
      <c r="K5" s="52">
        <v>1</v>
      </c>
      <c r="L5" s="52">
        <v>1</v>
      </c>
      <c r="M5" s="52">
        <v>1</v>
      </c>
      <c r="N5" s="52">
        <v>1</v>
      </c>
      <c r="O5" s="52">
        <v>1</v>
      </c>
      <c r="P5" s="52">
        <v>1</v>
      </c>
      <c r="Q5" s="52">
        <v>1</v>
      </c>
      <c r="R5" s="52">
        <v>1</v>
      </c>
      <c r="S5" s="52">
        <v>1</v>
      </c>
      <c r="T5" s="52">
        <v>1</v>
      </c>
      <c r="U5" s="52">
        <v>1</v>
      </c>
    </row>
    <row r="6" spans="1:21" x14ac:dyDescent="0.2">
      <c r="A6" t="s">
        <v>114</v>
      </c>
      <c r="B6" s="8">
        <v>2000000</v>
      </c>
      <c r="C6" s="52">
        <v>1</v>
      </c>
      <c r="D6" s="52">
        <v>1</v>
      </c>
      <c r="E6" s="52">
        <v>1</v>
      </c>
      <c r="F6" s="52">
        <v>1</v>
      </c>
      <c r="G6" s="52">
        <v>1</v>
      </c>
      <c r="H6" s="16">
        <v>148</v>
      </c>
      <c r="I6" s="52">
        <v>1</v>
      </c>
      <c r="J6" s="52">
        <v>1</v>
      </c>
      <c r="K6" s="52">
        <v>1</v>
      </c>
      <c r="L6" s="52">
        <v>1</v>
      </c>
      <c r="M6" s="52">
        <v>1</v>
      </c>
      <c r="N6" s="52">
        <v>1</v>
      </c>
      <c r="O6" s="52">
        <v>1</v>
      </c>
      <c r="P6" s="52">
        <v>1</v>
      </c>
      <c r="Q6" s="52">
        <v>1</v>
      </c>
      <c r="R6" s="52">
        <v>1</v>
      </c>
      <c r="S6" s="52">
        <v>1</v>
      </c>
      <c r="T6" s="52">
        <v>1</v>
      </c>
      <c r="U6" s="52">
        <v>1</v>
      </c>
    </row>
    <row r="7" spans="1:21" x14ac:dyDescent="0.2">
      <c r="A7" t="s">
        <v>115</v>
      </c>
      <c r="B7" s="8">
        <v>5000000</v>
      </c>
      <c r="C7" s="52">
        <v>1</v>
      </c>
      <c r="D7" s="52">
        <v>1</v>
      </c>
      <c r="E7" s="52">
        <v>1</v>
      </c>
      <c r="F7" s="52">
        <v>1</v>
      </c>
      <c r="G7" s="52">
        <v>1</v>
      </c>
      <c r="H7" s="16">
        <v>333</v>
      </c>
      <c r="I7" s="52">
        <v>1</v>
      </c>
      <c r="J7" s="52">
        <v>1</v>
      </c>
      <c r="K7" s="52">
        <v>1</v>
      </c>
      <c r="L7" s="52">
        <v>1</v>
      </c>
      <c r="M7" s="52">
        <v>1</v>
      </c>
      <c r="N7" s="52">
        <v>1</v>
      </c>
      <c r="O7" s="52">
        <v>1</v>
      </c>
      <c r="P7" s="52">
        <v>1</v>
      </c>
      <c r="Q7" s="52">
        <v>1</v>
      </c>
      <c r="R7" s="52">
        <v>1</v>
      </c>
      <c r="S7" s="52">
        <v>1</v>
      </c>
      <c r="T7" s="52">
        <v>1</v>
      </c>
      <c r="U7" s="52">
        <v>1</v>
      </c>
    </row>
    <row r="8" spans="1:21" x14ac:dyDescent="0.2">
      <c r="A8" t="s">
        <v>116</v>
      </c>
      <c r="B8" s="8">
        <v>999999999</v>
      </c>
      <c r="C8" s="52">
        <v>1</v>
      </c>
      <c r="D8" s="52">
        <v>1</v>
      </c>
      <c r="E8" s="52">
        <v>1</v>
      </c>
      <c r="F8" s="52">
        <v>1</v>
      </c>
      <c r="G8" s="52">
        <v>1</v>
      </c>
      <c r="H8" s="16">
        <v>333</v>
      </c>
      <c r="I8" s="52">
        <v>1</v>
      </c>
      <c r="J8" s="52">
        <v>1</v>
      </c>
      <c r="K8" s="52">
        <v>1</v>
      </c>
      <c r="L8" s="52">
        <v>1</v>
      </c>
      <c r="M8" s="52">
        <v>1</v>
      </c>
      <c r="N8" s="52">
        <v>1</v>
      </c>
      <c r="O8" s="52">
        <v>1</v>
      </c>
      <c r="P8" s="52">
        <v>1</v>
      </c>
      <c r="Q8" s="52">
        <v>1</v>
      </c>
      <c r="R8" s="52">
        <v>1</v>
      </c>
      <c r="S8" s="52">
        <v>1</v>
      </c>
      <c r="T8" s="52">
        <v>1</v>
      </c>
      <c r="U8" s="52">
        <v>1</v>
      </c>
    </row>
    <row r="9" spans="1:21" x14ac:dyDescent="0.2">
      <c r="A9" t="s">
        <v>451</v>
      </c>
      <c r="B9" t="s">
        <v>47</v>
      </c>
      <c r="C9" s="52">
        <v>1</v>
      </c>
      <c r="D9" s="52">
        <v>1</v>
      </c>
      <c r="E9" s="52">
        <v>1</v>
      </c>
      <c r="F9" s="52">
        <v>1</v>
      </c>
      <c r="G9" s="52">
        <v>1</v>
      </c>
      <c r="H9" s="52">
        <v>1</v>
      </c>
      <c r="I9" s="15">
        <v>6.2500000000000003E-3</v>
      </c>
      <c r="J9" s="52">
        <v>1</v>
      </c>
      <c r="K9" s="52">
        <v>1</v>
      </c>
      <c r="L9" s="52">
        <v>1</v>
      </c>
      <c r="M9" s="52">
        <v>1</v>
      </c>
      <c r="N9" s="52">
        <v>1</v>
      </c>
      <c r="O9" s="52">
        <v>1</v>
      </c>
      <c r="P9" s="52">
        <v>1</v>
      </c>
      <c r="Q9" s="52">
        <v>1</v>
      </c>
      <c r="R9" s="52">
        <v>1</v>
      </c>
      <c r="S9" s="52">
        <v>1</v>
      </c>
      <c r="T9" s="52">
        <v>1</v>
      </c>
      <c r="U9" s="52">
        <v>1</v>
      </c>
    </row>
    <row r="10" spans="1:21" x14ac:dyDescent="0.2">
      <c r="A10" t="s">
        <v>452</v>
      </c>
      <c r="B10" t="s">
        <v>48</v>
      </c>
      <c r="C10" s="52">
        <v>1</v>
      </c>
      <c r="D10" s="52">
        <v>1</v>
      </c>
      <c r="E10" s="52">
        <v>1</v>
      </c>
      <c r="F10" s="52">
        <v>1</v>
      </c>
      <c r="G10" s="52">
        <v>1</v>
      </c>
      <c r="H10" s="52">
        <v>1</v>
      </c>
      <c r="I10" s="15">
        <v>9.3749999999999997E-3</v>
      </c>
      <c r="J10" s="52">
        <v>1</v>
      </c>
      <c r="K10" s="52">
        <v>1</v>
      </c>
      <c r="L10" s="52">
        <v>1</v>
      </c>
      <c r="M10" s="52">
        <v>1</v>
      </c>
      <c r="N10" s="52">
        <v>1</v>
      </c>
      <c r="O10" s="52">
        <v>1</v>
      </c>
      <c r="P10" s="52">
        <v>1</v>
      </c>
      <c r="Q10" s="52">
        <v>1</v>
      </c>
      <c r="R10" s="52">
        <v>1</v>
      </c>
      <c r="S10" s="52">
        <v>1</v>
      </c>
      <c r="T10" s="52">
        <v>1</v>
      </c>
      <c r="U10" s="52">
        <v>1</v>
      </c>
    </row>
    <row r="11" spans="1:21" x14ac:dyDescent="0.2">
      <c r="A11" t="s">
        <v>453</v>
      </c>
      <c r="B11" t="s">
        <v>49</v>
      </c>
      <c r="C11" s="52">
        <v>1</v>
      </c>
      <c r="D11" s="52">
        <v>1</v>
      </c>
      <c r="E11" s="52">
        <v>1</v>
      </c>
      <c r="F11" s="52">
        <v>1</v>
      </c>
      <c r="G11" s="52">
        <v>1</v>
      </c>
      <c r="H11" s="52">
        <v>1</v>
      </c>
      <c r="I11" s="15">
        <v>6.2500000000000003E-3</v>
      </c>
      <c r="J11" s="52">
        <v>1</v>
      </c>
      <c r="K11" s="52">
        <v>1</v>
      </c>
      <c r="L11" s="52">
        <v>1</v>
      </c>
      <c r="M11" s="52">
        <v>1</v>
      </c>
      <c r="N11" s="52">
        <v>1</v>
      </c>
      <c r="O11" s="52">
        <v>1</v>
      </c>
      <c r="P11" s="52">
        <v>1</v>
      </c>
      <c r="Q11" s="52">
        <v>1</v>
      </c>
      <c r="R11" s="52">
        <v>1</v>
      </c>
      <c r="S11" s="52">
        <v>1</v>
      </c>
      <c r="T11" s="52">
        <v>1</v>
      </c>
      <c r="U11" s="52">
        <v>1</v>
      </c>
    </row>
    <row r="12" spans="1:21" x14ac:dyDescent="0.2">
      <c r="A12" t="s">
        <v>454</v>
      </c>
      <c r="B12" t="s">
        <v>50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1</v>
      </c>
      <c r="I12" s="15">
        <v>2.5000000000000001E-2</v>
      </c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1</v>
      </c>
    </row>
    <row r="13" spans="1:21" x14ac:dyDescent="0.2">
      <c r="A13" t="s">
        <v>455</v>
      </c>
      <c r="B13" t="s">
        <v>51</v>
      </c>
      <c r="C13" s="52">
        <v>1</v>
      </c>
      <c r="D13" s="52">
        <v>1</v>
      </c>
      <c r="E13" s="52">
        <v>1</v>
      </c>
      <c r="F13" s="52">
        <v>1</v>
      </c>
      <c r="G13" s="52">
        <v>1</v>
      </c>
      <c r="H13" s="52">
        <v>1</v>
      </c>
      <c r="I13" s="15">
        <v>1.06E-2</v>
      </c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2">
        <v>1</v>
      </c>
      <c r="R13" s="52">
        <v>1</v>
      </c>
      <c r="S13" s="52">
        <v>1</v>
      </c>
      <c r="T13" s="52">
        <v>1</v>
      </c>
      <c r="U13" s="52">
        <v>1</v>
      </c>
    </row>
    <row r="14" spans="1:21" x14ac:dyDescent="0.2">
      <c r="A14" t="s">
        <v>456</v>
      </c>
      <c r="B14" t="s">
        <v>52</v>
      </c>
      <c r="C14" s="52">
        <v>1</v>
      </c>
      <c r="D14" s="52">
        <v>1</v>
      </c>
      <c r="E14" s="52">
        <v>1</v>
      </c>
      <c r="F14" s="52">
        <v>1</v>
      </c>
      <c r="G14" s="52">
        <v>1</v>
      </c>
      <c r="H14" s="52">
        <v>1</v>
      </c>
      <c r="I14" s="15">
        <v>7.4999999999999997E-3</v>
      </c>
      <c r="J14" s="52">
        <v>1</v>
      </c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2">
        <v>1</v>
      </c>
      <c r="R14" s="52">
        <v>1</v>
      </c>
      <c r="S14" s="52">
        <v>1</v>
      </c>
      <c r="T14" s="52">
        <v>1</v>
      </c>
      <c r="U14" s="52">
        <v>1</v>
      </c>
    </row>
    <row r="15" spans="1:21" x14ac:dyDescent="0.2">
      <c r="A15" t="s">
        <v>457</v>
      </c>
      <c r="B15" t="s">
        <v>53</v>
      </c>
      <c r="C15" s="52">
        <v>1</v>
      </c>
      <c r="D15" s="52">
        <v>1</v>
      </c>
      <c r="E15" s="52">
        <v>1</v>
      </c>
      <c r="F15" s="52">
        <v>1</v>
      </c>
      <c r="G15" s="52">
        <v>1</v>
      </c>
      <c r="H15" s="52">
        <v>1</v>
      </c>
      <c r="I15" s="15">
        <v>7.4999999999999997E-3</v>
      </c>
      <c r="J15" s="52">
        <v>1</v>
      </c>
      <c r="K15" s="52">
        <v>1</v>
      </c>
      <c r="L15" s="52">
        <v>1</v>
      </c>
      <c r="M15" s="52">
        <v>1</v>
      </c>
      <c r="N15" s="52">
        <v>1</v>
      </c>
      <c r="O15" s="52">
        <v>1</v>
      </c>
      <c r="P15" s="52">
        <v>1</v>
      </c>
      <c r="Q15" s="52">
        <v>1</v>
      </c>
      <c r="R15" s="52">
        <v>1</v>
      </c>
      <c r="S15" s="52">
        <v>1</v>
      </c>
      <c r="T15" s="52">
        <v>1</v>
      </c>
      <c r="U15" s="52">
        <v>1</v>
      </c>
    </row>
    <row r="16" spans="1:21" x14ac:dyDescent="0.2">
      <c r="A16" t="s">
        <v>458</v>
      </c>
      <c r="B16" t="s">
        <v>54</v>
      </c>
      <c r="C16" s="52">
        <v>1</v>
      </c>
      <c r="D16" s="52">
        <v>1</v>
      </c>
      <c r="E16" s="52">
        <v>1</v>
      </c>
      <c r="F16" s="52">
        <v>1</v>
      </c>
      <c r="G16" s="52">
        <v>1</v>
      </c>
      <c r="H16" s="52">
        <v>1</v>
      </c>
      <c r="I16" s="15">
        <v>1.2500000000000001E-2</v>
      </c>
      <c r="J16" s="52">
        <v>1</v>
      </c>
      <c r="K16" s="52">
        <v>1</v>
      </c>
      <c r="L16" s="52">
        <v>1</v>
      </c>
      <c r="M16" s="52">
        <v>1</v>
      </c>
      <c r="N16" s="52">
        <v>1</v>
      </c>
      <c r="O16" s="52">
        <v>1</v>
      </c>
      <c r="P16" s="52">
        <v>1</v>
      </c>
      <c r="Q16" s="52">
        <v>1</v>
      </c>
      <c r="R16" s="52">
        <v>1</v>
      </c>
      <c r="S16" s="52">
        <v>1</v>
      </c>
      <c r="T16" s="52">
        <v>1</v>
      </c>
      <c r="U16" s="52">
        <v>1</v>
      </c>
    </row>
    <row r="17" spans="1:21" x14ac:dyDescent="0.2">
      <c r="A17" t="s">
        <v>459</v>
      </c>
      <c r="B17" t="s">
        <v>55</v>
      </c>
      <c r="C17" s="52">
        <v>1</v>
      </c>
      <c r="D17" s="52">
        <v>1</v>
      </c>
      <c r="E17" s="52">
        <v>1</v>
      </c>
      <c r="F17" s="52">
        <v>1</v>
      </c>
      <c r="G17" s="52">
        <v>1</v>
      </c>
      <c r="H17" s="52">
        <v>1</v>
      </c>
      <c r="I17" s="15">
        <v>3.7499999999999999E-2</v>
      </c>
      <c r="J17" s="52">
        <v>1</v>
      </c>
      <c r="K17" s="52">
        <v>1</v>
      </c>
      <c r="L17" s="52">
        <v>1</v>
      </c>
      <c r="M17" s="52">
        <v>1</v>
      </c>
      <c r="N17" s="52">
        <v>1</v>
      </c>
      <c r="O17" s="52">
        <v>1</v>
      </c>
      <c r="P17" s="52">
        <v>1</v>
      </c>
      <c r="Q17" s="52">
        <v>1</v>
      </c>
      <c r="R17" s="52">
        <v>1</v>
      </c>
      <c r="S17" s="52">
        <v>1</v>
      </c>
      <c r="T17" s="52">
        <v>1</v>
      </c>
      <c r="U17" s="52">
        <v>1</v>
      </c>
    </row>
    <row r="18" spans="1:21" x14ac:dyDescent="0.2">
      <c r="A18" t="s">
        <v>460</v>
      </c>
      <c r="B18" t="s">
        <v>56</v>
      </c>
      <c r="C18" s="52">
        <v>1</v>
      </c>
      <c r="D18" s="52">
        <v>1</v>
      </c>
      <c r="E18" s="52">
        <v>1</v>
      </c>
      <c r="F18" s="52">
        <v>1</v>
      </c>
      <c r="G18" s="52">
        <v>1</v>
      </c>
      <c r="H18" s="52">
        <v>1</v>
      </c>
      <c r="I18" s="15">
        <v>0.02</v>
      </c>
      <c r="J18" s="52">
        <v>1</v>
      </c>
      <c r="K18" s="52">
        <v>1</v>
      </c>
      <c r="L18" s="52">
        <v>1</v>
      </c>
      <c r="M18" s="52">
        <v>1</v>
      </c>
      <c r="N18" s="52">
        <v>1</v>
      </c>
      <c r="O18" s="52">
        <v>1</v>
      </c>
      <c r="P18" s="52">
        <v>1</v>
      </c>
      <c r="Q18" s="52">
        <v>1</v>
      </c>
      <c r="R18" s="52">
        <v>1</v>
      </c>
      <c r="S18" s="52">
        <v>1</v>
      </c>
      <c r="T18" s="52">
        <v>1</v>
      </c>
      <c r="U18" s="52">
        <v>1</v>
      </c>
    </row>
    <row r="19" spans="1:21" x14ac:dyDescent="0.2">
      <c r="A19" t="s">
        <v>461</v>
      </c>
      <c r="B19" t="s">
        <v>57</v>
      </c>
      <c r="C19" s="52">
        <v>1</v>
      </c>
      <c r="D19" s="52">
        <v>1</v>
      </c>
      <c r="E19" s="52">
        <v>1</v>
      </c>
      <c r="F19" s="52">
        <v>1</v>
      </c>
      <c r="G19" s="52">
        <v>1</v>
      </c>
      <c r="H19" s="52">
        <v>1</v>
      </c>
      <c r="I19" s="15">
        <v>7.4999999999999997E-3</v>
      </c>
      <c r="J19" s="52">
        <v>1</v>
      </c>
      <c r="K19" s="52">
        <v>1</v>
      </c>
      <c r="L19" s="52">
        <v>1</v>
      </c>
      <c r="M19" s="52">
        <v>1</v>
      </c>
      <c r="N19" s="52">
        <v>1</v>
      </c>
      <c r="O19" s="52">
        <v>1</v>
      </c>
      <c r="P19" s="52">
        <v>1</v>
      </c>
      <c r="Q19" s="52">
        <v>1</v>
      </c>
      <c r="R19" s="52">
        <v>1</v>
      </c>
      <c r="S19" s="52">
        <v>1</v>
      </c>
      <c r="T19" s="52">
        <v>1</v>
      </c>
      <c r="U19" s="52">
        <v>1</v>
      </c>
    </row>
    <row r="20" spans="1:21" x14ac:dyDescent="0.2">
      <c r="A20" t="s">
        <v>462</v>
      </c>
      <c r="B20" t="s">
        <v>58</v>
      </c>
      <c r="C20" s="52">
        <v>1</v>
      </c>
      <c r="D20" s="52">
        <v>1</v>
      </c>
      <c r="E20" s="52">
        <v>1</v>
      </c>
      <c r="F20" s="52">
        <v>1</v>
      </c>
      <c r="G20" s="52">
        <v>1</v>
      </c>
      <c r="H20" s="52">
        <v>1</v>
      </c>
      <c r="I20" s="15">
        <v>1.1875E-2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1</v>
      </c>
      <c r="P20" s="52">
        <v>1</v>
      </c>
      <c r="Q20" s="52">
        <v>1</v>
      </c>
      <c r="R20" s="52">
        <v>1</v>
      </c>
      <c r="S20" s="52">
        <v>1</v>
      </c>
      <c r="T20" s="52">
        <v>1</v>
      </c>
      <c r="U20" s="52">
        <v>1</v>
      </c>
    </row>
    <row r="21" spans="1:21" x14ac:dyDescent="0.2">
      <c r="A21" t="s">
        <v>463</v>
      </c>
      <c r="B21" t="s">
        <v>59</v>
      </c>
      <c r="C21" s="52">
        <v>1</v>
      </c>
      <c r="D21" s="52">
        <v>1</v>
      </c>
      <c r="E21" s="52">
        <v>1</v>
      </c>
      <c r="F21" s="52">
        <v>1</v>
      </c>
      <c r="G21" s="52">
        <v>1</v>
      </c>
      <c r="H21" s="52">
        <v>1</v>
      </c>
      <c r="I21" s="15">
        <v>3.7499999999999999E-3</v>
      </c>
      <c r="J21" s="52">
        <v>1</v>
      </c>
      <c r="K21" s="52">
        <v>1</v>
      </c>
      <c r="L21" s="52">
        <v>1</v>
      </c>
      <c r="M21" s="52">
        <v>1</v>
      </c>
      <c r="N21" s="52">
        <v>1</v>
      </c>
      <c r="O21" s="52">
        <v>1</v>
      </c>
      <c r="P21" s="52">
        <v>1</v>
      </c>
      <c r="Q21" s="52">
        <v>1</v>
      </c>
      <c r="R21" s="52">
        <v>1</v>
      </c>
      <c r="S21" s="52">
        <v>1</v>
      </c>
      <c r="T21" s="52">
        <v>1</v>
      </c>
      <c r="U21" s="52">
        <v>1</v>
      </c>
    </row>
    <row r="22" spans="1:21" x14ac:dyDescent="0.2">
      <c r="A22" t="s">
        <v>464</v>
      </c>
      <c r="B22" t="s">
        <v>60</v>
      </c>
      <c r="C22" s="52">
        <v>1</v>
      </c>
      <c r="D22" s="52">
        <v>1</v>
      </c>
      <c r="E22" s="52">
        <v>1</v>
      </c>
      <c r="F22" s="52">
        <v>1</v>
      </c>
      <c r="G22" s="52">
        <v>1</v>
      </c>
      <c r="H22" s="52">
        <v>1</v>
      </c>
      <c r="I22" s="15">
        <v>0.01</v>
      </c>
      <c r="J22" s="52">
        <v>1</v>
      </c>
      <c r="K22" s="52">
        <v>1</v>
      </c>
      <c r="L22" s="52">
        <v>1</v>
      </c>
      <c r="M22" s="52">
        <v>1</v>
      </c>
      <c r="N22" s="52">
        <v>1</v>
      </c>
      <c r="O22" s="52">
        <v>1</v>
      </c>
      <c r="P22" s="52">
        <v>1</v>
      </c>
      <c r="Q22" s="52">
        <v>1</v>
      </c>
      <c r="R22" s="52">
        <v>1</v>
      </c>
      <c r="S22" s="52">
        <v>1</v>
      </c>
      <c r="T22" s="52">
        <v>1</v>
      </c>
      <c r="U22" s="52">
        <v>1</v>
      </c>
    </row>
    <row r="23" spans="1:21" x14ac:dyDescent="0.2">
      <c r="A23" t="s">
        <v>465</v>
      </c>
      <c r="B23" t="s">
        <v>61</v>
      </c>
      <c r="C23" s="52">
        <v>1</v>
      </c>
      <c r="D23" s="52">
        <v>1</v>
      </c>
      <c r="E23" s="52">
        <v>1</v>
      </c>
      <c r="F23" s="52">
        <v>1</v>
      </c>
      <c r="G23" s="52">
        <v>1</v>
      </c>
      <c r="H23" s="52">
        <v>1</v>
      </c>
      <c r="I23" s="15">
        <v>6.2500000000000003E-3</v>
      </c>
      <c r="J23" s="52">
        <v>1</v>
      </c>
      <c r="K23" s="52">
        <v>1</v>
      </c>
      <c r="L23" s="52">
        <v>1</v>
      </c>
      <c r="M23" s="52">
        <v>1</v>
      </c>
      <c r="N23" s="52">
        <v>1</v>
      </c>
      <c r="O23" s="52">
        <v>1</v>
      </c>
      <c r="P23" s="52">
        <v>1</v>
      </c>
      <c r="Q23" s="52">
        <v>1</v>
      </c>
      <c r="R23" s="52">
        <v>1</v>
      </c>
      <c r="S23" s="52">
        <v>1</v>
      </c>
      <c r="T23" s="52">
        <v>1</v>
      </c>
      <c r="U23" s="52">
        <v>1</v>
      </c>
    </row>
    <row r="24" spans="1:21" x14ac:dyDescent="0.2">
      <c r="A24" t="s">
        <v>466</v>
      </c>
      <c r="B24" t="s">
        <v>62</v>
      </c>
      <c r="C24" s="52">
        <v>1</v>
      </c>
      <c r="D24" s="52">
        <v>1</v>
      </c>
      <c r="E24" s="52">
        <v>1</v>
      </c>
      <c r="F24" s="52">
        <v>1</v>
      </c>
      <c r="G24" s="52">
        <v>1</v>
      </c>
      <c r="H24" s="52">
        <v>1</v>
      </c>
      <c r="I24" s="15">
        <v>5.0000000000000001E-3</v>
      </c>
      <c r="J24" s="52">
        <v>1</v>
      </c>
      <c r="K24" s="52">
        <v>1</v>
      </c>
      <c r="L24" s="52">
        <v>1</v>
      </c>
      <c r="M24" s="52">
        <v>1</v>
      </c>
      <c r="N24" s="52">
        <v>1</v>
      </c>
      <c r="O24" s="52">
        <v>1</v>
      </c>
      <c r="P24" s="52">
        <v>1</v>
      </c>
      <c r="Q24" s="52">
        <v>1</v>
      </c>
      <c r="R24" s="52">
        <v>1</v>
      </c>
      <c r="S24" s="52">
        <v>1</v>
      </c>
      <c r="T24" s="52">
        <v>1</v>
      </c>
      <c r="U24" s="52">
        <v>1</v>
      </c>
    </row>
    <row r="25" spans="1:21" x14ac:dyDescent="0.2">
      <c r="A25" t="s">
        <v>467</v>
      </c>
      <c r="B25" t="s">
        <v>63</v>
      </c>
      <c r="C25" s="52">
        <v>1</v>
      </c>
      <c r="D25" s="52">
        <v>1</v>
      </c>
      <c r="E25" s="52">
        <v>1</v>
      </c>
      <c r="F25" s="52">
        <v>1</v>
      </c>
      <c r="G25" s="52">
        <v>1</v>
      </c>
      <c r="H25" s="52">
        <v>1</v>
      </c>
      <c r="I25" s="15">
        <v>5.0000000000000001E-3</v>
      </c>
      <c r="J25" s="52">
        <v>1</v>
      </c>
      <c r="K25" s="52">
        <v>1</v>
      </c>
      <c r="L25" s="52">
        <v>1</v>
      </c>
      <c r="M25" s="52">
        <v>1</v>
      </c>
      <c r="N25" s="52">
        <v>1</v>
      </c>
      <c r="O25" s="52">
        <v>1</v>
      </c>
      <c r="P25" s="52">
        <v>1</v>
      </c>
      <c r="Q25" s="52">
        <v>1</v>
      </c>
      <c r="R25" s="52">
        <v>1</v>
      </c>
      <c r="S25" s="52">
        <v>1</v>
      </c>
      <c r="T25" s="52">
        <v>1</v>
      </c>
      <c r="U25" s="52">
        <v>1</v>
      </c>
    </row>
    <row r="26" spans="1:21" x14ac:dyDescent="0.2">
      <c r="A26" t="s">
        <v>468</v>
      </c>
      <c r="B26" t="s">
        <v>64</v>
      </c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1</v>
      </c>
      <c r="I26" s="15">
        <v>6.2500000000000003E-3</v>
      </c>
      <c r="J26" s="52">
        <v>1</v>
      </c>
      <c r="K26" s="52">
        <v>1</v>
      </c>
      <c r="L26" s="52">
        <v>1</v>
      </c>
      <c r="M26" s="52">
        <v>1</v>
      </c>
      <c r="N26" s="52">
        <v>1</v>
      </c>
      <c r="O26" s="52">
        <v>1</v>
      </c>
      <c r="P26" s="52">
        <v>1</v>
      </c>
      <c r="Q26" s="52">
        <v>1</v>
      </c>
      <c r="R26" s="52">
        <v>1</v>
      </c>
      <c r="S26" s="52">
        <v>1</v>
      </c>
      <c r="T26" s="52">
        <v>1</v>
      </c>
      <c r="U26" s="52">
        <v>1</v>
      </c>
    </row>
    <row r="27" spans="1:21" x14ac:dyDescent="0.2">
      <c r="A27" t="s">
        <v>469</v>
      </c>
      <c r="B27" t="s">
        <v>65</v>
      </c>
      <c r="C27" s="52">
        <v>1</v>
      </c>
      <c r="D27" s="52">
        <v>1</v>
      </c>
      <c r="E27" s="52">
        <v>1</v>
      </c>
      <c r="F27" s="52">
        <v>1</v>
      </c>
      <c r="G27" s="52">
        <v>1</v>
      </c>
      <c r="H27" s="52">
        <v>1</v>
      </c>
      <c r="I27" s="15">
        <v>6.0000000000000001E-3</v>
      </c>
      <c r="J27" s="52">
        <v>1</v>
      </c>
      <c r="K27" s="52">
        <v>1</v>
      </c>
      <c r="L27" s="52">
        <v>1</v>
      </c>
      <c r="M27" s="52">
        <v>1</v>
      </c>
      <c r="N27" s="52">
        <v>1</v>
      </c>
      <c r="O27" s="52">
        <v>1</v>
      </c>
      <c r="P27" s="52">
        <v>1</v>
      </c>
      <c r="Q27" s="52">
        <v>1</v>
      </c>
      <c r="R27" s="52">
        <v>1</v>
      </c>
      <c r="S27" s="52">
        <v>1</v>
      </c>
      <c r="T27" s="52">
        <v>1</v>
      </c>
      <c r="U27" s="52">
        <v>1</v>
      </c>
    </row>
    <row r="28" spans="1:21" x14ac:dyDescent="0.2">
      <c r="A28" t="s">
        <v>470</v>
      </c>
      <c r="B28" t="s">
        <v>66</v>
      </c>
      <c r="C28" s="52">
        <v>1</v>
      </c>
      <c r="D28" s="52">
        <v>1</v>
      </c>
      <c r="E28" s="52">
        <v>1</v>
      </c>
      <c r="F28" s="52">
        <v>1</v>
      </c>
      <c r="G28" s="52">
        <v>1</v>
      </c>
      <c r="H28" s="52">
        <v>1</v>
      </c>
      <c r="I28" s="15">
        <v>5.0000000000000001E-3</v>
      </c>
      <c r="J28" s="52">
        <v>1</v>
      </c>
      <c r="K28" s="52">
        <v>1</v>
      </c>
      <c r="L28" s="52">
        <v>1</v>
      </c>
      <c r="M28" s="52">
        <v>1</v>
      </c>
      <c r="N28" s="52">
        <v>1</v>
      </c>
      <c r="O28" s="52">
        <v>1</v>
      </c>
      <c r="P28" s="52">
        <v>1</v>
      </c>
      <c r="Q28" s="52">
        <v>1</v>
      </c>
      <c r="R28" s="52">
        <v>1</v>
      </c>
      <c r="S28" s="52">
        <v>1</v>
      </c>
      <c r="T28" s="52">
        <v>1</v>
      </c>
      <c r="U28" s="52">
        <v>1</v>
      </c>
    </row>
    <row r="29" spans="1:21" x14ac:dyDescent="0.2">
      <c r="A29" t="s">
        <v>471</v>
      </c>
      <c r="B29" t="s">
        <v>67</v>
      </c>
      <c r="C29" s="52">
        <v>1</v>
      </c>
      <c r="D29" s="52">
        <v>1</v>
      </c>
      <c r="E29" s="52">
        <v>1</v>
      </c>
      <c r="F29" s="52">
        <v>1</v>
      </c>
      <c r="G29" s="52">
        <v>1</v>
      </c>
      <c r="H29" s="52">
        <v>1</v>
      </c>
      <c r="I29" s="15">
        <v>5.0000000000000001E-3</v>
      </c>
      <c r="J29" s="52">
        <v>1</v>
      </c>
      <c r="K29" s="52">
        <v>1</v>
      </c>
      <c r="L29" s="52">
        <v>1</v>
      </c>
      <c r="M29" s="52">
        <v>1</v>
      </c>
      <c r="N29" s="52">
        <v>1</v>
      </c>
      <c r="O29" s="52">
        <v>1</v>
      </c>
      <c r="P29" s="52">
        <v>1</v>
      </c>
      <c r="Q29" s="52">
        <v>1</v>
      </c>
      <c r="R29" s="52">
        <v>1</v>
      </c>
      <c r="S29" s="52">
        <v>1</v>
      </c>
      <c r="T29" s="52">
        <v>1</v>
      </c>
      <c r="U29" s="52">
        <v>1</v>
      </c>
    </row>
    <row r="30" spans="1:21" x14ac:dyDescent="0.2">
      <c r="A30" t="s">
        <v>472</v>
      </c>
      <c r="B30" t="s">
        <v>68</v>
      </c>
      <c r="C30" s="52">
        <v>1</v>
      </c>
      <c r="D30" s="52">
        <v>1</v>
      </c>
      <c r="E30" s="52">
        <v>1</v>
      </c>
      <c r="F30" s="52">
        <v>1</v>
      </c>
      <c r="G30" s="52">
        <v>1</v>
      </c>
      <c r="H30" s="52">
        <v>1</v>
      </c>
      <c r="I30" s="15">
        <v>0.01</v>
      </c>
      <c r="J30" s="52">
        <v>1</v>
      </c>
      <c r="K30" s="52">
        <v>1</v>
      </c>
      <c r="L30" s="52">
        <v>1</v>
      </c>
      <c r="M30" s="52">
        <v>1</v>
      </c>
      <c r="N30" s="52">
        <v>1</v>
      </c>
      <c r="O30" s="52">
        <v>1</v>
      </c>
      <c r="P30" s="52">
        <v>1</v>
      </c>
      <c r="Q30" s="52">
        <v>1</v>
      </c>
      <c r="R30" s="52">
        <v>1</v>
      </c>
      <c r="S30" s="52">
        <v>1</v>
      </c>
      <c r="T30" s="52">
        <v>1</v>
      </c>
      <c r="U30" s="52">
        <v>1</v>
      </c>
    </row>
    <row r="31" spans="1:21" x14ac:dyDescent="0.2">
      <c r="A31" t="s">
        <v>473</v>
      </c>
      <c r="B31" t="s">
        <v>69</v>
      </c>
      <c r="C31" s="52">
        <v>1</v>
      </c>
      <c r="D31" s="52">
        <v>1</v>
      </c>
      <c r="E31" s="52">
        <v>1</v>
      </c>
      <c r="F31" s="52">
        <v>1</v>
      </c>
      <c r="G31" s="52">
        <v>1</v>
      </c>
      <c r="H31" s="52">
        <v>1</v>
      </c>
      <c r="I31" s="15">
        <v>7.4999999999999997E-3</v>
      </c>
      <c r="J31" s="52">
        <v>1</v>
      </c>
      <c r="K31" s="52">
        <v>1</v>
      </c>
      <c r="L31" s="52">
        <v>1</v>
      </c>
      <c r="M31" s="52">
        <v>1</v>
      </c>
      <c r="N31" s="52">
        <v>1</v>
      </c>
      <c r="O31" s="52">
        <v>1</v>
      </c>
      <c r="P31" s="52">
        <v>1</v>
      </c>
      <c r="Q31" s="52">
        <v>1</v>
      </c>
      <c r="R31" s="52">
        <v>1</v>
      </c>
      <c r="S31" s="52">
        <v>1</v>
      </c>
      <c r="T31" s="52">
        <v>1</v>
      </c>
      <c r="U31" s="52">
        <v>1</v>
      </c>
    </row>
    <row r="32" spans="1:21" x14ac:dyDescent="0.2">
      <c r="A32" t="s">
        <v>474</v>
      </c>
      <c r="B32" t="s">
        <v>70</v>
      </c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15">
        <v>0.06</v>
      </c>
      <c r="J32" s="52">
        <v>1</v>
      </c>
      <c r="K32" s="52">
        <v>1</v>
      </c>
      <c r="L32" s="52">
        <v>1</v>
      </c>
      <c r="M32" s="52">
        <v>1</v>
      </c>
      <c r="N32" s="52">
        <v>1</v>
      </c>
      <c r="O32" s="52">
        <v>1</v>
      </c>
      <c r="P32" s="52">
        <v>1</v>
      </c>
      <c r="Q32" s="52">
        <v>1</v>
      </c>
      <c r="R32" s="52">
        <v>1</v>
      </c>
      <c r="S32" s="52">
        <v>1</v>
      </c>
      <c r="T32" s="52">
        <v>1</v>
      </c>
      <c r="U32" s="52">
        <v>1</v>
      </c>
    </row>
    <row r="33" spans="1:21" x14ac:dyDescent="0.2">
      <c r="A33" t="s">
        <v>475</v>
      </c>
      <c r="B33" t="s">
        <v>71</v>
      </c>
      <c r="C33" s="52">
        <v>1</v>
      </c>
      <c r="D33" s="52">
        <v>1</v>
      </c>
      <c r="E33" s="52">
        <v>1</v>
      </c>
      <c r="F33" s="52">
        <v>1</v>
      </c>
      <c r="G33" s="52">
        <v>1</v>
      </c>
      <c r="H33" s="52">
        <v>1</v>
      </c>
      <c r="I33" s="15">
        <v>5.0000000000000001E-3</v>
      </c>
      <c r="J33" s="52">
        <v>1</v>
      </c>
      <c r="K33" s="52">
        <v>1</v>
      </c>
      <c r="L33" s="52">
        <v>1</v>
      </c>
      <c r="M33" s="52">
        <v>1</v>
      </c>
      <c r="N33" s="52">
        <v>1</v>
      </c>
      <c r="O33" s="52">
        <v>1</v>
      </c>
      <c r="P33" s="52">
        <v>1</v>
      </c>
      <c r="Q33" s="52">
        <v>1</v>
      </c>
      <c r="R33" s="52">
        <v>1</v>
      </c>
      <c r="S33" s="52">
        <v>1</v>
      </c>
      <c r="T33" s="52">
        <v>1</v>
      </c>
      <c r="U33" s="52">
        <v>1</v>
      </c>
    </row>
    <row r="34" spans="1:21" x14ac:dyDescent="0.2">
      <c r="A34" t="s">
        <v>476</v>
      </c>
      <c r="B34" t="s">
        <v>72</v>
      </c>
      <c r="C34" s="52">
        <v>1</v>
      </c>
      <c r="D34" s="52">
        <v>1</v>
      </c>
      <c r="E34" s="52">
        <v>1</v>
      </c>
      <c r="F34" s="52">
        <v>1</v>
      </c>
      <c r="G34" s="52">
        <v>1</v>
      </c>
      <c r="H34" s="52">
        <v>1</v>
      </c>
      <c r="I34" s="15">
        <v>8.5000000000000006E-3</v>
      </c>
      <c r="J34" s="52">
        <v>1</v>
      </c>
      <c r="K34" s="52">
        <v>1</v>
      </c>
      <c r="L34" s="52">
        <v>1</v>
      </c>
      <c r="M34" s="52">
        <v>1</v>
      </c>
      <c r="N34" s="52">
        <v>1</v>
      </c>
      <c r="O34" s="52">
        <v>1</v>
      </c>
      <c r="P34" s="52">
        <v>1</v>
      </c>
      <c r="Q34" s="52">
        <v>1</v>
      </c>
      <c r="R34" s="52">
        <v>1</v>
      </c>
      <c r="S34" s="52">
        <v>1</v>
      </c>
      <c r="T34" s="52">
        <v>1</v>
      </c>
      <c r="U34" s="52">
        <v>1</v>
      </c>
    </row>
    <row r="35" spans="1:21" x14ac:dyDescent="0.2">
      <c r="A35" t="s">
        <v>477</v>
      </c>
      <c r="B35" t="s">
        <v>73</v>
      </c>
      <c r="C35" s="52">
        <v>1</v>
      </c>
      <c r="D35" s="52">
        <v>1</v>
      </c>
      <c r="E35" s="52">
        <v>1</v>
      </c>
      <c r="F35" s="52">
        <v>1</v>
      </c>
      <c r="G35" s="52">
        <v>1</v>
      </c>
      <c r="H35" s="52">
        <v>1</v>
      </c>
      <c r="I35" s="15">
        <v>0.03</v>
      </c>
      <c r="J35" s="52">
        <v>1</v>
      </c>
      <c r="K35" s="52">
        <v>1</v>
      </c>
      <c r="L35" s="52">
        <v>1</v>
      </c>
      <c r="M35" s="52">
        <v>1</v>
      </c>
      <c r="N35" s="52">
        <v>1</v>
      </c>
      <c r="O35" s="52">
        <v>1</v>
      </c>
      <c r="P35" s="52">
        <v>1</v>
      </c>
      <c r="Q35" s="52">
        <v>1</v>
      </c>
      <c r="R35" s="52">
        <v>1</v>
      </c>
      <c r="S35" s="52">
        <v>1</v>
      </c>
      <c r="T35" s="52">
        <v>1</v>
      </c>
      <c r="U35" s="52">
        <v>1</v>
      </c>
    </row>
    <row r="36" spans="1:21" x14ac:dyDescent="0.2">
      <c r="A36" t="s">
        <v>478</v>
      </c>
      <c r="B36" t="s">
        <v>74</v>
      </c>
      <c r="C36" s="52">
        <v>1</v>
      </c>
      <c r="D36" s="52">
        <v>1</v>
      </c>
      <c r="E36" s="52">
        <v>1</v>
      </c>
      <c r="F36" s="52">
        <v>1</v>
      </c>
      <c r="G36" s="52">
        <v>1</v>
      </c>
      <c r="H36" s="52">
        <v>1</v>
      </c>
      <c r="I36" s="15">
        <v>0.01</v>
      </c>
      <c r="J36" s="52">
        <v>1</v>
      </c>
      <c r="K36" s="52">
        <v>1</v>
      </c>
      <c r="L36" s="52">
        <v>1</v>
      </c>
      <c r="M36" s="52">
        <v>1</v>
      </c>
      <c r="N36" s="52">
        <v>1</v>
      </c>
      <c r="O36" s="52">
        <v>1</v>
      </c>
      <c r="P36" s="52">
        <v>1</v>
      </c>
      <c r="Q36" s="52">
        <v>1</v>
      </c>
      <c r="R36" s="52">
        <v>1</v>
      </c>
      <c r="S36" s="52">
        <v>1</v>
      </c>
      <c r="T36" s="52">
        <v>1</v>
      </c>
      <c r="U36" s="52">
        <v>1</v>
      </c>
    </row>
    <row r="37" spans="1:21" x14ac:dyDescent="0.2">
      <c r="A37" t="s">
        <v>479</v>
      </c>
      <c r="B37" t="s">
        <v>75</v>
      </c>
      <c r="C37" s="52">
        <v>1</v>
      </c>
      <c r="D37" s="52">
        <v>1</v>
      </c>
      <c r="E37" s="52">
        <v>1</v>
      </c>
      <c r="F37" s="52">
        <v>1</v>
      </c>
      <c r="G37" s="52">
        <v>1</v>
      </c>
      <c r="H37" s="52">
        <v>1</v>
      </c>
      <c r="I37" s="15">
        <v>0.02</v>
      </c>
      <c r="J37" s="52">
        <v>1</v>
      </c>
      <c r="K37" s="52">
        <v>1</v>
      </c>
      <c r="L37" s="52">
        <v>1</v>
      </c>
      <c r="M37" s="52">
        <v>1</v>
      </c>
      <c r="N37" s="52">
        <v>1</v>
      </c>
      <c r="O37" s="52">
        <v>1</v>
      </c>
      <c r="P37" s="52">
        <v>1</v>
      </c>
      <c r="Q37" s="52">
        <v>1</v>
      </c>
      <c r="R37" s="52">
        <v>1</v>
      </c>
      <c r="S37" s="52">
        <v>1</v>
      </c>
      <c r="T37" s="52">
        <v>1</v>
      </c>
      <c r="U37" s="52">
        <v>1</v>
      </c>
    </row>
    <row r="38" spans="1:21" x14ac:dyDescent="0.2">
      <c r="A38" t="s">
        <v>480</v>
      </c>
      <c r="B38" t="s">
        <v>76</v>
      </c>
      <c r="C38" s="52">
        <v>1</v>
      </c>
      <c r="D38" s="52">
        <v>1</v>
      </c>
      <c r="E38" s="52">
        <v>1</v>
      </c>
      <c r="F38" s="52">
        <v>1</v>
      </c>
      <c r="G38" s="52">
        <v>1</v>
      </c>
      <c r="H38" s="52">
        <v>1</v>
      </c>
      <c r="I38" s="15">
        <v>0.01</v>
      </c>
      <c r="J38" s="52">
        <v>1</v>
      </c>
      <c r="K38" s="52">
        <v>1</v>
      </c>
      <c r="L38" s="52">
        <v>1</v>
      </c>
      <c r="M38" s="52">
        <v>1</v>
      </c>
      <c r="N38" s="52">
        <v>1</v>
      </c>
      <c r="O38" s="52">
        <v>1</v>
      </c>
      <c r="P38" s="52">
        <v>1</v>
      </c>
      <c r="Q38" s="52">
        <v>1</v>
      </c>
      <c r="R38" s="52">
        <v>1</v>
      </c>
      <c r="S38" s="52">
        <v>1</v>
      </c>
      <c r="T38" s="52">
        <v>1</v>
      </c>
      <c r="U38" s="52">
        <v>1</v>
      </c>
    </row>
    <row r="39" spans="1:21" x14ac:dyDescent="0.2">
      <c r="A39" t="s">
        <v>481</v>
      </c>
      <c r="B39" t="s">
        <v>77</v>
      </c>
      <c r="C39" s="52">
        <v>1</v>
      </c>
      <c r="D39" s="52">
        <v>1</v>
      </c>
      <c r="E39" s="52">
        <v>1</v>
      </c>
      <c r="F39" s="52">
        <v>1</v>
      </c>
      <c r="G39" s="52">
        <v>1</v>
      </c>
      <c r="H39" s="52">
        <v>1</v>
      </c>
      <c r="I39" s="15">
        <v>0.03</v>
      </c>
      <c r="J39" s="52">
        <v>1</v>
      </c>
      <c r="K39" s="52">
        <v>1</v>
      </c>
      <c r="L39" s="52">
        <v>1</v>
      </c>
      <c r="M39" s="52">
        <v>1</v>
      </c>
      <c r="N39" s="52">
        <v>1</v>
      </c>
      <c r="O39" s="52">
        <v>1</v>
      </c>
      <c r="P39" s="52">
        <v>1</v>
      </c>
      <c r="Q39" s="52">
        <v>1</v>
      </c>
      <c r="R39" s="52">
        <v>1</v>
      </c>
      <c r="S39" s="52">
        <v>1</v>
      </c>
      <c r="T39" s="52">
        <v>1</v>
      </c>
      <c r="U39" s="52">
        <v>1</v>
      </c>
    </row>
    <row r="40" spans="1:21" x14ac:dyDescent="0.2">
      <c r="A40" t="s">
        <v>482</v>
      </c>
      <c r="B40" t="s">
        <v>78</v>
      </c>
      <c r="C40" s="52">
        <v>1</v>
      </c>
      <c r="D40" s="52">
        <v>1</v>
      </c>
      <c r="E40" s="52">
        <v>1</v>
      </c>
      <c r="F40" s="52">
        <v>1</v>
      </c>
      <c r="G40" s="52">
        <v>1</v>
      </c>
      <c r="H40" s="52">
        <v>1</v>
      </c>
      <c r="I40" s="15">
        <v>6.0000000000000001E-3</v>
      </c>
      <c r="J40" s="52">
        <v>1</v>
      </c>
      <c r="K40" s="52">
        <v>1</v>
      </c>
      <c r="L40" s="52">
        <v>1</v>
      </c>
      <c r="M40" s="52">
        <v>1</v>
      </c>
      <c r="N40" s="52">
        <v>1</v>
      </c>
      <c r="O40" s="52">
        <v>1</v>
      </c>
      <c r="P40" s="52">
        <v>1</v>
      </c>
      <c r="Q40" s="52">
        <v>1</v>
      </c>
      <c r="R40" s="52">
        <v>1</v>
      </c>
      <c r="S40" s="52">
        <v>1</v>
      </c>
      <c r="T40" s="52">
        <v>1</v>
      </c>
      <c r="U40" s="52">
        <v>1</v>
      </c>
    </row>
    <row r="41" spans="1:21" x14ac:dyDescent="0.2">
      <c r="A41" t="s">
        <v>483</v>
      </c>
      <c r="B41" t="s">
        <v>79</v>
      </c>
      <c r="C41" s="52">
        <v>1</v>
      </c>
      <c r="D41" s="52">
        <v>1</v>
      </c>
      <c r="E41" s="52">
        <v>1</v>
      </c>
      <c r="F41" s="52">
        <v>1</v>
      </c>
      <c r="G41" s="52">
        <v>1</v>
      </c>
      <c r="H41" s="52">
        <v>1</v>
      </c>
      <c r="I41" s="15">
        <v>0.03</v>
      </c>
      <c r="J41" s="52">
        <v>1</v>
      </c>
      <c r="K41" s="52">
        <v>1</v>
      </c>
      <c r="L41" s="52">
        <v>1</v>
      </c>
      <c r="M41" s="52">
        <v>1</v>
      </c>
      <c r="N41" s="52">
        <v>1</v>
      </c>
      <c r="O41" s="52">
        <v>1</v>
      </c>
      <c r="P41" s="52">
        <v>1</v>
      </c>
      <c r="Q41" s="52">
        <v>1</v>
      </c>
      <c r="R41" s="52">
        <v>1</v>
      </c>
      <c r="S41" s="52">
        <v>1</v>
      </c>
      <c r="T41" s="52">
        <v>1</v>
      </c>
      <c r="U41" s="52">
        <v>1</v>
      </c>
    </row>
    <row r="42" spans="1:21" x14ac:dyDescent="0.2">
      <c r="A42" t="s">
        <v>484</v>
      </c>
      <c r="B42" t="s">
        <v>80</v>
      </c>
      <c r="C42" s="52">
        <v>1</v>
      </c>
      <c r="D42" s="52">
        <v>1</v>
      </c>
      <c r="E42" s="52">
        <v>1</v>
      </c>
      <c r="F42" s="52">
        <v>1</v>
      </c>
      <c r="G42" s="52">
        <v>1</v>
      </c>
      <c r="H42" s="52">
        <v>1</v>
      </c>
      <c r="I42" s="15">
        <v>3.0000000000000001E-3</v>
      </c>
      <c r="J42" s="52">
        <v>1</v>
      </c>
      <c r="K42" s="52">
        <v>1</v>
      </c>
      <c r="L42" s="52">
        <v>1</v>
      </c>
      <c r="M42" s="52">
        <v>1</v>
      </c>
      <c r="N42" s="52">
        <v>1</v>
      </c>
      <c r="O42" s="52">
        <v>1</v>
      </c>
      <c r="P42" s="52">
        <v>1</v>
      </c>
      <c r="Q42" s="52">
        <v>1</v>
      </c>
      <c r="R42" s="52">
        <v>1</v>
      </c>
      <c r="S42" s="52">
        <v>1</v>
      </c>
      <c r="T42" s="52">
        <v>1</v>
      </c>
      <c r="U42" s="52">
        <v>1</v>
      </c>
    </row>
    <row r="43" spans="1:21" x14ac:dyDescent="0.2">
      <c r="A43" t="s">
        <v>485</v>
      </c>
      <c r="B43" t="s">
        <v>81</v>
      </c>
      <c r="C43" s="52">
        <v>1</v>
      </c>
      <c r="D43" s="52">
        <v>1</v>
      </c>
      <c r="E43" s="52">
        <v>1</v>
      </c>
      <c r="F43" s="52">
        <v>1</v>
      </c>
      <c r="G43" s="52">
        <v>1</v>
      </c>
      <c r="H43" s="52">
        <v>1</v>
      </c>
      <c r="I43" s="15">
        <v>8.0000000000000002E-3</v>
      </c>
      <c r="J43" s="52">
        <v>1</v>
      </c>
      <c r="K43" s="52">
        <v>1</v>
      </c>
      <c r="L43" s="52">
        <v>1</v>
      </c>
      <c r="M43" s="52">
        <v>1</v>
      </c>
      <c r="N43" s="52">
        <v>1</v>
      </c>
      <c r="O43" s="52">
        <v>1</v>
      </c>
      <c r="P43" s="52">
        <v>1</v>
      </c>
      <c r="Q43" s="52">
        <v>1</v>
      </c>
      <c r="R43" s="52">
        <v>1</v>
      </c>
      <c r="S43" s="52">
        <v>1</v>
      </c>
      <c r="T43" s="52">
        <v>1</v>
      </c>
      <c r="U43" s="52">
        <v>1</v>
      </c>
    </row>
    <row r="44" spans="1:21" x14ac:dyDescent="0.2">
      <c r="A44" t="s">
        <v>486</v>
      </c>
      <c r="B44" t="s">
        <v>82</v>
      </c>
      <c r="C44" s="52">
        <v>1</v>
      </c>
      <c r="D44" s="52">
        <v>1</v>
      </c>
      <c r="E44" s="52">
        <v>1</v>
      </c>
      <c r="F44" s="52">
        <v>1</v>
      </c>
      <c r="G44" s="52">
        <v>1</v>
      </c>
      <c r="H44" s="52">
        <v>1</v>
      </c>
      <c r="I44" s="15">
        <v>5.0000000000000001E-3</v>
      </c>
      <c r="J44" s="52">
        <v>1</v>
      </c>
      <c r="K44" s="52">
        <v>1</v>
      </c>
      <c r="L44" s="52">
        <v>1</v>
      </c>
      <c r="M44" s="52">
        <v>1</v>
      </c>
      <c r="N44" s="52">
        <v>1</v>
      </c>
      <c r="O44" s="52">
        <v>1</v>
      </c>
      <c r="P44" s="52">
        <v>1</v>
      </c>
      <c r="Q44" s="52">
        <v>1</v>
      </c>
      <c r="R44" s="52">
        <v>1</v>
      </c>
      <c r="S44" s="52">
        <v>1</v>
      </c>
      <c r="T44" s="52">
        <v>1</v>
      </c>
      <c r="U44" s="52">
        <v>1</v>
      </c>
    </row>
    <row r="45" spans="1:21" x14ac:dyDescent="0.2">
      <c r="A45" t="s">
        <v>487</v>
      </c>
      <c r="B45" t="s">
        <v>83</v>
      </c>
      <c r="C45" s="52">
        <v>1</v>
      </c>
      <c r="D45" s="52">
        <v>1</v>
      </c>
      <c r="E45" s="52">
        <v>1</v>
      </c>
      <c r="F45" s="52">
        <v>1</v>
      </c>
      <c r="G45" s="52">
        <v>1</v>
      </c>
      <c r="H45" s="52">
        <v>1</v>
      </c>
      <c r="I45" s="15">
        <v>4.0000000000000001E-3</v>
      </c>
      <c r="J45" s="52">
        <v>1</v>
      </c>
      <c r="K45" s="52">
        <v>1</v>
      </c>
      <c r="L45" s="52">
        <v>1</v>
      </c>
      <c r="M45" s="52">
        <v>1</v>
      </c>
      <c r="N45" s="52">
        <v>1</v>
      </c>
      <c r="O45" s="52">
        <v>1</v>
      </c>
      <c r="P45" s="52">
        <v>1</v>
      </c>
      <c r="Q45" s="52">
        <v>1</v>
      </c>
      <c r="R45" s="52">
        <v>1</v>
      </c>
      <c r="S45" s="52">
        <v>1</v>
      </c>
      <c r="T45" s="52">
        <v>1</v>
      </c>
      <c r="U45" s="52">
        <v>1</v>
      </c>
    </row>
    <row r="46" spans="1:21" x14ac:dyDescent="0.2">
      <c r="A46" t="s">
        <v>488</v>
      </c>
      <c r="B46" t="s">
        <v>84</v>
      </c>
      <c r="C46" s="52">
        <v>1</v>
      </c>
      <c r="D46" s="52">
        <v>1</v>
      </c>
      <c r="E46" s="52">
        <v>1</v>
      </c>
      <c r="F46" s="52">
        <v>1</v>
      </c>
      <c r="G46" s="52">
        <v>1</v>
      </c>
      <c r="H46" s="52">
        <v>1</v>
      </c>
      <c r="I46" s="15">
        <v>2.5000000000000001E-2</v>
      </c>
      <c r="J46" s="52">
        <v>1</v>
      </c>
      <c r="K46" s="52">
        <v>1</v>
      </c>
      <c r="L46" s="52">
        <v>1</v>
      </c>
      <c r="M46" s="52">
        <v>1</v>
      </c>
      <c r="N46" s="52">
        <v>1</v>
      </c>
      <c r="O46" s="52">
        <v>1</v>
      </c>
      <c r="P46" s="52">
        <v>1</v>
      </c>
      <c r="Q46" s="52">
        <v>1</v>
      </c>
      <c r="R46" s="52">
        <v>1</v>
      </c>
      <c r="S46" s="52">
        <v>1</v>
      </c>
      <c r="T46" s="52">
        <v>1</v>
      </c>
      <c r="U46" s="52">
        <v>1</v>
      </c>
    </row>
    <row r="47" spans="1:21" x14ac:dyDescent="0.2">
      <c r="A47" t="s">
        <v>489</v>
      </c>
      <c r="B47" t="s">
        <v>85</v>
      </c>
      <c r="C47" s="52">
        <v>1</v>
      </c>
      <c r="D47" s="52">
        <v>1</v>
      </c>
      <c r="E47" s="52">
        <v>1</v>
      </c>
      <c r="F47" s="52">
        <v>1</v>
      </c>
      <c r="G47" s="52">
        <v>1</v>
      </c>
      <c r="H47" s="52">
        <v>1</v>
      </c>
      <c r="I47" s="15">
        <v>1.6E-2</v>
      </c>
      <c r="J47" s="52">
        <v>1</v>
      </c>
      <c r="K47" s="52">
        <v>1</v>
      </c>
      <c r="L47" s="52">
        <v>1</v>
      </c>
      <c r="M47" s="52">
        <v>1</v>
      </c>
      <c r="N47" s="52">
        <v>1</v>
      </c>
      <c r="O47" s="52">
        <v>1</v>
      </c>
      <c r="P47" s="52">
        <v>1</v>
      </c>
      <c r="Q47" s="52">
        <v>1</v>
      </c>
      <c r="R47" s="52">
        <v>1</v>
      </c>
      <c r="S47" s="52">
        <v>1</v>
      </c>
      <c r="T47" s="52">
        <v>1</v>
      </c>
      <c r="U47" s="52">
        <v>1</v>
      </c>
    </row>
    <row r="48" spans="1:21" x14ac:dyDescent="0.2">
      <c r="A48" t="s">
        <v>490</v>
      </c>
      <c r="B48" t="s">
        <v>86</v>
      </c>
      <c r="C48" s="52">
        <v>1</v>
      </c>
      <c r="D48" s="52">
        <v>1</v>
      </c>
      <c r="E48" s="52">
        <v>1</v>
      </c>
      <c r="F48" s="52">
        <v>1</v>
      </c>
      <c r="G48" s="52">
        <v>1</v>
      </c>
      <c r="H48" s="52">
        <v>1</v>
      </c>
      <c r="I48" s="15">
        <v>5.0000000000000001E-3</v>
      </c>
      <c r="J48" s="52">
        <v>1</v>
      </c>
      <c r="K48" s="52">
        <v>1</v>
      </c>
      <c r="L48" s="52">
        <v>1</v>
      </c>
      <c r="M48" s="52">
        <v>1</v>
      </c>
      <c r="N48" s="52">
        <v>1</v>
      </c>
      <c r="O48" s="52">
        <v>1</v>
      </c>
      <c r="P48" s="52">
        <v>1</v>
      </c>
      <c r="Q48" s="52">
        <v>1</v>
      </c>
      <c r="R48" s="52">
        <v>1</v>
      </c>
      <c r="S48" s="52">
        <v>1</v>
      </c>
      <c r="T48" s="52">
        <v>1</v>
      </c>
      <c r="U48" s="52">
        <v>1</v>
      </c>
    </row>
    <row r="49" spans="1:21" x14ac:dyDescent="0.2">
      <c r="A49" t="s">
        <v>491</v>
      </c>
      <c r="B49" t="s">
        <v>87</v>
      </c>
      <c r="C49" s="52">
        <v>1</v>
      </c>
      <c r="D49" s="52">
        <v>1</v>
      </c>
      <c r="E49" s="52">
        <v>1</v>
      </c>
      <c r="F49" s="52">
        <v>1</v>
      </c>
      <c r="G49" s="52">
        <v>1</v>
      </c>
      <c r="H49" s="52">
        <v>1</v>
      </c>
      <c r="I49" s="15">
        <v>9.4999999999999998E-3</v>
      </c>
      <c r="J49" s="52">
        <v>1</v>
      </c>
      <c r="K49" s="52">
        <v>1</v>
      </c>
      <c r="L49" s="52">
        <v>1</v>
      </c>
      <c r="M49" s="52">
        <v>1</v>
      </c>
      <c r="N49" s="52">
        <v>1</v>
      </c>
      <c r="O49" s="52">
        <v>1</v>
      </c>
      <c r="P49" s="52">
        <v>1</v>
      </c>
      <c r="Q49" s="52">
        <v>1</v>
      </c>
      <c r="R49" s="52">
        <v>1</v>
      </c>
      <c r="S49" s="52">
        <v>1</v>
      </c>
      <c r="T49" s="52">
        <v>1</v>
      </c>
      <c r="U49" s="52">
        <v>1</v>
      </c>
    </row>
    <row r="50" spans="1:21" x14ac:dyDescent="0.2">
      <c r="A50" t="s">
        <v>492</v>
      </c>
      <c r="B50" t="s">
        <v>88</v>
      </c>
      <c r="C50" s="52">
        <v>1</v>
      </c>
      <c r="D50" s="52">
        <v>1</v>
      </c>
      <c r="E50" s="52">
        <v>1</v>
      </c>
      <c r="F50" s="52">
        <v>1</v>
      </c>
      <c r="G50" s="52">
        <v>1</v>
      </c>
      <c r="H50" s="52">
        <v>1</v>
      </c>
      <c r="I50" s="15">
        <v>5.0000000000000001E-3</v>
      </c>
      <c r="J50" s="52">
        <v>1</v>
      </c>
      <c r="K50" s="52">
        <v>1</v>
      </c>
      <c r="L50" s="52">
        <v>1</v>
      </c>
      <c r="M50" s="52">
        <v>1</v>
      </c>
      <c r="N50" s="52">
        <v>1</v>
      </c>
      <c r="O50" s="52">
        <v>1</v>
      </c>
      <c r="P50" s="52">
        <v>1</v>
      </c>
      <c r="Q50" s="52">
        <v>1</v>
      </c>
      <c r="R50" s="52">
        <v>1</v>
      </c>
      <c r="S50" s="52">
        <v>1</v>
      </c>
      <c r="T50" s="52">
        <v>1</v>
      </c>
      <c r="U50" s="52">
        <v>1</v>
      </c>
    </row>
    <row r="51" spans="1:21" x14ac:dyDescent="0.2">
      <c r="A51" t="s">
        <v>493</v>
      </c>
      <c r="B51" t="s">
        <v>89</v>
      </c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1</v>
      </c>
      <c r="I51" s="15">
        <v>0.02</v>
      </c>
      <c r="J51" s="52">
        <v>1</v>
      </c>
      <c r="K51" s="52">
        <v>1</v>
      </c>
      <c r="L51" s="52">
        <v>1</v>
      </c>
      <c r="M51" s="52">
        <v>1</v>
      </c>
      <c r="N51" s="52">
        <v>1</v>
      </c>
      <c r="O51" s="52">
        <v>1</v>
      </c>
      <c r="P51" s="52">
        <v>1</v>
      </c>
      <c r="Q51" s="52">
        <v>1</v>
      </c>
      <c r="R51" s="52">
        <v>1</v>
      </c>
      <c r="S51" s="52">
        <v>1</v>
      </c>
      <c r="T51" s="52">
        <v>1</v>
      </c>
      <c r="U51" s="52">
        <v>1</v>
      </c>
    </row>
    <row r="52" spans="1:21" x14ac:dyDescent="0.2">
      <c r="A52" t="s">
        <v>494</v>
      </c>
      <c r="B52" t="s">
        <v>90</v>
      </c>
      <c r="C52" s="52">
        <v>1</v>
      </c>
      <c r="D52" s="52">
        <v>1</v>
      </c>
      <c r="E52" s="52">
        <v>1</v>
      </c>
      <c r="F52" s="52">
        <v>1</v>
      </c>
      <c r="G52" s="52">
        <v>1</v>
      </c>
      <c r="H52" s="52">
        <v>1</v>
      </c>
      <c r="I52" s="15">
        <v>9.4999999999999998E-3</v>
      </c>
      <c r="J52" s="52">
        <v>1</v>
      </c>
      <c r="K52" s="52">
        <v>1</v>
      </c>
      <c r="L52" s="52">
        <v>1</v>
      </c>
      <c r="M52" s="52">
        <v>1</v>
      </c>
      <c r="N52" s="52">
        <v>1</v>
      </c>
      <c r="O52" s="52">
        <v>1</v>
      </c>
      <c r="P52" s="52">
        <v>1</v>
      </c>
      <c r="Q52" s="52">
        <v>1</v>
      </c>
      <c r="R52" s="52">
        <v>1</v>
      </c>
      <c r="S52" s="52">
        <v>1</v>
      </c>
      <c r="T52" s="52">
        <v>1</v>
      </c>
      <c r="U52" s="52">
        <v>1</v>
      </c>
    </row>
    <row r="53" spans="1:21" x14ac:dyDescent="0.2">
      <c r="A53" t="s">
        <v>495</v>
      </c>
      <c r="B53" t="s">
        <v>91</v>
      </c>
      <c r="C53" s="52">
        <v>1</v>
      </c>
      <c r="D53" s="52">
        <v>1</v>
      </c>
      <c r="E53" s="52">
        <v>1</v>
      </c>
      <c r="F53" s="52">
        <v>1</v>
      </c>
      <c r="G53" s="52">
        <v>1</v>
      </c>
      <c r="H53" s="52">
        <v>1</v>
      </c>
      <c r="I53" s="15">
        <v>1.8499999999999999E-2</v>
      </c>
      <c r="J53" s="52">
        <v>1</v>
      </c>
      <c r="K53" s="52">
        <v>1</v>
      </c>
      <c r="L53" s="52">
        <v>1</v>
      </c>
      <c r="M53" s="52">
        <v>1</v>
      </c>
      <c r="N53" s="52">
        <v>1</v>
      </c>
      <c r="O53" s="52">
        <v>1</v>
      </c>
      <c r="P53" s="52">
        <v>1</v>
      </c>
      <c r="Q53" s="52">
        <v>1</v>
      </c>
      <c r="R53" s="52">
        <v>1</v>
      </c>
      <c r="S53" s="52">
        <v>1</v>
      </c>
      <c r="T53" s="52">
        <v>1</v>
      </c>
      <c r="U53" s="52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23B6-0E07-49D5-A376-6014E6891284}">
  <sheetPr>
    <tabColor theme="4"/>
  </sheetPr>
  <dimension ref="A1:U8"/>
  <sheetViews>
    <sheetView zoomScale="85" zoomScaleNormal="85" workbookViewId="0">
      <selection activeCell="I2" sqref="I2:I8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4" t="s">
        <v>20</v>
      </c>
      <c r="B2" s="4" t="s">
        <v>20</v>
      </c>
      <c r="C2" s="52">
        <v>1</v>
      </c>
      <c r="D2" s="22">
        <v>1</v>
      </c>
      <c r="E2" s="22">
        <v>1</v>
      </c>
      <c r="F2" s="20">
        <v>1</v>
      </c>
      <c r="G2" s="20">
        <v>1</v>
      </c>
      <c r="H2" s="52">
        <v>1</v>
      </c>
      <c r="I2" s="52">
        <v>1</v>
      </c>
      <c r="J2" s="18">
        <v>1</v>
      </c>
      <c r="K2" s="17">
        <v>1</v>
      </c>
      <c r="L2" s="17">
        <v>1</v>
      </c>
      <c r="M2" s="17">
        <v>1</v>
      </c>
      <c r="N2" s="17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18">
        <v>1</v>
      </c>
    </row>
    <row r="3" spans="1:21" x14ac:dyDescent="0.2">
      <c r="A3" s="4" t="s">
        <v>21</v>
      </c>
      <c r="B3" s="4" t="s">
        <v>21</v>
      </c>
      <c r="C3" s="52">
        <v>1</v>
      </c>
      <c r="D3" s="22">
        <v>1</v>
      </c>
      <c r="E3" s="22">
        <v>1</v>
      </c>
      <c r="F3" s="26">
        <v>1</v>
      </c>
      <c r="G3" s="26">
        <v>1</v>
      </c>
      <c r="H3" s="52">
        <v>1</v>
      </c>
      <c r="I3" s="52">
        <v>1</v>
      </c>
      <c r="J3" s="18">
        <v>1</v>
      </c>
      <c r="K3" s="28">
        <v>0.7088426933007782</v>
      </c>
      <c r="L3" s="28">
        <v>1</v>
      </c>
      <c r="M3" s="28">
        <v>1</v>
      </c>
      <c r="N3" s="28">
        <v>1</v>
      </c>
      <c r="O3" s="26">
        <v>1</v>
      </c>
      <c r="P3" s="26">
        <v>1</v>
      </c>
      <c r="Q3" s="26">
        <v>1</v>
      </c>
      <c r="R3" s="26">
        <v>1</v>
      </c>
      <c r="S3" s="26">
        <v>1</v>
      </c>
      <c r="T3" s="26">
        <v>1</v>
      </c>
      <c r="U3" s="18">
        <v>1</v>
      </c>
    </row>
    <row r="4" spans="1:21" x14ac:dyDescent="0.2">
      <c r="A4" s="4" t="s">
        <v>22</v>
      </c>
      <c r="B4" s="4" t="s">
        <v>22</v>
      </c>
      <c r="C4" s="52">
        <v>1</v>
      </c>
      <c r="D4" s="22">
        <v>1</v>
      </c>
      <c r="E4" s="22">
        <v>1</v>
      </c>
      <c r="F4" s="26">
        <v>1</v>
      </c>
      <c r="G4" s="26">
        <v>1</v>
      </c>
      <c r="H4" s="52">
        <v>1</v>
      </c>
      <c r="I4" s="52">
        <v>1</v>
      </c>
      <c r="J4" s="18">
        <v>1</v>
      </c>
      <c r="K4" s="28">
        <v>0.71129717437152751</v>
      </c>
      <c r="L4" s="28">
        <v>1</v>
      </c>
      <c r="M4" s="28">
        <v>1</v>
      </c>
      <c r="N4" s="28">
        <v>1</v>
      </c>
      <c r="O4" s="26">
        <v>1</v>
      </c>
      <c r="P4" s="26">
        <v>1</v>
      </c>
      <c r="Q4" s="26">
        <v>1</v>
      </c>
      <c r="R4" s="26">
        <v>1</v>
      </c>
      <c r="S4" s="26">
        <v>1</v>
      </c>
      <c r="T4" s="26">
        <v>1</v>
      </c>
      <c r="U4" s="18">
        <v>1</v>
      </c>
    </row>
    <row r="5" spans="1:21" x14ac:dyDescent="0.2">
      <c r="A5" s="4" t="s">
        <v>23</v>
      </c>
      <c r="B5" s="4" t="s">
        <v>23</v>
      </c>
      <c r="C5" s="52">
        <v>1</v>
      </c>
      <c r="D5" s="22">
        <v>1</v>
      </c>
      <c r="E5" s="22">
        <v>1</v>
      </c>
      <c r="F5" s="30">
        <v>1</v>
      </c>
      <c r="G5" s="30">
        <v>1</v>
      </c>
      <c r="H5" s="52">
        <v>1</v>
      </c>
      <c r="I5" s="52">
        <v>1</v>
      </c>
      <c r="J5" s="18">
        <v>1</v>
      </c>
      <c r="K5" s="29">
        <v>0.610639361629431</v>
      </c>
      <c r="L5" s="29">
        <v>1</v>
      </c>
      <c r="M5" s="29">
        <v>1</v>
      </c>
      <c r="N5" s="29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18">
        <v>1</v>
      </c>
    </row>
    <row r="6" spans="1:21" x14ac:dyDescent="0.2">
      <c r="A6" s="4" t="s">
        <v>24</v>
      </c>
      <c r="B6" s="4" t="s">
        <v>24</v>
      </c>
      <c r="C6" s="52">
        <v>1</v>
      </c>
      <c r="D6" s="22">
        <v>1</v>
      </c>
      <c r="E6" s="22">
        <v>1</v>
      </c>
      <c r="F6" s="44">
        <v>1</v>
      </c>
      <c r="G6" s="44">
        <v>1</v>
      </c>
      <c r="H6" s="52">
        <v>1</v>
      </c>
      <c r="I6" s="52">
        <v>1</v>
      </c>
      <c r="J6" s="18">
        <v>1</v>
      </c>
      <c r="K6" s="45">
        <v>0.83689697575141764</v>
      </c>
      <c r="L6" s="45">
        <v>1</v>
      </c>
      <c r="M6" s="45">
        <v>1</v>
      </c>
      <c r="N6" s="45">
        <v>1</v>
      </c>
      <c r="O6" s="44">
        <v>1</v>
      </c>
      <c r="P6" s="44">
        <v>1</v>
      </c>
      <c r="Q6" s="44">
        <v>1</v>
      </c>
      <c r="R6" s="44">
        <v>1</v>
      </c>
      <c r="S6" s="44">
        <v>1</v>
      </c>
      <c r="T6" s="44">
        <v>1</v>
      </c>
      <c r="U6" s="18">
        <v>1</v>
      </c>
    </row>
    <row r="7" spans="1:21" x14ac:dyDescent="0.2">
      <c r="A7" s="4" t="s">
        <v>25</v>
      </c>
      <c r="B7" s="4" t="s">
        <v>25</v>
      </c>
      <c r="C7" s="52">
        <v>1</v>
      </c>
      <c r="D7" s="22">
        <v>1</v>
      </c>
      <c r="E7" s="22">
        <v>1</v>
      </c>
      <c r="F7" s="46">
        <v>1</v>
      </c>
      <c r="G7" s="46">
        <v>1</v>
      </c>
      <c r="H7" s="52">
        <v>1</v>
      </c>
      <c r="I7" s="52">
        <v>1</v>
      </c>
      <c r="J7" s="18">
        <v>1</v>
      </c>
      <c r="K7" s="47">
        <v>0.29872362927010565</v>
      </c>
      <c r="L7" s="47">
        <v>1</v>
      </c>
      <c r="M7" s="47">
        <v>1</v>
      </c>
      <c r="N7" s="47">
        <v>1</v>
      </c>
      <c r="O7" s="46">
        <v>1</v>
      </c>
      <c r="P7" s="46">
        <v>1</v>
      </c>
      <c r="Q7" s="46">
        <v>1</v>
      </c>
      <c r="R7" s="46">
        <v>1</v>
      </c>
      <c r="S7" s="46">
        <v>1</v>
      </c>
      <c r="T7" s="46">
        <v>1</v>
      </c>
      <c r="U7" s="18">
        <v>1</v>
      </c>
    </row>
    <row r="8" spans="1:21" x14ac:dyDescent="0.2">
      <c r="A8" s="4" t="s">
        <v>26</v>
      </c>
      <c r="B8" s="4" t="s">
        <v>26</v>
      </c>
      <c r="C8" s="52">
        <v>1</v>
      </c>
      <c r="D8" s="22">
        <v>1</v>
      </c>
      <c r="E8" s="22">
        <v>1</v>
      </c>
      <c r="F8" s="20">
        <v>1</v>
      </c>
      <c r="G8" s="20">
        <v>1</v>
      </c>
      <c r="H8" s="52">
        <v>1</v>
      </c>
      <c r="I8" s="52">
        <v>1</v>
      </c>
      <c r="J8" s="18">
        <v>1</v>
      </c>
      <c r="K8" s="17">
        <v>0.29872362927010565</v>
      </c>
      <c r="L8" s="17">
        <v>1</v>
      </c>
      <c r="M8" s="17">
        <v>1</v>
      </c>
      <c r="N8" s="17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18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BA83-0D99-49C6-A727-335D4CA5537C}">
  <sheetPr>
    <tabColor theme="7"/>
  </sheetPr>
  <dimension ref="A1:U10"/>
  <sheetViews>
    <sheetView zoomScale="55" zoomScaleNormal="55" workbookViewId="0">
      <selection activeCell="I2" sqref="I2:I10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4" t="s">
        <v>6</v>
      </c>
      <c r="B2" s="4" t="s">
        <v>6</v>
      </c>
      <c r="C2" s="52">
        <v>1</v>
      </c>
      <c r="D2" s="18">
        <v>1</v>
      </c>
      <c r="E2" s="18">
        <v>1</v>
      </c>
      <c r="F2" s="20">
        <v>1</v>
      </c>
      <c r="G2" s="20">
        <v>1</v>
      </c>
      <c r="H2" s="52">
        <v>1</v>
      </c>
      <c r="I2" s="52">
        <v>1</v>
      </c>
      <c r="J2" s="18">
        <v>1</v>
      </c>
      <c r="K2" s="17">
        <v>1</v>
      </c>
      <c r="L2" s="17">
        <v>1</v>
      </c>
      <c r="M2" s="17">
        <v>1</v>
      </c>
      <c r="N2" s="17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18">
        <v>1</v>
      </c>
    </row>
    <row r="3" spans="1:21" x14ac:dyDescent="0.2">
      <c r="A3" t="s">
        <v>427</v>
      </c>
      <c r="B3" t="s">
        <v>427</v>
      </c>
      <c r="C3" s="52">
        <v>1</v>
      </c>
      <c r="D3" s="7">
        <f>D$10</f>
        <v>0.75</v>
      </c>
      <c r="E3" s="7">
        <f t="shared" ref="E3:G5" si="0">E$10</f>
        <v>2.3749999999999996</v>
      </c>
      <c r="F3" s="7">
        <f t="shared" si="0"/>
        <v>0.9</v>
      </c>
      <c r="G3" s="7">
        <f t="shared" si="0"/>
        <v>0.9</v>
      </c>
      <c r="H3" s="52">
        <v>1</v>
      </c>
      <c r="I3" s="52">
        <v>1</v>
      </c>
      <c r="J3" s="7">
        <f t="shared" ref="J3:U5" si="1">J$10</f>
        <v>1</v>
      </c>
      <c r="K3" s="7">
        <f t="shared" si="1"/>
        <v>1</v>
      </c>
      <c r="L3" s="7">
        <f t="shared" si="1"/>
        <v>0.9</v>
      </c>
      <c r="M3" s="7">
        <f t="shared" si="1"/>
        <v>0.9</v>
      </c>
      <c r="N3" s="7">
        <f t="shared" si="1"/>
        <v>0.9</v>
      </c>
      <c r="O3" s="7">
        <f t="shared" si="1"/>
        <v>0.9</v>
      </c>
      <c r="P3" s="7">
        <f t="shared" si="1"/>
        <v>0.9</v>
      </c>
      <c r="Q3" s="7">
        <f t="shared" si="1"/>
        <v>0.75</v>
      </c>
      <c r="R3" s="7">
        <f t="shared" si="1"/>
        <v>0.75</v>
      </c>
      <c r="S3" s="7">
        <f t="shared" si="1"/>
        <v>0.9</v>
      </c>
      <c r="T3" s="7">
        <f t="shared" si="1"/>
        <v>0.9</v>
      </c>
      <c r="U3" s="7">
        <f t="shared" si="1"/>
        <v>1</v>
      </c>
    </row>
    <row r="4" spans="1:21" x14ac:dyDescent="0.2">
      <c r="A4" t="s">
        <v>428</v>
      </c>
      <c r="B4" t="s">
        <v>428</v>
      </c>
      <c r="C4" s="52">
        <v>1</v>
      </c>
      <c r="D4" s="7">
        <f t="shared" ref="D4:D5" si="2">D$10</f>
        <v>0.75</v>
      </c>
      <c r="E4" s="7">
        <f t="shared" si="0"/>
        <v>2.3749999999999996</v>
      </c>
      <c r="F4" s="7">
        <f t="shared" si="0"/>
        <v>0.9</v>
      </c>
      <c r="G4" s="7">
        <f t="shared" si="0"/>
        <v>0.9</v>
      </c>
      <c r="H4" s="52">
        <v>1</v>
      </c>
      <c r="I4" s="52">
        <v>1</v>
      </c>
      <c r="J4" s="7">
        <f t="shared" si="1"/>
        <v>1</v>
      </c>
      <c r="K4" s="7">
        <f t="shared" si="1"/>
        <v>1</v>
      </c>
      <c r="L4" s="7">
        <f t="shared" si="1"/>
        <v>0.9</v>
      </c>
      <c r="M4" s="7">
        <f t="shared" si="1"/>
        <v>0.9</v>
      </c>
      <c r="N4" s="7">
        <f t="shared" si="1"/>
        <v>0.9</v>
      </c>
      <c r="O4" s="7">
        <f t="shared" si="1"/>
        <v>0.9</v>
      </c>
      <c r="P4" s="7">
        <f t="shared" si="1"/>
        <v>0.9</v>
      </c>
      <c r="Q4" s="7">
        <f t="shared" si="1"/>
        <v>0.75</v>
      </c>
      <c r="R4" s="7">
        <f t="shared" si="1"/>
        <v>0.75</v>
      </c>
      <c r="S4" s="7">
        <f t="shared" si="1"/>
        <v>0.9</v>
      </c>
      <c r="T4" s="7">
        <f t="shared" si="1"/>
        <v>0.9</v>
      </c>
      <c r="U4" s="7">
        <f t="shared" si="1"/>
        <v>1</v>
      </c>
    </row>
    <row r="5" spans="1:21" x14ac:dyDescent="0.2">
      <c r="A5" t="s">
        <v>429</v>
      </c>
      <c r="B5" t="s">
        <v>429</v>
      </c>
      <c r="C5" s="52">
        <v>1</v>
      </c>
      <c r="D5" s="7">
        <f t="shared" si="2"/>
        <v>0.75</v>
      </c>
      <c r="E5" s="7">
        <f t="shared" si="0"/>
        <v>2.3749999999999996</v>
      </c>
      <c r="F5" s="7">
        <f t="shared" si="0"/>
        <v>0.9</v>
      </c>
      <c r="G5" s="7">
        <f t="shared" si="0"/>
        <v>0.9</v>
      </c>
      <c r="H5" s="52">
        <v>1</v>
      </c>
      <c r="I5" s="52">
        <v>1</v>
      </c>
      <c r="J5" s="7">
        <f t="shared" si="1"/>
        <v>1</v>
      </c>
      <c r="K5" s="7">
        <f t="shared" si="1"/>
        <v>1</v>
      </c>
      <c r="L5" s="7">
        <f t="shared" si="1"/>
        <v>0.9</v>
      </c>
      <c r="M5" s="7">
        <f t="shared" si="1"/>
        <v>0.9</v>
      </c>
      <c r="N5" s="7">
        <f t="shared" si="1"/>
        <v>0.9</v>
      </c>
      <c r="O5" s="7">
        <f t="shared" si="1"/>
        <v>0.9</v>
      </c>
      <c r="P5" s="7">
        <f t="shared" si="1"/>
        <v>0.9</v>
      </c>
      <c r="Q5" s="7">
        <f t="shared" si="1"/>
        <v>0.75</v>
      </c>
      <c r="R5" s="7">
        <f t="shared" si="1"/>
        <v>0.75</v>
      </c>
      <c r="S5" s="7">
        <f t="shared" si="1"/>
        <v>0.9</v>
      </c>
      <c r="T5" s="7">
        <f t="shared" si="1"/>
        <v>0.9</v>
      </c>
      <c r="U5" s="7">
        <f t="shared" si="1"/>
        <v>1</v>
      </c>
    </row>
    <row r="6" spans="1:21" x14ac:dyDescent="0.2">
      <c r="A6" s="4" t="s">
        <v>8</v>
      </c>
      <c r="B6" s="4" t="s">
        <v>8</v>
      </c>
      <c r="C6" s="52">
        <v>1</v>
      </c>
      <c r="D6" s="18">
        <v>0.8</v>
      </c>
      <c r="E6" s="18">
        <v>0.59374999999999989</v>
      </c>
      <c r="F6" s="26">
        <v>1</v>
      </c>
      <c r="G6" s="26">
        <v>1</v>
      </c>
      <c r="H6" s="52">
        <v>1</v>
      </c>
      <c r="I6" s="52">
        <v>1</v>
      </c>
      <c r="J6" s="27">
        <v>1</v>
      </c>
      <c r="K6" s="28">
        <v>1</v>
      </c>
      <c r="L6" s="28">
        <v>1</v>
      </c>
      <c r="M6" s="28">
        <v>1</v>
      </c>
      <c r="N6" s="28">
        <v>1</v>
      </c>
      <c r="O6" s="26">
        <v>1</v>
      </c>
      <c r="P6" s="26">
        <v>1</v>
      </c>
      <c r="Q6" s="26">
        <v>1</v>
      </c>
      <c r="R6" s="26">
        <v>1</v>
      </c>
      <c r="S6" s="26">
        <v>1</v>
      </c>
      <c r="T6" s="26">
        <v>1</v>
      </c>
      <c r="U6" s="18">
        <v>1</v>
      </c>
    </row>
    <row r="7" spans="1:21" x14ac:dyDescent="0.2">
      <c r="A7" s="4" t="s">
        <v>9</v>
      </c>
      <c r="B7" s="4" t="s">
        <v>9</v>
      </c>
      <c r="C7" s="52">
        <v>1</v>
      </c>
      <c r="D7" s="18">
        <v>0.75</v>
      </c>
      <c r="E7" s="18">
        <v>2.1374999999999997</v>
      </c>
      <c r="F7" s="30">
        <v>1</v>
      </c>
      <c r="G7" s="30">
        <v>1</v>
      </c>
      <c r="H7" s="52">
        <v>1</v>
      </c>
      <c r="I7" s="52">
        <v>1</v>
      </c>
      <c r="J7" s="31">
        <v>1</v>
      </c>
      <c r="K7" s="29">
        <v>1</v>
      </c>
      <c r="L7" s="29">
        <v>1</v>
      </c>
      <c r="M7" s="29">
        <v>1</v>
      </c>
      <c r="N7" s="29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18">
        <v>1</v>
      </c>
    </row>
    <row r="8" spans="1:21" x14ac:dyDescent="0.2">
      <c r="A8" s="4" t="s">
        <v>10</v>
      </c>
      <c r="B8" s="4" t="s">
        <v>10</v>
      </c>
      <c r="C8" s="52">
        <v>1</v>
      </c>
      <c r="D8" s="18">
        <v>0.5</v>
      </c>
      <c r="E8" s="18">
        <v>1.0124999999999997</v>
      </c>
      <c r="F8" s="32">
        <v>1</v>
      </c>
      <c r="G8" s="32">
        <v>1</v>
      </c>
      <c r="H8" s="52">
        <v>1</v>
      </c>
      <c r="I8" s="52">
        <v>1</v>
      </c>
      <c r="J8" s="33">
        <v>1</v>
      </c>
      <c r="K8" s="34">
        <v>1</v>
      </c>
      <c r="L8" s="34">
        <v>1</v>
      </c>
      <c r="M8" s="34">
        <v>1</v>
      </c>
      <c r="N8" s="34">
        <v>1</v>
      </c>
      <c r="O8" s="32">
        <v>1</v>
      </c>
      <c r="P8" s="32">
        <v>1</v>
      </c>
      <c r="Q8" s="32">
        <v>1</v>
      </c>
      <c r="R8" s="32">
        <v>1</v>
      </c>
      <c r="S8" s="32">
        <v>1</v>
      </c>
      <c r="T8" s="32">
        <v>1</v>
      </c>
      <c r="U8" s="18">
        <v>1</v>
      </c>
    </row>
    <row r="9" spans="1:21" x14ac:dyDescent="0.2">
      <c r="A9" s="4" t="s">
        <v>11</v>
      </c>
      <c r="B9" s="4" t="s">
        <v>11</v>
      </c>
      <c r="C9" s="52">
        <v>1</v>
      </c>
      <c r="D9" s="18">
        <v>0.5</v>
      </c>
      <c r="E9" s="18">
        <v>0.45</v>
      </c>
      <c r="F9" s="36">
        <v>1</v>
      </c>
      <c r="G9" s="36">
        <v>1</v>
      </c>
      <c r="H9" s="52">
        <v>1</v>
      </c>
      <c r="I9" s="52">
        <v>1</v>
      </c>
      <c r="J9" s="37">
        <v>1</v>
      </c>
      <c r="K9" s="35">
        <v>1</v>
      </c>
      <c r="L9" s="35">
        <v>1</v>
      </c>
      <c r="M9" s="35">
        <v>1</v>
      </c>
      <c r="N9" s="35">
        <v>1</v>
      </c>
      <c r="O9" s="36">
        <v>1</v>
      </c>
      <c r="P9" s="36">
        <v>1</v>
      </c>
      <c r="Q9" s="36">
        <v>1</v>
      </c>
      <c r="R9" s="36">
        <v>1</v>
      </c>
      <c r="S9" s="36">
        <v>1</v>
      </c>
      <c r="T9" s="36">
        <v>1</v>
      </c>
      <c r="U9" s="18">
        <v>1</v>
      </c>
    </row>
    <row r="10" spans="1:21" x14ac:dyDescent="0.2">
      <c r="A10" s="4" t="s">
        <v>7</v>
      </c>
      <c r="B10" s="4" t="s">
        <v>7</v>
      </c>
      <c r="C10" s="52">
        <v>1</v>
      </c>
      <c r="D10" s="18">
        <v>0.75</v>
      </c>
      <c r="E10" s="18">
        <v>2.3749999999999996</v>
      </c>
      <c r="F10" s="23">
        <v>0.9</v>
      </c>
      <c r="G10" s="23">
        <v>0.9</v>
      </c>
      <c r="H10" s="52">
        <v>1</v>
      </c>
      <c r="I10" s="52">
        <v>1</v>
      </c>
      <c r="J10" s="24">
        <v>1</v>
      </c>
      <c r="K10" s="25">
        <v>1</v>
      </c>
      <c r="L10" s="25">
        <v>0.9</v>
      </c>
      <c r="M10" s="25">
        <v>0.9</v>
      </c>
      <c r="N10" s="25">
        <v>0.9</v>
      </c>
      <c r="O10" s="23">
        <v>0.9</v>
      </c>
      <c r="P10" s="23">
        <v>0.9</v>
      </c>
      <c r="Q10" s="23">
        <v>0.75</v>
      </c>
      <c r="R10" s="23">
        <v>0.75</v>
      </c>
      <c r="S10" s="23">
        <v>0.9</v>
      </c>
      <c r="T10" s="23">
        <v>0.9</v>
      </c>
      <c r="U10" s="18">
        <v>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7E72-C9A3-4EA3-AC32-994AB6E09291}">
  <sheetPr>
    <tabColor theme="4"/>
  </sheetPr>
  <dimension ref="A1:U20"/>
  <sheetViews>
    <sheetView zoomScale="55" zoomScaleNormal="55" workbookViewId="0">
      <selection activeCell="D4" sqref="D4"/>
    </sheetView>
  </sheetViews>
  <sheetFormatPr defaultRowHeight="14.25" x14ac:dyDescent="0.2"/>
  <cols>
    <col min="1" max="1" width="36.5" customWidth="1"/>
    <col min="2" max="2" width="8.75" bestFit="1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t="s">
        <v>430</v>
      </c>
      <c r="B2">
        <v>0</v>
      </c>
      <c r="C2" s="52">
        <v>1</v>
      </c>
      <c r="D2" s="22">
        <v>1</v>
      </c>
      <c r="E2" s="22">
        <v>1</v>
      </c>
      <c r="F2" s="20">
        <v>1</v>
      </c>
      <c r="G2" s="20">
        <v>1</v>
      </c>
      <c r="H2" s="52">
        <v>1</v>
      </c>
      <c r="I2" s="52">
        <v>1</v>
      </c>
      <c r="J2" s="18">
        <v>1</v>
      </c>
      <c r="K2" s="38">
        <v>1</v>
      </c>
      <c r="L2" s="38">
        <v>1</v>
      </c>
      <c r="M2" s="38">
        <v>1</v>
      </c>
      <c r="N2" s="38">
        <v>1</v>
      </c>
      <c r="O2" s="39">
        <v>1</v>
      </c>
      <c r="P2" s="39">
        <v>1</v>
      </c>
      <c r="Q2" s="39">
        <v>1</v>
      </c>
      <c r="R2" s="39">
        <v>1</v>
      </c>
      <c r="S2" s="39">
        <v>1</v>
      </c>
      <c r="T2" s="39">
        <v>1</v>
      </c>
      <c r="U2" s="38">
        <v>1</v>
      </c>
    </row>
    <row r="3" spans="1:21" x14ac:dyDescent="0.2">
      <c r="A3" t="s">
        <v>431</v>
      </c>
      <c r="B3">
        <v>1</v>
      </c>
      <c r="C3" s="52">
        <v>1</v>
      </c>
      <c r="D3" s="22">
        <v>1</v>
      </c>
      <c r="E3" s="22">
        <v>1</v>
      </c>
      <c r="F3" s="20">
        <v>1</v>
      </c>
      <c r="G3" s="20">
        <v>1</v>
      </c>
      <c r="H3" s="52">
        <v>1</v>
      </c>
      <c r="I3" s="52">
        <v>1</v>
      </c>
      <c r="J3" s="18">
        <v>1</v>
      </c>
      <c r="K3" s="38">
        <v>1</v>
      </c>
      <c r="L3" s="38">
        <v>1</v>
      </c>
      <c r="M3" s="38">
        <v>1</v>
      </c>
      <c r="N3" s="38">
        <v>1</v>
      </c>
      <c r="O3" s="39">
        <v>1</v>
      </c>
      <c r="P3" s="39">
        <v>1</v>
      </c>
      <c r="Q3" s="39">
        <v>1</v>
      </c>
      <c r="R3" s="39">
        <v>1</v>
      </c>
      <c r="S3" s="39">
        <v>1</v>
      </c>
      <c r="T3" s="39">
        <v>1</v>
      </c>
      <c r="U3" s="38">
        <v>1</v>
      </c>
    </row>
    <row r="4" spans="1:21" x14ac:dyDescent="0.2">
      <c r="A4" t="s">
        <v>432</v>
      </c>
      <c r="B4">
        <v>2</v>
      </c>
      <c r="C4" s="52">
        <v>1</v>
      </c>
      <c r="D4" s="22">
        <v>1</v>
      </c>
      <c r="E4" s="22">
        <v>1</v>
      </c>
      <c r="F4" s="20">
        <v>1</v>
      </c>
      <c r="G4" s="20">
        <v>1</v>
      </c>
      <c r="H4" s="52">
        <v>1</v>
      </c>
      <c r="I4" s="52">
        <v>1</v>
      </c>
      <c r="J4" s="18">
        <v>1</v>
      </c>
      <c r="K4" s="38">
        <v>1</v>
      </c>
      <c r="L4" s="38">
        <v>1</v>
      </c>
      <c r="M4" s="38">
        <v>1</v>
      </c>
      <c r="N4" s="38">
        <v>1</v>
      </c>
      <c r="O4" s="39">
        <v>1</v>
      </c>
      <c r="P4" s="39">
        <v>1</v>
      </c>
      <c r="Q4" s="39">
        <v>1</v>
      </c>
      <c r="R4" s="39">
        <v>1</v>
      </c>
      <c r="S4" s="39">
        <v>1</v>
      </c>
      <c r="T4" s="39">
        <v>1</v>
      </c>
      <c r="U4" s="38">
        <v>1</v>
      </c>
    </row>
    <row r="5" spans="1:21" x14ac:dyDescent="0.2">
      <c r="A5" t="s">
        <v>433</v>
      </c>
      <c r="B5">
        <v>3</v>
      </c>
      <c r="C5" s="52">
        <v>1</v>
      </c>
      <c r="D5" s="22">
        <v>1</v>
      </c>
      <c r="E5" s="22">
        <v>1</v>
      </c>
      <c r="F5" s="20">
        <v>1</v>
      </c>
      <c r="G5" s="20">
        <v>1</v>
      </c>
      <c r="H5" s="52">
        <v>1</v>
      </c>
      <c r="I5" s="52">
        <v>1</v>
      </c>
      <c r="J5" s="18">
        <v>1</v>
      </c>
      <c r="K5" s="38">
        <v>1</v>
      </c>
      <c r="L5" s="38">
        <v>1</v>
      </c>
      <c r="M5" s="38">
        <v>1</v>
      </c>
      <c r="N5" s="38">
        <v>1</v>
      </c>
      <c r="O5" s="39">
        <v>1</v>
      </c>
      <c r="P5" s="39">
        <v>1</v>
      </c>
      <c r="Q5" s="39">
        <v>1</v>
      </c>
      <c r="R5" s="39">
        <v>1</v>
      </c>
      <c r="S5" s="39">
        <v>1</v>
      </c>
      <c r="T5" s="39">
        <v>1</v>
      </c>
      <c r="U5" s="38">
        <v>1</v>
      </c>
    </row>
    <row r="6" spans="1:21" x14ac:dyDescent="0.2">
      <c r="A6" t="s">
        <v>434</v>
      </c>
      <c r="B6">
        <v>4</v>
      </c>
      <c r="C6" s="52">
        <v>1</v>
      </c>
      <c r="D6" s="22">
        <v>1</v>
      </c>
      <c r="E6" s="22">
        <v>1</v>
      </c>
      <c r="F6" s="20">
        <v>1</v>
      </c>
      <c r="G6" s="20">
        <v>1</v>
      </c>
      <c r="H6" s="52">
        <v>1</v>
      </c>
      <c r="I6" s="52">
        <v>1</v>
      </c>
      <c r="J6" s="18">
        <v>1</v>
      </c>
      <c r="K6" s="38">
        <v>1</v>
      </c>
      <c r="L6" s="38">
        <v>1</v>
      </c>
      <c r="M6" s="38">
        <v>1</v>
      </c>
      <c r="N6" s="38">
        <v>1</v>
      </c>
      <c r="O6" s="39">
        <v>1</v>
      </c>
      <c r="P6" s="39">
        <v>1</v>
      </c>
      <c r="Q6" s="39">
        <v>1</v>
      </c>
      <c r="R6" s="39">
        <v>1</v>
      </c>
      <c r="S6" s="39">
        <v>1</v>
      </c>
      <c r="T6" s="39">
        <v>1</v>
      </c>
      <c r="U6" s="38">
        <v>1</v>
      </c>
    </row>
    <row r="7" spans="1:21" x14ac:dyDescent="0.2">
      <c r="A7" t="s">
        <v>435</v>
      </c>
      <c r="B7">
        <v>5</v>
      </c>
      <c r="C7" s="52">
        <v>1</v>
      </c>
      <c r="D7" s="22">
        <v>1</v>
      </c>
      <c r="E7" s="22">
        <v>1</v>
      </c>
      <c r="F7" s="20">
        <v>1</v>
      </c>
      <c r="G7" s="20">
        <v>1</v>
      </c>
      <c r="H7" s="52">
        <v>1</v>
      </c>
      <c r="I7" s="52">
        <v>1</v>
      </c>
      <c r="J7" s="18">
        <v>1</v>
      </c>
      <c r="K7" s="38">
        <v>1</v>
      </c>
      <c r="L7" s="38">
        <v>1</v>
      </c>
      <c r="M7" s="38">
        <v>1</v>
      </c>
      <c r="N7" s="38">
        <v>1</v>
      </c>
      <c r="O7" s="39">
        <v>1</v>
      </c>
      <c r="P7" s="39">
        <v>1</v>
      </c>
      <c r="Q7" s="39">
        <v>1</v>
      </c>
      <c r="R7" s="39">
        <v>1</v>
      </c>
      <c r="S7" s="39">
        <v>1</v>
      </c>
      <c r="T7" s="39">
        <v>1</v>
      </c>
      <c r="U7" s="38">
        <v>1</v>
      </c>
    </row>
    <row r="8" spans="1:21" x14ac:dyDescent="0.2">
      <c r="A8" t="s">
        <v>436</v>
      </c>
      <c r="B8">
        <v>6</v>
      </c>
      <c r="C8" s="52">
        <v>1</v>
      </c>
      <c r="D8" s="22">
        <v>1</v>
      </c>
      <c r="E8" s="22">
        <v>1</v>
      </c>
      <c r="F8" s="20">
        <v>1</v>
      </c>
      <c r="G8" s="20">
        <v>1</v>
      </c>
      <c r="H8" s="52">
        <v>1</v>
      </c>
      <c r="I8" s="52">
        <v>1</v>
      </c>
      <c r="J8" s="18">
        <v>1</v>
      </c>
      <c r="K8" s="38">
        <v>1</v>
      </c>
      <c r="L8" s="38">
        <v>1</v>
      </c>
      <c r="M8" s="38">
        <v>1</v>
      </c>
      <c r="N8" s="38">
        <v>1</v>
      </c>
      <c r="O8" s="39">
        <v>1</v>
      </c>
      <c r="P8" s="39">
        <v>1</v>
      </c>
      <c r="Q8" s="39">
        <v>1</v>
      </c>
      <c r="R8" s="39">
        <v>1</v>
      </c>
      <c r="S8" s="39">
        <v>1</v>
      </c>
      <c r="T8" s="39">
        <v>1</v>
      </c>
      <c r="U8" s="38">
        <v>1</v>
      </c>
    </row>
    <row r="9" spans="1:21" x14ac:dyDescent="0.2">
      <c r="A9" t="s">
        <v>437</v>
      </c>
      <c r="B9">
        <v>7</v>
      </c>
      <c r="C9" s="52">
        <v>1</v>
      </c>
      <c r="D9" s="22">
        <v>1</v>
      </c>
      <c r="E9" s="22">
        <v>1</v>
      </c>
      <c r="F9" s="20">
        <v>1</v>
      </c>
      <c r="G9" s="20">
        <v>1</v>
      </c>
      <c r="H9" s="52">
        <v>1</v>
      </c>
      <c r="I9" s="52">
        <v>1</v>
      </c>
      <c r="J9" s="18">
        <v>1</v>
      </c>
      <c r="K9" s="38">
        <v>1</v>
      </c>
      <c r="L9" s="38">
        <v>1</v>
      </c>
      <c r="M9" s="38">
        <v>1</v>
      </c>
      <c r="N9" s="38">
        <v>1</v>
      </c>
      <c r="O9" s="39">
        <v>1</v>
      </c>
      <c r="P9" s="39">
        <v>1</v>
      </c>
      <c r="Q9" s="39">
        <v>1</v>
      </c>
      <c r="R9" s="39">
        <v>1</v>
      </c>
      <c r="S9" s="39">
        <v>1</v>
      </c>
      <c r="T9" s="39">
        <v>1</v>
      </c>
      <c r="U9" s="38">
        <v>1</v>
      </c>
    </row>
    <row r="10" spans="1:21" x14ac:dyDescent="0.2">
      <c r="A10" t="s">
        <v>438</v>
      </c>
      <c r="B10">
        <v>8</v>
      </c>
      <c r="C10" s="52">
        <v>1</v>
      </c>
      <c r="D10" s="22">
        <v>1</v>
      </c>
      <c r="E10" s="22">
        <v>1</v>
      </c>
      <c r="F10" s="20">
        <v>1</v>
      </c>
      <c r="G10" s="20">
        <v>1</v>
      </c>
      <c r="H10" s="52">
        <v>1</v>
      </c>
      <c r="I10" s="52">
        <v>1</v>
      </c>
      <c r="J10" s="18">
        <v>1</v>
      </c>
      <c r="K10" s="38">
        <v>1</v>
      </c>
      <c r="L10" s="38">
        <v>1</v>
      </c>
      <c r="M10" s="38">
        <v>1</v>
      </c>
      <c r="N10" s="38">
        <v>1</v>
      </c>
      <c r="O10" s="39">
        <v>1</v>
      </c>
      <c r="P10" s="39">
        <v>1</v>
      </c>
      <c r="Q10" s="39">
        <v>1</v>
      </c>
      <c r="R10" s="39">
        <v>1</v>
      </c>
      <c r="S10" s="39">
        <v>1</v>
      </c>
      <c r="T10" s="39">
        <v>1</v>
      </c>
      <c r="U10" s="38">
        <v>1</v>
      </c>
    </row>
    <row r="11" spans="1:21" x14ac:dyDescent="0.2">
      <c r="A11" t="s">
        <v>439</v>
      </c>
      <c r="B11">
        <v>9</v>
      </c>
      <c r="C11" s="52">
        <v>1</v>
      </c>
      <c r="D11" s="22">
        <v>1</v>
      </c>
      <c r="E11" s="22">
        <v>1</v>
      </c>
      <c r="F11" s="20">
        <v>1</v>
      </c>
      <c r="G11" s="20">
        <v>1</v>
      </c>
      <c r="H11" s="52">
        <v>1</v>
      </c>
      <c r="I11" s="52">
        <v>1</v>
      </c>
      <c r="J11" s="18">
        <v>1</v>
      </c>
      <c r="K11" s="38">
        <v>1</v>
      </c>
      <c r="L11" s="38">
        <v>1</v>
      </c>
      <c r="M11" s="38">
        <v>1</v>
      </c>
      <c r="N11" s="38">
        <v>1</v>
      </c>
      <c r="O11" s="39">
        <v>1</v>
      </c>
      <c r="P11" s="39">
        <v>1</v>
      </c>
      <c r="Q11" s="39">
        <v>1</v>
      </c>
      <c r="R11" s="39">
        <v>1</v>
      </c>
      <c r="S11" s="39">
        <v>1</v>
      </c>
      <c r="T11" s="39">
        <v>1</v>
      </c>
      <c r="U11" s="38">
        <v>1</v>
      </c>
    </row>
    <row r="12" spans="1:21" x14ac:dyDescent="0.2">
      <c r="A12" t="s">
        <v>440</v>
      </c>
      <c r="B12">
        <v>10</v>
      </c>
      <c r="C12" s="52">
        <v>1</v>
      </c>
      <c r="D12" s="22">
        <v>1</v>
      </c>
      <c r="E12" s="22">
        <v>1</v>
      </c>
      <c r="F12" s="20">
        <v>1</v>
      </c>
      <c r="G12" s="20">
        <v>1</v>
      </c>
      <c r="H12" s="52">
        <v>1</v>
      </c>
      <c r="I12" s="52">
        <v>1</v>
      </c>
      <c r="J12" s="18">
        <v>1</v>
      </c>
      <c r="K12" s="38">
        <v>1</v>
      </c>
      <c r="L12" s="38">
        <v>1</v>
      </c>
      <c r="M12" s="38">
        <v>1</v>
      </c>
      <c r="N12" s="38">
        <v>1</v>
      </c>
      <c r="O12" s="39">
        <v>1</v>
      </c>
      <c r="P12" s="39">
        <v>1</v>
      </c>
      <c r="Q12" s="39">
        <v>1</v>
      </c>
      <c r="R12" s="39">
        <v>1</v>
      </c>
      <c r="S12" s="39">
        <v>1</v>
      </c>
      <c r="T12" s="39">
        <v>1</v>
      </c>
      <c r="U12" s="38">
        <v>1</v>
      </c>
    </row>
    <row r="13" spans="1:21" x14ac:dyDescent="0.2">
      <c r="A13" t="s">
        <v>441</v>
      </c>
      <c r="B13">
        <v>11</v>
      </c>
      <c r="C13" s="52">
        <v>1</v>
      </c>
      <c r="D13" s="22">
        <v>1</v>
      </c>
      <c r="E13" s="22">
        <v>1</v>
      </c>
      <c r="F13" s="20">
        <v>1</v>
      </c>
      <c r="G13" s="20">
        <v>1</v>
      </c>
      <c r="H13" s="52">
        <v>1</v>
      </c>
      <c r="I13" s="52">
        <v>1</v>
      </c>
      <c r="J13" s="18">
        <v>1</v>
      </c>
      <c r="K13" s="38">
        <v>1</v>
      </c>
      <c r="L13" s="38">
        <v>1</v>
      </c>
      <c r="M13" s="38">
        <v>1</v>
      </c>
      <c r="N13" s="38">
        <v>1</v>
      </c>
      <c r="O13" s="39">
        <v>1</v>
      </c>
      <c r="P13" s="39">
        <v>1</v>
      </c>
      <c r="Q13" s="39">
        <v>1</v>
      </c>
      <c r="R13" s="39">
        <v>1</v>
      </c>
      <c r="S13" s="39">
        <v>1</v>
      </c>
      <c r="T13" s="39">
        <v>1</v>
      </c>
      <c r="U13" s="38">
        <v>1</v>
      </c>
    </row>
    <row r="14" spans="1:21" x14ac:dyDescent="0.2">
      <c r="A14" t="s">
        <v>442</v>
      </c>
      <c r="B14">
        <v>12</v>
      </c>
      <c r="C14" s="52">
        <v>1</v>
      </c>
      <c r="D14" s="22">
        <v>1</v>
      </c>
      <c r="E14" s="22">
        <v>1</v>
      </c>
      <c r="F14" s="20">
        <v>1</v>
      </c>
      <c r="G14" s="20">
        <v>1</v>
      </c>
      <c r="H14" s="52">
        <v>1</v>
      </c>
      <c r="I14" s="52">
        <v>1</v>
      </c>
      <c r="J14" s="18">
        <v>1</v>
      </c>
      <c r="K14" s="38">
        <v>1</v>
      </c>
      <c r="L14" s="38">
        <v>1</v>
      </c>
      <c r="M14" s="38">
        <v>1</v>
      </c>
      <c r="N14" s="38">
        <v>1</v>
      </c>
      <c r="O14" s="39">
        <v>1</v>
      </c>
      <c r="P14" s="39">
        <v>1</v>
      </c>
      <c r="Q14" s="39">
        <v>1</v>
      </c>
      <c r="R14" s="39">
        <v>1</v>
      </c>
      <c r="S14" s="39">
        <v>1</v>
      </c>
      <c r="T14" s="39">
        <v>1</v>
      </c>
      <c r="U14" s="38">
        <v>1</v>
      </c>
    </row>
    <row r="15" spans="1:21" x14ac:dyDescent="0.2">
      <c r="A15" t="s">
        <v>443</v>
      </c>
      <c r="B15">
        <v>13</v>
      </c>
      <c r="C15" s="52">
        <v>1</v>
      </c>
      <c r="D15" s="22">
        <v>1</v>
      </c>
      <c r="E15" s="22">
        <v>1</v>
      </c>
      <c r="F15" s="20">
        <v>1</v>
      </c>
      <c r="G15" s="20">
        <v>1</v>
      </c>
      <c r="H15" s="52">
        <v>1</v>
      </c>
      <c r="I15" s="52">
        <v>1</v>
      </c>
      <c r="J15" s="18">
        <v>1</v>
      </c>
      <c r="K15" s="38">
        <v>1</v>
      </c>
      <c r="L15" s="38">
        <v>1</v>
      </c>
      <c r="M15" s="38">
        <v>1</v>
      </c>
      <c r="N15" s="38">
        <v>1</v>
      </c>
      <c r="O15" s="39">
        <v>1</v>
      </c>
      <c r="P15" s="39">
        <v>1</v>
      </c>
      <c r="Q15" s="39">
        <v>1</v>
      </c>
      <c r="R15" s="39">
        <v>1</v>
      </c>
      <c r="S15" s="39">
        <v>1</v>
      </c>
      <c r="T15" s="39">
        <v>1</v>
      </c>
      <c r="U15" s="38">
        <v>1</v>
      </c>
    </row>
    <row r="16" spans="1:21" x14ac:dyDescent="0.2">
      <c r="A16" t="s">
        <v>444</v>
      </c>
      <c r="B16">
        <v>14</v>
      </c>
      <c r="C16" s="52">
        <v>1</v>
      </c>
      <c r="D16" s="22">
        <v>1</v>
      </c>
      <c r="E16" s="22">
        <v>1</v>
      </c>
      <c r="F16" s="20">
        <v>1</v>
      </c>
      <c r="G16" s="20">
        <v>1</v>
      </c>
      <c r="H16" s="52">
        <v>1</v>
      </c>
      <c r="I16" s="52">
        <v>1</v>
      </c>
      <c r="J16" s="18">
        <v>1</v>
      </c>
      <c r="K16" s="38">
        <v>1</v>
      </c>
      <c r="L16" s="38">
        <v>1</v>
      </c>
      <c r="M16" s="38">
        <v>1</v>
      </c>
      <c r="N16" s="38">
        <v>1</v>
      </c>
      <c r="O16" s="39">
        <v>1</v>
      </c>
      <c r="P16" s="39">
        <v>1</v>
      </c>
      <c r="Q16" s="39">
        <v>1</v>
      </c>
      <c r="R16" s="39">
        <v>1</v>
      </c>
      <c r="S16" s="39">
        <v>1</v>
      </c>
      <c r="T16" s="39">
        <v>1</v>
      </c>
      <c r="U16" s="38">
        <v>1</v>
      </c>
    </row>
    <row r="17" spans="1:21" x14ac:dyDescent="0.2">
      <c r="A17" t="s">
        <v>445</v>
      </c>
      <c r="B17">
        <v>15</v>
      </c>
      <c r="C17" s="52">
        <v>1</v>
      </c>
      <c r="D17" s="22">
        <v>1</v>
      </c>
      <c r="E17" s="22">
        <v>1</v>
      </c>
      <c r="F17" s="20">
        <v>1</v>
      </c>
      <c r="G17" s="20">
        <v>1</v>
      </c>
      <c r="H17" s="52">
        <v>1</v>
      </c>
      <c r="I17" s="52">
        <v>1</v>
      </c>
      <c r="J17" s="18">
        <v>1</v>
      </c>
      <c r="K17" s="38">
        <v>1</v>
      </c>
      <c r="L17" s="38">
        <v>1</v>
      </c>
      <c r="M17" s="38">
        <v>1</v>
      </c>
      <c r="N17" s="38">
        <v>1</v>
      </c>
      <c r="O17" s="39">
        <v>1</v>
      </c>
      <c r="P17" s="39">
        <v>1</v>
      </c>
      <c r="Q17" s="39">
        <v>1</v>
      </c>
      <c r="R17" s="39">
        <v>1</v>
      </c>
      <c r="S17" s="39">
        <v>1</v>
      </c>
      <c r="T17" s="39">
        <v>1</v>
      </c>
      <c r="U17" s="38">
        <v>1</v>
      </c>
    </row>
    <row r="18" spans="1:21" x14ac:dyDescent="0.2">
      <c r="A18" t="s">
        <v>446</v>
      </c>
      <c r="B18">
        <v>20</v>
      </c>
      <c r="C18" s="52">
        <v>1</v>
      </c>
      <c r="D18" s="22">
        <v>1</v>
      </c>
      <c r="E18" s="22">
        <v>1</v>
      </c>
      <c r="F18" s="20">
        <v>1</v>
      </c>
      <c r="G18" s="20">
        <v>1</v>
      </c>
      <c r="H18" s="52">
        <v>1</v>
      </c>
      <c r="I18" s="52">
        <v>1</v>
      </c>
      <c r="J18" s="18">
        <v>1</v>
      </c>
      <c r="K18" s="38">
        <v>1</v>
      </c>
      <c r="L18" s="38">
        <v>1</v>
      </c>
      <c r="M18" s="38">
        <v>1</v>
      </c>
      <c r="N18" s="38">
        <v>1</v>
      </c>
      <c r="O18" s="39">
        <v>1</v>
      </c>
      <c r="P18" s="39">
        <v>1</v>
      </c>
      <c r="Q18" s="39">
        <v>1</v>
      </c>
      <c r="R18" s="39">
        <v>1</v>
      </c>
      <c r="S18" s="39">
        <v>1</v>
      </c>
      <c r="T18" s="39">
        <v>1</v>
      </c>
      <c r="U18" s="38">
        <v>1</v>
      </c>
    </row>
    <row r="19" spans="1:21" x14ac:dyDescent="0.2">
      <c r="A19" t="s">
        <v>447</v>
      </c>
      <c r="B19">
        <v>50</v>
      </c>
      <c r="C19" s="52">
        <v>1</v>
      </c>
      <c r="D19" s="22">
        <v>1</v>
      </c>
      <c r="E19" s="22">
        <v>1</v>
      </c>
      <c r="F19" s="20">
        <v>1</v>
      </c>
      <c r="G19" s="20">
        <v>1</v>
      </c>
      <c r="H19" s="52">
        <v>1</v>
      </c>
      <c r="I19" s="52">
        <v>1</v>
      </c>
      <c r="J19" s="18">
        <v>1</v>
      </c>
      <c r="K19" s="38">
        <v>1</v>
      </c>
      <c r="L19" s="38">
        <v>1</v>
      </c>
      <c r="M19" s="38">
        <v>1</v>
      </c>
      <c r="N19" s="38">
        <v>1</v>
      </c>
      <c r="O19" s="39">
        <v>1</v>
      </c>
      <c r="P19" s="39">
        <v>1</v>
      </c>
      <c r="Q19" s="39">
        <v>1</v>
      </c>
      <c r="R19" s="39">
        <v>1</v>
      </c>
      <c r="S19" s="39">
        <v>1</v>
      </c>
      <c r="T19" s="39">
        <v>1</v>
      </c>
      <c r="U19" s="38">
        <v>1</v>
      </c>
    </row>
    <row r="20" spans="1:21" x14ac:dyDescent="0.2">
      <c r="A20" t="s">
        <v>448</v>
      </c>
      <c r="B20">
        <v>100</v>
      </c>
      <c r="C20" s="52">
        <v>1</v>
      </c>
      <c r="D20" s="22">
        <v>1</v>
      </c>
      <c r="E20" s="22">
        <v>1</v>
      </c>
      <c r="F20" s="20">
        <v>1</v>
      </c>
      <c r="G20" s="20">
        <v>1</v>
      </c>
      <c r="H20" s="52">
        <v>1</v>
      </c>
      <c r="I20" s="52">
        <v>1</v>
      </c>
      <c r="J20" s="18">
        <v>1</v>
      </c>
      <c r="K20" s="38">
        <v>1</v>
      </c>
      <c r="L20" s="38">
        <v>1</v>
      </c>
      <c r="M20" s="38">
        <v>1</v>
      </c>
      <c r="N20" s="38">
        <v>1</v>
      </c>
      <c r="O20" s="39">
        <v>1</v>
      </c>
      <c r="P20" s="39">
        <v>1</v>
      </c>
      <c r="Q20" s="39">
        <v>1</v>
      </c>
      <c r="R20" s="39">
        <v>1</v>
      </c>
      <c r="S20" s="39">
        <v>1</v>
      </c>
      <c r="T20" s="39">
        <v>1</v>
      </c>
      <c r="U20" s="38"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D90A-24F3-46B9-BD40-E8F0B8EAC601}">
  <sheetPr>
    <tabColor theme="4"/>
  </sheetPr>
  <dimension ref="A1:U3"/>
  <sheetViews>
    <sheetView zoomScale="55" zoomScaleNormal="55" workbookViewId="0">
      <selection activeCell="K2" sqref="K2:K3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5" t="s">
        <v>449</v>
      </c>
      <c r="B2" s="5" t="s">
        <v>27</v>
      </c>
      <c r="C2" s="52">
        <v>1</v>
      </c>
      <c r="D2" s="18">
        <v>1.2116</v>
      </c>
      <c r="E2" s="18">
        <v>1.2116</v>
      </c>
      <c r="F2" s="52">
        <v>1</v>
      </c>
      <c r="G2" s="40">
        <v>9.8948999999999995E-2</v>
      </c>
      <c r="H2" s="52">
        <v>1</v>
      </c>
      <c r="I2" s="52">
        <v>1</v>
      </c>
      <c r="J2" s="18">
        <v>2.4981999999999997E-2</v>
      </c>
      <c r="K2" s="52">
        <v>1</v>
      </c>
      <c r="L2" s="49">
        <v>9.8948999999999995E-2</v>
      </c>
      <c r="M2" s="49">
        <v>9.8948999999999995E-2</v>
      </c>
      <c r="N2" s="49">
        <v>9.8948999999999995E-2</v>
      </c>
      <c r="O2" s="50">
        <v>9.8948999999999995E-2</v>
      </c>
      <c r="P2" s="50">
        <v>9.8948999999999995E-2</v>
      </c>
      <c r="Q2" s="50">
        <v>9.8948999999999995E-2</v>
      </c>
      <c r="R2" s="50">
        <v>1.4E-3</v>
      </c>
      <c r="S2" s="50">
        <v>9.8948999999999995E-2</v>
      </c>
      <c r="T2" s="50">
        <v>9.8948999999999995E-2</v>
      </c>
      <c r="U2" s="51">
        <v>100</v>
      </c>
    </row>
    <row r="3" spans="1:21" x14ac:dyDescent="0.2">
      <c r="A3" s="5" t="s">
        <v>450</v>
      </c>
      <c r="B3" s="4" t="s">
        <v>28</v>
      </c>
      <c r="C3" s="52">
        <v>1</v>
      </c>
      <c r="D3" s="18">
        <v>0.4889</v>
      </c>
      <c r="E3" s="18">
        <v>0.4889</v>
      </c>
      <c r="F3" s="52">
        <v>1</v>
      </c>
      <c r="G3" s="40">
        <v>0.48886554999999998</v>
      </c>
      <c r="H3" s="52">
        <v>1</v>
      </c>
      <c r="I3" s="52">
        <v>1</v>
      </c>
      <c r="J3" s="18">
        <v>0.58523325000000004</v>
      </c>
      <c r="K3" s="52">
        <v>1</v>
      </c>
      <c r="L3" s="49">
        <v>0.48886554999999998</v>
      </c>
      <c r="M3" s="49">
        <v>0.48886554999999998</v>
      </c>
      <c r="N3" s="49">
        <v>0.48886554999999998</v>
      </c>
      <c r="O3" s="50">
        <v>0.48886554999999998</v>
      </c>
      <c r="P3" s="50">
        <v>0.48886554999999998</v>
      </c>
      <c r="Q3" s="50">
        <v>0.48886554999999998</v>
      </c>
      <c r="R3" s="50">
        <v>0.79</v>
      </c>
      <c r="S3" s="50">
        <v>0.48886554999999998</v>
      </c>
      <c r="T3" s="50">
        <v>0.48886554999999998</v>
      </c>
      <c r="U3" s="51"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AE7C-9D9E-47EE-9505-4499132C5179}">
  <sheetPr>
    <tabColor theme="4"/>
  </sheetPr>
  <dimension ref="A1:U11"/>
  <sheetViews>
    <sheetView zoomScale="55" zoomScaleNormal="55" workbookViewId="0">
      <selection activeCell="H2" sqref="H2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>
        <v>1</v>
      </c>
      <c r="B2">
        <v>1</v>
      </c>
      <c r="C2" s="52">
        <v>1</v>
      </c>
      <c r="D2" s="18">
        <v>1</v>
      </c>
      <c r="E2" s="18">
        <v>1</v>
      </c>
      <c r="F2" s="20">
        <v>1</v>
      </c>
      <c r="G2" s="20">
        <v>1</v>
      </c>
      <c r="H2" s="52">
        <v>1</v>
      </c>
      <c r="I2" s="52">
        <v>1</v>
      </c>
      <c r="J2" s="18">
        <v>1</v>
      </c>
      <c r="K2" s="17">
        <v>1</v>
      </c>
      <c r="L2" s="17">
        <v>1</v>
      </c>
      <c r="M2" s="17">
        <v>1</v>
      </c>
      <c r="N2" s="17">
        <v>1</v>
      </c>
      <c r="O2" s="20">
        <v>1</v>
      </c>
      <c r="P2" s="20">
        <v>1</v>
      </c>
      <c r="Q2" s="20">
        <v>0.79</v>
      </c>
      <c r="R2" s="20">
        <v>0.79</v>
      </c>
      <c r="S2" s="20">
        <v>1</v>
      </c>
      <c r="T2" s="20">
        <v>1</v>
      </c>
      <c r="U2" s="18">
        <v>1</v>
      </c>
    </row>
    <row r="3" spans="1:21" x14ac:dyDescent="0.2">
      <c r="A3" s="6">
        <v>2</v>
      </c>
      <c r="B3">
        <v>2</v>
      </c>
      <c r="C3" s="52">
        <v>1</v>
      </c>
      <c r="D3" s="18">
        <v>1</v>
      </c>
      <c r="E3" s="18">
        <v>1</v>
      </c>
      <c r="F3" s="20">
        <v>1</v>
      </c>
      <c r="G3" s="20">
        <v>1</v>
      </c>
      <c r="H3" s="52">
        <v>1</v>
      </c>
      <c r="I3" s="52">
        <v>1</v>
      </c>
      <c r="J3" s="18">
        <v>1</v>
      </c>
      <c r="K3" s="17">
        <v>1</v>
      </c>
      <c r="L3" s="17">
        <v>1</v>
      </c>
      <c r="M3" s="17">
        <v>1</v>
      </c>
      <c r="N3" s="17">
        <v>1</v>
      </c>
      <c r="O3" s="20">
        <v>1</v>
      </c>
      <c r="P3" s="20">
        <v>1</v>
      </c>
      <c r="Q3" s="20">
        <v>0.84</v>
      </c>
      <c r="R3" s="20">
        <v>0.84</v>
      </c>
      <c r="S3" s="20">
        <v>1</v>
      </c>
      <c r="T3" s="20">
        <v>1</v>
      </c>
      <c r="U3" s="18">
        <v>1</v>
      </c>
    </row>
    <row r="4" spans="1:21" x14ac:dyDescent="0.2">
      <c r="A4" s="6">
        <v>3</v>
      </c>
      <c r="B4">
        <v>3</v>
      </c>
      <c r="C4" s="52">
        <v>1</v>
      </c>
      <c r="D4" s="18">
        <v>1</v>
      </c>
      <c r="E4" s="18">
        <v>1</v>
      </c>
      <c r="F4" s="20">
        <v>1</v>
      </c>
      <c r="G4" s="20">
        <v>1</v>
      </c>
      <c r="H4" s="52">
        <v>1</v>
      </c>
      <c r="I4" s="52">
        <v>1</v>
      </c>
      <c r="J4" s="18">
        <v>1</v>
      </c>
      <c r="K4" s="17">
        <v>1</v>
      </c>
      <c r="L4" s="17">
        <v>1</v>
      </c>
      <c r="M4" s="17">
        <v>1</v>
      </c>
      <c r="N4" s="17">
        <v>1</v>
      </c>
      <c r="O4" s="20">
        <v>1</v>
      </c>
      <c r="P4" s="20">
        <v>1</v>
      </c>
      <c r="Q4" s="20">
        <v>0.9</v>
      </c>
      <c r="R4" s="20">
        <v>0.9</v>
      </c>
      <c r="S4" s="20">
        <v>1</v>
      </c>
      <c r="T4" s="20">
        <v>1</v>
      </c>
      <c r="U4" s="18">
        <v>1</v>
      </c>
    </row>
    <row r="5" spans="1:21" x14ac:dyDescent="0.2">
      <c r="A5" s="6">
        <v>4</v>
      </c>
      <c r="B5">
        <v>4</v>
      </c>
      <c r="C5" s="52">
        <v>1</v>
      </c>
      <c r="D5" s="18">
        <v>1</v>
      </c>
      <c r="E5" s="18">
        <v>1</v>
      </c>
      <c r="F5" s="20">
        <v>1</v>
      </c>
      <c r="G5" s="20">
        <v>1</v>
      </c>
      <c r="H5" s="52">
        <v>1</v>
      </c>
      <c r="I5" s="52">
        <v>1</v>
      </c>
      <c r="J5" s="18">
        <v>1</v>
      </c>
      <c r="K5" s="17">
        <v>1</v>
      </c>
      <c r="L5" s="17">
        <v>1</v>
      </c>
      <c r="M5" s="17">
        <v>1</v>
      </c>
      <c r="N5" s="17">
        <v>1</v>
      </c>
      <c r="O5" s="20">
        <v>1</v>
      </c>
      <c r="P5" s="20">
        <v>1</v>
      </c>
      <c r="Q5" s="20">
        <v>0.95</v>
      </c>
      <c r="R5" s="20">
        <v>0.95</v>
      </c>
      <c r="S5" s="20">
        <v>1</v>
      </c>
      <c r="T5" s="20">
        <v>1</v>
      </c>
      <c r="U5" s="18">
        <v>1</v>
      </c>
    </row>
    <row r="6" spans="1:21" x14ac:dyDescent="0.2">
      <c r="A6" s="6">
        <v>5</v>
      </c>
      <c r="B6">
        <v>5</v>
      </c>
      <c r="C6" s="52">
        <v>1</v>
      </c>
      <c r="D6" s="18">
        <v>1</v>
      </c>
      <c r="E6" s="18">
        <v>1</v>
      </c>
      <c r="F6" s="20">
        <v>1</v>
      </c>
      <c r="G6" s="20">
        <v>1</v>
      </c>
      <c r="H6" s="52">
        <v>1</v>
      </c>
      <c r="I6" s="52">
        <v>1</v>
      </c>
      <c r="J6" s="18">
        <v>1</v>
      </c>
      <c r="K6" s="17">
        <v>1</v>
      </c>
      <c r="L6" s="17">
        <v>1</v>
      </c>
      <c r="M6" s="17">
        <v>1</v>
      </c>
      <c r="N6" s="17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18">
        <v>1</v>
      </c>
    </row>
    <row r="7" spans="1:21" x14ac:dyDescent="0.2">
      <c r="A7" s="6">
        <v>6</v>
      </c>
      <c r="B7">
        <v>6</v>
      </c>
      <c r="C7" s="52">
        <v>1</v>
      </c>
      <c r="D7" s="18">
        <v>1</v>
      </c>
      <c r="E7" s="18">
        <v>1</v>
      </c>
      <c r="F7" s="20">
        <v>1</v>
      </c>
      <c r="G7" s="20">
        <v>1</v>
      </c>
      <c r="H7" s="52">
        <v>1</v>
      </c>
      <c r="I7" s="52">
        <v>1</v>
      </c>
      <c r="J7" s="18">
        <v>1</v>
      </c>
      <c r="K7" s="17">
        <v>1</v>
      </c>
      <c r="L7" s="17">
        <v>1</v>
      </c>
      <c r="M7" s="17">
        <v>1</v>
      </c>
      <c r="N7" s="17">
        <v>1</v>
      </c>
      <c r="O7" s="20">
        <v>1</v>
      </c>
      <c r="P7" s="20">
        <v>1</v>
      </c>
      <c r="Q7" s="20">
        <v>1.1299999999999999</v>
      </c>
      <c r="R7" s="20">
        <v>1.1299999999999999</v>
      </c>
      <c r="S7" s="20">
        <v>1</v>
      </c>
      <c r="T7" s="20">
        <v>1</v>
      </c>
      <c r="U7" s="18">
        <v>1</v>
      </c>
    </row>
    <row r="8" spans="1:21" x14ac:dyDescent="0.2">
      <c r="A8" s="6">
        <v>7</v>
      </c>
      <c r="B8">
        <v>7</v>
      </c>
      <c r="C8" s="52">
        <v>1</v>
      </c>
      <c r="D8" s="18">
        <v>1</v>
      </c>
      <c r="E8" s="18">
        <v>1</v>
      </c>
      <c r="F8" s="20">
        <v>1</v>
      </c>
      <c r="G8" s="20">
        <v>1</v>
      </c>
      <c r="H8" s="52">
        <v>1</v>
      </c>
      <c r="I8" s="52">
        <v>1</v>
      </c>
      <c r="J8" s="18">
        <v>1</v>
      </c>
      <c r="K8" s="17">
        <v>1</v>
      </c>
      <c r="L8" s="17">
        <v>1</v>
      </c>
      <c r="M8" s="17">
        <v>1</v>
      </c>
      <c r="N8" s="17">
        <v>1</v>
      </c>
      <c r="O8" s="20">
        <v>1</v>
      </c>
      <c r="P8" s="20">
        <v>1</v>
      </c>
      <c r="Q8" s="20">
        <v>1.33</v>
      </c>
      <c r="R8" s="20">
        <v>1.33</v>
      </c>
      <c r="S8" s="20">
        <v>1</v>
      </c>
      <c r="T8" s="20">
        <v>1</v>
      </c>
      <c r="U8" s="18">
        <v>1</v>
      </c>
    </row>
    <row r="9" spans="1:21" x14ac:dyDescent="0.2">
      <c r="A9" s="6">
        <v>8</v>
      </c>
      <c r="B9">
        <v>8</v>
      </c>
      <c r="C9" s="52">
        <v>1</v>
      </c>
      <c r="D9" s="18">
        <v>1</v>
      </c>
      <c r="E9" s="18">
        <v>1</v>
      </c>
      <c r="F9" s="20">
        <v>1</v>
      </c>
      <c r="G9" s="20">
        <v>1</v>
      </c>
      <c r="H9" s="52">
        <v>1</v>
      </c>
      <c r="I9" s="52">
        <v>1</v>
      </c>
      <c r="J9" s="18">
        <v>1</v>
      </c>
      <c r="K9" s="17">
        <v>1</v>
      </c>
      <c r="L9" s="17">
        <v>1</v>
      </c>
      <c r="M9" s="17">
        <v>1</v>
      </c>
      <c r="N9" s="17">
        <v>1</v>
      </c>
      <c r="O9" s="20">
        <v>1</v>
      </c>
      <c r="P9" s="20">
        <v>1</v>
      </c>
      <c r="Q9" s="20">
        <v>1.38</v>
      </c>
      <c r="R9" s="20">
        <v>1.38</v>
      </c>
      <c r="S9" s="20">
        <v>1</v>
      </c>
      <c r="T9" s="20">
        <v>1</v>
      </c>
      <c r="U9" s="18">
        <v>1</v>
      </c>
    </row>
    <row r="10" spans="1:21" x14ac:dyDescent="0.2">
      <c r="A10" s="6">
        <v>9</v>
      </c>
      <c r="B10">
        <v>9</v>
      </c>
      <c r="C10" s="52">
        <v>1</v>
      </c>
      <c r="D10" s="18">
        <v>1</v>
      </c>
      <c r="E10" s="18">
        <v>1</v>
      </c>
      <c r="F10" s="20">
        <v>1</v>
      </c>
      <c r="G10" s="20">
        <v>1</v>
      </c>
      <c r="H10" s="52">
        <v>1</v>
      </c>
      <c r="I10" s="52">
        <v>1</v>
      </c>
      <c r="J10" s="18">
        <v>1</v>
      </c>
      <c r="K10" s="17">
        <v>1</v>
      </c>
      <c r="L10" s="17">
        <v>1</v>
      </c>
      <c r="M10" s="17">
        <v>1</v>
      </c>
      <c r="N10" s="17">
        <v>1</v>
      </c>
      <c r="O10" s="20">
        <v>1</v>
      </c>
      <c r="P10" s="20">
        <v>1.19</v>
      </c>
      <c r="Q10" s="20">
        <v>1.44</v>
      </c>
      <c r="R10" s="20">
        <v>1.44</v>
      </c>
      <c r="S10" s="20">
        <v>1</v>
      </c>
      <c r="T10" s="20">
        <v>1</v>
      </c>
      <c r="U10" s="18">
        <v>1</v>
      </c>
    </row>
    <row r="11" spans="1:21" x14ac:dyDescent="0.2">
      <c r="A11" s="6">
        <v>10</v>
      </c>
      <c r="B11">
        <v>10</v>
      </c>
      <c r="C11" s="52">
        <v>1</v>
      </c>
      <c r="D11" s="18">
        <v>1</v>
      </c>
      <c r="E11" s="18">
        <v>1</v>
      </c>
      <c r="F11" s="20">
        <v>1</v>
      </c>
      <c r="G11" s="20">
        <v>1</v>
      </c>
      <c r="H11" s="52">
        <v>1</v>
      </c>
      <c r="I11" s="52">
        <v>1</v>
      </c>
      <c r="J11" s="18">
        <v>1</v>
      </c>
      <c r="K11" s="17">
        <v>1</v>
      </c>
      <c r="L11" s="17">
        <v>1</v>
      </c>
      <c r="M11" s="17">
        <v>1</v>
      </c>
      <c r="N11" s="17">
        <v>1</v>
      </c>
      <c r="O11" s="20">
        <v>1</v>
      </c>
      <c r="P11" s="20">
        <v>1.19</v>
      </c>
      <c r="Q11" s="20">
        <v>2</v>
      </c>
      <c r="R11" s="20">
        <v>2</v>
      </c>
      <c r="S11" s="20">
        <v>1</v>
      </c>
      <c r="T11" s="20">
        <v>1</v>
      </c>
      <c r="U11" s="18">
        <v>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7EDF-F563-4BDB-9FA8-9977824D6B50}">
  <sheetPr>
    <tabColor theme="4"/>
  </sheetPr>
  <dimension ref="A1:U8"/>
  <sheetViews>
    <sheetView tabSelected="1" zoomScale="115" zoomScaleNormal="115" workbookViewId="0">
      <selection activeCell="B6" sqref="B6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t="s">
        <v>2</v>
      </c>
      <c r="B2" t="s">
        <v>2</v>
      </c>
      <c r="C2" s="52">
        <v>1</v>
      </c>
      <c r="D2" s="18">
        <v>1</v>
      </c>
      <c r="E2" s="18">
        <v>1</v>
      </c>
      <c r="F2" s="2">
        <v>1</v>
      </c>
      <c r="G2" s="2">
        <v>1</v>
      </c>
      <c r="H2" s="52">
        <v>1</v>
      </c>
      <c r="I2" s="52">
        <v>1</v>
      </c>
      <c r="J2" s="18">
        <v>1</v>
      </c>
      <c r="K2" s="17">
        <v>1</v>
      </c>
      <c r="L2" s="17">
        <v>1</v>
      </c>
      <c r="M2" s="17">
        <v>1</v>
      </c>
      <c r="N2" s="17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18">
        <v>1</v>
      </c>
    </row>
    <row r="3" spans="1:21" x14ac:dyDescent="0.2">
      <c r="A3" t="s">
        <v>3</v>
      </c>
      <c r="B3" t="s">
        <v>3</v>
      </c>
      <c r="C3" s="52">
        <v>1</v>
      </c>
      <c r="D3" s="18">
        <v>1</v>
      </c>
      <c r="E3" s="18">
        <v>1</v>
      </c>
      <c r="F3" s="2">
        <v>1</v>
      </c>
      <c r="G3" s="2">
        <v>1</v>
      </c>
      <c r="H3" s="52">
        <v>1</v>
      </c>
      <c r="I3" s="52">
        <v>1</v>
      </c>
      <c r="J3" s="18">
        <v>1</v>
      </c>
      <c r="K3" s="17">
        <v>1</v>
      </c>
      <c r="L3" s="17">
        <v>1</v>
      </c>
      <c r="M3" s="17">
        <v>1</v>
      </c>
      <c r="N3" s="17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18">
        <v>1</v>
      </c>
    </row>
    <row r="4" spans="1:21" x14ac:dyDescent="0.2">
      <c r="A4" t="s">
        <v>4</v>
      </c>
      <c r="B4" t="s">
        <v>4</v>
      </c>
      <c r="C4" s="52">
        <v>1</v>
      </c>
      <c r="D4" s="18">
        <v>1</v>
      </c>
      <c r="E4" s="18">
        <v>1</v>
      </c>
      <c r="F4" s="2">
        <v>1</v>
      </c>
      <c r="G4" s="2">
        <v>1</v>
      </c>
      <c r="H4" s="52">
        <v>1</v>
      </c>
      <c r="I4" s="52">
        <v>1</v>
      </c>
      <c r="J4" s="18">
        <v>1</v>
      </c>
      <c r="K4" s="17">
        <v>1</v>
      </c>
      <c r="L4" s="17">
        <v>1</v>
      </c>
      <c r="M4" s="17">
        <v>1</v>
      </c>
      <c r="N4" s="17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18">
        <v>1</v>
      </c>
    </row>
    <row r="5" spans="1:21" x14ac:dyDescent="0.2">
      <c r="A5" t="s">
        <v>5</v>
      </c>
      <c r="B5" t="s">
        <v>5</v>
      </c>
      <c r="C5" s="52">
        <v>1</v>
      </c>
      <c r="D5" s="18">
        <v>1</v>
      </c>
      <c r="E5" s="18">
        <v>1</v>
      </c>
      <c r="F5" s="2">
        <v>1</v>
      </c>
      <c r="G5" s="2">
        <v>1</v>
      </c>
      <c r="H5" s="52">
        <v>1</v>
      </c>
      <c r="I5" s="52">
        <v>1</v>
      </c>
      <c r="J5" s="18">
        <v>1</v>
      </c>
      <c r="K5" s="17">
        <v>1</v>
      </c>
      <c r="L5" s="17">
        <v>1</v>
      </c>
      <c r="M5" s="17">
        <v>1</v>
      </c>
      <c r="N5" s="17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18">
        <v>1</v>
      </c>
    </row>
    <row r="6" spans="1:21" x14ac:dyDescent="0.2">
      <c r="A6" t="s">
        <v>110</v>
      </c>
      <c r="B6" t="s">
        <v>110</v>
      </c>
      <c r="C6" s="55">
        <v>0</v>
      </c>
      <c r="D6" s="54">
        <v>0</v>
      </c>
      <c r="E6" s="54">
        <v>0</v>
      </c>
      <c r="F6" s="19">
        <v>1</v>
      </c>
      <c r="G6" s="19">
        <v>1</v>
      </c>
      <c r="H6" s="55">
        <v>0</v>
      </c>
      <c r="I6" s="55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</row>
    <row r="7" spans="1:21" x14ac:dyDescent="0.2">
      <c r="A7" t="s">
        <v>108</v>
      </c>
      <c r="B7" t="s">
        <v>108</v>
      </c>
      <c r="C7" s="55">
        <v>0</v>
      </c>
      <c r="D7" s="19">
        <v>1</v>
      </c>
      <c r="E7" s="54">
        <v>0</v>
      </c>
      <c r="F7" s="54">
        <v>0</v>
      </c>
      <c r="G7" s="19">
        <v>1</v>
      </c>
      <c r="H7" s="55">
        <v>0</v>
      </c>
      <c r="I7" s="55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4">
        <v>0</v>
      </c>
      <c r="S7" s="54">
        <v>0</v>
      </c>
      <c r="T7" s="54">
        <v>0</v>
      </c>
      <c r="U7" s="54">
        <v>0</v>
      </c>
    </row>
    <row r="8" spans="1:21" x14ac:dyDescent="0.2">
      <c r="A8" t="s">
        <v>109</v>
      </c>
      <c r="B8" t="s">
        <v>109</v>
      </c>
      <c r="C8" s="55">
        <v>0</v>
      </c>
      <c r="D8" s="54">
        <v>0</v>
      </c>
      <c r="E8" s="19">
        <v>1</v>
      </c>
      <c r="F8" s="54">
        <v>0</v>
      </c>
      <c r="G8" s="19">
        <v>1</v>
      </c>
      <c r="H8" s="55">
        <v>0</v>
      </c>
      <c r="I8" s="55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54">
        <v>0</v>
      </c>
      <c r="U8" s="54">
        <v>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C36-DC53-433A-AFA1-756326049B39}">
  <sheetPr>
    <tabColor theme="4"/>
  </sheetPr>
  <dimension ref="A1:U4"/>
  <sheetViews>
    <sheetView zoomScale="55" zoomScaleNormal="55" workbookViewId="0">
      <selection activeCell="I2" sqref="I2:I4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4" t="s">
        <v>103</v>
      </c>
      <c r="B2" s="4">
        <v>0</v>
      </c>
      <c r="C2" s="52">
        <v>1</v>
      </c>
      <c r="D2" s="22">
        <v>0.8</v>
      </c>
      <c r="E2" s="22">
        <v>0.8</v>
      </c>
      <c r="F2" s="20">
        <v>1</v>
      </c>
      <c r="G2" s="20">
        <v>1</v>
      </c>
      <c r="H2" s="52">
        <v>1</v>
      </c>
      <c r="I2" s="52">
        <v>1</v>
      </c>
      <c r="J2" s="18">
        <v>0.8</v>
      </c>
      <c r="K2" s="17">
        <v>1</v>
      </c>
      <c r="L2" s="17">
        <v>1</v>
      </c>
      <c r="M2" s="17">
        <v>1</v>
      </c>
      <c r="N2" s="17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17">
        <v>1</v>
      </c>
    </row>
    <row r="3" spans="1:21" x14ac:dyDescent="0.2">
      <c r="A3" s="4" t="s">
        <v>104</v>
      </c>
      <c r="B3" s="4">
        <v>6</v>
      </c>
      <c r="C3" s="52">
        <v>1</v>
      </c>
      <c r="D3" s="22">
        <v>1</v>
      </c>
      <c r="E3" s="22">
        <v>1</v>
      </c>
      <c r="F3" s="20">
        <v>1</v>
      </c>
      <c r="G3" s="20">
        <v>1</v>
      </c>
      <c r="H3" s="52">
        <v>1</v>
      </c>
      <c r="I3" s="52">
        <v>1</v>
      </c>
      <c r="J3" s="18">
        <v>1</v>
      </c>
      <c r="K3" s="17">
        <v>1</v>
      </c>
      <c r="L3" s="17">
        <v>1</v>
      </c>
      <c r="M3" s="17">
        <v>1</v>
      </c>
      <c r="N3" s="17">
        <v>1</v>
      </c>
      <c r="O3" s="20">
        <v>1</v>
      </c>
      <c r="P3" s="20">
        <v>1</v>
      </c>
      <c r="Q3" s="20">
        <v>1</v>
      </c>
      <c r="R3" s="20">
        <v>1</v>
      </c>
      <c r="S3" s="20">
        <v>1</v>
      </c>
      <c r="T3" s="20">
        <v>1</v>
      </c>
      <c r="U3" s="17">
        <v>1</v>
      </c>
    </row>
    <row r="4" spans="1:21" x14ac:dyDescent="0.2">
      <c r="A4" s="4" t="s">
        <v>105</v>
      </c>
      <c r="B4" s="4">
        <v>11</v>
      </c>
      <c r="C4" s="52">
        <v>1</v>
      </c>
      <c r="D4" s="22">
        <v>1.1000000000000001</v>
      </c>
      <c r="E4" s="22">
        <v>1.1000000000000001</v>
      </c>
      <c r="F4" s="20">
        <v>1</v>
      </c>
      <c r="G4" s="20">
        <v>1</v>
      </c>
      <c r="H4" s="52">
        <v>1</v>
      </c>
      <c r="I4" s="52">
        <v>1</v>
      </c>
      <c r="J4" s="18">
        <v>1.1000000000000001</v>
      </c>
      <c r="K4" s="17">
        <v>1</v>
      </c>
      <c r="L4" s="17">
        <v>1</v>
      </c>
      <c r="M4" s="17">
        <v>1</v>
      </c>
      <c r="N4" s="17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17">
        <v>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F177-CC4A-4594-8C44-CF95965B0E05}">
  <sheetPr>
    <tabColor theme="4"/>
  </sheetPr>
  <dimension ref="A1:U12"/>
  <sheetViews>
    <sheetView zoomScale="55" zoomScaleNormal="55" workbookViewId="0"/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4" t="s">
        <v>92</v>
      </c>
      <c r="B2" s="4" t="s">
        <v>92</v>
      </c>
      <c r="C2" s="52">
        <v>1</v>
      </c>
      <c r="D2" s="22">
        <v>1</v>
      </c>
      <c r="E2" s="22">
        <v>1</v>
      </c>
      <c r="F2" s="20">
        <v>1</v>
      </c>
      <c r="G2" s="20">
        <v>1</v>
      </c>
      <c r="H2" s="52">
        <v>1</v>
      </c>
      <c r="I2" s="52">
        <v>1</v>
      </c>
      <c r="J2" s="18">
        <v>1</v>
      </c>
      <c r="K2" s="17">
        <v>1</v>
      </c>
      <c r="L2" s="17">
        <v>1</v>
      </c>
      <c r="M2" s="17">
        <v>1</v>
      </c>
      <c r="N2" s="17">
        <v>1</v>
      </c>
      <c r="O2" s="20">
        <v>1</v>
      </c>
      <c r="P2" s="20">
        <v>1</v>
      </c>
      <c r="Q2" s="20">
        <v>1</v>
      </c>
      <c r="R2" s="20">
        <v>1</v>
      </c>
      <c r="S2" s="20">
        <v>1</v>
      </c>
      <c r="T2" s="20">
        <v>1</v>
      </c>
      <c r="U2" s="17">
        <v>1</v>
      </c>
    </row>
    <row r="3" spans="1:21" x14ac:dyDescent="0.2">
      <c r="A3" s="4" t="s">
        <v>93</v>
      </c>
      <c r="B3" s="4" t="s">
        <v>93</v>
      </c>
      <c r="C3" s="52">
        <v>1</v>
      </c>
      <c r="D3" s="22">
        <v>0.8</v>
      </c>
      <c r="E3" s="22">
        <v>0.8</v>
      </c>
      <c r="F3" s="20">
        <v>1</v>
      </c>
      <c r="G3" s="20">
        <v>1</v>
      </c>
      <c r="H3" s="52">
        <v>1</v>
      </c>
      <c r="I3" s="52">
        <v>1</v>
      </c>
      <c r="J3" s="18">
        <v>0.8</v>
      </c>
      <c r="K3" s="17">
        <v>1</v>
      </c>
      <c r="L3" s="17">
        <v>1</v>
      </c>
      <c r="M3" s="17">
        <v>1</v>
      </c>
      <c r="N3" s="17">
        <v>1</v>
      </c>
      <c r="O3" s="20">
        <v>1</v>
      </c>
      <c r="P3" s="20">
        <v>1</v>
      </c>
      <c r="Q3" s="20">
        <v>1</v>
      </c>
      <c r="R3" s="20">
        <v>1</v>
      </c>
      <c r="S3" s="20">
        <v>1</v>
      </c>
      <c r="T3" s="20">
        <v>1</v>
      </c>
      <c r="U3" s="17">
        <v>1</v>
      </c>
    </row>
    <row r="4" spans="1:21" x14ac:dyDescent="0.2">
      <c r="A4" s="4" t="s">
        <v>94</v>
      </c>
      <c r="B4" s="4" t="s">
        <v>94</v>
      </c>
      <c r="C4" s="52">
        <v>1</v>
      </c>
      <c r="D4" s="22">
        <v>0.8</v>
      </c>
      <c r="E4" s="22">
        <v>0.8</v>
      </c>
      <c r="F4" s="20">
        <v>1</v>
      </c>
      <c r="G4" s="20">
        <v>1</v>
      </c>
      <c r="H4" s="52">
        <v>1</v>
      </c>
      <c r="I4" s="52">
        <v>1</v>
      </c>
      <c r="J4" s="18">
        <v>0.8</v>
      </c>
      <c r="K4" s="17">
        <v>1</v>
      </c>
      <c r="L4" s="17">
        <v>1</v>
      </c>
      <c r="M4" s="17">
        <v>1</v>
      </c>
      <c r="N4" s="17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17">
        <v>1</v>
      </c>
    </row>
    <row r="5" spans="1:21" x14ac:dyDescent="0.2">
      <c r="A5" s="4" t="s">
        <v>95</v>
      </c>
      <c r="B5" s="4" t="s">
        <v>95</v>
      </c>
      <c r="C5" s="52">
        <v>1</v>
      </c>
      <c r="D5" s="22">
        <v>1</v>
      </c>
      <c r="E5" s="22">
        <v>1</v>
      </c>
      <c r="F5" s="20">
        <v>1</v>
      </c>
      <c r="G5" s="20">
        <v>1</v>
      </c>
      <c r="H5" s="52">
        <v>1</v>
      </c>
      <c r="I5" s="52">
        <v>1</v>
      </c>
      <c r="J5" s="18">
        <v>1</v>
      </c>
      <c r="K5" s="17">
        <v>1</v>
      </c>
      <c r="L5" s="17">
        <v>1</v>
      </c>
      <c r="M5" s="17">
        <v>1</v>
      </c>
      <c r="N5" s="17">
        <v>1</v>
      </c>
      <c r="O5" s="20">
        <v>1</v>
      </c>
      <c r="P5" s="20">
        <v>1</v>
      </c>
      <c r="Q5" s="20">
        <v>1</v>
      </c>
      <c r="R5" s="20">
        <v>1</v>
      </c>
      <c r="S5" s="20">
        <v>1</v>
      </c>
      <c r="T5" s="20">
        <v>1</v>
      </c>
      <c r="U5" s="17">
        <v>1</v>
      </c>
    </row>
    <row r="6" spans="1:21" x14ac:dyDescent="0.2">
      <c r="A6" s="4" t="s">
        <v>96</v>
      </c>
      <c r="B6" s="4" t="s">
        <v>96</v>
      </c>
      <c r="C6" s="52">
        <v>1</v>
      </c>
      <c r="D6" s="22">
        <v>1</v>
      </c>
      <c r="E6" s="22">
        <v>1</v>
      </c>
      <c r="F6" s="20">
        <v>1</v>
      </c>
      <c r="G6" s="20">
        <v>1</v>
      </c>
      <c r="H6" s="52">
        <v>1</v>
      </c>
      <c r="I6" s="52">
        <v>1</v>
      </c>
      <c r="J6" s="18">
        <v>1</v>
      </c>
      <c r="K6" s="17">
        <v>1</v>
      </c>
      <c r="L6" s="17">
        <v>1</v>
      </c>
      <c r="M6" s="17">
        <v>1</v>
      </c>
      <c r="N6" s="17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17">
        <v>1</v>
      </c>
    </row>
    <row r="7" spans="1:21" x14ac:dyDescent="0.2">
      <c r="A7" s="4" t="s">
        <v>97</v>
      </c>
      <c r="B7" s="4" t="s">
        <v>97</v>
      </c>
      <c r="C7" s="52">
        <v>1</v>
      </c>
      <c r="D7" s="22">
        <v>0.9</v>
      </c>
      <c r="E7" s="22">
        <v>0.9</v>
      </c>
      <c r="F7" s="20">
        <v>1</v>
      </c>
      <c r="G7" s="20">
        <v>1</v>
      </c>
      <c r="H7" s="52">
        <v>1</v>
      </c>
      <c r="I7" s="52">
        <v>1</v>
      </c>
      <c r="J7" s="18">
        <v>0.9</v>
      </c>
      <c r="K7" s="17">
        <v>1</v>
      </c>
      <c r="L7" s="17">
        <v>1</v>
      </c>
      <c r="M7" s="17">
        <v>1</v>
      </c>
      <c r="N7" s="17">
        <v>1</v>
      </c>
      <c r="O7" s="20">
        <v>1</v>
      </c>
      <c r="P7" s="20">
        <v>1</v>
      </c>
      <c r="Q7" s="20">
        <v>1</v>
      </c>
      <c r="R7" s="20">
        <v>1</v>
      </c>
      <c r="S7" s="20">
        <v>1</v>
      </c>
      <c r="T7" s="20">
        <v>1</v>
      </c>
      <c r="U7" s="17">
        <v>1</v>
      </c>
    </row>
    <row r="8" spans="1:21" x14ac:dyDescent="0.2">
      <c r="A8" s="4" t="s">
        <v>98</v>
      </c>
      <c r="B8" s="4" t="s">
        <v>98</v>
      </c>
      <c r="C8" s="52">
        <v>1</v>
      </c>
      <c r="D8" s="22">
        <v>1</v>
      </c>
      <c r="E8" s="22">
        <v>1</v>
      </c>
      <c r="F8" s="20">
        <v>1</v>
      </c>
      <c r="G8" s="20">
        <v>1</v>
      </c>
      <c r="H8" s="52">
        <v>1</v>
      </c>
      <c r="I8" s="52">
        <v>1</v>
      </c>
      <c r="J8" s="18">
        <v>1</v>
      </c>
      <c r="K8" s="17">
        <v>1</v>
      </c>
      <c r="L8" s="17">
        <v>1</v>
      </c>
      <c r="M8" s="17">
        <v>1</v>
      </c>
      <c r="N8" s="17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17">
        <v>1</v>
      </c>
    </row>
    <row r="9" spans="1:21" x14ac:dyDescent="0.2">
      <c r="A9" s="4" t="s">
        <v>99</v>
      </c>
      <c r="B9" s="4" t="s">
        <v>99</v>
      </c>
      <c r="C9" s="52">
        <v>1</v>
      </c>
      <c r="D9" s="22">
        <v>1</v>
      </c>
      <c r="E9" s="22">
        <v>1</v>
      </c>
      <c r="F9" s="20">
        <v>1</v>
      </c>
      <c r="G9" s="20">
        <v>1</v>
      </c>
      <c r="H9" s="52">
        <v>1</v>
      </c>
      <c r="I9" s="52">
        <v>1</v>
      </c>
      <c r="J9" s="18">
        <v>1</v>
      </c>
      <c r="K9" s="17">
        <v>1</v>
      </c>
      <c r="L9" s="17">
        <v>1</v>
      </c>
      <c r="M9" s="17">
        <v>1</v>
      </c>
      <c r="N9" s="17">
        <v>1</v>
      </c>
      <c r="O9" s="20">
        <v>1</v>
      </c>
      <c r="P9" s="20">
        <v>1</v>
      </c>
      <c r="Q9" s="20">
        <v>1</v>
      </c>
      <c r="R9" s="20">
        <v>1</v>
      </c>
      <c r="S9" s="20">
        <v>1</v>
      </c>
      <c r="T9" s="20">
        <v>1</v>
      </c>
      <c r="U9" s="17">
        <v>1</v>
      </c>
    </row>
    <row r="10" spans="1:21" x14ac:dyDescent="0.2">
      <c r="A10" s="4" t="s">
        <v>100</v>
      </c>
      <c r="B10" s="4" t="s">
        <v>100</v>
      </c>
      <c r="C10" s="52">
        <v>1</v>
      </c>
      <c r="D10" s="22">
        <v>1</v>
      </c>
      <c r="E10" s="22">
        <v>1</v>
      </c>
      <c r="F10" s="20">
        <v>1</v>
      </c>
      <c r="G10" s="20">
        <v>1</v>
      </c>
      <c r="H10" s="52">
        <v>1</v>
      </c>
      <c r="I10" s="52">
        <v>1</v>
      </c>
      <c r="J10" s="18">
        <v>1</v>
      </c>
      <c r="K10" s="17">
        <v>1</v>
      </c>
      <c r="L10" s="17">
        <v>1</v>
      </c>
      <c r="M10" s="17">
        <v>1</v>
      </c>
      <c r="N10" s="17">
        <v>1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>
        <v>1</v>
      </c>
      <c r="U10" s="17">
        <v>1</v>
      </c>
    </row>
    <row r="11" spans="1:21" x14ac:dyDescent="0.2">
      <c r="A11" s="4" t="s">
        <v>101</v>
      </c>
      <c r="B11" s="4" t="s">
        <v>101</v>
      </c>
      <c r="C11" s="52">
        <v>1</v>
      </c>
      <c r="D11" s="22">
        <v>0.95</v>
      </c>
      <c r="E11" s="22">
        <v>0.95</v>
      </c>
      <c r="F11" s="20">
        <v>1</v>
      </c>
      <c r="G11" s="20">
        <v>1</v>
      </c>
      <c r="H11" s="52">
        <v>1</v>
      </c>
      <c r="I11" s="52">
        <v>1</v>
      </c>
      <c r="J11" s="18">
        <v>0.95</v>
      </c>
      <c r="K11" s="17">
        <v>1</v>
      </c>
      <c r="L11" s="17">
        <v>1</v>
      </c>
      <c r="M11" s="17">
        <v>1</v>
      </c>
      <c r="N11" s="17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>
        <v>1</v>
      </c>
      <c r="U11" s="17">
        <v>1</v>
      </c>
    </row>
    <row r="12" spans="1:21" x14ac:dyDescent="0.2">
      <c r="A12" s="4" t="s">
        <v>102</v>
      </c>
      <c r="B12" s="4" t="s">
        <v>102</v>
      </c>
      <c r="C12" s="52">
        <v>1</v>
      </c>
      <c r="D12" s="22">
        <v>0.95</v>
      </c>
      <c r="E12" s="22">
        <v>0.95</v>
      </c>
      <c r="F12" s="20">
        <v>1</v>
      </c>
      <c r="G12" s="20">
        <v>1</v>
      </c>
      <c r="H12" s="52">
        <v>1</v>
      </c>
      <c r="I12" s="52">
        <v>1</v>
      </c>
      <c r="J12" s="18">
        <v>0.95</v>
      </c>
      <c r="K12" s="17">
        <v>1</v>
      </c>
      <c r="L12" s="17">
        <v>1</v>
      </c>
      <c r="M12" s="17">
        <v>1</v>
      </c>
      <c r="N12" s="17">
        <v>1</v>
      </c>
      <c r="O12" s="20">
        <v>1</v>
      </c>
      <c r="P12" s="20">
        <v>1</v>
      </c>
      <c r="Q12" s="20">
        <v>1</v>
      </c>
      <c r="R12" s="20">
        <v>1</v>
      </c>
      <c r="S12" s="20">
        <v>1</v>
      </c>
      <c r="T12" s="20">
        <v>1</v>
      </c>
      <c r="U12" s="17">
        <v>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E44C-C5D8-43D3-8759-2882EF33E265}">
  <sheetPr>
    <tabColor theme="4"/>
  </sheetPr>
  <dimension ref="A1:U4"/>
  <sheetViews>
    <sheetView zoomScale="55" zoomScaleNormal="55" workbookViewId="0">
      <selection activeCell="H2" sqref="H2"/>
    </sheetView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t="s">
        <v>496</v>
      </c>
      <c r="B2" t="s">
        <v>496</v>
      </c>
      <c r="C2" s="52">
        <v>1</v>
      </c>
      <c r="D2" s="21">
        <v>1</v>
      </c>
      <c r="E2" s="21">
        <v>1</v>
      </c>
      <c r="F2" s="20">
        <v>1</v>
      </c>
      <c r="G2" s="52">
        <v>1</v>
      </c>
      <c r="H2" s="52">
        <v>1</v>
      </c>
      <c r="I2" s="52">
        <v>1</v>
      </c>
      <c r="J2" s="20">
        <v>0.9</v>
      </c>
      <c r="K2" s="17">
        <v>0.9</v>
      </c>
      <c r="L2" s="17">
        <v>0.9</v>
      </c>
      <c r="M2" s="17">
        <v>0.9</v>
      </c>
      <c r="N2" s="17">
        <v>0.9</v>
      </c>
      <c r="O2" s="20">
        <v>0.9</v>
      </c>
      <c r="P2" s="20">
        <v>0.9</v>
      </c>
      <c r="Q2" s="20">
        <v>0.9</v>
      </c>
      <c r="R2" s="20">
        <v>0.9</v>
      </c>
      <c r="S2" s="20">
        <v>0.9</v>
      </c>
      <c r="T2" s="20">
        <v>0.9</v>
      </c>
      <c r="U2" s="17">
        <v>0.9</v>
      </c>
    </row>
    <row r="3" spans="1:21" x14ac:dyDescent="0.2">
      <c r="A3" t="s">
        <v>497</v>
      </c>
      <c r="B3" t="s">
        <v>497</v>
      </c>
      <c r="C3" s="52">
        <v>1</v>
      </c>
      <c r="D3" s="21">
        <v>1</v>
      </c>
      <c r="E3" s="21">
        <v>1</v>
      </c>
      <c r="F3" s="20">
        <v>0.95</v>
      </c>
      <c r="G3" s="52">
        <v>1</v>
      </c>
      <c r="H3" s="52">
        <v>1</v>
      </c>
      <c r="I3" s="52">
        <v>1</v>
      </c>
      <c r="J3" s="20">
        <v>0.95</v>
      </c>
      <c r="K3" s="17">
        <v>0.95</v>
      </c>
      <c r="L3" s="17">
        <v>0.95</v>
      </c>
      <c r="M3" s="17">
        <v>0.95</v>
      </c>
      <c r="N3" s="17">
        <v>0.95</v>
      </c>
      <c r="O3" s="20">
        <v>0.95</v>
      </c>
      <c r="P3" s="20">
        <v>0.95</v>
      </c>
      <c r="Q3" s="20">
        <v>0.95</v>
      </c>
      <c r="R3" s="20">
        <v>0.95</v>
      </c>
      <c r="S3" s="20">
        <v>0.95</v>
      </c>
      <c r="T3" s="20">
        <v>0.95</v>
      </c>
      <c r="U3" s="17">
        <v>0.95</v>
      </c>
    </row>
    <row r="4" spans="1:21" x14ac:dyDescent="0.2">
      <c r="A4" t="s">
        <v>498</v>
      </c>
      <c r="B4" t="s">
        <v>498</v>
      </c>
      <c r="C4" s="52">
        <v>1</v>
      </c>
      <c r="D4" s="21">
        <v>1</v>
      </c>
      <c r="E4" s="21">
        <v>1</v>
      </c>
      <c r="F4" s="20">
        <v>1</v>
      </c>
      <c r="G4" s="52">
        <v>1</v>
      </c>
      <c r="H4" s="52">
        <v>1</v>
      </c>
      <c r="I4" s="52">
        <v>1</v>
      </c>
      <c r="J4" s="20">
        <v>1</v>
      </c>
      <c r="K4" s="17">
        <v>1</v>
      </c>
      <c r="L4" s="17">
        <v>1</v>
      </c>
      <c r="M4" s="17">
        <v>1</v>
      </c>
      <c r="N4" s="17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17">
        <v>1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4E67-DB2E-486C-8345-2ED3A963A65F}">
  <sheetPr>
    <tabColor theme="4"/>
  </sheetPr>
  <dimension ref="A1:U307"/>
  <sheetViews>
    <sheetView zoomScale="55" zoomScaleNormal="55" workbookViewId="0"/>
  </sheetViews>
  <sheetFormatPr defaultRowHeight="14.25" x14ac:dyDescent="0.2"/>
  <cols>
    <col min="1" max="1" width="36.5" customWidth="1"/>
    <col min="2" max="2" width="47.375" customWidth="1"/>
    <col min="8" max="8" width="25.375" customWidth="1"/>
    <col min="11" max="11" width="14.375" customWidth="1"/>
    <col min="12" max="12" width="22" customWidth="1"/>
    <col min="13" max="21" width="14.375" customWidth="1"/>
  </cols>
  <sheetData>
    <row r="1" spans="1:21" ht="15" x14ac:dyDescent="0.2">
      <c r="A1" s="9" t="s">
        <v>18</v>
      </c>
      <c r="B1" s="9" t="s">
        <v>41</v>
      </c>
      <c r="C1" s="10" t="s">
        <v>19</v>
      </c>
      <c r="D1" s="10" t="s">
        <v>42</v>
      </c>
      <c r="E1" s="10" t="s">
        <v>43</v>
      </c>
      <c r="F1" s="10" t="s">
        <v>44</v>
      </c>
      <c r="G1" s="10" t="s">
        <v>29</v>
      </c>
      <c r="H1" s="10" t="s">
        <v>45</v>
      </c>
      <c r="I1" s="10" t="s">
        <v>46</v>
      </c>
      <c r="J1" s="10" t="s">
        <v>0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</row>
    <row r="2" spans="1:21" x14ac:dyDescent="0.2">
      <c r="A2" s="5" t="s">
        <v>117</v>
      </c>
      <c r="B2" s="5" t="s">
        <v>12</v>
      </c>
      <c r="C2" s="52">
        <v>1</v>
      </c>
      <c r="D2" s="53">
        <v>1</v>
      </c>
      <c r="E2" s="22">
        <v>0.82589658999506765</v>
      </c>
      <c r="F2" s="22">
        <v>0.76919433117647262</v>
      </c>
      <c r="G2" s="41">
        <v>0.83604453483987939</v>
      </c>
      <c r="H2" s="52">
        <v>1</v>
      </c>
      <c r="I2" s="52">
        <v>1</v>
      </c>
      <c r="J2" s="22">
        <v>0.71529231106039415</v>
      </c>
      <c r="K2" s="41">
        <v>0.500338769552647</v>
      </c>
      <c r="L2" s="41">
        <v>1.250519890582906E-2</v>
      </c>
      <c r="M2" s="41">
        <v>0.47049476451505307</v>
      </c>
      <c r="N2" s="41">
        <v>0.71998759625183328</v>
      </c>
      <c r="O2" s="41">
        <v>0.71998759625183328</v>
      </c>
      <c r="P2" s="41">
        <v>1.5708308131566056</v>
      </c>
      <c r="Q2" s="41">
        <v>0.12270338468782491</v>
      </c>
      <c r="R2" s="41">
        <v>1.6392990774835288</v>
      </c>
      <c r="S2" s="41">
        <v>0.71998759625183328</v>
      </c>
      <c r="T2" s="41">
        <v>0.71998759625183328</v>
      </c>
      <c r="U2" s="18">
        <v>0</v>
      </c>
    </row>
    <row r="3" spans="1:21" x14ac:dyDescent="0.2">
      <c r="A3" s="5" t="s">
        <v>118</v>
      </c>
      <c r="B3" s="5" t="s">
        <v>13</v>
      </c>
      <c r="C3" s="52">
        <v>1</v>
      </c>
      <c r="D3" s="53">
        <v>1</v>
      </c>
      <c r="E3" s="18">
        <v>0.36654549212034787</v>
      </c>
      <c r="F3" s="18">
        <v>0.76919433117647262</v>
      </c>
      <c r="G3" s="41">
        <v>0.83604453483987939</v>
      </c>
      <c r="H3" s="52">
        <v>1</v>
      </c>
      <c r="I3" s="52">
        <v>1</v>
      </c>
      <c r="J3" s="18">
        <v>0.71529231106039415</v>
      </c>
      <c r="K3" s="41">
        <v>0.500338769552647</v>
      </c>
      <c r="L3" s="41">
        <v>1.250519890582906E-2</v>
      </c>
      <c r="M3" s="41">
        <v>0.47049476451505307</v>
      </c>
      <c r="N3" s="41">
        <v>0.71998759625183328</v>
      </c>
      <c r="O3" s="41">
        <v>0.71998759625183328</v>
      </c>
      <c r="P3" s="41">
        <v>1.5708308131566056</v>
      </c>
      <c r="Q3" s="41">
        <v>0.12270338468782491</v>
      </c>
      <c r="R3" s="41">
        <v>1.6392990774835288</v>
      </c>
      <c r="S3" s="41">
        <v>0.71998759625183328</v>
      </c>
      <c r="T3" s="41">
        <v>0.71998759625183328</v>
      </c>
      <c r="U3" s="18">
        <v>0</v>
      </c>
    </row>
    <row r="4" spans="1:21" x14ac:dyDescent="0.2">
      <c r="A4" s="5" t="s">
        <v>119</v>
      </c>
      <c r="B4" s="5" t="s">
        <v>14</v>
      </c>
      <c r="C4" s="52">
        <v>1</v>
      </c>
      <c r="D4" s="53">
        <v>1</v>
      </c>
      <c r="E4" s="18">
        <v>0</v>
      </c>
      <c r="F4" s="18">
        <v>0.76919433117647262</v>
      </c>
      <c r="G4" s="41">
        <v>0.83604453483987939</v>
      </c>
      <c r="H4" s="52">
        <v>1</v>
      </c>
      <c r="I4" s="52">
        <v>1</v>
      </c>
      <c r="J4" s="18">
        <v>0.71529231106039415</v>
      </c>
      <c r="K4" s="41">
        <v>0.500338769552647</v>
      </c>
      <c r="L4" s="41">
        <v>1.250519890582906E-2</v>
      </c>
      <c r="M4" s="41">
        <v>0.47049476451505307</v>
      </c>
      <c r="N4" s="41">
        <v>0.71998759625183328</v>
      </c>
      <c r="O4" s="41">
        <v>0.71998759625183328</v>
      </c>
      <c r="P4" s="41">
        <v>1.5708308131566056</v>
      </c>
      <c r="Q4" s="41">
        <v>0.12270338468782491</v>
      </c>
      <c r="R4" s="41">
        <v>1.6392990774835288</v>
      </c>
      <c r="S4" s="41">
        <v>0.71998759625183328</v>
      </c>
      <c r="T4" s="41">
        <v>0.71998759625183328</v>
      </c>
      <c r="U4" s="18">
        <v>0</v>
      </c>
    </row>
    <row r="5" spans="1:21" x14ac:dyDescent="0.2">
      <c r="A5" s="5" t="s">
        <v>120</v>
      </c>
      <c r="B5" s="5" t="s">
        <v>15</v>
      </c>
      <c r="C5" s="52">
        <v>1</v>
      </c>
      <c r="D5" s="53">
        <v>1</v>
      </c>
      <c r="E5" s="18">
        <v>0.82589658999506765</v>
      </c>
      <c r="F5" s="18">
        <v>0.76919433117647262</v>
      </c>
      <c r="G5" s="41">
        <v>0.83604453483987939</v>
      </c>
      <c r="H5" s="52">
        <v>1</v>
      </c>
      <c r="I5" s="52">
        <v>1</v>
      </c>
      <c r="J5" s="18">
        <v>0.71529231106039415</v>
      </c>
      <c r="K5" s="41">
        <v>0.500338769552647</v>
      </c>
      <c r="L5" s="41">
        <v>1.250519890582906E-2</v>
      </c>
      <c r="M5" s="41">
        <v>0.47049476451505307</v>
      </c>
      <c r="N5" s="41">
        <v>0.71998759625183328</v>
      </c>
      <c r="O5" s="41">
        <v>0.71998759625183328</v>
      </c>
      <c r="P5" s="41">
        <v>1.5708308131566056</v>
      </c>
      <c r="Q5" s="41">
        <v>0.12270338468782491</v>
      </c>
      <c r="R5" s="41">
        <v>1.6392990774835288</v>
      </c>
      <c r="S5" s="41">
        <v>0.71998759625183328</v>
      </c>
      <c r="T5" s="41">
        <v>0.71998759625183328</v>
      </c>
      <c r="U5" s="18">
        <v>0</v>
      </c>
    </row>
    <row r="6" spans="1:21" x14ac:dyDescent="0.2">
      <c r="A6" s="5" t="s">
        <v>121</v>
      </c>
      <c r="B6" s="5" t="s">
        <v>16</v>
      </c>
      <c r="C6" s="52">
        <v>1</v>
      </c>
      <c r="D6" s="53">
        <v>1</v>
      </c>
      <c r="E6" s="18">
        <v>0.36654549212034787</v>
      </c>
      <c r="F6" s="18">
        <v>0.76919433117647262</v>
      </c>
      <c r="G6" s="41">
        <v>0.8360502186146348</v>
      </c>
      <c r="H6" s="52">
        <v>1</v>
      </c>
      <c r="I6" s="52">
        <v>1</v>
      </c>
      <c r="J6" s="18">
        <v>0.71529231106039415</v>
      </c>
      <c r="K6" s="41">
        <v>0.50014694048540786</v>
      </c>
      <c r="L6" s="41">
        <v>1.2486977566293257E-2</v>
      </c>
      <c r="M6" s="41">
        <v>0.47107246045427115</v>
      </c>
      <c r="N6" s="41">
        <v>0.71989840447374642</v>
      </c>
      <c r="O6" s="41">
        <v>0.71989840447374642</v>
      </c>
      <c r="P6" s="41">
        <v>1.5712097098064224</v>
      </c>
      <c r="Q6" s="41">
        <v>0.12274405367120277</v>
      </c>
      <c r="R6" s="41">
        <v>1.6397168116378642</v>
      </c>
      <c r="S6" s="41">
        <v>0.71989840447374642</v>
      </c>
      <c r="T6" s="41">
        <v>0.71989840447374642</v>
      </c>
      <c r="U6" s="18">
        <v>0</v>
      </c>
    </row>
    <row r="7" spans="1:21" x14ac:dyDescent="0.2">
      <c r="A7" s="5" t="s">
        <v>122</v>
      </c>
      <c r="B7" s="5" t="s">
        <v>17</v>
      </c>
      <c r="C7" s="52">
        <v>1</v>
      </c>
      <c r="D7" s="53">
        <v>1</v>
      </c>
      <c r="E7" s="18">
        <v>0</v>
      </c>
      <c r="F7" s="18">
        <v>0.76919433117647262</v>
      </c>
      <c r="G7" s="41">
        <v>0.83604453483987939</v>
      </c>
      <c r="H7" s="52">
        <v>1</v>
      </c>
      <c r="I7" s="52">
        <v>1</v>
      </c>
      <c r="J7" s="18">
        <v>0.71529231106039415</v>
      </c>
      <c r="K7" s="41">
        <v>0.500338769552647</v>
      </c>
      <c r="L7" s="41">
        <v>1.250519890582906E-2</v>
      </c>
      <c r="M7" s="41">
        <v>0.47049476451505307</v>
      </c>
      <c r="N7" s="41">
        <v>0.71998759625183328</v>
      </c>
      <c r="O7" s="41">
        <v>0.71998759625183328</v>
      </c>
      <c r="P7" s="41">
        <v>1.5708308131566056</v>
      </c>
      <c r="Q7" s="41">
        <v>0.12270338468782491</v>
      </c>
      <c r="R7" s="41">
        <v>1.6392990774835288</v>
      </c>
      <c r="S7" s="41">
        <v>0.71998759625183328</v>
      </c>
      <c r="T7" s="41">
        <v>0.71998759625183328</v>
      </c>
      <c r="U7" s="18">
        <v>0</v>
      </c>
    </row>
    <row r="8" spans="1:21" x14ac:dyDescent="0.2">
      <c r="A8" s="5" t="s">
        <v>123</v>
      </c>
      <c r="B8" s="5" t="s">
        <v>12</v>
      </c>
      <c r="C8" s="52">
        <v>1</v>
      </c>
      <c r="D8" s="53">
        <v>1</v>
      </c>
      <c r="E8" s="18">
        <v>0</v>
      </c>
      <c r="F8" s="18">
        <v>0.79453079981106456</v>
      </c>
      <c r="G8" s="41">
        <v>0.78507090321665596</v>
      </c>
      <c r="H8" s="52">
        <v>1</v>
      </c>
      <c r="I8" s="52">
        <v>1</v>
      </c>
      <c r="J8" s="18">
        <v>0.54134193246357687</v>
      </c>
      <c r="K8" s="41">
        <v>0.37173472615482217</v>
      </c>
      <c r="L8" s="41">
        <v>0.57030300818015489</v>
      </c>
      <c r="M8" s="41">
        <v>0.74622844436636093</v>
      </c>
      <c r="N8" s="41">
        <v>0.63088126599631145</v>
      </c>
      <c r="O8" s="41">
        <v>0.63088126599631145</v>
      </c>
      <c r="P8" s="41">
        <v>2.1042690531259094</v>
      </c>
      <c r="Q8" s="41">
        <v>2.3911683866000382</v>
      </c>
      <c r="R8" s="41">
        <v>0.89727730776355386</v>
      </c>
      <c r="S8" s="41">
        <v>0.63088126599631145</v>
      </c>
      <c r="T8" s="41">
        <v>0.63088126599631145</v>
      </c>
      <c r="U8" s="18">
        <v>0.91123111953293034</v>
      </c>
    </row>
    <row r="9" spans="1:21" x14ac:dyDescent="0.2">
      <c r="A9" s="5" t="s">
        <v>124</v>
      </c>
      <c r="B9" s="5" t="s">
        <v>13</v>
      </c>
      <c r="C9" s="52">
        <v>1</v>
      </c>
      <c r="D9" s="53">
        <v>1</v>
      </c>
      <c r="E9" s="18">
        <v>0</v>
      </c>
      <c r="F9" s="18">
        <v>0.79453079981106456</v>
      </c>
      <c r="G9" s="41">
        <v>0.77302585872890994</v>
      </c>
      <c r="H9" s="52">
        <v>1</v>
      </c>
      <c r="I9" s="52">
        <v>1</v>
      </c>
      <c r="J9" s="18">
        <v>0.54134193246357687</v>
      </c>
      <c r="K9" s="41">
        <v>0.43018771649203608</v>
      </c>
      <c r="L9" s="41">
        <v>0.75</v>
      </c>
      <c r="M9" s="41">
        <v>1</v>
      </c>
      <c r="N9" s="41">
        <v>0.62963414136258422</v>
      </c>
      <c r="O9" s="41">
        <v>0.62963414136258422</v>
      </c>
      <c r="P9" s="41">
        <v>2.8504844366592099</v>
      </c>
      <c r="Q9" s="41">
        <v>2</v>
      </c>
      <c r="R9" s="41">
        <v>0.7</v>
      </c>
      <c r="S9" s="41">
        <v>0.62963414136258422</v>
      </c>
      <c r="T9" s="41">
        <v>0.62963414136258422</v>
      </c>
      <c r="U9" s="18">
        <v>0.91123111953293034</v>
      </c>
    </row>
    <row r="10" spans="1:21" x14ac:dyDescent="0.2">
      <c r="A10" s="5" t="s">
        <v>125</v>
      </c>
      <c r="B10" s="5" t="s">
        <v>14</v>
      </c>
      <c r="C10" s="52">
        <v>1</v>
      </c>
      <c r="D10" s="53">
        <v>1</v>
      </c>
      <c r="E10" s="18">
        <v>9.38692529788877E-3</v>
      </c>
      <c r="F10" s="18">
        <v>0.79453079981106456</v>
      </c>
      <c r="G10" s="41">
        <v>0.77302585872890994</v>
      </c>
      <c r="H10" s="52">
        <v>1</v>
      </c>
      <c r="I10" s="52">
        <v>1</v>
      </c>
      <c r="J10" s="18">
        <v>0.54134193246357687</v>
      </c>
      <c r="K10" s="41">
        <v>0.43018771649203608</v>
      </c>
      <c r="L10" s="41">
        <v>0.75</v>
      </c>
      <c r="M10" s="41">
        <v>1</v>
      </c>
      <c r="N10" s="41">
        <v>0.62963414136258422</v>
      </c>
      <c r="O10" s="41">
        <v>0.62963414136258422</v>
      </c>
      <c r="P10" s="41">
        <v>2.8504844366592099</v>
      </c>
      <c r="Q10" s="41">
        <v>2</v>
      </c>
      <c r="R10" s="41">
        <v>0.7</v>
      </c>
      <c r="S10" s="41">
        <v>0.62963414136258422</v>
      </c>
      <c r="T10" s="41">
        <v>0.62963414136258422</v>
      </c>
      <c r="U10" s="18">
        <v>0.91123111953293034</v>
      </c>
    </row>
    <row r="11" spans="1:21" x14ac:dyDescent="0.2">
      <c r="A11" s="5" t="s">
        <v>126</v>
      </c>
      <c r="B11" s="5" t="s">
        <v>15</v>
      </c>
      <c r="C11" s="52">
        <v>1</v>
      </c>
      <c r="D11" s="53">
        <v>1</v>
      </c>
      <c r="E11" s="18">
        <v>0</v>
      </c>
      <c r="F11" s="18">
        <v>0.79453079981106456</v>
      </c>
      <c r="G11" s="41">
        <v>0.48758782118107713</v>
      </c>
      <c r="H11" s="52">
        <v>1</v>
      </c>
      <c r="I11" s="52">
        <v>1</v>
      </c>
      <c r="J11" s="18">
        <v>0.54134193246357687</v>
      </c>
      <c r="K11" s="41">
        <v>0.56445686236310499</v>
      </c>
      <c r="L11" s="41">
        <v>1.1646312999057689</v>
      </c>
      <c r="M11" s="41">
        <v>0.9851427741808545</v>
      </c>
      <c r="N11" s="41">
        <v>0.75755996985311824</v>
      </c>
      <c r="O11" s="41">
        <v>0.75755996985311824</v>
      </c>
      <c r="P11" s="41">
        <v>2.3790506986506319</v>
      </c>
      <c r="Q11" s="41">
        <v>1.8626598162107442</v>
      </c>
      <c r="R11" s="41">
        <v>0.50163503195141768</v>
      </c>
      <c r="S11" s="41">
        <v>0.75755996985311824</v>
      </c>
      <c r="T11" s="41">
        <v>0.75755996985311824</v>
      </c>
      <c r="U11" s="18">
        <v>0.91123111953293034</v>
      </c>
    </row>
    <row r="12" spans="1:21" x14ac:dyDescent="0.2">
      <c r="A12" s="5" t="s">
        <v>127</v>
      </c>
      <c r="B12" s="5" t="s">
        <v>16</v>
      </c>
      <c r="C12" s="52">
        <v>1</v>
      </c>
      <c r="D12" s="53">
        <v>1</v>
      </c>
      <c r="E12" s="18">
        <v>0</v>
      </c>
      <c r="F12" s="18">
        <v>0.79453079981106456</v>
      </c>
      <c r="G12" s="41">
        <v>0.90140468435527099</v>
      </c>
      <c r="H12" s="52">
        <v>1</v>
      </c>
      <c r="I12" s="52">
        <v>1</v>
      </c>
      <c r="J12" s="18">
        <v>0.54134193246357687</v>
      </c>
      <c r="K12" s="41">
        <v>0.38779912864910221</v>
      </c>
      <c r="L12" s="41">
        <v>0.51939467681000673</v>
      </c>
      <c r="M12" s="41">
        <v>1.2198323364824366</v>
      </c>
      <c r="N12" s="41">
        <v>0.66900825103153527</v>
      </c>
      <c r="O12" s="41">
        <v>0.66900825103153527</v>
      </c>
      <c r="P12" s="41">
        <v>3.3037919641262721</v>
      </c>
      <c r="Q12" s="41">
        <v>1.8416632401778514</v>
      </c>
      <c r="R12" s="41">
        <v>0.69016038233747268</v>
      </c>
      <c r="S12" s="41">
        <v>0.66900825103153527</v>
      </c>
      <c r="T12" s="41">
        <v>0.66900825103153527</v>
      </c>
      <c r="U12" s="18">
        <v>0.91123111953293034</v>
      </c>
    </row>
    <row r="13" spans="1:21" x14ac:dyDescent="0.2">
      <c r="A13" s="5" t="s">
        <v>128</v>
      </c>
      <c r="B13" s="5" t="s">
        <v>17</v>
      </c>
      <c r="C13" s="52">
        <v>1</v>
      </c>
      <c r="D13" s="53">
        <v>1</v>
      </c>
      <c r="E13" s="18">
        <v>9.38692529788877E-3</v>
      </c>
      <c r="F13" s="18">
        <v>0.79453079981106456</v>
      </c>
      <c r="G13" s="41">
        <v>0.68684572191832394</v>
      </c>
      <c r="H13" s="52">
        <v>1</v>
      </c>
      <c r="I13" s="52">
        <v>1</v>
      </c>
      <c r="J13" s="18">
        <v>0.54134193246357687</v>
      </c>
      <c r="K13" s="41">
        <v>0.51505898693074148</v>
      </c>
      <c r="L13" s="41">
        <v>1.1013778992440768</v>
      </c>
      <c r="M13" s="41">
        <v>1.0067201089544859</v>
      </c>
      <c r="N13" s="41">
        <v>0.55814644057986018</v>
      </c>
      <c r="O13" s="41">
        <v>0.55814644057986018</v>
      </c>
      <c r="P13" s="41">
        <v>3.2627788160130606</v>
      </c>
      <c r="Q13" s="41">
        <v>1.8481917094561253</v>
      </c>
      <c r="R13" s="41">
        <v>0.54594951232213895</v>
      </c>
      <c r="S13" s="41">
        <v>0.55814644057986018</v>
      </c>
      <c r="T13" s="41">
        <v>0.55814644057986018</v>
      </c>
      <c r="U13" s="18">
        <v>0.91123111953293034</v>
      </c>
    </row>
    <row r="14" spans="1:21" x14ac:dyDescent="0.2">
      <c r="A14" s="5" t="s">
        <v>129</v>
      </c>
      <c r="B14" s="5" t="s">
        <v>12</v>
      </c>
      <c r="C14" s="52">
        <v>1</v>
      </c>
      <c r="D14" s="53">
        <v>1</v>
      </c>
      <c r="E14" s="18">
        <v>1</v>
      </c>
      <c r="F14" s="18">
        <v>0.71586899202212606</v>
      </c>
      <c r="G14" s="41">
        <v>0.28039531367021364</v>
      </c>
      <c r="H14" s="52">
        <v>1</v>
      </c>
      <c r="I14" s="52">
        <v>1</v>
      </c>
      <c r="J14" s="18">
        <v>0.43216037580350164</v>
      </c>
      <c r="K14" s="41">
        <v>0.500338769552647</v>
      </c>
      <c r="L14" s="41">
        <v>10.125</v>
      </c>
      <c r="M14" s="41">
        <v>2.7469146362219847</v>
      </c>
      <c r="N14" s="41">
        <v>0.8</v>
      </c>
      <c r="O14" s="41">
        <v>7.8303659579503222</v>
      </c>
      <c r="P14" s="41">
        <v>3.626500197185531E-2</v>
      </c>
      <c r="Q14" s="41">
        <v>0.13237054890004793</v>
      </c>
      <c r="R14" s="41">
        <v>0.89254933811882864</v>
      </c>
      <c r="S14" s="41">
        <v>7.8303659579503222</v>
      </c>
      <c r="T14" s="41">
        <v>7.8303659579503222</v>
      </c>
      <c r="U14" s="18">
        <v>1.9097865053101084</v>
      </c>
    </row>
    <row r="15" spans="1:21" x14ac:dyDescent="0.2">
      <c r="A15" s="5" t="s">
        <v>130</v>
      </c>
      <c r="B15" s="5" t="s">
        <v>13</v>
      </c>
      <c r="C15" s="52">
        <v>1</v>
      </c>
      <c r="D15" s="53">
        <v>1</v>
      </c>
      <c r="E15" s="18">
        <v>0.30084696495962038</v>
      </c>
      <c r="F15" s="18">
        <v>0.71586899202212606</v>
      </c>
      <c r="G15" s="41">
        <v>0.28039531367021364</v>
      </c>
      <c r="H15" s="52">
        <v>1</v>
      </c>
      <c r="I15" s="52">
        <v>1</v>
      </c>
      <c r="J15" s="18">
        <v>0.43216037580350164</v>
      </c>
      <c r="K15" s="41">
        <v>0.500338769552647</v>
      </c>
      <c r="L15" s="41">
        <v>10.125</v>
      </c>
      <c r="M15" s="41">
        <v>2.7469146362219847</v>
      </c>
      <c r="N15" s="41">
        <v>0.8</v>
      </c>
      <c r="O15" s="41">
        <v>7.8303659579503222</v>
      </c>
      <c r="P15" s="41">
        <v>3.626500197185531E-2</v>
      </c>
      <c r="Q15" s="41">
        <v>0.13237054890004793</v>
      </c>
      <c r="R15" s="41">
        <v>0.89254933811882864</v>
      </c>
      <c r="S15" s="41">
        <v>7.8303659579503222</v>
      </c>
      <c r="T15" s="41">
        <v>7.8303659579503222</v>
      </c>
      <c r="U15" s="18">
        <v>1.9097865053101084</v>
      </c>
    </row>
    <row r="16" spans="1:21" x14ac:dyDescent="0.2">
      <c r="A16" s="5" t="s">
        <v>131</v>
      </c>
      <c r="B16" s="5" t="s">
        <v>14</v>
      </c>
      <c r="C16" s="52">
        <v>1</v>
      </c>
      <c r="D16" s="53">
        <v>1</v>
      </c>
      <c r="E16" s="18">
        <v>3.8392678842075055E-2</v>
      </c>
      <c r="F16" s="18">
        <v>0.71586899202212606</v>
      </c>
      <c r="G16" s="41">
        <v>0.28039531367021364</v>
      </c>
      <c r="H16" s="52">
        <v>1</v>
      </c>
      <c r="I16" s="52">
        <v>1</v>
      </c>
      <c r="J16" s="18">
        <v>0.43216037580350164</v>
      </c>
      <c r="K16" s="41">
        <v>0.500338769552647</v>
      </c>
      <c r="L16" s="41">
        <v>10.125</v>
      </c>
      <c r="M16" s="41">
        <v>2.7469146362219847</v>
      </c>
      <c r="N16" s="41">
        <v>0.8</v>
      </c>
      <c r="O16" s="41">
        <v>7.8303659579503222</v>
      </c>
      <c r="P16" s="41">
        <v>3.626500197185531E-2</v>
      </c>
      <c r="Q16" s="41">
        <v>0.13237054890004793</v>
      </c>
      <c r="R16" s="41">
        <v>0.89254933811882864</v>
      </c>
      <c r="S16" s="41">
        <v>7.8303659579503222</v>
      </c>
      <c r="T16" s="41">
        <v>7.8303659579503222</v>
      </c>
      <c r="U16" s="18">
        <v>1.9097865053101084</v>
      </c>
    </row>
    <row r="17" spans="1:21" x14ac:dyDescent="0.2">
      <c r="A17" s="5" t="s">
        <v>132</v>
      </c>
      <c r="B17" s="5" t="s">
        <v>15</v>
      </c>
      <c r="C17" s="52">
        <v>1</v>
      </c>
      <c r="D17" s="53">
        <v>1</v>
      </c>
      <c r="E17" s="18">
        <v>1</v>
      </c>
      <c r="F17" s="18">
        <v>0.71586899202212606</v>
      </c>
      <c r="G17" s="41">
        <v>0.15521114057621127</v>
      </c>
      <c r="H17" s="52">
        <v>1</v>
      </c>
      <c r="I17" s="52">
        <v>1</v>
      </c>
      <c r="J17" s="18">
        <v>0.43216037580350164</v>
      </c>
      <c r="K17" s="41">
        <v>0.51307015980455484</v>
      </c>
      <c r="L17" s="41">
        <v>10.125</v>
      </c>
      <c r="M17" s="41">
        <v>2.7469146362219847</v>
      </c>
      <c r="N17" s="41">
        <v>0.78948028934233705</v>
      </c>
      <c r="O17" s="41">
        <v>7.7273994776737585</v>
      </c>
      <c r="P17" s="41">
        <v>3.626500197185531E-2</v>
      </c>
      <c r="Q17" s="41">
        <v>0.13237054890004793</v>
      </c>
      <c r="R17" s="41">
        <v>0.91920875815678371</v>
      </c>
      <c r="S17" s="41">
        <v>7.7273994776737585</v>
      </c>
      <c r="T17" s="41">
        <v>7.7273994776737585</v>
      </c>
      <c r="U17" s="18">
        <v>1.9097865053101084</v>
      </c>
    </row>
    <row r="18" spans="1:21" x14ac:dyDescent="0.2">
      <c r="A18" s="5" t="s">
        <v>133</v>
      </c>
      <c r="B18" s="5" t="s">
        <v>16</v>
      </c>
      <c r="C18" s="52">
        <v>1</v>
      </c>
      <c r="D18" s="53">
        <v>1</v>
      </c>
      <c r="E18" s="18">
        <v>0.30084696495962038</v>
      </c>
      <c r="F18" s="18">
        <v>0.71586899202212606</v>
      </c>
      <c r="G18" s="41">
        <v>0.28039531367021364</v>
      </c>
      <c r="H18" s="52">
        <v>1</v>
      </c>
      <c r="I18" s="52">
        <v>1</v>
      </c>
      <c r="J18" s="18">
        <v>0.43216037580350164</v>
      </c>
      <c r="K18" s="41">
        <v>0.500338769552647</v>
      </c>
      <c r="L18" s="41">
        <v>10.125</v>
      </c>
      <c r="M18" s="41">
        <v>2.7469146362219847</v>
      </c>
      <c r="N18" s="41">
        <v>0.8</v>
      </c>
      <c r="O18" s="41">
        <v>7.8303659579503222</v>
      </c>
      <c r="P18" s="41">
        <v>3.626500197185531E-2</v>
      </c>
      <c r="Q18" s="41">
        <v>0.13237054890004793</v>
      </c>
      <c r="R18" s="41">
        <v>0.89254933811882864</v>
      </c>
      <c r="S18" s="41">
        <v>7.8303659579503222</v>
      </c>
      <c r="T18" s="41">
        <v>7.8303659579503222</v>
      </c>
      <c r="U18" s="18">
        <v>1.9097865053101084</v>
      </c>
    </row>
    <row r="19" spans="1:21" x14ac:dyDescent="0.2">
      <c r="A19" s="5" t="s">
        <v>134</v>
      </c>
      <c r="B19" s="5" t="s">
        <v>17</v>
      </c>
      <c r="C19" s="52">
        <v>1</v>
      </c>
      <c r="D19" s="53">
        <v>1</v>
      </c>
      <c r="E19" s="18">
        <v>3.8392678842075055E-2</v>
      </c>
      <c r="F19" s="18">
        <v>0.71586899202212606</v>
      </c>
      <c r="G19" s="41">
        <v>0.1985209008664493</v>
      </c>
      <c r="H19" s="52">
        <v>1</v>
      </c>
      <c r="I19" s="52">
        <v>1</v>
      </c>
      <c r="J19" s="18">
        <v>0.43216037580350164</v>
      </c>
      <c r="K19" s="41">
        <v>0.47215149996682854</v>
      </c>
      <c r="L19" s="41">
        <v>10.125</v>
      </c>
      <c r="M19" s="41">
        <v>2.7469146362219847</v>
      </c>
      <c r="N19" s="41">
        <v>0.86315068892249291</v>
      </c>
      <c r="O19" s="41">
        <v>8.4484822139000695</v>
      </c>
      <c r="P19" s="41">
        <v>3.626500197185531E-2</v>
      </c>
      <c r="Q19" s="41">
        <v>0.13237054890004793</v>
      </c>
      <c r="R19" s="41">
        <v>0.86498763099070475</v>
      </c>
      <c r="S19" s="41">
        <v>8.4484822139000695</v>
      </c>
      <c r="T19" s="41">
        <v>8.4484822139000695</v>
      </c>
      <c r="U19" s="18">
        <v>1.9097865053101084</v>
      </c>
    </row>
    <row r="20" spans="1:21" x14ac:dyDescent="0.2">
      <c r="A20" s="5" t="s">
        <v>135</v>
      </c>
      <c r="B20" s="5" t="s">
        <v>12</v>
      </c>
      <c r="C20" s="52">
        <v>1</v>
      </c>
      <c r="D20" s="53">
        <v>1</v>
      </c>
      <c r="E20" s="18">
        <v>0</v>
      </c>
      <c r="F20" s="18">
        <v>0.64184033090853221</v>
      </c>
      <c r="G20" s="41">
        <v>0.94759926180727594</v>
      </c>
      <c r="H20" s="52">
        <v>1</v>
      </c>
      <c r="I20" s="52">
        <v>1</v>
      </c>
      <c r="J20" s="18">
        <v>3.7553151673839973</v>
      </c>
      <c r="K20" s="41">
        <v>0.500338769552647</v>
      </c>
      <c r="L20" s="41">
        <v>0.50184648255390507</v>
      </c>
      <c r="M20" s="41">
        <v>1.1599125550719491</v>
      </c>
      <c r="N20" s="41">
        <v>0.61461674623009255</v>
      </c>
      <c r="O20" s="41">
        <v>0.61461674623009255</v>
      </c>
      <c r="P20" s="41">
        <v>0.86046474699211128</v>
      </c>
      <c r="Q20" s="41">
        <v>0.32880865152380934</v>
      </c>
      <c r="R20" s="41">
        <v>0.59401714131541983</v>
      </c>
      <c r="S20" s="41">
        <v>0.61461674623009255</v>
      </c>
      <c r="T20" s="41">
        <v>0.61461674623009255</v>
      </c>
      <c r="U20" s="18">
        <v>0.21436557839864909</v>
      </c>
    </row>
    <row r="21" spans="1:21" x14ac:dyDescent="0.2">
      <c r="A21" s="5" t="s">
        <v>136</v>
      </c>
      <c r="B21" s="5" t="s">
        <v>13</v>
      </c>
      <c r="C21" s="52">
        <v>1</v>
      </c>
      <c r="D21" s="53">
        <v>1</v>
      </c>
      <c r="E21" s="18">
        <v>0</v>
      </c>
      <c r="F21" s="18">
        <v>0.64184033090853221</v>
      </c>
      <c r="G21" s="41">
        <v>0.94759926180727594</v>
      </c>
      <c r="H21" s="52">
        <v>1</v>
      </c>
      <c r="I21" s="52">
        <v>1</v>
      </c>
      <c r="J21" s="18">
        <v>3.7553151673839973</v>
      </c>
      <c r="K21" s="41">
        <v>0.500338769552647</v>
      </c>
      <c r="L21" s="41">
        <v>0.50184648255390507</v>
      </c>
      <c r="M21" s="41">
        <v>1.1599125550719491</v>
      </c>
      <c r="N21" s="41">
        <v>0.61461674623009255</v>
      </c>
      <c r="O21" s="41">
        <v>0.61461674623009255</v>
      </c>
      <c r="P21" s="41">
        <v>0.86046474699211128</v>
      </c>
      <c r="Q21" s="41">
        <v>0.32880865152380934</v>
      </c>
      <c r="R21" s="41">
        <v>0.59401714131541983</v>
      </c>
      <c r="S21" s="41">
        <v>0.61461674623009255</v>
      </c>
      <c r="T21" s="41">
        <v>0.61461674623009255</v>
      </c>
      <c r="U21" s="18">
        <v>0.21436557839864909</v>
      </c>
    </row>
    <row r="22" spans="1:21" x14ac:dyDescent="0.2">
      <c r="A22" s="5" t="s">
        <v>137</v>
      </c>
      <c r="B22" s="5" t="s">
        <v>14</v>
      </c>
      <c r="C22" s="52">
        <v>1</v>
      </c>
      <c r="D22" s="53">
        <v>1</v>
      </c>
      <c r="E22" s="18">
        <v>1.6951822577298273E-2</v>
      </c>
      <c r="F22" s="18">
        <v>0.64184033090853221</v>
      </c>
      <c r="G22" s="41">
        <v>0.94759926180727594</v>
      </c>
      <c r="H22" s="52">
        <v>1</v>
      </c>
      <c r="I22" s="52">
        <v>1</v>
      </c>
      <c r="J22" s="18">
        <v>3.7553151673839973</v>
      </c>
      <c r="K22" s="41">
        <v>0.500338769552647</v>
      </c>
      <c r="L22" s="41">
        <v>0.50184648255390507</v>
      </c>
      <c r="M22" s="41">
        <v>1.1599125550719491</v>
      </c>
      <c r="N22" s="41">
        <v>0.61461674623009255</v>
      </c>
      <c r="O22" s="41">
        <v>0.61461674623009255</v>
      </c>
      <c r="P22" s="41">
        <v>0.86046474699211128</v>
      </c>
      <c r="Q22" s="41">
        <v>0.32880865152380934</v>
      </c>
      <c r="R22" s="41">
        <v>0.59401714131541983</v>
      </c>
      <c r="S22" s="41">
        <v>0.61461674623009255</v>
      </c>
      <c r="T22" s="41">
        <v>0.61461674623009255</v>
      </c>
      <c r="U22" s="18">
        <v>0.21436557839864909</v>
      </c>
    </row>
    <row r="23" spans="1:21" x14ac:dyDescent="0.2">
      <c r="A23" s="5" t="s">
        <v>138</v>
      </c>
      <c r="B23" s="5" t="s">
        <v>15</v>
      </c>
      <c r="C23" s="52">
        <v>1</v>
      </c>
      <c r="D23" s="53">
        <v>1</v>
      </c>
      <c r="E23" s="18">
        <v>0</v>
      </c>
      <c r="F23" s="18">
        <v>0.64184033090853221</v>
      </c>
      <c r="G23" s="41">
        <v>0.94759926180727594</v>
      </c>
      <c r="H23" s="52">
        <v>1</v>
      </c>
      <c r="I23" s="52">
        <v>1</v>
      </c>
      <c r="J23" s="18">
        <v>3.7553151673839973</v>
      </c>
      <c r="K23" s="41">
        <v>0.500338769552647</v>
      </c>
      <c r="L23" s="41">
        <v>0.50184648255390507</v>
      </c>
      <c r="M23" s="41">
        <v>1.1599125550719491</v>
      </c>
      <c r="N23" s="41">
        <v>0.61461674623009255</v>
      </c>
      <c r="O23" s="41">
        <v>0.61461674623009255</v>
      </c>
      <c r="P23" s="41">
        <v>0.86046474699211128</v>
      </c>
      <c r="Q23" s="41">
        <v>0.32880865152380934</v>
      </c>
      <c r="R23" s="41">
        <v>0.59401714131541983</v>
      </c>
      <c r="S23" s="41">
        <v>0.61461674623009255</v>
      </c>
      <c r="T23" s="41">
        <v>0.61461674623009255</v>
      </c>
      <c r="U23" s="18">
        <v>0.21436557839864909</v>
      </c>
    </row>
    <row r="24" spans="1:21" x14ac:dyDescent="0.2">
      <c r="A24" s="5" t="s">
        <v>139</v>
      </c>
      <c r="B24" s="5" t="s">
        <v>16</v>
      </c>
      <c r="C24" s="52">
        <v>1</v>
      </c>
      <c r="D24" s="53">
        <v>1</v>
      </c>
      <c r="E24" s="18">
        <v>0</v>
      </c>
      <c r="F24" s="18">
        <v>0.64184033090853221</v>
      </c>
      <c r="G24" s="41">
        <v>0.94759926180727594</v>
      </c>
      <c r="H24" s="52">
        <v>1</v>
      </c>
      <c r="I24" s="52">
        <v>1</v>
      </c>
      <c r="J24" s="18">
        <v>3.7553151673839973</v>
      </c>
      <c r="K24" s="41">
        <v>0.500338769552647</v>
      </c>
      <c r="L24" s="41">
        <v>0.50184648255390507</v>
      </c>
      <c r="M24" s="41">
        <v>1.1599125550719491</v>
      </c>
      <c r="N24" s="41">
        <v>0.61461674623009255</v>
      </c>
      <c r="O24" s="41">
        <v>0.61461674623009255</v>
      </c>
      <c r="P24" s="41">
        <v>0.86046474699211128</v>
      </c>
      <c r="Q24" s="41">
        <v>0.32880865152380934</v>
      </c>
      <c r="R24" s="41">
        <v>0.59401714131541983</v>
      </c>
      <c r="S24" s="41">
        <v>0.61461674623009255</v>
      </c>
      <c r="T24" s="41">
        <v>0.61461674623009255</v>
      </c>
      <c r="U24" s="18">
        <v>0.21436557839864909</v>
      </c>
    </row>
    <row r="25" spans="1:21" x14ac:dyDescent="0.2">
      <c r="A25" s="5" t="s">
        <v>140</v>
      </c>
      <c r="B25" s="5" t="s">
        <v>17</v>
      </c>
      <c r="C25" s="52">
        <v>1</v>
      </c>
      <c r="D25" s="53">
        <v>1</v>
      </c>
      <c r="E25" s="18">
        <v>1.6951822577298273E-2</v>
      </c>
      <c r="F25" s="18">
        <v>0.64184033090853221</v>
      </c>
      <c r="G25" s="41">
        <v>0.94748976191445688</v>
      </c>
      <c r="H25" s="52">
        <v>1</v>
      </c>
      <c r="I25" s="52">
        <v>1</v>
      </c>
      <c r="J25" s="18">
        <v>3.7553151673839973</v>
      </c>
      <c r="K25" s="41">
        <v>0.49966724314605876</v>
      </c>
      <c r="L25" s="41">
        <v>0.50476127851941111</v>
      </c>
      <c r="M25" s="41">
        <v>1.1605656531039696</v>
      </c>
      <c r="N25" s="41">
        <v>0.61495641272362656</v>
      </c>
      <c r="O25" s="41">
        <v>0.61495641272362656</v>
      </c>
      <c r="P25" s="41">
        <v>0.86004254774088851</v>
      </c>
      <c r="Q25" s="41">
        <v>0.32844815982508979</v>
      </c>
      <c r="R25" s="41">
        <v>0.59502172273055698</v>
      </c>
      <c r="S25" s="41">
        <v>0.61495641272362656</v>
      </c>
      <c r="T25" s="41">
        <v>0.61495641272362656</v>
      </c>
      <c r="U25" s="18">
        <v>0.21436557839864909</v>
      </c>
    </row>
    <row r="26" spans="1:21" x14ac:dyDescent="0.2">
      <c r="A26" s="5" t="s">
        <v>141</v>
      </c>
      <c r="B26" s="5" t="s">
        <v>12</v>
      </c>
      <c r="C26" s="52">
        <v>1</v>
      </c>
      <c r="D26" s="53">
        <v>1</v>
      </c>
      <c r="E26" s="18">
        <v>1.2379647295123914</v>
      </c>
      <c r="F26" s="18">
        <v>0.44954803956688294</v>
      </c>
      <c r="G26" s="41">
        <v>1.1315572561961693</v>
      </c>
      <c r="H26" s="52">
        <v>1</v>
      </c>
      <c r="I26" s="52">
        <v>1</v>
      </c>
      <c r="J26" s="18">
        <v>12.362619455769758</v>
      </c>
      <c r="K26" s="41">
        <v>0.500338769552647</v>
      </c>
      <c r="L26" s="41">
        <v>3.7343112931644294E-2</v>
      </c>
      <c r="M26" s="41">
        <v>0.44492150469297409</v>
      </c>
      <c r="N26" s="41">
        <v>0.67184341318429164</v>
      </c>
      <c r="O26" s="41">
        <v>0.67184341318429164</v>
      </c>
      <c r="P26" s="41">
        <v>2.5601153276828232</v>
      </c>
      <c r="Q26" s="41">
        <v>0.13727884754427563</v>
      </c>
      <c r="R26" s="41">
        <v>0.81005205166073913</v>
      </c>
      <c r="S26" s="41">
        <v>0.67184341318429164</v>
      </c>
      <c r="T26" s="41">
        <v>0.67184341318429164</v>
      </c>
      <c r="U26" s="18">
        <v>1.1028446422632261</v>
      </c>
    </row>
    <row r="27" spans="1:21" x14ac:dyDescent="0.2">
      <c r="A27" s="5" t="s">
        <v>142</v>
      </c>
      <c r="B27" s="5" t="s">
        <v>13</v>
      </c>
      <c r="C27" s="52">
        <v>1</v>
      </c>
      <c r="D27" s="53">
        <v>1</v>
      </c>
      <c r="E27" s="18">
        <v>0.69153840203125483</v>
      </c>
      <c r="F27" s="18">
        <v>0.44954803956688294</v>
      </c>
      <c r="G27" s="41">
        <v>1.1315572561961693</v>
      </c>
      <c r="H27" s="52">
        <v>1</v>
      </c>
      <c r="I27" s="52">
        <v>1</v>
      </c>
      <c r="J27" s="18">
        <v>12.362619455769758</v>
      </c>
      <c r="K27" s="41">
        <v>0.500338769552647</v>
      </c>
      <c r="L27" s="41">
        <v>3.7343112931644294E-2</v>
      </c>
      <c r="M27" s="41">
        <v>0.44492150469297409</v>
      </c>
      <c r="N27" s="41">
        <v>0.67184341318429164</v>
      </c>
      <c r="O27" s="41">
        <v>0.67184341318429164</v>
      </c>
      <c r="P27" s="41">
        <v>2.5601153276828232</v>
      </c>
      <c r="Q27" s="41">
        <v>0.13727884754427563</v>
      </c>
      <c r="R27" s="41">
        <v>0.81005205166073913</v>
      </c>
      <c r="S27" s="41">
        <v>0.67184341318429164</v>
      </c>
      <c r="T27" s="41">
        <v>0.67184341318429164</v>
      </c>
      <c r="U27" s="18">
        <v>1.1028446422632261</v>
      </c>
    </row>
    <row r="28" spans="1:21" x14ac:dyDescent="0.2">
      <c r="A28" s="5" t="s">
        <v>143</v>
      </c>
      <c r="B28" s="5" t="s">
        <v>14</v>
      </c>
      <c r="C28" s="52">
        <v>1</v>
      </c>
      <c r="D28" s="53">
        <v>1</v>
      </c>
      <c r="E28" s="18">
        <v>0.32406744050125164</v>
      </c>
      <c r="F28" s="18">
        <v>0.44954803956688294</v>
      </c>
      <c r="G28" s="41">
        <v>1.1315572561961693</v>
      </c>
      <c r="H28" s="52">
        <v>1</v>
      </c>
      <c r="I28" s="52">
        <v>1</v>
      </c>
      <c r="J28" s="18">
        <v>12.362619455769758</v>
      </c>
      <c r="K28" s="41">
        <v>0.500338769552647</v>
      </c>
      <c r="L28" s="41">
        <v>3.7343112931644294E-2</v>
      </c>
      <c r="M28" s="41">
        <v>0.44492150469297409</v>
      </c>
      <c r="N28" s="41">
        <v>0.67184341318429164</v>
      </c>
      <c r="O28" s="41">
        <v>0.67184341318429164</v>
      </c>
      <c r="P28" s="41">
        <v>2.5601153276828232</v>
      </c>
      <c r="Q28" s="41">
        <v>0.13727884754427563</v>
      </c>
      <c r="R28" s="41">
        <v>0.81005205166073913</v>
      </c>
      <c r="S28" s="41">
        <v>0.67184341318429164</v>
      </c>
      <c r="T28" s="41">
        <v>0.67184341318429164</v>
      </c>
      <c r="U28" s="18">
        <v>1.1028446422632261</v>
      </c>
    </row>
    <row r="29" spans="1:21" x14ac:dyDescent="0.2">
      <c r="A29" s="5" t="s">
        <v>144</v>
      </c>
      <c r="B29" s="5" t="s">
        <v>15</v>
      </c>
      <c r="C29" s="52">
        <v>1</v>
      </c>
      <c r="D29" s="53">
        <v>1</v>
      </c>
      <c r="E29" s="18">
        <v>1.2379647295123914</v>
      </c>
      <c r="F29" s="18">
        <v>0.44954803956688294</v>
      </c>
      <c r="G29" s="41">
        <v>1.1315572561961693</v>
      </c>
      <c r="H29" s="52">
        <v>1</v>
      </c>
      <c r="I29" s="52">
        <v>1</v>
      </c>
      <c r="J29" s="18">
        <v>12.362619455769758</v>
      </c>
      <c r="K29" s="41">
        <v>0.500338769552647</v>
      </c>
      <c r="L29" s="41">
        <v>3.7343112931644294E-2</v>
      </c>
      <c r="M29" s="41">
        <v>0.44492150469297409</v>
      </c>
      <c r="N29" s="41">
        <v>0.67184341318429164</v>
      </c>
      <c r="O29" s="41">
        <v>0.67184341318429164</v>
      </c>
      <c r="P29" s="41">
        <v>2.5601153276828232</v>
      </c>
      <c r="Q29" s="41">
        <v>0.13727884754427563</v>
      </c>
      <c r="R29" s="41">
        <v>0.81005205166073913</v>
      </c>
      <c r="S29" s="41">
        <v>0.67184341318429164</v>
      </c>
      <c r="T29" s="41">
        <v>0.67184341318429164</v>
      </c>
      <c r="U29" s="18">
        <v>1.1028446422632261</v>
      </c>
    </row>
    <row r="30" spans="1:21" x14ac:dyDescent="0.2">
      <c r="A30" s="5" t="s">
        <v>145</v>
      </c>
      <c r="B30" s="5" t="s">
        <v>16</v>
      </c>
      <c r="C30" s="52">
        <v>1</v>
      </c>
      <c r="D30" s="53">
        <v>1</v>
      </c>
      <c r="E30" s="18">
        <v>0.69153840203125483</v>
      </c>
      <c r="F30" s="18">
        <v>0.44954803956688294</v>
      </c>
      <c r="G30" s="41">
        <v>1.1315572561961693</v>
      </c>
      <c r="H30" s="52">
        <v>1</v>
      </c>
      <c r="I30" s="52">
        <v>1</v>
      </c>
      <c r="J30" s="18">
        <v>12.362619455769758</v>
      </c>
      <c r="K30" s="41">
        <v>0.500338769552647</v>
      </c>
      <c r="L30" s="41">
        <v>3.7343112931644294E-2</v>
      </c>
      <c r="M30" s="41">
        <v>0.44492150469297409</v>
      </c>
      <c r="N30" s="41">
        <v>0.67184341318429164</v>
      </c>
      <c r="O30" s="41">
        <v>0.67184341318429164</v>
      </c>
      <c r="P30" s="41">
        <v>2.5601153276828232</v>
      </c>
      <c r="Q30" s="41">
        <v>0.13727884754427563</v>
      </c>
      <c r="R30" s="41">
        <v>0.81005205166073913</v>
      </c>
      <c r="S30" s="41">
        <v>0.67184341318429164</v>
      </c>
      <c r="T30" s="41">
        <v>0.67184341318429164</v>
      </c>
      <c r="U30" s="18">
        <v>1.1028446422632261</v>
      </c>
    </row>
    <row r="31" spans="1:21" x14ac:dyDescent="0.2">
      <c r="A31" s="5" t="s">
        <v>146</v>
      </c>
      <c r="B31" s="5" t="s">
        <v>17</v>
      </c>
      <c r="C31" s="52">
        <v>1</v>
      </c>
      <c r="D31" s="53">
        <v>1</v>
      </c>
      <c r="E31" s="18">
        <v>0.32406744050125164</v>
      </c>
      <c r="F31" s="18">
        <v>0.44954803956688294</v>
      </c>
      <c r="G31" s="41">
        <v>1.1315572561961693</v>
      </c>
      <c r="H31" s="52">
        <v>1</v>
      </c>
      <c r="I31" s="52">
        <v>1</v>
      </c>
      <c r="J31" s="18">
        <v>12.362619455769758</v>
      </c>
      <c r="K31" s="41">
        <v>0.500338769552647</v>
      </c>
      <c r="L31" s="41">
        <v>3.7343112931644294E-2</v>
      </c>
      <c r="M31" s="41">
        <v>0.44492150469297409</v>
      </c>
      <c r="N31" s="41">
        <v>0.67184341318429164</v>
      </c>
      <c r="O31" s="41">
        <v>0.67184341318429164</v>
      </c>
      <c r="P31" s="41">
        <v>2.5601153276828232</v>
      </c>
      <c r="Q31" s="41">
        <v>0.13727884754427563</v>
      </c>
      <c r="R31" s="41">
        <v>0.81005205166073913</v>
      </c>
      <c r="S31" s="41">
        <v>0.67184341318429164</v>
      </c>
      <c r="T31" s="41">
        <v>0.67184341318429164</v>
      </c>
      <c r="U31" s="18">
        <v>1.1028446422632261</v>
      </c>
    </row>
    <row r="32" spans="1:21" x14ac:dyDescent="0.2">
      <c r="A32" s="5" t="s">
        <v>147</v>
      </c>
      <c r="B32" s="5" t="s">
        <v>12</v>
      </c>
      <c r="C32" s="52">
        <v>1</v>
      </c>
      <c r="D32" s="53">
        <v>1</v>
      </c>
      <c r="E32" s="18">
        <v>0</v>
      </c>
      <c r="F32" s="18">
        <v>1.3789713818317371</v>
      </c>
      <c r="G32" s="41">
        <v>0.44002830777833757</v>
      </c>
      <c r="H32" s="52">
        <v>1</v>
      </c>
      <c r="I32" s="52">
        <v>1</v>
      </c>
      <c r="J32" s="18">
        <v>1.0524698620634492</v>
      </c>
      <c r="K32" s="41">
        <v>0.500338769552647</v>
      </c>
      <c r="L32" s="41">
        <v>3.9311619255317747</v>
      </c>
      <c r="M32" s="41">
        <v>0.59590276896081551</v>
      </c>
      <c r="N32" s="41">
        <v>0.43711122028798916</v>
      </c>
      <c r="O32" s="41">
        <v>0.43711122028798916</v>
      </c>
      <c r="P32" s="41">
        <v>0.48549835751350034</v>
      </c>
      <c r="Q32" s="41">
        <v>0.64928209109450741</v>
      </c>
      <c r="R32" s="41">
        <v>0.62058255597579615</v>
      </c>
      <c r="S32" s="41">
        <v>0.43711122028798916</v>
      </c>
      <c r="T32" s="41">
        <v>0.43711122028798916</v>
      </c>
      <c r="U32" s="18">
        <v>0.91619145250936662</v>
      </c>
    </row>
    <row r="33" spans="1:21" x14ac:dyDescent="0.2">
      <c r="A33" s="5" t="s">
        <v>148</v>
      </c>
      <c r="B33" s="5" t="s">
        <v>13</v>
      </c>
      <c r="C33" s="52">
        <v>1</v>
      </c>
      <c r="D33" s="53">
        <v>1</v>
      </c>
      <c r="E33" s="18">
        <v>0</v>
      </c>
      <c r="F33" s="18">
        <v>1.3789713818317371</v>
      </c>
      <c r="G33" s="41">
        <v>0.44002830777833757</v>
      </c>
      <c r="H33" s="52">
        <v>1</v>
      </c>
      <c r="I33" s="52">
        <v>1</v>
      </c>
      <c r="J33" s="18">
        <v>1.0524698620634492</v>
      </c>
      <c r="K33" s="41">
        <v>0.500338769552647</v>
      </c>
      <c r="L33" s="41">
        <v>3.9311619255317747</v>
      </c>
      <c r="M33" s="41">
        <v>0.59590276896081551</v>
      </c>
      <c r="N33" s="41">
        <v>0.43711122028798916</v>
      </c>
      <c r="O33" s="41">
        <v>0.43711122028798916</v>
      </c>
      <c r="P33" s="41">
        <v>0.48549835751350034</v>
      </c>
      <c r="Q33" s="41">
        <v>0.64928209109450741</v>
      </c>
      <c r="R33" s="41">
        <v>0.62058255597579615</v>
      </c>
      <c r="S33" s="41">
        <v>0.43711122028798916</v>
      </c>
      <c r="T33" s="41">
        <v>0.43711122028798916</v>
      </c>
      <c r="U33" s="18">
        <v>0.91619145250936662</v>
      </c>
    </row>
    <row r="34" spans="1:21" x14ac:dyDescent="0.2">
      <c r="A34" s="5" t="s">
        <v>149</v>
      </c>
      <c r="B34" s="5" t="s">
        <v>14</v>
      </c>
      <c r="C34" s="52">
        <v>1</v>
      </c>
      <c r="D34" s="53">
        <v>1</v>
      </c>
      <c r="E34" s="18">
        <v>4.2948000082604094E-3</v>
      </c>
      <c r="F34" s="18">
        <v>1.3789713818317371</v>
      </c>
      <c r="G34" s="41">
        <v>0.44002830777833757</v>
      </c>
      <c r="H34" s="52">
        <v>1</v>
      </c>
      <c r="I34" s="52">
        <v>1</v>
      </c>
      <c r="J34" s="18">
        <v>1.0524698620634492</v>
      </c>
      <c r="K34" s="41">
        <v>0.500338769552647</v>
      </c>
      <c r="L34" s="41">
        <v>3.9311619255317747</v>
      </c>
      <c r="M34" s="41">
        <v>0.59590276896081551</v>
      </c>
      <c r="N34" s="41">
        <v>0.43711122028798916</v>
      </c>
      <c r="O34" s="41">
        <v>0.43711122028798916</v>
      </c>
      <c r="P34" s="41">
        <v>0.48549835751350034</v>
      </c>
      <c r="Q34" s="41">
        <v>0.64928209109450741</v>
      </c>
      <c r="R34" s="41">
        <v>0.62058255597579615</v>
      </c>
      <c r="S34" s="41">
        <v>0.43711122028798916</v>
      </c>
      <c r="T34" s="41">
        <v>0.43711122028798916</v>
      </c>
      <c r="U34" s="18">
        <v>0.91619145250936662</v>
      </c>
    </row>
    <row r="35" spans="1:21" x14ac:dyDescent="0.2">
      <c r="A35" s="5" t="s">
        <v>150</v>
      </c>
      <c r="B35" s="5" t="s">
        <v>15</v>
      </c>
      <c r="C35" s="52">
        <v>1</v>
      </c>
      <c r="D35" s="53">
        <v>1</v>
      </c>
      <c r="E35" s="18">
        <v>0</v>
      </c>
      <c r="F35" s="18">
        <v>1.3789713818317371</v>
      </c>
      <c r="G35" s="41">
        <v>0.36895223102773783</v>
      </c>
      <c r="H35" s="52">
        <v>1</v>
      </c>
      <c r="I35" s="52">
        <v>1</v>
      </c>
      <c r="J35" s="18">
        <v>1.0524698620634492</v>
      </c>
      <c r="K35" s="41">
        <v>0.44144237035399336</v>
      </c>
      <c r="L35" s="41">
        <v>4.2991379183492411</v>
      </c>
      <c r="M35" s="41">
        <v>0.5921604552711458</v>
      </c>
      <c r="N35" s="41">
        <v>0.41447965551012644</v>
      </c>
      <c r="O35" s="41">
        <v>0.41447965551012644</v>
      </c>
      <c r="P35" s="41">
        <v>0.51269033630229588</v>
      </c>
      <c r="Q35" s="41">
        <v>0.63551660242086039</v>
      </c>
      <c r="R35" s="41">
        <v>0.51708711740221991</v>
      </c>
      <c r="S35" s="41">
        <v>0.41447965551012644</v>
      </c>
      <c r="T35" s="41">
        <v>0.41447965551012644</v>
      </c>
      <c r="U35" s="18">
        <v>0.91619145250936662</v>
      </c>
    </row>
    <row r="36" spans="1:21" x14ac:dyDescent="0.2">
      <c r="A36" s="5" t="s">
        <v>151</v>
      </c>
      <c r="B36" s="5" t="s">
        <v>16</v>
      </c>
      <c r="C36" s="52">
        <v>1</v>
      </c>
      <c r="D36" s="53">
        <v>1</v>
      </c>
      <c r="E36" s="18">
        <v>0</v>
      </c>
      <c r="F36" s="18">
        <v>1.3789713818317371</v>
      </c>
      <c r="G36" s="41">
        <v>0.42743975468357109</v>
      </c>
      <c r="H36" s="52">
        <v>1</v>
      </c>
      <c r="I36" s="52">
        <v>1</v>
      </c>
      <c r="J36" s="18">
        <v>1.0524698620634492</v>
      </c>
      <c r="K36" s="41">
        <v>0.38729833133579189</v>
      </c>
      <c r="L36" s="41">
        <v>4.6371782390885805</v>
      </c>
      <c r="M36" s="41">
        <v>0.6196080145367483</v>
      </c>
      <c r="N36" s="41">
        <v>0.27006070093924112</v>
      </c>
      <c r="O36" s="41">
        <v>0.27006070093924112</v>
      </c>
      <c r="P36" s="41">
        <v>0.31296565550779692</v>
      </c>
      <c r="Q36" s="41">
        <v>0.67304037371350334</v>
      </c>
      <c r="R36" s="41">
        <v>0.43738482061155964</v>
      </c>
      <c r="S36" s="41">
        <v>0.27006070093924112</v>
      </c>
      <c r="T36" s="41">
        <v>0.27006070093924112</v>
      </c>
      <c r="U36" s="18">
        <v>0.91619145250936662</v>
      </c>
    </row>
    <row r="37" spans="1:21" x14ac:dyDescent="0.2">
      <c r="A37" s="5" t="s">
        <v>152</v>
      </c>
      <c r="B37" s="5" t="s">
        <v>17</v>
      </c>
      <c r="C37" s="52">
        <v>1</v>
      </c>
      <c r="D37" s="53">
        <v>1</v>
      </c>
      <c r="E37" s="18">
        <v>4.2948000082604094E-3</v>
      </c>
      <c r="F37" s="18">
        <v>1.3789713818317371</v>
      </c>
      <c r="G37" s="41">
        <v>0.80211565723209999</v>
      </c>
      <c r="H37" s="52">
        <v>1</v>
      </c>
      <c r="I37" s="52">
        <v>1</v>
      </c>
      <c r="J37" s="18">
        <v>1.0524698620634492</v>
      </c>
      <c r="K37" s="41">
        <v>0.99641241698324223</v>
      </c>
      <c r="L37" s="41">
        <v>0.82911149713739418</v>
      </c>
      <c r="M37" s="41">
        <v>0.56981102821387597</v>
      </c>
      <c r="N37" s="41">
        <v>0.86618963045548447</v>
      </c>
      <c r="O37" s="41">
        <v>0.86618963045548447</v>
      </c>
      <c r="P37" s="41">
        <v>0.68533845966093598</v>
      </c>
      <c r="Q37" s="41">
        <v>0.66148930542074291</v>
      </c>
      <c r="R37" s="41">
        <v>0.93087383396369416</v>
      </c>
      <c r="S37" s="41">
        <v>0.86618963045548447</v>
      </c>
      <c r="T37" s="41">
        <v>0.86618963045548447</v>
      </c>
      <c r="U37" s="18">
        <v>0.91619145250936662</v>
      </c>
    </row>
    <row r="38" spans="1:21" x14ac:dyDescent="0.2">
      <c r="A38" s="5" t="s">
        <v>153</v>
      </c>
      <c r="B38" s="5" t="s">
        <v>12</v>
      </c>
      <c r="C38" s="52">
        <v>1</v>
      </c>
      <c r="D38" s="53">
        <v>1</v>
      </c>
      <c r="E38" s="18">
        <v>0</v>
      </c>
      <c r="F38" s="18">
        <v>1.0912006555955887</v>
      </c>
      <c r="G38" s="41">
        <v>2.2820883950505544</v>
      </c>
      <c r="H38" s="52">
        <v>1</v>
      </c>
      <c r="I38" s="52">
        <v>1</v>
      </c>
      <c r="J38" s="18">
        <v>0.32678893057448521</v>
      </c>
      <c r="K38" s="41">
        <v>0.500338769552647</v>
      </c>
      <c r="L38" s="41">
        <v>2.9195018360651137E-2</v>
      </c>
      <c r="M38" s="41">
        <v>0.65643163104912639</v>
      </c>
      <c r="N38" s="41">
        <v>1.3308081189610956</v>
      </c>
      <c r="O38" s="41">
        <v>1.3308081189610956</v>
      </c>
      <c r="P38" s="41">
        <v>0.57445445856042177</v>
      </c>
      <c r="Q38" s="41">
        <v>1.5824213328286465</v>
      </c>
      <c r="R38" s="41">
        <v>1.4033002977257814</v>
      </c>
      <c r="S38" s="41">
        <v>1.3308081189610956</v>
      </c>
      <c r="T38" s="41">
        <v>1.3308081189610956</v>
      </c>
      <c r="U38" s="18">
        <v>0.72153503644079842</v>
      </c>
    </row>
    <row r="39" spans="1:21" x14ac:dyDescent="0.2">
      <c r="A39" s="5" t="s">
        <v>154</v>
      </c>
      <c r="B39" s="5" t="s">
        <v>13</v>
      </c>
      <c r="C39" s="52">
        <v>1</v>
      </c>
      <c r="D39" s="53">
        <v>1</v>
      </c>
      <c r="E39" s="18">
        <v>0</v>
      </c>
      <c r="F39" s="18">
        <v>1.0912006555955887</v>
      </c>
      <c r="G39" s="41">
        <v>2.3112837159746613</v>
      </c>
      <c r="H39" s="52">
        <v>1</v>
      </c>
      <c r="I39" s="52">
        <v>1</v>
      </c>
      <c r="J39" s="18">
        <v>0.32678893057448521</v>
      </c>
      <c r="K39" s="41">
        <v>0.50606320722503262</v>
      </c>
      <c r="L39" s="41">
        <v>2.7002170442928946E-2</v>
      </c>
      <c r="M39" s="41">
        <v>0.62825379437318618</v>
      </c>
      <c r="N39" s="41">
        <v>1.3383709105798234</v>
      </c>
      <c r="O39" s="41">
        <v>1.3383709105798234</v>
      </c>
      <c r="P39" s="41">
        <v>0.55254355776188446</v>
      </c>
      <c r="Q39" s="41">
        <v>1.3961407061333229</v>
      </c>
      <c r="R39" s="41">
        <v>1.4215883208679276</v>
      </c>
      <c r="S39" s="41">
        <v>1.3383709105798234</v>
      </c>
      <c r="T39" s="41">
        <v>1.3383709105798234</v>
      </c>
      <c r="U39" s="18">
        <v>0.72153503644079842</v>
      </c>
    </row>
    <row r="40" spans="1:21" x14ac:dyDescent="0.2">
      <c r="A40" s="5" t="s">
        <v>155</v>
      </c>
      <c r="B40" s="5" t="s">
        <v>14</v>
      </c>
      <c r="C40" s="52">
        <v>1</v>
      </c>
      <c r="D40" s="53">
        <v>1</v>
      </c>
      <c r="E40" s="18">
        <v>1.5407533516210036E-2</v>
      </c>
      <c r="F40" s="18">
        <v>1.0912006555955887</v>
      </c>
      <c r="G40" s="41">
        <v>2.2420256080653962</v>
      </c>
      <c r="H40" s="52">
        <v>1</v>
      </c>
      <c r="I40" s="52">
        <v>1</v>
      </c>
      <c r="J40" s="18">
        <v>0.32678893057448521</v>
      </c>
      <c r="K40" s="41">
        <v>0.493889255406183</v>
      </c>
      <c r="L40" s="41">
        <v>3.1079453668241996E-2</v>
      </c>
      <c r="M40" s="41">
        <v>0.68561413511344593</v>
      </c>
      <c r="N40" s="41">
        <v>1.3178980537804823</v>
      </c>
      <c r="O40" s="41">
        <v>1.3178980537804823</v>
      </c>
      <c r="P40" s="41">
        <v>0.60029559458696125</v>
      </c>
      <c r="Q40" s="41">
        <v>1.8027372660364498</v>
      </c>
      <c r="R40" s="41">
        <v>1.3857535638609046</v>
      </c>
      <c r="S40" s="41">
        <v>1.3178980537804823</v>
      </c>
      <c r="T40" s="41">
        <v>1.3178980537804823</v>
      </c>
      <c r="U40" s="18">
        <v>0.72153503644079842</v>
      </c>
    </row>
    <row r="41" spans="1:21" x14ac:dyDescent="0.2">
      <c r="A41" s="5" t="s">
        <v>156</v>
      </c>
      <c r="B41" s="5" t="s">
        <v>15</v>
      </c>
      <c r="C41" s="52">
        <v>1</v>
      </c>
      <c r="D41" s="53">
        <v>1</v>
      </c>
      <c r="E41" s="18">
        <v>0</v>
      </c>
      <c r="F41" s="18">
        <v>1.0912006555955887</v>
      </c>
      <c r="G41" s="41">
        <v>2.2820883950505544</v>
      </c>
      <c r="H41" s="52">
        <v>1</v>
      </c>
      <c r="I41" s="52">
        <v>1</v>
      </c>
      <c r="J41" s="18">
        <v>0.32678893057448521</v>
      </c>
      <c r="K41" s="41">
        <v>0.500338769552647</v>
      </c>
      <c r="L41" s="41">
        <v>2.9195018360651137E-2</v>
      </c>
      <c r="M41" s="41">
        <v>0.65643163104912639</v>
      </c>
      <c r="N41" s="41">
        <v>1.3308081189610956</v>
      </c>
      <c r="O41" s="41">
        <v>1.3308081189610956</v>
      </c>
      <c r="P41" s="41">
        <v>0.57445445856042177</v>
      </c>
      <c r="Q41" s="41">
        <v>1.5824213328286465</v>
      </c>
      <c r="R41" s="41">
        <v>1.4033002977257814</v>
      </c>
      <c r="S41" s="41">
        <v>1.3308081189610956</v>
      </c>
      <c r="T41" s="41">
        <v>1.3308081189610956</v>
      </c>
      <c r="U41" s="18">
        <v>0.72153503644079842</v>
      </c>
    </row>
    <row r="42" spans="1:21" x14ac:dyDescent="0.2">
      <c r="A42" s="5" t="s">
        <v>157</v>
      </c>
      <c r="B42" s="5" t="s">
        <v>16</v>
      </c>
      <c r="C42" s="52">
        <v>1</v>
      </c>
      <c r="D42" s="53">
        <v>1</v>
      </c>
      <c r="E42" s="18">
        <v>0</v>
      </c>
      <c r="F42" s="18">
        <v>1.0912006555955887</v>
      </c>
      <c r="G42" s="41">
        <v>2.2820883950505544</v>
      </c>
      <c r="H42" s="52">
        <v>1</v>
      </c>
      <c r="I42" s="52">
        <v>1</v>
      </c>
      <c r="J42" s="18">
        <v>0.32678893057448521</v>
      </c>
      <c r="K42" s="41">
        <v>0.500338769552647</v>
      </c>
      <c r="L42" s="41">
        <v>2.9195018360651137E-2</v>
      </c>
      <c r="M42" s="41">
        <v>0.65643163104912639</v>
      </c>
      <c r="N42" s="41">
        <v>1.3308081189610956</v>
      </c>
      <c r="O42" s="41">
        <v>1.3308081189610956</v>
      </c>
      <c r="P42" s="41">
        <v>0.57445445856042177</v>
      </c>
      <c r="Q42" s="41">
        <v>1.5824213328286465</v>
      </c>
      <c r="R42" s="41">
        <v>1.4033002977257814</v>
      </c>
      <c r="S42" s="41">
        <v>1.3308081189610956</v>
      </c>
      <c r="T42" s="41">
        <v>1.3308081189610956</v>
      </c>
      <c r="U42" s="18">
        <v>0.72153503644079842</v>
      </c>
    </row>
    <row r="43" spans="1:21" x14ac:dyDescent="0.2">
      <c r="A43" s="5" t="s">
        <v>158</v>
      </c>
      <c r="B43" s="5" t="s">
        <v>17</v>
      </c>
      <c r="C43" s="52">
        <v>1</v>
      </c>
      <c r="D43" s="53">
        <v>1</v>
      </c>
      <c r="E43" s="18">
        <v>1.5407533516210036E-2</v>
      </c>
      <c r="F43" s="18">
        <v>1.0912006555955887</v>
      </c>
      <c r="G43" s="41">
        <v>2.2820883950505544</v>
      </c>
      <c r="H43" s="52">
        <v>1</v>
      </c>
      <c r="I43" s="52">
        <v>1</v>
      </c>
      <c r="J43" s="18">
        <v>0.32678893057448521</v>
      </c>
      <c r="K43" s="41">
        <v>0.500338769552647</v>
      </c>
      <c r="L43" s="41">
        <v>2.9195018360651137E-2</v>
      </c>
      <c r="M43" s="41">
        <v>0.65643163104912639</v>
      </c>
      <c r="N43" s="41">
        <v>1.3308081189610956</v>
      </c>
      <c r="O43" s="41">
        <v>1.3308081189610956</v>
      </c>
      <c r="P43" s="41">
        <v>0.57445445856042177</v>
      </c>
      <c r="Q43" s="41">
        <v>1.5824213328286465</v>
      </c>
      <c r="R43" s="41">
        <v>1.4033002977257814</v>
      </c>
      <c r="S43" s="41">
        <v>1.3308081189610956</v>
      </c>
      <c r="T43" s="41">
        <v>1.3308081189610956</v>
      </c>
      <c r="U43" s="18">
        <v>0.72153503644079842</v>
      </c>
    </row>
    <row r="44" spans="1:21" x14ac:dyDescent="0.2">
      <c r="A44" s="5" t="s">
        <v>159</v>
      </c>
      <c r="B44" s="5" t="s">
        <v>12</v>
      </c>
      <c r="C44" s="52">
        <v>1</v>
      </c>
      <c r="D44" s="53">
        <v>1</v>
      </c>
      <c r="E44" s="18">
        <v>0</v>
      </c>
      <c r="F44" s="18">
        <v>0.28117071352218276</v>
      </c>
      <c r="G44" s="41">
        <v>1.0228038053221546</v>
      </c>
      <c r="H44" s="52">
        <v>1</v>
      </c>
      <c r="I44" s="52">
        <v>1</v>
      </c>
      <c r="J44" s="18">
        <v>0.32490693968109546</v>
      </c>
      <c r="K44" s="41">
        <v>0.500338769552647</v>
      </c>
      <c r="L44" s="41">
        <v>1.2657004372762263E-2</v>
      </c>
      <c r="M44" s="41">
        <v>0.72993893790189313</v>
      </c>
      <c r="N44" s="41">
        <v>1.6697253788335931</v>
      </c>
      <c r="O44" s="41">
        <v>1.6697253788335931</v>
      </c>
      <c r="P44" s="41">
        <v>2.0180894422738596</v>
      </c>
      <c r="Q44" s="41">
        <v>0.33684827560183139</v>
      </c>
      <c r="R44" s="41">
        <v>1.4860983231526661</v>
      </c>
      <c r="S44" s="41">
        <v>1.6697253788335931</v>
      </c>
      <c r="T44" s="41">
        <v>1.6697253788335931</v>
      </c>
      <c r="U44" s="18">
        <v>0.2980274697072301</v>
      </c>
    </row>
    <row r="45" spans="1:21" x14ac:dyDescent="0.2">
      <c r="A45" s="5" t="s">
        <v>160</v>
      </c>
      <c r="B45" s="5" t="s">
        <v>13</v>
      </c>
      <c r="C45" s="52">
        <v>1</v>
      </c>
      <c r="D45" s="53">
        <v>1</v>
      </c>
      <c r="E45" s="18">
        <v>0</v>
      </c>
      <c r="F45" s="18">
        <v>0.28117071352218276</v>
      </c>
      <c r="G45" s="41">
        <v>1.0228038053221546</v>
      </c>
      <c r="H45" s="52">
        <v>1</v>
      </c>
      <c r="I45" s="52">
        <v>1</v>
      </c>
      <c r="J45" s="18">
        <v>0.32490693968109546</v>
      </c>
      <c r="K45" s="41">
        <v>0.500338769552647</v>
      </c>
      <c r="L45" s="41">
        <v>1.2657004372762263E-2</v>
      </c>
      <c r="M45" s="41">
        <v>0.72993893790189313</v>
      </c>
      <c r="N45" s="41">
        <v>1.6697253788335931</v>
      </c>
      <c r="O45" s="41">
        <v>1.6697253788335931</v>
      </c>
      <c r="P45" s="41">
        <v>2.0180894422738596</v>
      </c>
      <c r="Q45" s="41">
        <v>0.33684827560183139</v>
      </c>
      <c r="R45" s="41">
        <v>1.4860983231526661</v>
      </c>
      <c r="S45" s="41">
        <v>1.6697253788335931</v>
      </c>
      <c r="T45" s="41">
        <v>1.6697253788335931</v>
      </c>
      <c r="U45" s="18">
        <v>0.2980274697072301</v>
      </c>
    </row>
    <row r="46" spans="1:21" x14ac:dyDescent="0.2">
      <c r="A46" s="5" t="s">
        <v>161</v>
      </c>
      <c r="B46" s="5" t="s">
        <v>14</v>
      </c>
      <c r="C46" s="52">
        <v>1</v>
      </c>
      <c r="D46" s="53">
        <v>1</v>
      </c>
      <c r="E46" s="18">
        <v>1.4538878098973496E-2</v>
      </c>
      <c r="F46" s="18">
        <v>0.28117071352218276</v>
      </c>
      <c r="G46" s="41">
        <v>1.0228038053221546</v>
      </c>
      <c r="H46" s="52">
        <v>1</v>
      </c>
      <c r="I46" s="52">
        <v>1</v>
      </c>
      <c r="J46" s="18">
        <v>0.32490693968109546</v>
      </c>
      <c r="K46" s="41">
        <v>0.500338769552647</v>
      </c>
      <c r="L46" s="41">
        <v>1.2657004372762263E-2</v>
      </c>
      <c r="M46" s="41">
        <v>0.72993893790189313</v>
      </c>
      <c r="N46" s="41">
        <v>1.6697253788335931</v>
      </c>
      <c r="O46" s="41">
        <v>1.6697253788335931</v>
      </c>
      <c r="P46" s="41">
        <v>2.0180894422738596</v>
      </c>
      <c r="Q46" s="41">
        <v>0.33684827560183139</v>
      </c>
      <c r="R46" s="41">
        <v>1.4860983231526661</v>
      </c>
      <c r="S46" s="41">
        <v>1.6697253788335931</v>
      </c>
      <c r="T46" s="41">
        <v>1.6697253788335931</v>
      </c>
      <c r="U46" s="18">
        <v>0.2980274697072301</v>
      </c>
    </row>
    <row r="47" spans="1:21" x14ac:dyDescent="0.2">
      <c r="A47" s="5" t="s">
        <v>162</v>
      </c>
      <c r="B47" s="5" t="s">
        <v>15</v>
      </c>
      <c r="C47" s="52">
        <v>1</v>
      </c>
      <c r="D47" s="53">
        <v>1</v>
      </c>
      <c r="E47" s="18">
        <v>0</v>
      </c>
      <c r="F47" s="18">
        <v>0.28117071352218276</v>
      </c>
      <c r="G47" s="41">
        <v>1.0228038053221546</v>
      </c>
      <c r="H47" s="52">
        <v>1</v>
      </c>
      <c r="I47" s="52">
        <v>1</v>
      </c>
      <c r="J47" s="18">
        <v>0.32490693968109546</v>
      </c>
      <c r="K47" s="41">
        <v>0.500338769552647</v>
      </c>
      <c r="L47" s="41">
        <v>1.2657004372762267E-2</v>
      </c>
      <c r="M47" s="41">
        <v>0.72993893790189313</v>
      </c>
      <c r="N47" s="41">
        <v>1.6697253788335935</v>
      </c>
      <c r="O47" s="41">
        <v>1.6697253788335935</v>
      </c>
      <c r="P47" s="41">
        <v>2.01808944227386</v>
      </c>
      <c r="Q47" s="41">
        <v>0.33684827560183139</v>
      </c>
      <c r="R47" s="41">
        <v>1.4860983231526661</v>
      </c>
      <c r="S47" s="41">
        <v>1.6697253788335935</v>
      </c>
      <c r="T47" s="41">
        <v>1.6697253788335935</v>
      </c>
      <c r="U47" s="18">
        <v>0.2980274697072301</v>
      </c>
    </row>
    <row r="48" spans="1:21" x14ac:dyDescent="0.2">
      <c r="A48" s="5" t="s">
        <v>163</v>
      </c>
      <c r="B48" s="5" t="s">
        <v>16</v>
      </c>
      <c r="C48" s="52">
        <v>1</v>
      </c>
      <c r="D48" s="53">
        <v>1</v>
      </c>
      <c r="E48" s="18">
        <v>0</v>
      </c>
      <c r="F48" s="18">
        <v>0.28117071352218276</v>
      </c>
      <c r="G48" s="41">
        <v>1.0228038053221546</v>
      </c>
      <c r="H48" s="52">
        <v>1</v>
      </c>
      <c r="I48" s="52">
        <v>1</v>
      </c>
      <c r="J48" s="18">
        <v>0.32490693968109546</v>
      </c>
      <c r="K48" s="41">
        <v>0.500338769552647</v>
      </c>
      <c r="L48" s="41">
        <v>1.2657004372762263E-2</v>
      </c>
      <c r="M48" s="41">
        <v>0.72993893790189313</v>
      </c>
      <c r="N48" s="41">
        <v>1.6697253788335931</v>
      </c>
      <c r="O48" s="41">
        <v>1.6697253788335931</v>
      </c>
      <c r="P48" s="41">
        <v>2.0180894422738596</v>
      </c>
      <c r="Q48" s="41">
        <v>0.33684827560183139</v>
      </c>
      <c r="R48" s="41">
        <v>1.4860983231526661</v>
      </c>
      <c r="S48" s="41">
        <v>1.6697253788335931</v>
      </c>
      <c r="T48" s="41">
        <v>1.6697253788335931</v>
      </c>
      <c r="U48" s="18">
        <v>0.2980274697072301</v>
      </c>
    </row>
    <row r="49" spans="1:21" x14ac:dyDescent="0.2">
      <c r="A49" s="5" t="s">
        <v>164</v>
      </c>
      <c r="B49" s="5" t="s">
        <v>17</v>
      </c>
      <c r="C49" s="52">
        <v>1</v>
      </c>
      <c r="D49" s="53">
        <v>1</v>
      </c>
      <c r="E49" s="18">
        <v>1.4538878098973496E-2</v>
      </c>
      <c r="F49" s="18">
        <v>0.28117071352218276</v>
      </c>
      <c r="G49" s="41">
        <v>1.0228038053221546</v>
      </c>
      <c r="H49" s="52">
        <v>1</v>
      </c>
      <c r="I49" s="52">
        <v>1</v>
      </c>
      <c r="J49" s="18">
        <v>0.32490693968109546</v>
      </c>
      <c r="K49" s="41">
        <v>0.500338769552647</v>
      </c>
      <c r="L49" s="41">
        <v>1.2657004372762263E-2</v>
      </c>
      <c r="M49" s="41">
        <v>0.72993893790189313</v>
      </c>
      <c r="N49" s="41">
        <v>1.6697253788335931</v>
      </c>
      <c r="O49" s="41">
        <v>1.6697253788335931</v>
      </c>
      <c r="P49" s="41">
        <v>2.0180894422738596</v>
      </c>
      <c r="Q49" s="41">
        <v>0.33684827560183139</v>
      </c>
      <c r="R49" s="41">
        <v>1.4860983231526661</v>
      </c>
      <c r="S49" s="41">
        <v>1.6697253788335931</v>
      </c>
      <c r="T49" s="41">
        <v>1.6697253788335931</v>
      </c>
      <c r="U49" s="18">
        <v>0.2980274697072301</v>
      </c>
    </row>
    <row r="50" spans="1:21" x14ac:dyDescent="0.2">
      <c r="A50" s="5" t="s">
        <v>165</v>
      </c>
      <c r="B50" s="5" t="s">
        <v>12</v>
      </c>
      <c r="C50" s="52">
        <v>1</v>
      </c>
      <c r="D50" s="53">
        <v>1</v>
      </c>
      <c r="E50" s="18">
        <v>0</v>
      </c>
      <c r="F50" s="18">
        <v>1.1328292372175452</v>
      </c>
      <c r="G50" s="41">
        <v>0.86787791694884209</v>
      </c>
      <c r="H50" s="52">
        <v>1</v>
      </c>
      <c r="I50" s="52">
        <v>1</v>
      </c>
      <c r="J50" s="18">
        <v>0.32490693968109546</v>
      </c>
      <c r="K50" s="41">
        <v>1.6739751944632109</v>
      </c>
      <c r="L50" s="41">
        <v>0.12601732906540716</v>
      </c>
      <c r="M50" s="41">
        <v>1.3316016686927978</v>
      </c>
      <c r="N50" s="41">
        <v>1.1427767581743142</v>
      </c>
      <c r="O50" s="41">
        <v>1.1427767581743142</v>
      </c>
      <c r="P50" s="41">
        <v>0.73463812912508397</v>
      </c>
      <c r="Q50" s="41">
        <v>1.202127302368418</v>
      </c>
      <c r="R50" s="41">
        <v>1.2172058945474158</v>
      </c>
      <c r="S50" s="41">
        <v>1.1427767581743142</v>
      </c>
      <c r="T50" s="41">
        <v>1.1427767581743142</v>
      </c>
      <c r="U50" s="18">
        <v>1.4415299496342584</v>
      </c>
    </row>
    <row r="51" spans="1:21" x14ac:dyDescent="0.2">
      <c r="A51" s="5" t="s">
        <v>166</v>
      </c>
      <c r="B51" s="5" t="s">
        <v>13</v>
      </c>
      <c r="C51" s="52">
        <v>1</v>
      </c>
      <c r="D51" s="53">
        <v>1</v>
      </c>
      <c r="E51" s="18">
        <v>0</v>
      </c>
      <c r="F51" s="18">
        <v>1.1328292372175452</v>
      </c>
      <c r="G51" s="41">
        <v>0.86198673884858212</v>
      </c>
      <c r="H51" s="52">
        <v>1</v>
      </c>
      <c r="I51" s="52">
        <v>1</v>
      </c>
      <c r="J51" s="18">
        <v>0.32490693968109546</v>
      </c>
      <c r="K51" s="41">
        <v>1.6826935923338573</v>
      </c>
      <c r="L51" s="41">
        <v>0.12170752504419607</v>
      </c>
      <c r="M51" s="41">
        <v>1.3158373166159716</v>
      </c>
      <c r="N51" s="41">
        <v>1.1400366713164076</v>
      </c>
      <c r="O51" s="41">
        <v>1.1400366713164076</v>
      </c>
      <c r="P51" s="41">
        <v>0.72557305942685568</v>
      </c>
      <c r="Q51" s="41">
        <v>1.2060571250686589</v>
      </c>
      <c r="R51" s="41">
        <v>1.2239880447246785</v>
      </c>
      <c r="S51" s="41">
        <v>1.1400366713164076</v>
      </c>
      <c r="T51" s="41">
        <v>1.1400366713164076</v>
      </c>
      <c r="U51" s="18">
        <v>1.4415299496342584</v>
      </c>
    </row>
    <row r="52" spans="1:21" x14ac:dyDescent="0.2">
      <c r="A52" s="5" t="s">
        <v>167</v>
      </c>
      <c r="B52" s="5" t="s">
        <v>14</v>
      </c>
      <c r="C52" s="52">
        <v>1</v>
      </c>
      <c r="D52" s="53">
        <v>1</v>
      </c>
      <c r="E52" s="18">
        <v>1.092818959887752E-2</v>
      </c>
      <c r="F52" s="18">
        <v>1.1328292372175452</v>
      </c>
      <c r="G52" s="41">
        <v>0.86787791694884209</v>
      </c>
      <c r="H52" s="52">
        <v>1</v>
      </c>
      <c r="I52" s="52">
        <v>1</v>
      </c>
      <c r="J52" s="18">
        <v>0.32490693968109546</v>
      </c>
      <c r="K52" s="41">
        <v>1.6739751944632109</v>
      </c>
      <c r="L52" s="41">
        <v>0.12601732906540716</v>
      </c>
      <c r="M52" s="41">
        <v>1.3316016686927978</v>
      </c>
      <c r="N52" s="41">
        <v>1.1427767581743142</v>
      </c>
      <c r="O52" s="41">
        <v>1.1427767581743142</v>
      </c>
      <c r="P52" s="41">
        <v>0.73463812912508397</v>
      </c>
      <c r="Q52" s="41">
        <v>1.202127302368418</v>
      </c>
      <c r="R52" s="41">
        <v>1.2172058945474158</v>
      </c>
      <c r="S52" s="41">
        <v>1.1427767581743142</v>
      </c>
      <c r="T52" s="41">
        <v>1.1427767581743142</v>
      </c>
      <c r="U52" s="18">
        <v>1.4415299496342584</v>
      </c>
    </row>
    <row r="53" spans="1:21" x14ac:dyDescent="0.2">
      <c r="A53" s="5" t="s">
        <v>168</v>
      </c>
      <c r="B53" s="5" t="s">
        <v>15</v>
      </c>
      <c r="C53" s="52">
        <v>1</v>
      </c>
      <c r="D53" s="53">
        <v>1</v>
      </c>
      <c r="E53" s="18">
        <v>0</v>
      </c>
      <c r="F53" s="18">
        <v>1.1328292372175452</v>
      </c>
      <c r="G53" s="41">
        <v>0.86787791694884209</v>
      </c>
      <c r="H53" s="52">
        <v>1</v>
      </c>
      <c r="I53" s="52">
        <v>1</v>
      </c>
      <c r="J53" s="18">
        <v>0.32490693968109546</v>
      </c>
      <c r="K53" s="41">
        <v>1.6739751944632109</v>
      </c>
      <c r="L53" s="41">
        <v>0.12601732906540716</v>
      </c>
      <c r="M53" s="41">
        <v>1.3316016686927978</v>
      </c>
      <c r="N53" s="41">
        <v>1.1427767581743142</v>
      </c>
      <c r="O53" s="41">
        <v>1.1427767581743142</v>
      </c>
      <c r="P53" s="41">
        <v>0.73463812912508397</v>
      </c>
      <c r="Q53" s="41">
        <v>1.202127302368418</v>
      </c>
      <c r="R53" s="41">
        <v>1.2172058945474158</v>
      </c>
      <c r="S53" s="41">
        <v>1.1427767581743142</v>
      </c>
      <c r="T53" s="41">
        <v>1.1427767581743142</v>
      </c>
      <c r="U53" s="18">
        <v>1.4415299496342584</v>
      </c>
    </row>
    <row r="54" spans="1:21" x14ac:dyDescent="0.2">
      <c r="A54" s="5" t="s">
        <v>169</v>
      </c>
      <c r="B54" s="5" t="s">
        <v>16</v>
      </c>
      <c r="C54" s="52">
        <v>1</v>
      </c>
      <c r="D54" s="53">
        <v>1</v>
      </c>
      <c r="E54" s="18">
        <v>0</v>
      </c>
      <c r="F54" s="18">
        <v>1.1328292372175452</v>
      </c>
      <c r="G54" s="41">
        <v>0.86787791694884209</v>
      </c>
      <c r="H54" s="52">
        <v>1</v>
      </c>
      <c r="I54" s="52">
        <v>1</v>
      </c>
      <c r="J54" s="18">
        <v>0.32490693968109546</v>
      </c>
      <c r="K54" s="41">
        <v>1.6739751944632109</v>
      </c>
      <c r="L54" s="41">
        <v>0.12601732906540716</v>
      </c>
      <c r="M54" s="41">
        <v>1.3316016686927978</v>
      </c>
      <c r="N54" s="41">
        <v>1.1427767581743142</v>
      </c>
      <c r="O54" s="41">
        <v>1.1427767581743142</v>
      </c>
      <c r="P54" s="41">
        <v>0.73463812912508397</v>
      </c>
      <c r="Q54" s="41">
        <v>1.202127302368418</v>
      </c>
      <c r="R54" s="41">
        <v>1.2172058945474158</v>
      </c>
      <c r="S54" s="41">
        <v>1.1427767581743142</v>
      </c>
      <c r="T54" s="41">
        <v>1.1427767581743142</v>
      </c>
      <c r="U54" s="18">
        <v>1.4415299496342584</v>
      </c>
    </row>
    <row r="55" spans="1:21" x14ac:dyDescent="0.2">
      <c r="A55" s="5" t="s">
        <v>170</v>
      </c>
      <c r="B55" s="5" t="s">
        <v>17</v>
      </c>
      <c r="C55" s="52">
        <v>1</v>
      </c>
      <c r="D55" s="53">
        <v>1</v>
      </c>
      <c r="E55" s="18">
        <v>1.092818959887752E-2</v>
      </c>
      <c r="F55" s="18">
        <v>1.1328292372175452</v>
      </c>
      <c r="G55" s="41">
        <v>0.86787791694884209</v>
      </c>
      <c r="H55" s="52">
        <v>1</v>
      </c>
      <c r="I55" s="52">
        <v>1</v>
      </c>
      <c r="J55" s="18">
        <v>0.32490693968109546</v>
      </c>
      <c r="K55" s="41">
        <v>1.6739751944632109</v>
      </c>
      <c r="L55" s="41">
        <v>0.12601732906540716</v>
      </c>
      <c r="M55" s="41">
        <v>1.3316016686927978</v>
      </c>
      <c r="N55" s="41">
        <v>1.1427767581743142</v>
      </c>
      <c r="O55" s="41">
        <v>1.1427767581743142</v>
      </c>
      <c r="P55" s="41">
        <v>0.73463812912508397</v>
      </c>
      <c r="Q55" s="41">
        <v>1.202127302368418</v>
      </c>
      <c r="R55" s="41">
        <v>1.2172058945474158</v>
      </c>
      <c r="S55" s="41">
        <v>1.1427767581743142</v>
      </c>
      <c r="T55" s="41">
        <v>1.1427767581743142</v>
      </c>
      <c r="U55" s="18">
        <v>1.4415299496342584</v>
      </c>
    </row>
    <row r="56" spans="1:21" x14ac:dyDescent="0.2">
      <c r="A56" s="5" t="s">
        <v>171</v>
      </c>
      <c r="B56" s="5" t="s">
        <v>12</v>
      </c>
      <c r="C56" s="52">
        <v>1</v>
      </c>
      <c r="D56" s="53">
        <v>1</v>
      </c>
      <c r="E56" s="18">
        <v>0</v>
      </c>
      <c r="F56" s="18">
        <v>0.7806562815612379</v>
      </c>
      <c r="G56" s="41">
        <v>1.25</v>
      </c>
      <c r="H56" s="52">
        <v>1</v>
      </c>
      <c r="I56" s="52">
        <v>1</v>
      </c>
      <c r="J56" s="18">
        <v>1.3317404670592212</v>
      </c>
      <c r="K56" s="41">
        <v>1</v>
      </c>
      <c r="L56" s="41">
        <v>0.25</v>
      </c>
      <c r="M56" s="41">
        <v>0.5</v>
      </c>
      <c r="N56" s="41">
        <v>0.64796026263304385</v>
      </c>
      <c r="O56" s="41">
        <v>0.64796026263304385</v>
      </c>
      <c r="P56" s="41">
        <v>3.1650430481151641</v>
      </c>
      <c r="Q56" s="41">
        <v>1.25</v>
      </c>
      <c r="R56" s="41">
        <v>1.3331996011343183</v>
      </c>
      <c r="S56" s="41">
        <v>0.64796026263304385</v>
      </c>
      <c r="T56" s="41">
        <v>0.64796026263304385</v>
      </c>
      <c r="U56" s="18">
        <v>0.43499968778130438</v>
      </c>
    </row>
    <row r="57" spans="1:21" x14ac:dyDescent="0.2">
      <c r="A57" s="5" t="s">
        <v>172</v>
      </c>
      <c r="B57" s="5" t="s">
        <v>13</v>
      </c>
      <c r="C57" s="52">
        <v>1</v>
      </c>
      <c r="D57" s="53">
        <v>1</v>
      </c>
      <c r="E57" s="18">
        <v>0</v>
      </c>
      <c r="F57" s="18">
        <v>0.7806562815612379</v>
      </c>
      <c r="G57" s="41">
        <v>1.25</v>
      </c>
      <c r="H57" s="52">
        <v>1</v>
      </c>
      <c r="I57" s="52">
        <v>1</v>
      </c>
      <c r="J57" s="18">
        <v>1.3317404670592212</v>
      </c>
      <c r="K57" s="41">
        <v>1</v>
      </c>
      <c r="L57" s="41">
        <v>0.25</v>
      </c>
      <c r="M57" s="41">
        <v>0.5</v>
      </c>
      <c r="N57" s="41">
        <v>0.64796026263304385</v>
      </c>
      <c r="O57" s="41">
        <v>0.64796026263304385</v>
      </c>
      <c r="P57" s="41">
        <v>3.1650430481151641</v>
      </c>
      <c r="Q57" s="41">
        <v>1.25</v>
      </c>
      <c r="R57" s="41">
        <v>1.3331996011343183</v>
      </c>
      <c r="S57" s="41">
        <v>0.64796026263304385</v>
      </c>
      <c r="T57" s="41">
        <v>0.64796026263304385</v>
      </c>
      <c r="U57" s="18">
        <v>0.43499968778130438</v>
      </c>
    </row>
    <row r="58" spans="1:21" x14ac:dyDescent="0.2">
      <c r="A58" s="5" t="s">
        <v>173</v>
      </c>
      <c r="B58" s="5" t="s">
        <v>14</v>
      </c>
      <c r="C58" s="52">
        <v>1</v>
      </c>
      <c r="D58" s="53">
        <v>1</v>
      </c>
      <c r="E58" s="18">
        <v>3.4986467399316448E-3</v>
      </c>
      <c r="F58" s="18">
        <v>0.7806562815612379</v>
      </c>
      <c r="G58" s="41">
        <v>1.25</v>
      </c>
      <c r="H58" s="52">
        <v>1</v>
      </c>
      <c r="I58" s="52">
        <v>1</v>
      </c>
      <c r="J58" s="18">
        <v>1.3317404670592212</v>
      </c>
      <c r="K58" s="41">
        <v>1</v>
      </c>
      <c r="L58" s="41">
        <v>0.25</v>
      </c>
      <c r="M58" s="41">
        <v>0.5</v>
      </c>
      <c r="N58" s="41">
        <v>0.64796026263304385</v>
      </c>
      <c r="O58" s="41">
        <v>0.64796026263304385</v>
      </c>
      <c r="P58" s="41">
        <v>3.1650430481151641</v>
      </c>
      <c r="Q58" s="41">
        <v>1.25</v>
      </c>
      <c r="R58" s="41">
        <v>1.3331996011343183</v>
      </c>
      <c r="S58" s="41">
        <v>0.64796026263304385</v>
      </c>
      <c r="T58" s="41">
        <v>0.64796026263304385</v>
      </c>
      <c r="U58" s="18">
        <v>0.43499968778130438</v>
      </c>
    </row>
    <row r="59" spans="1:21" x14ac:dyDescent="0.2">
      <c r="A59" s="5" t="s">
        <v>174</v>
      </c>
      <c r="B59" s="5" t="s">
        <v>15</v>
      </c>
      <c r="C59" s="52">
        <v>1</v>
      </c>
      <c r="D59" s="53">
        <v>1</v>
      </c>
      <c r="E59" s="18">
        <v>0</v>
      </c>
      <c r="F59" s="18">
        <v>0.7806562815612379</v>
      </c>
      <c r="G59" s="41">
        <v>1.25</v>
      </c>
      <c r="H59" s="52">
        <v>1</v>
      </c>
      <c r="I59" s="52">
        <v>1</v>
      </c>
      <c r="J59" s="18">
        <v>1.3317404670592212</v>
      </c>
      <c r="K59" s="41">
        <v>1</v>
      </c>
      <c r="L59" s="41">
        <v>0.25</v>
      </c>
      <c r="M59" s="41">
        <v>0.5</v>
      </c>
      <c r="N59" s="41">
        <v>0.64796026263304385</v>
      </c>
      <c r="O59" s="41">
        <v>0.64796026263304385</v>
      </c>
      <c r="P59" s="41">
        <v>3.1650430481151641</v>
      </c>
      <c r="Q59" s="41">
        <v>1.25</v>
      </c>
      <c r="R59" s="41">
        <v>1.3331996011343183</v>
      </c>
      <c r="S59" s="41">
        <v>0.64796026263304385</v>
      </c>
      <c r="T59" s="41">
        <v>0.64796026263304385</v>
      </c>
      <c r="U59" s="18">
        <v>0.43499968778130438</v>
      </c>
    </row>
    <row r="60" spans="1:21" x14ac:dyDescent="0.2">
      <c r="A60" s="5" t="s">
        <v>175</v>
      </c>
      <c r="B60" s="5" t="s">
        <v>16</v>
      </c>
      <c r="C60" s="52">
        <v>1</v>
      </c>
      <c r="D60" s="53">
        <v>1</v>
      </c>
      <c r="E60" s="18">
        <v>0</v>
      </c>
      <c r="F60" s="18">
        <v>0.7806562815612379</v>
      </c>
      <c r="G60" s="41">
        <v>1.25</v>
      </c>
      <c r="H60" s="52">
        <v>1</v>
      </c>
      <c r="I60" s="52">
        <v>1</v>
      </c>
      <c r="J60" s="18">
        <v>1.3317404670592212</v>
      </c>
      <c r="K60" s="41">
        <v>1</v>
      </c>
      <c r="L60" s="41">
        <v>0.25</v>
      </c>
      <c r="M60" s="41">
        <v>0.5</v>
      </c>
      <c r="N60" s="41">
        <v>0.64796026263304385</v>
      </c>
      <c r="O60" s="41">
        <v>0.64796026263304385</v>
      </c>
      <c r="P60" s="41">
        <v>3.1650430481151641</v>
      </c>
      <c r="Q60" s="41">
        <v>1.25</v>
      </c>
      <c r="R60" s="41">
        <v>1.3331996011343183</v>
      </c>
      <c r="S60" s="41">
        <v>0.64796026263304385</v>
      </c>
      <c r="T60" s="41">
        <v>0.64796026263304385</v>
      </c>
      <c r="U60" s="18">
        <v>0.43499968778130438</v>
      </c>
    </row>
    <row r="61" spans="1:21" x14ac:dyDescent="0.2">
      <c r="A61" s="5" t="s">
        <v>176</v>
      </c>
      <c r="B61" s="5" t="s">
        <v>17</v>
      </c>
      <c r="C61" s="52">
        <v>1</v>
      </c>
      <c r="D61" s="53">
        <v>1</v>
      </c>
      <c r="E61" s="18">
        <v>3.4986467399316448E-3</v>
      </c>
      <c r="F61" s="18">
        <v>0.7806562815612379</v>
      </c>
      <c r="G61" s="41">
        <v>1.25</v>
      </c>
      <c r="H61" s="52">
        <v>1</v>
      </c>
      <c r="I61" s="52">
        <v>1</v>
      </c>
      <c r="J61" s="18">
        <v>1.3317404670592212</v>
      </c>
      <c r="K61" s="41">
        <v>1</v>
      </c>
      <c r="L61" s="41">
        <v>0.25</v>
      </c>
      <c r="M61" s="41">
        <v>0.5</v>
      </c>
      <c r="N61" s="41">
        <v>0.64796026263304385</v>
      </c>
      <c r="O61" s="41">
        <v>0.64796026263304385</v>
      </c>
      <c r="P61" s="41">
        <v>3.1650430481151641</v>
      </c>
      <c r="Q61" s="41">
        <v>1.25</v>
      </c>
      <c r="R61" s="41">
        <v>1.3331996011343183</v>
      </c>
      <c r="S61" s="41">
        <v>0.64796026263304385</v>
      </c>
      <c r="T61" s="41">
        <v>0.64796026263304385</v>
      </c>
      <c r="U61" s="18">
        <v>0.43499968778130438</v>
      </c>
    </row>
    <row r="62" spans="1:21" x14ac:dyDescent="0.2">
      <c r="A62" s="5" t="s">
        <v>177</v>
      </c>
      <c r="B62" s="5" t="s">
        <v>12</v>
      </c>
      <c r="C62" s="52">
        <v>1</v>
      </c>
      <c r="D62" s="53">
        <v>1</v>
      </c>
      <c r="E62" s="18">
        <v>0</v>
      </c>
      <c r="F62" s="18">
        <v>0.58440836959991993</v>
      </c>
      <c r="G62" s="41">
        <v>1.103039853535978</v>
      </c>
      <c r="H62" s="52">
        <v>1</v>
      </c>
      <c r="I62" s="52">
        <v>1</v>
      </c>
      <c r="J62" s="18">
        <v>0.31098402089795207</v>
      </c>
      <c r="K62" s="41">
        <v>0.80743295191158393</v>
      </c>
      <c r="L62" s="41">
        <v>0.26241771060727603</v>
      </c>
      <c r="M62" s="41">
        <v>1.0026947058516988</v>
      </c>
      <c r="N62" s="41">
        <v>0.76923044986804201</v>
      </c>
      <c r="O62" s="41">
        <v>0.76923044986804201</v>
      </c>
      <c r="P62" s="41">
        <v>4.1724647414824911</v>
      </c>
      <c r="Q62" s="41">
        <v>3.6962458634216988</v>
      </c>
      <c r="R62" s="41">
        <v>1.0196377883136185</v>
      </c>
      <c r="S62" s="41">
        <v>0.76923044986804201</v>
      </c>
      <c r="T62" s="41">
        <v>0.76923044986804201</v>
      </c>
      <c r="U62" s="18">
        <v>1.6103158043410333</v>
      </c>
    </row>
    <row r="63" spans="1:21" x14ac:dyDescent="0.2">
      <c r="A63" s="5" t="s">
        <v>178</v>
      </c>
      <c r="B63" s="5" t="s">
        <v>13</v>
      </c>
      <c r="C63" s="52">
        <v>1</v>
      </c>
      <c r="D63" s="53">
        <v>1</v>
      </c>
      <c r="E63" s="18">
        <v>2.5831095952566094E-2</v>
      </c>
      <c r="F63" s="18">
        <v>0.58440836959991993</v>
      </c>
      <c r="G63" s="41">
        <v>1.1060164006199131</v>
      </c>
      <c r="H63" s="52">
        <v>1</v>
      </c>
      <c r="I63" s="52">
        <v>1</v>
      </c>
      <c r="J63" s="18">
        <v>0.31098402089795207</v>
      </c>
      <c r="K63" s="41">
        <v>0.68460410968714092</v>
      </c>
      <c r="L63" s="41">
        <v>0.7295603022740238</v>
      </c>
      <c r="M63" s="41">
        <v>1.0047315653965521</v>
      </c>
      <c r="N63" s="41">
        <v>0.66547364410599041</v>
      </c>
      <c r="O63" s="41">
        <v>0.66547364410599041</v>
      </c>
      <c r="P63" s="41">
        <v>3.4657421051296042</v>
      </c>
      <c r="Q63" s="41">
        <v>3.224462744329518</v>
      </c>
      <c r="R63" s="41">
        <v>1.1112538250860113</v>
      </c>
      <c r="S63" s="41">
        <v>0.66547364410599041</v>
      </c>
      <c r="T63" s="41">
        <v>0.66547364410599041</v>
      </c>
      <c r="U63" s="18">
        <v>1.6103158043410333</v>
      </c>
    </row>
    <row r="64" spans="1:21" x14ac:dyDescent="0.2">
      <c r="A64" s="5" t="s">
        <v>179</v>
      </c>
      <c r="B64" s="5" t="s">
        <v>14</v>
      </c>
      <c r="C64" s="52">
        <v>1</v>
      </c>
      <c r="D64" s="53">
        <v>1</v>
      </c>
      <c r="E64" s="18">
        <v>9.4587255391187161E-3</v>
      </c>
      <c r="F64" s="18">
        <v>0.58440836959991993</v>
      </c>
      <c r="G64" s="41">
        <v>1.1171967013457775</v>
      </c>
      <c r="H64" s="52">
        <v>1</v>
      </c>
      <c r="I64" s="52">
        <v>1</v>
      </c>
      <c r="J64" s="18">
        <v>0.31098402089795207</v>
      </c>
      <c r="K64" s="41">
        <v>0.44920523947895974</v>
      </c>
      <c r="L64" s="41">
        <v>0.45715090665882785</v>
      </c>
      <c r="M64" s="41">
        <v>0.90950680800628292</v>
      </c>
      <c r="N64" s="41">
        <v>0.59406676298325445</v>
      </c>
      <c r="O64" s="41">
        <v>0.59406676298325445</v>
      </c>
      <c r="P64" s="41">
        <v>3.3792904577901131</v>
      </c>
      <c r="Q64" s="41">
        <v>4.9059089404963077</v>
      </c>
      <c r="R64" s="41">
        <v>1.6452735460672907</v>
      </c>
      <c r="S64" s="41">
        <v>0.59406676298325445</v>
      </c>
      <c r="T64" s="41">
        <v>0.59406676298325445</v>
      </c>
      <c r="U64" s="18">
        <v>1.6103158043410333</v>
      </c>
    </row>
    <row r="65" spans="1:21" x14ac:dyDescent="0.2">
      <c r="A65" s="5" t="s">
        <v>180</v>
      </c>
      <c r="B65" s="5" t="s">
        <v>15</v>
      </c>
      <c r="C65" s="52">
        <v>1</v>
      </c>
      <c r="D65" s="53">
        <v>1</v>
      </c>
      <c r="E65" s="18">
        <v>0</v>
      </c>
      <c r="F65" s="18">
        <v>0.58440836959991993</v>
      </c>
      <c r="G65" s="41">
        <v>1.1603189282240014</v>
      </c>
      <c r="H65" s="52">
        <v>1</v>
      </c>
      <c r="I65" s="52">
        <v>1</v>
      </c>
      <c r="J65" s="18">
        <v>0.31098402089795207</v>
      </c>
      <c r="K65" s="41">
        <v>0.78336956051909545</v>
      </c>
      <c r="L65" s="41">
        <v>0.73487122125281812</v>
      </c>
      <c r="M65" s="41">
        <v>0.98327526358732209</v>
      </c>
      <c r="N65" s="41">
        <v>0.72730665572445352</v>
      </c>
      <c r="O65" s="41">
        <v>0.72730665572445352</v>
      </c>
      <c r="P65" s="41">
        <v>4.3663676529004949</v>
      </c>
      <c r="Q65" s="41">
        <v>2.7006653762859134</v>
      </c>
      <c r="R65" s="41">
        <v>0.9035553507025097</v>
      </c>
      <c r="S65" s="41">
        <v>0.72730665572445352</v>
      </c>
      <c r="T65" s="41">
        <v>0.72730665572445352</v>
      </c>
      <c r="U65" s="18">
        <v>1.6103158043410333</v>
      </c>
    </row>
    <row r="66" spans="1:21" x14ac:dyDescent="0.2">
      <c r="A66" s="5" t="s">
        <v>181</v>
      </c>
      <c r="B66" s="5" t="s">
        <v>16</v>
      </c>
      <c r="C66" s="52">
        <v>1</v>
      </c>
      <c r="D66" s="53">
        <v>1</v>
      </c>
      <c r="E66" s="18">
        <v>2.5831095952566094E-2</v>
      </c>
      <c r="F66" s="18">
        <v>0.58440836959991993</v>
      </c>
      <c r="G66" s="41">
        <v>1.0818667312202448</v>
      </c>
      <c r="H66" s="52">
        <v>1</v>
      </c>
      <c r="I66" s="52">
        <v>1</v>
      </c>
      <c r="J66" s="18">
        <v>0.31098402089795207</v>
      </c>
      <c r="K66" s="41">
        <v>0.65619987604686103</v>
      </c>
      <c r="L66" s="41">
        <v>0.93455523820330932</v>
      </c>
      <c r="M66" s="41">
        <v>1.0198340316288539</v>
      </c>
      <c r="N66" s="41">
        <v>0.57385229267708704</v>
      </c>
      <c r="O66" s="41">
        <v>0.57385229267708704</v>
      </c>
      <c r="P66" s="41">
        <v>3.0834906967082318</v>
      </c>
      <c r="Q66" s="41">
        <v>3.3435448321449268</v>
      </c>
      <c r="R66" s="41">
        <v>1.0759997327264943</v>
      </c>
      <c r="S66" s="41">
        <v>0.57385229267708704</v>
      </c>
      <c r="T66" s="41">
        <v>0.57385229267708704</v>
      </c>
      <c r="U66" s="18">
        <v>1.6103158043410333</v>
      </c>
    </row>
    <row r="67" spans="1:21" x14ac:dyDescent="0.2">
      <c r="A67" s="5" t="s">
        <v>182</v>
      </c>
      <c r="B67" s="5" t="s">
        <v>17</v>
      </c>
      <c r="C67" s="52">
        <v>1</v>
      </c>
      <c r="D67" s="53">
        <v>1</v>
      </c>
      <c r="E67" s="18">
        <v>9.4587255391187161E-3</v>
      </c>
      <c r="F67" s="18">
        <v>0.58440836959991993</v>
      </c>
      <c r="G67" s="41">
        <v>1.0413701132303903</v>
      </c>
      <c r="H67" s="52">
        <v>1</v>
      </c>
      <c r="I67" s="52">
        <v>1</v>
      </c>
      <c r="J67" s="18">
        <v>0.31098402089795207</v>
      </c>
      <c r="K67" s="41">
        <v>0.56808085754522752</v>
      </c>
      <c r="L67" s="41">
        <v>0.65607526384456338</v>
      </c>
      <c r="M67" s="41">
        <v>1.0384789686380085</v>
      </c>
      <c r="N67" s="41">
        <v>0.63551145547714272</v>
      </c>
      <c r="O67" s="41">
        <v>0.63551145547714272</v>
      </c>
      <c r="P67" s="41">
        <v>2.3852084966799234</v>
      </c>
      <c r="Q67" s="41">
        <v>3.6917421234267596</v>
      </c>
      <c r="R67" s="41">
        <v>1.3954942330156694</v>
      </c>
      <c r="S67" s="41">
        <v>0.63551145547714272</v>
      </c>
      <c r="T67" s="41">
        <v>0.63551145547714272</v>
      </c>
      <c r="U67" s="18">
        <v>1.6103158043410333</v>
      </c>
    </row>
    <row r="68" spans="1:21" x14ac:dyDescent="0.2">
      <c r="A68" s="5" t="s">
        <v>183</v>
      </c>
      <c r="B68" s="5" t="s">
        <v>12</v>
      </c>
      <c r="C68" s="52">
        <v>1</v>
      </c>
      <c r="D68" s="53">
        <v>1</v>
      </c>
      <c r="E68" s="18">
        <v>0</v>
      </c>
      <c r="F68" s="18">
        <v>0.60874319104864594</v>
      </c>
      <c r="G68" s="41">
        <v>1.7449720697045867</v>
      </c>
      <c r="H68" s="52">
        <v>1</v>
      </c>
      <c r="I68" s="52">
        <v>1</v>
      </c>
      <c r="J68" s="18">
        <v>1.0661838815384808</v>
      </c>
      <c r="K68" s="41">
        <v>0.500338769552647</v>
      </c>
      <c r="L68" s="41">
        <v>0.83232840291905941</v>
      </c>
      <c r="M68" s="41">
        <v>0.79384143127863771</v>
      </c>
      <c r="N68" s="41">
        <v>0.97192706259192518</v>
      </c>
      <c r="O68" s="41">
        <v>0.97192706259192518</v>
      </c>
      <c r="P68" s="41">
        <v>3.2741007699786375</v>
      </c>
      <c r="Q68" s="41">
        <v>1.3056839290092268</v>
      </c>
      <c r="R68" s="41">
        <v>1.2206998387654753</v>
      </c>
      <c r="S68" s="41">
        <v>0.97192706259192518</v>
      </c>
      <c r="T68" s="41">
        <v>0.97192706259192518</v>
      </c>
      <c r="U68" s="18">
        <v>0</v>
      </c>
    </row>
    <row r="69" spans="1:21" x14ac:dyDescent="0.2">
      <c r="A69" s="5" t="s">
        <v>184</v>
      </c>
      <c r="B69" s="5" t="s">
        <v>13</v>
      </c>
      <c r="C69" s="52">
        <v>1</v>
      </c>
      <c r="D69" s="53">
        <v>1</v>
      </c>
      <c r="E69" s="18">
        <v>0</v>
      </c>
      <c r="F69" s="18">
        <v>0.60874319104864594</v>
      </c>
      <c r="G69" s="41">
        <v>1.7449720697045867</v>
      </c>
      <c r="H69" s="52">
        <v>1</v>
      </c>
      <c r="I69" s="52">
        <v>1</v>
      </c>
      <c r="J69" s="18">
        <v>1.0661838815384808</v>
      </c>
      <c r="K69" s="41">
        <v>0.500338769552647</v>
      </c>
      <c r="L69" s="41">
        <v>0.83232840291905941</v>
      </c>
      <c r="M69" s="41">
        <v>0.79384143127863771</v>
      </c>
      <c r="N69" s="41">
        <v>0.97192706259192518</v>
      </c>
      <c r="O69" s="41">
        <v>0.97192706259192518</v>
      </c>
      <c r="P69" s="41">
        <v>3.2741007699786375</v>
      </c>
      <c r="Q69" s="41">
        <v>1.3056839290092268</v>
      </c>
      <c r="R69" s="41">
        <v>1.2206998387654753</v>
      </c>
      <c r="S69" s="41">
        <v>0.97192706259192518</v>
      </c>
      <c r="T69" s="41">
        <v>0.97192706259192518</v>
      </c>
      <c r="U69" s="18">
        <v>0</v>
      </c>
    </row>
    <row r="70" spans="1:21" x14ac:dyDescent="0.2">
      <c r="A70" s="5" t="s">
        <v>185</v>
      </c>
      <c r="B70" s="5" t="s">
        <v>14</v>
      </c>
      <c r="C70" s="52">
        <v>1</v>
      </c>
      <c r="D70" s="53">
        <v>1</v>
      </c>
      <c r="E70" s="18">
        <v>0</v>
      </c>
      <c r="F70" s="18">
        <v>0.60874319104864594</v>
      </c>
      <c r="G70" s="41">
        <v>1.7449720697045867</v>
      </c>
      <c r="H70" s="52">
        <v>1</v>
      </c>
      <c r="I70" s="52">
        <v>1</v>
      </c>
      <c r="J70" s="18">
        <v>1.0661838815384808</v>
      </c>
      <c r="K70" s="41">
        <v>0.500338769552647</v>
      </c>
      <c r="L70" s="41">
        <v>0.83232840291905941</v>
      </c>
      <c r="M70" s="41">
        <v>0.79384143127863771</v>
      </c>
      <c r="N70" s="41">
        <v>0.97192706259192518</v>
      </c>
      <c r="O70" s="41">
        <v>0.97192706259192518</v>
      </c>
      <c r="P70" s="41">
        <v>3.2741007699786375</v>
      </c>
      <c r="Q70" s="41">
        <v>1.3056839290092268</v>
      </c>
      <c r="R70" s="41">
        <v>1.2206998387654753</v>
      </c>
      <c r="S70" s="41">
        <v>0.97192706259192518</v>
      </c>
      <c r="T70" s="41">
        <v>0.97192706259192518</v>
      </c>
      <c r="U70" s="18">
        <v>0</v>
      </c>
    </row>
    <row r="71" spans="1:21" x14ac:dyDescent="0.2">
      <c r="A71" s="5" t="s">
        <v>186</v>
      </c>
      <c r="B71" s="5" t="s">
        <v>15</v>
      </c>
      <c r="C71" s="52">
        <v>1</v>
      </c>
      <c r="D71" s="53">
        <v>1</v>
      </c>
      <c r="E71" s="18">
        <v>0</v>
      </c>
      <c r="F71" s="18">
        <v>0.60874319104864594</v>
      </c>
      <c r="G71" s="41">
        <v>1.7449720697045867</v>
      </c>
      <c r="H71" s="52">
        <v>1</v>
      </c>
      <c r="I71" s="52">
        <v>1</v>
      </c>
      <c r="J71" s="18">
        <v>1.0661838815384808</v>
      </c>
      <c r="K71" s="41">
        <v>0.500338769552647</v>
      </c>
      <c r="L71" s="41">
        <v>0.83232840291905941</v>
      </c>
      <c r="M71" s="41">
        <v>0.79384143127863771</v>
      </c>
      <c r="N71" s="41">
        <v>0.97192706259192518</v>
      </c>
      <c r="O71" s="41">
        <v>0.97192706259192518</v>
      </c>
      <c r="P71" s="41">
        <v>3.2741007699786375</v>
      </c>
      <c r="Q71" s="41">
        <v>1.3056839290092268</v>
      </c>
      <c r="R71" s="41">
        <v>1.2206998387654753</v>
      </c>
      <c r="S71" s="41">
        <v>0.97192706259192518</v>
      </c>
      <c r="T71" s="41">
        <v>0.97192706259192518</v>
      </c>
      <c r="U71" s="18">
        <v>0</v>
      </c>
    </row>
    <row r="72" spans="1:21" x14ac:dyDescent="0.2">
      <c r="A72" s="5" t="s">
        <v>187</v>
      </c>
      <c r="B72" s="5" t="s">
        <v>16</v>
      </c>
      <c r="C72" s="52">
        <v>1</v>
      </c>
      <c r="D72" s="53">
        <v>1</v>
      </c>
      <c r="E72" s="18">
        <v>0</v>
      </c>
      <c r="F72" s="18">
        <v>0.60874319104864594</v>
      </c>
      <c r="G72" s="41">
        <v>1.7449720697045867</v>
      </c>
      <c r="H72" s="52">
        <v>1</v>
      </c>
      <c r="I72" s="52">
        <v>1</v>
      </c>
      <c r="J72" s="18">
        <v>1.0661838815384808</v>
      </c>
      <c r="K72" s="41">
        <v>0.500338769552647</v>
      </c>
      <c r="L72" s="41">
        <v>0.83232840291905941</v>
      </c>
      <c r="M72" s="41">
        <v>0.79384143127863771</v>
      </c>
      <c r="N72" s="41">
        <v>0.97192706259192518</v>
      </c>
      <c r="O72" s="41">
        <v>0.97192706259192518</v>
      </c>
      <c r="P72" s="41">
        <v>3.2741007699786375</v>
      </c>
      <c r="Q72" s="41">
        <v>1.3056839290092268</v>
      </c>
      <c r="R72" s="41">
        <v>1.2206998387654753</v>
      </c>
      <c r="S72" s="41">
        <v>0.97192706259192518</v>
      </c>
      <c r="T72" s="41">
        <v>0.97192706259192518</v>
      </c>
      <c r="U72" s="18">
        <v>0</v>
      </c>
    </row>
    <row r="73" spans="1:21" x14ac:dyDescent="0.2">
      <c r="A73" s="5" t="s">
        <v>188</v>
      </c>
      <c r="B73" s="5" t="s">
        <v>17</v>
      </c>
      <c r="C73" s="52">
        <v>1</v>
      </c>
      <c r="D73" s="53">
        <v>1</v>
      </c>
      <c r="E73" s="18">
        <v>0</v>
      </c>
      <c r="F73" s="18">
        <v>0.60874319104864594</v>
      </c>
      <c r="G73" s="41">
        <v>1.7449720697045867</v>
      </c>
      <c r="H73" s="52">
        <v>1</v>
      </c>
      <c r="I73" s="52">
        <v>1</v>
      </c>
      <c r="J73" s="18">
        <v>1.0661838815384808</v>
      </c>
      <c r="K73" s="41">
        <v>0.500338769552647</v>
      </c>
      <c r="L73" s="41">
        <v>0.83232840291905941</v>
      </c>
      <c r="M73" s="41">
        <v>0.79384143127863771</v>
      </c>
      <c r="N73" s="41">
        <v>0.97192706259192518</v>
      </c>
      <c r="O73" s="41">
        <v>0.97192706259192518</v>
      </c>
      <c r="P73" s="41">
        <v>3.2741007699786375</v>
      </c>
      <c r="Q73" s="41">
        <v>1.3056839290092268</v>
      </c>
      <c r="R73" s="41">
        <v>1.2206998387654753</v>
      </c>
      <c r="S73" s="41">
        <v>0.97192706259192518</v>
      </c>
      <c r="T73" s="41">
        <v>0.97192706259192518</v>
      </c>
      <c r="U73" s="18">
        <v>0</v>
      </c>
    </row>
    <row r="74" spans="1:21" x14ac:dyDescent="0.2">
      <c r="A74" s="5" t="s">
        <v>189</v>
      </c>
      <c r="B74" s="5" t="s">
        <v>12</v>
      </c>
      <c r="C74" s="52">
        <v>1</v>
      </c>
      <c r="D74" s="53">
        <v>1</v>
      </c>
      <c r="E74" s="18">
        <v>0</v>
      </c>
      <c r="F74" s="18">
        <v>0.85614404662113819</v>
      </c>
      <c r="G74" s="41">
        <v>0.60108914196945973</v>
      </c>
      <c r="H74" s="52">
        <v>1</v>
      </c>
      <c r="I74" s="52">
        <v>1</v>
      </c>
      <c r="J74" s="18">
        <v>0.92636542806202005</v>
      </c>
      <c r="K74" s="41">
        <v>0.500338769552647</v>
      </c>
      <c r="L74" s="41">
        <v>3.0491378915851204</v>
      </c>
      <c r="M74" s="41">
        <v>1.5509229936123634</v>
      </c>
      <c r="N74" s="41">
        <v>0.88513188011853394</v>
      </c>
      <c r="O74" s="41">
        <v>0.88513188011853394</v>
      </c>
      <c r="P74" s="41">
        <v>0.4172089776995303</v>
      </c>
      <c r="Q74" s="41">
        <v>0.67761822146395978</v>
      </c>
      <c r="R74" s="41">
        <v>0.61015797198497268</v>
      </c>
      <c r="S74" s="41">
        <v>0.88513188011853394</v>
      </c>
      <c r="T74" s="41">
        <v>0.88513188011853394</v>
      </c>
      <c r="U74" s="18">
        <v>3.2986235993950901</v>
      </c>
    </row>
    <row r="75" spans="1:21" x14ac:dyDescent="0.2">
      <c r="A75" s="5" t="s">
        <v>190</v>
      </c>
      <c r="B75" s="5" t="s">
        <v>13</v>
      </c>
      <c r="C75" s="52">
        <v>1</v>
      </c>
      <c r="D75" s="53">
        <v>1</v>
      </c>
      <c r="E75" s="18">
        <v>0</v>
      </c>
      <c r="F75" s="18">
        <v>0.85614404662113819</v>
      </c>
      <c r="G75" s="41">
        <v>0.60108914196945973</v>
      </c>
      <c r="H75" s="52">
        <v>1</v>
      </c>
      <c r="I75" s="52">
        <v>1</v>
      </c>
      <c r="J75" s="18">
        <v>0.92636542806202005</v>
      </c>
      <c r="K75" s="41">
        <v>0.500338769552647</v>
      </c>
      <c r="L75" s="41">
        <v>3.0491378915851204</v>
      </c>
      <c r="M75" s="41">
        <v>1.5509229936123634</v>
      </c>
      <c r="N75" s="41">
        <v>0.88513188011853394</v>
      </c>
      <c r="O75" s="41">
        <v>0.88513188011853394</v>
      </c>
      <c r="P75" s="41">
        <v>0.4172089776995303</v>
      </c>
      <c r="Q75" s="41">
        <v>0.67761822146395978</v>
      </c>
      <c r="R75" s="41">
        <v>0.61015797198497268</v>
      </c>
      <c r="S75" s="41">
        <v>0.88513188011853394</v>
      </c>
      <c r="T75" s="41">
        <v>0.88513188011853394</v>
      </c>
      <c r="U75" s="18">
        <v>3.2986235993950901</v>
      </c>
    </row>
    <row r="76" spans="1:21" x14ac:dyDescent="0.2">
      <c r="A76" s="5" t="s">
        <v>191</v>
      </c>
      <c r="B76" s="5" t="s">
        <v>14</v>
      </c>
      <c r="C76" s="52">
        <v>1</v>
      </c>
      <c r="D76" s="53">
        <v>1</v>
      </c>
      <c r="E76" s="18">
        <v>1.546777421189212E-3</v>
      </c>
      <c r="F76" s="18">
        <v>0.85614404662113819</v>
      </c>
      <c r="G76" s="41">
        <v>0.60108914196945973</v>
      </c>
      <c r="H76" s="52">
        <v>1</v>
      </c>
      <c r="I76" s="52">
        <v>1</v>
      </c>
      <c r="J76" s="18">
        <v>0.92636542806202005</v>
      </c>
      <c r="K76" s="41">
        <v>0.500338769552647</v>
      </c>
      <c r="L76" s="41">
        <v>3.0491378915851204</v>
      </c>
      <c r="M76" s="41">
        <v>1.5509229936123634</v>
      </c>
      <c r="N76" s="41">
        <v>0.88513188011853394</v>
      </c>
      <c r="O76" s="41">
        <v>0.88513188011853394</v>
      </c>
      <c r="P76" s="41">
        <v>0.4172089776995303</v>
      </c>
      <c r="Q76" s="41">
        <v>0.67761822146395978</v>
      </c>
      <c r="R76" s="41">
        <v>0.61015797198497268</v>
      </c>
      <c r="S76" s="41">
        <v>0.88513188011853394</v>
      </c>
      <c r="T76" s="41">
        <v>0.88513188011853394</v>
      </c>
      <c r="U76" s="18">
        <v>3.2986235993950901</v>
      </c>
    </row>
    <row r="77" spans="1:21" x14ac:dyDescent="0.2">
      <c r="A77" s="5" t="s">
        <v>192</v>
      </c>
      <c r="B77" s="5" t="s">
        <v>15</v>
      </c>
      <c r="C77" s="52">
        <v>1</v>
      </c>
      <c r="D77" s="53">
        <v>1</v>
      </c>
      <c r="E77" s="18">
        <v>0</v>
      </c>
      <c r="F77" s="18">
        <v>0.85614404662113819</v>
      </c>
      <c r="G77" s="41">
        <v>1.0932720500863808</v>
      </c>
      <c r="H77" s="52">
        <v>1</v>
      </c>
      <c r="I77" s="52">
        <v>1</v>
      </c>
      <c r="J77" s="18">
        <v>0.92636542806202005</v>
      </c>
      <c r="K77" s="41">
        <v>0.66211966308923631</v>
      </c>
      <c r="L77" s="41">
        <v>2.2387294786238252</v>
      </c>
      <c r="M77" s="41">
        <v>1.7384991026469907</v>
      </c>
      <c r="N77" s="41">
        <v>1.0706066369031004</v>
      </c>
      <c r="O77" s="41">
        <v>1.0706066369031004</v>
      </c>
      <c r="P77" s="41">
        <v>0.68670831654280362</v>
      </c>
      <c r="Q77" s="41">
        <v>0.4502009601853727</v>
      </c>
      <c r="R77" s="41">
        <v>0.69639661863769142</v>
      </c>
      <c r="S77" s="41">
        <v>1.0706066369031004</v>
      </c>
      <c r="T77" s="41">
        <v>1.0706066369031004</v>
      </c>
      <c r="U77" s="18">
        <v>3.2986235993950901</v>
      </c>
    </row>
    <row r="78" spans="1:21" x14ac:dyDescent="0.2">
      <c r="A78" s="5" t="s">
        <v>193</v>
      </c>
      <c r="B78" s="5" t="s">
        <v>16</v>
      </c>
      <c r="C78" s="52">
        <v>1</v>
      </c>
      <c r="D78" s="53">
        <v>1</v>
      </c>
      <c r="E78" s="18">
        <v>0</v>
      </c>
      <c r="F78" s="18">
        <v>0.85614404662113819</v>
      </c>
      <c r="G78" s="41">
        <v>0.49344841986974219</v>
      </c>
      <c r="H78" s="52">
        <v>1</v>
      </c>
      <c r="I78" s="52">
        <v>1</v>
      </c>
      <c r="J78" s="18">
        <v>0.92636542806202005</v>
      </c>
      <c r="K78" s="41">
        <v>0.47990944446537276</v>
      </c>
      <c r="L78" s="41">
        <v>2.6075321842554415</v>
      </c>
      <c r="M78" s="41">
        <v>2.0593173729710066</v>
      </c>
      <c r="N78" s="41">
        <v>1.0248417189437706</v>
      </c>
      <c r="O78" s="41">
        <v>1.0248417189437706</v>
      </c>
      <c r="P78" s="41">
        <v>0.59897920631740753</v>
      </c>
      <c r="Q78" s="41">
        <v>0.51625296245546515</v>
      </c>
      <c r="R78" s="41">
        <v>0.51172747163731414</v>
      </c>
      <c r="S78" s="41">
        <v>1.0248417189437706</v>
      </c>
      <c r="T78" s="41">
        <v>1.0248417189437706</v>
      </c>
      <c r="U78" s="18">
        <v>3.2986235993950901</v>
      </c>
    </row>
    <row r="79" spans="1:21" x14ac:dyDescent="0.2">
      <c r="A79" s="5" t="s">
        <v>194</v>
      </c>
      <c r="B79" s="5" t="s">
        <v>17</v>
      </c>
      <c r="C79" s="52">
        <v>1</v>
      </c>
      <c r="D79" s="53">
        <v>1</v>
      </c>
      <c r="E79" s="18">
        <v>1.546777421189212E-3</v>
      </c>
      <c r="F79" s="18">
        <v>0.85614404662113819</v>
      </c>
      <c r="G79" s="41">
        <v>0.46514881553290977</v>
      </c>
      <c r="H79" s="52">
        <v>1</v>
      </c>
      <c r="I79" s="52">
        <v>1</v>
      </c>
      <c r="J79" s="18">
        <v>0.92636542806202005</v>
      </c>
      <c r="K79" s="41">
        <v>0.45205191742303175</v>
      </c>
      <c r="L79" s="41">
        <v>3.3730302083767953</v>
      </c>
      <c r="M79" s="41">
        <v>1.4105122354300346</v>
      </c>
      <c r="N79" s="41">
        <v>0.80512245230355894</v>
      </c>
      <c r="O79" s="41">
        <v>0.80512245230355894</v>
      </c>
      <c r="P79" s="41">
        <v>0.30396492560148486</v>
      </c>
      <c r="Q79" s="41">
        <v>0.77495989490419304</v>
      </c>
      <c r="R79" s="41">
        <v>0.60012392356386746</v>
      </c>
      <c r="S79" s="41">
        <v>0.80512245230355894</v>
      </c>
      <c r="T79" s="41">
        <v>0.80512245230355894</v>
      </c>
      <c r="U79" s="18">
        <v>3.2986235993950901</v>
      </c>
    </row>
    <row r="80" spans="1:21" x14ac:dyDescent="0.2">
      <c r="A80" s="5" t="s">
        <v>195</v>
      </c>
      <c r="B80" s="5" t="s">
        <v>12</v>
      </c>
      <c r="C80" s="52">
        <v>1</v>
      </c>
      <c r="D80" s="53">
        <v>1</v>
      </c>
      <c r="E80" s="18">
        <v>0</v>
      </c>
      <c r="F80" s="18">
        <v>0.62893456840597473</v>
      </c>
      <c r="G80" s="41">
        <v>0.66132836905038472</v>
      </c>
      <c r="H80" s="52">
        <v>1</v>
      </c>
      <c r="I80" s="52">
        <v>1</v>
      </c>
      <c r="J80" s="18">
        <v>4.0271155739810265</v>
      </c>
      <c r="K80" s="41">
        <v>0.500338769552647</v>
      </c>
      <c r="L80" s="41">
        <v>0.19170161033032052</v>
      </c>
      <c r="M80" s="41">
        <v>1.1161837862991404</v>
      </c>
      <c r="N80" s="41">
        <v>0.80874308973691644</v>
      </c>
      <c r="O80" s="41">
        <v>0.80874308973691644</v>
      </c>
      <c r="P80" s="41">
        <v>0.54864010242115191</v>
      </c>
      <c r="Q80" s="41">
        <v>0.15976191681392465</v>
      </c>
      <c r="R80" s="41">
        <v>1.1795976931554399</v>
      </c>
      <c r="S80" s="41">
        <v>0.80874308973691644</v>
      </c>
      <c r="T80" s="41">
        <v>0.80874308973691644</v>
      </c>
      <c r="U80" s="18">
        <v>0.99640529150544421</v>
      </c>
    </row>
    <row r="81" spans="1:21" x14ac:dyDescent="0.2">
      <c r="A81" s="5" t="s">
        <v>196</v>
      </c>
      <c r="B81" s="5" t="s">
        <v>13</v>
      </c>
      <c r="C81" s="52">
        <v>1</v>
      </c>
      <c r="D81" s="53">
        <v>1</v>
      </c>
      <c r="E81" s="18">
        <v>0.11537308289709916</v>
      </c>
      <c r="F81" s="18">
        <v>0.62893456840597473</v>
      </c>
      <c r="G81" s="41">
        <v>0.66132836905038472</v>
      </c>
      <c r="H81" s="52">
        <v>1</v>
      </c>
      <c r="I81" s="52">
        <v>1</v>
      </c>
      <c r="J81" s="18">
        <v>4.0271155739810265</v>
      </c>
      <c r="K81" s="41">
        <v>0.500338769552647</v>
      </c>
      <c r="L81" s="41">
        <v>0.19170161033032052</v>
      </c>
      <c r="M81" s="41">
        <v>1.1161837862991404</v>
      </c>
      <c r="N81" s="41">
        <v>0.80874308973691644</v>
      </c>
      <c r="O81" s="41">
        <v>0.80874308973691644</v>
      </c>
      <c r="P81" s="41">
        <v>0.54864010242115191</v>
      </c>
      <c r="Q81" s="41">
        <v>0.15976191681392465</v>
      </c>
      <c r="R81" s="41">
        <v>1.1795976931554399</v>
      </c>
      <c r="S81" s="41">
        <v>0.80874308973691644</v>
      </c>
      <c r="T81" s="41">
        <v>0.80874308973691644</v>
      </c>
      <c r="U81" s="18">
        <v>0.99640529150544421</v>
      </c>
    </row>
    <row r="82" spans="1:21" x14ac:dyDescent="0.2">
      <c r="A82" s="5" t="s">
        <v>197</v>
      </c>
      <c r="B82" s="5" t="s">
        <v>14</v>
      </c>
      <c r="C82" s="52">
        <v>1</v>
      </c>
      <c r="D82" s="53">
        <v>1</v>
      </c>
      <c r="E82" s="18">
        <v>2.8488740223773578E-2</v>
      </c>
      <c r="F82" s="18">
        <v>0.62893456840597473</v>
      </c>
      <c r="G82" s="41">
        <v>0.66132836905038472</v>
      </c>
      <c r="H82" s="52">
        <v>1</v>
      </c>
      <c r="I82" s="52">
        <v>1</v>
      </c>
      <c r="J82" s="18">
        <v>4.0271155739810265</v>
      </c>
      <c r="K82" s="41">
        <v>0.500338769552647</v>
      </c>
      <c r="L82" s="41">
        <v>0.19170161033032052</v>
      </c>
      <c r="M82" s="41">
        <v>1.1161837862991404</v>
      </c>
      <c r="N82" s="41">
        <v>0.80874308973691644</v>
      </c>
      <c r="O82" s="41">
        <v>0.80874308973691644</v>
      </c>
      <c r="P82" s="41">
        <v>0.54864010242115191</v>
      </c>
      <c r="Q82" s="41">
        <v>0.15976191681392465</v>
      </c>
      <c r="R82" s="41">
        <v>1.1795976931554399</v>
      </c>
      <c r="S82" s="41">
        <v>0.80874308973691644</v>
      </c>
      <c r="T82" s="41">
        <v>0.80874308973691644</v>
      </c>
      <c r="U82" s="18">
        <v>0.99640529150544421</v>
      </c>
    </row>
    <row r="83" spans="1:21" x14ac:dyDescent="0.2">
      <c r="A83" s="5" t="s">
        <v>198</v>
      </c>
      <c r="B83" s="5" t="s">
        <v>15</v>
      </c>
      <c r="C83" s="52">
        <v>1</v>
      </c>
      <c r="D83" s="53">
        <v>1</v>
      </c>
      <c r="E83" s="18">
        <v>0</v>
      </c>
      <c r="F83" s="18">
        <v>0.62893456840597473</v>
      </c>
      <c r="G83" s="41">
        <v>0.66132836905038472</v>
      </c>
      <c r="H83" s="52">
        <v>1</v>
      </c>
      <c r="I83" s="52">
        <v>1</v>
      </c>
      <c r="J83" s="18">
        <v>4.0271155739810265</v>
      </c>
      <c r="K83" s="41">
        <v>0.500338769552647</v>
      </c>
      <c r="L83" s="41">
        <v>0.19170161033032052</v>
      </c>
      <c r="M83" s="41">
        <v>1.1161837862991404</v>
      </c>
      <c r="N83" s="41">
        <v>0.80874308973691644</v>
      </c>
      <c r="O83" s="41">
        <v>0.80874308973691644</v>
      </c>
      <c r="P83" s="41">
        <v>0.54864010242115191</v>
      </c>
      <c r="Q83" s="41">
        <v>0.15976191681392465</v>
      </c>
      <c r="R83" s="41">
        <v>1.1795976931554399</v>
      </c>
      <c r="S83" s="41">
        <v>0.80874308973691644</v>
      </c>
      <c r="T83" s="41">
        <v>0.80874308973691644</v>
      </c>
      <c r="U83" s="18">
        <v>0.99640529150544421</v>
      </c>
    </row>
    <row r="84" spans="1:21" x14ac:dyDescent="0.2">
      <c r="A84" s="5" t="s">
        <v>199</v>
      </c>
      <c r="B84" s="5" t="s">
        <v>16</v>
      </c>
      <c r="C84" s="52">
        <v>1</v>
      </c>
      <c r="D84" s="53">
        <v>1</v>
      </c>
      <c r="E84" s="18">
        <v>0.11537308289709916</v>
      </c>
      <c r="F84" s="18">
        <v>0.62893456840597473</v>
      </c>
      <c r="G84" s="41">
        <v>0.66132836905038461</v>
      </c>
      <c r="H84" s="52">
        <v>1</v>
      </c>
      <c r="I84" s="52">
        <v>1</v>
      </c>
      <c r="J84" s="18">
        <v>4.0271155739810265</v>
      </c>
      <c r="K84" s="41">
        <v>0.50033876955264689</v>
      </c>
      <c r="L84" s="41">
        <v>0.19170161033032049</v>
      </c>
      <c r="M84" s="41">
        <v>1.1161837862991402</v>
      </c>
      <c r="N84" s="41">
        <v>0.80874308973691622</v>
      </c>
      <c r="O84" s="41">
        <v>0.80874308973691622</v>
      </c>
      <c r="P84" s="41">
        <v>0.54864010242115191</v>
      </c>
      <c r="Q84" s="41">
        <v>0.15976191681392463</v>
      </c>
      <c r="R84" s="41">
        <v>1.1795976931554397</v>
      </c>
      <c r="S84" s="41">
        <v>0.80874308973691622</v>
      </c>
      <c r="T84" s="41">
        <v>0.80874308973691622</v>
      </c>
      <c r="U84" s="18">
        <v>0.99640529150544421</v>
      </c>
    </row>
    <row r="85" spans="1:21" x14ac:dyDescent="0.2">
      <c r="A85" s="5" t="s">
        <v>200</v>
      </c>
      <c r="B85" s="5" t="s">
        <v>17</v>
      </c>
      <c r="C85" s="52">
        <v>1</v>
      </c>
      <c r="D85" s="53">
        <v>1</v>
      </c>
      <c r="E85" s="18">
        <v>2.8488740223773578E-2</v>
      </c>
      <c r="F85" s="18">
        <v>0.62893456840597473</v>
      </c>
      <c r="G85" s="41">
        <v>0.66132836905038472</v>
      </c>
      <c r="H85" s="52">
        <v>1</v>
      </c>
      <c r="I85" s="52">
        <v>1</v>
      </c>
      <c r="J85" s="18">
        <v>4.0271155739810265</v>
      </c>
      <c r="K85" s="41">
        <v>0.500338769552647</v>
      </c>
      <c r="L85" s="41">
        <v>0.19170161033032052</v>
      </c>
      <c r="M85" s="41">
        <v>1.1161837862991404</v>
      </c>
      <c r="N85" s="41">
        <v>0.80874308973691644</v>
      </c>
      <c r="O85" s="41">
        <v>0.80874308973691644</v>
      </c>
      <c r="P85" s="41">
        <v>0.54864010242115191</v>
      </c>
      <c r="Q85" s="41">
        <v>0.15976191681392465</v>
      </c>
      <c r="R85" s="41">
        <v>1.1795976931554399</v>
      </c>
      <c r="S85" s="41">
        <v>0.80874308973691644</v>
      </c>
      <c r="T85" s="41">
        <v>0.80874308973691644</v>
      </c>
      <c r="U85" s="18">
        <v>0.99640529150544421</v>
      </c>
    </row>
    <row r="86" spans="1:21" x14ac:dyDescent="0.2">
      <c r="A86" s="5" t="s">
        <v>201</v>
      </c>
      <c r="B86" s="5" t="s">
        <v>12</v>
      </c>
      <c r="C86" s="52">
        <v>1</v>
      </c>
      <c r="D86" s="53">
        <v>1</v>
      </c>
      <c r="E86" s="18">
        <v>0.54934495927031179</v>
      </c>
      <c r="F86" s="18">
        <v>0.6643041691596463</v>
      </c>
      <c r="G86" s="41">
        <v>0.71071180573775972</v>
      </c>
      <c r="H86" s="52">
        <v>1</v>
      </c>
      <c r="I86" s="52">
        <v>1</v>
      </c>
      <c r="J86" s="18">
        <v>0.32738625095420232</v>
      </c>
      <c r="K86" s="41">
        <v>0.500338769552647</v>
      </c>
      <c r="L86" s="41">
        <v>2.2144619926757581</v>
      </c>
      <c r="M86" s="41">
        <v>1.4434573677412041</v>
      </c>
      <c r="N86" s="41">
        <v>0.67686015866863247</v>
      </c>
      <c r="O86" s="41">
        <v>0.67686015866863247</v>
      </c>
      <c r="P86" s="41">
        <v>0.51836698371051371</v>
      </c>
      <c r="Q86" s="41">
        <v>0.86852382226381653</v>
      </c>
      <c r="R86" s="41">
        <v>0.86325986491322559</v>
      </c>
      <c r="S86" s="41">
        <v>0.67686015866863247</v>
      </c>
      <c r="T86" s="41">
        <v>0.67686015866863247</v>
      </c>
      <c r="U86" s="18">
        <v>0.23521154496246144</v>
      </c>
    </row>
    <row r="87" spans="1:21" x14ac:dyDescent="0.2">
      <c r="A87" s="5" t="s">
        <v>202</v>
      </c>
      <c r="B87" s="5" t="s">
        <v>13</v>
      </c>
      <c r="C87" s="52">
        <v>1</v>
      </c>
      <c r="D87" s="53">
        <v>1</v>
      </c>
      <c r="E87" s="18">
        <v>0.10574313554536406</v>
      </c>
      <c r="F87" s="18">
        <v>0.6643041691596463</v>
      </c>
      <c r="G87" s="41">
        <v>0.71071180573775972</v>
      </c>
      <c r="H87" s="52">
        <v>1</v>
      </c>
      <c r="I87" s="52">
        <v>1</v>
      </c>
      <c r="J87" s="18">
        <v>0.32738625095420232</v>
      </c>
      <c r="K87" s="41">
        <v>0.500338769552647</v>
      </c>
      <c r="L87" s="41">
        <v>2.2144619926757581</v>
      </c>
      <c r="M87" s="41">
        <v>1.4434573677412041</v>
      </c>
      <c r="N87" s="41">
        <v>0.67686015866863247</v>
      </c>
      <c r="O87" s="41">
        <v>0.67686015866863247</v>
      </c>
      <c r="P87" s="41">
        <v>0.51836698371051371</v>
      </c>
      <c r="Q87" s="41">
        <v>0.86852382226381653</v>
      </c>
      <c r="R87" s="41">
        <v>0.86325986491322559</v>
      </c>
      <c r="S87" s="41">
        <v>0.67686015866863247</v>
      </c>
      <c r="T87" s="41">
        <v>0.67686015866863247</v>
      </c>
      <c r="U87" s="18">
        <v>0.23521154496246144</v>
      </c>
    </row>
    <row r="88" spans="1:21" x14ac:dyDescent="0.2">
      <c r="A88" s="5" t="s">
        <v>203</v>
      </c>
      <c r="B88" s="5" t="s">
        <v>14</v>
      </c>
      <c r="C88" s="52">
        <v>1</v>
      </c>
      <c r="D88" s="53">
        <v>1</v>
      </c>
      <c r="E88" s="18">
        <v>7.7718764276665355E-3</v>
      </c>
      <c r="F88" s="18">
        <v>0.6643041691596463</v>
      </c>
      <c r="G88" s="41">
        <v>0.71071180573775972</v>
      </c>
      <c r="H88" s="52">
        <v>1</v>
      </c>
      <c r="I88" s="52">
        <v>1</v>
      </c>
      <c r="J88" s="18">
        <v>0.32738625095420232</v>
      </c>
      <c r="K88" s="41">
        <v>0.500338769552647</v>
      </c>
      <c r="L88" s="41">
        <v>2.2144619926757581</v>
      </c>
      <c r="M88" s="41">
        <v>1.4434573677412041</v>
      </c>
      <c r="N88" s="41">
        <v>0.67686015866863247</v>
      </c>
      <c r="O88" s="41">
        <v>0.67686015866863247</v>
      </c>
      <c r="P88" s="41">
        <v>0.51836698371051371</v>
      </c>
      <c r="Q88" s="41">
        <v>0.86852382226381653</v>
      </c>
      <c r="R88" s="41">
        <v>0.86325986491322559</v>
      </c>
      <c r="S88" s="41">
        <v>0.67686015866863247</v>
      </c>
      <c r="T88" s="41">
        <v>0.67686015866863247</v>
      </c>
      <c r="U88" s="18">
        <v>0.23521154496246144</v>
      </c>
    </row>
    <row r="89" spans="1:21" x14ac:dyDescent="0.2">
      <c r="A89" s="5" t="s">
        <v>204</v>
      </c>
      <c r="B89" s="5" t="s">
        <v>15</v>
      </c>
      <c r="C89" s="52">
        <v>1</v>
      </c>
      <c r="D89" s="53">
        <v>1</v>
      </c>
      <c r="E89" s="18">
        <v>0.54934495927031179</v>
      </c>
      <c r="F89" s="18">
        <v>0.6643041691596463</v>
      </c>
      <c r="G89" s="41">
        <v>0.77888440090583555</v>
      </c>
      <c r="H89" s="52">
        <v>1</v>
      </c>
      <c r="I89" s="52">
        <v>1</v>
      </c>
      <c r="J89" s="18">
        <v>0.32738625095420232</v>
      </c>
      <c r="K89" s="41">
        <v>0.5873343120180764</v>
      </c>
      <c r="L89" s="41">
        <v>2.2890781445309427</v>
      </c>
      <c r="M89" s="41">
        <v>1.2046087234773473</v>
      </c>
      <c r="N89" s="41">
        <v>0.70258568990800707</v>
      </c>
      <c r="O89" s="41">
        <v>0.70258568990800707</v>
      </c>
      <c r="P89" s="41">
        <v>0.58778337619492194</v>
      </c>
      <c r="Q89" s="41">
        <v>0.71206290884655055</v>
      </c>
      <c r="R89" s="41">
        <v>0.83079645764550725</v>
      </c>
      <c r="S89" s="41">
        <v>0.70258568990800707</v>
      </c>
      <c r="T89" s="41">
        <v>0.70258568990800707</v>
      </c>
      <c r="U89" s="18">
        <v>0.23521154496246144</v>
      </c>
    </row>
    <row r="90" spans="1:21" x14ac:dyDescent="0.2">
      <c r="A90" s="5" t="s">
        <v>205</v>
      </c>
      <c r="B90" s="5" t="s">
        <v>16</v>
      </c>
      <c r="C90" s="52">
        <v>1</v>
      </c>
      <c r="D90" s="53">
        <v>1</v>
      </c>
      <c r="E90" s="18">
        <v>0.10574313554536406</v>
      </c>
      <c r="F90" s="18">
        <v>0.6643041691596463</v>
      </c>
      <c r="G90" s="41">
        <v>0.60288936124367476</v>
      </c>
      <c r="H90" s="52">
        <v>1</v>
      </c>
      <c r="I90" s="52">
        <v>1</v>
      </c>
      <c r="J90" s="18">
        <v>0.32738625095420232</v>
      </c>
      <c r="K90" s="41">
        <v>0.37984048842550155</v>
      </c>
      <c r="L90" s="41">
        <v>1.9994289077754444</v>
      </c>
      <c r="M90" s="41">
        <v>1.9371327454008367</v>
      </c>
      <c r="N90" s="41">
        <v>0.59515214459110166</v>
      </c>
      <c r="O90" s="41">
        <v>0.59515214459110166</v>
      </c>
      <c r="P90" s="41">
        <v>0.48071630889074035</v>
      </c>
      <c r="Q90" s="41">
        <v>1.1251888244663182</v>
      </c>
      <c r="R90" s="41">
        <v>0.8686790689704309</v>
      </c>
      <c r="S90" s="41">
        <v>0.59515214459110166</v>
      </c>
      <c r="T90" s="41">
        <v>0.59515214459110166</v>
      </c>
      <c r="U90" s="18">
        <v>0.23521154496246144</v>
      </c>
    </row>
    <row r="91" spans="1:21" x14ac:dyDescent="0.2">
      <c r="A91" s="5" t="s">
        <v>206</v>
      </c>
      <c r="B91" s="5" t="s">
        <v>17</v>
      </c>
      <c r="C91" s="52">
        <v>1</v>
      </c>
      <c r="D91" s="53">
        <v>1</v>
      </c>
      <c r="E91" s="18">
        <v>7.7718764276665355E-3</v>
      </c>
      <c r="F91" s="18">
        <v>0.6643041691596463</v>
      </c>
      <c r="G91" s="41">
        <v>0.59599082057732233</v>
      </c>
      <c r="H91" s="52">
        <v>1</v>
      </c>
      <c r="I91" s="52">
        <v>1</v>
      </c>
      <c r="J91" s="18">
        <v>0.32738625095420232</v>
      </c>
      <c r="K91" s="41">
        <v>0.33670583621885714</v>
      </c>
      <c r="L91" s="41">
        <v>2.1566073436250357</v>
      </c>
      <c r="M91" s="41">
        <v>1.7470553369122412</v>
      </c>
      <c r="N91" s="41">
        <v>0.67274308771754399</v>
      </c>
      <c r="O91" s="41">
        <v>0.67274308771754399</v>
      </c>
      <c r="P91" s="41">
        <v>0.34266919084112246</v>
      </c>
      <c r="Q91" s="41">
        <v>1.1256609041064474</v>
      </c>
      <c r="R91" s="41">
        <v>0.96880740287488032</v>
      </c>
      <c r="S91" s="41">
        <v>0.67274308771754399</v>
      </c>
      <c r="T91" s="41">
        <v>0.67274308771754399</v>
      </c>
      <c r="U91" s="18">
        <v>0.23521154496246144</v>
      </c>
    </row>
    <row r="92" spans="1:21" x14ac:dyDescent="0.2">
      <c r="A92" s="5" t="s">
        <v>207</v>
      </c>
      <c r="B92" s="5" t="s">
        <v>12</v>
      </c>
      <c r="C92" s="52">
        <v>1</v>
      </c>
      <c r="D92" s="53">
        <v>1</v>
      </c>
      <c r="E92" s="18">
        <v>0</v>
      </c>
      <c r="F92" s="18">
        <v>0.54149365378712355</v>
      </c>
      <c r="G92" s="41">
        <v>0.62962868555027129</v>
      </c>
      <c r="H92" s="52">
        <v>1</v>
      </c>
      <c r="I92" s="52">
        <v>1</v>
      </c>
      <c r="J92" s="18">
        <v>0.33105366457377733</v>
      </c>
      <c r="K92" s="41">
        <v>0.500338769552647</v>
      </c>
      <c r="L92" s="41">
        <v>1.8569112796971188</v>
      </c>
      <c r="M92" s="41">
        <v>1.5799220703939452</v>
      </c>
      <c r="N92" s="41">
        <v>0.78352998734317902</v>
      </c>
      <c r="O92" s="41">
        <v>0.78352998734317902</v>
      </c>
      <c r="P92" s="41">
        <v>0.54870415871876144</v>
      </c>
      <c r="Q92" s="41">
        <v>1.3393535577311984</v>
      </c>
      <c r="R92" s="41">
        <v>0.93221026501771886</v>
      </c>
      <c r="S92" s="41">
        <v>0.78352998734317902</v>
      </c>
      <c r="T92" s="41">
        <v>0.78352998734317902</v>
      </c>
      <c r="U92" s="18">
        <v>0.31571656894995903</v>
      </c>
    </row>
    <row r="93" spans="1:21" x14ac:dyDescent="0.2">
      <c r="A93" s="5" t="s">
        <v>208</v>
      </c>
      <c r="B93" s="5" t="s">
        <v>13</v>
      </c>
      <c r="C93" s="52">
        <v>1</v>
      </c>
      <c r="D93" s="53">
        <v>1</v>
      </c>
      <c r="E93" s="18">
        <v>0.1594833107932902</v>
      </c>
      <c r="F93" s="18">
        <v>0.54149365378712355</v>
      </c>
      <c r="G93" s="41">
        <v>0.62962868555027129</v>
      </c>
      <c r="H93" s="52">
        <v>1</v>
      </c>
      <c r="I93" s="52">
        <v>1</v>
      </c>
      <c r="J93" s="18">
        <v>0.33105366457377733</v>
      </c>
      <c r="K93" s="41">
        <v>0.500338769552647</v>
      </c>
      <c r="L93" s="41">
        <v>1.8569112796971188</v>
      </c>
      <c r="M93" s="41">
        <v>1.5799220703939452</v>
      </c>
      <c r="N93" s="41">
        <v>0.78352998734317902</v>
      </c>
      <c r="O93" s="41">
        <v>0.78352998734317902</v>
      </c>
      <c r="P93" s="41">
        <v>0.54870415871876144</v>
      </c>
      <c r="Q93" s="41">
        <v>1.3393535577311984</v>
      </c>
      <c r="R93" s="41">
        <v>0.93221026501771886</v>
      </c>
      <c r="S93" s="41">
        <v>0.78352998734317902</v>
      </c>
      <c r="T93" s="41">
        <v>0.78352998734317902</v>
      </c>
      <c r="U93" s="18">
        <v>0.31571656894995903</v>
      </c>
    </row>
    <row r="94" spans="1:21" x14ac:dyDescent="0.2">
      <c r="A94" s="5" t="s">
        <v>209</v>
      </c>
      <c r="B94" s="5" t="s">
        <v>14</v>
      </c>
      <c r="C94" s="52">
        <v>1</v>
      </c>
      <c r="D94" s="53">
        <v>1</v>
      </c>
      <c r="E94" s="18">
        <v>1.1547943754100998E-2</v>
      </c>
      <c r="F94" s="18">
        <v>0.54149365378712355</v>
      </c>
      <c r="G94" s="41">
        <v>0.62962868555027129</v>
      </c>
      <c r="H94" s="52">
        <v>1</v>
      </c>
      <c r="I94" s="52">
        <v>1</v>
      </c>
      <c r="J94" s="18">
        <v>0.33105366457377733</v>
      </c>
      <c r="K94" s="41">
        <v>0.500338769552647</v>
      </c>
      <c r="L94" s="41">
        <v>1.8569112796971188</v>
      </c>
      <c r="M94" s="41">
        <v>1.5799220703939452</v>
      </c>
      <c r="N94" s="41">
        <v>0.78352998734317902</v>
      </c>
      <c r="O94" s="41">
        <v>0.78352998734317902</v>
      </c>
      <c r="P94" s="41">
        <v>0.54870415871876144</v>
      </c>
      <c r="Q94" s="41">
        <v>1.3393535577311984</v>
      </c>
      <c r="R94" s="41">
        <v>0.93221026501771886</v>
      </c>
      <c r="S94" s="41">
        <v>0.78352998734317902</v>
      </c>
      <c r="T94" s="41">
        <v>0.78352998734317902</v>
      </c>
      <c r="U94" s="18">
        <v>0.31571656894995903</v>
      </c>
    </row>
    <row r="95" spans="1:21" x14ac:dyDescent="0.2">
      <c r="A95" s="5" t="s">
        <v>210</v>
      </c>
      <c r="B95" s="5" t="s">
        <v>15</v>
      </c>
      <c r="C95" s="52">
        <v>1</v>
      </c>
      <c r="D95" s="53">
        <v>1</v>
      </c>
      <c r="E95" s="18">
        <v>0</v>
      </c>
      <c r="F95" s="18">
        <v>0.54149365378712355</v>
      </c>
      <c r="G95" s="41">
        <v>0.45070346235743891</v>
      </c>
      <c r="H95" s="52">
        <v>1</v>
      </c>
      <c r="I95" s="52">
        <v>1</v>
      </c>
      <c r="J95" s="18">
        <v>0.33105366457377733</v>
      </c>
      <c r="K95" s="41">
        <v>0.47834468931322505</v>
      </c>
      <c r="L95" s="41">
        <v>2.5941423400315609</v>
      </c>
      <c r="M95" s="41">
        <v>1.4452516201066536</v>
      </c>
      <c r="N95" s="41">
        <v>0.71206309705215987</v>
      </c>
      <c r="O95" s="41">
        <v>0.71206309705215987</v>
      </c>
      <c r="P95" s="41">
        <v>0.77082811007389584</v>
      </c>
      <c r="Q95" s="41">
        <v>0.87169402638609172</v>
      </c>
      <c r="R95" s="41">
        <v>0.69837524785133342</v>
      </c>
      <c r="S95" s="41">
        <v>0.71206309705215987</v>
      </c>
      <c r="T95" s="41">
        <v>0.71206309705215987</v>
      </c>
      <c r="U95" s="18">
        <v>0.31571656894995903</v>
      </c>
    </row>
    <row r="96" spans="1:21" x14ac:dyDescent="0.2">
      <c r="A96" s="5" t="s">
        <v>211</v>
      </c>
      <c r="B96" s="5" t="s">
        <v>16</v>
      </c>
      <c r="C96" s="52">
        <v>1</v>
      </c>
      <c r="D96" s="53">
        <v>1</v>
      </c>
      <c r="E96" s="18">
        <v>0.1594833107932902</v>
      </c>
      <c r="F96" s="18">
        <v>0.54149365378712355</v>
      </c>
      <c r="G96" s="41">
        <v>0.67003978018883048</v>
      </c>
      <c r="H96" s="52">
        <v>1</v>
      </c>
      <c r="I96" s="52">
        <v>1</v>
      </c>
      <c r="J96" s="18">
        <v>0.33105366457377733</v>
      </c>
      <c r="K96" s="41">
        <v>0.5260647222708037</v>
      </c>
      <c r="L96" s="41">
        <v>1.775870539375846</v>
      </c>
      <c r="M96" s="41">
        <v>1.5820701501442087</v>
      </c>
      <c r="N96" s="41">
        <v>0.82659587481316221</v>
      </c>
      <c r="O96" s="41">
        <v>0.82659587481316221</v>
      </c>
      <c r="P96" s="41">
        <v>0.48497919216932817</v>
      </c>
      <c r="Q96" s="41">
        <v>1.3984069663167853</v>
      </c>
      <c r="R96" s="41">
        <v>0.91494930919628625</v>
      </c>
      <c r="S96" s="41">
        <v>0.82659587481316221</v>
      </c>
      <c r="T96" s="41">
        <v>0.82659587481316221</v>
      </c>
      <c r="U96" s="18">
        <v>0.31571656894995903</v>
      </c>
    </row>
    <row r="97" spans="1:21" x14ac:dyDescent="0.2">
      <c r="A97" s="5" t="s">
        <v>212</v>
      </c>
      <c r="B97" s="5" t="s">
        <v>17</v>
      </c>
      <c r="C97" s="52">
        <v>1</v>
      </c>
      <c r="D97" s="53">
        <v>1</v>
      </c>
      <c r="E97" s="18">
        <v>1.1547943754100998E-2</v>
      </c>
      <c r="F97" s="18">
        <v>0.54149365378712355</v>
      </c>
      <c r="G97" s="41">
        <v>0.64411977986728508</v>
      </c>
      <c r="H97" s="52">
        <v>1</v>
      </c>
      <c r="I97" s="52">
        <v>1</v>
      </c>
      <c r="J97" s="18">
        <v>0.33105366457377733</v>
      </c>
      <c r="K97" s="41">
        <v>0.43793347679882766</v>
      </c>
      <c r="L97" s="41">
        <v>1.5479744824189838</v>
      </c>
      <c r="M97" s="41">
        <v>1.6769875297821428</v>
      </c>
      <c r="N97" s="41">
        <v>0.71504931479525125</v>
      </c>
      <c r="O97" s="41">
        <v>0.71504931479525125</v>
      </c>
      <c r="P97" s="41">
        <v>0.58746238255241656</v>
      </c>
      <c r="Q97" s="41">
        <v>1.4923459321106081</v>
      </c>
      <c r="R97" s="41">
        <v>1.1589819047363277</v>
      </c>
      <c r="S97" s="41">
        <v>0.71504931479525125</v>
      </c>
      <c r="T97" s="41">
        <v>0.71504931479525125</v>
      </c>
      <c r="U97" s="18">
        <v>0.31571656894995903</v>
      </c>
    </row>
    <row r="98" spans="1:21" x14ac:dyDescent="0.2">
      <c r="A98" s="5" t="s">
        <v>213</v>
      </c>
      <c r="B98" s="5" t="s">
        <v>12</v>
      </c>
      <c r="C98" s="52">
        <v>1</v>
      </c>
      <c r="D98" s="53">
        <v>1</v>
      </c>
      <c r="E98" s="18">
        <v>0</v>
      </c>
      <c r="F98" s="18">
        <v>0.73846071935219115</v>
      </c>
      <c r="G98" s="41">
        <v>0.55494006780430738</v>
      </c>
      <c r="H98" s="52">
        <v>1</v>
      </c>
      <c r="I98" s="52">
        <v>1</v>
      </c>
      <c r="J98" s="18">
        <v>2.2515448441408332</v>
      </c>
      <c r="K98" s="41">
        <v>0.500338769552647</v>
      </c>
      <c r="L98" s="41">
        <v>7.59375</v>
      </c>
      <c r="M98" s="41">
        <v>2.0601859771664888</v>
      </c>
      <c r="N98" s="41">
        <v>0.36523979655905758</v>
      </c>
      <c r="O98" s="41">
        <v>0.36523979655905758</v>
      </c>
      <c r="P98" s="41">
        <v>0.47513662500087589</v>
      </c>
      <c r="Q98" s="41">
        <v>0.79448083265799163</v>
      </c>
      <c r="R98" s="41">
        <v>0.58478837883286572</v>
      </c>
      <c r="S98" s="41">
        <v>0.36523979655905758</v>
      </c>
      <c r="T98" s="41">
        <v>0.36523979655905758</v>
      </c>
      <c r="U98" s="18">
        <v>0.83629545283032825</v>
      </c>
    </row>
    <row r="99" spans="1:21" x14ac:dyDescent="0.2">
      <c r="A99" s="5" t="s">
        <v>214</v>
      </c>
      <c r="B99" s="5" t="s">
        <v>13</v>
      </c>
      <c r="C99" s="52">
        <v>1</v>
      </c>
      <c r="D99" s="53">
        <v>1</v>
      </c>
      <c r="E99" s="18">
        <v>0</v>
      </c>
      <c r="F99" s="18">
        <v>0.73846071935219115</v>
      </c>
      <c r="G99" s="41">
        <v>0.55494006780430738</v>
      </c>
      <c r="H99" s="52">
        <v>1</v>
      </c>
      <c r="I99" s="52">
        <v>1</v>
      </c>
      <c r="J99" s="18">
        <v>2.2515448441408332</v>
      </c>
      <c r="K99" s="41">
        <v>0.500338769552647</v>
      </c>
      <c r="L99" s="41">
        <v>7.59375</v>
      </c>
      <c r="M99" s="41">
        <v>2.0601859771664888</v>
      </c>
      <c r="N99" s="41">
        <v>0.36523979655905758</v>
      </c>
      <c r="O99" s="41">
        <v>0.36523979655905758</v>
      </c>
      <c r="P99" s="41">
        <v>0.47513662500087589</v>
      </c>
      <c r="Q99" s="41">
        <v>0.79448083265799163</v>
      </c>
      <c r="R99" s="41">
        <v>0.58478837883286572</v>
      </c>
      <c r="S99" s="41">
        <v>0.36523979655905758</v>
      </c>
      <c r="T99" s="41">
        <v>0.36523979655905758</v>
      </c>
      <c r="U99" s="18">
        <v>0.83629545283032825</v>
      </c>
    </row>
    <row r="100" spans="1:21" x14ac:dyDescent="0.2">
      <c r="A100" s="5" t="s">
        <v>215</v>
      </c>
      <c r="B100" s="5" t="s">
        <v>14</v>
      </c>
      <c r="C100" s="52">
        <v>1</v>
      </c>
      <c r="D100" s="53">
        <v>1</v>
      </c>
      <c r="E100" s="18">
        <v>2.9828376009666869E-3</v>
      </c>
      <c r="F100" s="18">
        <v>0.73846071935219115</v>
      </c>
      <c r="G100" s="41">
        <v>0.55494006780430738</v>
      </c>
      <c r="H100" s="52">
        <v>1</v>
      </c>
      <c r="I100" s="52">
        <v>1</v>
      </c>
      <c r="J100" s="18">
        <v>2.2515448441408332</v>
      </c>
      <c r="K100" s="41">
        <v>0.500338769552647</v>
      </c>
      <c r="L100" s="41">
        <v>7.59375</v>
      </c>
      <c r="M100" s="41">
        <v>2.0601859771664888</v>
      </c>
      <c r="N100" s="41">
        <v>0.36523979655905758</v>
      </c>
      <c r="O100" s="41">
        <v>0.36523979655905758</v>
      </c>
      <c r="P100" s="41">
        <v>0.47513662500087589</v>
      </c>
      <c r="Q100" s="41">
        <v>0.79448083265799163</v>
      </c>
      <c r="R100" s="41">
        <v>0.58478837883286572</v>
      </c>
      <c r="S100" s="41">
        <v>0.36523979655905758</v>
      </c>
      <c r="T100" s="41">
        <v>0.36523979655905758</v>
      </c>
      <c r="U100" s="18">
        <v>0.83629545283032825</v>
      </c>
    </row>
    <row r="101" spans="1:21" x14ac:dyDescent="0.2">
      <c r="A101" s="5" t="s">
        <v>216</v>
      </c>
      <c r="B101" s="5" t="s">
        <v>15</v>
      </c>
      <c r="C101" s="52">
        <v>1</v>
      </c>
      <c r="D101" s="53">
        <v>1</v>
      </c>
      <c r="E101" s="18">
        <v>0</v>
      </c>
      <c r="F101" s="18">
        <v>0.73846071935219115</v>
      </c>
      <c r="G101" s="41">
        <v>0.83642452574132453</v>
      </c>
      <c r="H101" s="52">
        <v>1</v>
      </c>
      <c r="I101" s="52">
        <v>1</v>
      </c>
      <c r="J101" s="18">
        <v>2.2515448441408332</v>
      </c>
      <c r="K101" s="41">
        <v>0.47211740355719495</v>
      </c>
      <c r="L101" s="41">
        <v>5.7646787023149821</v>
      </c>
      <c r="M101" s="41">
        <v>2.5485961452087307</v>
      </c>
      <c r="N101" s="41">
        <v>0.40360013173204484</v>
      </c>
      <c r="O101" s="41">
        <v>0.40360013173204484</v>
      </c>
      <c r="P101" s="41">
        <v>0.73817722361387439</v>
      </c>
      <c r="Q101" s="41">
        <v>0.44732577429119807</v>
      </c>
      <c r="R101" s="41">
        <v>1.0258848676160024</v>
      </c>
      <c r="S101" s="41">
        <v>0.40360013173204484</v>
      </c>
      <c r="T101" s="41">
        <v>0.40360013173204484</v>
      </c>
      <c r="U101" s="18">
        <v>0.83629545283032825</v>
      </c>
    </row>
    <row r="102" spans="1:21" x14ac:dyDescent="0.2">
      <c r="A102" s="5" t="s">
        <v>217</v>
      </c>
      <c r="B102" s="5" t="s">
        <v>16</v>
      </c>
      <c r="C102" s="52">
        <v>1</v>
      </c>
      <c r="D102" s="53">
        <v>1</v>
      </c>
      <c r="E102" s="18">
        <v>0</v>
      </c>
      <c r="F102" s="18">
        <v>0.73846071935219115</v>
      </c>
      <c r="G102" s="41">
        <v>0.3711289187043838</v>
      </c>
      <c r="H102" s="52">
        <v>1</v>
      </c>
      <c r="I102" s="52">
        <v>1</v>
      </c>
      <c r="J102" s="18">
        <v>2.2515448441408332</v>
      </c>
      <c r="K102" s="41">
        <v>0.39387033453941772</v>
      </c>
      <c r="L102" s="41">
        <v>8.6882641394743949</v>
      </c>
      <c r="M102" s="41">
        <v>1.8808594794656393</v>
      </c>
      <c r="N102" s="41">
        <v>0.31100536790895755</v>
      </c>
      <c r="O102" s="41">
        <v>0.31100536790895755</v>
      </c>
      <c r="P102" s="41">
        <v>0.47937861398275139</v>
      </c>
      <c r="Q102" s="41">
        <v>0.59838037844685921</v>
      </c>
      <c r="R102" s="41">
        <v>0.50474604112512411</v>
      </c>
      <c r="S102" s="41">
        <v>0.31100536790895755</v>
      </c>
      <c r="T102" s="41">
        <v>0.31100536790895755</v>
      </c>
      <c r="U102" s="18">
        <v>0.83629545283032825</v>
      </c>
    </row>
    <row r="103" spans="1:21" x14ac:dyDescent="0.2">
      <c r="A103" s="5" t="s">
        <v>218</v>
      </c>
      <c r="B103" s="5" t="s">
        <v>17</v>
      </c>
      <c r="C103" s="52">
        <v>1</v>
      </c>
      <c r="D103" s="53">
        <v>1</v>
      </c>
      <c r="E103" s="18">
        <v>2.9828376009666869E-3</v>
      </c>
      <c r="F103" s="18">
        <v>0.73846071935219115</v>
      </c>
      <c r="G103" s="41">
        <v>0.58637610769347759</v>
      </c>
      <c r="H103" s="52">
        <v>1</v>
      </c>
      <c r="I103" s="52">
        <v>1</v>
      </c>
      <c r="J103" s="18">
        <v>2.2515448441408332</v>
      </c>
      <c r="K103" s="41">
        <v>0.53287233545889989</v>
      </c>
      <c r="L103" s="41">
        <v>7.4175257021390264</v>
      </c>
      <c r="M103" s="41">
        <v>2.0749006776021153</v>
      </c>
      <c r="N103" s="41">
        <v>0.37789961879974848</v>
      </c>
      <c r="O103" s="41">
        <v>0.37789961879974848</v>
      </c>
      <c r="P103" s="41">
        <v>0.45437598163842691</v>
      </c>
      <c r="Q103" s="41">
        <v>0.8763338219425385</v>
      </c>
      <c r="R103" s="41">
        <v>0.5747551959266114</v>
      </c>
      <c r="S103" s="41">
        <v>0.37789961879974848</v>
      </c>
      <c r="T103" s="41">
        <v>0.37789961879974848</v>
      </c>
      <c r="U103" s="18">
        <v>0.83629545283032825</v>
      </c>
    </row>
    <row r="104" spans="1:21" x14ac:dyDescent="0.2">
      <c r="A104" s="5" t="s">
        <v>219</v>
      </c>
      <c r="B104" s="5" t="s">
        <v>12</v>
      </c>
      <c r="C104" s="52">
        <v>1</v>
      </c>
      <c r="D104" s="53">
        <v>1</v>
      </c>
      <c r="E104" s="18">
        <v>0.39670461324593415</v>
      </c>
      <c r="F104" s="18">
        <v>0.87258598323938541</v>
      </c>
      <c r="G104" s="41">
        <v>0.90098213195246557</v>
      </c>
      <c r="H104" s="52">
        <v>1</v>
      </c>
      <c r="I104" s="52">
        <v>1</v>
      </c>
      <c r="J104" s="18">
        <v>0.33426449052692109</v>
      </c>
      <c r="K104" s="41">
        <v>0.500338769552647</v>
      </c>
      <c r="L104" s="41">
        <v>1.255779033604119</v>
      </c>
      <c r="M104" s="41">
        <v>2.1490830041818212</v>
      </c>
      <c r="N104" s="41">
        <v>0.44321534619535041</v>
      </c>
      <c r="O104" s="41">
        <v>0.44321534619535041</v>
      </c>
      <c r="P104" s="41">
        <v>0.56292936241825831</v>
      </c>
      <c r="Q104" s="41">
        <v>1.3284988137165039</v>
      </c>
      <c r="R104" s="41">
        <v>1.0007314929233946</v>
      </c>
      <c r="S104" s="41">
        <v>0.44321534619535041</v>
      </c>
      <c r="T104" s="41">
        <v>0.44321534619535041</v>
      </c>
      <c r="U104" s="18">
        <v>0.54996594255675413</v>
      </c>
    </row>
    <row r="105" spans="1:21" x14ac:dyDescent="0.2">
      <c r="A105" s="5" t="s">
        <v>220</v>
      </c>
      <c r="B105" s="5" t="s">
        <v>13</v>
      </c>
      <c r="C105" s="52">
        <v>1</v>
      </c>
      <c r="D105" s="53">
        <v>1</v>
      </c>
      <c r="E105" s="18">
        <v>2.630778445997552E-2</v>
      </c>
      <c r="F105" s="18">
        <v>0.87258598323938541</v>
      </c>
      <c r="G105" s="41">
        <v>0.90098213195246557</v>
      </c>
      <c r="H105" s="52">
        <v>1</v>
      </c>
      <c r="I105" s="52">
        <v>1</v>
      </c>
      <c r="J105" s="18">
        <v>0.33426449052692109</v>
      </c>
      <c r="K105" s="41">
        <v>0.500338769552647</v>
      </c>
      <c r="L105" s="41">
        <v>1.255779033604119</v>
      </c>
      <c r="M105" s="41">
        <v>2.1490830041818212</v>
      </c>
      <c r="N105" s="41">
        <v>0.44321534619535041</v>
      </c>
      <c r="O105" s="41">
        <v>0.44321534619535041</v>
      </c>
      <c r="P105" s="41">
        <v>0.56292936241825831</v>
      </c>
      <c r="Q105" s="41">
        <v>1.3284988137165039</v>
      </c>
      <c r="R105" s="41">
        <v>1.0007314929233946</v>
      </c>
      <c r="S105" s="41">
        <v>0.44321534619535041</v>
      </c>
      <c r="T105" s="41">
        <v>0.44321534619535041</v>
      </c>
      <c r="U105" s="18">
        <v>0.54996594255675413</v>
      </c>
    </row>
    <row r="106" spans="1:21" x14ac:dyDescent="0.2">
      <c r="A106" s="5" t="s">
        <v>221</v>
      </c>
      <c r="B106" s="5" t="s">
        <v>14</v>
      </c>
      <c r="C106" s="52">
        <v>1</v>
      </c>
      <c r="D106" s="53">
        <v>1</v>
      </c>
      <c r="E106" s="18">
        <v>7.0855599360441631E-3</v>
      </c>
      <c r="F106" s="18">
        <v>0.87258598323938541</v>
      </c>
      <c r="G106" s="41">
        <v>0.90098213195246557</v>
      </c>
      <c r="H106" s="52">
        <v>1</v>
      </c>
      <c r="I106" s="52">
        <v>1</v>
      </c>
      <c r="J106" s="18">
        <v>0.33426449052692109</v>
      </c>
      <c r="K106" s="41">
        <v>0.500338769552647</v>
      </c>
      <c r="L106" s="41">
        <v>1.255779033604119</v>
      </c>
      <c r="M106" s="41">
        <v>2.1490830041818212</v>
      </c>
      <c r="N106" s="41">
        <v>0.44321534619535041</v>
      </c>
      <c r="O106" s="41">
        <v>0.44321534619535041</v>
      </c>
      <c r="P106" s="41">
        <v>0.56292936241825831</v>
      </c>
      <c r="Q106" s="41">
        <v>1.3284988137165039</v>
      </c>
      <c r="R106" s="41">
        <v>1.0007314929233946</v>
      </c>
      <c r="S106" s="41">
        <v>0.44321534619535041</v>
      </c>
      <c r="T106" s="41">
        <v>0.44321534619535041</v>
      </c>
      <c r="U106" s="18">
        <v>0.54996594255675413</v>
      </c>
    </row>
    <row r="107" spans="1:21" x14ac:dyDescent="0.2">
      <c r="A107" s="5" t="s">
        <v>222</v>
      </c>
      <c r="B107" s="5" t="s">
        <v>15</v>
      </c>
      <c r="C107" s="52">
        <v>1</v>
      </c>
      <c r="D107" s="53">
        <v>1</v>
      </c>
      <c r="E107" s="18">
        <v>0.39670461324593415</v>
      </c>
      <c r="F107" s="18">
        <v>0.87258598323938541</v>
      </c>
      <c r="G107" s="41">
        <v>0.92056892563029979</v>
      </c>
      <c r="H107" s="52">
        <v>1</v>
      </c>
      <c r="I107" s="52">
        <v>1</v>
      </c>
      <c r="J107" s="18">
        <v>0.33426449052692109</v>
      </c>
      <c r="K107" s="41">
        <v>0.44141800610865073</v>
      </c>
      <c r="L107" s="41">
        <v>1.3077472874855678</v>
      </c>
      <c r="M107" s="41">
        <v>2.352483857766404</v>
      </c>
      <c r="N107" s="41">
        <v>0.45789284346932746</v>
      </c>
      <c r="O107" s="41">
        <v>0.45789284346932746</v>
      </c>
      <c r="P107" s="41">
        <v>0.77123849762865593</v>
      </c>
      <c r="Q107" s="41">
        <v>1.5149878517909467</v>
      </c>
      <c r="R107" s="41">
        <v>0.88183039795783003</v>
      </c>
      <c r="S107" s="41">
        <v>0.45789284346932746</v>
      </c>
      <c r="T107" s="41">
        <v>0.45789284346932746</v>
      </c>
      <c r="U107" s="18">
        <v>0.54996594255675413</v>
      </c>
    </row>
    <row r="108" spans="1:21" x14ac:dyDescent="0.2">
      <c r="A108" s="5" t="s">
        <v>223</v>
      </c>
      <c r="B108" s="5" t="s">
        <v>16</v>
      </c>
      <c r="C108" s="52">
        <v>1</v>
      </c>
      <c r="D108" s="53">
        <v>1</v>
      </c>
      <c r="E108" s="18">
        <v>2.630778445997552E-2</v>
      </c>
      <c r="F108" s="18">
        <v>0.87258598323938541</v>
      </c>
      <c r="G108" s="41">
        <v>0.69645813771651655</v>
      </c>
      <c r="H108" s="52">
        <v>1</v>
      </c>
      <c r="I108" s="52">
        <v>1</v>
      </c>
      <c r="J108" s="18">
        <v>0.33426449052692109</v>
      </c>
      <c r="K108" s="41">
        <v>0.49219491279047262</v>
      </c>
      <c r="L108" s="41">
        <v>0.70360719661631166</v>
      </c>
      <c r="M108" s="41">
        <v>1.8738064624149704</v>
      </c>
      <c r="N108" s="41">
        <v>0.49486845960065012</v>
      </c>
      <c r="O108" s="41">
        <v>0.49486845960065012</v>
      </c>
      <c r="P108" s="41">
        <v>0.46057114474585803</v>
      </c>
      <c r="Q108" s="41">
        <v>1.0000710656864213</v>
      </c>
      <c r="R108" s="41">
        <v>1.5929173230021876</v>
      </c>
      <c r="S108" s="41">
        <v>0.49486845960065012</v>
      </c>
      <c r="T108" s="41">
        <v>0.49486845960065012</v>
      </c>
      <c r="U108" s="18">
        <v>0.54996594255675413</v>
      </c>
    </row>
    <row r="109" spans="1:21" x14ac:dyDescent="0.2">
      <c r="A109" s="5" t="s">
        <v>224</v>
      </c>
      <c r="B109" s="5" t="s">
        <v>17</v>
      </c>
      <c r="C109" s="52">
        <v>1</v>
      </c>
      <c r="D109" s="53">
        <v>1</v>
      </c>
      <c r="E109" s="18">
        <v>7.0855599360441631E-3</v>
      </c>
      <c r="F109" s="18">
        <v>0.87258598323938541</v>
      </c>
      <c r="G109" s="41">
        <v>0.94595919572325049</v>
      </c>
      <c r="H109" s="52">
        <v>1</v>
      </c>
      <c r="I109" s="52">
        <v>1</v>
      </c>
      <c r="J109" s="18">
        <v>0.33426449052692109</v>
      </c>
      <c r="K109" s="41">
        <v>0.53424979426986796</v>
      </c>
      <c r="L109" s="41">
        <v>1.379092956953835</v>
      </c>
      <c r="M109" s="41">
        <v>2.1079793611450204</v>
      </c>
      <c r="N109" s="41">
        <v>0.41955057917541444</v>
      </c>
      <c r="O109" s="41">
        <v>0.41955057917541444</v>
      </c>
      <c r="P109" s="41">
        <v>0.47353409905116473</v>
      </c>
      <c r="Q109" s="41">
        <v>1.3104472106667231</v>
      </c>
      <c r="R109" s="41">
        <v>0.90933064167763611</v>
      </c>
      <c r="S109" s="41">
        <v>0.41955057917541444</v>
      </c>
      <c r="T109" s="41">
        <v>0.41955057917541444</v>
      </c>
      <c r="U109" s="18">
        <v>0.54996594255675413</v>
      </c>
    </row>
    <row r="110" spans="1:21" x14ac:dyDescent="0.2">
      <c r="A110" s="5" t="s">
        <v>225</v>
      </c>
      <c r="B110" s="5" t="s">
        <v>12</v>
      </c>
      <c r="C110" s="52">
        <v>1</v>
      </c>
      <c r="D110" s="53">
        <v>1</v>
      </c>
      <c r="E110" s="18">
        <v>0</v>
      </c>
      <c r="F110" s="18">
        <v>3.4358819717903448</v>
      </c>
      <c r="G110" s="41">
        <v>1.75</v>
      </c>
      <c r="H110" s="52">
        <v>1</v>
      </c>
      <c r="I110" s="52">
        <v>1</v>
      </c>
      <c r="J110" s="18">
        <v>1.3376142383380831</v>
      </c>
      <c r="K110" s="41">
        <v>0.56089533328272545</v>
      </c>
      <c r="L110" s="41">
        <v>5.0625</v>
      </c>
      <c r="M110" s="41">
        <v>1.3734573181109924</v>
      </c>
      <c r="N110" s="41">
        <v>0.65539133532974481</v>
      </c>
      <c r="O110" s="41">
        <v>0.65539133532974481</v>
      </c>
      <c r="P110" s="41">
        <v>6.4251120580689554</v>
      </c>
      <c r="Q110" s="41">
        <v>1.75</v>
      </c>
      <c r="R110" s="41">
        <v>0.80635868420781431</v>
      </c>
      <c r="S110" s="41">
        <v>0.65539133532974481</v>
      </c>
      <c r="T110" s="41">
        <v>0.65539133532974481</v>
      </c>
      <c r="U110" s="18">
        <v>0.56227082921399119</v>
      </c>
    </row>
    <row r="111" spans="1:21" x14ac:dyDescent="0.2">
      <c r="A111" s="5" t="s">
        <v>226</v>
      </c>
      <c r="B111" s="5" t="s">
        <v>13</v>
      </c>
      <c r="C111" s="52">
        <v>1</v>
      </c>
      <c r="D111" s="53">
        <v>1</v>
      </c>
      <c r="E111" s="18">
        <v>0</v>
      </c>
      <c r="F111" s="18">
        <v>3.4358819717903448</v>
      </c>
      <c r="G111" s="41">
        <v>1.75</v>
      </c>
      <c r="H111" s="52">
        <v>1</v>
      </c>
      <c r="I111" s="52">
        <v>1</v>
      </c>
      <c r="J111" s="18">
        <v>1.3376142383380831</v>
      </c>
      <c r="K111" s="41">
        <v>0.56089533328272545</v>
      </c>
      <c r="L111" s="41">
        <v>5.0625</v>
      </c>
      <c r="M111" s="41">
        <v>1.3734573181109924</v>
      </c>
      <c r="N111" s="41">
        <v>0.65539133532974481</v>
      </c>
      <c r="O111" s="41">
        <v>0.65539133532974481</v>
      </c>
      <c r="P111" s="41">
        <v>6.4251120580689554</v>
      </c>
      <c r="Q111" s="41">
        <v>1.75</v>
      </c>
      <c r="R111" s="41">
        <v>0.80635868420781431</v>
      </c>
      <c r="S111" s="41">
        <v>0.65539133532974481</v>
      </c>
      <c r="T111" s="41">
        <v>0.65539133532974481</v>
      </c>
      <c r="U111" s="18">
        <v>0.56227082921399119</v>
      </c>
    </row>
    <row r="112" spans="1:21" x14ac:dyDescent="0.2">
      <c r="A112" s="5" t="s">
        <v>227</v>
      </c>
      <c r="B112" s="5" t="s">
        <v>14</v>
      </c>
      <c r="C112" s="52">
        <v>1</v>
      </c>
      <c r="D112" s="53">
        <v>1</v>
      </c>
      <c r="E112" s="18">
        <v>5.1022871753150529E-3</v>
      </c>
      <c r="F112" s="18">
        <v>3.4358819717903448</v>
      </c>
      <c r="G112" s="41">
        <v>1.75</v>
      </c>
      <c r="H112" s="52">
        <v>1</v>
      </c>
      <c r="I112" s="52">
        <v>1</v>
      </c>
      <c r="J112" s="18">
        <v>1.3376142383380831</v>
      </c>
      <c r="K112" s="41">
        <v>0.56089533328272545</v>
      </c>
      <c r="L112" s="41">
        <v>5.0625</v>
      </c>
      <c r="M112" s="41">
        <v>1.3734573181109924</v>
      </c>
      <c r="N112" s="41">
        <v>0.65539133532974481</v>
      </c>
      <c r="O112" s="41">
        <v>0.65539133532974481</v>
      </c>
      <c r="P112" s="41">
        <v>6.4251120580689554</v>
      </c>
      <c r="Q112" s="41">
        <v>1.75</v>
      </c>
      <c r="R112" s="41">
        <v>0.80635868420781431</v>
      </c>
      <c r="S112" s="41">
        <v>0.65539133532974481</v>
      </c>
      <c r="T112" s="41">
        <v>0.65539133532974481</v>
      </c>
      <c r="U112" s="18">
        <v>0.56227082921399119</v>
      </c>
    </row>
    <row r="113" spans="1:21" x14ac:dyDescent="0.2">
      <c r="A113" s="5" t="s">
        <v>228</v>
      </c>
      <c r="B113" s="5" t="s">
        <v>15</v>
      </c>
      <c r="C113" s="52">
        <v>1</v>
      </c>
      <c r="D113" s="53">
        <v>1</v>
      </c>
      <c r="E113" s="18">
        <v>0</v>
      </c>
      <c r="F113" s="18">
        <v>3.4358819717903448</v>
      </c>
      <c r="G113" s="41">
        <v>1.75</v>
      </c>
      <c r="H113" s="52">
        <v>1</v>
      </c>
      <c r="I113" s="52">
        <v>1</v>
      </c>
      <c r="J113" s="18">
        <v>1.3376142383380831</v>
      </c>
      <c r="K113" s="41">
        <v>0.56089533328272545</v>
      </c>
      <c r="L113" s="41">
        <v>5.0625</v>
      </c>
      <c r="M113" s="41">
        <v>1.3734573181109924</v>
      </c>
      <c r="N113" s="41">
        <v>0.65539133532974481</v>
      </c>
      <c r="O113" s="41">
        <v>0.65539133532974481</v>
      </c>
      <c r="P113" s="41">
        <v>6.4251120580689554</v>
      </c>
      <c r="Q113" s="41">
        <v>1.75</v>
      </c>
      <c r="R113" s="41">
        <v>0.80635868420781431</v>
      </c>
      <c r="S113" s="41">
        <v>0.65539133532974481</v>
      </c>
      <c r="T113" s="41">
        <v>0.65539133532974481</v>
      </c>
      <c r="U113" s="18">
        <v>0.56227082921399119</v>
      </c>
    </row>
    <row r="114" spans="1:21" x14ac:dyDescent="0.2">
      <c r="A114" s="5" t="s">
        <v>229</v>
      </c>
      <c r="B114" s="5" t="s">
        <v>16</v>
      </c>
      <c r="C114" s="52">
        <v>1</v>
      </c>
      <c r="D114" s="53">
        <v>1</v>
      </c>
      <c r="E114" s="18">
        <v>0</v>
      </c>
      <c r="F114" s="18">
        <v>3.4358819717903448</v>
      </c>
      <c r="G114" s="41">
        <v>1.75</v>
      </c>
      <c r="H114" s="52">
        <v>1</v>
      </c>
      <c r="I114" s="52">
        <v>1</v>
      </c>
      <c r="J114" s="18">
        <v>1.3376142383380831</v>
      </c>
      <c r="K114" s="41">
        <v>0.56089533328272545</v>
      </c>
      <c r="L114" s="41">
        <v>5.0625</v>
      </c>
      <c r="M114" s="41">
        <v>1.3734573181109924</v>
      </c>
      <c r="N114" s="41">
        <v>0.65539133532974481</v>
      </c>
      <c r="O114" s="41">
        <v>0.65539133532974481</v>
      </c>
      <c r="P114" s="41">
        <v>6.4251120580689554</v>
      </c>
      <c r="Q114" s="41">
        <v>1.75</v>
      </c>
      <c r="R114" s="41">
        <v>0.80635868420781431</v>
      </c>
      <c r="S114" s="41">
        <v>0.65539133532974481</v>
      </c>
      <c r="T114" s="41">
        <v>0.65539133532974481</v>
      </c>
      <c r="U114" s="18">
        <v>0.56227082921399119</v>
      </c>
    </row>
    <row r="115" spans="1:21" x14ac:dyDescent="0.2">
      <c r="A115" s="5" t="s">
        <v>230</v>
      </c>
      <c r="B115" s="5" t="s">
        <v>17</v>
      </c>
      <c r="C115" s="52">
        <v>1</v>
      </c>
      <c r="D115" s="53">
        <v>1</v>
      </c>
      <c r="E115" s="18">
        <v>5.1022871753150529E-3</v>
      </c>
      <c r="F115" s="18">
        <v>3.4358819717903448</v>
      </c>
      <c r="G115" s="41">
        <v>1.75</v>
      </c>
      <c r="H115" s="52">
        <v>1</v>
      </c>
      <c r="I115" s="52">
        <v>1</v>
      </c>
      <c r="J115" s="18">
        <v>1.3376142383380831</v>
      </c>
      <c r="K115" s="41">
        <v>0.56089533328272545</v>
      </c>
      <c r="L115" s="41">
        <v>5.0625</v>
      </c>
      <c r="M115" s="41">
        <v>1.3734573181109924</v>
      </c>
      <c r="N115" s="41">
        <v>0.65539133532974481</v>
      </c>
      <c r="O115" s="41">
        <v>0.65539133532974481</v>
      </c>
      <c r="P115" s="41">
        <v>6.4251120580689554</v>
      </c>
      <c r="Q115" s="41">
        <v>1.75</v>
      </c>
      <c r="R115" s="41">
        <v>0.80635868420781431</v>
      </c>
      <c r="S115" s="41">
        <v>0.65539133532974481</v>
      </c>
      <c r="T115" s="41">
        <v>0.65539133532974481</v>
      </c>
      <c r="U115" s="18">
        <v>0.56227082921399119</v>
      </c>
    </row>
    <row r="116" spans="1:21" x14ac:dyDescent="0.2">
      <c r="A116" s="5" t="s">
        <v>231</v>
      </c>
      <c r="B116" s="5" t="s">
        <v>12</v>
      </c>
      <c r="C116" s="52">
        <v>1</v>
      </c>
      <c r="D116" s="53">
        <v>1</v>
      </c>
      <c r="E116" s="18">
        <v>0</v>
      </c>
      <c r="F116" s="18">
        <v>0.5841637603569878</v>
      </c>
      <c r="G116" s="41">
        <v>1.2810434231359562</v>
      </c>
      <c r="H116" s="52">
        <v>1</v>
      </c>
      <c r="I116" s="52">
        <v>1</v>
      </c>
      <c r="J116" s="18">
        <v>0.32490693968109546</v>
      </c>
      <c r="K116" s="41">
        <v>0.95028431562885773</v>
      </c>
      <c r="L116" s="41">
        <v>4.8012841531822432E-3</v>
      </c>
      <c r="M116" s="41">
        <v>0.26100680399840642</v>
      </c>
      <c r="N116" s="41">
        <v>0.55922093552709484</v>
      </c>
      <c r="O116" s="41">
        <v>1.6121576952018872</v>
      </c>
      <c r="P116" s="41">
        <v>0.40739169529438679</v>
      </c>
      <c r="Q116" s="41">
        <v>0.78210862849486085</v>
      </c>
      <c r="R116" s="41">
        <v>0.63910904190184625</v>
      </c>
      <c r="S116" s="41">
        <v>1.6121576952018872</v>
      </c>
      <c r="T116" s="41">
        <v>1.6121576952018872</v>
      </c>
      <c r="U116" s="18">
        <v>3.1677978432229783</v>
      </c>
    </row>
    <row r="117" spans="1:21" x14ac:dyDescent="0.2">
      <c r="A117" s="5" t="s">
        <v>232</v>
      </c>
      <c r="B117" s="5" t="s">
        <v>13</v>
      </c>
      <c r="C117" s="52">
        <v>1</v>
      </c>
      <c r="D117" s="53">
        <v>1</v>
      </c>
      <c r="E117" s="18">
        <v>0</v>
      </c>
      <c r="F117" s="18">
        <v>0.5841637603569878</v>
      </c>
      <c r="G117" s="41">
        <v>1.2288487075205552</v>
      </c>
      <c r="H117" s="52">
        <v>1</v>
      </c>
      <c r="I117" s="52">
        <v>1</v>
      </c>
      <c r="J117" s="18">
        <v>0.32490693968109546</v>
      </c>
      <c r="K117" s="41">
        <v>0.77945817210051693</v>
      </c>
      <c r="L117" s="41">
        <v>3.4947152373532894E-2</v>
      </c>
      <c r="M117" s="41">
        <v>0.65130968005809808</v>
      </c>
      <c r="N117" s="41">
        <v>0.48813053833436443</v>
      </c>
      <c r="O117" s="41">
        <v>1.4072137748152262</v>
      </c>
      <c r="P117" s="41">
        <v>0.36446893575921874</v>
      </c>
      <c r="Q117" s="41">
        <v>0.95675638537186203</v>
      </c>
      <c r="R117" s="41">
        <v>0.8028065846895388</v>
      </c>
      <c r="S117" s="41">
        <v>1.4072137748152262</v>
      </c>
      <c r="T117" s="41">
        <v>1.4072137748152262</v>
      </c>
      <c r="U117" s="18">
        <v>3.1677978432229783</v>
      </c>
    </row>
    <row r="118" spans="1:21" x14ac:dyDescent="0.2">
      <c r="A118" s="5" t="s">
        <v>233</v>
      </c>
      <c r="B118" s="5" t="s">
        <v>14</v>
      </c>
      <c r="C118" s="52">
        <v>1</v>
      </c>
      <c r="D118" s="53">
        <v>1</v>
      </c>
      <c r="E118" s="18">
        <v>2.0620823182830074E-2</v>
      </c>
      <c r="F118" s="18">
        <v>0.5841637603569878</v>
      </c>
      <c r="G118" s="41">
        <v>1.6269015108425409</v>
      </c>
      <c r="H118" s="52">
        <v>1</v>
      </c>
      <c r="I118" s="52">
        <v>1</v>
      </c>
      <c r="J118" s="18">
        <v>0.32490693968109546</v>
      </c>
      <c r="K118" s="41">
        <v>0.68389731898708273</v>
      </c>
      <c r="L118" s="41">
        <v>5.352676343329224E-2</v>
      </c>
      <c r="M118" s="41">
        <v>0.55250520560342464</v>
      </c>
      <c r="N118" s="41">
        <v>0.5243468165438111</v>
      </c>
      <c r="O118" s="41">
        <v>1.5116203660167873</v>
      </c>
      <c r="P118" s="41">
        <v>0.42589758431077185</v>
      </c>
      <c r="Q118" s="41">
        <v>1.2974010657804604</v>
      </c>
      <c r="R118" s="41">
        <v>0.9554163303154225</v>
      </c>
      <c r="S118" s="41">
        <v>1.5116203660167873</v>
      </c>
      <c r="T118" s="41">
        <v>1.5116203660167873</v>
      </c>
      <c r="U118" s="18">
        <v>3.1677978432229783</v>
      </c>
    </row>
    <row r="119" spans="1:21" x14ac:dyDescent="0.2">
      <c r="A119" s="5" t="s">
        <v>234</v>
      </c>
      <c r="B119" s="5" t="s">
        <v>15</v>
      </c>
      <c r="C119" s="52">
        <v>1</v>
      </c>
      <c r="D119" s="53">
        <v>1</v>
      </c>
      <c r="E119" s="18">
        <v>0</v>
      </c>
      <c r="F119" s="18">
        <v>0.5841637603569878</v>
      </c>
      <c r="G119" s="41">
        <v>1.357026117649081</v>
      </c>
      <c r="H119" s="52">
        <v>1</v>
      </c>
      <c r="I119" s="52">
        <v>1</v>
      </c>
      <c r="J119" s="18">
        <v>0.32490693968109546</v>
      </c>
      <c r="K119" s="41">
        <v>0.75</v>
      </c>
      <c r="L119" s="41">
        <v>4.1366711352398347E-2</v>
      </c>
      <c r="M119" s="41">
        <v>0.61578363628675659</v>
      </c>
      <c r="N119" s="41">
        <v>0.5</v>
      </c>
      <c r="O119" s="41">
        <v>1.4414318141383107</v>
      </c>
      <c r="P119" s="41">
        <v>0.3877579387523698</v>
      </c>
      <c r="Q119" s="41">
        <v>1.0659870238454034</v>
      </c>
      <c r="R119" s="41">
        <v>0.85</v>
      </c>
      <c r="S119" s="41">
        <v>1.4414318141383107</v>
      </c>
      <c r="T119" s="41">
        <v>1.4414318141383107</v>
      </c>
      <c r="U119" s="18">
        <v>3.1677978432229783</v>
      </c>
    </row>
    <row r="120" spans="1:21" x14ac:dyDescent="0.2">
      <c r="A120" s="5" t="s">
        <v>235</v>
      </c>
      <c r="B120" s="5" t="s">
        <v>16</v>
      </c>
      <c r="C120" s="52">
        <v>1</v>
      </c>
      <c r="D120" s="53">
        <v>1</v>
      </c>
      <c r="E120" s="18">
        <v>0</v>
      </c>
      <c r="F120" s="18">
        <v>0.5841637603569878</v>
      </c>
      <c r="G120" s="41">
        <v>1.357026117649081</v>
      </c>
      <c r="H120" s="52">
        <v>1</v>
      </c>
      <c r="I120" s="52">
        <v>1</v>
      </c>
      <c r="J120" s="18">
        <v>0.32490693968109546</v>
      </c>
      <c r="K120" s="41">
        <v>0.75</v>
      </c>
      <c r="L120" s="41">
        <v>4.1366711352398347E-2</v>
      </c>
      <c r="M120" s="41">
        <v>0.61578363628675659</v>
      </c>
      <c r="N120" s="41">
        <v>0.5</v>
      </c>
      <c r="O120" s="41">
        <v>1.4414318141383107</v>
      </c>
      <c r="P120" s="41">
        <v>0.3877579387523698</v>
      </c>
      <c r="Q120" s="41">
        <v>1.0659870238454034</v>
      </c>
      <c r="R120" s="41">
        <v>0.85</v>
      </c>
      <c r="S120" s="41">
        <v>1.4414318141383107</v>
      </c>
      <c r="T120" s="41">
        <v>1.4414318141383107</v>
      </c>
      <c r="U120" s="18">
        <v>3.1677978432229783</v>
      </c>
    </row>
    <row r="121" spans="1:21" x14ac:dyDescent="0.2">
      <c r="A121" s="5" t="s">
        <v>236</v>
      </c>
      <c r="B121" s="5" t="s">
        <v>17</v>
      </c>
      <c r="C121" s="52">
        <v>1</v>
      </c>
      <c r="D121" s="53">
        <v>1</v>
      </c>
      <c r="E121" s="18">
        <v>2.0620823182830074E-2</v>
      </c>
      <c r="F121" s="18">
        <v>0.5841637603569878</v>
      </c>
      <c r="G121" s="41">
        <v>1.357026117649081</v>
      </c>
      <c r="H121" s="52">
        <v>1</v>
      </c>
      <c r="I121" s="52">
        <v>1</v>
      </c>
      <c r="J121" s="18">
        <v>0.32490693968109546</v>
      </c>
      <c r="K121" s="41">
        <v>0.75</v>
      </c>
      <c r="L121" s="41">
        <v>4.1366711352398347E-2</v>
      </c>
      <c r="M121" s="41">
        <v>0.61578363628675659</v>
      </c>
      <c r="N121" s="41">
        <v>0.5</v>
      </c>
      <c r="O121" s="41">
        <v>1.4414318141383107</v>
      </c>
      <c r="P121" s="41">
        <v>0.3877579387523698</v>
      </c>
      <c r="Q121" s="41">
        <v>1.0659870238454034</v>
      </c>
      <c r="R121" s="41">
        <v>0.85</v>
      </c>
      <c r="S121" s="41">
        <v>1.4414318141383107</v>
      </c>
      <c r="T121" s="41">
        <v>1.4414318141383107</v>
      </c>
      <c r="U121" s="18">
        <v>3.1677978432229783</v>
      </c>
    </row>
    <row r="122" spans="1:21" x14ac:dyDescent="0.2">
      <c r="A122" s="5" t="s">
        <v>237</v>
      </c>
      <c r="B122" s="5" t="s">
        <v>12</v>
      </c>
      <c r="C122" s="52">
        <v>1</v>
      </c>
      <c r="D122" s="53">
        <v>1</v>
      </c>
      <c r="E122" s="18">
        <v>0</v>
      </c>
      <c r="F122" s="18">
        <v>0.73159977753818095</v>
      </c>
      <c r="G122" s="41">
        <v>0.46874192336804033</v>
      </c>
      <c r="H122" s="52">
        <v>1</v>
      </c>
      <c r="I122" s="52">
        <v>1</v>
      </c>
      <c r="J122" s="18">
        <v>0.32490693968109546</v>
      </c>
      <c r="K122" s="41">
        <v>0.50624406217556039</v>
      </c>
      <c r="L122" s="41">
        <v>0.26635563670034501</v>
      </c>
      <c r="M122" s="41">
        <v>1.2485162738408604</v>
      </c>
      <c r="N122" s="41">
        <v>1.1713606449703549</v>
      </c>
      <c r="O122" s="41">
        <v>1.1713606449703549</v>
      </c>
      <c r="P122" s="41">
        <v>0.45876936154245718</v>
      </c>
      <c r="Q122" s="41">
        <v>2.2206817437446409</v>
      </c>
      <c r="R122" s="41">
        <v>1.0685460819869106</v>
      </c>
      <c r="S122" s="41">
        <v>1.1713606449703549</v>
      </c>
      <c r="T122" s="41">
        <v>1.1713606449703549</v>
      </c>
      <c r="U122" s="18">
        <v>0.87078893217483466</v>
      </c>
    </row>
    <row r="123" spans="1:21" x14ac:dyDescent="0.2">
      <c r="A123" s="5" t="s">
        <v>238</v>
      </c>
      <c r="B123" s="5" t="s">
        <v>13</v>
      </c>
      <c r="C123" s="52">
        <v>1</v>
      </c>
      <c r="D123" s="53">
        <v>1</v>
      </c>
      <c r="E123" s="18">
        <v>0</v>
      </c>
      <c r="F123" s="18">
        <v>0.73159977753818095</v>
      </c>
      <c r="G123" s="41">
        <v>0.31299529786964259</v>
      </c>
      <c r="H123" s="52">
        <v>1</v>
      </c>
      <c r="I123" s="52">
        <v>1</v>
      </c>
      <c r="J123" s="18">
        <v>0.32490693968109546</v>
      </c>
      <c r="K123" s="41">
        <v>0.4725366206734673</v>
      </c>
      <c r="L123" s="41">
        <v>0.61912590290848235</v>
      </c>
      <c r="M123" s="41">
        <v>1.6675760365202699</v>
      </c>
      <c r="N123" s="41">
        <v>1.1222530349327158</v>
      </c>
      <c r="O123" s="41">
        <v>1.1222530349327158</v>
      </c>
      <c r="P123" s="41">
        <v>0.35713429869309121</v>
      </c>
      <c r="Q123" s="41">
        <v>1.2933382265143232</v>
      </c>
      <c r="R123" s="41">
        <v>0.81591627512117271</v>
      </c>
      <c r="S123" s="41">
        <v>1.1222530349327158</v>
      </c>
      <c r="T123" s="41">
        <v>1.1222530349327158</v>
      </c>
      <c r="U123" s="18">
        <v>0.87078893217483466</v>
      </c>
    </row>
    <row r="124" spans="1:21" x14ac:dyDescent="0.2">
      <c r="A124" s="5" t="s">
        <v>239</v>
      </c>
      <c r="B124" s="5" t="s">
        <v>14</v>
      </c>
      <c r="C124" s="52">
        <v>1</v>
      </c>
      <c r="D124" s="53">
        <v>1</v>
      </c>
      <c r="E124" s="18">
        <v>6.4128395881907305E-3</v>
      </c>
      <c r="F124" s="18">
        <v>0.73159977753818095</v>
      </c>
      <c r="G124" s="41">
        <v>0.65496384322550061</v>
      </c>
      <c r="H124" s="52">
        <v>1</v>
      </c>
      <c r="I124" s="52">
        <v>1</v>
      </c>
      <c r="J124" s="18">
        <v>0.32490693968109546</v>
      </c>
      <c r="K124" s="41">
        <v>0.49684372221224321</v>
      </c>
      <c r="L124" s="41">
        <v>0.19948784074643691</v>
      </c>
      <c r="M124" s="41">
        <v>1.1984059947448251</v>
      </c>
      <c r="N124" s="41">
        <v>1.2803394331533124</v>
      </c>
      <c r="O124" s="41">
        <v>1.2803394331533124</v>
      </c>
      <c r="P124" s="41">
        <v>0.65429114571842828</v>
      </c>
      <c r="Q124" s="41">
        <v>1.3226946737178471</v>
      </c>
      <c r="R124" s="41">
        <v>1.2121895028912348</v>
      </c>
      <c r="S124" s="41">
        <v>1.2803394331533124</v>
      </c>
      <c r="T124" s="41">
        <v>1.2803394331533124</v>
      </c>
      <c r="U124" s="18">
        <v>0.87078893217483466</v>
      </c>
    </row>
    <row r="125" spans="1:21" x14ac:dyDescent="0.2">
      <c r="A125" s="5" t="s">
        <v>240</v>
      </c>
      <c r="B125" s="5" t="s">
        <v>15</v>
      </c>
      <c r="C125" s="52">
        <v>1</v>
      </c>
      <c r="D125" s="53">
        <v>1</v>
      </c>
      <c r="E125" s="18">
        <v>0</v>
      </c>
      <c r="F125" s="18">
        <v>0.73159977753818095</v>
      </c>
      <c r="G125" s="41">
        <v>0.6037502178212375</v>
      </c>
      <c r="H125" s="52">
        <v>1</v>
      </c>
      <c r="I125" s="52">
        <v>1</v>
      </c>
      <c r="J125" s="18">
        <v>0.32490693968109546</v>
      </c>
      <c r="K125" s="41">
        <v>0.500338769552647</v>
      </c>
      <c r="L125" s="41">
        <v>0.35375264992881233</v>
      </c>
      <c r="M125" s="41">
        <v>1.323750269721194</v>
      </c>
      <c r="N125" s="41">
        <v>1.1734750716915023</v>
      </c>
      <c r="O125" s="41">
        <v>1.1734750716915023</v>
      </c>
      <c r="P125" s="41">
        <v>0.72571106791164408</v>
      </c>
      <c r="Q125" s="41">
        <v>1.1664706186694289</v>
      </c>
      <c r="R125" s="41">
        <v>1.0713803447861785</v>
      </c>
      <c r="S125" s="41">
        <v>1.1734750716915023</v>
      </c>
      <c r="T125" s="41">
        <v>1.1734750716915023</v>
      </c>
      <c r="U125" s="18">
        <v>0.87078893217483466</v>
      </c>
    </row>
    <row r="126" spans="1:21" x14ac:dyDescent="0.2">
      <c r="A126" s="5" t="s">
        <v>241</v>
      </c>
      <c r="B126" s="5" t="s">
        <v>16</v>
      </c>
      <c r="C126" s="52">
        <v>1</v>
      </c>
      <c r="D126" s="53">
        <v>1</v>
      </c>
      <c r="E126" s="18">
        <v>0</v>
      </c>
      <c r="F126" s="18">
        <v>0.73159977753818095</v>
      </c>
      <c r="G126" s="41">
        <v>0.6312787094383111</v>
      </c>
      <c r="H126" s="52">
        <v>1</v>
      </c>
      <c r="I126" s="52">
        <v>1</v>
      </c>
      <c r="J126" s="18">
        <v>0.32490693968109546</v>
      </c>
      <c r="K126" s="41">
        <v>0.50483301770069611</v>
      </c>
      <c r="L126" s="41">
        <v>0.36811102945335006</v>
      </c>
      <c r="M126" s="41">
        <v>1.3214772234954844</v>
      </c>
      <c r="N126" s="41">
        <v>1.1465723821033837</v>
      </c>
      <c r="O126" s="41">
        <v>1.1465723821033837</v>
      </c>
      <c r="P126" s="41">
        <v>0.80227794035142208</v>
      </c>
      <c r="Q126" s="41">
        <v>1.0871858839962003</v>
      </c>
      <c r="R126" s="41">
        <v>1.0592762016180826</v>
      </c>
      <c r="S126" s="41">
        <v>1.1465723821033837</v>
      </c>
      <c r="T126" s="41">
        <v>1.1465723821033837</v>
      </c>
      <c r="U126" s="18">
        <v>0.87078893217483466</v>
      </c>
    </row>
    <row r="127" spans="1:21" x14ac:dyDescent="0.2">
      <c r="A127" s="5" t="s">
        <v>242</v>
      </c>
      <c r="B127" s="5" t="s">
        <v>17</v>
      </c>
      <c r="C127" s="52">
        <v>1</v>
      </c>
      <c r="D127" s="53">
        <v>1</v>
      </c>
      <c r="E127" s="18">
        <v>6.4128395881907305E-3</v>
      </c>
      <c r="F127" s="18">
        <v>0.73159977753818095</v>
      </c>
      <c r="G127" s="41">
        <v>0.41781002887564578</v>
      </c>
      <c r="H127" s="52">
        <v>1</v>
      </c>
      <c r="I127" s="52">
        <v>1</v>
      </c>
      <c r="J127" s="18">
        <v>0.32490693968109546</v>
      </c>
      <c r="K127" s="41">
        <v>0.5151838734819727</v>
      </c>
      <c r="L127" s="41">
        <v>0.48599360220248822</v>
      </c>
      <c r="M127" s="41">
        <v>1.2053306985249934</v>
      </c>
      <c r="N127" s="41">
        <v>1.1277104778555065</v>
      </c>
      <c r="O127" s="41">
        <v>1.1277104778555065</v>
      </c>
      <c r="P127" s="41">
        <v>1.0695963893786964</v>
      </c>
      <c r="Q127" s="41">
        <v>0.6024471883565482</v>
      </c>
      <c r="R127" s="41">
        <v>1.1010929415106439</v>
      </c>
      <c r="S127" s="41">
        <v>1.1277104778555065</v>
      </c>
      <c r="T127" s="41">
        <v>1.1277104778555065</v>
      </c>
      <c r="U127" s="18">
        <v>0.87078893217483466</v>
      </c>
    </row>
    <row r="128" spans="1:21" x14ac:dyDescent="0.2">
      <c r="A128" s="5" t="s">
        <v>243</v>
      </c>
      <c r="B128" s="5" t="s">
        <v>12</v>
      </c>
      <c r="C128" s="52">
        <v>1</v>
      </c>
      <c r="D128" s="53">
        <v>1</v>
      </c>
      <c r="E128" s="18">
        <v>0</v>
      </c>
      <c r="F128" s="18">
        <v>0.5196646623604978</v>
      </c>
      <c r="G128" s="41">
        <v>1.2073507827246972</v>
      </c>
      <c r="H128" s="52">
        <v>1</v>
      </c>
      <c r="I128" s="52">
        <v>1</v>
      </c>
      <c r="J128" s="18">
        <v>0.32490693968109546</v>
      </c>
      <c r="K128" s="41">
        <v>0.500338769552647</v>
      </c>
      <c r="L128" s="41">
        <v>3.0139502961226212E-2</v>
      </c>
      <c r="M128" s="41">
        <v>0.66125585385418073</v>
      </c>
      <c r="N128" s="41">
        <v>1.2673137896784614</v>
      </c>
      <c r="O128" s="41">
        <v>1.2673137896784614</v>
      </c>
      <c r="P128" s="41">
        <v>0.46073921898978715</v>
      </c>
      <c r="Q128" s="41">
        <v>1.303024933215202</v>
      </c>
      <c r="R128" s="41">
        <v>1.7628574965942825</v>
      </c>
      <c r="S128" s="41">
        <v>1.2673137896784614</v>
      </c>
      <c r="T128" s="41">
        <v>1.2673137896784614</v>
      </c>
      <c r="U128" s="18">
        <v>3.4863688664256882</v>
      </c>
    </row>
    <row r="129" spans="1:21" x14ac:dyDescent="0.2">
      <c r="A129" s="5" t="s">
        <v>244</v>
      </c>
      <c r="B129" s="5" t="s">
        <v>13</v>
      </c>
      <c r="C129" s="52">
        <v>1</v>
      </c>
      <c r="D129" s="53">
        <v>1</v>
      </c>
      <c r="E129" s="18">
        <v>0</v>
      </c>
      <c r="F129" s="18">
        <v>0.5196646623604978</v>
      </c>
      <c r="G129" s="41">
        <v>1.2022081394966353</v>
      </c>
      <c r="H129" s="52">
        <v>1</v>
      </c>
      <c r="I129" s="52">
        <v>1</v>
      </c>
      <c r="J129" s="18">
        <v>0.32490693968109546</v>
      </c>
      <c r="K129" s="41">
        <v>0.55749844687629924</v>
      </c>
      <c r="L129" s="41">
        <v>2.4747245373907593E-2</v>
      </c>
      <c r="M129" s="41">
        <v>0.71237347667378981</v>
      </c>
      <c r="N129" s="41">
        <v>1.2322571347158249</v>
      </c>
      <c r="O129" s="41">
        <v>1.2322571347158249</v>
      </c>
      <c r="P129" s="41">
        <v>0.42208051386525658</v>
      </c>
      <c r="Q129" s="41">
        <v>1.3573961383166648</v>
      </c>
      <c r="R129" s="41">
        <v>1.5575876736749994</v>
      </c>
      <c r="S129" s="41">
        <v>1.2322571347158249</v>
      </c>
      <c r="T129" s="41">
        <v>1.2322571347158249</v>
      </c>
      <c r="U129" s="18">
        <v>3.4863688664256882</v>
      </c>
    </row>
    <row r="130" spans="1:21" x14ac:dyDescent="0.2">
      <c r="A130" s="5" t="s">
        <v>245</v>
      </c>
      <c r="B130" s="5" t="s">
        <v>14</v>
      </c>
      <c r="C130" s="52">
        <v>1</v>
      </c>
      <c r="D130" s="53">
        <v>1</v>
      </c>
      <c r="E130" s="18">
        <v>2.8337992855957592E-2</v>
      </c>
      <c r="F130" s="18">
        <v>0.5196646623604978</v>
      </c>
      <c r="G130" s="41">
        <v>1.4968150481225813</v>
      </c>
      <c r="H130" s="52">
        <v>1</v>
      </c>
      <c r="I130" s="52">
        <v>1</v>
      </c>
      <c r="J130" s="18">
        <v>0.32490693968109546</v>
      </c>
      <c r="K130" s="41">
        <v>0.42956270212252723</v>
      </c>
      <c r="L130" s="41">
        <v>3.0841171587727808E-2</v>
      </c>
      <c r="M130" s="41">
        <v>0.66231263495250448</v>
      </c>
      <c r="N130" s="41">
        <v>1.1237823312825936</v>
      </c>
      <c r="O130" s="41">
        <v>1.1237823312825936</v>
      </c>
      <c r="P130" s="41">
        <v>0.49062017168421618</v>
      </c>
      <c r="Q130" s="41">
        <v>1.1686619525385156</v>
      </c>
      <c r="R130" s="41">
        <v>2.0168319137651891</v>
      </c>
      <c r="S130" s="41">
        <v>1.1237823312825936</v>
      </c>
      <c r="T130" s="41">
        <v>1.1237823312825936</v>
      </c>
      <c r="U130" s="18">
        <v>3.4863688664256882</v>
      </c>
    </row>
    <row r="131" spans="1:21" x14ac:dyDescent="0.2">
      <c r="A131" s="5" t="s">
        <v>246</v>
      </c>
      <c r="B131" s="5" t="s">
        <v>15</v>
      </c>
      <c r="C131" s="52">
        <v>1</v>
      </c>
      <c r="D131" s="53">
        <v>1</v>
      </c>
      <c r="E131" s="18">
        <v>0</v>
      </c>
      <c r="F131" s="18">
        <v>0.5196646623604978</v>
      </c>
      <c r="G131" s="41">
        <v>1.2073507827246972</v>
      </c>
      <c r="H131" s="52">
        <v>1</v>
      </c>
      <c r="I131" s="52">
        <v>1</v>
      </c>
      <c r="J131" s="18">
        <v>0.32490693968109546</v>
      </c>
      <c r="K131" s="41">
        <v>0.500338769552647</v>
      </c>
      <c r="L131" s="41">
        <v>3.0139502961226212E-2</v>
      </c>
      <c r="M131" s="41">
        <v>0.66125585385418073</v>
      </c>
      <c r="N131" s="41">
        <v>1.2673137896784614</v>
      </c>
      <c r="O131" s="41">
        <v>1.2673137896784614</v>
      </c>
      <c r="P131" s="41">
        <v>0.46073921898978715</v>
      </c>
      <c r="Q131" s="41">
        <v>1.303024933215202</v>
      </c>
      <c r="R131" s="41">
        <v>1.7628574965942825</v>
      </c>
      <c r="S131" s="41">
        <v>1.2673137896784614</v>
      </c>
      <c r="T131" s="41">
        <v>1.2673137896784614</v>
      </c>
      <c r="U131" s="18">
        <v>3.4863688664256882</v>
      </c>
    </row>
    <row r="132" spans="1:21" x14ac:dyDescent="0.2">
      <c r="A132" s="5" t="s">
        <v>247</v>
      </c>
      <c r="B132" s="5" t="s">
        <v>16</v>
      </c>
      <c r="C132" s="52">
        <v>1</v>
      </c>
      <c r="D132" s="53">
        <v>1</v>
      </c>
      <c r="E132" s="18">
        <v>0</v>
      </c>
      <c r="F132" s="18">
        <v>0.5196646623604978</v>
      </c>
      <c r="G132" s="41">
        <v>1.2073507827246972</v>
      </c>
      <c r="H132" s="52">
        <v>1</v>
      </c>
      <c r="I132" s="52">
        <v>1</v>
      </c>
      <c r="J132" s="18">
        <v>0.32490693968109546</v>
      </c>
      <c r="K132" s="41">
        <v>0.500338769552647</v>
      </c>
      <c r="L132" s="41">
        <v>3.0139502961226212E-2</v>
      </c>
      <c r="M132" s="41">
        <v>0.66125585385418073</v>
      </c>
      <c r="N132" s="41">
        <v>1.2673137896784614</v>
      </c>
      <c r="O132" s="41">
        <v>1.2673137896784614</v>
      </c>
      <c r="P132" s="41">
        <v>0.46073921898978715</v>
      </c>
      <c r="Q132" s="41">
        <v>1.303024933215202</v>
      </c>
      <c r="R132" s="41">
        <v>1.7628574965942825</v>
      </c>
      <c r="S132" s="41">
        <v>1.2673137896784614</v>
      </c>
      <c r="T132" s="41">
        <v>1.2673137896784614</v>
      </c>
      <c r="U132" s="18">
        <v>3.4863688664256882</v>
      </c>
    </row>
    <row r="133" spans="1:21" x14ac:dyDescent="0.2">
      <c r="A133" s="5" t="s">
        <v>248</v>
      </c>
      <c r="B133" s="5" t="s">
        <v>17</v>
      </c>
      <c r="C133" s="52">
        <v>1</v>
      </c>
      <c r="D133" s="53">
        <v>1</v>
      </c>
      <c r="E133" s="18">
        <v>2.8337992855957592E-2</v>
      </c>
      <c r="F133" s="18">
        <v>0.5196646623604978</v>
      </c>
      <c r="G133" s="41">
        <v>0.89414534171057203</v>
      </c>
      <c r="H133" s="52">
        <v>1</v>
      </c>
      <c r="I133" s="52">
        <v>1</v>
      </c>
      <c r="J133" s="18">
        <v>0.32490693968109546</v>
      </c>
      <c r="K133" s="41">
        <v>0.40320090827756472</v>
      </c>
      <c r="L133" s="41">
        <v>4.6296730745875259E-2</v>
      </c>
      <c r="M133" s="41">
        <v>0.49802186169210605</v>
      </c>
      <c r="N133" s="41">
        <v>1.546373943101234</v>
      </c>
      <c r="O133" s="41">
        <v>1.546373943101234</v>
      </c>
      <c r="P133" s="41">
        <v>0.54657119135712795</v>
      </c>
      <c r="Q133" s="41">
        <v>1.2823533121585124</v>
      </c>
      <c r="R133" s="41">
        <v>2.1123279448842691</v>
      </c>
      <c r="S133" s="41">
        <v>1.546373943101234</v>
      </c>
      <c r="T133" s="41">
        <v>1.546373943101234</v>
      </c>
      <c r="U133" s="18">
        <v>3.4863688664256882</v>
      </c>
    </row>
    <row r="134" spans="1:21" x14ac:dyDescent="0.2">
      <c r="A134" s="5" t="s">
        <v>249</v>
      </c>
      <c r="B134" s="5" t="s">
        <v>12</v>
      </c>
      <c r="C134" s="52">
        <v>1</v>
      </c>
      <c r="D134" s="53">
        <v>1</v>
      </c>
      <c r="E134" s="18">
        <v>0</v>
      </c>
      <c r="F134" s="18">
        <v>0.6519700017740705</v>
      </c>
      <c r="G134" s="41">
        <v>1.2581763564996518</v>
      </c>
      <c r="H134" s="52">
        <v>1</v>
      </c>
      <c r="I134" s="52">
        <v>1</v>
      </c>
      <c r="J134" s="18">
        <v>0.32490693968109546</v>
      </c>
      <c r="K134" s="41">
        <v>0.500338769552647</v>
      </c>
      <c r="L134" s="41">
        <v>0.21080098913679673</v>
      </c>
      <c r="M134" s="41">
        <v>0.80805391047267805</v>
      </c>
      <c r="N134" s="41">
        <v>1.5744009812988882</v>
      </c>
      <c r="O134" s="41">
        <v>1.5744009812988882</v>
      </c>
      <c r="P134" s="41">
        <v>1.3569604978864434</v>
      </c>
      <c r="Q134" s="41">
        <v>1.0392183734357594</v>
      </c>
      <c r="R134" s="41">
        <v>1.2490772356420499</v>
      </c>
      <c r="S134" s="41">
        <v>1.5744009812988882</v>
      </c>
      <c r="T134" s="41">
        <v>1.5744009812988882</v>
      </c>
      <c r="U134" s="18">
        <v>0.61280106791802247</v>
      </c>
    </row>
    <row r="135" spans="1:21" x14ac:dyDescent="0.2">
      <c r="A135" s="5" t="s">
        <v>250</v>
      </c>
      <c r="B135" s="5" t="s">
        <v>13</v>
      </c>
      <c r="C135" s="52">
        <v>1</v>
      </c>
      <c r="D135" s="53">
        <v>1</v>
      </c>
      <c r="E135" s="18">
        <v>0</v>
      </c>
      <c r="F135" s="18">
        <v>0.6519700017740705</v>
      </c>
      <c r="G135" s="41">
        <v>1.2581763564996518</v>
      </c>
      <c r="H135" s="52">
        <v>1</v>
      </c>
      <c r="I135" s="52">
        <v>1</v>
      </c>
      <c r="J135" s="18">
        <v>0.32490693968109546</v>
      </c>
      <c r="K135" s="41">
        <v>0.500338769552647</v>
      </c>
      <c r="L135" s="41">
        <v>0.21080098913679673</v>
      </c>
      <c r="M135" s="41">
        <v>0.80805391047267805</v>
      </c>
      <c r="N135" s="41">
        <v>1.5744009812988882</v>
      </c>
      <c r="O135" s="41">
        <v>1.5744009812988882</v>
      </c>
      <c r="P135" s="41">
        <v>1.3569604978864434</v>
      </c>
      <c r="Q135" s="41">
        <v>1.0392183734357594</v>
      </c>
      <c r="R135" s="41">
        <v>1.2490772356420499</v>
      </c>
      <c r="S135" s="41">
        <v>1.5744009812988882</v>
      </c>
      <c r="T135" s="41">
        <v>1.5744009812988882</v>
      </c>
      <c r="U135" s="18">
        <v>0.61280106791802247</v>
      </c>
    </row>
    <row r="136" spans="1:21" x14ac:dyDescent="0.2">
      <c r="A136" s="5" t="s">
        <v>251</v>
      </c>
      <c r="B136" s="5" t="s">
        <v>14</v>
      </c>
      <c r="C136" s="52">
        <v>1</v>
      </c>
      <c r="D136" s="53">
        <v>1</v>
      </c>
      <c r="E136" s="18">
        <v>4.1814038588791208E-3</v>
      </c>
      <c r="F136" s="18">
        <v>0.6519700017740705</v>
      </c>
      <c r="G136" s="41">
        <v>1.2581763564996518</v>
      </c>
      <c r="H136" s="52">
        <v>1</v>
      </c>
      <c r="I136" s="52">
        <v>1</v>
      </c>
      <c r="J136" s="18">
        <v>0.32490693968109546</v>
      </c>
      <c r="K136" s="41">
        <v>0.500338769552647</v>
      </c>
      <c r="L136" s="41">
        <v>0.21080098913679673</v>
      </c>
      <c r="M136" s="41">
        <v>0.80805391047267805</v>
      </c>
      <c r="N136" s="41">
        <v>1.5744009812988882</v>
      </c>
      <c r="O136" s="41">
        <v>1.5744009812988882</v>
      </c>
      <c r="P136" s="41">
        <v>1.3569604978864434</v>
      </c>
      <c r="Q136" s="41">
        <v>1.0392183734357594</v>
      </c>
      <c r="R136" s="41">
        <v>1.2490772356420499</v>
      </c>
      <c r="S136" s="41">
        <v>1.5744009812988882</v>
      </c>
      <c r="T136" s="41">
        <v>1.5744009812988882</v>
      </c>
      <c r="U136" s="18">
        <v>0.61280106791802247</v>
      </c>
    </row>
    <row r="137" spans="1:21" x14ac:dyDescent="0.2">
      <c r="A137" s="5" t="s">
        <v>252</v>
      </c>
      <c r="B137" s="5" t="s">
        <v>15</v>
      </c>
      <c r="C137" s="52">
        <v>1</v>
      </c>
      <c r="D137" s="53">
        <v>1</v>
      </c>
      <c r="E137" s="18">
        <v>0</v>
      </c>
      <c r="F137" s="18">
        <v>0.6519700017740705</v>
      </c>
      <c r="G137" s="41">
        <v>0.67821618729876909</v>
      </c>
      <c r="H137" s="52">
        <v>1</v>
      </c>
      <c r="I137" s="52">
        <v>1</v>
      </c>
      <c r="J137" s="18">
        <v>0.32490693968109546</v>
      </c>
      <c r="K137" s="41">
        <v>0.51725252505788111</v>
      </c>
      <c r="L137" s="41">
        <v>0.27767244285522169</v>
      </c>
      <c r="M137" s="41">
        <v>0.85764100197596482</v>
      </c>
      <c r="N137" s="41">
        <v>1.4257178273293654</v>
      </c>
      <c r="O137" s="41">
        <v>1.4257178273293654</v>
      </c>
      <c r="P137" s="41">
        <v>0.60886113576433021</v>
      </c>
      <c r="Q137" s="41">
        <v>0.97531284143067898</v>
      </c>
      <c r="R137" s="41">
        <v>1.2771672576640014</v>
      </c>
      <c r="S137" s="41">
        <v>1.4257178273293654</v>
      </c>
      <c r="T137" s="41">
        <v>1.4257178273293654</v>
      </c>
      <c r="U137" s="18">
        <v>0.61280106791802247</v>
      </c>
    </row>
    <row r="138" spans="1:21" x14ac:dyDescent="0.2">
      <c r="A138" s="5" t="s">
        <v>253</v>
      </c>
      <c r="B138" s="5" t="s">
        <v>16</v>
      </c>
      <c r="C138" s="52">
        <v>1</v>
      </c>
      <c r="D138" s="53">
        <v>1</v>
      </c>
      <c r="E138" s="18">
        <v>0</v>
      </c>
      <c r="F138" s="18">
        <v>0.6519700017740705</v>
      </c>
      <c r="G138" s="41">
        <v>2.1344743261825396</v>
      </c>
      <c r="H138" s="52">
        <v>1</v>
      </c>
      <c r="I138" s="52">
        <v>1</v>
      </c>
      <c r="J138" s="18">
        <v>0.32490693968109546</v>
      </c>
      <c r="K138" s="41">
        <v>0.48778244239416718</v>
      </c>
      <c r="L138" s="41">
        <v>0.16697663948967112</v>
      </c>
      <c r="M138" s="41">
        <v>0.73202190044165416</v>
      </c>
      <c r="N138" s="41">
        <v>1.9174684584713344</v>
      </c>
      <c r="O138" s="41">
        <v>1.9174684584713344</v>
      </c>
      <c r="P138" s="41">
        <v>2.9448618023509754</v>
      </c>
      <c r="Q138" s="41">
        <v>0.62758122907963698</v>
      </c>
      <c r="R138" s="41">
        <v>1.1171337595240332</v>
      </c>
      <c r="S138" s="41">
        <v>1.9174684584713344</v>
      </c>
      <c r="T138" s="41">
        <v>1.9174684584713344</v>
      </c>
      <c r="U138" s="18">
        <v>0.61280106791802247</v>
      </c>
    </row>
    <row r="139" spans="1:21" x14ac:dyDescent="0.2">
      <c r="A139" s="5" t="s">
        <v>254</v>
      </c>
      <c r="B139" s="5" t="s">
        <v>17</v>
      </c>
      <c r="C139" s="52">
        <v>1</v>
      </c>
      <c r="D139" s="53">
        <v>1</v>
      </c>
      <c r="E139" s="18">
        <v>4.1814038588791208E-3</v>
      </c>
      <c r="F139" s="18">
        <v>0.6519700017740705</v>
      </c>
      <c r="G139" s="41">
        <v>0.87566941473654747</v>
      </c>
      <c r="H139" s="52">
        <v>1</v>
      </c>
      <c r="I139" s="52">
        <v>1</v>
      </c>
      <c r="J139" s="18">
        <v>0.32490693968109546</v>
      </c>
      <c r="K139" s="41">
        <v>0.50187687482371035</v>
      </c>
      <c r="L139" s="41">
        <v>0.21315257249172082</v>
      </c>
      <c r="M139" s="41">
        <v>0.84028064474691111</v>
      </c>
      <c r="N139" s="41">
        <v>1.3899241890504164</v>
      </c>
      <c r="O139" s="41">
        <v>1.3899241890504164</v>
      </c>
      <c r="P139" s="41">
        <v>0.53775196297640881</v>
      </c>
      <c r="Q139" s="41">
        <v>1.3595490665101266</v>
      </c>
      <c r="R139" s="41">
        <v>1.334721915256605</v>
      </c>
      <c r="S139" s="41">
        <v>1.3899241890504164</v>
      </c>
      <c r="T139" s="41">
        <v>1.3899241890504164</v>
      </c>
      <c r="U139" s="18">
        <v>0.61280106791802247</v>
      </c>
    </row>
    <row r="140" spans="1:21" x14ac:dyDescent="0.2">
      <c r="A140" s="5" t="s">
        <v>255</v>
      </c>
      <c r="B140" s="5" t="s">
        <v>12</v>
      </c>
      <c r="C140" s="52">
        <v>1</v>
      </c>
      <c r="D140" s="53">
        <v>1</v>
      </c>
      <c r="E140" s="18">
        <v>0</v>
      </c>
      <c r="F140" s="18">
        <v>0.48587578383724972</v>
      </c>
      <c r="G140" s="41">
        <v>0.45828028945737886</v>
      </c>
      <c r="H140" s="52">
        <v>1</v>
      </c>
      <c r="I140" s="52">
        <v>1</v>
      </c>
      <c r="J140" s="18">
        <v>0.46015076684586514</v>
      </c>
      <c r="K140" s="41">
        <v>0.500338769552647</v>
      </c>
      <c r="L140" s="41">
        <v>3.8408332476714571</v>
      </c>
      <c r="M140" s="41">
        <v>1.1233952648862693</v>
      </c>
      <c r="N140" s="41">
        <v>0.37612312823175831</v>
      </c>
      <c r="O140" s="41">
        <v>0.37612312823175831</v>
      </c>
      <c r="P140" s="41">
        <v>0.36036280331409881</v>
      </c>
      <c r="Q140" s="41">
        <v>0.58478237576048675</v>
      </c>
      <c r="R140" s="41">
        <v>0.59173887140879222</v>
      </c>
      <c r="S140" s="41">
        <v>0.37612312823175831</v>
      </c>
      <c r="T140" s="41">
        <v>0.37612312823175831</v>
      </c>
      <c r="U140" s="18">
        <v>1.5089059793613482</v>
      </c>
    </row>
    <row r="141" spans="1:21" x14ac:dyDescent="0.2">
      <c r="A141" s="5" t="s">
        <v>256</v>
      </c>
      <c r="B141" s="5" t="s">
        <v>13</v>
      </c>
      <c r="C141" s="52">
        <v>1</v>
      </c>
      <c r="D141" s="53">
        <v>1</v>
      </c>
      <c r="E141" s="18">
        <v>0</v>
      </c>
      <c r="F141" s="18">
        <v>0.48587578383724972</v>
      </c>
      <c r="G141" s="41">
        <v>0.45828028945737886</v>
      </c>
      <c r="H141" s="52">
        <v>1</v>
      </c>
      <c r="I141" s="52">
        <v>1</v>
      </c>
      <c r="J141" s="18">
        <v>0.46015076684586514</v>
      </c>
      <c r="K141" s="41">
        <v>0.500338769552647</v>
      </c>
      <c r="L141" s="41">
        <v>3.8408332476714571</v>
      </c>
      <c r="M141" s="41">
        <v>1.1233952648862693</v>
      </c>
      <c r="N141" s="41">
        <v>0.37612312823175831</v>
      </c>
      <c r="O141" s="41">
        <v>0.37612312823175831</v>
      </c>
      <c r="P141" s="41">
        <v>0.36036280331409881</v>
      </c>
      <c r="Q141" s="41">
        <v>0.58478237576048675</v>
      </c>
      <c r="R141" s="41">
        <v>0.59173887140879222</v>
      </c>
      <c r="S141" s="41">
        <v>0.37612312823175831</v>
      </c>
      <c r="T141" s="41">
        <v>0.37612312823175831</v>
      </c>
      <c r="U141" s="18">
        <v>1.5089059793613482</v>
      </c>
    </row>
    <row r="142" spans="1:21" x14ac:dyDescent="0.2">
      <c r="A142" s="5" t="s">
        <v>257</v>
      </c>
      <c r="B142" s="5" t="s">
        <v>14</v>
      </c>
      <c r="C142" s="52">
        <v>1</v>
      </c>
      <c r="D142" s="53">
        <v>1</v>
      </c>
      <c r="E142" s="18">
        <v>1.8239815769201155E-3</v>
      </c>
      <c r="F142" s="18">
        <v>0.48587578383724972</v>
      </c>
      <c r="G142" s="41">
        <v>0.45828028945737886</v>
      </c>
      <c r="H142" s="52">
        <v>1</v>
      </c>
      <c r="I142" s="52">
        <v>1</v>
      </c>
      <c r="J142" s="18">
        <v>0.46015076684586514</v>
      </c>
      <c r="K142" s="41">
        <v>0.500338769552647</v>
      </c>
      <c r="L142" s="41">
        <v>3.8408332476714571</v>
      </c>
      <c r="M142" s="41">
        <v>1.1233952648862693</v>
      </c>
      <c r="N142" s="41">
        <v>0.37612312823175831</v>
      </c>
      <c r="O142" s="41">
        <v>0.37612312823175831</v>
      </c>
      <c r="P142" s="41">
        <v>0.36036280331409881</v>
      </c>
      <c r="Q142" s="41">
        <v>0.58478237576048675</v>
      </c>
      <c r="R142" s="41">
        <v>0.59173887140879222</v>
      </c>
      <c r="S142" s="41">
        <v>0.37612312823175831</v>
      </c>
      <c r="T142" s="41">
        <v>0.37612312823175831</v>
      </c>
      <c r="U142" s="18">
        <v>1.5089059793613482</v>
      </c>
    </row>
    <row r="143" spans="1:21" x14ac:dyDescent="0.2">
      <c r="A143" s="5" t="s">
        <v>258</v>
      </c>
      <c r="B143" s="5" t="s">
        <v>15</v>
      </c>
      <c r="C143" s="52">
        <v>1</v>
      </c>
      <c r="D143" s="53">
        <v>1</v>
      </c>
      <c r="E143" s="18">
        <v>0</v>
      </c>
      <c r="F143" s="18">
        <v>0.48587578383724972</v>
      </c>
      <c r="G143" s="41">
        <v>0.42975161304776294</v>
      </c>
      <c r="H143" s="52">
        <v>1</v>
      </c>
      <c r="I143" s="52">
        <v>1</v>
      </c>
      <c r="J143" s="18">
        <v>0.46015076684586514</v>
      </c>
      <c r="K143" s="41">
        <v>0.4722526402477068</v>
      </c>
      <c r="L143" s="41">
        <v>4.0541929972530744</v>
      </c>
      <c r="M143" s="41">
        <v>1.1016541640376327</v>
      </c>
      <c r="N143" s="41">
        <v>0.3438627838352728</v>
      </c>
      <c r="O143" s="41">
        <v>0.3438627838352728</v>
      </c>
      <c r="P143" s="41">
        <v>0.40500816365001052</v>
      </c>
      <c r="Q143" s="41">
        <v>0.51424590549111615</v>
      </c>
      <c r="R143" s="41">
        <v>0.52809771095353331</v>
      </c>
      <c r="S143" s="41">
        <v>0.3438627838352728</v>
      </c>
      <c r="T143" s="41">
        <v>0.3438627838352728</v>
      </c>
      <c r="U143" s="18">
        <v>1.5089059793613482</v>
      </c>
    </row>
    <row r="144" spans="1:21" x14ac:dyDescent="0.2">
      <c r="A144" s="5" t="s">
        <v>259</v>
      </c>
      <c r="B144" s="5" t="s">
        <v>16</v>
      </c>
      <c r="C144" s="52">
        <v>1</v>
      </c>
      <c r="D144" s="53">
        <v>1</v>
      </c>
      <c r="E144" s="18">
        <v>0</v>
      </c>
      <c r="F144" s="18">
        <v>0.48587578383724972</v>
      </c>
      <c r="G144" s="41">
        <v>0.45828028945737886</v>
      </c>
      <c r="H144" s="52">
        <v>1</v>
      </c>
      <c r="I144" s="52">
        <v>1</v>
      </c>
      <c r="J144" s="18">
        <v>0.46015076684586514</v>
      </c>
      <c r="K144" s="41">
        <v>0.500338769552647</v>
      </c>
      <c r="L144" s="41">
        <v>3.8408332476714571</v>
      </c>
      <c r="M144" s="41">
        <v>1.1233952648862693</v>
      </c>
      <c r="N144" s="41">
        <v>0.37612312823175831</v>
      </c>
      <c r="O144" s="41">
        <v>0.37612312823175831</v>
      </c>
      <c r="P144" s="41">
        <v>0.36036280331409881</v>
      </c>
      <c r="Q144" s="41">
        <v>0.58478237576048675</v>
      </c>
      <c r="R144" s="41">
        <v>0.59173887140879222</v>
      </c>
      <c r="S144" s="41">
        <v>0.37612312823175831</v>
      </c>
      <c r="T144" s="41">
        <v>0.37612312823175831</v>
      </c>
      <c r="U144" s="18">
        <v>1.5089059793613482</v>
      </c>
    </row>
    <row r="145" spans="1:21" x14ac:dyDescent="0.2">
      <c r="A145" s="5" t="s">
        <v>260</v>
      </c>
      <c r="B145" s="5" t="s">
        <v>17</v>
      </c>
      <c r="C145" s="52">
        <v>1</v>
      </c>
      <c r="D145" s="53">
        <v>1</v>
      </c>
      <c r="E145" s="18">
        <v>1.8239815769201155E-3</v>
      </c>
      <c r="F145" s="18">
        <v>0.48587578383724972</v>
      </c>
      <c r="G145" s="41">
        <v>0.4924433928922658</v>
      </c>
      <c r="H145" s="52">
        <v>1</v>
      </c>
      <c r="I145" s="52">
        <v>1</v>
      </c>
      <c r="J145" s="18">
        <v>0.46015076684586514</v>
      </c>
      <c r="K145" s="41">
        <v>0.53415566439976925</v>
      </c>
      <c r="L145" s="41">
        <v>3.5847355348042074</v>
      </c>
      <c r="M145" s="41">
        <v>1.1497075641802263</v>
      </c>
      <c r="N145" s="41">
        <v>0.41526032797456619</v>
      </c>
      <c r="O145" s="41">
        <v>0.41526032797456619</v>
      </c>
      <c r="P145" s="41">
        <v>0.31002762928513083</v>
      </c>
      <c r="Q145" s="41">
        <v>0.66732354378591507</v>
      </c>
      <c r="R145" s="41">
        <v>0.6677630022821065</v>
      </c>
      <c r="S145" s="41">
        <v>0.41526032797456619</v>
      </c>
      <c r="T145" s="41">
        <v>0.41526032797456619</v>
      </c>
      <c r="U145" s="18">
        <v>1.5089059793613482</v>
      </c>
    </row>
    <row r="146" spans="1:21" x14ac:dyDescent="0.2">
      <c r="A146" s="5" t="s">
        <v>261</v>
      </c>
      <c r="B146" s="5" t="s">
        <v>12</v>
      </c>
      <c r="C146" s="52">
        <v>1</v>
      </c>
      <c r="D146" s="53">
        <v>1</v>
      </c>
      <c r="E146" s="18">
        <v>1.4113495163743153</v>
      </c>
      <c r="F146" s="18">
        <v>0.56269888301364834</v>
      </c>
      <c r="G146" s="41">
        <v>0.52588731714448556</v>
      </c>
      <c r="H146" s="52">
        <v>1</v>
      </c>
      <c r="I146" s="52">
        <v>1</v>
      </c>
      <c r="J146" s="18">
        <v>0.91275903383276202</v>
      </c>
      <c r="K146" s="41">
        <v>0.500338769552647</v>
      </c>
      <c r="L146" s="41">
        <v>7.59375</v>
      </c>
      <c r="M146" s="41">
        <v>2.0601859771664888</v>
      </c>
      <c r="N146" s="41">
        <v>1.0555758449200143</v>
      </c>
      <c r="O146" s="41">
        <v>1.0555758449200143</v>
      </c>
      <c r="P146" s="41">
        <v>0.46496086531782427</v>
      </c>
      <c r="Q146" s="41">
        <v>0.61975296176773931</v>
      </c>
      <c r="R146" s="41">
        <v>0.56481777056207361</v>
      </c>
      <c r="S146" s="41">
        <v>1.0555758449200143</v>
      </c>
      <c r="T146" s="41">
        <v>1.0555758449200143</v>
      </c>
      <c r="U146" s="18">
        <v>0.91529575171947686</v>
      </c>
    </row>
    <row r="147" spans="1:21" x14ac:dyDescent="0.2">
      <c r="A147" s="5" t="s">
        <v>262</v>
      </c>
      <c r="B147" s="5" t="s">
        <v>13</v>
      </c>
      <c r="C147" s="52">
        <v>1</v>
      </c>
      <c r="D147" s="53">
        <v>1</v>
      </c>
      <c r="E147" s="18">
        <v>0.14157747705343129</v>
      </c>
      <c r="F147" s="18">
        <v>0.56269888301364834</v>
      </c>
      <c r="G147" s="41">
        <v>0.52588731714448556</v>
      </c>
      <c r="H147" s="52">
        <v>1</v>
      </c>
      <c r="I147" s="52">
        <v>1</v>
      </c>
      <c r="J147" s="18">
        <v>0.91275903383276202</v>
      </c>
      <c r="K147" s="41">
        <v>0.500338769552647</v>
      </c>
      <c r="L147" s="41">
        <v>7.59375</v>
      </c>
      <c r="M147" s="41">
        <v>2.0601859771664888</v>
      </c>
      <c r="N147" s="41">
        <v>1.0555758449200143</v>
      </c>
      <c r="O147" s="41">
        <v>1.0555758449200143</v>
      </c>
      <c r="P147" s="41">
        <v>0.46496086531782427</v>
      </c>
      <c r="Q147" s="41">
        <v>0.61975296176773931</v>
      </c>
      <c r="R147" s="41">
        <v>0.56481777056207361</v>
      </c>
      <c r="S147" s="41">
        <v>1.0555758449200143</v>
      </c>
      <c r="T147" s="41">
        <v>1.0555758449200143</v>
      </c>
      <c r="U147" s="18">
        <v>0.91529575171947686</v>
      </c>
    </row>
    <row r="148" spans="1:21" x14ac:dyDescent="0.2">
      <c r="A148" s="5" t="s">
        <v>263</v>
      </c>
      <c r="B148" s="5" t="s">
        <v>14</v>
      </c>
      <c r="C148" s="52">
        <v>1</v>
      </c>
      <c r="D148" s="53">
        <v>1</v>
      </c>
      <c r="E148" s="18">
        <v>3.6374960907046968E-3</v>
      </c>
      <c r="F148" s="18">
        <v>0.56269888301364834</v>
      </c>
      <c r="G148" s="41">
        <v>0.52588731714448556</v>
      </c>
      <c r="H148" s="52">
        <v>1</v>
      </c>
      <c r="I148" s="52">
        <v>1</v>
      </c>
      <c r="J148" s="18">
        <v>0.91275903383276202</v>
      </c>
      <c r="K148" s="41">
        <v>0.500338769552647</v>
      </c>
      <c r="L148" s="41">
        <v>7.59375</v>
      </c>
      <c r="M148" s="41">
        <v>2.0601859771664888</v>
      </c>
      <c r="N148" s="41">
        <v>1.0555758449200143</v>
      </c>
      <c r="O148" s="41">
        <v>1.0555758449200143</v>
      </c>
      <c r="P148" s="41">
        <v>0.46496086531782427</v>
      </c>
      <c r="Q148" s="41">
        <v>0.61975296176773931</v>
      </c>
      <c r="R148" s="41">
        <v>0.56481777056207361</v>
      </c>
      <c r="S148" s="41">
        <v>1.0555758449200143</v>
      </c>
      <c r="T148" s="41">
        <v>1.0555758449200143</v>
      </c>
      <c r="U148" s="18">
        <v>0.91529575171947686</v>
      </c>
    </row>
    <row r="149" spans="1:21" x14ac:dyDescent="0.2">
      <c r="A149" s="5" t="s">
        <v>264</v>
      </c>
      <c r="B149" s="5" t="s">
        <v>15</v>
      </c>
      <c r="C149" s="52">
        <v>1</v>
      </c>
      <c r="D149" s="53">
        <v>1</v>
      </c>
      <c r="E149" s="18">
        <v>1.4113495163743153</v>
      </c>
      <c r="F149" s="18">
        <v>0.56269888301364834</v>
      </c>
      <c r="G149" s="41">
        <v>0.4982439016751008</v>
      </c>
      <c r="H149" s="52">
        <v>1</v>
      </c>
      <c r="I149" s="52">
        <v>1</v>
      </c>
      <c r="J149" s="18">
        <v>0.91275903383276202</v>
      </c>
      <c r="K149" s="41">
        <v>0.6103501683894883</v>
      </c>
      <c r="L149" s="41">
        <v>6.1079398867868751</v>
      </c>
      <c r="M149" s="41">
        <v>1.5348432923957132</v>
      </c>
      <c r="N149" s="41">
        <v>1.1953914009714077</v>
      </c>
      <c r="O149" s="41">
        <v>1.1953914009714077</v>
      </c>
      <c r="P149" s="41">
        <v>0.5377550096566438</v>
      </c>
      <c r="Q149" s="41">
        <v>0.45529340024128667</v>
      </c>
      <c r="R149" s="41">
        <v>0.54624395722614771</v>
      </c>
      <c r="S149" s="41">
        <v>1.1953914009714077</v>
      </c>
      <c r="T149" s="41">
        <v>1.1953914009714077</v>
      </c>
      <c r="U149" s="18">
        <v>0.91529575171947686</v>
      </c>
    </row>
    <row r="150" spans="1:21" x14ac:dyDescent="0.2">
      <c r="A150" s="5" t="s">
        <v>265</v>
      </c>
      <c r="B150" s="5" t="s">
        <v>16</v>
      </c>
      <c r="C150" s="52">
        <v>1</v>
      </c>
      <c r="D150" s="53">
        <v>1</v>
      </c>
      <c r="E150" s="18">
        <v>0.14157747705343129</v>
      </c>
      <c r="F150" s="18">
        <v>0.56269888301364834</v>
      </c>
      <c r="G150" s="41">
        <v>0.52314902664379115</v>
      </c>
      <c r="H150" s="52">
        <v>1</v>
      </c>
      <c r="I150" s="52">
        <v>1</v>
      </c>
      <c r="J150" s="18">
        <v>0.91275903383276202</v>
      </c>
      <c r="K150" s="41">
        <v>0.474300986176316</v>
      </c>
      <c r="L150" s="41">
        <v>7.9170127947835667</v>
      </c>
      <c r="M150" s="41">
        <v>2.2733694052069624</v>
      </c>
      <c r="N150" s="41">
        <v>1.0063434624969216</v>
      </c>
      <c r="O150" s="41">
        <v>1.0063434624969216</v>
      </c>
      <c r="P150" s="41">
        <v>0.46662091098157038</v>
      </c>
      <c r="Q150" s="41">
        <v>0.64423326147130611</v>
      </c>
      <c r="R150" s="41">
        <v>0.55243806264692641</v>
      </c>
      <c r="S150" s="41">
        <v>1.0063434624969216</v>
      </c>
      <c r="T150" s="41">
        <v>1.0063434624969216</v>
      </c>
      <c r="U150" s="18">
        <v>0.91529575171947686</v>
      </c>
    </row>
    <row r="151" spans="1:21" x14ac:dyDescent="0.2">
      <c r="A151" s="5" t="s">
        <v>266</v>
      </c>
      <c r="B151" s="5" t="s">
        <v>17</v>
      </c>
      <c r="C151" s="52">
        <v>1</v>
      </c>
      <c r="D151" s="53">
        <v>1</v>
      </c>
      <c r="E151" s="18">
        <v>3.6374960907046968E-3</v>
      </c>
      <c r="F151" s="18">
        <v>0.56269888301364834</v>
      </c>
      <c r="G151" s="41">
        <v>0.59098707467476352</v>
      </c>
      <c r="H151" s="52">
        <v>1</v>
      </c>
      <c r="I151" s="52">
        <v>1</v>
      </c>
      <c r="J151" s="18">
        <v>0.91275903383276202</v>
      </c>
      <c r="K151" s="41">
        <v>0.48563432731689765</v>
      </c>
      <c r="L151" s="41">
        <v>7.9205344182306456</v>
      </c>
      <c r="M151" s="41">
        <v>1.5563046773267899</v>
      </c>
      <c r="N151" s="41">
        <v>1.1483426981159586</v>
      </c>
      <c r="O151" s="41">
        <v>1.1483426981159586</v>
      </c>
      <c r="P151" s="41">
        <v>0.34277377379996515</v>
      </c>
      <c r="Q151" s="41">
        <v>0.73499170530073388</v>
      </c>
      <c r="R151" s="41">
        <v>0.68086368437014844</v>
      </c>
      <c r="S151" s="41">
        <v>1.1483426981159586</v>
      </c>
      <c r="T151" s="41">
        <v>1.1483426981159586</v>
      </c>
      <c r="U151" s="18">
        <v>0.91529575171947686</v>
      </c>
    </row>
    <row r="152" spans="1:21" x14ac:dyDescent="0.2">
      <c r="A152" s="5" t="s">
        <v>267</v>
      </c>
      <c r="B152" s="5" t="s">
        <v>12</v>
      </c>
      <c r="C152" s="52">
        <v>1</v>
      </c>
      <c r="D152" s="53">
        <v>1</v>
      </c>
      <c r="E152" s="18">
        <v>0</v>
      </c>
      <c r="F152" s="18">
        <v>0.89660768935065305</v>
      </c>
      <c r="G152" s="41">
        <v>0.36343220635941226</v>
      </c>
      <c r="H152" s="52">
        <v>1</v>
      </c>
      <c r="I152" s="52">
        <v>1</v>
      </c>
      <c r="J152" s="18">
        <v>1.4239407214568864</v>
      </c>
      <c r="K152" s="41">
        <v>0.67603786238726105</v>
      </c>
      <c r="L152" s="41">
        <v>0.14490986016466523</v>
      </c>
      <c r="M152" s="41">
        <v>1.418352982951296</v>
      </c>
      <c r="N152" s="41">
        <v>1.7073005786995781</v>
      </c>
      <c r="O152" s="41">
        <v>1.7073005786995781</v>
      </c>
      <c r="P152" s="41">
        <v>1.0577644602088507</v>
      </c>
      <c r="Q152" s="41">
        <v>4.4954383909155355</v>
      </c>
      <c r="R152" s="41">
        <v>0.97267161212998521</v>
      </c>
      <c r="S152" s="41">
        <v>1.7073005786995781</v>
      </c>
      <c r="T152" s="41">
        <v>1.7073005786995781</v>
      </c>
      <c r="U152" s="18">
        <v>0.73372010774054741</v>
      </c>
    </row>
    <row r="153" spans="1:21" x14ac:dyDescent="0.2">
      <c r="A153" s="5" t="s">
        <v>268</v>
      </c>
      <c r="B153" s="5" t="s">
        <v>13</v>
      </c>
      <c r="C153" s="52">
        <v>1</v>
      </c>
      <c r="D153" s="53">
        <v>1</v>
      </c>
      <c r="E153" s="18">
        <v>0.20455166465530331</v>
      </c>
      <c r="F153" s="18">
        <v>0.89660768935065305</v>
      </c>
      <c r="G153" s="41">
        <v>0.66929331784615764</v>
      </c>
      <c r="H153" s="52">
        <v>1</v>
      </c>
      <c r="I153" s="52">
        <v>1</v>
      </c>
      <c r="J153" s="18">
        <v>1.4239407214568864</v>
      </c>
      <c r="K153" s="41">
        <v>0.56887437724914136</v>
      </c>
      <c r="L153" s="41">
        <v>0.40848393673227729</v>
      </c>
      <c r="M153" s="41">
        <v>1.9067117288651945</v>
      </c>
      <c r="N153" s="41">
        <v>0.67976242050342928</v>
      </c>
      <c r="O153" s="41">
        <v>0.67976242050342928</v>
      </c>
      <c r="P153" s="41">
        <v>0.82263245337415014</v>
      </c>
      <c r="Q153" s="41">
        <v>2.9887099885629196</v>
      </c>
      <c r="R153" s="41">
        <v>1.1674599818658895</v>
      </c>
      <c r="S153" s="41">
        <v>0.67976242050342928</v>
      </c>
      <c r="T153" s="41">
        <v>0.67976242050342928</v>
      </c>
      <c r="U153" s="18">
        <v>0.73372010774054741</v>
      </c>
    </row>
    <row r="154" spans="1:21" x14ac:dyDescent="0.2">
      <c r="A154" s="5" t="s">
        <v>269</v>
      </c>
      <c r="B154" s="5" t="s">
        <v>14</v>
      </c>
      <c r="C154" s="52">
        <v>1</v>
      </c>
      <c r="D154" s="53">
        <v>1</v>
      </c>
      <c r="E154" s="18">
        <v>2.882888611403988E-2</v>
      </c>
      <c r="F154" s="18">
        <v>0.89660768935065305</v>
      </c>
      <c r="G154" s="41">
        <v>0.49102693442301315</v>
      </c>
      <c r="H154" s="52">
        <v>1</v>
      </c>
      <c r="I154" s="52">
        <v>1</v>
      </c>
      <c r="J154" s="18">
        <v>1.4239407214568864</v>
      </c>
      <c r="K154" s="41">
        <v>0.500338769552647</v>
      </c>
      <c r="L154" s="41">
        <v>1.3037519329101359</v>
      </c>
      <c r="M154" s="41">
        <v>1.8469527117320295</v>
      </c>
      <c r="N154" s="41">
        <v>0.67015336571865669</v>
      </c>
      <c r="O154" s="41">
        <v>0.67015336571865669</v>
      </c>
      <c r="P154" s="41">
        <v>0.54068310529937824</v>
      </c>
      <c r="Q154" s="41">
        <v>1.4850352946529783</v>
      </c>
      <c r="R154" s="41">
        <v>1.0098089857372725</v>
      </c>
      <c r="S154" s="41">
        <v>0.67015336571865669</v>
      </c>
      <c r="T154" s="41">
        <v>0.67015336571865669</v>
      </c>
      <c r="U154" s="18">
        <v>0.73372010774054741</v>
      </c>
    </row>
    <row r="155" spans="1:21" x14ac:dyDescent="0.2">
      <c r="A155" s="5" t="s">
        <v>270</v>
      </c>
      <c r="B155" s="5" t="s">
        <v>15</v>
      </c>
      <c r="C155" s="52">
        <v>1</v>
      </c>
      <c r="D155" s="53">
        <v>1</v>
      </c>
      <c r="E155" s="18">
        <v>0</v>
      </c>
      <c r="F155" s="18">
        <v>0.89660768935065305</v>
      </c>
      <c r="G155" s="41">
        <v>0.49102693442301315</v>
      </c>
      <c r="H155" s="52">
        <v>1</v>
      </c>
      <c r="I155" s="52">
        <v>1</v>
      </c>
      <c r="J155" s="18">
        <v>1.4239407214568864</v>
      </c>
      <c r="K155" s="41">
        <v>0.500338769552647</v>
      </c>
      <c r="L155" s="41">
        <v>1.3037519329101359</v>
      </c>
      <c r="M155" s="41">
        <v>1.8469527117320295</v>
      </c>
      <c r="N155" s="41">
        <v>0.67015336571865669</v>
      </c>
      <c r="O155" s="41">
        <v>0.67015336571865669</v>
      </c>
      <c r="P155" s="41">
        <v>0.54068310529937824</v>
      </c>
      <c r="Q155" s="41">
        <v>1.4850352946529783</v>
      </c>
      <c r="R155" s="41">
        <v>1.0098089857372725</v>
      </c>
      <c r="S155" s="41">
        <v>0.67015336571865669</v>
      </c>
      <c r="T155" s="41">
        <v>0.67015336571865669</v>
      </c>
      <c r="U155" s="18">
        <v>0.73372010774054741</v>
      </c>
    </row>
    <row r="156" spans="1:21" x14ac:dyDescent="0.2">
      <c r="A156" s="5" t="s">
        <v>271</v>
      </c>
      <c r="B156" s="5" t="s">
        <v>16</v>
      </c>
      <c r="C156" s="52">
        <v>1</v>
      </c>
      <c r="D156" s="53">
        <v>1</v>
      </c>
      <c r="E156" s="18">
        <v>0.20455166465530331</v>
      </c>
      <c r="F156" s="18">
        <v>0.89660768935065305</v>
      </c>
      <c r="G156" s="41">
        <v>0.66417217507069715</v>
      </c>
      <c r="H156" s="52">
        <v>1</v>
      </c>
      <c r="I156" s="52">
        <v>1</v>
      </c>
      <c r="J156" s="18">
        <v>1.4239407214568864</v>
      </c>
      <c r="K156" s="41">
        <v>0.50572081340000774</v>
      </c>
      <c r="L156" s="41">
        <v>2.1324262112923904</v>
      </c>
      <c r="M156" s="41">
        <v>1.7918083284154347</v>
      </c>
      <c r="N156" s="41">
        <v>0.59617123621113</v>
      </c>
      <c r="O156" s="41">
        <v>0.59617123621113</v>
      </c>
      <c r="P156" s="41">
        <v>0.44856624052519045</v>
      </c>
      <c r="Q156" s="41">
        <v>0.79612898232458718</v>
      </c>
      <c r="R156" s="41">
        <v>0.62712718161026981</v>
      </c>
      <c r="S156" s="41">
        <v>0.59617123621113</v>
      </c>
      <c r="T156" s="41">
        <v>0.59617123621113</v>
      </c>
      <c r="U156" s="18">
        <v>0.73372010774054741</v>
      </c>
    </row>
    <row r="157" spans="1:21" x14ac:dyDescent="0.2">
      <c r="A157" s="5" t="s">
        <v>272</v>
      </c>
      <c r="B157" s="5" t="s">
        <v>17</v>
      </c>
      <c r="C157" s="52">
        <v>1</v>
      </c>
      <c r="D157" s="53">
        <v>1</v>
      </c>
      <c r="E157" s="18">
        <v>2.882888611403988E-2</v>
      </c>
      <c r="F157" s="18">
        <v>0.89660768935065305</v>
      </c>
      <c r="G157" s="41">
        <v>0.40794134060571152</v>
      </c>
      <c r="H157" s="52">
        <v>1</v>
      </c>
      <c r="I157" s="52">
        <v>1</v>
      </c>
      <c r="J157" s="18">
        <v>1.4239407214568864</v>
      </c>
      <c r="K157" s="41">
        <v>0.47965239459627207</v>
      </c>
      <c r="L157" s="41">
        <v>1.0401027352406176</v>
      </c>
      <c r="M157" s="41">
        <v>1.9010175983911572</v>
      </c>
      <c r="N157" s="41">
        <v>0.62956002551607648</v>
      </c>
      <c r="O157" s="41">
        <v>0.62956002551607648</v>
      </c>
      <c r="P157" s="41">
        <v>0.53314251319954209</v>
      </c>
      <c r="Q157" s="41">
        <v>1.5657898431577475</v>
      </c>
      <c r="R157" s="41">
        <v>1.1843177267268412</v>
      </c>
      <c r="S157" s="41">
        <v>0.62956002551607648</v>
      </c>
      <c r="T157" s="41">
        <v>0.62956002551607648</v>
      </c>
      <c r="U157" s="18">
        <v>0.73372010774054741</v>
      </c>
    </row>
    <row r="158" spans="1:21" x14ac:dyDescent="0.2">
      <c r="A158" s="5" t="s">
        <v>273</v>
      </c>
      <c r="B158" s="5" t="s">
        <v>12</v>
      </c>
      <c r="C158" s="52">
        <v>1</v>
      </c>
      <c r="D158" s="53">
        <v>1</v>
      </c>
      <c r="E158" s="18">
        <v>0</v>
      </c>
      <c r="F158" s="18">
        <v>0.60260589775009599</v>
      </c>
      <c r="G158" s="41">
        <v>0.71346072926926507</v>
      </c>
      <c r="H158" s="52">
        <v>1</v>
      </c>
      <c r="I158" s="52">
        <v>1</v>
      </c>
      <c r="J158" s="18">
        <v>1.1137143386302815</v>
      </c>
      <c r="K158" s="41">
        <v>0.500338769552647</v>
      </c>
      <c r="L158" s="41">
        <v>2.401114938214179</v>
      </c>
      <c r="M158" s="41">
        <v>0.82017891670419707</v>
      </c>
      <c r="N158" s="41">
        <v>0.48084757983732473</v>
      </c>
      <c r="O158" s="41">
        <v>0.48084757983732473</v>
      </c>
      <c r="P158" s="41">
        <v>0.65094758877373482</v>
      </c>
      <c r="Q158" s="41">
        <v>0.190524596646031</v>
      </c>
      <c r="R158" s="41">
        <v>1.068522225340325</v>
      </c>
      <c r="S158" s="41">
        <v>0.48084757983732473</v>
      </c>
      <c r="T158" s="41">
        <v>0.48084757983732473</v>
      </c>
      <c r="U158" s="18">
        <v>1.7988581673542046</v>
      </c>
    </row>
    <row r="159" spans="1:21" x14ac:dyDescent="0.2">
      <c r="A159" s="5" t="s">
        <v>274</v>
      </c>
      <c r="B159" s="5" t="s">
        <v>13</v>
      </c>
      <c r="C159" s="52">
        <v>1</v>
      </c>
      <c r="D159" s="53">
        <v>1</v>
      </c>
      <c r="E159" s="18">
        <v>0.11134778570262577</v>
      </c>
      <c r="F159" s="18">
        <v>0.60260589775009599</v>
      </c>
      <c r="G159" s="41">
        <v>0.71346072926926507</v>
      </c>
      <c r="H159" s="52">
        <v>1</v>
      </c>
      <c r="I159" s="52">
        <v>1</v>
      </c>
      <c r="J159" s="18">
        <v>1.1137143386302815</v>
      </c>
      <c r="K159" s="41">
        <v>0.500338769552647</v>
      </c>
      <c r="L159" s="41">
        <v>2.401114938214179</v>
      </c>
      <c r="M159" s="41">
        <v>0.82017891670419707</v>
      </c>
      <c r="N159" s="41">
        <v>0.48084757983732473</v>
      </c>
      <c r="O159" s="41">
        <v>0.48084757983732473</v>
      </c>
      <c r="P159" s="41">
        <v>0.65094758877373482</v>
      </c>
      <c r="Q159" s="41">
        <v>0.190524596646031</v>
      </c>
      <c r="R159" s="41">
        <v>1.068522225340325</v>
      </c>
      <c r="S159" s="41">
        <v>0.48084757983732473</v>
      </c>
      <c r="T159" s="41">
        <v>0.48084757983732473</v>
      </c>
      <c r="U159" s="18">
        <v>1.7988581673542046</v>
      </c>
    </row>
    <row r="160" spans="1:21" x14ac:dyDescent="0.2">
      <c r="A160" s="5" t="s">
        <v>275</v>
      </c>
      <c r="B160" s="5" t="s">
        <v>14</v>
      </c>
      <c r="C160" s="52">
        <v>1</v>
      </c>
      <c r="D160" s="53">
        <v>1</v>
      </c>
      <c r="E160" s="18">
        <v>1.6995337765762241E-2</v>
      </c>
      <c r="F160" s="18">
        <v>0.60260589775009599</v>
      </c>
      <c r="G160" s="41">
        <v>0.71346072926926507</v>
      </c>
      <c r="H160" s="52">
        <v>1</v>
      </c>
      <c r="I160" s="52">
        <v>1</v>
      </c>
      <c r="J160" s="18">
        <v>1.1137143386302815</v>
      </c>
      <c r="K160" s="41">
        <v>0.500338769552647</v>
      </c>
      <c r="L160" s="41">
        <v>2.401114938214179</v>
      </c>
      <c r="M160" s="41">
        <v>0.82017891670419707</v>
      </c>
      <c r="N160" s="41">
        <v>0.48084757983732473</v>
      </c>
      <c r="O160" s="41">
        <v>0.48084757983732473</v>
      </c>
      <c r="P160" s="41">
        <v>0.65094758877373482</v>
      </c>
      <c r="Q160" s="41">
        <v>0.190524596646031</v>
      </c>
      <c r="R160" s="41">
        <v>1.068522225340325</v>
      </c>
      <c r="S160" s="41">
        <v>0.48084757983732473</v>
      </c>
      <c r="T160" s="41">
        <v>0.48084757983732473</v>
      </c>
      <c r="U160" s="18">
        <v>1.7988581673542046</v>
      </c>
    </row>
    <row r="161" spans="1:21" x14ac:dyDescent="0.2">
      <c r="A161" s="5" t="s">
        <v>276</v>
      </c>
      <c r="B161" s="5" t="s">
        <v>15</v>
      </c>
      <c r="C161" s="52">
        <v>1</v>
      </c>
      <c r="D161" s="53">
        <v>1</v>
      </c>
      <c r="E161" s="18">
        <v>0</v>
      </c>
      <c r="F161" s="18">
        <v>0.60260589775009599</v>
      </c>
      <c r="G161" s="41">
        <v>0.71346072926926507</v>
      </c>
      <c r="H161" s="52">
        <v>1</v>
      </c>
      <c r="I161" s="52">
        <v>1</v>
      </c>
      <c r="J161" s="18">
        <v>1.1137143386302815</v>
      </c>
      <c r="K161" s="41">
        <v>0.500338769552647</v>
      </c>
      <c r="L161" s="41">
        <v>2.401114938214179</v>
      </c>
      <c r="M161" s="41">
        <v>0.82017891670419707</v>
      </c>
      <c r="N161" s="41">
        <v>0.48084757983732473</v>
      </c>
      <c r="O161" s="41">
        <v>0.48084757983732473</v>
      </c>
      <c r="P161" s="41">
        <v>0.65094758877373482</v>
      </c>
      <c r="Q161" s="41">
        <v>0.190524596646031</v>
      </c>
      <c r="R161" s="41">
        <v>1.068522225340325</v>
      </c>
      <c r="S161" s="41">
        <v>0.48084757983732473</v>
      </c>
      <c r="T161" s="41">
        <v>0.48084757983732473</v>
      </c>
      <c r="U161" s="18">
        <v>1.7988581673542046</v>
      </c>
    </row>
    <row r="162" spans="1:21" x14ac:dyDescent="0.2">
      <c r="A162" s="5" t="s">
        <v>277</v>
      </c>
      <c r="B162" s="5" t="s">
        <v>16</v>
      </c>
      <c r="C162" s="52">
        <v>1</v>
      </c>
      <c r="D162" s="53">
        <v>1</v>
      </c>
      <c r="E162" s="18">
        <v>0.11134778570262577</v>
      </c>
      <c r="F162" s="18">
        <v>0.60260589775009599</v>
      </c>
      <c r="G162" s="41">
        <v>0.7183131966124463</v>
      </c>
      <c r="H162" s="52">
        <v>1</v>
      </c>
      <c r="I162" s="52">
        <v>1</v>
      </c>
      <c r="J162" s="18">
        <v>1.1137143386302815</v>
      </c>
      <c r="K162" s="41">
        <v>0.46752180865946696</v>
      </c>
      <c r="L162" s="41">
        <v>2.6182349731567687</v>
      </c>
      <c r="M162" s="41">
        <v>1.0582513864535548</v>
      </c>
      <c r="N162" s="41">
        <v>0.30391465055624267</v>
      </c>
      <c r="O162" s="41">
        <v>0.30391465055624267</v>
      </c>
      <c r="P162" s="41">
        <v>0.5510316274310525</v>
      </c>
      <c r="Q162" s="41">
        <v>0.20628068680728348</v>
      </c>
      <c r="R162" s="41">
        <v>0.90499295794051227</v>
      </c>
      <c r="S162" s="41">
        <v>0.30391465055624267</v>
      </c>
      <c r="T162" s="41">
        <v>0.30391465055624267</v>
      </c>
      <c r="U162" s="18">
        <v>1.7988581673542046</v>
      </c>
    </row>
    <row r="163" spans="1:21" x14ac:dyDescent="0.2">
      <c r="A163" s="5" t="s">
        <v>278</v>
      </c>
      <c r="B163" s="5" t="s">
        <v>17</v>
      </c>
      <c r="C163" s="52">
        <v>1</v>
      </c>
      <c r="D163" s="53">
        <v>1</v>
      </c>
      <c r="E163" s="18">
        <v>1.6995337765762241E-2</v>
      </c>
      <c r="F163" s="18">
        <v>0.60260589775009599</v>
      </c>
      <c r="G163" s="41">
        <v>0.71424904321002081</v>
      </c>
      <c r="H163" s="52">
        <v>1</v>
      </c>
      <c r="I163" s="52">
        <v>1</v>
      </c>
      <c r="J163" s="18">
        <v>1.1137143386302815</v>
      </c>
      <c r="K163" s="41">
        <v>0.50591382271286123</v>
      </c>
      <c r="L163" s="41">
        <v>2.3625317315053223</v>
      </c>
      <c r="M163" s="41">
        <v>0.78538629448263508</v>
      </c>
      <c r="N163" s="41">
        <v>0.50737661651979948</v>
      </c>
      <c r="O163" s="41">
        <v>0.50737661651979948</v>
      </c>
      <c r="P163" s="41">
        <v>0.6667576823625353</v>
      </c>
      <c r="Q163" s="41">
        <v>0.18853596487253238</v>
      </c>
      <c r="R163" s="41">
        <v>1.0943141624920563</v>
      </c>
      <c r="S163" s="41">
        <v>0.50737661651979948</v>
      </c>
      <c r="T163" s="41">
        <v>0.50737661651979948</v>
      </c>
      <c r="U163" s="18">
        <v>1.7988581673542046</v>
      </c>
    </row>
    <row r="164" spans="1:21" x14ac:dyDescent="0.2">
      <c r="A164" s="5" t="s">
        <v>279</v>
      </c>
      <c r="B164" s="5" t="s">
        <v>12</v>
      </c>
      <c r="C164" s="52">
        <v>1</v>
      </c>
      <c r="D164" s="53">
        <v>1</v>
      </c>
      <c r="E164" s="18">
        <v>0</v>
      </c>
      <c r="F164" s="18">
        <v>1.2285178793120011</v>
      </c>
      <c r="G164" s="41">
        <v>1.2779754234841982</v>
      </c>
      <c r="H164" s="52">
        <v>1</v>
      </c>
      <c r="I164" s="52">
        <v>1</v>
      </c>
      <c r="J164" s="18">
        <v>1.3546508237267183</v>
      </c>
      <c r="K164" s="41">
        <v>0.500338769552647</v>
      </c>
      <c r="L164" s="41">
        <v>0.25</v>
      </c>
      <c r="M164" s="41">
        <v>1</v>
      </c>
      <c r="N164" s="41">
        <v>0.70265185815039866</v>
      </c>
      <c r="O164" s="41">
        <v>0.70265185815039866</v>
      </c>
      <c r="P164" s="41">
        <v>2.086555651852688</v>
      </c>
      <c r="Q164" s="41">
        <v>1</v>
      </c>
      <c r="R164" s="41">
        <v>0.5</v>
      </c>
      <c r="S164" s="41">
        <v>0.70265185815039866</v>
      </c>
      <c r="T164" s="41">
        <v>0.70265185815039866</v>
      </c>
      <c r="U164" s="18">
        <v>1.5737250756917089</v>
      </c>
    </row>
    <row r="165" spans="1:21" x14ac:dyDescent="0.2">
      <c r="A165" s="5" t="s">
        <v>280</v>
      </c>
      <c r="B165" s="5" t="s">
        <v>13</v>
      </c>
      <c r="C165" s="52">
        <v>1</v>
      </c>
      <c r="D165" s="53">
        <v>1</v>
      </c>
      <c r="E165" s="18">
        <v>2.0048713429606416E-2</v>
      </c>
      <c r="F165" s="18">
        <v>1.2285178793120011</v>
      </c>
      <c r="G165" s="41">
        <v>1.2779754234841982</v>
      </c>
      <c r="H165" s="52">
        <v>1</v>
      </c>
      <c r="I165" s="52">
        <v>1</v>
      </c>
      <c r="J165" s="18">
        <v>1.3546508237267183</v>
      </c>
      <c r="K165" s="41">
        <v>0.500338769552647</v>
      </c>
      <c r="L165" s="41">
        <v>0.25</v>
      </c>
      <c r="M165" s="41">
        <v>1</v>
      </c>
      <c r="N165" s="41">
        <v>0.70265185815039866</v>
      </c>
      <c r="O165" s="41">
        <v>0.70265185815039866</v>
      </c>
      <c r="P165" s="41">
        <v>2.086555651852688</v>
      </c>
      <c r="Q165" s="41">
        <v>1</v>
      </c>
      <c r="R165" s="41">
        <v>0.5</v>
      </c>
      <c r="S165" s="41">
        <v>0.70265185815039866</v>
      </c>
      <c r="T165" s="41">
        <v>0.70265185815039866</v>
      </c>
      <c r="U165" s="18">
        <v>1.5737250756917089</v>
      </c>
    </row>
    <row r="166" spans="1:21" x14ac:dyDescent="0.2">
      <c r="A166" s="5" t="s">
        <v>281</v>
      </c>
      <c r="B166" s="5" t="s">
        <v>14</v>
      </c>
      <c r="C166" s="52">
        <v>1</v>
      </c>
      <c r="D166" s="53">
        <v>1</v>
      </c>
      <c r="E166" s="18">
        <v>5.9318142304654571E-3</v>
      </c>
      <c r="F166" s="18">
        <v>1.2285178793120011</v>
      </c>
      <c r="G166" s="41">
        <v>1.2779754234841982</v>
      </c>
      <c r="H166" s="52">
        <v>1</v>
      </c>
      <c r="I166" s="52">
        <v>1</v>
      </c>
      <c r="J166" s="18">
        <v>1.3546508237267183</v>
      </c>
      <c r="K166" s="41">
        <v>0.500338769552647</v>
      </c>
      <c r="L166" s="41">
        <v>0.25</v>
      </c>
      <c r="M166" s="41">
        <v>1</v>
      </c>
      <c r="N166" s="41">
        <v>0.70265185815039866</v>
      </c>
      <c r="O166" s="41">
        <v>0.70265185815039866</v>
      </c>
      <c r="P166" s="41">
        <v>2.086555651852688</v>
      </c>
      <c r="Q166" s="41">
        <v>1</v>
      </c>
      <c r="R166" s="41">
        <v>0.5</v>
      </c>
      <c r="S166" s="41">
        <v>0.70265185815039866</v>
      </c>
      <c r="T166" s="41">
        <v>0.70265185815039866</v>
      </c>
      <c r="U166" s="18">
        <v>1.5737250756917089</v>
      </c>
    </row>
    <row r="167" spans="1:21" x14ac:dyDescent="0.2">
      <c r="A167" s="5" t="s">
        <v>282</v>
      </c>
      <c r="B167" s="5" t="s">
        <v>15</v>
      </c>
      <c r="C167" s="52">
        <v>1</v>
      </c>
      <c r="D167" s="53">
        <v>1</v>
      </c>
      <c r="E167" s="18">
        <v>0</v>
      </c>
      <c r="F167" s="18">
        <v>1.2285178793120011</v>
      </c>
      <c r="G167" s="41">
        <v>1.2779754234841982</v>
      </c>
      <c r="H167" s="52">
        <v>1</v>
      </c>
      <c r="I167" s="52">
        <v>1</v>
      </c>
      <c r="J167" s="18">
        <v>1.3546508237267183</v>
      </c>
      <c r="K167" s="41">
        <v>0.500338769552647</v>
      </c>
      <c r="L167" s="41">
        <v>0.25</v>
      </c>
      <c r="M167" s="41">
        <v>1</v>
      </c>
      <c r="N167" s="41">
        <v>0.70265185815039866</v>
      </c>
      <c r="O167" s="41">
        <v>0.70265185815039866</v>
      </c>
      <c r="P167" s="41">
        <v>2.086555651852688</v>
      </c>
      <c r="Q167" s="41">
        <v>1</v>
      </c>
      <c r="R167" s="41">
        <v>0.5</v>
      </c>
      <c r="S167" s="41">
        <v>0.70265185815039866</v>
      </c>
      <c r="T167" s="41">
        <v>0.70265185815039866</v>
      </c>
      <c r="U167" s="18">
        <v>1.5737250756917089</v>
      </c>
    </row>
    <row r="168" spans="1:21" x14ac:dyDescent="0.2">
      <c r="A168" s="5" t="s">
        <v>283</v>
      </c>
      <c r="B168" s="5" t="s">
        <v>16</v>
      </c>
      <c r="C168" s="52">
        <v>1</v>
      </c>
      <c r="D168" s="53">
        <v>1</v>
      </c>
      <c r="E168" s="18">
        <v>2.0048713429606416E-2</v>
      </c>
      <c r="F168" s="18">
        <v>1.2285178793120011</v>
      </c>
      <c r="G168" s="41">
        <v>1.2779754234841982</v>
      </c>
      <c r="H168" s="52">
        <v>1</v>
      </c>
      <c r="I168" s="52">
        <v>1</v>
      </c>
      <c r="J168" s="18">
        <v>1.3546508237267183</v>
      </c>
      <c r="K168" s="41">
        <v>0.500338769552647</v>
      </c>
      <c r="L168" s="41">
        <v>0.25</v>
      </c>
      <c r="M168" s="41">
        <v>1</v>
      </c>
      <c r="N168" s="41">
        <v>0.70265185815039866</v>
      </c>
      <c r="O168" s="41">
        <v>0.70265185815039866</v>
      </c>
      <c r="P168" s="41">
        <v>2.086555651852688</v>
      </c>
      <c r="Q168" s="41">
        <v>1</v>
      </c>
      <c r="R168" s="41">
        <v>0.5</v>
      </c>
      <c r="S168" s="41">
        <v>0.70265185815039866</v>
      </c>
      <c r="T168" s="41">
        <v>0.70265185815039866</v>
      </c>
      <c r="U168" s="18">
        <v>1.5737250756917089</v>
      </c>
    </row>
    <row r="169" spans="1:21" x14ac:dyDescent="0.2">
      <c r="A169" s="5" t="s">
        <v>284</v>
      </c>
      <c r="B169" s="5" t="s">
        <v>17</v>
      </c>
      <c r="C169" s="52">
        <v>1</v>
      </c>
      <c r="D169" s="53">
        <v>1</v>
      </c>
      <c r="E169" s="18">
        <v>5.9318142304654571E-3</v>
      </c>
      <c r="F169" s="18">
        <v>1.2285178793120011</v>
      </c>
      <c r="G169" s="41">
        <v>1.2779754234841982</v>
      </c>
      <c r="H169" s="52">
        <v>1</v>
      </c>
      <c r="I169" s="52">
        <v>1</v>
      </c>
      <c r="J169" s="18">
        <v>1.3546508237267183</v>
      </c>
      <c r="K169" s="41">
        <v>0.500338769552647</v>
      </c>
      <c r="L169" s="41">
        <v>0.25</v>
      </c>
      <c r="M169" s="41">
        <v>1</v>
      </c>
      <c r="N169" s="41">
        <v>0.70265185815039866</v>
      </c>
      <c r="O169" s="41">
        <v>0.70265185815039866</v>
      </c>
      <c r="P169" s="41">
        <v>2.086555651852688</v>
      </c>
      <c r="Q169" s="41">
        <v>1</v>
      </c>
      <c r="R169" s="41">
        <v>0.5</v>
      </c>
      <c r="S169" s="41">
        <v>0.70265185815039866</v>
      </c>
      <c r="T169" s="41">
        <v>0.70265185815039866</v>
      </c>
      <c r="U169" s="18">
        <v>1.5737250756917089</v>
      </c>
    </row>
    <row r="170" spans="1:21" x14ac:dyDescent="0.2">
      <c r="A170" s="5" t="s">
        <v>285</v>
      </c>
      <c r="B170" s="5" t="s">
        <v>12</v>
      </c>
      <c r="C170" s="52">
        <v>1</v>
      </c>
      <c r="D170" s="53">
        <v>1</v>
      </c>
      <c r="E170" s="18">
        <v>0</v>
      </c>
      <c r="F170" s="18">
        <v>0.91697281488707694</v>
      </c>
      <c r="G170" s="41">
        <v>0.65771911154593798</v>
      </c>
      <c r="H170" s="52">
        <v>1</v>
      </c>
      <c r="I170" s="52">
        <v>1</v>
      </c>
      <c r="J170" s="18">
        <v>1.6658297487435074</v>
      </c>
      <c r="K170" s="41">
        <v>0.500338769552647</v>
      </c>
      <c r="L170" s="41">
        <v>3.2248743129453175</v>
      </c>
      <c r="M170" s="41">
        <v>0.63505109144166694</v>
      </c>
      <c r="N170" s="41">
        <v>0.92601111504749589</v>
      </c>
      <c r="O170" s="41">
        <v>0.92601111504749589</v>
      </c>
      <c r="P170" s="41">
        <v>0.44071059939817447</v>
      </c>
      <c r="Q170" s="41">
        <v>0.28358284793734073</v>
      </c>
      <c r="R170" s="41">
        <v>0.63278164440513518</v>
      </c>
      <c r="S170" s="41">
        <v>0.92601111504749589</v>
      </c>
      <c r="T170" s="41">
        <v>0.92601111504749589</v>
      </c>
      <c r="U170" s="18">
        <v>4.479673739915687</v>
      </c>
    </row>
    <row r="171" spans="1:21" x14ac:dyDescent="0.2">
      <c r="A171" s="5" t="s">
        <v>286</v>
      </c>
      <c r="B171" s="5" t="s">
        <v>13</v>
      </c>
      <c r="C171" s="52">
        <v>1</v>
      </c>
      <c r="D171" s="53">
        <v>1</v>
      </c>
      <c r="E171" s="18">
        <v>0</v>
      </c>
      <c r="F171" s="18">
        <v>0.91697281488707694</v>
      </c>
      <c r="G171" s="41">
        <v>0.65771911154593798</v>
      </c>
      <c r="H171" s="52">
        <v>1</v>
      </c>
      <c r="I171" s="52">
        <v>1</v>
      </c>
      <c r="J171" s="18">
        <v>1.6658297487435074</v>
      </c>
      <c r="K171" s="41">
        <v>0.500338769552647</v>
      </c>
      <c r="L171" s="41">
        <v>3.2248743129453175</v>
      </c>
      <c r="M171" s="41">
        <v>0.63505109144166694</v>
      </c>
      <c r="N171" s="41">
        <v>0.92601111504749589</v>
      </c>
      <c r="O171" s="41">
        <v>0.92601111504749589</v>
      </c>
      <c r="P171" s="41">
        <v>0.44071059939817447</v>
      </c>
      <c r="Q171" s="41">
        <v>0.28358284793734073</v>
      </c>
      <c r="R171" s="41">
        <v>0.63278164440513518</v>
      </c>
      <c r="S171" s="41">
        <v>0.92601111504749589</v>
      </c>
      <c r="T171" s="41">
        <v>0.92601111504749589</v>
      </c>
      <c r="U171" s="18">
        <v>4.479673739915687</v>
      </c>
    </row>
    <row r="172" spans="1:21" x14ac:dyDescent="0.2">
      <c r="A172" s="5" t="s">
        <v>287</v>
      </c>
      <c r="B172" s="5" t="s">
        <v>14</v>
      </c>
      <c r="C172" s="52">
        <v>1</v>
      </c>
      <c r="D172" s="53">
        <v>1</v>
      </c>
      <c r="E172" s="18">
        <v>1.6863750935301898E-3</v>
      </c>
      <c r="F172" s="18">
        <v>0.91697281488707694</v>
      </c>
      <c r="G172" s="41">
        <v>0.65771911154593798</v>
      </c>
      <c r="H172" s="52">
        <v>1</v>
      </c>
      <c r="I172" s="52">
        <v>1</v>
      </c>
      <c r="J172" s="18">
        <v>1.6658297487435074</v>
      </c>
      <c r="K172" s="41">
        <v>0.500338769552647</v>
      </c>
      <c r="L172" s="41">
        <v>3.2248743129453175</v>
      </c>
      <c r="M172" s="41">
        <v>0.63505109144166694</v>
      </c>
      <c r="N172" s="41">
        <v>0.92601111504749589</v>
      </c>
      <c r="O172" s="41">
        <v>0.92601111504749589</v>
      </c>
      <c r="P172" s="41">
        <v>0.44071059939817447</v>
      </c>
      <c r="Q172" s="41">
        <v>0.28358284793734073</v>
      </c>
      <c r="R172" s="41">
        <v>0.63278164440513518</v>
      </c>
      <c r="S172" s="41">
        <v>0.92601111504749589</v>
      </c>
      <c r="T172" s="41">
        <v>0.92601111504749589</v>
      </c>
      <c r="U172" s="18">
        <v>4.479673739915687</v>
      </c>
    </row>
    <row r="173" spans="1:21" x14ac:dyDescent="0.2">
      <c r="A173" s="5" t="s">
        <v>288</v>
      </c>
      <c r="B173" s="5" t="s">
        <v>15</v>
      </c>
      <c r="C173" s="52">
        <v>1</v>
      </c>
      <c r="D173" s="53">
        <v>1</v>
      </c>
      <c r="E173" s="18">
        <v>0</v>
      </c>
      <c r="F173" s="18">
        <v>0.91697281488707694</v>
      </c>
      <c r="G173" s="41">
        <v>0.65771911154593798</v>
      </c>
      <c r="H173" s="52">
        <v>1</v>
      </c>
      <c r="I173" s="52">
        <v>1</v>
      </c>
      <c r="J173" s="18">
        <v>1.6658297487435074</v>
      </c>
      <c r="K173" s="41">
        <v>0.500338769552647</v>
      </c>
      <c r="L173" s="41">
        <v>3.2248743129453175</v>
      </c>
      <c r="M173" s="41">
        <v>0.63505109144166694</v>
      </c>
      <c r="N173" s="41">
        <v>0.92601111504749589</v>
      </c>
      <c r="O173" s="41">
        <v>0.92601111504749589</v>
      </c>
      <c r="P173" s="41">
        <v>0.44071059939817447</v>
      </c>
      <c r="Q173" s="41">
        <v>0.28358284793734073</v>
      </c>
      <c r="R173" s="41">
        <v>0.63278164440513518</v>
      </c>
      <c r="S173" s="41">
        <v>0.92601111504749589</v>
      </c>
      <c r="T173" s="41">
        <v>0.92601111504749589</v>
      </c>
      <c r="U173" s="18">
        <v>4.479673739915687</v>
      </c>
    </row>
    <row r="174" spans="1:21" x14ac:dyDescent="0.2">
      <c r="A174" s="5" t="s">
        <v>289</v>
      </c>
      <c r="B174" s="5" t="s">
        <v>16</v>
      </c>
      <c r="C174" s="52">
        <v>1</v>
      </c>
      <c r="D174" s="53">
        <v>1</v>
      </c>
      <c r="E174" s="18">
        <v>0</v>
      </c>
      <c r="F174" s="18">
        <v>0.91697281488707694</v>
      </c>
      <c r="G174" s="41">
        <v>0.65771911154593798</v>
      </c>
      <c r="H174" s="52">
        <v>1</v>
      </c>
      <c r="I174" s="52">
        <v>1</v>
      </c>
      <c r="J174" s="18">
        <v>1.6658297487435074</v>
      </c>
      <c r="K174" s="41">
        <v>0.500338769552647</v>
      </c>
      <c r="L174" s="41">
        <v>3.2248743129453175</v>
      </c>
      <c r="M174" s="41">
        <v>0.63505109144166694</v>
      </c>
      <c r="N174" s="41">
        <v>0.92601111504749589</v>
      </c>
      <c r="O174" s="41">
        <v>0.92601111504749589</v>
      </c>
      <c r="P174" s="41">
        <v>0.44071059939817447</v>
      </c>
      <c r="Q174" s="41">
        <v>0.28358284793734073</v>
      </c>
      <c r="R174" s="41">
        <v>0.63278164440513518</v>
      </c>
      <c r="S174" s="41">
        <v>0.92601111504749589</v>
      </c>
      <c r="T174" s="41">
        <v>0.92601111504749589</v>
      </c>
      <c r="U174" s="18">
        <v>4.479673739915687</v>
      </c>
    </row>
    <row r="175" spans="1:21" x14ac:dyDescent="0.2">
      <c r="A175" s="5" t="s">
        <v>290</v>
      </c>
      <c r="B175" s="5" t="s">
        <v>17</v>
      </c>
      <c r="C175" s="52">
        <v>1</v>
      </c>
      <c r="D175" s="53">
        <v>1</v>
      </c>
      <c r="E175" s="18">
        <v>1.6863750935301898E-3</v>
      </c>
      <c r="F175" s="18">
        <v>0.91697281488707694</v>
      </c>
      <c r="G175" s="41">
        <v>0.6577191115459381</v>
      </c>
      <c r="H175" s="52">
        <v>1</v>
      </c>
      <c r="I175" s="52">
        <v>1</v>
      </c>
      <c r="J175" s="18">
        <v>1.6658297487435074</v>
      </c>
      <c r="K175" s="41">
        <v>0.50033876955264711</v>
      </c>
      <c r="L175" s="41">
        <v>3.2248743129453175</v>
      </c>
      <c r="M175" s="41">
        <v>0.63505109144166705</v>
      </c>
      <c r="N175" s="41">
        <v>0.92601111504749589</v>
      </c>
      <c r="O175" s="41">
        <v>0.92601111504749589</v>
      </c>
      <c r="P175" s="41">
        <v>0.44071059939817447</v>
      </c>
      <c r="Q175" s="41">
        <v>0.28358284793734079</v>
      </c>
      <c r="R175" s="41">
        <v>0.63278164440513518</v>
      </c>
      <c r="S175" s="41">
        <v>0.92601111504749589</v>
      </c>
      <c r="T175" s="41">
        <v>0.92601111504749589</v>
      </c>
      <c r="U175" s="18">
        <v>4.479673739915687</v>
      </c>
    </row>
    <row r="176" spans="1:21" x14ac:dyDescent="0.2">
      <c r="A176" s="5" t="s">
        <v>291</v>
      </c>
      <c r="B176" s="5" t="s">
        <v>12</v>
      </c>
      <c r="C176" s="52">
        <v>1</v>
      </c>
      <c r="D176" s="53">
        <v>1</v>
      </c>
      <c r="E176" s="18">
        <v>0</v>
      </c>
      <c r="F176" s="18">
        <v>0.40593629078389626</v>
      </c>
      <c r="G176" s="41">
        <v>0.37748822232662571</v>
      </c>
      <c r="H176" s="52">
        <v>1</v>
      </c>
      <c r="I176" s="52">
        <v>1</v>
      </c>
      <c r="J176" s="18">
        <v>0.36025891393601306</v>
      </c>
      <c r="K176" s="41">
        <v>0.500338769552647</v>
      </c>
      <c r="L176" s="41">
        <v>4.4375953821166663</v>
      </c>
      <c r="M176" s="41">
        <v>0.92763306276119839</v>
      </c>
      <c r="N176" s="41">
        <v>0.44521291183769129</v>
      </c>
      <c r="O176" s="41">
        <v>0.44521291183769129</v>
      </c>
      <c r="P176" s="41">
        <v>0.19288959876601414</v>
      </c>
      <c r="Q176" s="41">
        <v>0.53801659390853629</v>
      </c>
      <c r="R176" s="41">
        <v>0.38627376885850556</v>
      </c>
      <c r="S176" s="41">
        <v>0.44521291183769129</v>
      </c>
      <c r="T176" s="41">
        <v>0.44521291183769129</v>
      </c>
      <c r="U176" s="18">
        <v>1.1717831922748554</v>
      </c>
    </row>
    <row r="177" spans="1:21" x14ac:dyDescent="0.2">
      <c r="A177" s="5" t="s">
        <v>292</v>
      </c>
      <c r="B177" s="5" t="s">
        <v>13</v>
      </c>
      <c r="C177" s="52">
        <v>1</v>
      </c>
      <c r="D177" s="53">
        <v>1</v>
      </c>
      <c r="E177" s="18">
        <v>0</v>
      </c>
      <c r="F177" s="18">
        <v>0.40593629078389626</v>
      </c>
      <c r="G177" s="41">
        <v>0.37748822232662571</v>
      </c>
      <c r="H177" s="52">
        <v>1</v>
      </c>
      <c r="I177" s="52">
        <v>1</v>
      </c>
      <c r="J177" s="18">
        <v>0.36025891393601306</v>
      </c>
      <c r="K177" s="41">
        <v>0.500338769552647</v>
      </c>
      <c r="L177" s="41">
        <v>4.4375953821166663</v>
      </c>
      <c r="M177" s="41">
        <v>0.92763306276119839</v>
      </c>
      <c r="N177" s="41">
        <v>0.44521291183769129</v>
      </c>
      <c r="O177" s="41">
        <v>0.44521291183769129</v>
      </c>
      <c r="P177" s="41">
        <v>0.19288959876601414</v>
      </c>
      <c r="Q177" s="41">
        <v>0.53801659390853629</v>
      </c>
      <c r="R177" s="41">
        <v>0.38627376885850556</v>
      </c>
      <c r="S177" s="41">
        <v>0.44521291183769129</v>
      </c>
      <c r="T177" s="41">
        <v>0.44521291183769129</v>
      </c>
      <c r="U177" s="18">
        <v>1.1717831922748554</v>
      </c>
    </row>
    <row r="178" spans="1:21" x14ac:dyDescent="0.2">
      <c r="A178" s="5" t="s">
        <v>293</v>
      </c>
      <c r="B178" s="5" t="s">
        <v>14</v>
      </c>
      <c r="C178" s="52">
        <v>1</v>
      </c>
      <c r="D178" s="53">
        <v>1</v>
      </c>
      <c r="E178" s="18">
        <v>4.325340970532378E-3</v>
      </c>
      <c r="F178" s="18">
        <v>0.40593629078389626</v>
      </c>
      <c r="G178" s="41">
        <v>0.37748822232662571</v>
      </c>
      <c r="H178" s="52">
        <v>1</v>
      </c>
      <c r="I178" s="52">
        <v>1</v>
      </c>
      <c r="J178" s="18">
        <v>0.36025891393601306</v>
      </c>
      <c r="K178" s="41">
        <v>0.500338769552647</v>
      </c>
      <c r="L178" s="41">
        <v>4.4375953821166663</v>
      </c>
      <c r="M178" s="41">
        <v>0.92763306276119839</v>
      </c>
      <c r="N178" s="41">
        <v>0.44521291183769129</v>
      </c>
      <c r="O178" s="41">
        <v>0.44521291183769129</v>
      </c>
      <c r="P178" s="41">
        <v>0.19288959876601414</v>
      </c>
      <c r="Q178" s="41">
        <v>0.53801659390853629</v>
      </c>
      <c r="R178" s="41">
        <v>0.38627376885850556</v>
      </c>
      <c r="S178" s="41">
        <v>0.44521291183769129</v>
      </c>
      <c r="T178" s="41">
        <v>0.44521291183769129</v>
      </c>
      <c r="U178" s="18">
        <v>1.1717831922748554</v>
      </c>
    </row>
    <row r="179" spans="1:21" x14ac:dyDescent="0.2">
      <c r="A179" s="5" t="s">
        <v>294</v>
      </c>
      <c r="B179" s="5" t="s">
        <v>15</v>
      </c>
      <c r="C179" s="52">
        <v>1</v>
      </c>
      <c r="D179" s="53">
        <v>1</v>
      </c>
      <c r="E179" s="18">
        <v>0</v>
      </c>
      <c r="F179" s="18">
        <v>0.40593629078389626</v>
      </c>
      <c r="G179" s="41">
        <v>0.37525098490799424</v>
      </c>
      <c r="H179" s="52">
        <v>1</v>
      </c>
      <c r="I179" s="52">
        <v>1</v>
      </c>
      <c r="J179" s="18">
        <v>0.36025891393601306</v>
      </c>
      <c r="K179" s="41">
        <v>0.56017351539860938</v>
      </c>
      <c r="L179" s="41">
        <v>4.1662395591267689</v>
      </c>
      <c r="M179" s="41">
        <v>1.2274688013266208</v>
      </c>
      <c r="N179" s="41">
        <v>0.35255070690790657</v>
      </c>
      <c r="O179" s="41">
        <v>0.35255070690790657</v>
      </c>
      <c r="P179" s="41">
        <v>0.20497015584897774</v>
      </c>
      <c r="Q179" s="41">
        <v>0.43859186603034295</v>
      </c>
      <c r="R179" s="41">
        <v>0.31088710648930534</v>
      </c>
      <c r="S179" s="41">
        <v>0.35255070690790657</v>
      </c>
      <c r="T179" s="41">
        <v>0.35255070690790657</v>
      </c>
      <c r="U179" s="18">
        <v>1.1717831922748554</v>
      </c>
    </row>
    <row r="180" spans="1:21" x14ac:dyDescent="0.2">
      <c r="A180" s="5" t="s">
        <v>295</v>
      </c>
      <c r="B180" s="5" t="s">
        <v>16</v>
      </c>
      <c r="C180" s="52">
        <v>1</v>
      </c>
      <c r="D180" s="53">
        <v>1</v>
      </c>
      <c r="E180" s="18">
        <v>0</v>
      </c>
      <c r="F180" s="18">
        <v>0.40593629078389626</v>
      </c>
      <c r="G180" s="41">
        <v>0.38838927737421697</v>
      </c>
      <c r="H180" s="52">
        <v>1</v>
      </c>
      <c r="I180" s="52">
        <v>1</v>
      </c>
      <c r="J180" s="18">
        <v>0.36025891393601306</v>
      </c>
      <c r="K180" s="41">
        <v>0.48125089387807429</v>
      </c>
      <c r="L180" s="41">
        <v>4.4272452920578331</v>
      </c>
      <c r="M180" s="41">
        <v>0.82141847303801874</v>
      </c>
      <c r="N180" s="41">
        <v>0.4951770670668344</v>
      </c>
      <c r="O180" s="41">
        <v>0.4951770670668344</v>
      </c>
      <c r="P180" s="41">
        <v>0.19066480878854</v>
      </c>
      <c r="Q180" s="41">
        <v>0.63914223111470481</v>
      </c>
      <c r="R180" s="41">
        <v>0.46052836251701074</v>
      </c>
      <c r="S180" s="41">
        <v>0.4951770670668344</v>
      </c>
      <c r="T180" s="41">
        <v>0.4951770670668344</v>
      </c>
      <c r="U180" s="18">
        <v>1.1717831922748554</v>
      </c>
    </row>
    <row r="181" spans="1:21" x14ac:dyDescent="0.2">
      <c r="A181" s="5" t="s">
        <v>296</v>
      </c>
      <c r="B181" s="5" t="s">
        <v>17</v>
      </c>
      <c r="C181" s="52">
        <v>1</v>
      </c>
      <c r="D181" s="53">
        <v>1</v>
      </c>
      <c r="E181" s="18">
        <v>4.325340970532378E-3</v>
      </c>
      <c r="F181" s="18">
        <v>0.40593629078389626</v>
      </c>
      <c r="G181" s="41">
        <v>0.32631578798382593</v>
      </c>
      <c r="H181" s="52">
        <v>1</v>
      </c>
      <c r="I181" s="52">
        <v>1</v>
      </c>
      <c r="J181" s="18">
        <v>0.36025891393601306</v>
      </c>
      <c r="K181" s="41">
        <v>0.42679887903010977</v>
      </c>
      <c r="L181" s="41">
        <v>5.282913227486441</v>
      </c>
      <c r="M181" s="41">
        <v>0.62618500855411341</v>
      </c>
      <c r="N181" s="41">
        <v>0.45393791496562808</v>
      </c>
      <c r="O181" s="41">
        <v>0.45393791496562808</v>
      </c>
      <c r="P181" s="41">
        <v>0.17110214195285386</v>
      </c>
      <c r="Q181" s="41">
        <v>0.28156370650784301</v>
      </c>
      <c r="R181" s="41">
        <v>0.20624344826258592</v>
      </c>
      <c r="S181" s="41">
        <v>0.45393791496562808</v>
      </c>
      <c r="T181" s="41">
        <v>0.45393791496562808</v>
      </c>
      <c r="U181" s="18">
        <v>1.1717831922748554</v>
      </c>
    </row>
    <row r="182" spans="1:21" x14ac:dyDescent="0.2">
      <c r="A182" s="5" t="s">
        <v>297</v>
      </c>
      <c r="B182" s="5" t="s">
        <v>12</v>
      </c>
      <c r="C182" s="52">
        <v>1</v>
      </c>
      <c r="D182" s="53">
        <v>1</v>
      </c>
      <c r="E182" s="18">
        <v>0</v>
      </c>
      <c r="F182" s="18">
        <v>0.98959555611099592</v>
      </c>
      <c r="G182" s="41">
        <v>1.6828415402214072</v>
      </c>
      <c r="H182" s="52">
        <v>1</v>
      </c>
      <c r="I182" s="52">
        <v>1</v>
      </c>
      <c r="J182" s="18">
        <v>0.32490693968109546</v>
      </c>
      <c r="K182" s="41">
        <v>0.500338769552647</v>
      </c>
      <c r="L182" s="41">
        <v>2.1298754086798103E-2</v>
      </c>
      <c r="M182" s="41">
        <v>0.40277908054782768</v>
      </c>
      <c r="N182" s="41">
        <v>1.7532525821956859</v>
      </c>
      <c r="O182" s="41">
        <v>1.7532525821956859</v>
      </c>
      <c r="P182" s="41">
        <v>0.46705391220604592</v>
      </c>
      <c r="Q182" s="41">
        <v>1.277043818449151</v>
      </c>
      <c r="R182" s="41">
        <v>1.25</v>
      </c>
      <c r="S182" s="41">
        <v>1.7532525821956859</v>
      </c>
      <c r="T182" s="41">
        <v>1.7532525821956859</v>
      </c>
      <c r="U182" s="18">
        <v>1.1327682029585004</v>
      </c>
    </row>
    <row r="183" spans="1:21" x14ac:dyDescent="0.2">
      <c r="A183" s="5" t="s">
        <v>298</v>
      </c>
      <c r="B183" s="5" t="s">
        <v>13</v>
      </c>
      <c r="C183" s="52">
        <v>1</v>
      </c>
      <c r="D183" s="53">
        <v>1</v>
      </c>
      <c r="E183" s="18">
        <v>0</v>
      </c>
      <c r="F183" s="18">
        <v>0.98959555611099592</v>
      </c>
      <c r="G183" s="41">
        <v>2.0563977111900726</v>
      </c>
      <c r="H183" s="52">
        <v>1</v>
      </c>
      <c r="I183" s="52">
        <v>1</v>
      </c>
      <c r="J183" s="18">
        <v>0.32490693968109546</v>
      </c>
      <c r="K183" s="41">
        <v>0.51704137403013151</v>
      </c>
      <c r="L183" s="41">
        <v>3.8842649188484735E-2</v>
      </c>
      <c r="M183" s="41">
        <v>0.55147187188338964</v>
      </c>
      <c r="N183" s="41">
        <v>1.7718307454341304</v>
      </c>
      <c r="O183" s="41">
        <v>1.7718307454341304</v>
      </c>
      <c r="P183" s="41">
        <v>0.41550984532153895</v>
      </c>
      <c r="Q183" s="41">
        <v>1.2895847367056119</v>
      </c>
      <c r="R183" s="41">
        <v>1.0625627936969178</v>
      </c>
      <c r="S183" s="41">
        <v>1.7718307454341304</v>
      </c>
      <c r="T183" s="41">
        <v>1.7718307454341304</v>
      </c>
      <c r="U183" s="18">
        <v>1.1327682029585004</v>
      </c>
    </row>
    <row r="184" spans="1:21" x14ac:dyDescent="0.2">
      <c r="A184" s="5" t="s">
        <v>299</v>
      </c>
      <c r="B184" s="5" t="s">
        <v>14</v>
      </c>
      <c r="C184" s="52">
        <v>1</v>
      </c>
      <c r="D184" s="53">
        <v>1</v>
      </c>
      <c r="E184" s="18">
        <v>2.5550470745558419E-2</v>
      </c>
      <c r="F184" s="18">
        <v>0.98959555611099592</v>
      </c>
      <c r="G184" s="41">
        <v>1.5888726216617526</v>
      </c>
      <c r="H184" s="52">
        <v>1</v>
      </c>
      <c r="I184" s="52">
        <v>1</v>
      </c>
      <c r="J184" s="18">
        <v>0.32490693968109546</v>
      </c>
      <c r="K184" s="41">
        <v>0.49608179482758574</v>
      </c>
      <c r="L184" s="41">
        <v>1.6894225076158922E-2</v>
      </c>
      <c r="M184" s="41">
        <v>0.3657386060519634</v>
      </c>
      <c r="N184" s="41">
        <v>1.7493250119378605</v>
      </c>
      <c r="O184" s="41">
        <v>1.7493250119378605</v>
      </c>
      <c r="P184" s="41">
        <v>0.4795071036204962</v>
      </c>
      <c r="Q184" s="41">
        <v>1.2767542168848083</v>
      </c>
      <c r="R184" s="41">
        <v>1.2966410283466501</v>
      </c>
      <c r="S184" s="41">
        <v>1.7493250119378605</v>
      </c>
      <c r="T184" s="41">
        <v>1.7493250119378605</v>
      </c>
      <c r="U184" s="18">
        <v>1.1327682029585004</v>
      </c>
    </row>
    <row r="185" spans="1:21" x14ac:dyDescent="0.2">
      <c r="A185" s="5" t="s">
        <v>300</v>
      </c>
      <c r="B185" s="5" t="s">
        <v>15</v>
      </c>
      <c r="C185" s="52">
        <v>1</v>
      </c>
      <c r="D185" s="53">
        <v>1</v>
      </c>
      <c r="E185" s="18">
        <v>0</v>
      </c>
      <c r="F185" s="18">
        <v>0.98959555611099592</v>
      </c>
      <c r="G185" s="41">
        <v>1.6828415402214072</v>
      </c>
      <c r="H185" s="52">
        <v>1</v>
      </c>
      <c r="I185" s="52">
        <v>1</v>
      </c>
      <c r="J185" s="18">
        <v>0.32490693968109546</v>
      </c>
      <c r="K185" s="41">
        <v>0.500338769552647</v>
      </c>
      <c r="L185" s="41">
        <v>2.1298754086798103E-2</v>
      </c>
      <c r="M185" s="41">
        <v>0.40277908054782768</v>
      </c>
      <c r="N185" s="41">
        <v>1.7532525821956859</v>
      </c>
      <c r="O185" s="41">
        <v>1.7532525821956859</v>
      </c>
      <c r="P185" s="41">
        <v>0.46705391220604592</v>
      </c>
      <c r="Q185" s="41">
        <v>1.277043818449151</v>
      </c>
      <c r="R185" s="41">
        <v>1.25</v>
      </c>
      <c r="S185" s="41">
        <v>1.7532525821956859</v>
      </c>
      <c r="T185" s="41">
        <v>1.7532525821956859</v>
      </c>
      <c r="U185" s="18">
        <v>1.1327682029585004</v>
      </c>
    </row>
    <row r="186" spans="1:21" x14ac:dyDescent="0.2">
      <c r="A186" s="5" t="s">
        <v>301</v>
      </c>
      <c r="B186" s="5" t="s">
        <v>16</v>
      </c>
      <c r="C186" s="52">
        <v>1</v>
      </c>
      <c r="D186" s="53">
        <v>1</v>
      </c>
      <c r="E186" s="18">
        <v>0</v>
      </c>
      <c r="F186" s="18">
        <v>0.98959555611099592</v>
      </c>
      <c r="G186" s="41">
        <v>1.6828415402214072</v>
      </c>
      <c r="H186" s="52">
        <v>1</v>
      </c>
      <c r="I186" s="52">
        <v>1</v>
      </c>
      <c r="J186" s="18">
        <v>0.32490693968109546</v>
      </c>
      <c r="K186" s="41">
        <v>0.500338769552647</v>
      </c>
      <c r="L186" s="41">
        <v>2.1298754086798103E-2</v>
      </c>
      <c r="M186" s="41">
        <v>0.40277908054782768</v>
      </c>
      <c r="N186" s="41">
        <v>1.7532525821956859</v>
      </c>
      <c r="O186" s="41">
        <v>1.7532525821956859</v>
      </c>
      <c r="P186" s="41">
        <v>0.46705391220604592</v>
      </c>
      <c r="Q186" s="41">
        <v>1.277043818449151</v>
      </c>
      <c r="R186" s="41">
        <v>1.25</v>
      </c>
      <c r="S186" s="41">
        <v>1.7532525821956859</v>
      </c>
      <c r="T186" s="41">
        <v>1.7532525821956859</v>
      </c>
      <c r="U186" s="18">
        <v>1.1327682029585004</v>
      </c>
    </row>
    <row r="187" spans="1:21" x14ac:dyDescent="0.2">
      <c r="A187" s="5" t="s">
        <v>302</v>
      </c>
      <c r="B187" s="5" t="s">
        <v>17</v>
      </c>
      <c r="C187" s="52">
        <v>1</v>
      </c>
      <c r="D187" s="53">
        <v>1</v>
      </c>
      <c r="E187" s="18">
        <v>2.5550470745558419E-2</v>
      </c>
      <c r="F187" s="18">
        <v>0.98959555611099592</v>
      </c>
      <c r="G187" s="41">
        <v>1.6828415402214072</v>
      </c>
      <c r="H187" s="52">
        <v>1</v>
      </c>
      <c r="I187" s="52">
        <v>1</v>
      </c>
      <c r="J187" s="18">
        <v>0.32490693968109546</v>
      </c>
      <c r="K187" s="41">
        <v>0.500338769552647</v>
      </c>
      <c r="L187" s="41">
        <v>2.1298754086798103E-2</v>
      </c>
      <c r="M187" s="41">
        <v>0.40277908054782768</v>
      </c>
      <c r="N187" s="41">
        <v>1.7532525821956859</v>
      </c>
      <c r="O187" s="41">
        <v>1.7532525821956859</v>
      </c>
      <c r="P187" s="41">
        <v>0.46705391220604592</v>
      </c>
      <c r="Q187" s="41">
        <v>1.277043818449151</v>
      </c>
      <c r="R187" s="41">
        <v>1.25</v>
      </c>
      <c r="S187" s="41">
        <v>1.7532525821956859</v>
      </c>
      <c r="T187" s="41">
        <v>1.7532525821956859</v>
      </c>
      <c r="U187" s="18">
        <v>1.1327682029585004</v>
      </c>
    </row>
    <row r="188" spans="1:21" x14ac:dyDescent="0.2">
      <c r="A188" s="5" t="s">
        <v>303</v>
      </c>
      <c r="B188" s="5" t="s">
        <v>12</v>
      </c>
      <c r="C188" s="52">
        <v>1</v>
      </c>
      <c r="D188" s="53">
        <v>1</v>
      </c>
      <c r="E188" s="18">
        <v>0</v>
      </c>
      <c r="F188" s="18">
        <v>1.0446803294552827</v>
      </c>
      <c r="G188" s="41">
        <v>2.3453120555357212</v>
      </c>
      <c r="H188" s="52">
        <v>1</v>
      </c>
      <c r="I188" s="52">
        <v>1</v>
      </c>
      <c r="J188" s="18">
        <v>0.62283402430315049</v>
      </c>
      <c r="K188" s="41">
        <v>0.94863008984239339</v>
      </c>
      <c r="L188" s="41">
        <v>2.5900218724734549E-2</v>
      </c>
      <c r="M188" s="41">
        <v>0.47258666781291536</v>
      </c>
      <c r="N188" s="41">
        <v>1.0201663634323608</v>
      </c>
      <c r="O188" s="41">
        <v>1.4410592384456897</v>
      </c>
      <c r="P188" s="41">
        <v>0.51609068150336102</v>
      </c>
      <c r="Q188" s="41">
        <v>0.86523713847129424</v>
      </c>
      <c r="R188" s="41">
        <v>0.50282040827234531</v>
      </c>
      <c r="S188" s="41">
        <v>1.4410592384456897</v>
      </c>
      <c r="T188" s="41">
        <v>1.4410592384456897</v>
      </c>
      <c r="U188" s="18">
        <v>0.85421807833302787</v>
      </c>
    </row>
    <row r="189" spans="1:21" x14ac:dyDescent="0.2">
      <c r="A189" s="5" t="s">
        <v>304</v>
      </c>
      <c r="B189" s="5" t="s">
        <v>13</v>
      </c>
      <c r="C189" s="52">
        <v>1</v>
      </c>
      <c r="D189" s="53">
        <v>1</v>
      </c>
      <c r="E189" s="18">
        <v>0</v>
      </c>
      <c r="F189" s="18">
        <v>1.0446803294552827</v>
      </c>
      <c r="G189" s="41">
        <v>1.783757631540956</v>
      </c>
      <c r="H189" s="52">
        <v>1</v>
      </c>
      <c r="I189" s="52">
        <v>1</v>
      </c>
      <c r="J189" s="18">
        <v>0.62283402430315049</v>
      </c>
      <c r="K189" s="41">
        <v>0.92765250530469034</v>
      </c>
      <c r="L189" s="41">
        <v>0.14834159603645874</v>
      </c>
      <c r="M189" s="41">
        <v>0.54763259268068221</v>
      </c>
      <c r="N189" s="41">
        <v>0.95379637994799538</v>
      </c>
      <c r="O189" s="41">
        <v>1.3473068062111662</v>
      </c>
      <c r="P189" s="41">
        <v>0.5615188570749865</v>
      </c>
      <c r="Q189" s="41">
        <v>0.88281649812176555</v>
      </c>
      <c r="R189" s="41">
        <v>0.4813614919062606</v>
      </c>
      <c r="S189" s="41">
        <v>1.3473068062111662</v>
      </c>
      <c r="T189" s="41">
        <v>1.3473068062111662</v>
      </c>
      <c r="U189" s="18">
        <v>0.85421807833302787</v>
      </c>
    </row>
    <row r="190" spans="1:21" x14ac:dyDescent="0.2">
      <c r="A190" s="5" t="s">
        <v>305</v>
      </c>
      <c r="B190" s="5" t="s">
        <v>14</v>
      </c>
      <c r="C190" s="52">
        <v>1</v>
      </c>
      <c r="D190" s="53">
        <v>1</v>
      </c>
      <c r="E190" s="18">
        <v>2.0570422456397511E-2</v>
      </c>
      <c r="F190" s="18">
        <v>1.0446803294552827</v>
      </c>
      <c r="G190" s="41">
        <v>2.3930114803457569</v>
      </c>
      <c r="H190" s="52">
        <v>1</v>
      </c>
      <c r="I190" s="52">
        <v>1</v>
      </c>
      <c r="J190" s="18">
        <v>0.62283402430315049</v>
      </c>
      <c r="K190" s="41">
        <v>0.89519954490267883</v>
      </c>
      <c r="L190" s="41">
        <v>1.9596728329955015E-2</v>
      </c>
      <c r="M190" s="41">
        <v>0.48751079739996001</v>
      </c>
      <c r="N190" s="41">
        <v>1.0545696556721162</v>
      </c>
      <c r="O190" s="41">
        <v>1.4896563926865367</v>
      </c>
      <c r="P190" s="41">
        <v>0.56151620587482598</v>
      </c>
      <c r="Q190" s="41">
        <v>1.043818230243196</v>
      </c>
      <c r="R190" s="41">
        <v>0.51861997622472011</v>
      </c>
      <c r="S190" s="41">
        <v>1.4896563926865367</v>
      </c>
      <c r="T190" s="41">
        <v>1.4896563926865367</v>
      </c>
      <c r="U190" s="18">
        <v>0.85421807833302787</v>
      </c>
    </row>
    <row r="191" spans="1:21" x14ac:dyDescent="0.2">
      <c r="A191" s="5" t="s">
        <v>306</v>
      </c>
      <c r="B191" s="5" t="s">
        <v>15</v>
      </c>
      <c r="C191" s="52">
        <v>1</v>
      </c>
      <c r="D191" s="53">
        <v>1</v>
      </c>
      <c r="E191" s="18">
        <v>0</v>
      </c>
      <c r="F191" s="18">
        <v>1.0446803294552827</v>
      </c>
      <c r="G191" s="41">
        <v>2.1629279970836257</v>
      </c>
      <c r="H191" s="52">
        <v>1</v>
      </c>
      <c r="I191" s="52">
        <v>1</v>
      </c>
      <c r="J191" s="18">
        <v>0.62283402430315049</v>
      </c>
      <c r="K191" s="41">
        <v>0.93179612493605068</v>
      </c>
      <c r="L191" s="41">
        <v>6.5511752967914921E-2</v>
      </c>
      <c r="M191" s="41">
        <v>0.5</v>
      </c>
      <c r="N191" s="41">
        <v>1</v>
      </c>
      <c r="O191" s="41">
        <v>1.4125727823423135</v>
      </c>
      <c r="P191" s="41">
        <v>0.54514154931699543</v>
      </c>
      <c r="Q191" s="41">
        <v>0.89513482199221361</v>
      </c>
      <c r="R191" s="41">
        <v>0.5</v>
      </c>
      <c r="S191" s="41">
        <v>1.4125727823423135</v>
      </c>
      <c r="T191" s="41">
        <v>1.4125727823423135</v>
      </c>
      <c r="U191" s="18">
        <v>0.85421807833302787</v>
      </c>
    </row>
    <row r="192" spans="1:21" x14ac:dyDescent="0.2">
      <c r="A192" s="5" t="s">
        <v>307</v>
      </c>
      <c r="B192" s="5" t="s">
        <v>16</v>
      </c>
      <c r="C192" s="52">
        <v>1</v>
      </c>
      <c r="D192" s="53">
        <v>1</v>
      </c>
      <c r="E192" s="18">
        <v>0</v>
      </c>
      <c r="F192" s="18">
        <v>1.0446803294552827</v>
      </c>
      <c r="G192" s="41">
        <v>2.1629279970836257</v>
      </c>
      <c r="H192" s="52">
        <v>1</v>
      </c>
      <c r="I192" s="52">
        <v>1</v>
      </c>
      <c r="J192" s="18">
        <v>0.62283402430315049</v>
      </c>
      <c r="K192" s="41">
        <v>0.93179612493605068</v>
      </c>
      <c r="L192" s="41">
        <v>6.5511752967914921E-2</v>
      </c>
      <c r="M192" s="41">
        <v>0.5</v>
      </c>
      <c r="N192" s="41">
        <v>1</v>
      </c>
      <c r="O192" s="41">
        <v>1.4125727823423135</v>
      </c>
      <c r="P192" s="41">
        <v>0.54514154931699543</v>
      </c>
      <c r="Q192" s="41">
        <v>0.89513482199221361</v>
      </c>
      <c r="R192" s="41">
        <v>0.5</v>
      </c>
      <c r="S192" s="41">
        <v>1.4125727823423135</v>
      </c>
      <c r="T192" s="41">
        <v>1.4125727823423135</v>
      </c>
      <c r="U192" s="18">
        <v>0.85421807833302787</v>
      </c>
    </row>
    <row r="193" spans="1:21" x14ac:dyDescent="0.2">
      <c r="A193" s="5" t="s">
        <v>308</v>
      </c>
      <c r="B193" s="5" t="s">
        <v>17</v>
      </c>
      <c r="C193" s="52">
        <v>1</v>
      </c>
      <c r="D193" s="53">
        <v>1</v>
      </c>
      <c r="E193" s="18">
        <v>2.0570422456397511E-2</v>
      </c>
      <c r="F193" s="18">
        <v>1.0446803294552827</v>
      </c>
      <c r="G193" s="41">
        <v>2.1629279970836257</v>
      </c>
      <c r="H193" s="52">
        <v>1</v>
      </c>
      <c r="I193" s="52">
        <v>1</v>
      </c>
      <c r="J193" s="18">
        <v>0.62283402430315049</v>
      </c>
      <c r="K193" s="41">
        <v>0.93179612493605068</v>
      </c>
      <c r="L193" s="41">
        <v>6.5511752967914921E-2</v>
      </c>
      <c r="M193" s="41">
        <v>0.5</v>
      </c>
      <c r="N193" s="41">
        <v>1</v>
      </c>
      <c r="O193" s="41">
        <v>1.4125727823423135</v>
      </c>
      <c r="P193" s="41">
        <v>0.54514154931699543</v>
      </c>
      <c r="Q193" s="41">
        <v>0.89513482199221361</v>
      </c>
      <c r="R193" s="41">
        <v>0.5</v>
      </c>
      <c r="S193" s="41">
        <v>1.4125727823423135</v>
      </c>
      <c r="T193" s="41">
        <v>1.4125727823423135</v>
      </c>
      <c r="U193" s="18">
        <v>0.85421807833302787</v>
      </c>
    </row>
    <row r="194" spans="1:21" x14ac:dyDescent="0.2">
      <c r="A194" s="5" t="s">
        <v>309</v>
      </c>
      <c r="B194" s="5" t="s">
        <v>12</v>
      </c>
      <c r="C194" s="52">
        <v>1</v>
      </c>
      <c r="D194" s="53">
        <v>1</v>
      </c>
      <c r="E194" s="18">
        <v>0</v>
      </c>
      <c r="F194" s="18">
        <v>0.64499419855690299</v>
      </c>
      <c r="G194" s="41">
        <v>0.94759926180727594</v>
      </c>
      <c r="H194" s="52">
        <v>1</v>
      </c>
      <c r="I194" s="52">
        <v>1</v>
      </c>
      <c r="J194" s="18">
        <v>1.8301103320532006</v>
      </c>
      <c r="K194" s="41">
        <v>0.500338769552647</v>
      </c>
      <c r="L194" s="41">
        <v>0.50184648255390518</v>
      </c>
      <c r="M194" s="41">
        <v>1.1599125550719496</v>
      </c>
      <c r="N194" s="41">
        <v>0.61461674623009266</v>
      </c>
      <c r="O194" s="41">
        <v>0.61461674623009266</v>
      </c>
      <c r="P194" s="41">
        <v>0.8604647469921114</v>
      </c>
      <c r="Q194" s="41">
        <v>0.32880865152380945</v>
      </c>
      <c r="R194" s="41">
        <v>0.59401714131542005</v>
      </c>
      <c r="S194" s="41">
        <v>0.61461674623009266</v>
      </c>
      <c r="T194" s="41">
        <v>0.61461674623009266</v>
      </c>
      <c r="U194" s="18">
        <v>3.8491341336519036</v>
      </c>
    </row>
    <row r="195" spans="1:21" x14ac:dyDescent="0.2">
      <c r="A195" s="5" t="s">
        <v>310</v>
      </c>
      <c r="B195" s="5" t="s">
        <v>13</v>
      </c>
      <c r="C195" s="52">
        <v>1</v>
      </c>
      <c r="D195" s="53">
        <v>1</v>
      </c>
      <c r="E195" s="18">
        <v>0</v>
      </c>
      <c r="F195" s="18">
        <v>0.64499419855690299</v>
      </c>
      <c r="G195" s="41">
        <v>0.94759926180727594</v>
      </c>
      <c r="H195" s="52">
        <v>1</v>
      </c>
      <c r="I195" s="52">
        <v>1</v>
      </c>
      <c r="J195" s="18">
        <v>1.8301103320532006</v>
      </c>
      <c r="K195" s="41">
        <v>0.500338769552647</v>
      </c>
      <c r="L195" s="41">
        <v>0.50184648255390518</v>
      </c>
      <c r="M195" s="41">
        <v>1.1599125550719496</v>
      </c>
      <c r="N195" s="41">
        <v>0.61461674623009266</v>
      </c>
      <c r="O195" s="41">
        <v>0.61461674623009266</v>
      </c>
      <c r="P195" s="41">
        <v>0.8604647469921114</v>
      </c>
      <c r="Q195" s="41">
        <v>0.32880865152380945</v>
      </c>
      <c r="R195" s="41">
        <v>0.59401714131542005</v>
      </c>
      <c r="S195" s="41">
        <v>0.61461674623009266</v>
      </c>
      <c r="T195" s="41">
        <v>0.61461674623009266</v>
      </c>
      <c r="U195" s="18">
        <v>3.8491341336519036</v>
      </c>
    </row>
    <row r="196" spans="1:21" x14ac:dyDescent="0.2">
      <c r="A196" s="5" t="s">
        <v>311</v>
      </c>
      <c r="B196" s="5" t="s">
        <v>14</v>
      </c>
      <c r="C196" s="52">
        <v>1</v>
      </c>
      <c r="D196" s="53">
        <v>1</v>
      </c>
      <c r="E196" s="18">
        <v>2.0856310541443671E-2</v>
      </c>
      <c r="F196" s="18">
        <v>0.64499419855690299</v>
      </c>
      <c r="G196" s="41">
        <v>0.94759926180727594</v>
      </c>
      <c r="H196" s="52">
        <v>1</v>
      </c>
      <c r="I196" s="52">
        <v>1</v>
      </c>
      <c r="J196" s="18">
        <v>1.8301103320532006</v>
      </c>
      <c r="K196" s="41">
        <v>0.500338769552647</v>
      </c>
      <c r="L196" s="41">
        <v>0.50184648255390518</v>
      </c>
      <c r="M196" s="41">
        <v>1.1599125550719496</v>
      </c>
      <c r="N196" s="41">
        <v>0.61461674623009266</v>
      </c>
      <c r="O196" s="41">
        <v>0.61461674623009266</v>
      </c>
      <c r="P196" s="41">
        <v>0.8604647469921114</v>
      </c>
      <c r="Q196" s="41">
        <v>0.32880865152380945</v>
      </c>
      <c r="R196" s="41">
        <v>0.59401714131542005</v>
      </c>
      <c r="S196" s="41">
        <v>0.61461674623009266</v>
      </c>
      <c r="T196" s="41">
        <v>0.61461674623009266</v>
      </c>
      <c r="U196" s="18">
        <v>3.8491341336519036</v>
      </c>
    </row>
    <row r="197" spans="1:21" x14ac:dyDescent="0.2">
      <c r="A197" s="5" t="s">
        <v>312</v>
      </c>
      <c r="B197" s="5" t="s">
        <v>15</v>
      </c>
      <c r="C197" s="52">
        <v>1</v>
      </c>
      <c r="D197" s="53">
        <v>1</v>
      </c>
      <c r="E197" s="18">
        <v>0</v>
      </c>
      <c r="F197" s="18">
        <v>0.64499419855690299</v>
      </c>
      <c r="G197" s="41">
        <v>0.94759926180727594</v>
      </c>
      <c r="H197" s="52">
        <v>1</v>
      </c>
      <c r="I197" s="52">
        <v>1</v>
      </c>
      <c r="J197" s="18">
        <v>1.8301103320532006</v>
      </c>
      <c r="K197" s="41">
        <v>0.500338769552647</v>
      </c>
      <c r="L197" s="41">
        <v>0.50184648255390518</v>
      </c>
      <c r="M197" s="41">
        <v>1.1599125550719496</v>
      </c>
      <c r="N197" s="41">
        <v>0.61461674623009266</v>
      </c>
      <c r="O197" s="41">
        <v>0.61461674623009266</v>
      </c>
      <c r="P197" s="41">
        <v>0.8604647469921114</v>
      </c>
      <c r="Q197" s="41">
        <v>0.32880865152380945</v>
      </c>
      <c r="R197" s="41">
        <v>0.59401714131542005</v>
      </c>
      <c r="S197" s="41">
        <v>0.61461674623009266</v>
      </c>
      <c r="T197" s="41">
        <v>0.61461674623009266</v>
      </c>
      <c r="U197" s="18">
        <v>3.8491341336519036</v>
      </c>
    </row>
    <row r="198" spans="1:21" x14ac:dyDescent="0.2">
      <c r="A198" s="5" t="s">
        <v>313</v>
      </c>
      <c r="B198" s="5" t="s">
        <v>16</v>
      </c>
      <c r="C198" s="52">
        <v>1</v>
      </c>
      <c r="D198" s="53">
        <v>1</v>
      </c>
      <c r="E198" s="18">
        <v>0</v>
      </c>
      <c r="F198" s="18">
        <v>0.64499419855690299</v>
      </c>
      <c r="G198" s="41">
        <v>0.94759926180727594</v>
      </c>
      <c r="H198" s="52">
        <v>1</v>
      </c>
      <c r="I198" s="52">
        <v>1</v>
      </c>
      <c r="J198" s="18">
        <v>1.8301103320532006</v>
      </c>
      <c r="K198" s="41">
        <v>0.500338769552647</v>
      </c>
      <c r="L198" s="41">
        <v>0.50184648255390518</v>
      </c>
      <c r="M198" s="41">
        <v>1.1599125550719496</v>
      </c>
      <c r="N198" s="41">
        <v>0.61461674623009266</v>
      </c>
      <c r="O198" s="41">
        <v>0.61461674623009266</v>
      </c>
      <c r="P198" s="41">
        <v>0.8604647469921114</v>
      </c>
      <c r="Q198" s="41">
        <v>0.32880865152380945</v>
      </c>
      <c r="R198" s="41">
        <v>0.59401714131542005</v>
      </c>
      <c r="S198" s="41">
        <v>0.61461674623009266</v>
      </c>
      <c r="T198" s="41">
        <v>0.61461674623009266</v>
      </c>
      <c r="U198" s="18">
        <v>3.8491341336519036</v>
      </c>
    </row>
    <row r="199" spans="1:21" x14ac:dyDescent="0.2">
      <c r="A199" s="5" t="s">
        <v>314</v>
      </c>
      <c r="B199" s="5" t="s">
        <v>17</v>
      </c>
      <c r="C199" s="52">
        <v>1</v>
      </c>
      <c r="D199" s="53">
        <v>1</v>
      </c>
      <c r="E199" s="18">
        <v>2.0856310541443671E-2</v>
      </c>
      <c r="F199" s="18">
        <v>0.64499419855690299</v>
      </c>
      <c r="G199" s="41">
        <v>0.94759926180727594</v>
      </c>
      <c r="H199" s="52">
        <v>1</v>
      </c>
      <c r="I199" s="52">
        <v>1</v>
      </c>
      <c r="J199" s="18">
        <v>1.8301103320532006</v>
      </c>
      <c r="K199" s="41">
        <v>0.500338769552647</v>
      </c>
      <c r="L199" s="41">
        <v>0.50184648255390518</v>
      </c>
      <c r="M199" s="41">
        <v>1.1599125550719496</v>
      </c>
      <c r="N199" s="41">
        <v>0.61461674623009266</v>
      </c>
      <c r="O199" s="41">
        <v>0.61461674623009266</v>
      </c>
      <c r="P199" s="41">
        <v>0.8604647469921114</v>
      </c>
      <c r="Q199" s="41">
        <v>0.32880865152380945</v>
      </c>
      <c r="R199" s="41">
        <v>0.59401714131542005</v>
      </c>
      <c r="S199" s="41">
        <v>0.61461674623009266</v>
      </c>
      <c r="T199" s="41">
        <v>0.61461674623009266</v>
      </c>
      <c r="U199" s="18">
        <v>3.8491341336519036</v>
      </c>
    </row>
    <row r="200" spans="1:21" x14ac:dyDescent="0.2">
      <c r="A200" s="5" t="s">
        <v>315</v>
      </c>
      <c r="B200" s="5" t="s">
        <v>12</v>
      </c>
      <c r="C200" s="52">
        <v>1</v>
      </c>
      <c r="D200" s="53">
        <v>1</v>
      </c>
      <c r="E200" s="18">
        <v>0.29273874472044087</v>
      </c>
      <c r="F200" s="18">
        <v>0.61119214757571727</v>
      </c>
      <c r="G200" s="41">
        <v>1.1315572561961691</v>
      </c>
      <c r="H200" s="52">
        <v>1</v>
      </c>
      <c r="I200" s="52">
        <v>1</v>
      </c>
      <c r="J200" s="18">
        <v>1.7420656149974507</v>
      </c>
      <c r="K200" s="41">
        <v>0.500338769552647</v>
      </c>
      <c r="L200" s="41">
        <v>3.7343112931644287E-2</v>
      </c>
      <c r="M200" s="41">
        <v>0.44492150469297398</v>
      </c>
      <c r="N200" s="41">
        <v>0.67184341318429153</v>
      </c>
      <c r="O200" s="41">
        <v>0.67184341318429153</v>
      </c>
      <c r="P200" s="41">
        <v>2.5601153276828232</v>
      </c>
      <c r="Q200" s="41">
        <v>0.13727884754427561</v>
      </c>
      <c r="R200" s="41">
        <v>0.81005205166073901</v>
      </c>
      <c r="S200" s="41">
        <v>0.67184341318429153</v>
      </c>
      <c r="T200" s="41">
        <v>0.67184341318429153</v>
      </c>
      <c r="U200" s="18">
        <v>0.4928748096727959</v>
      </c>
    </row>
    <row r="201" spans="1:21" x14ac:dyDescent="0.2">
      <c r="A201" s="5" t="s">
        <v>316</v>
      </c>
      <c r="B201" s="5" t="s">
        <v>13</v>
      </c>
      <c r="C201" s="52">
        <v>1</v>
      </c>
      <c r="D201" s="53">
        <v>1</v>
      </c>
      <c r="E201" s="18">
        <v>0.36780172891740209</v>
      </c>
      <c r="F201" s="18">
        <v>0.61119214757571727</v>
      </c>
      <c r="G201" s="41">
        <v>1.1315572561961691</v>
      </c>
      <c r="H201" s="52">
        <v>1</v>
      </c>
      <c r="I201" s="52">
        <v>1</v>
      </c>
      <c r="J201" s="18">
        <v>1.7420656149974507</v>
      </c>
      <c r="K201" s="41">
        <v>0.500338769552647</v>
      </c>
      <c r="L201" s="41">
        <v>3.7343112931644287E-2</v>
      </c>
      <c r="M201" s="41">
        <v>0.44492150469297398</v>
      </c>
      <c r="N201" s="41">
        <v>0.67184341318429153</v>
      </c>
      <c r="O201" s="41">
        <v>0.67184341318429153</v>
      </c>
      <c r="P201" s="41">
        <v>2.5601153276828232</v>
      </c>
      <c r="Q201" s="41">
        <v>0.13727884754427561</v>
      </c>
      <c r="R201" s="41">
        <v>0.81005205166073901</v>
      </c>
      <c r="S201" s="41">
        <v>0.67184341318429153</v>
      </c>
      <c r="T201" s="41">
        <v>0.67184341318429153</v>
      </c>
      <c r="U201" s="18">
        <v>0.4928748096727959</v>
      </c>
    </row>
    <row r="202" spans="1:21" x14ac:dyDescent="0.2">
      <c r="A202" s="5" t="s">
        <v>317</v>
      </c>
      <c r="B202" s="5" t="s">
        <v>14</v>
      </c>
      <c r="C202" s="52">
        <v>1</v>
      </c>
      <c r="D202" s="53">
        <v>1</v>
      </c>
      <c r="E202" s="18">
        <v>5.4981988170679438E-2</v>
      </c>
      <c r="F202" s="18">
        <v>0.61119214757571727</v>
      </c>
      <c r="G202" s="41">
        <v>1.1315572561961691</v>
      </c>
      <c r="H202" s="52">
        <v>1</v>
      </c>
      <c r="I202" s="52">
        <v>1</v>
      </c>
      <c r="J202" s="18">
        <v>1.7420656149974507</v>
      </c>
      <c r="K202" s="41">
        <v>0.500338769552647</v>
      </c>
      <c r="L202" s="41">
        <v>3.7343112931644287E-2</v>
      </c>
      <c r="M202" s="41">
        <v>0.44492150469297398</v>
      </c>
      <c r="N202" s="41">
        <v>0.67184341318429153</v>
      </c>
      <c r="O202" s="41">
        <v>0.67184341318429153</v>
      </c>
      <c r="P202" s="41">
        <v>2.5601153276828232</v>
      </c>
      <c r="Q202" s="41">
        <v>0.13727884754427561</v>
      </c>
      <c r="R202" s="41">
        <v>0.81005205166073901</v>
      </c>
      <c r="S202" s="41">
        <v>0.67184341318429153</v>
      </c>
      <c r="T202" s="41">
        <v>0.67184341318429153</v>
      </c>
      <c r="U202" s="18">
        <v>0.4928748096727959</v>
      </c>
    </row>
    <row r="203" spans="1:21" x14ac:dyDescent="0.2">
      <c r="A203" s="5" t="s">
        <v>318</v>
      </c>
      <c r="B203" s="5" t="s">
        <v>15</v>
      </c>
      <c r="C203" s="52">
        <v>1</v>
      </c>
      <c r="D203" s="53">
        <v>1</v>
      </c>
      <c r="E203" s="18">
        <v>0.29273874472044087</v>
      </c>
      <c r="F203" s="18">
        <v>0.61119214757571727</v>
      </c>
      <c r="G203" s="41">
        <v>1.1315572561961691</v>
      </c>
      <c r="H203" s="52">
        <v>1</v>
      </c>
      <c r="I203" s="52">
        <v>1</v>
      </c>
      <c r="J203" s="18">
        <v>1.7420656149974507</v>
      </c>
      <c r="K203" s="41">
        <v>0.500338769552647</v>
      </c>
      <c r="L203" s="41">
        <v>3.7343112931644287E-2</v>
      </c>
      <c r="M203" s="41">
        <v>0.44492150469297398</v>
      </c>
      <c r="N203" s="41">
        <v>0.67184341318429153</v>
      </c>
      <c r="O203" s="41">
        <v>0.67184341318429153</v>
      </c>
      <c r="P203" s="41">
        <v>2.5601153276828232</v>
      </c>
      <c r="Q203" s="41">
        <v>0.13727884754427561</v>
      </c>
      <c r="R203" s="41">
        <v>0.81005205166073901</v>
      </c>
      <c r="S203" s="41">
        <v>0.67184341318429153</v>
      </c>
      <c r="T203" s="41">
        <v>0.67184341318429153</v>
      </c>
      <c r="U203" s="18">
        <v>0.4928748096727959</v>
      </c>
    </row>
    <row r="204" spans="1:21" x14ac:dyDescent="0.2">
      <c r="A204" s="5" t="s">
        <v>319</v>
      </c>
      <c r="B204" s="5" t="s">
        <v>16</v>
      </c>
      <c r="C204" s="52">
        <v>1</v>
      </c>
      <c r="D204" s="53">
        <v>1</v>
      </c>
      <c r="E204" s="18">
        <v>0.36780172891740209</v>
      </c>
      <c r="F204" s="18">
        <v>0.61119214757571727</v>
      </c>
      <c r="G204" s="41">
        <v>1.1358092378173434</v>
      </c>
      <c r="H204" s="52">
        <v>1</v>
      </c>
      <c r="I204" s="52">
        <v>1</v>
      </c>
      <c r="J204" s="18">
        <v>1.7420656149974507</v>
      </c>
      <c r="K204" s="41">
        <v>0.50956555482401489</v>
      </c>
      <c r="L204" s="41">
        <v>3.8695941948485378E-2</v>
      </c>
      <c r="M204" s="41">
        <v>0.43361343032050803</v>
      </c>
      <c r="N204" s="41">
        <v>0.68116121448242706</v>
      </c>
      <c r="O204" s="41">
        <v>0.68116121448242706</v>
      </c>
      <c r="P204" s="41">
        <v>2.6185727601267001</v>
      </c>
      <c r="Q204" s="41">
        <v>0.129049972175584</v>
      </c>
      <c r="R204" s="41">
        <v>0.75775167396299392</v>
      </c>
      <c r="S204" s="41">
        <v>0.68116121448242706</v>
      </c>
      <c r="T204" s="41">
        <v>0.68116121448242706</v>
      </c>
      <c r="U204" s="18">
        <v>0.4928748096727959</v>
      </c>
    </row>
    <row r="205" spans="1:21" x14ac:dyDescent="0.2">
      <c r="A205" s="5" t="s">
        <v>320</v>
      </c>
      <c r="B205" s="5" t="s">
        <v>17</v>
      </c>
      <c r="C205" s="52">
        <v>1</v>
      </c>
      <c r="D205" s="53">
        <v>1</v>
      </c>
      <c r="E205" s="18">
        <v>5.4981988170679438E-2</v>
      </c>
      <c r="F205" s="18">
        <v>0.61119214757571727</v>
      </c>
      <c r="G205" s="41">
        <v>1.0656367043504014</v>
      </c>
      <c r="H205" s="52">
        <v>1</v>
      </c>
      <c r="I205" s="52">
        <v>1</v>
      </c>
      <c r="J205" s="18">
        <v>1.7420656149974507</v>
      </c>
      <c r="K205" s="41">
        <v>0.3599549767679105</v>
      </c>
      <c r="L205" s="41">
        <v>1.6839161893792011E-2</v>
      </c>
      <c r="M205" s="41">
        <v>0.61482653497737305</v>
      </c>
      <c r="N205" s="41">
        <v>0.55152140379958015</v>
      </c>
      <c r="O205" s="41">
        <v>0.55152140379958015</v>
      </c>
      <c r="P205" s="41">
        <v>1.6830787635102051</v>
      </c>
      <c r="Q205" s="41">
        <v>0.26668007437692076</v>
      </c>
      <c r="R205" s="41">
        <v>1.5990782066651958</v>
      </c>
      <c r="S205" s="41">
        <v>0.55152140379958015</v>
      </c>
      <c r="T205" s="41">
        <v>0.55152140379958015</v>
      </c>
      <c r="U205" s="18">
        <v>0.4928748096727959</v>
      </c>
    </row>
    <row r="206" spans="1:21" x14ac:dyDescent="0.2">
      <c r="A206" s="5" t="s">
        <v>321</v>
      </c>
      <c r="B206" s="5" t="s">
        <v>12</v>
      </c>
      <c r="C206" s="52">
        <v>1</v>
      </c>
      <c r="D206" s="53">
        <v>1</v>
      </c>
      <c r="E206" s="18">
        <v>0</v>
      </c>
      <c r="F206" s="18">
        <v>1.0179722248067797</v>
      </c>
      <c r="G206" s="41">
        <v>1.75</v>
      </c>
      <c r="H206" s="52">
        <v>1</v>
      </c>
      <c r="I206" s="52">
        <v>1</v>
      </c>
      <c r="J206" s="18">
        <v>0.32679005718246978</v>
      </c>
      <c r="K206" s="41">
        <v>0.91759220100329264</v>
      </c>
      <c r="L206" s="41">
        <v>1</v>
      </c>
      <c r="M206" s="41">
        <v>0.75</v>
      </c>
      <c r="N206" s="41">
        <v>0.75</v>
      </c>
      <c r="O206" s="41">
        <v>1.338755608672396</v>
      </c>
      <c r="P206" s="41">
        <v>0.54222591637209305</v>
      </c>
      <c r="Q206" s="41">
        <v>1</v>
      </c>
      <c r="R206" s="41">
        <v>0.5</v>
      </c>
      <c r="S206" s="41">
        <v>1.338755608672396</v>
      </c>
      <c r="T206" s="41">
        <v>1.338755608672396</v>
      </c>
      <c r="U206" s="18">
        <v>0.59021157782111267</v>
      </c>
    </row>
    <row r="207" spans="1:21" x14ac:dyDescent="0.2">
      <c r="A207" s="5" t="s">
        <v>322</v>
      </c>
      <c r="B207" s="5" t="s">
        <v>13</v>
      </c>
      <c r="C207" s="52">
        <v>1</v>
      </c>
      <c r="D207" s="53">
        <v>1</v>
      </c>
      <c r="E207" s="18">
        <v>6.0316451392024413E-2</v>
      </c>
      <c r="F207" s="18">
        <v>1.0179722248067797</v>
      </c>
      <c r="G207" s="41">
        <v>2.2236583495040607</v>
      </c>
      <c r="H207" s="52">
        <v>1</v>
      </c>
      <c r="I207" s="52">
        <v>1</v>
      </c>
      <c r="J207" s="18">
        <v>0.32679005718246978</v>
      </c>
      <c r="K207" s="41">
        <v>1.018787875312301</v>
      </c>
      <c r="L207" s="41">
        <v>0.23209082193394009</v>
      </c>
      <c r="M207" s="41">
        <v>0.55212126772390246</v>
      </c>
      <c r="N207" s="41">
        <v>0.63297783922296935</v>
      </c>
      <c r="O207" s="41">
        <v>1.1298701765667791</v>
      </c>
      <c r="P207" s="41">
        <v>0.52265775577079487</v>
      </c>
      <c r="Q207" s="41">
        <v>0.61852126705210686</v>
      </c>
      <c r="R207" s="41">
        <v>0.53086703742477992</v>
      </c>
      <c r="S207" s="41">
        <v>1.1298701765667791</v>
      </c>
      <c r="T207" s="41">
        <v>1.1298701765667791</v>
      </c>
      <c r="U207" s="18">
        <v>0.59021157782111267</v>
      </c>
    </row>
    <row r="208" spans="1:21" x14ac:dyDescent="0.2">
      <c r="A208" s="5" t="s">
        <v>323</v>
      </c>
      <c r="B208" s="5" t="s">
        <v>14</v>
      </c>
      <c r="C208" s="52">
        <v>1</v>
      </c>
      <c r="D208" s="53">
        <v>1</v>
      </c>
      <c r="E208" s="18">
        <v>1.7253635375638513E-2</v>
      </c>
      <c r="F208" s="18">
        <v>1.0179722248067797</v>
      </c>
      <c r="G208" s="41">
        <v>1.6182254227826895</v>
      </c>
      <c r="H208" s="52">
        <v>1</v>
      </c>
      <c r="I208" s="52">
        <v>1</v>
      </c>
      <c r="J208" s="18">
        <v>0.32679005718246978</v>
      </c>
      <c r="K208" s="41">
        <v>0.98896919453150023</v>
      </c>
      <c r="L208" s="41">
        <v>0.24923791823518041</v>
      </c>
      <c r="M208" s="41">
        <v>0.81996307503451071</v>
      </c>
      <c r="N208" s="41">
        <v>0.66178888976911221</v>
      </c>
      <c r="O208" s="41">
        <v>1.1812981172473027</v>
      </c>
      <c r="P208" s="41">
        <v>0.43412762740744515</v>
      </c>
      <c r="Q208" s="41">
        <v>1.5535664603722394</v>
      </c>
      <c r="R208" s="41">
        <v>0.44481996941511281</v>
      </c>
      <c r="S208" s="41">
        <v>1.1812981172473027</v>
      </c>
      <c r="T208" s="41">
        <v>1.1812981172473027</v>
      </c>
      <c r="U208" s="18">
        <v>0.59021157782111267</v>
      </c>
    </row>
    <row r="209" spans="1:21" x14ac:dyDescent="0.2">
      <c r="A209" s="5" t="s">
        <v>324</v>
      </c>
      <c r="B209" s="5" t="s">
        <v>15</v>
      </c>
      <c r="C209" s="52">
        <v>1</v>
      </c>
      <c r="D209" s="53">
        <v>1</v>
      </c>
      <c r="E209" s="18">
        <v>0</v>
      </c>
      <c r="F209" s="18">
        <v>1.0179722248067797</v>
      </c>
      <c r="G209" s="41">
        <v>1.1128442418938866</v>
      </c>
      <c r="H209" s="52">
        <v>1</v>
      </c>
      <c r="I209" s="52">
        <v>1</v>
      </c>
      <c r="J209" s="18">
        <v>0.32679005718246978</v>
      </c>
      <c r="K209" s="41">
        <v>0.83906649406928002</v>
      </c>
      <c r="L209" s="41">
        <v>3.902786333430627</v>
      </c>
      <c r="M209" s="41">
        <v>0.86344104537952371</v>
      </c>
      <c r="N209" s="41">
        <v>0.72712607078089608</v>
      </c>
      <c r="O209" s="41">
        <v>1.297925473959795</v>
      </c>
      <c r="P209" s="41">
        <v>0.60809659213511058</v>
      </c>
      <c r="Q209" s="41">
        <v>1.0932125362569698</v>
      </c>
      <c r="R209" s="41">
        <v>0.48656602396569038</v>
      </c>
      <c r="S209" s="41">
        <v>1.297925473959795</v>
      </c>
      <c r="T209" s="41">
        <v>1.297925473959795</v>
      </c>
      <c r="U209" s="18">
        <v>0.59021157782111267</v>
      </c>
    </row>
    <row r="210" spans="1:21" x14ac:dyDescent="0.2">
      <c r="A210" s="5" t="s">
        <v>325</v>
      </c>
      <c r="B210" s="5" t="s">
        <v>16</v>
      </c>
      <c r="C210" s="52">
        <v>1</v>
      </c>
      <c r="D210" s="53">
        <v>1</v>
      </c>
      <c r="E210" s="18">
        <v>6.0316451392024413E-2</v>
      </c>
      <c r="F210" s="18">
        <v>1.0179722248067797</v>
      </c>
      <c r="G210" s="41">
        <v>0.97191374586824764</v>
      </c>
      <c r="H210" s="52">
        <v>1</v>
      </c>
      <c r="I210" s="52">
        <v>1</v>
      </c>
      <c r="J210" s="18">
        <v>0.32679005718246978</v>
      </c>
      <c r="K210" s="41">
        <v>0.85069564043342893</v>
      </c>
      <c r="L210" s="41">
        <v>2.715907084351747</v>
      </c>
      <c r="M210" s="41">
        <v>0.91828591997328846</v>
      </c>
      <c r="N210" s="41">
        <v>0.85465922712407993</v>
      </c>
      <c r="O210" s="41">
        <v>1.5255731117546363</v>
      </c>
      <c r="P210" s="41">
        <v>0.61046374213308852</v>
      </c>
      <c r="Q210" s="41">
        <v>1.0138123427262171</v>
      </c>
      <c r="R210" s="41">
        <v>0.4583195587865832</v>
      </c>
      <c r="S210" s="41">
        <v>1.5255731117546363</v>
      </c>
      <c r="T210" s="41">
        <v>1.5255731117546363</v>
      </c>
      <c r="U210" s="18">
        <v>0.59021157782111267</v>
      </c>
    </row>
    <row r="211" spans="1:21" x14ac:dyDescent="0.2">
      <c r="A211" s="5" t="s">
        <v>326</v>
      </c>
      <c r="B211" s="5" t="s">
        <v>17</v>
      </c>
      <c r="C211" s="52">
        <v>1</v>
      </c>
      <c r="D211" s="53">
        <v>1</v>
      </c>
      <c r="E211" s="18">
        <v>1.7253635375638513E-2</v>
      </c>
      <c r="F211" s="18">
        <v>1.0179722248067797</v>
      </c>
      <c r="G211" s="41">
        <v>1.6638531531687237</v>
      </c>
      <c r="H211" s="52">
        <v>1</v>
      </c>
      <c r="I211" s="52">
        <v>1</v>
      </c>
      <c r="J211" s="18">
        <v>0.32679005718246978</v>
      </c>
      <c r="K211" s="41">
        <v>0.84467550174299244</v>
      </c>
      <c r="L211" s="41">
        <v>1.0914887472303731</v>
      </c>
      <c r="M211" s="41">
        <v>0.82963747242125785</v>
      </c>
      <c r="N211" s="41">
        <v>0.84028256555256475</v>
      </c>
      <c r="O211" s="41">
        <v>1.4999106633375019</v>
      </c>
      <c r="P211" s="41">
        <v>0.56440915060137242</v>
      </c>
      <c r="Q211" s="41">
        <v>1.1567575096595313</v>
      </c>
      <c r="R211" s="41">
        <v>0.5025385439893677</v>
      </c>
      <c r="S211" s="41">
        <v>1.4999106633375019</v>
      </c>
      <c r="T211" s="41">
        <v>1.4999106633375019</v>
      </c>
      <c r="U211" s="18">
        <v>0.59021157782111267</v>
      </c>
    </row>
    <row r="212" spans="1:21" x14ac:dyDescent="0.2">
      <c r="A212" s="5" t="s">
        <v>327</v>
      </c>
      <c r="B212" s="5" t="s">
        <v>12</v>
      </c>
      <c r="C212" s="52">
        <v>1</v>
      </c>
      <c r="D212" s="53">
        <v>1</v>
      </c>
      <c r="E212" s="18">
        <v>0</v>
      </c>
      <c r="F212" s="18">
        <v>0.59382483824444321</v>
      </c>
      <c r="G212" s="41">
        <v>0.74008855189121037</v>
      </c>
      <c r="H212" s="52">
        <v>1</v>
      </c>
      <c r="I212" s="52">
        <v>1</v>
      </c>
      <c r="J212" s="18">
        <v>0.32490693968109546</v>
      </c>
      <c r="K212" s="41">
        <v>0.500338769552647</v>
      </c>
      <c r="L212" s="41">
        <v>0.92532992811564951</v>
      </c>
      <c r="M212" s="41">
        <v>1.8282923386887053</v>
      </c>
      <c r="N212" s="41">
        <v>1.3571076737979502</v>
      </c>
      <c r="O212" s="41">
        <v>1.3571076737979502</v>
      </c>
      <c r="P212" s="41">
        <v>0.7048740861155921</v>
      </c>
      <c r="Q212" s="41">
        <v>1.191594684903647</v>
      </c>
      <c r="R212" s="41">
        <v>0.95732709025832652</v>
      </c>
      <c r="S212" s="41">
        <v>1.3571076737979502</v>
      </c>
      <c r="T212" s="41">
        <v>1.3571076737979502</v>
      </c>
      <c r="U212" s="18">
        <v>1.2509052568791499</v>
      </c>
    </row>
    <row r="213" spans="1:21" x14ac:dyDescent="0.2">
      <c r="A213" s="5" t="s">
        <v>328</v>
      </c>
      <c r="B213" s="5" t="s">
        <v>13</v>
      </c>
      <c r="C213" s="52">
        <v>1</v>
      </c>
      <c r="D213" s="53">
        <v>1</v>
      </c>
      <c r="E213" s="18">
        <v>0</v>
      </c>
      <c r="F213" s="18">
        <v>0.59382483824444321</v>
      </c>
      <c r="G213" s="41">
        <v>0.74008855189121037</v>
      </c>
      <c r="H213" s="52">
        <v>1</v>
      </c>
      <c r="I213" s="52">
        <v>1</v>
      </c>
      <c r="J213" s="18">
        <v>0.32490693968109546</v>
      </c>
      <c r="K213" s="41">
        <v>0.500338769552647</v>
      </c>
      <c r="L213" s="41">
        <v>0.92532992811564951</v>
      </c>
      <c r="M213" s="41">
        <v>1.8282923386887053</v>
      </c>
      <c r="N213" s="41">
        <v>1.3571076737979502</v>
      </c>
      <c r="O213" s="41">
        <v>1.3571076737979502</v>
      </c>
      <c r="P213" s="41">
        <v>0.7048740861155921</v>
      </c>
      <c r="Q213" s="41">
        <v>1.191594684903647</v>
      </c>
      <c r="R213" s="41">
        <v>0.95732709025832652</v>
      </c>
      <c r="S213" s="41">
        <v>1.3571076737979502</v>
      </c>
      <c r="T213" s="41">
        <v>1.3571076737979502</v>
      </c>
      <c r="U213" s="18">
        <v>1.2509052568791499</v>
      </c>
    </row>
    <row r="214" spans="1:21" x14ac:dyDescent="0.2">
      <c r="A214" s="5" t="s">
        <v>329</v>
      </c>
      <c r="B214" s="5" t="s">
        <v>14</v>
      </c>
      <c r="C214" s="52">
        <v>1</v>
      </c>
      <c r="D214" s="53">
        <v>1</v>
      </c>
      <c r="E214" s="18">
        <v>7.3503025926831616E-3</v>
      </c>
      <c r="F214" s="18">
        <v>0.59382483824444321</v>
      </c>
      <c r="G214" s="41">
        <v>0.74008855189121037</v>
      </c>
      <c r="H214" s="52">
        <v>1</v>
      </c>
      <c r="I214" s="52">
        <v>1</v>
      </c>
      <c r="J214" s="18">
        <v>0.32490693968109546</v>
      </c>
      <c r="K214" s="41">
        <v>0.500338769552647</v>
      </c>
      <c r="L214" s="41">
        <v>0.92532992811564951</v>
      </c>
      <c r="M214" s="41">
        <v>1.8282923386887053</v>
      </c>
      <c r="N214" s="41">
        <v>1.3571076737979502</v>
      </c>
      <c r="O214" s="41">
        <v>1.3571076737979502</v>
      </c>
      <c r="P214" s="41">
        <v>0.7048740861155921</v>
      </c>
      <c r="Q214" s="41">
        <v>1.191594684903647</v>
      </c>
      <c r="R214" s="41">
        <v>0.95732709025832652</v>
      </c>
      <c r="S214" s="41">
        <v>1.3571076737979502</v>
      </c>
      <c r="T214" s="41">
        <v>1.3571076737979502</v>
      </c>
      <c r="U214" s="18">
        <v>1.2509052568791499</v>
      </c>
    </row>
    <row r="215" spans="1:21" x14ac:dyDescent="0.2">
      <c r="A215" s="5" t="s">
        <v>330</v>
      </c>
      <c r="B215" s="5" t="s">
        <v>15</v>
      </c>
      <c r="C215" s="52">
        <v>1</v>
      </c>
      <c r="D215" s="53">
        <v>1</v>
      </c>
      <c r="E215" s="18">
        <v>0</v>
      </c>
      <c r="F215" s="18">
        <v>0.59382483824444321</v>
      </c>
      <c r="G215" s="41">
        <v>0.74008855189121037</v>
      </c>
      <c r="H215" s="52">
        <v>1</v>
      </c>
      <c r="I215" s="52">
        <v>1</v>
      </c>
      <c r="J215" s="18">
        <v>0.32490693968109546</v>
      </c>
      <c r="K215" s="41">
        <v>0.500338769552647</v>
      </c>
      <c r="L215" s="41">
        <v>0.92532992811564951</v>
      </c>
      <c r="M215" s="41">
        <v>1.8282923386887053</v>
      </c>
      <c r="N215" s="41">
        <v>1.3571076737979502</v>
      </c>
      <c r="O215" s="41">
        <v>1.3571076737979502</v>
      </c>
      <c r="P215" s="41">
        <v>0.7048740861155921</v>
      </c>
      <c r="Q215" s="41">
        <v>1.191594684903647</v>
      </c>
      <c r="R215" s="41">
        <v>0.95732709025832652</v>
      </c>
      <c r="S215" s="41">
        <v>1.3571076737979502</v>
      </c>
      <c r="T215" s="41">
        <v>1.3571076737979502</v>
      </c>
      <c r="U215" s="18">
        <v>1.2509052568791499</v>
      </c>
    </row>
    <row r="216" spans="1:21" x14ac:dyDescent="0.2">
      <c r="A216" s="5" t="s">
        <v>331</v>
      </c>
      <c r="B216" s="5" t="s">
        <v>16</v>
      </c>
      <c r="C216" s="52">
        <v>1</v>
      </c>
      <c r="D216" s="53">
        <v>1</v>
      </c>
      <c r="E216" s="18">
        <v>0</v>
      </c>
      <c r="F216" s="18">
        <v>0.59382483824444321</v>
      </c>
      <c r="G216" s="41">
        <v>0.74052601063007673</v>
      </c>
      <c r="H216" s="52">
        <v>1</v>
      </c>
      <c r="I216" s="52">
        <v>1</v>
      </c>
      <c r="J216" s="18">
        <v>0.32490693968109546</v>
      </c>
      <c r="K216" s="41">
        <v>0.51799471956616838</v>
      </c>
      <c r="L216" s="41">
        <v>0.8655422524421581</v>
      </c>
      <c r="M216" s="41">
        <v>2.0238560183718239</v>
      </c>
      <c r="N216" s="41">
        <v>1.2930155492733253</v>
      </c>
      <c r="O216" s="41">
        <v>1.2930155492733253</v>
      </c>
      <c r="P216" s="41">
        <v>0.90174782241297724</v>
      </c>
      <c r="Q216" s="41">
        <v>0.89821053911254045</v>
      </c>
      <c r="R216" s="41">
        <v>0.86060123801139909</v>
      </c>
      <c r="S216" s="41">
        <v>1.2930155492733253</v>
      </c>
      <c r="T216" s="41">
        <v>1.2930155492733253</v>
      </c>
      <c r="U216" s="18">
        <v>1.2509052568791499</v>
      </c>
    </row>
    <row r="217" spans="1:21" x14ac:dyDescent="0.2">
      <c r="A217" s="5" t="s">
        <v>332</v>
      </c>
      <c r="B217" s="5" t="s">
        <v>17</v>
      </c>
      <c r="C217" s="52">
        <v>1</v>
      </c>
      <c r="D217" s="53">
        <v>1</v>
      </c>
      <c r="E217" s="18">
        <v>7.3503025926831616E-3</v>
      </c>
      <c r="F217" s="18">
        <v>0.59382483824444321</v>
      </c>
      <c r="G217" s="41">
        <v>0.73959705484697069</v>
      </c>
      <c r="H217" s="52">
        <v>1</v>
      </c>
      <c r="I217" s="52">
        <v>1</v>
      </c>
      <c r="J217" s="18">
        <v>0.32490693968109546</v>
      </c>
      <c r="K217" s="41">
        <v>0.48543760919354967</v>
      </c>
      <c r="L217" s="41">
        <v>0.97513486278062556</v>
      </c>
      <c r="M217" s="41">
        <v>1.6633921653209289</v>
      </c>
      <c r="N217" s="41">
        <v>1.4114151809748023</v>
      </c>
      <c r="O217" s="41">
        <v>1.4114151809748023</v>
      </c>
      <c r="P217" s="41">
        <v>0.53985650091611392</v>
      </c>
      <c r="Q217" s="41">
        <v>1.437313063263931</v>
      </c>
      <c r="R217" s="41">
        <v>1.0393371870576857</v>
      </c>
      <c r="S217" s="41">
        <v>1.4114151809748023</v>
      </c>
      <c r="T217" s="41">
        <v>1.4114151809748023</v>
      </c>
      <c r="U217" s="18">
        <v>1.2509052568791499</v>
      </c>
    </row>
    <row r="218" spans="1:21" x14ac:dyDescent="0.2">
      <c r="A218" s="5" t="s">
        <v>333</v>
      </c>
      <c r="B218" s="5" t="s">
        <v>12</v>
      </c>
      <c r="C218" s="52">
        <v>1</v>
      </c>
      <c r="D218" s="53">
        <v>1</v>
      </c>
      <c r="E218" s="18">
        <v>0</v>
      </c>
      <c r="F218" s="18">
        <v>0.51443087441059265</v>
      </c>
      <c r="G218" s="41">
        <v>0.34194449761998846</v>
      </c>
      <c r="H218" s="52">
        <v>1</v>
      </c>
      <c r="I218" s="52">
        <v>1</v>
      </c>
      <c r="J218" s="18">
        <v>2.6852259679339037</v>
      </c>
      <c r="K218" s="41">
        <v>0.64236083381856435</v>
      </c>
      <c r="L218" s="41">
        <v>10.125</v>
      </c>
      <c r="M218" s="41">
        <v>2.7469146362219847</v>
      </c>
      <c r="N218" s="41">
        <v>0.57357157772298428</v>
      </c>
      <c r="O218" s="41">
        <v>0.57357157772298428</v>
      </c>
      <c r="P218" s="41">
        <v>0.43884218614386927</v>
      </c>
      <c r="Q218" s="41">
        <v>0.74877107491619799</v>
      </c>
      <c r="R218" s="41">
        <v>0.56462882951317783</v>
      </c>
      <c r="S218" s="41">
        <v>0.57357157772298428</v>
      </c>
      <c r="T218" s="41">
        <v>0.57357157772298428</v>
      </c>
      <c r="U218" s="18">
        <v>2.4558898724998568</v>
      </c>
    </row>
    <row r="219" spans="1:21" x14ac:dyDescent="0.2">
      <c r="A219" s="5" t="s">
        <v>334</v>
      </c>
      <c r="B219" s="5" t="s">
        <v>13</v>
      </c>
      <c r="C219" s="52">
        <v>1</v>
      </c>
      <c r="D219" s="53">
        <v>1</v>
      </c>
      <c r="E219" s="18">
        <v>0.13898004302684838</v>
      </c>
      <c r="F219" s="18">
        <v>0.51443087441059265</v>
      </c>
      <c r="G219" s="41">
        <v>0.34194449761998846</v>
      </c>
      <c r="H219" s="52">
        <v>1</v>
      </c>
      <c r="I219" s="52">
        <v>1</v>
      </c>
      <c r="J219" s="18">
        <v>2.6852259679339037</v>
      </c>
      <c r="K219" s="41">
        <v>0.64236083381856435</v>
      </c>
      <c r="L219" s="41">
        <v>10.125</v>
      </c>
      <c r="M219" s="41">
        <v>2.7469146362219847</v>
      </c>
      <c r="N219" s="41">
        <v>0.57357157772298428</v>
      </c>
      <c r="O219" s="41">
        <v>0.57357157772298428</v>
      </c>
      <c r="P219" s="41">
        <v>0.43884218614386927</v>
      </c>
      <c r="Q219" s="41">
        <v>0.74877107491619799</v>
      </c>
      <c r="R219" s="41">
        <v>0.56462882951317783</v>
      </c>
      <c r="S219" s="41">
        <v>0.57357157772298428</v>
      </c>
      <c r="T219" s="41">
        <v>0.57357157772298428</v>
      </c>
      <c r="U219" s="18">
        <v>2.4558898724998568</v>
      </c>
    </row>
    <row r="220" spans="1:21" x14ac:dyDescent="0.2">
      <c r="A220" s="5" t="s">
        <v>335</v>
      </c>
      <c r="B220" s="5" t="s">
        <v>14</v>
      </c>
      <c r="C220" s="52">
        <v>1</v>
      </c>
      <c r="D220" s="53">
        <v>1</v>
      </c>
      <c r="E220" s="18">
        <v>1.7624378695203165E-2</v>
      </c>
      <c r="F220" s="18">
        <v>0.51443087441059265</v>
      </c>
      <c r="G220" s="41">
        <v>0.34194449761998846</v>
      </c>
      <c r="H220" s="52">
        <v>1</v>
      </c>
      <c r="I220" s="52">
        <v>1</v>
      </c>
      <c r="J220" s="18">
        <v>2.6852259679339037</v>
      </c>
      <c r="K220" s="41">
        <v>0.64236083381856435</v>
      </c>
      <c r="L220" s="41">
        <v>10.125</v>
      </c>
      <c r="M220" s="41">
        <v>2.7469146362219847</v>
      </c>
      <c r="N220" s="41">
        <v>0.57357157772298428</v>
      </c>
      <c r="O220" s="41">
        <v>0.57357157772298428</v>
      </c>
      <c r="P220" s="41">
        <v>0.43884218614386927</v>
      </c>
      <c r="Q220" s="41">
        <v>0.74877107491619799</v>
      </c>
      <c r="R220" s="41">
        <v>0.56462882951317783</v>
      </c>
      <c r="S220" s="41">
        <v>0.57357157772298428</v>
      </c>
      <c r="T220" s="41">
        <v>0.57357157772298428</v>
      </c>
      <c r="U220" s="18">
        <v>2.4558898724998568</v>
      </c>
    </row>
    <row r="221" spans="1:21" x14ac:dyDescent="0.2">
      <c r="A221" s="5" t="s">
        <v>336</v>
      </c>
      <c r="B221" s="5" t="s">
        <v>15</v>
      </c>
      <c r="C221" s="52">
        <v>1</v>
      </c>
      <c r="D221" s="53">
        <v>1</v>
      </c>
      <c r="E221" s="18">
        <v>0</v>
      </c>
      <c r="F221" s="18">
        <v>0.51443087441059265</v>
      </c>
      <c r="G221" s="41">
        <v>0.46911686213084292</v>
      </c>
      <c r="H221" s="52">
        <v>1</v>
      </c>
      <c r="I221" s="52">
        <v>1</v>
      </c>
      <c r="J221" s="18">
        <v>2.6852259679339037</v>
      </c>
      <c r="K221" s="41">
        <v>0.7807617105666359</v>
      </c>
      <c r="L221" s="41">
        <v>10.125</v>
      </c>
      <c r="M221" s="41">
        <v>2.5466932175800365</v>
      </c>
      <c r="N221" s="41">
        <v>0.57722729445953735</v>
      </c>
      <c r="O221" s="41">
        <v>0.57722729445953735</v>
      </c>
      <c r="P221" s="41">
        <v>0.83447353233020471</v>
      </c>
      <c r="Q221" s="41">
        <v>0.62728787602697389</v>
      </c>
      <c r="R221" s="41">
        <v>0.56024495787553252</v>
      </c>
      <c r="S221" s="41">
        <v>0.57722729445953735</v>
      </c>
      <c r="T221" s="41">
        <v>0.57722729445953735</v>
      </c>
      <c r="U221" s="18">
        <v>2.4558898724998568</v>
      </c>
    </row>
    <row r="222" spans="1:21" x14ac:dyDescent="0.2">
      <c r="A222" s="5" t="s">
        <v>337</v>
      </c>
      <c r="B222" s="5" t="s">
        <v>16</v>
      </c>
      <c r="C222" s="52">
        <v>1</v>
      </c>
      <c r="D222" s="53">
        <v>1</v>
      </c>
      <c r="E222" s="18">
        <v>0.13898004302684838</v>
      </c>
      <c r="F222" s="18">
        <v>0.51443087441059265</v>
      </c>
      <c r="G222" s="41">
        <v>0.27416459235608021</v>
      </c>
      <c r="H222" s="52">
        <v>1</v>
      </c>
      <c r="I222" s="52">
        <v>1</v>
      </c>
      <c r="J222" s="18">
        <v>2.6852259679339037</v>
      </c>
      <c r="K222" s="41">
        <v>0.55313919236021947</v>
      </c>
      <c r="L222" s="41">
        <v>10.125</v>
      </c>
      <c r="M222" s="41">
        <v>3.0847466708062909</v>
      </c>
      <c r="N222" s="41">
        <v>0.58894867901782444</v>
      </c>
      <c r="O222" s="41">
        <v>0.58894867901782444</v>
      </c>
      <c r="P222" s="41">
        <v>0.31168017004047627</v>
      </c>
      <c r="Q222" s="41">
        <v>0.61850806185713658</v>
      </c>
      <c r="R222" s="41">
        <v>0.36223175588608997</v>
      </c>
      <c r="S222" s="41">
        <v>0.58894867901782444</v>
      </c>
      <c r="T222" s="41">
        <v>0.58894867901782444</v>
      </c>
      <c r="U222" s="18">
        <v>2.4558898724998568</v>
      </c>
    </row>
    <row r="223" spans="1:21" x14ac:dyDescent="0.2">
      <c r="A223" s="5" t="s">
        <v>338</v>
      </c>
      <c r="B223" s="5" t="s">
        <v>17</v>
      </c>
      <c r="C223" s="52">
        <v>1</v>
      </c>
      <c r="D223" s="53">
        <v>1</v>
      </c>
      <c r="E223" s="18">
        <v>1.7624378695203165E-2</v>
      </c>
      <c r="F223" s="18">
        <v>0.51443087441059265</v>
      </c>
      <c r="G223" s="41">
        <v>0.39433984236858144</v>
      </c>
      <c r="H223" s="52">
        <v>1</v>
      </c>
      <c r="I223" s="52">
        <v>1</v>
      </c>
      <c r="J223" s="18">
        <v>2.6852259679339037</v>
      </c>
      <c r="K223" s="41">
        <v>0.71828585988655202</v>
      </c>
      <c r="L223" s="41">
        <v>10.125</v>
      </c>
      <c r="M223" s="41">
        <v>2.3808711812801486</v>
      </c>
      <c r="N223" s="41">
        <v>0.55376965839652792</v>
      </c>
      <c r="O223" s="41">
        <v>0.55376965839652792</v>
      </c>
      <c r="P223" s="41">
        <v>0.49880485945684611</v>
      </c>
      <c r="Q223" s="41">
        <v>0.93839269450619944</v>
      </c>
      <c r="R223" s="41">
        <v>0.81439265901140667</v>
      </c>
      <c r="S223" s="41">
        <v>0.55376965839652792</v>
      </c>
      <c r="T223" s="41">
        <v>0.55376965839652792</v>
      </c>
      <c r="U223" s="18">
        <v>2.4558898724998568</v>
      </c>
    </row>
    <row r="224" spans="1:21" x14ac:dyDescent="0.2">
      <c r="A224" s="5" t="s">
        <v>339</v>
      </c>
      <c r="B224" s="5" t="s">
        <v>12</v>
      </c>
      <c r="C224" s="52">
        <v>1</v>
      </c>
      <c r="D224" s="53">
        <v>1</v>
      </c>
      <c r="E224" s="18">
        <v>0.32615329213154653</v>
      </c>
      <c r="F224" s="18">
        <v>1.0325238026997763</v>
      </c>
      <c r="G224" s="41">
        <v>1.0113840519681938</v>
      </c>
      <c r="H224" s="52">
        <v>1</v>
      </c>
      <c r="I224" s="52">
        <v>1</v>
      </c>
      <c r="J224" s="18">
        <v>0.83592168898862795</v>
      </c>
      <c r="K224" s="41">
        <v>0.500338769552647</v>
      </c>
      <c r="L224" s="41">
        <v>4.9672166923397751E-2</v>
      </c>
      <c r="M224" s="41">
        <v>0.98580028078643711</v>
      </c>
      <c r="N224" s="41">
        <v>0.89187378431112752</v>
      </c>
      <c r="O224" s="41">
        <v>0.89187378431112752</v>
      </c>
      <c r="P224" s="41">
        <v>1.5757341996260228</v>
      </c>
      <c r="Q224" s="41">
        <v>0.11617571802020042</v>
      </c>
      <c r="R224" s="41">
        <v>1.1000000000000001</v>
      </c>
      <c r="S224" s="41">
        <v>0.89187378431112752</v>
      </c>
      <c r="T224" s="41">
        <v>0.89187378431112752</v>
      </c>
      <c r="U224" s="18">
        <v>1.1604142062861054</v>
      </c>
    </row>
    <row r="225" spans="1:21" x14ac:dyDescent="0.2">
      <c r="A225" s="5" t="s">
        <v>340</v>
      </c>
      <c r="B225" s="5" t="s">
        <v>13</v>
      </c>
      <c r="C225" s="52">
        <v>1</v>
      </c>
      <c r="D225" s="53">
        <v>1</v>
      </c>
      <c r="E225" s="18">
        <v>0.17942203599330053</v>
      </c>
      <c r="F225" s="18">
        <v>1.0325238026997763</v>
      </c>
      <c r="G225" s="41">
        <v>1.0113840519681938</v>
      </c>
      <c r="H225" s="52">
        <v>1</v>
      </c>
      <c r="I225" s="52">
        <v>1</v>
      </c>
      <c r="J225" s="18">
        <v>0.83592168898862795</v>
      </c>
      <c r="K225" s="41">
        <v>0.500338769552647</v>
      </c>
      <c r="L225" s="41">
        <v>4.9672166923397751E-2</v>
      </c>
      <c r="M225" s="41">
        <v>0.98580028078643711</v>
      </c>
      <c r="N225" s="41">
        <v>0.89187378431112752</v>
      </c>
      <c r="O225" s="41">
        <v>0.89187378431112752</v>
      </c>
      <c r="P225" s="41">
        <v>1.5757341996260228</v>
      </c>
      <c r="Q225" s="41">
        <v>0.11617571802020042</v>
      </c>
      <c r="R225" s="41">
        <v>1.1000000000000001</v>
      </c>
      <c r="S225" s="41">
        <v>0.89187378431112752</v>
      </c>
      <c r="T225" s="41">
        <v>0.89187378431112752</v>
      </c>
      <c r="U225" s="18">
        <v>1.1604142062861054</v>
      </c>
    </row>
    <row r="226" spans="1:21" x14ac:dyDescent="0.2">
      <c r="A226" s="5" t="s">
        <v>341</v>
      </c>
      <c r="B226" s="5" t="s">
        <v>14</v>
      </c>
      <c r="C226" s="52">
        <v>1</v>
      </c>
      <c r="D226" s="53">
        <v>1</v>
      </c>
      <c r="E226" s="18">
        <v>8.9655852785288662E-2</v>
      </c>
      <c r="F226" s="18">
        <v>1.0325238026997763</v>
      </c>
      <c r="G226" s="41">
        <v>1.0113840519681938</v>
      </c>
      <c r="H226" s="52">
        <v>1</v>
      </c>
      <c r="I226" s="52">
        <v>1</v>
      </c>
      <c r="J226" s="18">
        <v>0.83592168898862795</v>
      </c>
      <c r="K226" s="41">
        <v>0.500338769552647</v>
      </c>
      <c r="L226" s="41">
        <v>4.9672166923397751E-2</v>
      </c>
      <c r="M226" s="41">
        <v>0.98580028078643711</v>
      </c>
      <c r="N226" s="41">
        <v>0.89187378431112752</v>
      </c>
      <c r="O226" s="41">
        <v>0.89187378431112752</v>
      </c>
      <c r="P226" s="41">
        <v>1.5757341996260228</v>
      </c>
      <c r="Q226" s="41">
        <v>0.11617571802020042</v>
      </c>
      <c r="R226" s="41">
        <v>1.1000000000000001</v>
      </c>
      <c r="S226" s="41">
        <v>0.89187378431112752</v>
      </c>
      <c r="T226" s="41">
        <v>0.89187378431112752</v>
      </c>
      <c r="U226" s="18">
        <v>1.1604142062861054</v>
      </c>
    </row>
    <row r="227" spans="1:21" x14ac:dyDescent="0.2">
      <c r="A227" s="5" t="s">
        <v>342</v>
      </c>
      <c r="B227" s="5" t="s">
        <v>15</v>
      </c>
      <c r="C227" s="52">
        <v>1</v>
      </c>
      <c r="D227" s="53">
        <v>1</v>
      </c>
      <c r="E227" s="18">
        <v>0.32615329213154653</v>
      </c>
      <c r="F227" s="18">
        <v>1.0325238026997763</v>
      </c>
      <c r="G227" s="41">
        <v>1.0113840519681938</v>
      </c>
      <c r="H227" s="52">
        <v>1</v>
      </c>
      <c r="I227" s="52">
        <v>1</v>
      </c>
      <c r="J227" s="18">
        <v>0.83592168898862795</v>
      </c>
      <c r="K227" s="41">
        <v>0.500338769552647</v>
      </c>
      <c r="L227" s="41">
        <v>4.9672166923397751E-2</v>
      </c>
      <c r="M227" s="41">
        <v>0.98580028078643711</v>
      </c>
      <c r="N227" s="41">
        <v>0.89187378431112752</v>
      </c>
      <c r="O227" s="41">
        <v>0.89187378431112752</v>
      </c>
      <c r="P227" s="41">
        <v>1.5757341996260228</v>
      </c>
      <c r="Q227" s="41">
        <v>0.11617571802020042</v>
      </c>
      <c r="R227" s="41">
        <v>1.1000000000000001</v>
      </c>
      <c r="S227" s="41">
        <v>0.89187378431112752</v>
      </c>
      <c r="T227" s="41">
        <v>0.89187378431112752</v>
      </c>
      <c r="U227" s="18">
        <v>1.1604142062861054</v>
      </c>
    </row>
    <row r="228" spans="1:21" x14ac:dyDescent="0.2">
      <c r="A228" s="5" t="s">
        <v>343</v>
      </c>
      <c r="B228" s="5" t="s">
        <v>16</v>
      </c>
      <c r="C228" s="52">
        <v>1</v>
      </c>
      <c r="D228" s="53">
        <v>1</v>
      </c>
      <c r="E228" s="18">
        <v>0.17942203599330053</v>
      </c>
      <c r="F228" s="18">
        <v>1.0325238026997763</v>
      </c>
      <c r="G228" s="41">
        <v>0.99280679819022932</v>
      </c>
      <c r="H228" s="52">
        <v>1</v>
      </c>
      <c r="I228" s="52">
        <v>1</v>
      </c>
      <c r="J228" s="18">
        <v>0.83592168898862795</v>
      </c>
      <c r="K228" s="41">
        <v>0.49358882047390207</v>
      </c>
      <c r="L228" s="41">
        <v>8.5781726174964365E-2</v>
      </c>
      <c r="M228" s="41">
        <v>1.0682050143208914</v>
      </c>
      <c r="N228" s="41">
        <v>0.79544439188874438</v>
      </c>
      <c r="O228" s="41">
        <v>0.79544439188874438</v>
      </c>
      <c r="P228" s="41">
        <v>1.6079886379608685</v>
      </c>
      <c r="Q228" s="41">
        <v>0.12464581292470107</v>
      </c>
      <c r="R228" s="41">
        <v>1.0807816074890284</v>
      </c>
      <c r="S228" s="41">
        <v>0.79544439188874438</v>
      </c>
      <c r="T228" s="41">
        <v>0.79544439188874438</v>
      </c>
      <c r="U228" s="18">
        <v>1.1604142062861054</v>
      </c>
    </row>
    <row r="229" spans="1:21" x14ac:dyDescent="0.2">
      <c r="A229" s="5" t="s">
        <v>344</v>
      </c>
      <c r="B229" s="5" t="s">
        <v>17</v>
      </c>
      <c r="C229" s="52">
        <v>1</v>
      </c>
      <c r="D229" s="53">
        <v>1</v>
      </c>
      <c r="E229" s="18">
        <v>8.9655852785288662E-2</v>
      </c>
      <c r="F229" s="18">
        <v>1.0325238026997763</v>
      </c>
      <c r="G229" s="41">
        <v>1.032190082293146</v>
      </c>
      <c r="H229" s="52">
        <v>1</v>
      </c>
      <c r="I229" s="52">
        <v>1</v>
      </c>
      <c r="J229" s="18">
        <v>0.83592168898862795</v>
      </c>
      <c r="K229" s="41">
        <v>0.50569353179029486</v>
      </c>
      <c r="L229" s="41">
        <v>1.1577768385803542E-2</v>
      </c>
      <c r="M229" s="41">
        <v>0.90166302454224478</v>
      </c>
      <c r="N229" s="41">
        <v>0.99160524060128008</v>
      </c>
      <c r="O229" s="41">
        <v>0.99160524060128008</v>
      </c>
      <c r="P229" s="41">
        <v>1.5478720615095678</v>
      </c>
      <c r="Q229" s="41">
        <v>0.10775550224434746</v>
      </c>
      <c r="R229" s="41">
        <v>1.1244895180675876</v>
      </c>
      <c r="S229" s="41">
        <v>0.99160524060128008</v>
      </c>
      <c r="T229" s="41">
        <v>0.99160524060128008</v>
      </c>
      <c r="U229" s="18">
        <v>1.1604142062861054</v>
      </c>
    </row>
    <row r="230" spans="1:21" x14ac:dyDescent="0.2">
      <c r="A230" s="5" t="s">
        <v>345</v>
      </c>
      <c r="B230" s="5" t="s">
        <v>12</v>
      </c>
      <c r="C230" s="52">
        <v>1</v>
      </c>
      <c r="D230" s="53">
        <v>1</v>
      </c>
      <c r="E230" s="18">
        <v>0</v>
      </c>
      <c r="F230" s="18">
        <v>0.85620822395532303</v>
      </c>
      <c r="G230" s="41">
        <v>1.2471712587682744</v>
      </c>
      <c r="H230" s="52">
        <v>1</v>
      </c>
      <c r="I230" s="52">
        <v>1</v>
      </c>
      <c r="J230" s="18">
        <v>0.3286689086488408</v>
      </c>
      <c r="K230" s="41">
        <v>0.500338769552647</v>
      </c>
      <c r="L230" s="41">
        <v>0.26355776265938569</v>
      </c>
      <c r="M230" s="41">
        <v>1.0533082882163103</v>
      </c>
      <c r="N230" s="41">
        <v>1.5645904632511907</v>
      </c>
      <c r="O230" s="41">
        <v>1.5645904632511907</v>
      </c>
      <c r="P230" s="41">
        <v>0.46969497649207903</v>
      </c>
      <c r="Q230" s="41">
        <v>1.0846289627065664</v>
      </c>
      <c r="R230" s="41">
        <v>1.1999674773349338</v>
      </c>
      <c r="S230" s="41">
        <v>1.5645904632511907</v>
      </c>
      <c r="T230" s="41">
        <v>1.5645904632511907</v>
      </c>
      <c r="U230" s="18">
        <v>0.40005598939264275</v>
      </c>
    </row>
    <row r="231" spans="1:21" x14ac:dyDescent="0.2">
      <c r="A231" s="5" t="s">
        <v>346</v>
      </c>
      <c r="B231" s="5" t="s">
        <v>13</v>
      </c>
      <c r="C231" s="52">
        <v>1</v>
      </c>
      <c r="D231" s="53">
        <v>1</v>
      </c>
      <c r="E231" s="18">
        <v>0</v>
      </c>
      <c r="F231" s="18">
        <v>0.85620822395532303</v>
      </c>
      <c r="G231" s="41">
        <v>1.2471712587682744</v>
      </c>
      <c r="H231" s="52">
        <v>1</v>
      </c>
      <c r="I231" s="52">
        <v>1</v>
      </c>
      <c r="J231" s="18">
        <v>0.3286689086488408</v>
      </c>
      <c r="K231" s="41">
        <v>0.500338769552647</v>
      </c>
      <c r="L231" s="41">
        <v>0.26355776265938569</v>
      </c>
      <c r="M231" s="41">
        <v>1.0533082882163103</v>
      </c>
      <c r="N231" s="41">
        <v>1.5645904632511907</v>
      </c>
      <c r="O231" s="41">
        <v>1.5645904632511907</v>
      </c>
      <c r="P231" s="41">
        <v>0.46969497649207903</v>
      </c>
      <c r="Q231" s="41">
        <v>1.0846289627065664</v>
      </c>
      <c r="R231" s="41">
        <v>1.1999674773349338</v>
      </c>
      <c r="S231" s="41">
        <v>1.5645904632511907</v>
      </c>
      <c r="T231" s="41">
        <v>1.5645904632511907</v>
      </c>
      <c r="U231" s="18">
        <v>0.40005598939264275</v>
      </c>
    </row>
    <row r="232" spans="1:21" x14ac:dyDescent="0.2">
      <c r="A232" s="5" t="s">
        <v>347</v>
      </c>
      <c r="B232" s="5" t="s">
        <v>14</v>
      </c>
      <c r="C232" s="52">
        <v>1</v>
      </c>
      <c r="D232" s="53">
        <v>1</v>
      </c>
      <c r="E232" s="18">
        <v>4.6078180308004651E-3</v>
      </c>
      <c r="F232" s="18">
        <v>0.85620822395532303</v>
      </c>
      <c r="G232" s="41">
        <v>1.2471712587682744</v>
      </c>
      <c r="H232" s="52">
        <v>1</v>
      </c>
      <c r="I232" s="52">
        <v>1</v>
      </c>
      <c r="J232" s="18">
        <v>0.3286689086488408</v>
      </c>
      <c r="K232" s="41">
        <v>0.500338769552647</v>
      </c>
      <c r="L232" s="41">
        <v>0.26355776265938569</v>
      </c>
      <c r="M232" s="41">
        <v>1.0533082882163103</v>
      </c>
      <c r="N232" s="41">
        <v>1.5645904632511907</v>
      </c>
      <c r="O232" s="41">
        <v>1.5645904632511907</v>
      </c>
      <c r="P232" s="41">
        <v>0.46969497649207903</v>
      </c>
      <c r="Q232" s="41">
        <v>1.0846289627065664</v>
      </c>
      <c r="R232" s="41">
        <v>1.1999674773349338</v>
      </c>
      <c r="S232" s="41">
        <v>1.5645904632511907</v>
      </c>
      <c r="T232" s="41">
        <v>1.5645904632511907</v>
      </c>
      <c r="U232" s="18">
        <v>0.40005598939264275</v>
      </c>
    </row>
    <row r="233" spans="1:21" x14ac:dyDescent="0.2">
      <c r="A233" s="5" t="s">
        <v>348</v>
      </c>
      <c r="B233" s="5" t="s">
        <v>15</v>
      </c>
      <c r="C233" s="52">
        <v>1</v>
      </c>
      <c r="D233" s="53">
        <v>1</v>
      </c>
      <c r="E233" s="18">
        <v>0</v>
      </c>
      <c r="F233" s="18">
        <v>0.85620822395532303</v>
      </c>
      <c r="G233" s="41">
        <v>1.6548123106457173</v>
      </c>
      <c r="H233" s="52">
        <v>1</v>
      </c>
      <c r="I233" s="52">
        <v>1</v>
      </c>
      <c r="J233" s="18">
        <v>0.3286689086488408</v>
      </c>
      <c r="K233" s="41">
        <v>0.54976561835256188</v>
      </c>
      <c r="L233" s="41">
        <v>0.21725428542907144</v>
      </c>
      <c r="M233" s="41">
        <v>0.95615724670869351</v>
      </c>
      <c r="N233" s="41">
        <v>1.5281205043638681</v>
      </c>
      <c r="O233" s="41">
        <v>1.5281205043638681</v>
      </c>
      <c r="P233" s="41">
        <v>0.51450816531984966</v>
      </c>
      <c r="Q233" s="41">
        <v>1.0801088793533931</v>
      </c>
      <c r="R233" s="41">
        <v>1.103108718710724</v>
      </c>
      <c r="S233" s="41">
        <v>1.5281205043638681</v>
      </c>
      <c r="T233" s="41">
        <v>1.5281205043638681</v>
      </c>
      <c r="U233" s="18">
        <v>0.40005598939264275</v>
      </c>
    </row>
    <row r="234" spans="1:21" x14ac:dyDescent="0.2">
      <c r="A234" s="5" t="s">
        <v>349</v>
      </c>
      <c r="B234" s="5" t="s">
        <v>16</v>
      </c>
      <c r="C234" s="52">
        <v>1</v>
      </c>
      <c r="D234" s="53">
        <v>1</v>
      </c>
      <c r="E234" s="18">
        <v>0</v>
      </c>
      <c r="F234" s="18">
        <v>0.85620822395532303</v>
      </c>
      <c r="G234" s="41">
        <v>1.2471712587682744</v>
      </c>
      <c r="H234" s="52">
        <v>1</v>
      </c>
      <c r="I234" s="52">
        <v>1</v>
      </c>
      <c r="J234" s="18">
        <v>0.3286689086488408</v>
      </c>
      <c r="K234" s="41">
        <v>0.500338769552647</v>
      </c>
      <c r="L234" s="41">
        <v>0.26355776265938569</v>
      </c>
      <c r="M234" s="41">
        <v>1.0533082882163103</v>
      </c>
      <c r="N234" s="41">
        <v>1.5645904632511907</v>
      </c>
      <c r="O234" s="41">
        <v>1.5645904632511907</v>
      </c>
      <c r="P234" s="41">
        <v>0.46969497649207903</v>
      </c>
      <c r="Q234" s="41">
        <v>1.0846289627065664</v>
      </c>
      <c r="R234" s="41">
        <v>1.1999674773349338</v>
      </c>
      <c r="S234" s="41">
        <v>1.5645904632511907</v>
      </c>
      <c r="T234" s="41">
        <v>1.5645904632511907</v>
      </c>
      <c r="U234" s="18">
        <v>0.40005598939264275</v>
      </c>
    </row>
    <row r="235" spans="1:21" x14ac:dyDescent="0.2">
      <c r="A235" s="5" t="s">
        <v>350</v>
      </c>
      <c r="B235" s="5" t="s">
        <v>17</v>
      </c>
      <c r="C235" s="52">
        <v>1</v>
      </c>
      <c r="D235" s="53">
        <v>1</v>
      </c>
      <c r="E235" s="18">
        <v>4.6078180308004651E-3</v>
      </c>
      <c r="F235" s="18">
        <v>0.85620822395532303</v>
      </c>
      <c r="G235" s="41">
        <v>1.1948450162385422</v>
      </c>
      <c r="H235" s="52">
        <v>1</v>
      </c>
      <c r="I235" s="52">
        <v>1</v>
      </c>
      <c r="J235" s="18">
        <v>0.3286689086488408</v>
      </c>
      <c r="K235" s="41">
        <v>0.49450798940805935</v>
      </c>
      <c r="L235" s="41">
        <v>0.26847689319651696</v>
      </c>
      <c r="M235" s="41">
        <v>1.0668823719491796</v>
      </c>
      <c r="N235" s="41">
        <v>1.5680582557274723</v>
      </c>
      <c r="O235" s="41">
        <v>1.5680582557274723</v>
      </c>
      <c r="P235" s="41">
        <v>0.46436938922544868</v>
      </c>
      <c r="Q235" s="41">
        <v>1.0827307897907252</v>
      </c>
      <c r="R235" s="41">
        <v>1.2112034172186865</v>
      </c>
      <c r="S235" s="41">
        <v>1.5680582557274723</v>
      </c>
      <c r="T235" s="41">
        <v>1.5680582557274723</v>
      </c>
      <c r="U235" s="18">
        <v>0.40005598939264275</v>
      </c>
    </row>
    <row r="236" spans="1:21" x14ac:dyDescent="0.2">
      <c r="A236" s="5" t="s">
        <v>351</v>
      </c>
      <c r="B236" s="5" t="s">
        <v>12</v>
      </c>
      <c r="C236" s="52">
        <v>1</v>
      </c>
      <c r="D236" s="53">
        <v>1</v>
      </c>
      <c r="E236" s="18">
        <v>0</v>
      </c>
      <c r="F236" s="18">
        <v>0.84090260338674527</v>
      </c>
      <c r="G236" s="41">
        <v>1.3084991818637146</v>
      </c>
      <c r="H236" s="52">
        <v>1</v>
      </c>
      <c r="I236" s="52">
        <v>1</v>
      </c>
      <c r="J236" s="18">
        <v>0.32490693968109546</v>
      </c>
      <c r="K236" s="41">
        <v>0.89829228025944052</v>
      </c>
      <c r="L236" s="41">
        <v>1.7777548507847091E-2</v>
      </c>
      <c r="M236" s="41">
        <v>1.1627388650819255</v>
      </c>
      <c r="N236" s="41">
        <v>1.0869351826740072</v>
      </c>
      <c r="O236" s="41">
        <v>1.0869351826740072</v>
      </c>
      <c r="P236" s="41">
        <v>0.46730432331018407</v>
      </c>
      <c r="Q236" s="41">
        <v>0.82738304680023156</v>
      </c>
      <c r="R236" s="41">
        <v>0.93267113221884046</v>
      </c>
      <c r="S236" s="41">
        <v>1.0869351826740072</v>
      </c>
      <c r="T236" s="41">
        <v>1.0869351826740072</v>
      </c>
      <c r="U236" s="18">
        <v>2.592195657527983</v>
      </c>
    </row>
    <row r="237" spans="1:21" x14ac:dyDescent="0.2">
      <c r="A237" s="5" t="s">
        <v>352</v>
      </c>
      <c r="B237" s="5" t="s">
        <v>13</v>
      </c>
      <c r="C237" s="52">
        <v>1</v>
      </c>
      <c r="D237" s="53">
        <v>1</v>
      </c>
      <c r="E237" s="18">
        <v>0</v>
      </c>
      <c r="F237" s="18">
        <v>0.84090260338674527</v>
      </c>
      <c r="G237" s="41">
        <v>1.2721280284740921</v>
      </c>
      <c r="H237" s="52">
        <v>1</v>
      </c>
      <c r="I237" s="52">
        <v>1</v>
      </c>
      <c r="J237" s="18">
        <v>0.32490693968109546</v>
      </c>
      <c r="K237" s="41">
        <v>0.91094416689380153</v>
      </c>
      <c r="L237" s="41">
        <v>1.988529930426515E-2</v>
      </c>
      <c r="M237" s="41">
        <v>1.0290680593830515</v>
      </c>
      <c r="N237" s="41">
        <v>1.0017847021911166</v>
      </c>
      <c r="O237" s="41">
        <v>1.0017847021911166</v>
      </c>
      <c r="P237" s="41">
        <v>0.41718436145286958</v>
      </c>
      <c r="Q237" s="41">
        <v>0.87831679524822126</v>
      </c>
      <c r="R237" s="41">
        <v>1.0247736742196787</v>
      </c>
      <c r="S237" s="41">
        <v>1.0017847021911166</v>
      </c>
      <c r="T237" s="41">
        <v>1.0017847021911166</v>
      </c>
      <c r="U237" s="18">
        <v>2.592195657527983</v>
      </c>
    </row>
    <row r="238" spans="1:21" x14ac:dyDescent="0.2">
      <c r="A238" s="5" t="s">
        <v>353</v>
      </c>
      <c r="B238" s="5" t="s">
        <v>14</v>
      </c>
      <c r="C238" s="52">
        <v>1</v>
      </c>
      <c r="D238" s="53">
        <v>1</v>
      </c>
      <c r="E238" s="18">
        <v>1.4521702213505967E-2</v>
      </c>
      <c r="F238" s="18">
        <v>0.84090260338674527</v>
      </c>
      <c r="G238" s="41">
        <v>1.3176300978035085</v>
      </c>
      <c r="H238" s="52">
        <v>1</v>
      </c>
      <c r="I238" s="52">
        <v>1</v>
      </c>
      <c r="J238" s="18">
        <v>0.32490693968109546</v>
      </c>
      <c r="K238" s="41">
        <v>0.89484428018369633</v>
      </c>
      <c r="L238" s="41">
        <v>1.7084985170006624E-2</v>
      </c>
      <c r="M238" s="41">
        <v>1.2036638464742953</v>
      </c>
      <c r="N238" s="41">
        <v>1.1129272396172118</v>
      </c>
      <c r="O238" s="41">
        <v>1.1129272396172118</v>
      </c>
      <c r="P238" s="41">
        <v>0.48238361346771913</v>
      </c>
      <c r="Q238" s="41">
        <v>0.81109128111585194</v>
      </c>
      <c r="R238" s="41">
        <v>0.90380152966943028</v>
      </c>
      <c r="S238" s="41">
        <v>1.1129272396172118</v>
      </c>
      <c r="T238" s="41">
        <v>1.1129272396172118</v>
      </c>
      <c r="U238" s="18">
        <v>2.592195657527983</v>
      </c>
    </row>
    <row r="239" spans="1:21" x14ac:dyDescent="0.2">
      <c r="A239" s="5" t="s">
        <v>354</v>
      </c>
      <c r="B239" s="5" t="s">
        <v>15</v>
      </c>
      <c r="C239" s="52">
        <v>1</v>
      </c>
      <c r="D239" s="53">
        <v>1</v>
      </c>
      <c r="E239" s="18">
        <v>0</v>
      </c>
      <c r="F239" s="18">
        <v>0.84090260338674527</v>
      </c>
      <c r="G239" s="41">
        <v>1.3084991818637146</v>
      </c>
      <c r="H239" s="52">
        <v>1</v>
      </c>
      <c r="I239" s="52">
        <v>1</v>
      </c>
      <c r="J239" s="18">
        <v>0.32490693968109546</v>
      </c>
      <c r="K239" s="41">
        <v>0.89829228025944052</v>
      </c>
      <c r="L239" s="41">
        <v>1.7777548507847091E-2</v>
      </c>
      <c r="M239" s="41">
        <v>1.1627388650819255</v>
      </c>
      <c r="N239" s="41">
        <v>1.0869351826740072</v>
      </c>
      <c r="O239" s="41">
        <v>1.0869351826740072</v>
      </c>
      <c r="P239" s="41">
        <v>0.46730432331018407</v>
      </c>
      <c r="Q239" s="41">
        <v>0.82738304680023156</v>
      </c>
      <c r="R239" s="41">
        <v>0.93267113221884046</v>
      </c>
      <c r="S239" s="41">
        <v>1.0869351826740072</v>
      </c>
      <c r="T239" s="41">
        <v>1.0869351826740072</v>
      </c>
      <c r="U239" s="18">
        <v>2.592195657527983</v>
      </c>
    </row>
    <row r="240" spans="1:21" x14ac:dyDescent="0.2">
      <c r="A240" s="5" t="s">
        <v>355</v>
      </c>
      <c r="B240" s="5" t="s">
        <v>16</v>
      </c>
      <c r="C240" s="52">
        <v>1</v>
      </c>
      <c r="D240" s="53">
        <v>1</v>
      </c>
      <c r="E240" s="18">
        <v>0</v>
      </c>
      <c r="F240" s="18">
        <v>0.84090260338674527</v>
      </c>
      <c r="G240" s="41">
        <v>1.3084991818637146</v>
      </c>
      <c r="H240" s="52">
        <v>1</v>
      </c>
      <c r="I240" s="52">
        <v>1</v>
      </c>
      <c r="J240" s="18">
        <v>0.32490693968109546</v>
      </c>
      <c r="K240" s="41">
        <v>0.89829228025944052</v>
      </c>
      <c r="L240" s="41">
        <v>1.7777548507847091E-2</v>
      </c>
      <c r="M240" s="41">
        <v>1.1627388650819255</v>
      </c>
      <c r="N240" s="41">
        <v>1.0869351826740072</v>
      </c>
      <c r="O240" s="41">
        <v>1.0869351826740072</v>
      </c>
      <c r="P240" s="41">
        <v>0.46730432331018407</v>
      </c>
      <c r="Q240" s="41">
        <v>0.82738304680023156</v>
      </c>
      <c r="R240" s="41">
        <v>0.93267113221884046</v>
      </c>
      <c r="S240" s="41">
        <v>1.0869351826740072</v>
      </c>
      <c r="T240" s="41">
        <v>1.0869351826740072</v>
      </c>
      <c r="U240" s="18">
        <v>2.592195657527983</v>
      </c>
    </row>
    <row r="241" spans="1:21" x14ac:dyDescent="0.2">
      <c r="A241" s="5" t="s">
        <v>356</v>
      </c>
      <c r="B241" s="5" t="s">
        <v>17</v>
      </c>
      <c r="C241" s="52">
        <v>1</v>
      </c>
      <c r="D241" s="53">
        <v>1</v>
      </c>
      <c r="E241" s="18">
        <v>1.4521702213505967E-2</v>
      </c>
      <c r="F241" s="18">
        <v>0.84090260338674527</v>
      </c>
      <c r="G241" s="41">
        <v>1.3084991818637146</v>
      </c>
      <c r="H241" s="52">
        <v>1</v>
      </c>
      <c r="I241" s="52">
        <v>1</v>
      </c>
      <c r="J241" s="18">
        <v>0.32490693968109546</v>
      </c>
      <c r="K241" s="41">
        <v>0.89829228025944052</v>
      </c>
      <c r="L241" s="41">
        <v>1.7777548507847091E-2</v>
      </c>
      <c r="M241" s="41">
        <v>1.1627388650819255</v>
      </c>
      <c r="N241" s="41">
        <v>1.0869351826740072</v>
      </c>
      <c r="O241" s="41">
        <v>1.0869351826740072</v>
      </c>
      <c r="P241" s="41">
        <v>0.46730432331018407</v>
      </c>
      <c r="Q241" s="41">
        <v>0.82738304680023156</v>
      </c>
      <c r="R241" s="41">
        <v>0.93267113221884046</v>
      </c>
      <c r="S241" s="41">
        <v>1.0869351826740072</v>
      </c>
      <c r="T241" s="41">
        <v>1.0869351826740072</v>
      </c>
      <c r="U241" s="18">
        <v>2.592195657527983</v>
      </c>
    </row>
    <row r="242" spans="1:21" x14ac:dyDescent="0.2">
      <c r="A242" s="5" t="s">
        <v>357</v>
      </c>
      <c r="B242" s="5" t="s">
        <v>12</v>
      </c>
      <c r="C242" s="52">
        <v>1</v>
      </c>
      <c r="D242" s="53">
        <v>1</v>
      </c>
      <c r="E242" s="18">
        <v>0.48918595433841006</v>
      </c>
      <c r="F242" s="18">
        <v>0.79562172751523685</v>
      </c>
      <c r="G242" s="41">
        <v>1.4161888068296591</v>
      </c>
      <c r="H242" s="52">
        <v>1</v>
      </c>
      <c r="I242" s="52">
        <v>1</v>
      </c>
      <c r="J242" s="18">
        <v>2.1232606257382445</v>
      </c>
      <c r="K242" s="41">
        <v>0.38773510978735232</v>
      </c>
      <c r="L242" s="41">
        <v>0.67117828855598272</v>
      </c>
      <c r="M242" s="41">
        <v>0.5478198624435322</v>
      </c>
      <c r="N242" s="41">
        <v>0.71775182280379746</v>
      </c>
      <c r="O242" s="41">
        <v>0.71775182280379746</v>
      </c>
      <c r="P242" s="41">
        <v>0.73854106691167987</v>
      </c>
      <c r="Q242" s="41">
        <v>1.8986312324359109</v>
      </c>
      <c r="R242" s="41">
        <v>1.002880410162484</v>
      </c>
      <c r="S242" s="41">
        <v>0.71775182280379746</v>
      </c>
      <c r="T242" s="41">
        <v>0.71775182280379746</v>
      </c>
      <c r="U242" s="18">
        <v>1.8855299650591024</v>
      </c>
    </row>
    <row r="243" spans="1:21" x14ac:dyDescent="0.2">
      <c r="A243" s="5" t="s">
        <v>358</v>
      </c>
      <c r="B243" s="5" t="s">
        <v>13</v>
      </c>
      <c r="C243" s="52">
        <v>1</v>
      </c>
      <c r="D243" s="53">
        <v>1</v>
      </c>
      <c r="E243" s="18">
        <v>0.13631023860228367</v>
      </c>
      <c r="F243" s="18">
        <v>0.79562172751523685</v>
      </c>
      <c r="G243" s="41">
        <v>1.1287942592786315</v>
      </c>
      <c r="H243" s="52">
        <v>1</v>
      </c>
      <c r="I243" s="52">
        <v>1</v>
      </c>
      <c r="J243" s="18">
        <v>2.1232606257382445</v>
      </c>
      <c r="K243" s="41">
        <v>0.44210992191872073</v>
      </c>
      <c r="L243" s="41">
        <v>0.38149620628168834</v>
      </c>
      <c r="M243" s="41">
        <v>0.59655800146384719</v>
      </c>
      <c r="N243" s="41">
        <v>0.76193566710771332</v>
      </c>
      <c r="O243" s="41">
        <v>0.76193566710771332</v>
      </c>
      <c r="P243" s="41">
        <v>0.72156542158611692</v>
      </c>
      <c r="Q243" s="41">
        <v>0.94519179391401842</v>
      </c>
      <c r="R243" s="41">
        <v>1.1648413004191844</v>
      </c>
      <c r="S243" s="41">
        <v>0.76193566710771332</v>
      </c>
      <c r="T243" s="41">
        <v>0.76193566710771332</v>
      </c>
      <c r="U243" s="18">
        <v>1.8855299650591024</v>
      </c>
    </row>
    <row r="244" spans="1:21" x14ac:dyDescent="0.2">
      <c r="A244" s="5" t="s">
        <v>359</v>
      </c>
      <c r="B244" s="5" t="s">
        <v>14</v>
      </c>
      <c r="C244" s="52">
        <v>1</v>
      </c>
      <c r="D244" s="53">
        <v>1</v>
      </c>
      <c r="E244" s="18">
        <v>2.2681788597656849E-2</v>
      </c>
      <c r="F244" s="18">
        <v>0.79562172751523685</v>
      </c>
      <c r="G244" s="41">
        <v>0.84878643919727259</v>
      </c>
      <c r="H244" s="52">
        <v>1</v>
      </c>
      <c r="I244" s="52">
        <v>1</v>
      </c>
      <c r="J244" s="18">
        <v>2.1232606257382445</v>
      </c>
      <c r="K244" s="41">
        <v>0.34562002451854301</v>
      </c>
      <c r="L244" s="41">
        <v>1.25</v>
      </c>
      <c r="M244" s="41">
        <v>0.75</v>
      </c>
      <c r="N244" s="41">
        <v>0.58381676634217183</v>
      </c>
      <c r="O244" s="41">
        <v>0.58381676634217183</v>
      </c>
      <c r="P244" s="41">
        <v>0.6838495230585685</v>
      </c>
      <c r="Q244" s="41">
        <v>1</v>
      </c>
      <c r="R244" s="41">
        <v>0.81436953885323915</v>
      </c>
      <c r="S244" s="41">
        <v>0.58381676634217183</v>
      </c>
      <c r="T244" s="41">
        <v>0.58381676634217183</v>
      </c>
      <c r="U244" s="18">
        <v>1.8855299650591024</v>
      </c>
    </row>
    <row r="245" spans="1:21" x14ac:dyDescent="0.2">
      <c r="A245" s="5" t="s">
        <v>360</v>
      </c>
      <c r="B245" s="5" t="s">
        <v>15</v>
      </c>
      <c r="C245" s="52">
        <v>1</v>
      </c>
      <c r="D245" s="53">
        <v>1</v>
      </c>
      <c r="E245" s="18">
        <v>0.48918595433841006</v>
      </c>
      <c r="F245" s="18">
        <v>0.79562172751523685</v>
      </c>
      <c r="G245" s="41">
        <v>0.84878643919727259</v>
      </c>
      <c r="H245" s="52">
        <v>1</v>
      </c>
      <c r="I245" s="52">
        <v>1</v>
      </c>
      <c r="J245" s="18">
        <v>2.1232606257382445</v>
      </c>
      <c r="K245" s="41">
        <v>0.34562002451854301</v>
      </c>
      <c r="L245" s="41">
        <v>1.25</v>
      </c>
      <c r="M245" s="41">
        <v>0.75</v>
      </c>
      <c r="N245" s="41">
        <v>0.58381676634217183</v>
      </c>
      <c r="O245" s="41">
        <v>0.58381676634217183</v>
      </c>
      <c r="P245" s="41">
        <v>0.6838495230585685</v>
      </c>
      <c r="Q245" s="41">
        <v>1</v>
      </c>
      <c r="R245" s="41">
        <v>0.81436953885323915</v>
      </c>
      <c r="S245" s="41">
        <v>0.58381676634217183</v>
      </c>
      <c r="T245" s="41">
        <v>0.58381676634217183</v>
      </c>
      <c r="U245" s="18">
        <v>1.8855299650591024</v>
      </c>
    </row>
    <row r="246" spans="1:21" x14ac:dyDescent="0.2">
      <c r="A246" s="5" t="s">
        <v>361</v>
      </c>
      <c r="B246" s="5" t="s">
        <v>16</v>
      </c>
      <c r="C246" s="52">
        <v>1</v>
      </c>
      <c r="D246" s="53">
        <v>1</v>
      </c>
      <c r="E246" s="18">
        <v>0.13631023860228367</v>
      </c>
      <c r="F246" s="18">
        <v>0.79562172751523685</v>
      </c>
      <c r="G246" s="41">
        <v>0.70301822448429119</v>
      </c>
      <c r="H246" s="52">
        <v>1</v>
      </c>
      <c r="I246" s="52">
        <v>1</v>
      </c>
      <c r="J246" s="18">
        <v>2.1232606257382445</v>
      </c>
      <c r="K246" s="41">
        <v>0.3390109514119945</v>
      </c>
      <c r="L246" s="41">
        <v>1.5000893223527714</v>
      </c>
      <c r="M246" s="41">
        <v>0.7967751389580946</v>
      </c>
      <c r="N246" s="41">
        <v>0.49694090081408654</v>
      </c>
      <c r="O246" s="41">
        <v>0.49694090081408654</v>
      </c>
      <c r="P246" s="41">
        <v>0.57508298511928757</v>
      </c>
      <c r="Q246" s="41">
        <v>0.85783074465854259</v>
      </c>
      <c r="R246" s="41">
        <v>0.68448777414134176</v>
      </c>
      <c r="S246" s="41">
        <v>0.49694090081408654</v>
      </c>
      <c r="T246" s="41">
        <v>0.49694090081408654</v>
      </c>
      <c r="U246" s="18">
        <v>1.8855299650591024</v>
      </c>
    </row>
    <row r="247" spans="1:21" x14ac:dyDescent="0.2">
      <c r="A247" s="5" t="s">
        <v>362</v>
      </c>
      <c r="B247" s="5" t="s">
        <v>17</v>
      </c>
      <c r="C247" s="52">
        <v>1</v>
      </c>
      <c r="D247" s="53">
        <v>1</v>
      </c>
      <c r="E247" s="18">
        <v>2.2681788597656849E-2</v>
      </c>
      <c r="F247" s="18">
        <v>0.79562172751523685</v>
      </c>
      <c r="G247" s="41">
        <v>0.88906082995879065</v>
      </c>
      <c r="H247" s="52">
        <v>1</v>
      </c>
      <c r="I247" s="52">
        <v>1</v>
      </c>
      <c r="J247" s="18">
        <v>2.1232606257382445</v>
      </c>
      <c r="K247" s="41">
        <v>0.33754506753013835</v>
      </c>
      <c r="L247" s="41">
        <v>1.1777952498343687</v>
      </c>
      <c r="M247" s="41">
        <v>0.74801207227788824</v>
      </c>
      <c r="N247" s="41">
        <v>0.62898832939372662</v>
      </c>
      <c r="O247" s="41">
        <v>0.62898832939372662</v>
      </c>
      <c r="P247" s="41">
        <v>0.77268787125349292</v>
      </c>
      <c r="Q247" s="41">
        <v>1.038628112878442</v>
      </c>
      <c r="R247" s="41">
        <v>0.86902636668728461</v>
      </c>
      <c r="S247" s="41">
        <v>0.62898832939372662</v>
      </c>
      <c r="T247" s="41">
        <v>0.62898832939372662</v>
      </c>
      <c r="U247" s="18">
        <v>1.8855299650591024</v>
      </c>
    </row>
    <row r="248" spans="1:21" x14ac:dyDescent="0.2">
      <c r="A248" s="5" t="s">
        <v>363</v>
      </c>
      <c r="B248" s="5" t="s">
        <v>12</v>
      </c>
      <c r="C248" s="52">
        <v>1</v>
      </c>
      <c r="D248" s="53">
        <v>1</v>
      </c>
      <c r="E248" s="18">
        <v>0</v>
      </c>
      <c r="F248" s="18">
        <v>0.84235375386776823</v>
      </c>
      <c r="G248" s="41">
        <v>0.38508483125401732</v>
      </c>
      <c r="H248" s="52">
        <v>1</v>
      </c>
      <c r="I248" s="52">
        <v>1</v>
      </c>
      <c r="J248" s="18">
        <v>1.160381927432484</v>
      </c>
      <c r="K248" s="41">
        <v>0.500338769552647</v>
      </c>
      <c r="L248" s="41">
        <v>4.3026582112680396</v>
      </c>
      <c r="M248" s="41">
        <v>1.0471128929149172</v>
      </c>
      <c r="N248" s="41">
        <v>0.47638441231127648</v>
      </c>
      <c r="O248" s="41">
        <v>0.47638441231127648</v>
      </c>
      <c r="P248" s="41">
        <v>0.34105584141377121</v>
      </c>
      <c r="Q248" s="41">
        <v>0.42910334176326131</v>
      </c>
      <c r="R248" s="41">
        <v>0.36014201302572491</v>
      </c>
      <c r="S248" s="41">
        <v>0.47638441231127648</v>
      </c>
      <c r="T248" s="41">
        <v>0.47638441231127648</v>
      </c>
      <c r="U248" s="18">
        <v>2.0849373711953425</v>
      </c>
    </row>
    <row r="249" spans="1:21" x14ac:dyDescent="0.2">
      <c r="A249" s="5" t="s">
        <v>364</v>
      </c>
      <c r="B249" s="5" t="s">
        <v>13</v>
      </c>
      <c r="C249" s="52">
        <v>1</v>
      </c>
      <c r="D249" s="53">
        <v>1</v>
      </c>
      <c r="E249" s="18">
        <v>0</v>
      </c>
      <c r="F249" s="18">
        <v>0.84235375386776823</v>
      </c>
      <c r="G249" s="41">
        <v>0.38508483125401732</v>
      </c>
      <c r="H249" s="52">
        <v>1</v>
      </c>
      <c r="I249" s="52">
        <v>1</v>
      </c>
      <c r="J249" s="18">
        <v>1.160381927432484</v>
      </c>
      <c r="K249" s="41">
        <v>0.500338769552647</v>
      </c>
      <c r="L249" s="41">
        <v>4.3026582112680396</v>
      </c>
      <c r="M249" s="41">
        <v>1.0471128929149172</v>
      </c>
      <c r="N249" s="41">
        <v>0.47638441231127648</v>
      </c>
      <c r="O249" s="41">
        <v>0.47638441231127648</v>
      </c>
      <c r="P249" s="41">
        <v>0.34105584141377121</v>
      </c>
      <c r="Q249" s="41">
        <v>0.42910334176326131</v>
      </c>
      <c r="R249" s="41">
        <v>0.36014201302572491</v>
      </c>
      <c r="S249" s="41">
        <v>0.47638441231127648</v>
      </c>
      <c r="T249" s="41">
        <v>0.47638441231127648</v>
      </c>
      <c r="U249" s="18">
        <v>2.0849373711953425</v>
      </c>
    </row>
    <row r="250" spans="1:21" x14ac:dyDescent="0.2">
      <c r="A250" s="5" t="s">
        <v>365</v>
      </c>
      <c r="B250" s="5" t="s">
        <v>14</v>
      </c>
      <c r="C250" s="52">
        <v>1</v>
      </c>
      <c r="D250" s="53">
        <v>1</v>
      </c>
      <c r="E250" s="18">
        <v>6.1031434477219421E-3</v>
      </c>
      <c r="F250" s="18">
        <v>0.84235375386776823</v>
      </c>
      <c r="G250" s="41">
        <v>0.38508483125401732</v>
      </c>
      <c r="H250" s="52">
        <v>1</v>
      </c>
      <c r="I250" s="52">
        <v>1</v>
      </c>
      <c r="J250" s="18">
        <v>1.160381927432484</v>
      </c>
      <c r="K250" s="41">
        <v>0.500338769552647</v>
      </c>
      <c r="L250" s="41">
        <v>4.3026582112680396</v>
      </c>
      <c r="M250" s="41">
        <v>1.0471128929149172</v>
      </c>
      <c r="N250" s="41">
        <v>0.47638441231127648</v>
      </c>
      <c r="O250" s="41">
        <v>0.47638441231127648</v>
      </c>
      <c r="P250" s="41">
        <v>0.34105584141377121</v>
      </c>
      <c r="Q250" s="41">
        <v>0.42910334176326131</v>
      </c>
      <c r="R250" s="41">
        <v>0.36014201302572491</v>
      </c>
      <c r="S250" s="41">
        <v>0.47638441231127648</v>
      </c>
      <c r="T250" s="41">
        <v>0.47638441231127648</v>
      </c>
      <c r="U250" s="18">
        <v>2.0849373711953425</v>
      </c>
    </row>
    <row r="251" spans="1:21" x14ac:dyDescent="0.2">
      <c r="A251" s="5" t="s">
        <v>366</v>
      </c>
      <c r="B251" s="5" t="s">
        <v>15</v>
      </c>
      <c r="C251" s="52">
        <v>1</v>
      </c>
      <c r="D251" s="53">
        <v>1</v>
      </c>
      <c r="E251" s="18">
        <v>0</v>
      </c>
      <c r="F251" s="18">
        <v>0.84235375386776823</v>
      </c>
      <c r="G251" s="41">
        <v>0.25056180468574063</v>
      </c>
      <c r="H251" s="52">
        <v>1</v>
      </c>
      <c r="I251" s="52">
        <v>1</v>
      </c>
      <c r="J251" s="18">
        <v>1.160381927432484</v>
      </c>
      <c r="K251" s="41">
        <v>0.45503841149000807</v>
      </c>
      <c r="L251" s="41">
        <v>5.0817999900308664</v>
      </c>
      <c r="M251" s="41">
        <v>0.69451520487365714</v>
      </c>
      <c r="N251" s="41">
        <v>0.27745489590748912</v>
      </c>
      <c r="O251" s="41">
        <v>0.27745489590748912</v>
      </c>
      <c r="P251" s="41">
        <v>0.43160288918004652</v>
      </c>
      <c r="Q251" s="41">
        <v>0.4165835017088394</v>
      </c>
      <c r="R251" s="41">
        <v>0.27095021073914605</v>
      </c>
      <c r="S251" s="41">
        <v>0.27745489590748912</v>
      </c>
      <c r="T251" s="41">
        <v>0.27745489590748912</v>
      </c>
      <c r="U251" s="18">
        <v>2.0849373711953425</v>
      </c>
    </row>
    <row r="252" spans="1:21" x14ac:dyDescent="0.2">
      <c r="A252" s="5" t="s">
        <v>367</v>
      </c>
      <c r="B252" s="5" t="s">
        <v>16</v>
      </c>
      <c r="C252" s="52">
        <v>1</v>
      </c>
      <c r="D252" s="53">
        <v>1</v>
      </c>
      <c r="E252" s="18">
        <v>0</v>
      </c>
      <c r="F252" s="18">
        <v>0.84235375386776823</v>
      </c>
      <c r="G252" s="41">
        <v>0.38508483125401732</v>
      </c>
      <c r="H252" s="52">
        <v>1</v>
      </c>
      <c r="I252" s="52">
        <v>1</v>
      </c>
      <c r="J252" s="18">
        <v>1.160381927432484</v>
      </c>
      <c r="K252" s="41">
        <v>0.500338769552647</v>
      </c>
      <c r="L252" s="41">
        <v>4.3026582112680396</v>
      </c>
      <c r="M252" s="41">
        <v>1.0471128929149172</v>
      </c>
      <c r="N252" s="41">
        <v>0.47638441231127648</v>
      </c>
      <c r="O252" s="41">
        <v>0.47638441231127648</v>
      </c>
      <c r="P252" s="41">
        <v>0.34105584141377121</v>
      </c>
      <c r="Q252" s="41">
        <v>0.42910334176326131</v>
      </c>
      <c r="R252" s="41">
        <v>0.36014201302572491</v>
      </c>
      <c r="S252" s="41">
        <v>0.47638441231127648</v>
      </c>
      <c r="T252" s="41">
        <v>0.47638441231127648</v>
      </c>
      <c r="U252" s="18">
        <v>2.0849373711953425</v>
      </c>
    </row>
    <row r="253" spans="1:21" x14ac:dyDescent="0.2">
      <c r="A253" s="5" t="s">
        <v>368</v>
      </c>
      <c r="B253" s="5" t="s">
        <v>17</v>
      </c>
      <c r="C253" s="52">
        <v>1</v>
      </c>
      <c r="D253" s="53">
        <v>1</v>
      </c>
      <c r="E253" s="18">
        <v>6.1031434477219421E-3</v>
      </c>
      <c r="F253" s="18">
        <v>0.84235375386776823</v>
      </c>
      <c r="G253" s="41">
        <v>0.40496319656839669</v>
      </c>
      <c r="H253" s="52">
        <v>1</v>
      </c>
      <c r="I253" s="52">
        <v>1</v>
      </c>
      <c r="J253" s="18">
        <v>1.160381927432484</v>
      </c>
      <c r="K253" s="41">
        <v>0.50706570401647666</v>
      </c>
      <c r="L253" s="41">
        <v>4.1869171304602437</v>
      </c>
      <c r="M253" s="41">
        <v>1.0995345818356417</v>
      </c>
      <c r="N253" s="41">
        <v>0.50553579887033151</v>
      </c>
      <c r="O253" s="41">
        <v>0.50553579887033151</v>
      </c>
      <c r="P253" s="41">
        <v>0.32804677079933159</v>
      </c>
      <c r="Q253" s="41">
        <v>0.43123590830928987</v>
      </c>
      <c r="R253" s="41">
        <v>0.37344491066130847</v>
      </c>
      <c r="S253" s="41">
        <v>0.50553579887033151</v>
      </c>
      <c r="T253" s="41">
        <v>0.50553579887033151</v>
      </c>
      <c r="U253" s="18">
        <v>2.0849373711953425</v>
      </c>
    </row>
    <row r="254" spans="1:21" x14ac:dyDescent="0.2">
      <c r="A254" s="5" t="s">
        <v>369</v>
      </c>
      <c r="B254" s="5" t="s">
        <v>12</v>
      </c>
      <c r="C254" s="52">
        <v>1</v>
      </c>
      <c r="D254" s="53">
        <v>1</v>
      </c>
      <c r="E254" s="18">
        <v>0.8158438161477316</v>
      </c>
      <c r="F254" s="18">
        <v>0.99497767737633158</v>
      </c>
      <c r="G254" s="41">
        <v>0.50926028721458461</v>
      </c>
      <c r="H254" s="52">
        <v>1</v>
      </c>
      <c r="I254" s="52">
        <v>1</v>
      </c>
      <c r="J254" s="18">
        <v>0.41557325163843245</v>
      </c>
      <c r="K254" s="41">
        <v>0.500338769552647</v>
      </c>
      <c r="L254" s="41">
        <v>0.98116070133101274</v>
      </c>
      <c r="M254" s="41">
        <v>1.832015868534171</v>
      </c>
      <c r="N254" s="41">
        <v>0.87337701447531957</v>
      </c>
      <c r="O254" s="41">
        <v>0.87337701447531957</v>
      </c>
      <c r="P254" s="41">
        <v>0.61291123715169538</v>
      </c>
      <c r="Q254" s="41">
        <v>1.4510718058325103</v>
      </c>
      <c r="R254" s="41">
        <v>0.9301053515087061</v>
      </c>
      <c r="S254" s="41">
        <v>0.87337701447531957</v>
      </c>
      <c r="T254" s="41">
        <v>0.87337701447531957</v>
      </c>
      <c r="U254" s="18">
        <v>0.64898681117701429</v>
      </c>
    </row>
    <row r="255" spans="1:21" x14ac:dyDescent="0.2">
      <c r="A255" s="5" t="s">
        <v>370</v>
      </c>
      <c r="B255" s="5" t="s">
        <v>13</v>
      </c>
      <c r="C255" s="52">
        <v>1</v>
      </c>
      <c r="D255" s="53">
        <v>1</v>
      </c>
      <c r="E255" s="18">
        <v>0.24254314324679713</v>
      </c>
      <c r="F255" s="18">
        <v>0.99497767737633158</v>
      </c>
      <c r="G255" s="41">
        <v>0.50926028721458461</v>
      </c>
      <c r="H255" s="52">
        <v>1</v>
      </c>
      <c r="I255" s="52">
        <v>1</v>
      </c>
      <c r="J255" s="18">
        <v>0.41557325163843245</v>
      </c>
      <c r="K255" s="41">
        <v>0.500338769552647</v>
      </c>
      <c r="L255" s="41">
        <v>0.98116070133101274</v>
      </c>
      <c r="M255" s="41">
        <v>1.832015868534171</v>
      </c>
      <c r="N255" s="41">
        <v>0.87337701447531957</v>
      </c>
      <c r="O255" s="41">
        <v>0.87337701447531957</v>
      </c>
      <c r="P255" s="41">
        <v>0.61291123715169538</v>
      </c>
      <c r="Q255" s="41">
        <v>1.4510718058325103</v>
      </c>
      <c r="R255" s="41">
        <v>0.9301053515087061</v>
      </c>
      <c r="S255" s="41">
        <v>0.87337701447531957</v>
      </c>
      <c r="T255" s="41">
        <v>0.87337701447531957</v>
      </c>
      <c r="U255" s="18">
        <v>0.64898681117701429</v>
      </c>
    </row>
    <row r="256" spans="1:21" x14ac:dyDescent="0.2">
      <c r="A256" s="5" t="s">
        <v>371</v>
      </c>
      <c r="B256" s="5" t="s">
        <v>14</v>
      </c>
      <c r="C256" s="52">
        <v>1</v>
      </c>
      <c r="D256" s="53">
        <v>1</v>
      </c>
      <c r="E256" s="18">
        <v>7.9865930683912217E-3</v>
      </c>
      <c r="F256" s="18">
        <v>0.99497767737633158</v>
      </c>
      <c r="G256" s="41">
        <v>0.50926028721458461</v>
      </c>
      <c r="H256" s="52">
        <v>1</v>
      </c>
      <c r="I256" s="52">
        <v>1</v>
      </c>
      <c r="J256" s="18">
        <v>0.41557325163843245</v>
      </c>
      <c r="K256" s="41">
        <v>0.500338769552647</v>
      </c>
      <c r="L256" s="41">
        <v>0.98116070133101274</v>
      </c>
      <c r="M256" s="41">
        <v>1.832015868534171</v>
      </c>
      <c r="N256" s="41">
        <v>0.87337701447531957</v>
      </c>
      <c r="O256" s="41">
        <v>0.87337701447531957</v>
      </c>
      <c r="P256" s="41">
        <v>0.61291123715169538</v>
      </c>
      <c r="Q256" s="41">
        <v>1.4510718058325103</v>
      </c>
      <c r="R256" s="41">
        <v>0.9301053515087061</v>
      </c>
      <c r="S256" s="41">
        <v>0.87337701447531957</v>
      </c>
      <c r="T256" s="41">
        <v>0.87337701447531957</v>
      </c>
      <c r="U256" s="18">
        <v>0.64898681117701429</v>
      </c>
    </row>
    <row r="257" spans="1:21" x14ac:dyDescent="0.2">
      <c r="A257" s="5" t="s">
        <v>372</v>
      </c>
      <c r="B257" s="5" t="s">
        <v>15</v>
      </c>
      <c r="C257" s="52">
        <v>1</v>
      </c>
      <c r="D257" s="53">
        <v>1</v>
      </c>
      <c r="E257" s="18">
        <v>0.8158438161477316</v>
      </c>
      <c r="F257" s="18">
        <v>0.99497767737633158</v>
      </c>
      <c r="G257" s="41">
        <v>0.80258992850173871</v>
      </c>
      <c r="H257" s="52">
        <v>1</v>
      </c>
      <c r="I257" s="52">
        <v>1</v>
      </c>
      <c r="J257" s="18">
        <v>0.41557325163843245</v>
      </c>
      <c r="K257" s="41">
        <v>0.478573269365062</v>
      </c>
      <c r="L257" s="41">
        <v>0.77114072642146825</v>
      </c>
      <c r="M257" s="41">
        <v>1.9418527097924074</v>
      </c>
      <c r="N257" s="41">
        <v>0.97445783258564767</v>
      </c>
      <c r="O257" s="41">
        <v>0.97445783258564767</v>
      </c>
      <c r="P257" s="41">
        <v>0.72923526949826889</v>
      </c>
      <c r="Q257" s="41">
        <v>1.6093430725750217</v>
      </c>
      <c r="R257" s="41">
        <v>0.94282833212076578</v>
      </c>
      <c r="S257" s="41">
        <v>0.97445783258564767</v>
      </c>
      <c r="T257" s="41">
        <v>0.97445783258564767</v>
      </c>
      <c r="U257" s="18">
        <v>0.64898681117701429</v>
      </c>
    </row>
    <row r="258" spans="1:21" x14ac:dyDescent="0.2">
      <c r="A258" s="5" t="s">
        <v>373</v>
      </c>
      <c r="B258" s="5" t="s">
        <v>16</v>
      </c>
      <c r="C258" s="52">
        <v>1</v>
      </c>
      <c r="D258" s="53">
        <v>1</v>
      </c>
      <c r="E258" s="18">
        <v>0.24254314324679713</v>
      </c>
      <c r="F258" s="18">
        <v>0.99497767737633158</v>
      </c>
      <c r="G258" s="41">
        <v>0.42769426026174584</v>
      </c>
      <c r="H258" s="52">
        <v>1</v>
      </c>
      <c r="I258" s="52">
        <v>1</v>
      </c>
      <c r="J258" s="18">
        <v>0.41557325163843245</v>
      </c>
      <c r="K258" s="41">
        <v>0.52563761202015802</v>
      </c>
      <c r="L258" s="41">
        <v>0.81654593789788588</v>
      </c>
      <c r="M258" s="41">
        <v>1.9850487148355309</v>
      </c>
      <c r="N258" s="41">
        <v>0.86597310790675996</v>
      </c>
      <c r="O258" s="41">
        <v>0.86597310790675996</v>
      </c>
      <c r="P258" s="41">
        <v>0.83824854620632383</v>
      </c>
      <c r="Q258" s="41">
        <v>1.472680363684626</v>
      </c>
      <c r="R258" s="41">
        <v>0.85557178756446595</v>
      </c>
      <c r="S258" s="41">
        <v>0.86597310790675996</v>
      </c>
      <c r="T258" s="41">
        <v>0.86597310790675996</v>
      </c>
      <c r="U258" s="18">
        <v>0.64898681117701429</v>
      </c>
    </row>
    <row r="259" spans="1:21" x14ac:dyDescent="0.2">
      <c r="A259" s="5" t="s">
        <v>374</v>
      </c>
      <c r="B259" s="5" t="s">
        <v>17</v>
      </c>
      <c r="C259" s="52">
        <v>1</v>
      </c>
      <c r="D259" s="53">
        <v>1</v>
      </c>
      <c r="E259" s="18">
        <v>7.9865930683912217E-3</v>
      </c>
      <c r="F259" s="18">
        <v>0.99497767737633158</v>
      </c>
      <c r="G259" s="41">
        <v>0.45021108510471947</v>
      </c>
      <c r="H259" s="52">
        <v>1</v>
      </c>
      <c r="I259" s="52">
        <v>1</v>
      </c>
      <c r="J259" s="18">
        <v>0.41557325163843245</v>
      </c>
      <c r="K259" s="41">
        <v>0.4964576328409005</v>
      </c>
      <c r="L259" s="41">
        <v>1.1143987541552984</v>
      </c>
      <c r="M259" s="41">
        <v>1.7344326356888511</v>
      </c>
      <c r="N259" s="41">
        <v>0.84536476163903962</v>
      </c>
      <c r="O259" s="41">
        <v>0.84536476163903962</v>
      </c>
      <c r="P259" s="41">
        <v>0.48262749140142669</v>
      </c>
      <c r="Q259" s="41">
        <v>1.3887771663998527</v>
      </c>
      <c r="R259" s="41">
        <v>0.95817748198257946</v>
      </c>
      <c r="S259" s="41">
        <v>0.84536476163903962</v>
      </c>
      <c r="T259" s="41">
        <v>0.84536476163903962</v>
      </c>
      <c r="U259" s="18">
        <v>0.64898681117701429</v>
      </c>
    </row>
    <row r="260" spans="1:21" x14ac:dyDescent="0.2">
      <c r="A260" s="5" t="s">
        <v>375</v>
      </c>
      <c r="B260" s="5" t="s">
        <v>12</v>
      </c>
      <c r="C260" s="52">
        <v>1</v>
      </c>
      <c r="D260" s="53">
        <v>1</v>
      </c>
      <c r="E260" s="18">
        <v>0</v>
      </c>
      <c r="F260" s="18">
        <v>2.205117424332574</v>
      </c>
      <c r="G260" s="41">
        <v>1.0328577769708349</v>
      </c>
      <c r="H260" s="52">
        <v>1</v>
      </c>
      <c r="I260" s="52">
        <v>1</v>
      </c>
      <c r="J260" s="18">
        <v>0.95406907149215792</v>
      </c>
      <c r="K260" s="41">
        <v>1.1652753082434042</v>
      </c>
      <c r="L260" s="41">
        <v>2.0249999999999999</v>
      </c>
      <c r="M260" s="41">
        <v>0.88944904691176507</v>
      </c>
      <c r="N260" s="41">
        <v>0.52509032593771832</v>
      </c>
      <c r="O260" s="41">
        <v>0.52509032593771832</v>
      </c>
      <c r="P260" s="41">
        <v>2.1857787303798504</v>
      </c>
      <c r="Q260" s="41">
        <v>1.6032437748174644</v>
      </c>
      <c r="R260" s="41">
        <v>0.9903169992348656</v>
      </c>
      <c r="S260" s="41">
        <v>0.52509032593771832</v>
      </c>
      <c r="T260" s="41">
        <v>0.52509032593771832</v>
      </c>
      <c r="U260" s="18">
        <v>1.6875448438766889</v>
      </c>
    </row>
    <row r="261" spans="1:21" x14ac:dyDescent="0.2">
      <c r="A261" s="5" t="s">
        <v>376</v>
      </c>
      <c r="B261" s="5" t="s">
        <v>13</v>
      </c>
      <c r="C261" s="52">
        <v>1</v>
      </c>
      <c r="D261" s="53">
        <v>1</v>
      </c>
      <c r="E261" s="18">
        <v>0</v>
      </c>
      <c r="F261" s="18">
        <v>2.205117424332574</v>
      </c>
      <c r="G261" s="41">
        <v>0.89645196821513007</v>
      </c>
      <c r="H261" s="52">
        <v>1</v>
      </c>
      <c r="I261" s="52">
        <v>1</v>
      </c>
      <c r="J261" s="18">
        <v>0.95406907149215792</v>
      </c>
      <c r="K261" s="41">
        <v>1.4907626598632575</v>
      </c>
      <c r="L261" s="41">
        <v>2.0249999999999999</v>
      </c>
      <c r="M261" s="41">
        <v>0.88944904691176507</v>
      </c>
      <c r="N261" s="41">
        <v>0.57624595946093415</v>
      </c>
      <c r="O261" s="41">
        <v>0.57624595946093415</v>
      </c>
      <c r="P261" s="41">
        <v>1.843522242852206</v>
      </c>
      <c r="Q261" s="41">
        <v>1.3990886773996318</v>
      </c>
      <c r="R261" s="41">
        <v>1.042349571982613</v>
      </c>
      <c r="S261" s="41">
        <v>0.57624595946093415</v>
      </c>
      <c r="T261" s="41">
        <v>0.57624595946093415</v>
      </c>
      <c r="U261" s="18">
        <v>1.6875448438766889</v>
      </c>
    </row>
    <row r="262" spans="1:21" x14ac:dyDescent="0.2">
      <c r="A262" s="5" t="s">
        <v>377</v>
      </c>
      <c r="B262" s="5" t="s">
        <v>14</v>
      </c>
      <c r="C262" s="52">
        <v>1</v>
      </c>
      <c r="D262" s="53">
        <v>1</v>
      </c>
      <c r="E262" s="18">
        <v>1.4647574228328008E-2</v>
      </c>
      <c r="F262" s="18">
        <v>2.205117424332574</v>
      </c>
      <c r="G262" s="41">
        <v>0.99996740219881841</v>
      </c>
      <c r="H262" s="52">
        <v>1</v>
      </c>
      <c r="I262" s="52">
        <v>1</v>
      </c>
      <c r="J262" s="18">
        <v>0.95406907149215792</v>
      </c>
      <c r="K262" s="41">
        <v>0.80898887528518604</v>
      </c>
      <c r="L262" s="41">
        <v>2.0249999999999999</v>
      </c>
      <c r="M262" s="41">
        <v>0.88944904691176507</v>
      </c>
      <c r="N262" s="41">
        <v>0.37875306660063096</v>
      </c>
      <c r="O262" s="41">
        <v>0.37875306660063096</v>
      </c>
      <c r="P262" s="41">
        <v>1.0942769001334756</v>
      </c>
      <c r="Q262" s="41">
        <v>1.3156673466725979</v>
      </c>
      <c r="R262" s="41">
        <v>0.81746304282793958</v>
      </c>
      <c r="S262" s="41">
        <v>0.37875306660063096</v>
      </c>
      <c r="T262" s="41">
        <v>0.37875306660063096</v>
      </c>
      <c r="U262" s="18">
        <v>1.6875448438766889</v>
      </c>
    </row>
    <row r="263" spans="1:21" x14ac:dyDescent="0.2">
      <c r="A263" s="5" t="s">
        <v>378</v>
      </c>
      <c r="B263" s="5" t="s">
        <v>15</v>
      </c>
      <c r="C263" s="52">
        <v>1</v>
      </c>
      <c r="D263" s="53">
        <v>1</v>
      </c>
      <c r="E263" s="18">
        <v>0</v>
      </c>
      <c r="F263" s="18">
        <v>2.205117424332574</v>
      </c>
      <c r="G263" s="41">
        <v>0.22276888355662813</v>
      </c>
      <c r="H263" s="52">
        <v>1</v>
      </c>
      <c r="I263" s="52">
        <v>1</v>
      </c>
      <c r="J263" s="18">
        <v>0.95406907149215792</v>
      </c>
      <c r="K263" s="41">
        <v>0.17403973797479197</v>
      </c>
      <c r="L263" s="41">
        <v>30.9216686047378</v>
      </c>
      <c r="M263" s="41">
        <v>0.88944904691176496</v>
      </c>
      <c r="N263" s="41">
        <v>8.1720390626021766E-2</v>
      </c>
      <c r="O263" s="41">
        <v>8.1720390626021766E-2</v>
      </c>
      <c r="P263" s="41">
        <v>0.42770306271413649</v>
      </c>
      <c r="Q263" s="41">
        <v>0.25976837589652862</v>
      </c>
      <c r="R263" s="41">
        <v>0.17731386993199083</v>
      </c>
      <c r="S263" s="41">
        <v>8.1720390626021766E-2</v>
      </c>
      <c r="T263" s="41">
        <v>8.1720390626021766E-2</v>
      </c>
      <c r="U263" s="18">
        <v>1.6875448438766889</v>
      </c>
    </row>
    <row r="264" spans="1:21" x14ac:dyDescent="0.2">
      <c r="A264" s="5" t="s">
        <v>379</v>
      </c>
      <c r="B264" s="5" t="s">
        <v>16</v>
      </c>
      <c r="C264" s="52">
        <v>1</v>
      </c>
      <c r="D264" s="53">
        <v>1</v>
      </c>
      <c r="E264" s="18">
        <v>0</v>
      </c>
      <c r="F264" s="18">
        <v>2.205117424332574</v>
      </c>
      <c r="G264" s="41">
        <v>0.46174207858600669</v>
      </c>
      <c r="H264" s="52">
        <v>1</v>
      </c>
      <c r="I264" s="52">
        <v>1</v>
      </c>
      <c r="J264" s="18">
        <v>0.95406907149215792</v>
      </c>
      <c r="K264" s="41">
        <v>0.69925116034230195</v>
      </c>
      <c r="L264" s="41">
        <v>16.05502158437028</v>
      </c>
      <c r="M264" s="41">
        <v>2.2891752922955542</v>
      </c>
      <c r="N264" s="41">
        <v>0.28078676860025176</v>
      </c>
      <c r="O264" s="41">
        <v>0.28078676860025176</v>
      </c>
      <c r="P264" s="41">
        <v>0.96059078480364402</v>
      </c>
      <c r="Q264" s="41">
        <v>1.275910848988546</v>
      </c>
      <c r="R264" s="41">
        <v>0.60987690964523944</v>
      </c>
      <c r="S264" s="41">
        <v>0.28078676860025176</v>
      </c>
      <c r="T264" s="41">
        <v>0.28078676860025176</v>
      </c>
      <c r="U264" s="18">
        <v>1.6875448438766889</v>
      </c>
    </row>
    <row r="265" spans="1:21" x14ac:dyDescent="0.2">
      <c r="A265" s="5" t="s">
        <v>380</v>
      </c>
      <c r="B265" s="5" t="s">
        <v>17</v>
      </c>
      <c r="C265" s="52">
        <v>1</v>
      </c>
      <c r="D265" s="53">
        <v>1</v>
      </c>
      <c r="E265" s="18">
        <v>1.4647574228328008E-2</v>
      </c>
      <c r="F265" s="18">
        <v>2.205117424332574</v>
      </c>
      <c r="G265" s="41">
        <v>0.96185536928903115</v>
      </c>
      <c r="H265" s="52">
        <v>1</v>
      </c>
      <c r="I265" s="52">
        <v>1</v>
      </c>
      <c r="J265" s="18">
        <v>0.95406907149215792</v>
      </c>
      <c r="K265" s="41">
        <v>0.68528731958957589</v>
      </c>
      <c r="L265" s="41">
        <v>4.7628251885544381</v>
      </c>
      <c r="M265" s="41">
        <v>3.9058589614090984</v>
      </c>
      <c r="N265" s="41">
        <v>0.33683171931617994</v>
      </c>
      <c r="O265" s="41">
        <v>0.33683171931617994</v>
      </c>
      <c r="P265" s="41">
        <v>1.1352925839915697</v>
      </c>
      <c r="Q265" s="41">
        <v>1.4527335209573642</v>
      </c>
      <c r="R265" s="41">
        <v>0.96383970218654857</v>
      </c>
      <c r="S265" s="41">
        <v>0.33683171931617994</v>
      </c>
      <c r="T265" s="41">
        <v>0.33683171931617994</v>
      </c>
      <c r="U265" s="18">
        <v>1.6875448438766889</v>
      </c>
    </row>
    <row r="266" spans="1:21" x14ac:dyDescent="0.2">
      <c r="A266" s="5" t="s">
        <v>381</v>
      </c>
      <c r="B266" s="5" t="s">
        <v>12</v>
      </c>
      <c r="C266" s="52">
        <v>1</v>
      </c>
      <c r="D266" s="53">
        <v>1</v>
      </c>
      <c r="E266" s="18">
        <v>0</v>
      </c>
      <c r="F266" s="18">
        <v>0.61261340880967086</v>
      </c>
      <c r="G266" s="41">
        <v>1.3816477796253308</v>
      </c>
      <c r="H266" s="52">
        <v>1</v>
      </c>
      <c r="I266" s="52">
        <v>1</v>
      </c>
      <c r="J266" s="18">
        <v>1.1597689021170505</v>
      </c>
      <c r="K266" s="41">
        <v>0.500338769552647</v>
      </c>
      <c r="L266" s="41">
        <v>0.11439761059057175</v>
      </c>
      <c r="M266" s="41">
        <v>1.462386636365254</v>
      </c>
      <c r="N266" s="41">
        <v>0.7776476004497046</v>
      </c>
      <c r="O266" s="41">
        <v>0.7776476004497046</v>
      </c>
      <c r="P266" s="41">
        <v>0.9880101634664078</v>
      </c>
      <c r="Q266" s="41">
        <v>0.17095016866401064</v>
      </c>
      <c r="R266" s="41">
        <v>0.80368297624290597</v>
      </c>
      <c r="S266" s="41">
        <v>0.7776476004497046</v>
      </c>
      <c r="T266" s="41">
        <v>0.7776476004497046</v>
      </c>
      <c r="U266" s="18">
        <v>0.33308353458729523</v>
      </c>
    </row>
    <row r="267" spans="1:21" x14ac:dyDescent="0.2">
      <c r="A267" s="5" t="s">
        <v>382</v>
      </c>
      <c r="B267" s="5" t="s">
        <v>13</v>
      </c>
      <c r="C267" s="52">
        <v>1</v>
      </c>
      <c r="D267" s="53">
        <v>1</v>
      </c>
      <c r="E267" s="18">
        <v>0.33723236864731382</v>
      </c>
      <c r="F267" s="18">
        <v>0.61261340880967086</v>
      </c>
      <c r="G267" s="41">
        <v>1.3816477796253308</v>
      </c>
      <c r="H267" s="52">
        <v>1</v>
      </c>
      <c r="I267" s="52">
        <v>1</v>
      </c>
      <c r="J267" s="18">
        <v>1.1597689021170505</v>
      </c>
      <c r="K267" s="41">
        <v>0.500338769552647</v>
      </c>
      <c r="L267" s="41">
        <v>0.11439761059057175</v>
      </c>
      <c r="M267" s="41">
        <v>1.462386636365254</v>
      </c>
      <c r="N267" s="41">
        <v>0.7776476004497046</v>
      </c>
      <c r="O267" s="41">
        <v>0.7776476004497046</v>
      </c>
      <c r="P267" s="41">
        <v>0.9880101634664078</v>
      </c>
      <c r="Q267" s="41">
        <v>0.17095016866401064</v>
      </c>
      <c r="R267" s="41">
        <v>0.80368297624290597</v>
      </c>
      <c r="S267" s="41">
        <v>0.7776476004497046</v>
      </c>
      <c r="T267" s="41">
        <v>0.7776476004497046</v>
      </c>
      <c r="U267" s="18">
        <v>0.33308353458729523</v>
      </c>
    </row>
    <row r="268" spans="1:21" x14ac:dyDescent="0.2">
      <c r="A268" s="5" t="s">
        <v>383</v>
      </c>
      <c r="B268" s="5" t="s">
        <v>14</v>
      </c>
      <c r="C268" s="52">
        <v>1</v>
      </c>
      <c r="D268" s="53">
        <v>1</v>
      </c>
      <c r="E268" s="18">
        <v>6.75532263882513E-2</v>
      </c>
      <c r="F268" s="18">
        <v>0.61261340880967086</v>
      </c>
      <c r="G268" s="41">
        <v>1.3816477796253308</v>
      </c>
      <c r="H268" s="52">
        <v>1</v>
      </c>
      <c r="I268" s="52">
        <v>1</v>
      </c>
      <c r="J268" s="18">
        <v>1.1597689021170505</v>
      </c>
      <c r="K268" s="41">
        <v>0.500338769552647</v>
      </c>
      <c r="L268" s="41">
        <v>0.11439761059057175</v>
      </c>
      <c r="M268" s="41">
        <v>1.462386636365254</v>
      </c>
      <c r="N268" s="41">
        <v>0.7776476004497046</v>
      </c>
      <c r="O268" s="41">
        <v>0.7776476004497046</v>
      </c>
      <c r="P268" s="41">
        <v>0.9880101634664078</v>
      </c>
      <c r="Q268" s="41">
        <v>0.17095016866401064</v>
      </c>
      <c r="R268" s="41">
        <v>0.80368297624290597</v>
      </c>
      <c r="S268" s="41">
        <v>0.7776476004497046</v>
      </c>
      <c r="T268" s="41">
        <v>0.7776476004497046</v>
      </c>
      <c r="U268" s="18">
        <v>0.33308353458729523</v>
      </c>
    </row>
    <row r="269" spans="1:21" x14ac:dyDescent="0.2">
      <c r="A269" s="5" t="s">
        <v>384</v>
      </c>
      <c r="B269" s="5" t="s">
        <v>15</v>
      </c>
      <c r="C269" s="52">
        <v>1</v>
      </c>
      <c r="D269" s="53">
        <v>1</v>
      </c>
      <c r="E269" s="18">
        <v>0</v>
      </c>
      <c r="F269" s="18">
        <v>0.61261340880967086</v>
      </c>
      <c r="G269" s="41">
        <v>1.2485168802965991</v>
      </c>
      <c r="H269" s="52">
        <v>1</v>
      </c>
      <c r="I269" s="52">
        <v>1</v>
      </c>
      <c r="J269" s="18">
        <v>1.1597689021170505</v>
      </c>
      <c r="K269" s="41">
        <v>0.49888807276734881</v>
      </c>
      <c r="L269" s="41">
        <v>5.4635254337316919E-2</v>
      </c>
      <c r="M269" s="41">
        <v>1.9685050121462198</v>
      </c>
      <c r="N269" s="41">
        <v>0.67373149953212697</v>
      </c>
      <c r="O269" s="41">
        <v>0.67373149953212697</v>
      </c>
      <c r="P269" s="41">
        <v>0.69946217211957284</v>
      </c>
      <c r="Q269" s="41">
        <v>0.11114805603545029</v>
      </c>
      <c r="R269" s="41">
        <v>0.56066081505304322</v>
      </c>
      <c r="S269" s="41">
        <v>0.67373149953212697</v>
      </c>
      <c r="T269" s="41">
        <v>0.67373149953212697</v>
      </c>
      <c r="U269" s="18">
        <v>0.33308353458729523</v>
      </c>
    </row>
    <row r="270" spans="1:21" x14ac:dyDescent="0.2">
      <c r="A270" s="5" t="s">
        <v>385</v>
      </c>
      <c r="B270" s="5" t="s">
        <v>16</v>
      </c>
      <c r="C270" s="52">
        <v>1</v>
      </c>
      <c r="D270" s="53">
        <v>1</v>
      </c>
      <c r="E270" s="18">
        <v>0.33723236864731382</v>
      </c>
      <c r="F270" s="18">
        <v>0.61261340880967086</v>
      </c>
      <c r="G270" s="41">
        <v>1.4066292518904195</v>
      </c>
      <c r="H270" s="52">
        <v>1</v>
      </c>
      <c r="I270" s="52">
        <v>1</v>
      </c>
      <c r="J270" s="18">
        <v>1.1597689021170505</v>
      </c>
      <c r="K270" s="41">
        <v>0.51587662194650163</v>
      </c>
      <c r="L270" s="41">
        <v>5.9483475212254056E-2</v>
      </c>
      <c r="M270" s="41">
        <v>1.1771649459749443</v>
      </c>
      <c r="N270" s="41">
        <v>0.81292892723951871</v>
      </c>
      <c r="O270" s="41">
        <v>0.81292892723951871</v>
      </c>
      <c r="P270" s="41">
        <v>1.4989048027747018</v>
      </c>
      <c r="Q270" s="41">
        <v>0.18043072314325759</v>
      </c>
      <c r="R270" s="41">
        <v>0.92381672910822998</v>
      </c>
      <c r="S270" s="41">
        <v>0.81292892723951871</v>
      </c>
      <c r="T270" s="41">
        <v>0.81292892723951871</v>
      </c>
      <c r="U270" s="18">
        <v>0.33308353458729523</v>
      </c>
    </row>
    <row r="271" spans="1:21" x14ac:dyDescent="0.2">
      <c r="A271" s="5" t="s">
        <v>386</v>
      </c>
      <c r="B271" s="5" t="s">
        <v>17</v>
      </c>
      <c r="C271" s="52">
        <v>1</v>
      </c>
      <c r="D271" s="53">
        <v>1</v>
      </c>
      <c r="E271" s="18">
        <v>6.75532263882513E-2</v>
      </c>
      <c r="F271" s="18">
        <v>0.61261340880967086</v>
      </c>
      <c r="G271" s="41">
        <v>1.5278212132395903</v>
      </c>
      <c r="H271" s="52">
        <v>1</v>
      </c>
      <c r="I271" s="52">
        <v>1</v>
      </c>
      <c r="J271" s="18">
        <v>1.1597689021170505</v>
      </c>
      <c r="K271" s="41">
        <v>0.48104782568734339</v>
      </c>
      <c r="L271" s="41">
        <v>0.26910749058414329</v>
      </c>
      <c r="M271" s="41">
        <v>1.1682065243349142</v>
      </c>
      <c r="N271" s="41">
        <v>0.86989125358618791</v>
      </c>
      <c r="O271" s="41">
        <v>0.86989125358618791</v>
      </c>
      <c r="P271" s="41">
        <v>0.68026664728665054</v>
      </c>
      <c r="Q271" s="41">
        <v>0.23896447844316709</v>
      </c>
      <c r="R271" s="41">
        <v>0.96856974411251162</v>
      </c>
      <c r="S271" s="41">
        <v>0.86989125358618791</v>
      </c>
      <c r="T271" s="41">
        <v>0.86989125358618791</v>
      </c>
      <c r="U271" s="18">
        <v>0.33308353458729523</v>
      </c>
    </row>
    <row r="272" spans="1:21" x14ac:dyDescent="0.2">
      <c r="A272" s="5" t="s">
        <v>387</v>
      </c>
      <c r="B272" s="5" t="s">
        <v>12</v>
      </c>
      <c r="C272" s="52">
        <v>1</v>
      </c>
      <c r="D272" s="53">
        <v>1</v>
      </c>
      <c r="E272" s="18">
        <v>0</v>
      </c>
      <c r="F272" s="18">
        <v>0.78178570595994668</v>
      </c>
      <c r="G272" s="41">
        <v>0.57901321582213428</v>
      </c>
      <c r="H272" s="52">
        <v>1</v>
      </c>
      <c r="I272" s="52">
        <v>1</v>
      </c>
      <c r="J272" s="18">
        <v>0.35726247771418185</v>
      </c>
      <c r="K272" s="41">
        <v>0.35025178360722131</v>
      </c>
      <c r="L272" s="41">
        <v>0.30375340495763403</v>
      </c>
      <c r="M272" s="41">
        <v>1.2316982851448754</v>
      </c>
      <c r="N272" s="41">
        <v>1.1263712055604458</v>
      </c>
      <c r="O272" s="41">
        <v>1.1263712055604458</v>
      </c>
      <c r="P272" s="41">
        <v>0.62765634330305331</v>
      </c>
      <c r="Q272" s="41">
        <v>2.0164005211259699</v>
      </c>
      <c r="R272" s="41">
        <v>1.016343768075584</v>
      </c>
      <c r="S272" s="41">
        <v>1.1263712055604458</v>
      </c>
      <c r="T272" s="41">
        <v>1.1263712055604458</v>
      </c>
      <c r="U272" s="18">
        <v>0.65106745458991666</v>
      </c>
    </row>
    <row r="273" spans="1:21" x14ac:dyDescent="0.2">
      <c r="A273" s="5" t="s">
        <v>388</v>
      </c>
      <c r="B273" s="5" t="s">
        <v>13</v>
      </c>
      <c r="C273" s="52">
        <v>1</v>
      </c>
      <c r="D273" s="53">
        <v>1</v>
      </c>
      <c r="E273" s="18">
        <v>0</v>
      </c>
      <c r="F273" s="18">
        <v>0.78178570595994668</v>
      </c>
      <c r="G273" s="41">
        <v>0.57804763462653452</v>
      </c>
      <c r="H273" s="52">
        <v>1</v>
      </c>
      <c r="I273" s="52">
        <v>1</v>
      </c>
      <c r="J273" s="18">
        <v>0.35726247771418185</v>
      </c>
      <c r="K273" s="41">
        <v>0.37779417617366862</v>
      </c>
      <c r="L273" s="41">
        <v>0.13768112632561799</v>
      </c>
      <c r="M273" s="41">
        <v>1.2868864569710423</v>
      </c>
      <c r="N273" s="41">
        <v>1.0118329337147287</v>
      </c>
      <c r="O273" s="41">
        <v>1.0118329337147287</v>
      </c>
      <c r="P273" s="41">
        <v>0.63079945164671491</v>
      </c>
      <c r="Q273" s="41">
        <v>2.0677061677198991</v>
      </c>
      <c r="R273" s="41">
        <v>0.97039062312299273</v>
      </c>
      <c r="S273" s="41">
        <v>1.0118329337147287</v>
      </c>
      <c r="T273" s="41">
        <v>1.0118329337147287</v>
      </c>
      <c r="U273" s="18">
        <v>0.65106745458991666</v>
      </c>
    </row>
    <row r="274" spans="1:21" x14ac:dyDescent="0.2">
      <c r="A274" s="5" t="s">
        <v>389</v>
      </c>
      <c r="B274" s="5" t="s">
        <v>14</v>
      </c>
      <c r="C274" s="52">
        <v>1</v>
      </c>
      <c r="D274" s="53">
        <v>1</v>
      </c>
      <c r="E274" s="18">
        <v>6.8916731633163622E-3</v>
      </c>
      <c r="F274" s="18">
        <v>0.78178570595994668</v>
      </c>
      <c r="G274" s="41">
        <v>0.57901321582213428</v>
      </c>
      <c r="H274" s="52">
        <v>1</v>
      </c>
      <c r="I274" s="52">
        <v>1</v>
      </c>
      <c r="J274" s="18">
        <v>0.35726247771418185</v>
      </c>
      <c r="K274" s="41">
        <v>0.35025178360722131</v>
      </c>
      <c r="L274" s="41">
        <v>0.30375340495763403</v>
      </c>
      <c r="M274" s="41">
        <v>1.2316982851448754</v>
      </c>
      <c r="N274" s="41">
        <v>1.1263712055604458</v>
      </c>
      <c r="O274" s="41">
        <v>1.1263712055604458</v>
      </c>
      <c r="P274" s="41">
        <v>0.62765634330305331</v>
      </c>
      <c r="Q274" s="41">
        <v>2.0164005211259699</v>
      </c>
      <c r="R274" s="41">
        <v>1.016343768075584</v>
      </c>
      <c r="S274" s="41">
        <v>1.1263712055604458</v>
      </c>
      <c r="T274" s="41">
        <v>1.1263712055604458</v>
      </c>
      <c r="U274" s="18">
        <v>0.65106745458991666</v>
      </c>
    </row>
    <row r="275" spans="1:21" x14ac:dyDescent="0.2">
      <c r="A275" s="5" t="s">
        <v>390</v>
      </c>
      <c r="B275" s="5" t="s">
        <v>15</v>
      </c>
      <c r="C275" s="52">
        <v>1</v>
      </c>
      <c r="D275" s="53">
        <v>1</v>
      </c>
      <c r="E275" s="18">
        <v>0</v>
      </c>
      <c r="F275" s="18">
        <v>0.78178570595994668</v>
      </c>
      <c r="G275" s="41">
        <v>0.57901321582213428</v>
      </c>
      <c r="H275" s="52">
        <v>1</v>
      </c>
      <c r="I275" s="52">
        <v>1</v>
      </c>
      <c r="J275" s="18">
        <v>0.35726247771418185</v>
      </c>
      <c r="K275" s="41">
        <v>0.35025178360722131</v>
      </c>
      <c r="L275" s="41">
        <v>0.30375340495763403</v>
      </c>
      <c r="M275" s="41">
        <v>1.2316982851448754</v>
      </c>
      <c r="N275" s="41">
        <v>1.1263712055604458</v>
      </c>
      <c r="O275" s="41">
        <v>1.1263712055604458</v>
      </c>
      <c r="P275" s="41">
        <v>0.62765634330305331</v>
      </c>
      <c r="Q275" s="41">
        <v>2.0164005211259699</v>
      </c>
      <c r="R275" s="41">
        <v>1.016343768075584</v>
      </c>
      <c r="S275" s="41">
        <v>1.1263712055604458</v>
      </c>
      <c r="T275" s="41">
        <v>1.1263712055604458</v>
      </c>
      <c r="U275" s="18">
        <v>0.65106745458991666</v>
      </c>
    </row>
    <row r="276" spans="1:21" x14ac:dyDescent="0.2">
      <c r="A276" s="5" t="s">
        <v>391</v>
      </c>
      <c r="B276" s="5" t="s">
        <v>16</v>
      </c>
      <c r="C276" s="52">
        <v>1</v>
      </c>
      <c r="D276" s="53">
        <v>1</v>
      </c>
      <c r="E276" s="18">
        <v>0</v>
      </c>
      <c r="F276" s="18">
        <v>0.78178570595994668</v>
      </c>
      <c r="G276" s="41">
        <v>0.57901321582213428</v>
      </c>
      <c r="H276" s="52">
        <v>1</v>
      </c>
      <c r="I276" s="52">
        <v>1</v>
      </c>
      <c r="J276" s="18">
        <v>0.35726247771418185</v>
      </c>
      <c r="K276" s="41">
        <v>0.35025178360722131</v>
      </c>
      <c r="L276" s="41">
        <v>0.30375340495763403</v>
      </c>
      <c r="M276" s="41">
        <v>1.2316982851448754</v>
      </c>
      <c r="N276" s="41">
        <v>1.1263712055604458</v>
      </c>
      <c r="O276" s="41">
        <v>1.1263712055604458</v>
      </c>
      <c r="P276" s="41">
        <v>0.62765634330305331</v>
      </c>
      <c r="Q276" s="41">
        <v>2.0164005211259699</v>
      </c>
      <c r="R276" s="41">
        <v>1.016343768075584</v>
      </c>
      <c r="S276" s="41">
        <v>1.1263712055604458</v>
      </c>
      <c r="T276" s="41">
        <v>1.1263712055604458</v>
      </c>
      <c r="U276" s="18">
        <v>0.65106745458991666</v>
      </c>
    </row>
    <row r="277" spans="1:21" x14ac:dyDescent="0.2">
      <c r="A277" s="5" t="s">
        <v>392</v>
      </c>
      <c r="B277" s="5" t="s">
        <v>17</v>
      </c>
      <c r="C277" s="52">
        <v>1</v>
      </c>
      <c r="D277" s="53">
        <v>1</v>
      </c>
      <c r="E277" s="18">
        <v>6.8916731633163622E-3</v>
      </c>
      <c r="F277" s="18">
        <v>0.78178570595994668</v>
      </c>
      <c r="G277" s="41">
        <v>0.57859229595760509</v>
      </c>
      <c r="H277" s="52">
        <v>1</v>
      </c>
      <c r="I277" s="52">
        <v>1</v>
      </c>
      <c r="J277" s="18">
        <v>0.35726247771418185</v>
      </c>
      <c r="K277" s="41">
        <v>0.34225877097303392</v>
      </c>
      <c r="L277" s="41">
        <v>0.35124737955629282</v>
      </c>
      <c r="M277" s="41">
        <v>1.2162178877944212</v>
      </c>
      <c r="N277" s="41">
        <v>1.1607076108697019</v>
      </c>
      <c r="O277" s="41">
        <v>1.1607076108697019</v>
      </c>
      <c r="P277" s="41">
        <v>0.62762156323921314</v>
      </c>
      <c r="Q277" s="41">
        <v>2.0087412373381146</v>
      </c>
      <c r="R277" s="41">
        <v>1.0285548165269978</v>
      </c>
      <c r="S277" s="41">
        <v>1.1607076108697019</v>
      </c>
      <c r="T277" s="41">
        <v>1.1607076108697019</v>
      </c>
      <c r="U277" s="18">
        <v>0.65106745458991666</v>
      </c>
    </row>
    <row r="278" spans="1:21" x14ac:dyDescent="0.2">
      <c r="A278" s="5" t="s">
        <v>393</v>
      </c>
      <c r="B278" s="5" t="s">
        <v>12</v>
      </c>
      <c r="C278" s="52">
        <v>1</v>
      </c>
      <c r="D278" s="53">
        <v>1</v>
      </c>
      <c r="E278" s="18">
        <v>0</v>
      </c>
      <c r="F278" s="18">
        <v>1.676610192234566</v>
      </c>
      <c r="G278" s="41">
        <v>0.96749761535938861</v>
      </c>
      <c r="H278" s="52">
        <v>1</v>
      </c>
      <c r="I278" s="52">
        <v>1</v>
      </c>
      <c r="J278" s="18">
        <v>0.32490693968109546</v>
      </c>
      <c r="K278" s="41">
        <v>0.500338769552647</v>
      </c>
      <c r="L278" s="41">
        <v>7.1206240778740937E-2</v>
      </c>
      <c r="M278" s="41">
        <v>0.73730636271829986</v>
      </c>
      <c r="N278" s="41">
        <v>1.1285716417795559</v>
      </c>
      <c r="O278" s="41">
        <v>1.1285716417795559</v>
      </c>
      <c r="P278" s="41">
        <v>0.69882215757350441</v>
      </c>
      <c r="Q278" s="41">
        <v>1.1171402673546034</v>
      </c>
      <c r="R278" s="41">
        <v>1.25</v>
      </c>
      <c r="S278" s="41">
        <v>1.1285716417795559</v>
      </c>
      <c r="T278" s="41">
        <v>1.1285716417795559</v>
      </c>
      <c r="U278" s="18">
        <v>0.91477913304253755</v>
      </c>
    </row>
    <row r="279" spans="1:21" x14ac:dyDescent="0.2">
      <c r="A279" s="5" t="s">
        <v>394</v>
      </c>
      <c r="B279" s="5" t="s">
        <v>13</v>
      </c>
      <c r="C279" s="52">
        <v>1</v>
      </c>
      <c r="D279" s="53">
        <v>1</v>
      </c>
      <c r="E279" s="18">
        <v>0</v>
      </c>
      <c r="F279" s="18">
        <v>1.676610192234566</v>
      </c>
      <c r="G279" s="41">
        <v>0.96749761535938861</v>
      </c>
      <c r="H279" s="52">
        <v>1</v>
      </c>
      <c r="I279" s="52">
        <v>1</v>
      </c>
      <c r="J279" s="18">
        <v>0.32490693968109546</v>
      </c>
      <c r="K279" s="41">
        <v>0.500338769552647</v>
      </c>
      <c r="L279" s="41">
        <v>7.1206240778740937E-2</v>
      </c>
      <c r="M279" s="41">
        <v>0.73730636271829986</v>
      </c>
      <c r="N279" s="41">
        <v>1.1285716417795559</v>
      </c>
      <c r="O279" s="41">
        <v>1.1285716417795559</v>
      </c>
      <c r="P279" s="41">
        <v>0.69882215757350441</v>
      </c>
      <c r="Q279" s="41">
        <v>1.1171402673546034</v>
      </c>
      <c r="R279" s="41">
        <v>1.25</v>
      </c>
      <c r="S279" s="41">
        <v>1.1285716417795559</v>
      </c>
      <c r="T279" s="41">
        <v>1.1285716417795559</v>
      </c>
      <c r="U279" s="18">
        <v>0.91477913304253755</v>
      </c>
    </row>
    <row r="280" spans="1:21" x14ac:dyDescent="0.2">
      <c r="A280" s="5" t="s">
        <v>395</v>
      </c>
      <c r="B280" s="5" t="s">
        <v>14</v>
      </c>
      <c r="C280" s="52">
        <v>1</v>
      </c>
      <c r="D280" s="53">
        <v>1</v>
      </c>
      <c r="E280" s="18">
        <v>1.6270662286451729E-2</v>
      </c>
      <c r="F280" s="18">
        <v>1.676610192234566</v>
      </c>
      <c r="G280" s="41">
        <v>0.96749761535938861</v>
      </c>
      <c r="H280" s="52">
        <v>1</v>
      </c>
      <c r="I280" s="52">
        <v>1</v>
      </c>
      <c r="J280" s="18">
        <v>0.32490693968109546</v>
      </c>
      <c r="K280" s="41">
        <v>0.500338769552647</v>
      </c>
      <c r="L280" s="41">
        <v>7.1206240778740937E-2</v>
      </c>
      <c r="M280" s="41">
        <v>0.73730636271829986</v>
      </c>
      <c r="N280" s="41">
        <v>1.1285716417795559</v>
      </c>
      <c r="O280" s="41">
        <v>1.1285716417795559</v>
      </c>
      <c r="P280" s="41">
        <v>0.69882215757350441</v>
      </c>
      <c r="Q280" s="41">
        <v>1.1171402673546034</v>
      </c>
      <c r="R280" s="41">
        <v>1.25</v>
      </c>
      <c r="S280" s="41">
        <v>1.1285716417795559</v>
      </c>
      <c r="T280" s="41">
        <v>1.1285716417795559</v>
      </c>
      <c r="U280" s="18">
        <v>0.91477913304253755</v>
      </c>
    </row>
    <row r="281" spans="1:21" x14ac:dyDescent="0.2">
      <c r="A281" s="5" t="s">
        <v>396</v>
      </c>
      <c r="B281" s="5" t="s">
        <v>15</v>
      </c>
      <c r="C281" s="52">
        <v>1</v>
      </c>
      <c r="D281" s="53">
        <v>1</v>
      </c>
      <c r="E281" s="18">
        <v>0</v>
      </c>
      <c r="F281" s="18">
        <v>1.676610192234566</v>
      </c>
      <c r="G281" s="41">
        <v>0.96749761535938861</v>
      </c>
      <c r="H281" s="52">
        <v>1</v>
      </c>
      <c r="I281" s="52">
        <v>1</v>
      </c>
      <c r="J281" s="18">
        <v>0.32490693968109546</v>
      </c>
      <c r="K281" s="41">
        <v>0.500338769552647</v>
      </c>
      <c r="L281" s="41">
        <v>7.1206240778740937E-2</v>
      </c>
      <c r="M281" s="41">
        <v>0.73730636271829986</v>
      </c>
      <c r="N281" s="41">
        <v>1.1285716417795559</v>
      </c>
      <c r="O281" s="41">
        <v>1.1285716417795559</v>
      </c>
      <c r="P281" s="41">
        <v>0.69882215757350441</v>
      </c>
      <c r="Q281" s="41">
        <v>1.1171402673546034</v>
      </c>
      <c r="R281" s="41">
        <v>1.25</v>
      </c>
      <c r="S281" s="41">
        <v>1.1285716417795559</v>
      </c>
      <c r="T281" s="41">
        <v>1.1285716417795559</v>
      </c>
      <c r="U281" s="18">
        <v>0.91477913304253755</v>
      </c>
    </row>
    <row r="282" spans="1:21" x14ac:dyDescent="0.2">
      <c r="A282" s="5" t="s">
        <v>397</v>
      </c>
      <c r="B282" s="5" t="s">
        <v>16</v>
      </c>
      <c r="C282" s="52">
        <v>1</v>
      </c>
      <c r="D282" s="53">
        <v>1</v>
      </c>
      <c r="E282" s="18">
        <v>0</v>
      </c>
      <c r="F282" s="18">
        <v>1.676610192234566</v>
      </c>
      <c r="G282" s="41">
        <v>1.0263031427074418</v>
      </c>
      <c r="H282" s="52">
        <v>1</v>
      </c>
      <c r="I282" s="52">
        <v>1</v>
      </c>
      <c r="J282" s="18">
        <v>0.32490693968109546</v>
      </c>
      <c r="K282" s="41">
        <v>0.58204218325425006</v>
      </c>
      <c r="L282" s="41">
        <v>4.3034052940375316E-2</v>
      </c>
      <c r="M282" s="41">
        <v>0.67608709740571427</v>
      </c>
      <c r="N282" s="41">
        <v>0.96601684214658468</v>
      </c>
      <c r="O282" s="41">
        <v>0.96601684214658468</v>
      </c>
      <c r="P282" s="41">
        <v>0.94847226899576709</v>
      </c>
      <c r="Q282" s="41">
        <v>0.76608058396125323</v>
      </c>
      <c r="R282" s="41">
        <v>1.1776461495720234</v>
      </c>
      <c r="S282" s="41">
        <v>0.96601684214658468</v>
      </c>
      <c r="T282" s="41">
        <v>0.96601684214658468</v>
      </c>
      <c r="U282" s="18">
        <v>0.91477913304253755</v>
      </c>
    </row>
    <row r="283" spans="1:21" x14ac:dyDescent="0.2">
      <c r="A283" s="5" t="s">
        <v>398</v>
      </c>
      <c r="B283" s="5" t="s">
        <v>17</v>
      </c>
      <c r="C283" s="52">
        <v>1</v>
      </c>
      <c r="D283" s="53">
        <v>1</v>
      </c>
      <c r="E283" s="18">
        <v>1.6270662286451729E-2</v>
      </c>
      <c r="F283" s="18">
        <v>1.676610192234566</v>
      </c>
      <c r="G283" s="41">
        <v>0.95524539173816836</v>
      </c>
      <c r="H283" s="52">
        <v>1</v>
      </c>
      <c r="I283" s="52">
        <v>1</v>
      </c>
      <c r="J283" s="18">
        <v>0.32490693968109546</v>
      </c>
      <c r="K283" s="41">
        <v>0.48331573548708678</v>
      </c>
      <c r="L283" s="41">
        <v>7.7075960188818057E-2</v>
      </c>
      <c r="M283" s="41">
        <v>0.75006149242060083</v>
      </c>
      <c r="N283" s="41">
        <v>1.1624401885917939</v>
      </c>
      <c r="O283" s="41">
        <v>1.1624401885917939</v>
      </c>
      <c r="P283" s="41">
        <v>0.64680716629378632</v>
      </c>
      <c r="Q283" s="41">
        <v>1.1902841016046097</v>
      </c>
      <c r="R283" s="41">
        <v>1.2650750379305844</v>
      </c>
      <c r="S283" s="41">
        <v>1.1624401885917939</v>
      </c>
      <c r="T283" s="41">
        <v>1.1624401885917939</v>
      </c>
      <c r="U283" s="18">
        <v>0.91477913304253755</v>
      </c>
    </row>
    <row r="284" spans="1:21" x14ac:dyDescent="0.2">
      <c r="A284" s="5" t="s">
        <v>399</v>
      </c>
      <c r="B284" s="5" t="s">
        <v>12</v>
      </c>
      <c r="C284" s="52">
        <v>1</v>
      </c>
      <c r="D284" s="53">
        <v>1</v>
      </c>
      <c r="E284" s="18">
        <v>0.46388846188816774</v>
      </c>
      <c r="F284" s="18">
        <v>0.57266786852774598</v>
      </c>
      <c r="G284" s="41">
        <v>1.8275826861465696</v>
      </c>
      <c r="H284" s="52">
        <v>1</v>
      </c>
      <c r="I284" s="52">
        <v>1</v>
      </c>
      <c r="J284" s="18">
        <v>0.8718796618814787</v>
      </c>
      <c r="K284" s="41">
        <v>0.500338769552647</v>
      </c>
      <c r="L284" s="41">
        <v>3.6708825444733993E-2</v>
      </c>
      <c r="M284" s="41">
        <v>0.7046595627357769</v>
      </c>
      <c r="N284" s="41">
        <v>0.96962036037712385</v>
      </c>
      <c r="O284" s="41">
        <v>0.96962036037712385</v>
      </c>
      <c r="P284" s="41">
        <v>3.5511919033634798</v>
      </c>
      <c r="Q284" s="41">
        <v>0.12205479034806162</v>
      </c>
      <c r="R284" s="41">
        <v>1.4133005148820774</v>
      </c>
      <c r="S284" s="41">
        <v>0.96962036037712385</v>
      </c>
      <c r="T284" s="41">
        <v>0.96962036037712385</v>
      </c>
      <c r="U284" s="18">
        <v>0.69633308904868996</v>
      </c>
    </row>
    <row r="285" spans="1:21" x14ac:dyDescent="0.2">
      <c r="A285" s="5" t="s">
        <v>400</v>
      </c>
      <c r="B285" s="5" t="s">
        <v>13</v>
      </c>
      <c r="C285" s="52">
        <v>1</v>
      </c>
      <c r="D285" s="53">
        <v>1</v>
      </c>
      <c r="E285" s="18">
        <v>0.39063039378429065</v>
      </c>
      <c r="F285" s="18">
        <v>0.57266786852774598</v>
      </c>
      <c r="G285" s="41">
        <v>1.8275826861465696</v>
      </c>
      <c r="H285" s="52">
        <v>1</v>
      </c>
      <c r="I285" s="52">
        <v>1</v>
      </c>
      <c r="J285" s="18">
        <v>0.8718796618814787</v>
      </c>
      <c r="K285" s="41">
        <v>0.500338769552647</v>
      </c>
      <c r="L285" s="41">
        <v>3.6708825444733993E-2</v>
      </c>
      <c r="M285" s="41">
        <v>0.7046595627357769</v>
      </c>
      <c r="N285" s="41">
        <v>0.96962036037712385</v>
      </c>
      <c r="O285" s="41">
        <v>0.96962036037712385</v>
      </c>
      <c r="P285" s="41">
        <v>3.5511919033634798</v>
      </c>
      <c r="Q285" s="41">
        <v>0.12205479034806162</v>
      </c>
      <c r="R285" s="41">
        <v>1.4133005148820774</v>
      </c>
      <c r="S285" s="41">
        <v>0.96962036037712385</v>
      </c>
      <c r="T285" s="41">
        <v>0.96962036037712385</v>
      </c>
      <c r="U285" s="18">
        <v>0.69633308904868996</v>
      </c>
    </row>
    <row r="286" spans="1:21" x14ac:dyDescent="0.2">
      <c r="A286" s="5" t="s">
        <v>401</v>
      </c>
      <c r="B286" s="5" t="s">
        <v>14</v>
      </c>
      <c r="C286" s="52">
        <v>1</v>
      </c>
      <c r="D286" s="53">
        <v>1</v>
      </c>
      <c r="E286" s="18">
        <v>6.1603058532438762E-2</v>
      </c>
      <c r="F286" s="18">
        <v>0.57266786852774598</v>
      </c>
      <c r="G286" s="41">
        <v>1.8275826861465696</v>
      </c>
      <c r="H286" s="52">
        <v>1</v>
      </c>
      <c r="I286" s="52">
        <v>1</v>
      </c>
      <c r="J286" s="18">
        <v>0.8718796618814787</v>
      </c>
      <c r="K286" s="41">
        <v>0.500338769552647</v>
      </c>
      <c r="L286" s="41">
        <v>3.6708825444733993E-2</v>
      </c>
      <c r="M286" s="41">
        <v>0.7046595627357769</v>
      </c>
      <c r="N286" s="41">
        <v>0.96962036037712385</v>
      </c>
      <c r="O286" s="41">
        <v>0.96962036037712385</v>
      </c>
      <c r="P286" s="41">
        <v>3.5511919033634798</v>
      </c>
      <c r="Q286" s="41">
        <v>0.12205479034806162</v>
      </c>
      <c r="R286" s="41">
        <v>1.4133005148820774</v>
      </c>
      <c r="S286" s="41">
        <v>0.96962036037712385</v>
      </c>
      <c r="T286" s="41">
        <v>0.96962036037712385</v>
      </c>
      <c r="U286" s="18">
        <v>0.69633308904868996</v>
      </c>
    </row>
    <row r="287" spans="1:21" x14ac:dyDescent="0.2">
      <c r="A287" s="5" t="s">
        <v>402</v>
      </c>
      <c r="B287" s="5" t="s">
        <v>15</v>
      </c>
      <c r="C287" s="52">
        <v>1</v>
      </c>
      <c r="D287" s="53">
        <v>1</v>
      </c>
      <c r="E287" s="18">
        <v>0.46388846188816774</v>
      </c>
      <c r="F287" s="18">
        <v>0.57266786852774598</v>
      </c>
      <c r="G287" s="41">
        <v>1.8275826861465696</v>
      </c>
      <c r="H287" s="52">
        <v>1</v>
      </c>
      <c r="I287" s="52">
        <v>1</v>
      </c>
      <c r="J287" s="18">
        <v>0.8718796618814787</v>
      </c>
      <c r="K287" s="41">
        <v>0.500338769552647</v>
      </c>
      <c r="L287" s="41">
        <v>3.6708825444733993E-2</v>
      </c>
      <c r="M287" s="41">
        <v>0.7046595627357769</v>
      </c>
      <c r="N287" s="41">
        <v>0.96962036037712385</v>
      </c>
      <c r="O287" s="41">
        <v>0.96962036037712385</v>
      </c>
      <c r="P287" s="41">
        <v>3.5511919033634798</v>
      </c>
      <c r="Q287" s="41">
        <v>0.12205479034806162</v>
      </c>
      <c r="R287" s="41">
        <v>1.4133005148820774</v>
      </c>
      <c r="S287" s="41">
        <v>0.96962036037712385</v>
      </c>
      <c r="T287" s="41">
        <v>0.96962036037712385</v>
      </c>
      <c r="U287" s="18">
        <v>0.69633308904868996</v>
      </c>
    </row>
    <row r="288" spans="1:21" x14ac:dyDescent="0.2">
      <c r="A288" s="5" t="s">
        <v>403</v>
      </c>
      <c r="B288" s="5" t="s">
        <v>16</v>
      </c>
      <c r="C288" s="52">
        <v>1</v>
      </c>
      <c r="D288" s="53">
        <v>1</v>
      </c>
      <c r="E288" s="18">
        <v>0.39063039378429065</v>
      </c>
      <c r="F288" s="18">
        <v>0.57266786852774598</v>
      </c>
      <c r="G288" s="41">
        <v>1.8275826861465696</v>
      </c>
      <c r="H288" s="52">
        <v>1</v>
      </c>
      <c r="I288" s="52">
        <v>1</v>
      </c>
      <c r="J288" s="18">
        <v>0.8718796618814787</v>
      </c>
      <c r="K288" s="41">
        <v>0.500338769552647</v>
      </c>
      <c r="L288" s="41">
        <v>3.6708825444733993E-2</v>
      </c>
      <c r="M288" s="41">
        <v>0.7046595627357769</v>
      </c>
      <c r="N288" s="41">
        <v>0.96962036037712385</v>
      </c>
      <c r="O288" s="41">
        <v>0.96962036037712385</v>
      </c>
      <c r="P288" s="41">
        <v>3.5511919033634798</v>
      </c>
      <c r="Q288" s="41">
        <v>0.12205479034806162</v>
      </c>
      <c r="R288" s="41">
        <v>1.4133005148820774</v>
      </c>
      <c r="S288" s="41">
        <v>0.96962036037712385</v>
      </c>
      <c r="T288" s="41">
        <v>0.96962036037712385</v>
      </c>
      <c r="U288" s="18">
        <v>0.69633308904868996</v>
      </c>
    </row>
    <row r="289" spans="1:21" x14ac:dyDescent="0.2">
      <c r="A289" s="5" t="s">
        <v>404</v>
      </c>
      <c r="B289" s="5" t="s">
        <v>17</v>
      </c>
      <c r="C289" s="52">
        <v>1</v>
      </c>
      <c r="D289" s="53">
        <v>1</v>
      </c>
      <c r="E289" s="18">
        <v>6.1603058532438762E-2</v>
      </c>
      <c r="F289" s="18">
        <v>0.57266786852774598</v>
      </c>
      <c r="G289" s="41">
        <v>1.8275826861465696</v>
      </c>
      <c r="H289" s="52">
        <v>1</v>
      </c>
      <c r="I289" s="52">
        <v>1</v>
      </c>
      <c r="J289" s="18">
        <v>0.8718796618814787</v>
      </c>
      <c r="K289" s="41">
        <v>0.500338769552647</v>
      </c>
      <c r="L289" s="41">
        <v>3.6708825444733993E-2</v>
      </c>
      <c r="M289" s="41">
        <v>0.7046595627357769</v>
      </c>
      <c r="N289" s="41">
        <v>0.96962036037712385</v>
      </c>
      <c r="O289" s="41">
        <v>0.96962036037712385</v>
      </c>
      <c r="P289" s="41">
        <v>3.5511919033634798</v>
      </c>
      <c r="Q289" s="41">
        <v>0.12205479034806162</v>
      </c>
      <c r="R289" s="41">
        <v>1.4133005148820774</v>
      </c>
      <c r="S289" s="41">
        <v>0.96962036037712385</v>
      </c>
      <c r="T289" s="41">
        <v>0.96962036037712385</v>
      </c>
      <c r="U289" s="18">
        <v>0.69633308904868996</v>
      </c>
    </row>
    <row r="290" spans="1:21" x14ac:dyDescent="0.2">
      <c r="A290" s="5" t="s">
        <v>405</v>
      </c>
      <c r="B290" s="5" t="s">
        <v>12</v>
      </c>
      <c r="C290" s="52">
        <v>1</v>
      </c>
      <c r="D290" s="53">
        <v>1</v>
      </c>
      <c r="E290" s="18">
        <v>0</v>
      </c>
      <c r="F290" s="18">
        <v>0.39689123190134307</v>
      </c>
      <c r="G290" s="41">
        <v>1.0297061747484291</v>
      </c>
      <c r="H290" s="52">
        <v>1</v>
      </c>
      <c r="I290" s="52">
        <v>1</v>
      </c>
      <c r="J290" s="18">
        <v>0.32490693968109546</v>
      </c>
      <c r="K290" s="41">
        <v>0.500338769552647</v>
      </c>
      <c r="L290" s="41">
        <v>2.0473321616145452</v>
      </c>
      <c r="M290" s="41">
        <v>1.0956432558449631</v>
      </c>
      <c r="N290" s="41">
        <v>0.80716626289917714</v>
      </c>
      <c r="O290" s="41">
        <v>0.80716626289917714</v>
      </c>
      <c r="P290" s="41">
        <v>0.57108375262247857</v>
      </c>
      <c r="Q290" s="41">
        <v>1.205516966065947</v>
      </c>
      <c r="R290" s="41">
        <v>1.0745474985794341</v>
      </c>
      <c r="S290" s="41">
        <v>0.80716626289917714</v>
      </c>
      <c r="T290" s="41">
        <v>0.80716626289917714</v>
      </c>
      <c r="U290" s="18">
        <v>1.0714325407735217</v>
      </c>
    </row>
    <row r="291" spans="1:21" x14ac:dyDescent="0.2">
      <c r="A291" s="5" t="s">
        <v>406</v>
      </c>
      <c r="B291" s="5" t="s">
        <v>13</v>
      </c>
      <c r="C291" s="52">
        <v>1</v>
      </c>
      <c r="D291" s="53">
        <v>1</v>
      </c>
      <c r="E291" s="18">
        <v>0</v>
      </c>
      <c r="F291" s="18">
        <v>0.39689123190134307</v>
      </c>
      <c r="G291" s="41">
        <v>1.0297061747484291</v>
      </c>
      <c r="H291" s="52">
        <v>1</v>
      </c>
      <c r="I291" s="52">
        <v>1</v>
      </c>
      <c r="J291" s="18">
        <v>0.32490693968109546</v>
      </c>
      <c r="K291" s="41">
        <v>0.500338769552647</v>
      </c>
      <c r="L291" s="41">
        <v>2.0473321616145452</v>
      </c>
      <c r="M291" s="41">
        <v>1.0956432558449631</v>
      </c>
      <c r="N291" s="41">
        <v>0.80716626289917714</v>
      </c>
      <c r="O291" s="41">
        <v>0.80716626289917714</v>
      </c>
      <c r="P291" s="41">
        <v>0.57108375262247857</v>
      </c>
      <c r="Q291" s="41">
        <v>1.205516966065947</v>
      </c>
      <c r="R291" s="41">
        <v>1.0745474985794341</v>
      </c>
      <c r="S291" s="41">
        <v>0.80716626289917714</v>
      </c>
      <c r="T291" s="41">
        <v>0.80716626289917714</v>
      </c>
      <c r="U291" s="18">
        <v>1.0714325407735217</v>
      </c>
    </row>
    <row r="292" spans="1:21" x14ac:dyDescent="0.2">
      <c r="A292" s="5" t="s">
        <v>407</v>
      </c>
      <c r="B292" s="5" t="s">
        <v>14</v>
      </c>
      <c r="C292" s="52">
        <v>1</v>
      </c>
      <c r="D292" s="53">
        <v>1</v>
      </c>
      <c r="E292" s="18">
        <v>1.6886614368987905E-3</v>
      </c>
      <c r="F292" s="18">
        <v>0.39689123190134307</v>
      </c>
      <c r="G292" s="41">
        <v>1.0297061747484291</v>
      </c>
      <c r="H292" s="52">
        <v>1</v>
      </c>
      <c r="I292" s="52">
        <v>1</v>
      </c>
      <c r="J292" s="18">
        <v>0.32490693968109546</v>
      </c>
      <c r="K292" s="41">
        <v>0.500338769552647</v>
      </c>
      <c r="L292" s="41">
        <v>2.0473321616145452</v>
      </c>
      <c r="M292" s="41">
        <v>1.0956432558449631</v>
      </c>
      <c r="N292" s="41">
        <v>0.80716626289917714</v>
      </c>
      <c r="O292" s="41">
        <v>0.80716626289917714</v>
      </c>
      <c r="P292" s="41">
        <v>0.57108375262247857</v>
      </c>
      <c r="Q292" s="41">
        <v>1.205516966065947</v>
      </c>
      <c r="R292" s="41">
        <v>1.0745474985794341</v>
      </c>
      <c r="S292" s="41">
        <v>0.80716626289917714</v>
      </c>
      <c r="T292" s="41">
        <v>0.80716626289917714</v>
      </c>
      <c r="U292" s="18">
        <v>1.0714325407735217</v>
      </c>
    </row>
    <row r="293" spans="1:21" x14ac:dyDescent="0.2">
      <c r="A293" s="5" t="s">
        <v>408</v>
      </c>
      <c r="B293" s="5" t="s">
        <v>15</v>
      </c>
      <c r="C293" s="52">
        <v>1</v>
      </c>
      <c r="D293" s="53">
        <v>1</v>
      </c>
      <c r="E293" s="18">
        <v>0</v>
      </c>
      <c r="F293" s="18">
        <v>0.39689123190134307</v>
      </c>
      <c r="G293" s="41">
        <v>1.5345819995383345</v>
      </c>
      <c r="H293" s="52">
        <v>1</v>
      </c>
      <c r="I293" s="52">
        <v>1</v>
      </c>
      <c r="J293" s="18">
        <v>0.32490693968109546</v>
      </c>
      <c r="K293" s="41">
        <v>0.67137629774719554</v>
      </c>
      <c r="L293" s="41">
        <v>1.5024288216785664</v>
      </c>
      <c r="M293" s="41">
        <v>1.0450348151537663</v>
      </c>
      <c r="N293" s="41">
        <v>0.96824805252614121</v>
      </c>
      <c r="O293" s="41">
        <v>0.96824805252614121</v>
      </c>
      <c r="P293" s="41">
        <v>0.84523964408162566</v>
      </c>
      <c r="Q293" s="41">
        <v>1.0640873794291532</v>
      </c>
      <c r="R293" s="41">
        <v>1.0258876764503211</v>
      </c>
      <c r="S293" s="41">
        <v>0.96824805252614121</v>
      </c>
      <c r="T293" s="41">
        <v>0.96824805252614121</v>
      </c>
      <c r="U293" s="18">
        <v>1.0714325407735217</v>
      </c>
    </row>
    <row r="294" spans="1:21" x14ac:dyDescent="0.2">
      <c r="A294" s="5" t="s">
        <v>409</v>
      </c>
      <c r="B294" s="5" t="s">
        <v>16</v>
      </c>
      <c r="C294" s="52">
        <v>1</v>
      </c>
      <c r="D294" s="53">
        <v>1</v>
      </c>
      <c r="E294" s="18">
        <v>0</v>
      </c>
      <c r="F294" s="18">
        <v>0.39689123190134307</v>
      </c>
      <c r="G294" s="41">
        <v>0.85897857398737387</v>
      </c>
      <c r="H294" s="52">
        <v>1</v>
      </c>
      <c r="I294" s="52">
        <v>1</v>
      </c>
      <c r="J294" s="18">
        <v>0.32490693968109546</v>
      </c>
      <c r="K294" s="41">
        <v>0.51492122430496068</v>
      </c>
      <c r="L294" s="41">
        <v>1.8004846630391036</v>
      </c>
      <c r="M294" s="41">
        <v>1.5557777120378016</v>
      </c>
      <c r="N294" s="41">
        <v>0.9256423024621343</v>
      </c>
      <c r="O294" s="41">
        <v>0.9256423024621343</v>
      </c>
      <c r="P294" s="41">
        <v>0.55922127591112247</v>
      </c>
      <c r="Q294" s="41">
        <v>0.91241125463997841</v>
      </c>
      <c r="R294" s="41">
        <v>0.88472656781666004</v>
      </c>
      <c r="S294" s="41">
        <v>0.9256423024621343</v>
      </c>
      <c r="T294" s="41">
        <v>0.9256423024621343</v>
      </c>
      <c r="U294" s="18">
        <v>1.0714325407735217</v>
      </c>
    </row>
    <row r="295" spans="1:21" x14ac:dyDescent="0.2">
      <c r="A295" s="5" t="s">
        <v>410</v>
      </c>
      <c r="B295" s="5" t="s">
        <v>17</v>
      </c>
      <c r="C295" s="52">
        <v>1</v>
      </c>
      <c r="D295" s="53">
        <v>1</v>
      </c>
      <c r="E295" s="18">
        <v>1.6886614368987905E-3</v>
      </c>
      <c r="F295" s="18">
        <v>0.39689123190134307</v>
      </c>
      <c r="G295" s="41">
        <v>0.79873412074638772</v>
      </c>
      <c r="H295" s="52">
        <v>1</v>
      </c>
      <c r="I295" s="52">
        <v>1</v>
      </c>
      <c r="J295" s="18">
        <v>0.32490693968109546</v>
      </c>
      <c r="K295" s="41">
        <v>0.41003166739977409</v>
      </c>
      <c r="L295" s="41">
        <v>2.3669771385952867</v>
      </c>
      <c r="M295" s="41">
        <v>1.0447927448189804</v>
      </c>
      <c r="N295" s="41">
        <v>0.70520835343319677</v>
      </c>
      <c r="O295" s="41">
        <v>0.70520835343319677</v>
      </c>
      <c r="P295" s="41">
        <v>0.43525823437281069</v>
      </c>
      <c r="Q295" s="41">
        <v>1.3251185039583786</v>
      </c>
      <c r="R295" s="41">
        <v>1.1320320106892048</v>
      </c>
      <c r="S295" s="41">
        <v>0.70520835343319677</v>
      </c>
      <c r="T295" s="41">
        <v>0.70520835343319677</v>
      </c>
      <c r="U295" s="18">
        <v>1.0714325407735217</v>
      </c>
    </row>
    <row r="296" spans="1:21" x14ac:dyDescent="0.2">
      <c r="A296" s="5" t="s">
        <v>411</v>
      </c>
      <c r="B296" s="5" t="s">
        <v>12</v>
      </c>
      <c r="C296" s="52">
        <v>1</v>
      </c>
      <c r="D296" s="53">
        <v>1</v>
      </c>
      <c r="E296" s="18">
        <v>0</v>
      </c>
      <c r="F296" s="18">
        <v>1.3719568745265316</v>
      </c>
      <c r="G296" s="41">
        <v>1.0204399781901188</v>
      </c>
      <c r="H296" s="52">
        <v>1</v>
      </c>
      <c r="I296" s="52">
        <v>1</v>
      </c>
      <c r="J296" s="18">
        <v>0.32490693968109546</v>
      </c>
      <c r="K296" s="41">
        <v>0.500338769552647</v>
      </c>
      <c r="L296" s="41">
        <v>0.57374169702052413</v>
      </c>
      <c r="M296" s="41">
        <v>1.2118877572682876</v>
      </c>
      <c r="N296" s="41">
        <v>1.1432324611273017</v>
      </c>
      <c r="O296" s="41">
        <v>1.1432324611273017</v>
      </c>
      <c r="P296" s="41">
        <v>0.69197114728871612</v>
      </c>
      <c r="Q296" s="41">
        <v>1.1907831971917202</v>
      </c>
      <c r="R296" s="41">
        <v>1.25</v>
      </c>
      <c r="S296" s="41">
        <v>1.1432324611273017</v>
      </c>
      <c r="T296" s="41">
        <v>1.1432324611273017</v>
      </c>
      <c r="U296" s="18">
        <v>0.5100574951262461</v>
      </c>
    </row>
    <row r="297" spans="1:21" x14ac:dyDescent="0.2">
      <c r="A297" s="5" t="s">
        <v>412</v>
      </c>
      <c r="B297" s="5" t="s">
        <v>13</v>
      </c>
      <c r="C297" s="52">
        <v>1</v>
      </c>
      <c r="D297" s="53">
        <v>1</v>
      </c>
      <c r="E297" s="18">
        <v>0</v>
      </c>
      <c r="F297" s="18">
        <v>1.3719568745265316</v>
      </c>
      <c r="G297" s="41">
        <v>1.0204399781901188</v>
      </c>
      <c r="H297" s="52">
        <v>1</v>
      </c>
      <c r="I297" s="52">
        <v>1</v>
      </c>
      <c r="J297" s="18">
        <v>0.32490693968109546</v>
      </c>
      <c r="K297" s="41">
        <v>0.500338769552647</v>
      </c>
      <c r="L297" s="41">
        <v>0.57374169702052413</v>
      </c>
      <c r="M297" s="41">
        <v>1.2118877572682876</v>
      </c>
      <c r="N297" s="41">
        <v>1.1432324611273017</v>
      </c>
      <c r="O297" s="41">
        <v>1.1432324611273017</v>
      </c>
      <c r="P297" s="41">
        <v>0.69197114728871612</v>
      </c>
      <c r="Q297" s="41">
        <v>1.1907831971917202</v>
      </c>
      <c r="R297" s="41">
        <v>1.25</v>
      </c>
      <c r="S297" s="41">
        <v>1.1432324611273017</v>
      </c>
      <c r="T297" s="41">
        <v>1.1432324611273017</v>
      </c>
      <c r="U297" s="18">
        <v>0.5100574951262461</v>
      </c>
    </row>
    <row r="298" spans="1:21" x14ac:dyDescent="0.2">
      <c r="A298" s="5" t="s">
        <v>413</v>
      </c>
      <c r="B298" s="5" t="s">
        <v>14</v>
      </c>
      <c r="C298" s="52">
        <v>1</v>
      </c>
      <c r="D298" s="53">
        <v>1</v>
      </c>
      <c r="E298" s="18">
        <v>6.3709515299442002E-3</v>
      </c>
      <c r="F298" s="18">
        <v>1.3719568745265316</v>
      </c>
      <c r="G298" s="41">
        <v>1.0204399781901188</v>
      </c>
      <c r="H298" s="52">
        <v>1</v>
      </c>
      <c r="I298" s="52">
        <v>1</v>
      </c>
      <c r="J298" s="18">
        <v>0.32490693968109546</v>
      </c>
      <c r="K298" s="41">
        <v>0.500338769552647</v>
      </c>
      <c r="L298" s="41">
        <v>0.57374169702052413</v>
      </c>
      <c r="M298" s="41">
        <v>1.2118877572682876</v>
      </c>
      <c r="N298" s="41">
        <v>1.1432324611273017</v>
      </c>
      <c r="O298" s="41">
        <v>1.1432324611273017</v>
      </c>
      <c r="P298" s="41">
        <v>0.69197114728871612</v>
      </c>
      <c r="Q298" s="41">
        <v>1.1907831971917202</v>
      </c>
      <c r="R298" s="41">
        <v>1.25</v>
      </c>
      <c r="S298" s="41">
        <v>1.1432324611273017</v>
      </c>
      <c r="T298" s="41">
        <v>1.1432324611273017</v>
      </c>
      <c r="U298" s="18">
        <v>0.5100574951262461</v>
      </c>
    </row>
    <row r="299" spans="1:21" x14ac:dyDescent="0.2">
      <c r="A299" s="5" t="s">
        <v>414</v>
      </c>
      <c r="B299" s="5" t="s">
        <v>15</v>
      </c>
      <c r="C299" s="52">
        <v>1</v>
      </c>
      <c r="D299" s="53">
        <v>1</v>
      </c>
      <c r="E299" s="18">
        <v>0</v>
      </c>
      <c r="F299" s="18">
        <v>1.3719568745265316</v>
      </c>
      <c r="G299" s="41">
        <v>1.0204399781901188</v>
      </c>
      <c r="H299" s="52">
        <v>1</v>
      </c>
      <c r="I299" s="52">
        <v>1</v>
      </c>
      <c r="J299" s="18">
        <v>0.32490693968109546</v>
      </c>
      <c r="K299" s="41">
        <v>0.500338769552647</v>
      </c>
      <c r="L299" s="41">
        <v>0.57374169702052413</v>
      </c>
      <c r="M299" s="41">
        <v>1.2118877572682876</v>
      </c>
      <c r="N299" s="41">
        <v>1.1432324611273017</v>
      </c>
      <c r="O299" s="41">
        <v>1.1432324611273017</v>
      </c>
      <c r="P299" s="41">
        <v>0.69197114728871612</v>
      </c>
      <c r="Q299" s="41">
        <v>1.1907831971917202</v>
      </c>
      <c r="R299" s="41">
        <v>1.25</v>
      </c>
      <c r="S299" s="41">
        <v>1.1432324611273017</v>
      </c>
      <c r="T299" s="41">
        <v>1.1432324611273017</v>
      </c>
      <c r="U299" s="18">
        <v>0.5100574951262461</v>
      </c>
    </row>
    <row r="300" spans="1:21" x14ac:dyDescent="0.2">
      <c r="A300" s="5" t="s">
        <v>415</v>
      </c>
      <c r="B300" s="5" t="s">
        <v>16</v>
      </c>
      <c r="C300" s="52">
        <v>1</v>
      </c>
      <c r="D300" s="53">
        <v>1</v>
      </c>
      <c r="E300" s="18">
        <v>0</v>
      </c>
      <c r="F300" s="18">
        <v>1.3719568745265316</v>
      </c>
      <c r="G300" s="41">
        <v>0.90377193463631122</v>
      </c>
      <c r="H300" s="52">
        <v>1</v>
      </c>
      <c r="I300" s="52">
        <v>1</v>
      </c>
      <c r="J300" s="18">
        <v>0.32490693968109546</v>
      </c>
      <c r="K300" s="41">
        <v>0.47673900059245822</v>
      </c>
      <c r="L300" s="41">
        <v>0.90265434626964192</v>
      </c>
      <c r="M300" s="41">
        <v>1.3227260467112352</v>
      </c>
      <c r="N300" s="41">
        <v>1.1599543262667886</v>
      </c>
      <c r="O300" s="41">
        <v>1.1599543262667886</v>
      </c>
      <c r="P300" s="41">
        <v>0.68116389380467457</v>
      </c>
      <c r="Q300" s="41">
        <v>1.1450587631452642</v>
      </c>
      <c r="R300" s="41">
        <v>1.0810964556251641</v>
      </c>
      <c r="S300" s="41">
        <v>1.1599543262667886</v>
      </c>
      <c r="T300" s="41">
        <v>1.1599543262667886</v>
      </c>
      <c r="U300" s="18">
        <v>0.5100574951262461</v>
      </c>
    </row>
    <row r="301" spans="1:21" x14ac:dyDescent="0.2">
      <c r="A301" s="5" t="s">
        <v>416</v>
      </c>
      <c r="B301" s="5" t="s">
        <v>17</v>
      </c>
      <c r="C301" s="52">
        <v>1</v>
      </c>
      <c r="D301" s="53">
        <v>1</v>
      </c>
      <c r="E301" s="18">
        <v>6.3709515299442002E-3</v>
      </c>
      <c r="F301" s="18">
        <v>1.3719568745265316</v>
      </c>
      <c r="G301" s="41">
        <v>1.0929842563260832</v>
      </c>
      <c r="H301" s="52">
        <v>1</v>
      </c>
      <c r="I301" s="52">
        <v>1</v>
      </c>
      <c r="J301" s="18">
        <v>0.32490693968109546</v>
      </c>
      <c r="K301" s="41">
        <v>0.51422214707207403</v>
      </c>
      <c r="L301" s="41">
        <v>0.37049439843175641</v>
      </c>
      <c r="M301" s="41">
        <v>1.1421917505129366</v>
      </c>
      <c r="N301" s="41">
        <v>1.1337464912285131</v>
      </c>
      <c r="O301" s="41">
        <v>1.1337464912285131</v>
      </c>
      <c r="P301" s="41">
        <v>0.6997414072721756</v>
      </c>
      <c r="Q301" s="41">
        <v>1.21720342358911</v>
      </c>
      <c r="R301" s="41">
        <v>1.3561034395099898</v>
      </c>
      <c r="S301" s="41">
        <v>1.1337464912285131</v>
      </c>
      <c r="T301" s="41">
        <v>1.1337464912285131</v>
      </c>
      <c r="U301" s="18">
        <v>0.5100574951262461</v>
      </c>
    </row>
    <row r="302" spans="1:21" x14ac:dyDescent="0.2">
      <c r="A302" s="5" t="s">
        <v>417</v>
      </c>
      <c r="B302" s="5" t="s">
        <v>12</v>
      </c>
      <c r="C302" s="52">
        <v>1</v>
      </c>
      <c r="D302" s="53">
        <v>1</v>
      </c>
      <c r="E302" s="18">
        <v>0</v>
      </c>
      <c r="F302" s="18">
        <v>0.3198073026153892</v>
      </c>
      <c r="G302" s="41">
        <v>0.51766483307209099</v>
      </c>
      <c r="H302" s="52">
        <v>1</v>
      </c>
      <c r="I302" s="52">
        <v>1</v>
      </c>
      <c r="J302" s="18">
        <v>3.2692326021773859</v>
      </c>
      <c r="K302" s="41">
        <v>0.500338769552647</v>
      </c>
      <c r="L302" s="41">
        <v>2.8973186422625274</v>
      </c>
      <c r="M302" s="41">
        <v>1.2265518683002052</v>
      </c>
      <c r="N302" s="41">
        <v>0.43653159320367291</v>
      </c>
      <c r="O302" s="41">
        <v>0.43653159320367291</v>
      </c>
      <c r="P302" s="41">
        <v>0.36166825236273165</v>
      </c>
      <c r="Q302" s="41">
        <v>0.31667861418634757</v>
      </c>
      <c r="R302" s="41">
        <v>0.75814794291575638</v>
      </c>
      <c r="S302" s="41">
        <v>0.43653159320367291</v>
      </c>
      <c r="T302" s="41">
        <v>0.43653159320367291</v>
      </c>
      <c r="U302" s="18">
        <v>1.0862802255229944</v>
      </c>
    </row>
    <row r="303" spans="1:21" x14ac:dyDescent="0.2">
      <c r="A303" s="5" t="s">
        <v>418</v>
      </c>
      <c r="B303" s="5" t="s">
        <v>13</v>
      </c>
      <c r="C303" s="52">
        <v>1</v>
      </c>
      <c r="D303" s="53">
        <v>1</v>
      </c>
      <c r="E303" s="18">
        <v>0.26291912212208784</v>
      </c>
      <c r="F303" s="18">
        <v>0.3198073026153892</v>
      </c>
      <c r="G303" s="41">
        <v>0.51766483307209099</v>
      </c>
      <c r="H303" s="52">
        <v>1</v>
      </c>
      <c r="I303" s="52">
        <v>1</v>
      </c>
      <c r="J303" s="18">
        <v>3.2692326021773859</v>
      </c>
      <c r="K303" s="41">
        <v>0.500338769552647</v>
      </c>
      <c r="L303" s="41">
        <v>2.8973186422625274</v>
      </c>
      <c r="M303" s="41">
        <v>1.2265518683002052</v>
      </c>
      <c r="N303" s="41">
        <v>0.43653159320367291</v>
      </c>
      <c r="O303" s="41">
        <v>0.43653159320367291</v>
      </c>
      <c r="P303" s="41">
        <v>0.36166825236273165</v>
      </c>
      <c r="Q303" s="41">
        <v>0.31667861418634757</v>
      </c>
      <c r="R303" s="41">
        <v>0.75814794291575638</v>
      </c>
      <c r="S303" s="41">
        <v>0.43653159320367291</v>
      </c>
      <c r="T303" s="41">
        <v>0.43653159320367291</v>
      </c>
      <c r="U303" s="18">
        <v>1.0862802255229944</v>
      </c>
    </row>
    <row r="304" spans="1:21" x14ac:dyDescent="0.2">
      <c r="A304" s="5" t="s">
        <v>419</v>
      </c>
      <c r="B304" s="5" t="s">
        <v>14</v>
      </c>
      <c r="C304" s="52">
        <v>1</v>
      </c>
      <c r="D304" s="53">
        <v>1</v>
      </c>
      <c r="E304" s="18">
        <v>6.3986047798493635E-3</v>
      </c>
      <c r="F304" s="18">
        <v>0.3198073026153892</v>
      </c>
      <c r="G304" s="41">
        <v>0.51766483307209099</v>
      </c>
      <c r="H304" s="52">
        <v>1</v>
      </c>
      <c r="I304" s="52">
        <v>1</v>
      </c>
      <c r="J304" s="18">
        <v>3.2692326021773859</v>
      </c>
      <c r="K304" s="41">
        <v>0.500338769552647</v>
      </c>
      <c r="L304" s="41">
        <v>2.8973186422625274</v>
      </c>
      <c r="M304" s="41">
        <v>1.2265518683002052</v>
      </c>
      <c r="N304" s="41">
        <v>0.43653159320367291</v>
      </c>
      <c r="O304" s="41">
        <v>0.43653159320367291</v>
      </c>
      <c r="P304" s="41">
        <v>0.36166825236273165</v>
      </c>
      <c r="Q304" s="41">
        <v>0.31667861418634757</v>
      </c>
      <c r="R304" s="41">
        <v>0.75814794291575638</v>
      </c>
      <c r="S304" s="41">
        <v>0.43653159320367291</v>
      </c>
      <c r="T304" s="41">
        <v>0.43653159320367291</v>
      </c>
      <c r="U304" s="18">
        <v>1.0862802255229944</v>
      </c>
    </row>
    <row r="305" spans="1:21" x14ac:dyDescent="0.2">
      <c r="A305" s="5" t="s">
        <v>420</v>
      </c>
      <c r="B305" s="5" t="s">
        <v>15</v>
      </c>
      <c r="C305" s="52">
        <v>1</v>
      </c>
      <c r="D305" s="53">
        <v>1</v>
      </c>
      <c r="E305" s="18">
        <v>0</v>
      </c>
      <c r="F305" s="18">
        <v>0.3198073026153892</v>
      </c>
      <c r="G305" s="41">
        <v>0.51766483307209099</v>
      </c>
      <c r="H305" s="52">
        <v>1</v>
      </c>
      <c r="I305" s="52">
        <v>1</v>
      </c>
      <c r="J305" s="18">
        <v>3.2692326021773859</v>
      </c>
      <c r="K305" s="41">
        <v>0.500338769552647</v>
      </c>
      <c r="L305" s="41">
        <v>2.8973186422625274</v>
      </c>
      <c r="M305" s="41">
        <v>1.2265518683002052</v>
      </c>
      <c r="N305" s="41">
        <v>0.43653159320367291</v>
      </c>
      <c r="O305" s="41">
        <v>0.43653159320367291</v>
      </c>
      <c r="P305" s="41">
        <v>0.36166825236273165</v>
      </c>
      <c r="Q305" s="41">
        <v>0.31667861418634757</v>
      </c>
      <c r="R305" s="41">
        <v>0.75814794291575638</v>
      </c>
      <c r="S305" s="41">
        <v>0.43653159320367291</v>
      </c>
      <c r="T305" s="41">
        <v>0.43653159320367291</v>
      </c>
      <c r="U305" s="18">
        <v>1.0862802255229944</v>
      </c>
    </row>
    <row r="306" spans="1:21" x14ac:dyDescent="0.2">
      <c r="A306" s="5" t="s">
        <v>421</v>
      </c>
      <c r="B306" s="5" t="s">
        <v>16</v>
      </c>
      <c r="C306" s="52">
        <v>1</v>
      </c>
      <c r="D306" s="53">
        <v>1</v>
      </c>
      <c r="E306" s="18">
        <v>0.26291912212208784</v>
      </c>
      <c r="F306" s="18">
        <v>0.3198073026153892</v>
      </c>
      <c r="G306" s="41">
        <v>0.36649259905778608</v>
      </c>
      <c r="H306" s="52">
        <v>1</v>
      </c>
      <c r="I306" s="52">
        <v>1</v>
      </c>
      <c r="J306" s="18">
        <v>3.2692326021773859</v>
      </c>
      <c r="K306" s="41">
        <v>0.42231520982006138</v>
      </c>
      <c r="L306" s="41">
        <v>3.6719356479440792</v>
      </c>
      <c r="M306" s="41">
        <v>1.3255378698540314</v>
      </c>
      <c r="N306" s="41">
        <v>0.29500777704936382</v>
      </c>
      <c r="O306" s="41">
        <v>0.29500777704936382</v>
      </c>
      <c r="P306" s="41">
        <v>0.39319941804857711</v>
      </c>
      <c r="Q306" s="41">
        <v>0.18090938937091483</v>
      </c>
      <c r="R306" s="41">
        <v>0.43370186145517364</v>
      </c>
      <c r="S306" s="41">
        <v>0.29500777704936382</v>
      </c>
      <c r="T306" s="41">
        <v>0.29500777704936382</v>
      </c>
      <c r="U306" s="18">
        <v>1.0862802255229944</v>
      </c>
    </row>
    <row r="307" spans="1:21" x14ac:dyDescent="0.2">
      <c r="A307" s="5" t="s">
        <v>422</v>
      </c>
      <c r="B307" s="5" t="s">
        <v>17</v>
      </c>
      <c r="C307" s="52">
        <v>1</v>
      </c>
      <c r="D307" s="53">
        <v>1</v>
      </c>
      <c r="E307" s="18">
        <v>6.3986047798493635E-3</v>
      </c>
      <c r="F307" s="18">
        <v>0.3198073026153892</v>
      </c>
      <c r="G307" s="41">
        <v>0.6555781837163136</v>
      </c>
      <c r="H307" s="52">
        <v>1</v>
      </c>
      <c r="I307" s="52">
        <v>1</v>
      </c>
      <c r="J307" s="18">
        <v>3.2692326021773859</v>
      </c>
      <c r="K307" s="41">
        <v>0.57151910648470727</v>
      </c>
      <c r="L307" s="41">
        <v>2.1906410740165692</v>
      </c>
      <c r="M307" s="41">
        <v>1.1362476452385097</v>
      </c>
      <c r="N307" s="41">
        <v>0.56564276106503286</v>
      </c>
      <c r="O307" s="41">
        <v>0.56564276106503286</v>
      </c>
      <c r="P307" s="41">
        <v>0.3329025948475981</v>
      </c>
      <c r="Q307" s="41">
        <v>0.44053990942190813</v>
      </c>
      <c r="R307" s="41">
        <v>1.0541377884675747</v>
      </c>
      <c r="S307" s="41">
        <v>0.56564276106503286</v>
      </c>
      <c r="T307" s="41">
        <v>0.56564276106503286</v>
      </c>
      <c r="U307" s="18">
        <v>1.0862802255229944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D8E-7765-469F-AB48-13F4C647ED7F}">
  <sheetPr>
    <tabColor theme="4"/>
  </sheetPr>
  <dimension ref="A1:K2"/>
  <sheetViews>
    <sheetView zoomScale="85" zoomScaleNormal="85" workbookViewId="0"/>
  </sheetViews>
  <sheetFormatPr defaultRowHeight="14.25" x14ac:dyDescent="0.2"/>
  <cols>
    <col min="1" max="1" width="14.375" customWidth="1"/>
    <col min="2" max="2" width="22" customWidth="1"/>
    <col min="3" max="11" width="14.375" customWidth="1"/>
  </cols>
  <sheetData>
    <row r="1" spans="1:11" x14ac:dyDescent="0.2">
      <c r="A1" t="s">
        <v>41</v>
      </c>
    </row>
    <row r="2" spans="1:11" x14ac:dyDescent="0.2">
      <c r="A2" s="38">
        <v>0.41930367817408104</v>
      </c>
      <c r="K2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BD4-6459-4FFC-8CBE-7CB72E3E9F05}">
  <sheetPr>
    <tabColor theme="4"/>
  </sheetPr>
  <dimension ref="A1:T193"/>
  <sheetViews>
    <sheetView zoomScale="55" zoomScaleNormal="55" workbookViewId="0"/>
  </sheetViews>
  <sheetFormatPr defaultRowHeight="14.25" x14ac:dyDescent="0.2"/>
  <cols>
    <col min="1" max="1" width="47.375" customWidth="1"/>
    <col min="2" max="4" width="6.5" bestFit="1" customWidth="1"/>
    <col min="5" max="5" width="12.125" bestFit="1" customWidth="1"/>
    <col min="6" max="6" width="10.375" bestFit="1" customWidth="1"/>
    <col min="7" max="7" width="25.125" bestFit="1" customWidth="1"/>
    <col min="8" max="8" width="6.25" bestFit="1" customWidth="1"/>
    <col min="9" max="9" width="10.375" bestFit="1" customWidth="1"/>
    <col min="10" max="10" width="16.25" bestFit="1" customWidth="1"/>
    <col min="11" max="11" width="5.75" bestFit="1" customWidth="1"/>
    <col min="12" max="12" width="7.125" bestFit="1" customWidth="1"/>
    <col min="13" max="13" width="7.625" bestFit="1" customWidth="1"/>
    <col min="14" max="14" width="19.875" bestFit="1" customWidth="1"/>
    <col min="15" max="15" width="7.375" bestFit="1" customWidth="1"/>
    <col min="16" max="16" width="11.5" bestFit="1" customWidth="1"/>
    <col min="17" max="17" width="6" bestFit="1" customWidth="1"/>
    <col min="18" max="18" width="18.5" bestFit="1" customWidth="1"/>
    <col min="19" max="19" width="14.25" bestFit="1" customWidth="1"/>
    <col min="20" max="20" width="14.875" bestFit="1" customWidth="1"/>
  </cols>
  <sheetData>
    <row r="1" spans="1:20" ht="15" x14ac:dyDescent="0.2">
      <c r="A1" s="9" t="s">
        <v>41</v>
      </c>
      <c r="B1" s="10" t="s">
        <v>19</v>
      </c>
      <c r="C1" s="10" t="s">
        <v>42</v>
      </c>
      <c r="D1" s="10" t="s">
        <v>43</v>
      </c>
      <c r="E1" s="10" t="s">
        <v>44</v>
      </c>
      <c r="F1" s="10" t="s">
        <v>29</v>
      </c>
      <c r="G1" s="10" t="s">
        <v>45</v>
      </c>
      <c r="H1" s="10" t="s">
        <v>46</v>
      </c>
      <c r="I1" s="10" t="s">
        <v>0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39</v>
      </c>
      <c r="T1" s="10" t="s">
        <v>40</v>
      </c>
    </row>
    <row r="2" spans="1:20" x14ac:dyDescent="0.2">
      <c r="A2" s="4">
        <v>1850</v>
      </c>
      <c r="B2" s="52">
        <v>1</v>
      </c>
      <c r="C2" s="22">
        <v>1.1000000000000001</v>
      </c>
      <c r="D2" s="22">
        <v>1.1000000000000001</v>
      </c>
      <c r="E2" s="20">
        <v>1.2809999999999999</v>
      </c>
      <c r="F2" s="20">
        <v>1.216</v>
      </c>
      <c r="G2" s="52">
        <v>1</v>
      </c>
      <c r="H2" s="52">
        <v>1</v>
      </c>
      <c r="I2" s="18">
        <v>1</v>
      </c>
      <c r="J2" s="17">
        <v>0.70749073854637834</v>
      </c>
      <c r="K2" s="17">
        <v>0.45</v>
      </c>
      <c r="L2" s="17">
        <v>1.5780000000000001</v>
      </c>
      <c r="M2" s="17">
        <v>1.071</v>
      </c>
      <c r="N2" s="20">
        <v>1.071</v>
      </c>
      <c r="O2" s="20">
        <v>1.246</v>
      </c>
      <c r="P2" s="20">
        <v>0.998</v>
      </c>
      <c r="Q2" s="20">
        <v>1.482</v>
      </c>
      <c r="R2" s="20">
        <v>1.071</v>
      </c>
      <c r="S2" s="20">
        <v>1.071</v>
      </c>
      <c r="T2" s="18">
        <v>1</v>
      </c>
    </row>
    <row r="3" spans="1:20" x14ac:dyDescent="0.2">
      <c r="A3" s="4">
        <v>1851</v>
      </c>
      <c r="B3" s="52">
        <v>1</v>
      </c>
      <c r="C3" s="22">
        <v>1.1000000000000001</v>
      </c>
      <c r="D3" s="22">
        <v>1.1000000000000001</v>
      </c>
      <c r="E3" s="20">
        <v>1.2809999999999999</v>
      </c>
      <c r="F3" s="20">
        <v>1.216</v>
      </c>
      <c r="G3" s="52">
        <v>1</v>
      </c>
      <c r="H3" s="52">
        <v>1</v>
      </c>
      <c r="I3" s="18">
        <v>1</v>
      </c>
      <c r="J3" s="17">
        <v>0.71184235979975419</v>
      </c>
      <c r="K3" s="17">
        <v>0.45</v>
      </c>
      <c r="L3" s="17">
        <v>1.5780000000000001</v>
      </c>
      <c r="M3" s="17">
        <v>1.071</v>
      </c>
      <c r="N3" s="20">
        <v>1.071</v>
      </c>
      <c r="O3" s="20">
        <v>1.246</v>
      </c>
      <c r="P3" s="20">
        <v>0.998</v>
      </c>
      <c r="Q3" s="20">
        <v>1.482</v>
      </c>
      <c r="R3" s="20">
        <v>1.071</v>
      </c>
      <c r="S3" s="20">
        <v>1.071</v>
      </c>
      <c r="T3" s="18">
        <v>1</v>
      </c>
    </row>
    <row r="4" spans="1:20" x14ac:dyDescent="0.2">
      <c r="A4" s="4">
        <v>1852</v>
      </c>
      <c r="B4" s="52">
        <v>1</v>
      </c>
      <c r="C4" s="22">
        <v>1.1000000000000001</v>
      </c>
      <c r="D4" s="22">
        <v>1.1000000000000001</v>
      </c>
      <c r="E4" s="20">
        <v>1.2809999999999999</v>
      </c>
      <c r="F4" s="20">
        <v>1.216</v>
      </c>
      <c r="G4" s="52">
        <v>1</v>
      </c>
      <c r="H4" s="52">
        <v>1</v>
      </c>
      <c r="I4" s="18">
        <v>1</v>
      </c>
      <c r="J4" s="17">
        <v>0.71615010634807619</v>
      </c>
      <c r="K4" s="17">
        <v>0.45</v>
      </c>
      <c r="L4" s="17">
        <v>1.5780000000000001</v>
      </c>
      <c r="M4" s="17">
        <v>1.071</v>
      </c>
      <c r="N4" s="20">
        <v>1.071</v>
      </c>
      <c r="O4" s="20">
        <v>1.246</v>
      </c>
      <c r="P4" s="20">
        <v>0.998</v>
      </c>
      <c r="Q4" s="20">
        <v>1.482</v>
      </c>
      <c r="R4" s="20">
        <v>1.071</v>
      </c>
      <c r="S4" s="20">
        <v>1.071</v>
      </c>
      <c r="T4" s="18">
        <v>1</v>
      </c>
    </row>
    <row r="5" spans="1:20" x14ac:dyDescent="0.2">
      <c r="A5" s="4">
        <v>1853</v>
      </c>
      <c r="B5" s="52">
        <v>1</v>
      </c>
      <c r="C5" s="22">
        <v>1.1000000000000001</v>
      </c>
      <c r="D5" s="22">
        <v>1.1000000000000001</v>
      </c>
      <c r="E5" s="20">
        <v>1.2809999999999999</v>
      </c>
      <c r="F5" s="20">
        <v>1.216</v>
      </c>
      <c r="G5" s="52">
        <v>1</v>
      </c>
      <c r="H5" s="52">
        <v>1</v>
      </c>
      <c r="I5" s="18">
        <v>1</v>
      </c>
      <c r="J5" s="17">
        <v>0.72041282197895484</v>
      </c>
      <c r="K5" s="17">
        <v>0.45</v>
      </c>
      <c r="L5" s="17">
        <v>1.5780000000000001</v>
      </c>
      <c r="M5" s="17">
        <v>1.071</v>
      </c>
      <c r="N5" s="20">
        <v>1.071</v>
      </c>
      <c r="O5" s="20">
        <v>1.246</v>
      </c>
      <c r="P5" s="20">
        <v>0.998</v>
      </c>
      <c r="Q5" s="20">
        <v>1.482</v>
      </c>
      <c r="R5" s="20">
        <v>1.071</v>
      </c>
      <c r="S5" s="20">
        <v>1.071</v>
      </c>
      <c r="T5" s="18">
        <v>1</v>
      </c>
    </row>
    <row r="6" spans="1:20" x14ac:dyDescent="0.2">
      <c r="A6" s="4">
        <v>1854</v>
      </c>
      <c r="B6" s="52">
        <v>1</v>
      </c>
      <c r="C6" s="22">
        <v>1.1000000000000001</v>
      </c>
      <c r="D6" s="22">
        <v>1.1000000000000001</v>
      </c>
      <c r="E6" s="20">
        <v>1.2809999999999999</v>
      </c>
      <c r="F6" s="20">
        <v>1.216</v>
      </c>
      <c r="G6" s="52">
        <v>1</v>
      </c>
      <c r="H6" s="52">
        <v>1</v>
      </c>
      <c r="I6" s="18">
        <v>1</v>
      </c>
      <c r="J6" s="17">
        <v>0.72462935622489888</v>
      </c>
      <c r="K6" s="17">
        <v>0.45</v>
      </c>
      <c r="L6" s="17">
        <v>1.5780000000000001</v>
      </c>
      <c r="M6" s="17">
        <v>1.071</v>
      </c>
      <c r="N6" s="20">
        <v>1.071</v>
      </c>
      <c r="O6" s="20">
        <v>1.246</v>
      </c>
      <c r="P6" s="20">
        <v>0.998</v>
      </c>
      <c r="Q6" s="20">
        <v>1.482</v>
      </c>
      <c r="R6" s="20">
        <v>1.071</v>
      </c>
      <c r="S6" s="20">
        <v>1.071</v>
      </c>
      <c r="T6" s="18">
        <v>1</v>
      </c>
    </row>
    <row r="7" spans="1:20" x14ac:dyDescent="0.2">
      <c r="A7" s="4">
        <v>1855</v>
      </c>
      <c r="B7" s="52">
        <v>1</v>
      </c>
      <c r="C7" s="22">
        <v>1.1000000000000001</v>
      </c>
      <c r="D7" s="22">
        <v>1.1000000000000001</v>
      </c>
      <c r="E7" s="20">
        <v>1.2809999999999999</v>
      </c>
      <c r="F7" s="20">
        <v>1.216</v>
      </c>
      <c r="G7" s="52">
        <v>1</v>
      </c>
      <c r="H7" s="52">
        <v>1</v>
      </c>
      <c r="I7" s="18">
        <v>1</v>
      </c>
      <c r="J7" s="17">
        <v>0.72879856486738204</v>
      </c>
      <c r="K7" s="17">
        <v>0.45</v>
      </c>
      <c r="L7" s="17">
        <v>1.5780000000000001</v>
      </c>
      <c r="M7" s="17">
        <v>1.071</v>
      </c>
      <c r="N7" s="20">
        <v>1.071</v>
      </c>
      <c r="O7" s="20">
        <v>1.246</v>
      </c>
      <c r="P7" s="20">
        <v>0.998</v>
      </c>
      <c r="Q7" s="20">
        <v>1.482</v>
      </c>
      <c r="R7" s="20">
        <v>1.071</v>
      </c>
      <c r="S7" s="20">
        <v>1.071</v>
      </c>
      <c r="T7" s="18">
        <v>1</v>
      </c>
    </row>
    <row r="8" spans="1:20" x14ac:dyDescent="0.2">
      <c r="A8" s="4">
        <v>1856</v>
      </c>
      <c r="B8" s="52">
        <v>1</v>
      </c>
      <c r="C8" s="22">
        <v>1.1000000000000001</v>
      </c>
      <c r="D8" s="22">
        <v>1.1000000000000001</v>
      </c>
      <c r="E8" s="20">
        <v>1.2809999999999999</v>
      </c>
      <c r="F8" s="20">
        <v>1.216</v>
      </c>
      <c r="G8" s="52">
        <v>1</v>
      </c>
      <c r="H8" s="52">
        <v>1</v>
      </c>
      <c r="I8" s="18">
        <v>1</v>
      </c>
      <c r="J8" s="17">
        <v>0.73291931044273562</v>
      </c>
      <c r="K8" s="17">
        <v>0.45</v>
      </c>
      <c r="L8" s="17">
        <v>1.5780000000000001</v>
      </c>
      <c r="M8" s="17">
        <v>1.071</v>
      </c>
      <c r="N8" s="20">
        <v>1.071</v>
      </c>
      <c r="O8" s="20">
        <v>1.246</v>
      </c>
      <c r="P8" s="20">
        <v>0.998</v>
      </c>
      <c r="Q8" s="20">
        <v>1.482</v>
      </c>
      <c r="R8" s="20">
        <v>1.071</v>
      </c>
      <c r="S8" s="20">
        <v>1.071</v>
      </c>
      <c r="T8" s="18">
        <v>1</v>
      </c>
    </row>
    <row r="9" spans="1:20" x14ac:dyDescent="0.2">
      <c r="A9" s="4">
        <v>1857</v>
      </c>
      <c r="B9" s="52">
        <v>1</v>
      </c>
      <c r="C9" s="22">
        <v>1.1000000000000001</v>
      </c>
      <c r="D9" s="22">
        <v>1.1000000000000001</v>
      </c>
      <c r="E9" s="20">
        <v>1.2809999999999999</v>
      </c>
      <c r="F9" s="20">
        <v>1.216</v>
      </c>
      <c r="G9" s="52">
        <v>1</v>
      </c>
      <c r="H9" s="52">
        <v>1</v>
      </c>
      <c r="I9" s="18">
        <v>1</v>
      </c>
      <c r="J9" s="17">
        <v>0.73699046274608659</v>
      </c>
      <c r="K9" s="17">
        <v>0.45</v>
      </c>
      <c r="L9" s="17">
        <v>1.5780000000000001</v>
      </c>
      <c r="M9" s="17">
        <v>1.071</v>
      </c>
      <c r="N9" s="20">
        <v>1.071</v>
      </c>
      <c r="O9" s="20">
        <v>1.246</v>
      </c>
      <c r="P9" s="20">
        <v>0.998</v>
      </c>
      <c r="Q9" s="20">
        <v>1.482</v>
      </c>
      <c r="R9" s="20">
        <v>1.071</v>
      </c>
      <c r="S9" s="20">
        <v>1.071</v>
      </c>
      <c r="T9" s="18">
        <v>1</v>
      </c>
    </row>
    <row r="10" spans="1:20" x14ac:dyDescent="0.2">
      <c r="A10" s="4">
        <v>1858</v>
      </c>
      <c r="B10" s="52">
        <v>1</v>
      </c>
      <c r="C10" s="22">
        <v>1.1000000000000001</v>
      </c>
      <c r="D10" s="22">
        <v>1.1000000000000001</v>
      </c>
      <c r="E10" s="20">
        <v>1.2809999999999999</v>
      </c>
      <c r="F10" s="20">
        <v>1.216</v>
      </c>
      <c r="G10" s="52">
        <v>1</v>
      </c>
      <c r="H10" s="52">
        <v>1</v>
      </c>
      <c r="I10" s="18">
        <v>1</v>
      </c>
      <c r="J10" s="17">
        <v>0.74101089933666986</v>
      </c>
      <c r="K10" s="17">
        <v>0.45</v>
      </c>
      <c r="L10" s="17">
        <v>1.5780000000000001</v>
      </c>
      <c r="M10" s="17">
        <v>1.071</v>
      </c>
      <c r="N10" s="20">
        <v>1.071</v>
      </c>
      <c r="O10" s="20">
        <v>1.246</v>
      </c>
      <c r="P10" s="20">
        <v>0.998</v>
      </c>
      <c r="Q10" s="20">
        <v>1.482</v>
      </c>
      <c r="R10" s="20">
        <v>1.071</v>
      </c>
      <c r="S10" s="20">
        <v>1.071</v>
      </c>
      <c r="T10" s="18">
        <v>1</v>
      </c>
    </row>
    <row r="11" spans="1:20" x14ac:dyDescent="0.2">
      <c r="A11" s="4">
        <v>1859</v>
      </c>
      <c r="B11" s="52">
        <v>1</v>
      </c>
      <c r="C11" s="22">
        <v>1.1000000000000001</v>
      </c>
      <c r="D11" s="22">
        <v>1.1000000000000001</v>
      </c>
      <c r="E11" s="20">
        <v>1.2809999999999999</v>
      </c>
      <c r="F11" s="20">
        <v>1.216</v>
      </c>
      <c r="G11" s="52">
        <v>1</v>
      </c>
      <c r="H11" s="52">
        <v>1</v>
      </c>
      <c r="I11" s="18">
        <v>1</v>
      </c>
      <c r="J11" s="17">
        <v>0.74497950604306651</v>
      </c>
      <c r="K11" s="17">
        <v>0.45</v>
      </c>
      <c r="L11" s="17">
        <v>1.5780000000000001</v>
      </c>
      <c r="M11" s="17">
        <v>1.071</v>
      </c>
      <c r="N11" s="20">
        <v>1.071</v>
      </c>
      <c r="O11" s="20">
        <v>1.246</v>
      </c>
      <c r="P11" s="20">
        <v>0.998</v>
      </c>
      <c r="Q11" s="20">
        <v>1.482</v>
      </c>
      <c r="R11" s="20">
        <v>1.071</v>
      </c>
      <c r="S11" s="20">
        <v>1.071</v>
      </c>
      <c r="T11" s="18">
        <v>1</v>
      </c>
    </row>
    <row r="12" spans="1:20" x14ac:dyDescent="0.2">
      <c r="A12" s="4">
        <v>1860</v>
      </c>
      <c r="B12" s="52">
        <v>1</v>
      </c>
      <c r="C12" s="22">
        <v>1.1000000000000001</v>
      </c>
      <c r="D12" s="22">
        <v>1.1000000000000001</v>
      </c>
      <c r="E12" s="20">
        <v>1.2809999999999999</v>
      </c>
      <c r="F12" s="20">
        <v>1.216</v>
      </c>
      <c r="G12" s="52">
        <v>1</v>
      </c>
      <c r="H12" s="52">
        <v>1</v>
      </c>
      <c r="I12" s="18">
        <v>1</v>
      </c>
      <c r="J12" s="17">
        <v>0.74889517746644674</v>
      </c>
      <c r="K12" s="17">
        <v>0.45</v>
      </c>
      <c r="L12" s="17">
        <v>1.5780000000000001</v>
      </c>
      <c r="M12" s="17">
        <v>1.071</v>
      </c>
      <c r="N12" s="20">
        <v>1.071</v>
      </c>
      <c r="O12" s="20">
        <v>1.246</v>
      </c>
      <c r="P12" s="20">
        <v>0.998</v>
      </c>
      <c r="Q12" s="20">
        <v>1.482</v>
      </c>
      <c r="R12" s="20">
        <v>1.071</v>
      </c>
      <c r="S12" s="20">
        <v>1.071</v>
      </c>
      <c r="T12" s="18">
        <v>1</v>
      </c>
    </row>
    <row r="13" spans="1:20" x14ac:dyDescent="0.2">
      <c r="A13" s="4">
        <v>1861</v>
      </c>
      <c r="B13" s="52">
        <v>1</v>
      </c>
      <c r="C13" s="22">
        <v>1.1000000000000001</v>
      </c>
      <c r="D13" s="22">
        <v>1.1000000000000001</v>
      </c>
      <c r="E13" s="20">
        <v>1.2809999999999999</v>
      </c>
      <c r="F13" s="20">
        <v>1.216</v>
      </c>
      <c r="G13" s="52">
        <v>1</v>
      </c>
      <c r="H13" s="52">
        <v>1</v>
      </c>
      <c r="I13" s="18">
        <v>1</v>
      </c>
      <c r="J13" s="17">
        <v>0.75275681748312506</v>
      </c>
      <c r="K13" s="17">
        <v>0.45</v>
      </c>
      <c r="L13" s="17">
        <v>1.5780000000000001</v>
      </c>
      <c r="M13" s="17">
        <v>1.071</v>
      </c>
      <c r="N13" s="20">
        <v>1.071</v>
      </c>
      <c r="O13" s="20">
        <v>1.246</v>
      </c>
      <c r="P13" s="20">
        <v>0.998</v>
      </c>
      <c r="Q13" s="20">
        <v>1.482</v>
      </c>
      <c r="R13" s="20">
        <v>1.071</v>
      </c>
      <c r="S13" s="20">
        <v>1.071</v>
      </c>
      <c r="T13" s="18">
        <v>1</v>
      </c>
    </row>
    <row r="14" spans="1:20" x14ac:dyDescent="0.2">
      <c r="A14" s="4">
        <v>1862</v>
      </c>
      <c r="B14" s="52">
        <v>1</v>
      </c>
      <c r="C14" s="22">
        <v>1.1000000000000001</v>
      </c>
      <c r="D14" s="22">
        <v>1.1000000000000001</v>
      </c>
      <c r="E14" s="20">
        <v>1.2809999999999999</v>
      </c>
      <c r="F14" s="20">
        <v>1.216</v>
      </c>
      <c r="G14" s="52">
        <v>1</v>
      </c>
      <c r="H14" s="52">
        <v>1</v>
      </c>
      <c r="I14" s="18">
        <v>1</v>
      </c>
      <c r="J14" s="17">
        <v>0.75656333974660561</v>
      </c>
      <c r="K14" s="17">
        <v>0.45</v>
      </c>
      <c r="L14" s="17">
        <v>1.5780000000000001</v>
      </c>
      <c r="M14" s="17">
        <v>1.071</v>
      </c>
      <c r="N14" s="20">
        <v>1.071</v>
      </c>
      <c r="O14" s="20">
        <v>1.246</v>
      </c>
      <c r="P14" s="20">
        <v>0.998</v>
      </c>
      <c r="Q14" s="20">
        <v>1.482</v>
      </c>
      <c r="R14" s="20">
        <v>1.071</v>
      </c>
      <c r="S14" s="20">
        <v>1.071</v>
      </c>
      <c r="T14" s="18">
        <v>1</v>
      </c>
    </row>
    <row r="15" spans="1:20" x14ac:dyDescent="0.2">
      <c r="A15" s="4">
        <v>1863</v>
      </c>
      <c r="B15" s="52">
        <v>1</v>
      </c>
      <c r="C15" s="22">
        <v>1.1000000000000001</v>
      </c>
      <c r="D15" s="22">
        <v>1.1000000000000001</v>
      </c>
      <c r="E15" s="20">
        <v>1.2809999999999999</v>
      </c>
      <c r="F15" s="20">
        <v>1.216</v>
      </c>
      <c r="G15" s="52">
        <v>1</v>
      </c>
      <c r="H15" s="52">
        <v>1</v>
      </c>
      <c r="I15" s="18">
        <v>1</v>
      </c>
      <c r="J15" s="17">
        <v>0.76031366818700374</v>
      </c>
      <c r="K15" s="17">
        <v>0.45</v>
      </c>
      <c r="L15" s="17">
        <v>1.5780000000000001</v>
      </c>
      <c r="M15" s="17">
        <v>1.071</v>
      </c>
      <c r="N15" s="20">
        <v>1.071</v>
      </c>
      <c r="O15" s="20">
        <v>1.246</v>
      </c>
      <c r="P15" s="20">
        <v>0.998</v>
      </c>
      <c r="Q15" s="20">
        <v>1.482</v>
      </c>
      <c r="R15" s="20">
        <v>1.071</v>
      </c>
      <c r="S15" s="20">
        <v>1.071</v>
      </c>
      <c r="T15" s="18">
        <v>1</v>
      </c>
    </row>
    <row r="16" spans="1:20" x14ac:dyDescent="0.2">
      <c r="A16" s="4">
        <v>1864</v>
      </c>
      <c r="B16" s="52">
        <v>1</v>
      </c>
      <c r="C16" s="22">
        <v>1.1000000000000001</v>
      </c>
      <c r="D16" s="22">
        <v>1.1000000000000001</v>
      </c>
      <c r="E16" s="20">
        <v>1.2809999999999999</v>
      </c>
      <c r="F16" s="20">
        <v>1.216</v>
      </c>
      <c r="G16" s="52">
        <v>1</v>
      </c>
      <c r="H16" s="52">
        <v>1</v>
      </c>
      <c r="I16" s="18">
        <v>1</v>
      </c>
      <c r="J16" s="17">
        <v>0.7640067375091516</v>
      </c>
      <c r="K16" s="17">
        <v>0.45</v>
      </c>
      <c r="L16" s="17">
        <v>1.5780000000000001</v>
      </c>
      <c r="M16" s="17">
        <v>1.071</v>
      </c>
      <c r="N16" s="20">
        <v>1.071</v>
      </c>
      <c r="O16" s="20">
        <v>1.246</v>
      </c>
      <c r="P16" s="20">
        <v>0.998</v>
      </c>
      <c r="Q16" s="20">
        <v>1.482</v>
      </c>
      <c r="R16" s="20">
        <v>1.071</v>
      </c>
      <c r="S16" s="20">
        <v>1.071</v>
      </c>
      <c r="T16" s="18">
        <v>1</v>
      </c>
    </row>
    <row r="17" spans="1:20" x14ac:dyDescent="0.2">
      <c r="A17" s="4">
        <v>1865</v>
      </c>
      <c r="B17" s="52">
        <v>1</v>
      </c>
      <c r="C17" s="22">
        <v>1.1000000000000001</v>
      </c>
      <c r="D17" s="22">
        <v>1.1000000000000001</v>
      </c>
      <c r="E17" s="20">
        <v>1.2809999999999999</v>
      </c>
      <c r="F17" s="20">
        <v>1.216</v>
      </c>
      <c r="G17" s="52">
        <v>1</v>
      </c>
      <c r="H17" s="52">
        <v>1</v>
      </c>
      <c r="I17" s="18">
        <v>1</v>
      </c>
      <c r="J17" s="17">
        <v>0.76764149368772938</v>
      </c>
      <c r="K17" s="17">
        <v>0.45</v>
      </c>
      <c r="L17" s="17">
        <v>1.5780000000000001</v>
      </c>
      <c r="M17" s="17">
        <v>1.071</v>
      </c>
      <c r="N17" s="20">
        <v>1.071</v>
      </c>
      <c r="O17" s="20">
        <v>1.246</v>
      </c>
      <c r="P17" s="20">
        <v>0.998</v>
      </c>
      <c r="Q17" s="20">
        <v>1.482</v>
      </c>
      <c r="R17" s="20">
        <v>1.071</v>
      </c>
      <c r="S17" s="20">
        <v>1.071</v>
      </c>
      <c r="T17" s="18">
        <v>1</v>
      </c>
    </row>
    <row r="18" spans="1:20" x14ac:dyDescent="0.2">
      <c r="A18" s="4">
        <v>1866</v>
      </c>
      <c r="B18" s="52">
        <v>1</v>
      </c>
      <c r="C18" s="22">
        <v>1.1000000000000001</v>
      </c>
      <c r="D18" s="22">
        <v>1.1000000000000001</v>
      </c>
      <c r="E18" s="20">
        <v>1.2809999999999999</v>
      </c>
      <c r="F18" s="20">
        <v>1.216</v>
      </c>
      <c r="G18" s="52">
        <v>1</v>
      </c>
      <c r="H18" s="52">
        <v>1</v>
      </c>
      <c r="I18" s="18">
        <v>1</v>
      </c>
      <c r="J18" s="17">
        <v>0.77121689446018982</v>
      </c>
      <c r="K18" s="17">
        <v>0.45</v>
      </c>
      <c r="L18" s="17">
        <v>1.5780000000000001</v>
      </c>
      <c r="M18" s="17">
        <v>1.071</v>
      </c>
      <c r="N18" s="20">
        <v>1.071</v>
      </c>
      <c r="O18" s="20">
        <v>1.246</v>
      </c>
      <c r="P18" s="20">
        <v>0.998</v>
      </c>
      <c r="Q18" s="20">
        <v>1.482</v>
      </c>
      <c r="R18" s="20">
        <v>1.071</v>
      </c>
      <c r="S18" s="20">
        <v>1.071</v>
      </c>
      <c r="T18" s="18">
        <v>1</v>
      </c>
    </row>
    <row r="19" spans="1:20" x14ac:dyDescent="0.2">
      <c r="A19" s="4">
        <v>1867</v>
      </c>
      <c r="B19" s="52">
        <v>1</v>
      </c>
      <c r="C19" s="22">
        <v>1.1000000000000001</v>
      </c>
      <c r="D19" s="22">
        <v>1.1000000000000001</v>
      </c>
      <c r="E19" s="20">
        <v>1.2809999999999999</v>
      </c>
      <c r="F19" s="20">
        <v>1.216</v>
      </c>
      <c r="G19" s="52">
        <v>1</v>
      </c>
      <c r="H19" s="52">
        <v>1</v>
      </c>
      <c r="I19" s="18">
        <v>1</v>
      </c>
      <c r="J19" s="17">
        <v>0.77473190981759499</v>
      </c>
      <c r="K19" s="17">
        <v>0.45</v>
      </c>
      <c r="L19" s="17">
        <v>1.5780000000000001</v>
      </c>
      <c r="M19" s="17">
        <v>1.071</v>
      </c>
      <c r="N19" s="20">
        <v>1.071</v>
      </c>
      <c r="O19" s="20">
        <v>1.246</v>
      </c>
      <c r="P19" s="20">
        <v>0.998</v>
      </c>
      <c r="Q19" s="20">
        <v>1.482</v>
      </c>
      <c r="R19" s="20">
        <v>1.071</v>
      </c>
      <c r="S19" s="20">
        <v>1.071</v>
      </c>
      <c r="T19" s="18">
        <v>1</v>
      </c>
    </row>
    <row r="20" spans="1:20" x14ac:dyDescent="0.2">
      <c r="A20" s="4">
        <v>1868</v>
      </c>
      <c r="B20" s="52">
        <v>1</v>
      </c>
      <c r="C20" s="22">
        <v>1.1000000000000001</v>
      </c>
      <c r="D20" s="22">
        <v>1.1000000000000001</v>
      </c>
      <c r="E20" s="20">
        <v>1.2809999999999999</v>
      </c>
      <c r="F20" s="20">
        <v>1.216</v>
      </c>
      <c r="G20" s="52">
        <v>1</v>
      </c>
      <c r="H20" s="52">
        <v>1</v>
      </c>
      <c r="I20" s="18">
        <v>1</v>
      </c>
      <c r="J20" s="17">
        <v>0.77818552248943718</v>
      </c>
      <c r="K20" s="17">
        <v>0.45</v>
      </c>
      <c r="L20" s="17">
        <v>1.5780000000000001</v>
      </c>
      <c r="M20" s="17">
        <v>1.071</v>
      </c>
      <c r="N20" s="20">
        <v>1.071</v>
      </c>
      <c r="O20" s="20">
        <v>1.246</v>
      </c>
      <c r="P20" s="20">
        <v>0.998</v>
      </c>
      <c r="Q20" s="20">
        <v>1.482</v>
      </c>
      <c r="R20" s="20">
        <v>1.071</v>
      </c>
      <c r="S20" s="20">
        <v>1.071</v>
      </c>
      <c r="T20" s="18">
        <v>1</v>
      </c>
    </row>
    <row r="21" spans="1:20" x14ac:dyDescent="0.2">
      <c r="A21" s="4">
        <v>1869</v>
      </c>
      <c r="B21" s="52">
        <v>1</v>
      </c>
      <c r="C21" s="22">
        <v>1.1000000000000001</v>
      </c>
      <c r="D21" s="22">
        <v>1.1000000000000001</v>
      </c>
      <c r="E21" s="20">
        <v>1.2809999999999999</v>
      </c>
      <c r="F21" s="20">
        <v>1.216</v>
      </c>
      <c r="G21" s="52">
        <v>1</v>
      </c>
      <c r="H21" s="52">
        <v>1</v>
      </c>
      <c r="I21" s="18">
        <v>1</v>
      </c>
      <c r="J21" s="17">
        <v>0.7815767284295374</v>
      </c>
      <c r="K21" s="17">
        <v>0.45</v>
      </c>
      <c r="L21" s="17">
        <v>1.5780000000000001</v>
      </c>
      <c r="M21" s="17">
        <v>1.071</v>
      </c>
      <c r="N21" s="20">
        <v>1.071</v>
      </c>
      <c r="O21" s="20">
        <v>1.246</v>
      </c>
      <c r="P21" s="20">
        <v>0.998</v>
      </c>
      <c r="Q21" s="20">
        <v>1.482</v>
      </c>
      <c r="R21" s="20">
        <v>1.071</v>
      </c>
      <c r="S21" s="20">
        <v>1.071</v>
      </c>
      <c r="T21" s="18">
        <v>1</v>
      </c>
    </row>
    <row r="22" spans="1:20" x14ac:dyDescent="0.2">
      <c r="A22" s="4">
        <v>1870</v>
      </c>
      <c r="B22" s="52">
        <v>1</v>
      </c>
      <c r="C22" s="22">
        <v>1.1000000000000001</v>
      </c>
      <c r="D22" s="22">
        <v>1.1000000000000001</v>
      </c>
      <c r="E22" s="20">
        <v>1.2809999999999999</v>
      </c>
      <c r="F22" s="20">
        <v>1.216</v>
      </c>
      <c r="G22" s="52">
        <v>1</v>
      </c>
      <c r="H22" s="52">
        <v>1</v>
      </c>
      <c r="I22" s="18">
        <v>1</v>
      </c>
      <c r="J22" s="17">
        <v>0.78490453729259624</v>
      </c>
      <c r="K22" s="17">
        <v>0.45</v>
      </c>
      <c r="L22" s="17">
        <v>1.5780000000000001</v>
      </c>
      <c r="M22" s="17">
        <v>1.071</v>
      </c>
      <c r="N22" s="20">
        <v>1.071</v>
      </c>
      <c r="O22" s="20">
        <v>1.246</v>
      </c>
      <c r="P22" s="20">
        <v>0.998</v>
      </c>
      <c r="Q22" s="20">
        <v>1.482</v>
      </c>
      <c r="R22" s="20">
        <v>1.071</v>
      </c>
      <c r="S22" s="20">
        <v>1.071</v>
      </c>
      <c r="T22" s="18">
        <v>1</v>
      </c>
    </row>
    <row r="23" spans="1:20" x14ac:dyDescent="0.2">
      <c r="A23" s="4">
        <v>1871</v>
      </c>
      <c r="B23" s="52">
        <v>1</v>
      </c>
      <c r="C23" s="22">
        <v>1.1000000000000001</v>
      </c>
      <c r="D23" s="22">
        <v>1.1000000000000001</v>
      </c>
      <c r="E23" s="20">
        <v>1.2809999999999999</v>
      </c>
      <c r="F23" s="20">
        <v>1.216</v>
      </c>
      <c r="G23" s="52">
        <v>1</v>
      </c>
      <c r="H23" s="52">
        <v>1</v>
      </c>
      <c r="I23" s="18">
        <v>1</v>
      </c>
      <c r="J23" s="17">
        <v>0.78816797291128249</v>
      </c>
      <c r="K23" s="17">
        <v>0.45</v>
      </c>
      <c r="L23" s="17">
        <v>1.5780000000000001</v>
      </c>
      <c r="M23" s="17">
        <v>1.071</v>
      </c>
      <c r="N23" s="20">
        <v>1.071</v>
      </c>
      <c r="O23" s="20">
        <v>1.246</v>
      </c>
      <c r="P23" s="20">
        <v>0.998</v>
      </c>
      <c r="Q23" s="20">
        <v>1.482</v>
      </c>
      <c r="R23" s="20">
        <v>1.071</v>
      </c>
      <c r="S23" s="20">
        <v>1.071</v>
      </c>
      <c r="T23" s="18">
        <v>1</v>
      </c>
    </row>
    <row r="24" spans="1:20" x14ac:dyDescent="0.2">
      <c r="A24" s="4">
        <v>1872</v>
      </c>
      <c r="B24" s="52">
        <v>1</v>
      </c>
      <c r="C24" s="22">
        <v>1.1000000000000001</v>
      </c>
      <c r="D24" s="22">
        <v>1.1000000000000001</v>
      </c>
      <c r="E24" s="20">
        <v>1.2809999999999999</v>
      </c>
      <c r="F24" s="20">
        <v>1.216</v>
      </c>
      <c r="G24" s="52">
        <v>1</v>
      </c>
      <c r="H24" s="52">
        <v>1</v>
      </c>
      <c r="I24" s="18">
        <v>1</v>
      </c>
      <c r="J24" s="17">
        <v>0.79136607376575863</v>
      </c>
      <c r="K24" s="17">
        <v>0.45</v>
      </c>
      <c r="L24" s="17">
        <v>1.5780000000000001</v>
      </c>
      <c r="M24" s="17">
        <v>1.071</v>
      </c>
      <c r="N24" s="20">
        <v>1.071</v>
      </c>
      <c r="O24" s="20">
        <v>1.246</v>
      </c>
      <c r="P24" s="20">
        <v>0.998</v>
      </c>
      <c r="Q24" s="20">
        <v>1.482</v>
      </c>
      <c r="R24" s="20">
        <v>1.071</v>
      </c>
      <c r="S24" s="20">
        <v>1.071</v>
      </c>
      <c r="T24" s="18">
        <v>1</v>
      </c>
    </row>
    <row r="25" spans="1:20" x14ac:dyDescent="0.2">
      <c r="A25" s="4">
        <v>1873</v>
      </c>
      <c r="B25" s="52">
        <v>1</v>
      </c>
      <c r="C25" s="22">
        <v>1.1000000000000001</v>
      </c>
      <c r="D25" s="22">
        <v>1.1000000000000001</v>
      </c>
      <c r="E25" s="20">
        <v>1.2809999999999999</v>
      </c>
      <c r="F25" s="20">
        <v>1.216</v>
      </c>
      <c r="G25" s="52">
        <v>1</v>
      </c>
      <c r="H25" s="52">
        <v>1</v>
      </c>
      <c r="I25" s="18">
        <v>1</v>
      </c>
      <c r="J25" s="17">
        <v>0.7944978934500172</v>
      </c>
      <c r="K25" s="17">
        <v>0.45</v>
      </c>
      <c r="L25" s="17">
        <v>1.5780000000000001</v>
      </c>
      <c r="M25" s="17">
        <v>1.071</v>
      </c>
      <c r="N25" s="20">
        <v>1.071</v>
      </c>
      <c r="O25" s="20">
        <v>1.246</v>
      </c>
      <c r="P25" s="20">
        <v>0.998</v>
      </c>
      <c r="Q25" s="20">
        <v>1.482</v>
      </c>
      <c r="R25" s="20">
        <v>1.071</v>
      </c>
      <c r="S25" s="20">
        <v>1.071</v>
      </c>
      <c r="T25" s="18">
        <v>1</v>
      </c>
    </row>
    <row r="26" spans="1:20" x14ac:dyDescent="0.2">
      <c r="A26" s="4">
        <v>1874</v>
      </c>
      <c r="B26" s="52">
        <v>1</v>
      </c>
      <c r="C26" s="22">
        <v>1.1000000000000001</v>
      </c>
      <c r="D26" s="22">
        <v>1.1000000000000001</v>
      </c>
      <c r="E26" s="20">
        <v>1.2809999999999999</v>
      </c>
      <c r="F26" s="20">
        <v>1.216</v>
      </c>
      <c r="G26" s="52">
        <v>1</v>
      </c>
      <c r="H26" s="52">
        <v>1</v>
      </c>
      <c r="I26" s="18">
        <v>1</v>
      </c>
      <c r="J26" s="17">
        <v>0.79756250113227933</v>
      </c>
      <c r="K26" s="17">
        <v>0.45</v>
      </c>
      <c r="L26" s="17">
        <v>1.5780000000000001</v>
      </c>
      <c r="M26" s="17">
        <v>1.071</v>
      </c>
      <c r="N26" s="20">
        <v>1.071</v>
      </c>
      <c r="O26" s="20">
        <v>1.246</v>
      </c>
      <c r="P26" s="20">
        <v>0.998</v>
      </c>
      <c r="Q26" s="20">
        <v>1.482</v>
      </c>
      <c r="R26" s="20">
        <v>1.071</v>
      </c>
      <c r="S26" s="20">
        <v>1.071</v>
      </c>
      <c r="T26" s="18">
        <v>1</v>
      </c>
    </row>
    <row r="27" spans="1:20" x14ac:dyDescent="0.2">
      <c r="A27" s="4">
        <v>1875</v>
      </c>
      <c r="B27" s="52">
        <v>1</v>
      </c>
      <c r="C27" s="22">
        <v>1.1000000000000001</v>
      </c>
      <c r="D27" s="22">
        <v>1.1000000000000001</v>
      </c>
      <c r="E27" s="20">
        <v>1.2809999999999999</v>
      </c>
      <c r="F27" s="20">
        <v>1.216</v>
      </c>
      <c r="G27" s="52">
        <v>1</v>
      </c>
      <c r="H27" s="52">
        <v>1</v>
      </c>
      <c r="I27" s="18">
        <v>1</v>
      </c>
      <c r="J27" s="17">
        <v>0.80055898201031972</v>
      </c>
      <c r="K27" s="17">
        <v>0.45</v>
      </c>
      <c r="L27" s="17">
        <v>1.5780000000000001</v>
      </c>
      <c r="M27" s="17">
        <v>1.071</v>
      </c>
      <c r="N27" s="20">
        <v>1.071</v>
      </c>
      <c r="O27" s="20">
        <v>1.246</v>
      </c>
      <c r="P27" s="20">
        <v>0.998</v>
      </c>
      <c r="Q27" s="20">
        <v>1.482</v>
      </c>
      <c r="R27" s="20">
        <v>1.071</v>
      </c>
      <c r="S27" s="20">
        <v>1.071</v>
      </c>
      <c r="T27" s="18">
        <v>1</v>
      </c>
    </row>
    <row r="28" spans="1:20" x14ac:dyDescent="0.2">
      <c r="A28" s="4">
        <v>1876</v>
      </c>
      <c r="B28" s="52">
        <v>1</v>
      </c>
      <c r="C28" s="22">
        <v>1.1000000000000001</v>
      </c>
      <c r="D28" s="22">
        <v>1.1000000000000001</v>
      </c>
      <c r="E28" s="20">
        <v>1.2809999999999999</v>
      </c>
      <c r="F28" s="20">
        <v>1.216</v>
      </c>
      <c r="G28" s="52">
        <v>1</v>
      </c>
      <c r="H28" s="52">
        <v>1</v>
      </c>
      <c r="I28" s="18">
        <v>1</v>
      </c>
      <c r="J28" s="17">
        <v>0.80348643776113748</v>
      </c>
      <c r="K28" s="17">
        <v>0.45</v>
      </c>
      <c r="L28" s="17">
        <v>1.5780000000000001</v>
      </c>
      <c r="M28" s="17">
        <v>1.071</v>
      </c>
      <c r="N28" s="20">
        <v>1.071</v>
      </c>
      <c r="O28" s="20">
        <v>1.246</v>
      </c>
      <c r="P28" s="20">
        <v>0.998</v>
      </c>
      <c r="Q28" s="20">
        <v>1.482</v>
      </c>
      <c r="R28" s="20">
        <v>1.071</v>
      </c>
      <c r="S28" s="20">
        <v>1.071</v>
      </c>
      <c r="T28" s="18">
        <v>1</v>
      </c>
    </row>
    <row r="29" spans="1:20" x14ac:dyDescent="0.2">
      <c r="A29" s="4">
        <v>1877</v>
      </c>
      <c r="B29" s="52">
        <v>1</v>
      </c>
      <c r="C29" s="22">
        <v>1.1000000000000001</v>
      </c>
      <c r="D29" s="22">
        <v>1.1000000000000001</v>
      </c>
      <c r="E29" s="20">
        <v>1.2809999999999999</v>
      </c>
      <c r="F29" s="20">
        <v>1.216</v>
      </c>
      <c r="G29" s="52">
        <v>1</v>
      </c>
      <c r="H29" s="52">
        <v>1</v>
      </c>
      <c r="I29" s="18">
        <v>1</v>
      </c>
      <c r="J29" s="17">
        <v>0.80634398698403498</v>
      </c>
      <c r="K29" s="17">
        <v>0.45</v>
      </c>
      <c r="L29" s="17">
        <v>1.5780000000000001</v>
      </c>
      <c r="M29" s="17">
        <v>1.071</v>
      </c>
      <c r="N29" s="20">
        <v>1.071</v>
      </c>
      <c r="O29" s="20">
        <v>1.246</v>
      </c>
      <c r="P29" s="20">
        <v>0.998</v>
      </c>
      <c r="Q29" s="20">
        <v>1.482</v>
      </c>
      <c r="R29" s="20">
        <v>1.071</v>
      </c>
      <c r="S29" s="20">
        <v>1.071</v>
      </c>
      <c r="T29" s="18">
        <v>1</v>
      </c>
    </row>
    <row r="30" spans="1:20" x14ac:dyDescent="0.2">
      <c r="A30" s="4">
        <v>1878</v>
      </c>
      <c r="B30" s="52">
        <v>1</v>
      </c>
      <c r="C30" s="22">
        <v>1.1000000000000001</v>
      </c>
      <c r="D30" s="22">
        <v>1.1000000000000001</v>
      </c>
      <c r="E30" s="20">
        <v>1.2809999999999999</v>
      </c>
      <c r="F30" s="20">
        <v>1.216</v>
      </c>
      <c r="G30" s="52">
        <v>1</v>
      </c>
      <c r="H30" s="52">
        <v>1</v>
      </c>
      <c r="I30" s="18">
        <v>1</v>
      </c>
      <c r="J30" s="17">
        <v>0.80913076563780539</v>
      </c>
      <c r="K30" s="17">
        <v>0.45</v>
      </c>
      <c r="L30" s="17">
        <v>1.5780000000000001</v>
      </c>
      <c r="M30" s="17">
        <v>1.071</v>
      </c>
      <c r="N30" s="20">
        <v>1.071</v>
      </c>
      <c r="O30" s="20">
        <v>1.246</v>
      </c>
      <c r="P30" s="20">
        <v>0.998</v>
      </c>
      <c r="Q30" s="20">
        <v>1.482</v>
      </c>
      <c r="R30" s="20">
        <v>1.071</v>
      </c>
      <c r="S30" s="20">
        <v>1.071</v>
      </c>
      <c r="T30" s="18">
        <v>1</v>
      </c>
    </row>
    <row r="31" spans="1:20" x14ac:dyDescent="0.2">
      <c r="A31" s="4">
        <v>1879</v>
      </c>
      <c r="B31" s="52">
        <v>1</v>
      </c>
      <c r="C31" s="22">
        <v>1.1000000000000001</v>
      </c>
      <c r="D31" s="22">
        <v>1.1000000000000001</v>
      </c>
      <c r="E31" s="20">
        <v>1.2809999999999999</v>
      </c>
      <c r="F31" s="20">
        <v>1.216</v>
      </c>
      <c r="G31" s="52">
        <v>1</v>
      </c>
      <c r="H31" s="52">
        <v>1</v>
      </c>
      <c r="I31" s="18">
        <v>1</v>
      </c>
      <c r="J31" s="17">
        <v>0.8118459274715295</v>
      </c>
      <c r="K31" s="17">
        <v>0.45</v>
      </c>
      <c r="L31" s="17">
        <v>1.5780000000000001</v>
      </c>
      <c r="M31" s="17">
        <v>1.071</v>
      </c>
      <c r="N31" s="20">
        <v>1.071</v>
      </c>
      <c r="O31" s="20">
        <v>1.246</v>
      </c>
      <c r="P31" s="20">
        <v>0.998</v>
      </c>
      <c r="Q31" s="20">
        <v>1.482</v>
      </c>
      <c r="R31" s="20">
        <v>1.071</v>
      </c>
      <c r="S31" s="20">
        <v>1.071</v>
      </c>
      <c r="T31" s="18">
        <v>1</v>
      </c>
    </row>
    <row r="32" spans="1:20" x14ac:dyDescent="0.2">
      <c r="A32" s="4">
        <v>1880</v>
      </c>
      <c r="B32" s="52">
        <v>1</v>
      </c>
      <c r="C32" s="22">
        <v>1.1000000000000001</v>
      </c>
      <c r="D32" s="22">
        <v>1.1000000000000001</v>
      </c>
      <c r="E32" s="20">
        <v>1.2809999999999999</v>
      </c>
      <c r="F32" s="20">
        <v>1.216</v>
      </c>
      <c r="G32" s="52">
        <v>1</v>
      </c>
      <c r="H32" s="52">
        <v>1</v>
      </c>
      <c r="I32" s="18">
        <v>1</v>
      </c>
      <c r="J32" s="17">
        <v>0.81448864444772906</v>
      </c>
      <c r="K32" s="17">
        <v>0.45</v>
      </c>
      <c r="L32" s="17">
        <v>1.5780000000000001</v>
      </c>
      <c r="M32" s="17">
        <v>1.071</v>
      </c>
      <c r="N32" s="20">
        <v>1.071</v>
      </c>
      <c r="O32" s="20">
        <v>1.246</v>
      </c>
      <c r="P32" s="20">
        <v>0.998</v>
      </c>
      <c r="Q32" s="20">
        <v>1.482</v>
      </c>
      <c r="R32" s="20">
        <v>1.071</v>
      </c>
      <c r="S32" s="20">
        <v>1.071</v>
      </c>
      <c r="T32" s="18">
        <v>1</v>
      </c>
    </row>
    <row r="33" spans="1:20" x14ac:dyDescent="0.2">
      <c r="A33" s="4">
        <v>1881</v>
      </c>
      <c r="B33" s="52">
        <v>1</v>
      </c>
      <c r="C33" s="22">
        <v>1.1000000000000001</v>
      </c>
      <c r="D33" s="22">
        <v>1.1000000000000001</v>
      </c>
      <c r="E33" s="20">
        <v>1.2809999999999999</v>
      </c>
      <c r="F33" s="20">
        <v>1.216</v>
      </c>
      <c r="G33" s="52">
        <v>1</v>
      </c>
      <c r="H33" s="52">
        <v>1</v>
      </c>
      <c r="I33" s="18">
        <v>1</v>
      </c>
      <c r="J33" s="17">
        <v>0.8170581071585048</v>
      </c>
      <c r="K33" s="17">
        <v>0.45</v>
      </c>
      <c r="L33" s="17">
        <v>1.5780000000000001</v>
      </c>
      <c r="M33" s="17">
        <v>1.071</v>
      </c>
      <c r="N33" s="20">
        <v>1.071</v>
      </c>
      <c r="O33" s="20">
        <v>1.246</v>
      </c>
      <c r="P33" s="20">
        <v>0.998</v>
      </c>
      <c r="Q33" s="20">
        <v>1.482</v>
      </c>
      <c r="R33" s="20">
        <v>1.071</v>
      </c>
      <c r="S33" s="20">
        <v>1.071</v>
      </c>
      <c r="T33" s="18">
        <v>1</v>
      </c>
    </row>
    <row r="34" spans="1:20" x14ac:dyDescent="0.2">
      <c r="A34" s="4">
        <v>1882</v>
      </c>
      <c r="B34" s="52">
        <v>1</v>
      </c>
      <c r="C34" s="22">
        <v>1.1000000000000001</v>
      </c>
      <c r="D34" s="22">
        <v>1.1000000000000001</v>
      </c>
      <c r="E34" s="20">
        <v>1.2809999999999999</v>
      </c>
      <c r="F34" s="20">
        <v>1.216</v>
      </c>
      <c r="G34" s="52">
        <v>1</v>
      </c>
      <c r="H34" s="52">
        <v>1</v>
      </c>
      <c r="I34" s="18">
        <v>1</v>
      </c>
      <c r="J34" s="17">
        <v>0.81955352523436964</v>
      </c>
      <c r="K34" s="17">
        <v>0.45</v>
      </c>
      <c r="L34" s="17">
        <v>1.5780000000000001</v>
      </c>
      <c r="M34" s="17">
        <v>1.071</v>
      </c>
      <c r="N34" s="20">
        <v>1.071</v>
      </c>
      <c r="O34" s="20">
        <v>1.246</v>
      </c>
      <c r="P34" s="20">
        <v>0.998</v>
      </c>
      <c r="Q34" s="20">
        <v>1.482</v>
      </c>
      <c r="R34" s="20">
        <v>1.071</v>
      </c>
      <c r="S34" s="20">
        <v>1.071</v>
      </c>
      <c r="T34" s="18">
        <v>1</v>
      </c>
    </row>
    <row r="35" spans="1:20" x14ac:dyDescent="0.2">
      <c r="A35" s="4">
        <v>1883</v>
      </c>
      <c r="B35" s="52">
        <v>1</v>
      </c>
      <c r="C35" s="22">
        <v>1.1000000000000001</v>
      </c>
      <c r="D35" s="22">
        <v>1.1000000000000001</v>
      </c>
      <c r="E35" s="20">
        <v>1.2809999999999999</v>
      </c>
      <c r="F35" s="20">
        <v>1.216</v>
      </c>
      <c r="G35" s="52">
        <v>1</v>
      </c>
      <c r="H35" s="52">
        <v>1</v>
      </c>
      <c r="I35" s="18">
        <v>1</v>
      </c>
      <c r="J35" s="17">
        <v>0.82197412774601197</v>
      </c>
      <c r="K35" s="17">
        <v>0.45</v>
      </c>
      <c r="L35" s="17">
        <v>1.5780000000000001</v>
      </c>
      <c r="M35" s="17">
        <v>1.071</v>
      </c>
      <c r="N35" s="20">
        <v>1.071</v>
      </c>
      <c r="O35" s="20">
        <v>1.246</v>
      </c>
      <c r="P35" s="20">
        <v>0.998</v>
      </c>
      <c r="Q35" s="20">
        <v>1.482</v>
      </c>
      <c r="R35" s="20">
        <v>1.071</v>
      </c>
      <c r="S35" s="20">
        <v>1.071</v>
      </c>
      <c r="T35" s="18">
        <v>1</v>
      </c>
    </row>
    <row r="36" spans="1:20" x14ac:dyDescent="0.2">
      <c r="A36" s="4">
        <v>1884</v>
      </c>
      <c r="B36" s="52">
        <v>1</v>
      </c>
      <c r="C36" s="22">
        <v>1.1000000000000001</v>
      </c>
      <c r="D36" s="22">
        <v>1.1000000000000001</v>
      </c>
      <c r="E36" s="20">
        <v>1.2809999999999999</v>
      </c>
      <c r="F36" s="20">
        <v>1.216</v>
      </c>
      <c r="G36" s="52">
        <v>1</v>
      </c>
      <c r="H36" s="52">
        <v>1</v>
      </c>
      <c r="I36" s="18">
        <v>1</v>
      </c>
      <c r="J36" s="17">
        <v>0.82431916359560753</v>
      </c>
      <c r="K36" s="17">
        <v>0.45</v>
      </c>
      <c r="L36" s="17">
        <v>1.5780000000000001</v>
      </c>
      <c r="M36" s="17">
        <v>1.071</v>
      </c>
      <c r="N36" s="20">
        <v>1.071</v>
      </c>
      <c r="O36" s="20">
        <v>1.246</v>
      </c>
      <c r="P36" s="20">
        <v>0.998</v>
      </c>
      <c r="Q36" s="20">
        <v>1.482</v>
      </c>
      <c r="R36" s="20">
        <v>1.071</v>
      </c>
      <c r="S36" s="20">
        <v>1.071</v>
      </c>
      <c r="T36" s="18">
        <v>1</v>
      </c>
    </row>
    <row r="37" spans="1:20" x14ac:dyDescent="0.2">
      <c r="A37" s="4">
        <v>1885</v>
      </c>
      <c r="B37" s="52">
        <v>1</v>
      </c>
      <c r="C37" s="22">
        <v>1.1000000000000001</v>
      </c>
      <c r="D37" s="22">
        <v>1.1000000000000001</v>
      </c>
      <c r="E37" s="20">
        <v>1.2809999999999999</v>
      </c>
      <c r="F37" s="20">
        <v>1.216</v>
      </c>
      <c r="G37" s="52">
        <v>1</v>
      </c>
      <c r="H37" s="52">
        <v>1</v>
      </c>
      <c r="I37" s="18">
        <v>1</v>
      </c>
      <c r="J37" s="17">
        <v>0.82658790190221132</v>
      </c>
      <c r="K37" s="17">
        <v>0.45</v>
      </c>
      <c r="L37" s="17">
        <v>1.5780000000000001</v>
      </c>
      <c r="M37" s="17">
        <v>1.071</v>
      </c>
      <c r="N37" s="20">
        <v>1.071</v>
      </c>
      <c r="O37" s="20">
        <v>1.246</v>
      </c>
      <c r="P37" s="20">
        <v>0.998</v>
      </c>
      <c r="Q37" s="20">
        <v>1.482</v>
      </c>
      <c r="R37" s="20">
        <v>1.071</v>
      </c>
      <c r="S37" s="20">
        <v>1.071</v>
      </c>
      <c r="T37" s="18">
        <v>1</v>
      </c>
    </row>
    <row r="38" spans="1:20" x14ac:dyDescent="0.2">
      <c r="A38" s="4">
        <v>1886</v>
      </c>
      <c r="B38" s="52">
        <v>1</v>
      </c>
      <c r="C38" s="22">
        <v>1.1000000000000001</v>
      </c>
      <c r="D38" s="22">
        <v>1.1000000000000001</v>
      </c>
      <c r="E38" s="20">
        <v>1.2809999999999999</v>
      </c>
      <c r="F38" s="20">
        <v>1.216</v>
      </c>
      <c r="G38" s="52">
        <v>1</v>
      </c>
      <c r="H38" s="52">
        <v>1</v>
      </c>
      <c r="I38" s="18">
        <v>1</v>
      </c>
      <c r="J38" s="17">
        <v>0.82877963237726593</v>
      </c>
      <c r="K38" s="17">
        <v>0.45</v>
      </c>
      <c r="L38" s="17">
        <v>1.5780000000000001</v>
      </c>
      <c r="M38" s="17">
        <v>1.071</v>
      </c>
      <c r="N38" s="20">
        <v>1.071</v>
      </c>
      <c r="O38" s="20">
        <v>1.246</v>
      </c>
      <c r="P38" s="20">
        <v>0.998</v>
      </c>
      <c r="Q38" s="20">
        <v>1.482</v>
      </c>
      <c r="R38" s="20">
        <v>1.071</v>
      </c>
      <c r="S38" s="20">
        <v>1.071</v>
      </c>
      <c r="T38" s="18">
        <v>1</v>
      </c>
    </row>
    <row r="39" spans="1:20" x14ac:dyDescent="0.2">
      <c r="A39" s="4">
        <v>1887</v>
      </c>
      <c r="B39" s="52">
        <v>1</v>
      </c>
      <c r="C39" s="22">
        <v>1.1000000000000001</v>
      </c>
      <c r="D39" s="22">
        <v>1.1000000000000001</v>
      </c>
      <c r="E39" s="20">
        <v>1.2809999999999999</v>
      </c>
      <c r="F39" s="20">
        <v>1.216</v>
      </c>
      <c r="G39" s="52">
        <v>1</v>
      </c>
      <c r="H39" s="52">
        <v>1</v>
      </c>
      <c r="I39" s="18">
        <v>1</v>
      </c>
      <c r="J39" s="17">
        <v>0.83089366569198497</v>
      </c>
      <c r="K39" s="17">
        <v>0.45</v>
      </c>
      <c r="L39" s="17">
        <v>1.5780000000000001</v>
      </c>
      <c r="M39" s="17">
        <v>1.071</v>
      </c>
      <c r="N39" s="20">
        <v>1.071</v>
      </c>
      <c r="O39" s="20">
        <v>1.246</v>
      </c>
      <c r="P39" s="20">
        <v>0.998</v>
      </c>
      <c r="Q39" s="20">
        <v>1.482</v>
      </c>
      <c r="R39" s="20">
        <v>1.071</v>
      </c>
      <c r="S39" s="20">
        <v>1.071</v>
      </c>
      <c r="T39" s="18">
        <v>1</v>
      </c>
    </row>
    <row r="40" spans="1:20" x14ac:dyDescent="0.2">
      <c r="A40" s="4">
        <v>1888</v>
      </c>
      <c r="B40" s="52">
        <v>1</v>
      </c>
      <c r="C40" s="22">
        <v>1.1000000000000001</v>
      </c>
      <c r="D40" s="22">
        <v>1.1000000000000001</v>
      </c>
      <c r="E40" s="20">
        <v>1.2809999999999999</v>
      </c>
      <c r="F40" s="20">
        <v>1.216</v>
      </c>
      <c r="G40" s="52">
        <v>1</v>
      </c>
      <c r="H40" s="52">
        <v>1</v>
      </c>
      <c r="I40" s="18">
        <v>1</v>
      </c>
      <c r="J40" s="17">
        <v>0.83292933383419665</v>
      </c>
      <c r="K40" s="17">
        <v>0.45</v>
      </c>
      <c r="L40" s="17">
        <v>1.5780000000000001</v>
      </c>
      <c r="M40" s="17">
        <v>1.071</v>
      </c>
      <c r="N40" s="20">
        <v>1.071</v>
      </c>
      <c r="O40" s="20">
        <v>1.246</v>
      </c>
      <c r="P40" s="20">
        <v>0.998</v>
      </c>
      <c r="Q40" s="20">
        <v>1.482</v>
      </c>
      <c r="R40" s="20">
        <v>1.071</v>
      </c>
      <c r="S40" s="20">
        <v>1.071</v>
      </c>
      <c r="T40" s="18">
        <v>1</v>
      </c>
    </row>
    <row r="41" spans="1:20" x14ac:dyDescent="0.2">
      <c r="A41" s="4">
        <v>1889</v>
      </c>
      <c r="B41" s="52">
        <v>1</v>
      </c>
      <c r="C41" s="22">
        <v>1.1000000000000001</v>
      </c>
      <c r="D41" s="22">
        <v>1.1000000000000001</v>
      </c>
      <c r="E41" s="20">
        <v>1.2809999999999999</v>
      </c>
      <c r="F41" s="20">
        <v>1.216</v>
      </c>
      <c r="G41" s="52">
        <v>1</v>
      </c>
      <c r="H41" s="52">
        <v>1</v>
      </c>
      <c r="I41" s="18">
        <v>1</v>
      </c>
      <c r="J41" s="17">
        <v>0.83488599045757605</v>
      </c>
      <c r="K41" s="17">
        <v>0.45</v>
      </c>
      <c r="L41" s="17">
        <v>1.5780000000000001</v>
      </c>
      <c r="M41" s="17">
        <v>1.071</v>
      </c>
      <c r="N41" s="20">
        <v>1.071</v>
      </c>
      <c r="O41" s="20">
        <v>1.246</v>
      </c>
      <c r="P41" s="20">
        <v>0.998</v>
      </c>
      <c r="Q41" s="20">
        <v>1.482</v>
      </c>
      <c r="R41" s="20">
        <v>1.071</v>
      </c>
      <c r="S41" s="20">
        <v>1.071</v>
      </c>
      <c r="T41" s="18">
        <v>1</v>
      </c>
    </row>
    <row r="42" spans="1:20" x14ac:dyDescent="0.2">
      <c r="A42" s="4">
        <v>1890</v>
      </c>
      <c r="B42" s="52">
        <v>1</v>
      </c>
      <c r="C42" s="22">
        <v>1.1000000000000001</v>
      </c>
      <c r="D42" s="22">
        <v>1.1000000000000001</v>
      </c>
      <c r="E42" s="20">
        <v>1.2809999999999999</v>
      </c>
      <c r="F42" s="20">
        <v>1.216</v>
      </c>
      <c r="G42" s="52">
        <v>1</v>
      </c>
      <c r="H42" s="52">
        <v>1</v>
      </c>
      <c r="I42" s="18">
        <v>1</v>
      </c>
      <c r="J42" s="17">
        <v>0.8367630112194967</v>
      </c>
      <c r="K42" s="17">
        <v>0.45</v>
      </c>
      <c r="L42" s="17">
        <v>1.5780000000000001</v>
      </c>
      <c r="M42" s="17">
        <v>1.071</v>
      </c>
      <c r="N42" s="20">
        <v>1.071</v>
      </c>
      <c r="O42" s="20">
        <v>1.246</v>
      </c>
      <c r="P42" s="20">
        <v>0.998</v>
      </c>
      <c r="Q42" s="20">
        <v>1.482</v>
      </c>
      <c r="R42" s="20">
        <v>1.071</v>
      </c>
      <c r="S42" s="20">
        <v>1.071</v>
      </c>
      <c r="T42" s="18">
        <v>1</v>
      </c>
    </row>
    <row r="43" spans="1:20" x14ac:dyDescent="0.2">
      <c r="A43" s="4">
        <v>1891</v>
      </c>
      <c r="B43" s="52">
        <v>1</v>
      </c>
      <c r="C43" s="22">
        <v>1.1000000000000001</v>
      </c>
      <c r="D43" s="22">
        <v>1.1000000000000001</v>
      </c>
      <c r="E43" s="20">
        <v>1.2809999999999999</v>
      </c>
      <c r="F43" s="20">
        <v>1.216</v>
      </c>
      <c r="G43" s="52">
        <v>1</v>
      </c>
      <c r="H43" s="52">
        <v>1</v>
      </c>
      <c r="I43" s="18">
        <v>1</v>
      </c>
      <c r="J43" s="17">
        <v>0.83855979410968984</v>
      </c>
      <c r="K43" s="17">
        <v>0.45</v>
      </c>
      <c r="L43" s="17">
        <v>1.5780000000000001</v>
      </c>
      <c r="M43" s="17">
        <v>1.071</v>
      </c>
      <c r="N43" s="20">
        <v>1.071</v>
      </c>
      <c r="O43" s="20">
        <v>1.246</v>
      </c>
      <c r="P43" s="20">
        <v>0.998</v>
      </c>
      <c r="Q43" s="20">
        <v>1.482</v>
      </c>
      <c r="R43" s="20">
        <v>1.071</v>
      </c>
      <c r="S43" s="20">
        <v>1.071</v>
      </c>
      <c r="T43" s="18">
        <v>1</v>
      </c>
    </row>
    <row r="44" spans="1:20" x14ac:dyDescent="0.2">
      <c r="A44" s="4">
        <v>1892</v>
      </c>
      <c r="B44" s="52">
        <v>1</v>
      </c>
      <c r="C44" s="22">
        <v>1.1000000000000001</v>
      </c>
      <c r="D44" s="22">
        <v>1.1000000000000001</v>
      </c>
      <c r="E44" s="20">
        <v>1.2809999999999999</v>
      </c>
      <c r="F44" s="20">
        <v>1.216</v>
      </c>
      <c r="G44" s="52">
        <v>1</v>
      </c>
      <c r="H44" s="52">
        <v>1</v>
      </c>
      <c r="I44" s="18">
        <v>1</v>
      </c>
      <c r="J44" s="17">
        <v>0.84027575976969471</v>
      </c>
      <c r="K44" s="17">
        <v>0.45</v>
      </c>
      <c r="L44" s="17">
        <v>1.5780000000000001</v>
      </c>
      <c r="M44" s="17">
        <v>1.071</v>
      </c>
      <c r="N44" s="20">
        <v>1.071</v>
      </c>
      <c r="O44" s="20">
        <v>1.246</v>
      </c>
      <c r="P44" s="20">
        <v>0.998</v>
      </c>
      <c r="Q44" s="20">
        <v>1.482</v>
      </c>
      <c r="R44" s="20">
        <v>1.071</v>
      </c>
      <c r="S44" s="20">
        <v>1.071</v>
      </c>
      <c r="T44" s="18">
        <v>1</v>
      </c>
    </row>
    <row r="45" spans="1:20" x14ac:dyDescent="0.2">
      <c r="A45" s="4">
        <v>1893</v>
      </c>
      <c r="B45" s="52">
        <v>1</v>
      </c>
      <c r="C45" s="22">
        <v>1.1000000000000001</v>
      </c>
      <c r="D45" s="22">
        <v>1.1000000000000001</v>
      </c>
      <c r="E45" s="20">
        <v>1.2809999999999999</v>
      </c>
      <c r="F45" s="20">
        <v>1.216</v>
      </c>
      <c r="G45" s="52">
        <v>1</v>
      </c>
      <c r="H45" s="52">
        <v>1</v>
      </c>
      <c r="I45" s="18">
        <v>1</v>
      </c>
      <c r="J45" s="17">
        <v>0.84191035179991469</v>
      </c>
      <c r="K45" s="17">
        <v>0.45</v>
      </c>
      <c r="L45" s="17">
        <v>1.5780000000000001</v>
      </c>
      <c r="M45" s="17">
        <v>1.071</v>
      </c>
      <c r="N45" s="20">
        <v>1.071</v>
      </c>
      <c r="O45" s="20">
        <v>1.246</v>
      </c>
      <c r="P45" s="20">
        <v>0.998</v>
      </c>
      <c r="Q45" s="20">
        <v>1.482</v>
      </c>
      <c r="R45" s="20">
        <v>1.071</v>
      </c>
      <c r="S45" s="20">
        <v>1.071</v>
      </c>
      <c r="T45" s="18">
        <v>1</v>
      </c>
    </row>
    <row r="46" spans="1:20" x14ac:dyDescent="0.2">
      <c r="A46" s="4">
        <v>1894</v>
      </c>
      <c r="B46" s="52">
        <v>1</v>
      </c>
      <c r="C46" s="22">
        <v>1.1000000000000001</v>
      </c>
      <c r="D46" s="22">
        <v>1.1000000000000001</v>
      </c>
      <c r="E46" s="20">
        <v>1.2809999999999999</v>
      </c>
      <c r="F46" s="20">
        <v>1.216</v>
      </c>
      <c r="G46" s="52">
        <v>1</v>
      </c>
      <c r="H46" s="52">
        <v>1</v>
      </c>
      <c r="I46" s="18">
        <v>1</v>
      </c>
      <c r="J46" s="17">
        <v>0.84346303705736281</v>
      </c>
      <c r="K46" s="17">
        <v>0.45</v>
      </c>
      <c r="L46" s="17">
        <v>1.5780000000000001</v>
      </c>
      <c r="M46" s="17">
        <v>1.071</v>
      </c>
      <c r="N46" s="20">
        <v>1.071</v>
      </c>
      <c r="O46" s="20">
        <v>1.246</v>
      </c>
      <c r="P46" s="20">
        <v>0.998</v>
      </c>
      <c r="Q46" s="20">
        <v>1.482</v>
      </c>
      <c r="R46" s="20">
        <v>1.071</v>
      </c>
      <c r="S46" s="20">
        <v>1.071</v>
      </c>
      <c r="T46" s="18">
        <v>1</v>
      </c>
    </row>
    <row r="47" spans="1:20" x14ac:dyDescent="0.2">
      <c r="A47" s="4">
        <v>1895</v>
      </c>
      <c r="B47" s="52">
        <v>1</v>
      </c>
      <c r="C47" s="22">
        <v>1.1000000000000001</v>
      </c>
      <c r="D47" s="22">
        <v>1.1000000000000001</v>
      </c>
      <c r="E47" s="20">
        <v>1.2809999999999999</v>
      </c>
      <c r="F47" s="20">
        <v>1.216</v>
      </c>
      <c r="G47" s="52">
        <v>1</v>
      </c>
      <c r="H47" s="52">
        <v>1</v>
      </c>
      <c r="I47" s="18">
        <v>1</v>
      </c>
      <c r="J47" s="17">
        <v>0.84493330594276406</v>
      </c>
      <c r="K47" s="17">
        <v>0.45</v>
      </c>
      <c r="L47" s="17">
        <v>1.5780000000000001</v>
      </c>
      <c r="M47" s="17">
        <v>1.071</v>
      </c>
      <c r="N47" s="20">
        <v>1.071</v>
      </c>
      <c r="O47" s="20">
        <v>1.246</v>
      </c>
      <c r="P47" s="20">
        <v>0.998</v>
      </c>
      <c r="Q47" s="20">
        <v>1.482</v>
      </c>
      <c r="R47" s="20">
        <v>1.071</v>
      </c>
      <c r="S47" s="20">
        <v>1.071</v>
      </c>
      <c r="T47" s="18">
        <v>1</v>
      </c>
    </row>
    <row r="48" spans="1:20" x14ac:dyDescent="0.2">
      <c r="A48" s="4">
        <v>1896</v>
      </c>
      <c r="B48" s="52">
        <v>1</v>
      </c>
      <c r="C48" s="22">
        <v>1.1000000000000001</v>
      </c>
      <c r="D48" s="22">
        <v>1.1000000000000001</v>
      </c>
      <c r="E48" s="20">
        <v>1.2809999999999999</v>
      </c>
      <c r="F48" s="20">
        <v>1.216</v>
      </c>
      <c r="G48" s="52">
        <v>1</v>
      </c>
      <c r="H48" s="52">
        <v>1</v>
      </c>
      <c r="I48" s="18">
        <v>1</v>
      </c>
      <c r="J48" s="17">
        <v>0.84632067267513711</v>
      </c>
      <c r="K48" s="17">
        <v>0.45</v>
      </c>
      <c r="L48" s="17">
        <v>1.5780000000000001</v>
      </c>
      <c r="M48" s="17">
        <v>1.071</v>
      </c>
      <c r="N48" s="20">
        <v>1.071</v>
      </c>
      <c r="O48" s="20">
        <v>1.246</v>
      </c>
      <c r="P48" s="20">
        <v>0.998</v>
      </c>
      <c r="Q48" s="20">
        <v>1.482</v>
      </c>
      <c r="R48" s="20">
        <v>1.071</v>
      </c>
      <c r="S48" s="20">
        <v>1.071</v>
      </c>
      <c r="T48" s="18">
        <v>1</v>
      </c>
    </row>
    <row r="49" spans="1:20" x14ac:dyDescent="0.2">
      <c r="A49" s="4">
        <v>1897</v>
      </c>
      <c r="B49" s="52">
        <v>1</v>
      </c>
      <c r="C49" s="22">
        <v>1.1000000000000001</v>
      </c>
      <c r="D49" s="22">
        <v>1.1000000000000001</v>
      </c>
      <c r="E49" s="20">
        <v>1.2809999999999999</v>
      </c>
      <c r="F49" s="20">
        <v>1.216</v>
      </c>
      <c r="G49" s="52">
        <v>1</v>
      </c>
      <c r="H49" s="52">
        <v>1</v>
      </c>
      <c r="I49" s="18">
        <v>1</v>
      </c>
      <c r="J49" s="17">
        <v>0.84762467555725585</v>
      </c>
      <c r="K49" s="17">
        <v>0.45</v>
      </c>
      <c r="L49" s="17">
        <v>1.5780000000000001</v>
      </c>
      <c r="M49" s="17">
        <v>1.071</v>
      </c>
      <c r="N49" s="20">
        <v>1.071</v>
      </c>
      <c r="O49" s="20">
        <v>1.246</v>
      </c>
      <c r="P49" s="20">
        <v>0.998</v>
      </c>
      <c r="Q49" s="20">
        <v>1.482</v>
      </c>
      <c r="R49" s="20">
        <v>1.071</v>
      </c>
      <c r="S49" s="20">
        <v>1.071</v>
      </c>
      <c r="T49" s="18">
        <v>1</v>
      </c>
    </row>
    <row r="50" spans="1:20" x14ac:dyDescent="0.2">
      <c r="A50" s="4">
        <v>1898</v>
      </c>
      <c r="B50" s="52">
        <v>1</v>
      </c>
      <c r="C50" s="22">
        <v>1.1000000000000001</v>
      </c>
      <c r="D50" s="22">
        <v>1.1000000000000001</v>
      </c>
      <c r="E50" s="20">
        <v>1.2809999999999999</v>
      </c>
      <c r="F50" s="20">
        <v>1.216</v>
      </c>
      <c r="G50" s="52">
        <v>1</v>
      </c>
      <c r="H50" s="52">
        <v>1</v>
      </c>
      <c r="I50" s="18">
        <v>1</v>
      </c>
      <c r="J50" s="17">
        <v>0.84884487722756585</v>
      </c>
      <c r="K50" s="17">
        <v>0.45</v>
      </c>
      <c r="L50" s="17">
        <v>1.5780000000000001</v>
      </c>
      <c r="M50" s="17">
        <v>1.071</v>
      </c>
      <c r="N50" s="20">
        <v>1.071</v>
      </c>
      <c r="O50" s="20">
        <v>1.246</v>
      </c>
      <c r="P50" s="20">
        <v>0.998</v>
      </c>
      <c r="Q50" s="20">
        <v>1.482</v>
      </c>
      <c r="R50" s="20">
        <v>1.071</v>
      </c>
      <c r="S50" s="20">
        <v>1.071</v>
      </c>
      <c r="T50" s="18">
        <v>1</v>
      </c>
    </row>
    <row r="51" spans="1:20" x14ac:dyDescent="0.2">
      <c r="A51" s="4">
        <v>1899</v>
      </c>
      <c r="B51" s="52">
        <v>1</v>
      </c>
      <c r="C51" s="22">
        <v>1.1000000000000001</v>
      </c>
      <c r="D51" s="22">
        <v>1.1000000000000001</v>
      </c>
      <c r="E51" s="20">
        <v>1.2809999999999999</v>
      </c>
      <c r="F51" s="20">
        <v>1.216</v>
      </c>
      <c r="G51" s="52">
        <v>1</v>
      </c>
      <c r="H51" s="52">
        <v>1</v>
      </c>
      <c r="I51" s="18">
        <v>1</v>
      </c>
      <c r="J51" s="17">
        <v>0.84998086490175684</v>
      </c>
      <c r="K51" s="17">
        <v>0.45</v>
      </c>
      <c r="L51" s="17">
        <v>1.5780000000000001</v>
      </c>
      <c r="M51" s="17">
        <v>1.071</v>
      </c>
      <c r="N51" s="20">
        <v>1.071</v>
      </c>
      <c r="O51" s="20">
        <v>1.246</v>
      </c>
      <c r="P51" s="20">
        <v>0.998</v>
      </c>
      <c r="Q51" s="20">
        <v>1.482</v>
      </c>
      <c r="R51" s="20">
        <v>1.071</v>
      </c>
      <c r="S51" s="20">
        <v>1.071</v>
      </c>
      <c r="T51" s="18">
        <v>1</v>
      </c>
    </row>
    <row r="52" spans="1:20" x14ac:dyDescent="0.2">
      <c r="A52" s="4">
        <v>1900</v>
      </c>
      <c r="B52" s="52">
        <v>1</v>
      </c>
      <c r="C52" s="22">
        <v>1.1000000000000001</v>
      </c>
      <c r="D52" s="22">
        <v>1.1000000000000001</v>
      </c>
      <c r="E52" s="20">
        <v>1.2809999999999999</v>
      </c>
      <c r="F52" s="20">
        <v>1.216</v>
      </c>
      <c r="G52" s="52">
        <v>1</v>
      </c>
      <c r="H52" s="52">
        <v>1</v>
      </c>
      <c r="I52" s="18">
        <v>1</v>
      </c>
      <c r="J52" s="17">
        <v>0.85103225060137888</v>
      </c>
      <c r="K52" s="17">
        <v>0.45</v>
      </c>
      <c r="L52" s="17">
        <v>1.5780000000000001</v>
      </c>
      <c r="M52" s="17">
        <v>1.071</v>
      </c>
      <c r="N52" s="20">
        <v>1.071</v>
      </c>
      <c r="O52" s="20">
        <v>1.246</v>
      </c>
      <c r="P52" s="20">
        <v>0.998</v>
      </c>
      <c r="Q52" s="20">
        <v>1.482</v>
      </c>
      <c r="R52" s="20">
        <v>1.071</v>
      </c>
      <c r="S52" s="20">
        <v>1.071</v>
      </c>
      <c r="T52" s="18">
        <v>1</v>
      </c>
    </row>
    <row r="53" spans="1:20" x14ac:dyDescent="0.2">
      <c r="A53" s="4">
        <v>1901</v>
      </c>
      <c r="B53" s="52">
        <v>1</v>
      </c>
      <c r="C53" s="22">
        <v>1.1000000000000001</v>
      </c>
      <c r="D53" s="22">
        <v>1.1000000000000001</v>
      </c>
      <c r="E53" s="20">
        <v>1.2809999999999999</v>
      </c>
      <c r="F53" s="20">
        <v>1.216</v>
      </c>
      <c r="G53" s="52">
        <v>1</v>
      </c>
      <c r="H53" s="52">
        <v>1</v>
      </c>
      <c r="I53" s="18">
        <v>1</v>
      </c>
      <c r="J53" s="17">
        <v>0.85199999795124493</v>
      </c>
      <c r="K53" s="17">
        <v>0.45</v>
      </c>
      <c r="L53" s="17">
        <v>1.5780000000000001</v>
      </c>
      <c r="M53" s="17">
        <v>1.071</v>
      </c>
      <c r="N53" s="20">
        <v>1.071</v>
      </c>
      <c r="O53" s="20">
        <v>1.246</v>
      </c>
      <c r="P53" s="20">
        <v>0.998</v>
      </c>
      <c r="Q53" s="20">
        <v>1.482</v>
      </c>
      <c r="R53" s="20">
        <v>1.071</v>
      </c>
      <c r="S53" s="20">
        <v>1.071</v>
      </c>
      <c r="T53" s="18">
        <v>1</v>
      </c>
    </row>
    <row r="54" spans="1:20" x14ac:dyDescent="0.2">
      <c r="A54" s="4">
        <v>1902</v>
      </c>
      <c r="B54" s="52">
        <v>1</v>
      </c>
      <c r="C54" s="22">
        <v>1.1000000000000001</v>
      </c>
      <c r="D54" s="22">
        <v>1.1000000000000001</v>
      </c>
      <c r="E54" s="20">
        <v>1.2809999999999999</v>
      </c>
      <c r="F54" s="20">
        <v>1.216</v>
      </c>
      <c r="G54" s="52">
        <v>1</v>
      </c>
      <c r="H54" s="52">
        <v>1</v>
      </c>
      <c r="I54" s="18">
        <v>1</v>
      </c>
      <c r="J54" s="17">
        <v>0.85289041314839076</v>
      </c>
      <c r="K54" s="17">
        <v>0.45</v>
      </c>
      <c r="L54" s="17">
        <v>1.5780000000000001</v>
      </c>
      <c r="M54" s="17">
        <v>1.071</v>
      </c>
      <c r="N54" s="20">
        <v>1.071</v>
      </c>
      <c r="O54" s="20">
        <v>1.246</v>
      </c>
      <c r="P54" s="20">
        <v>0.998</v>
      </c>
      <c r="Q54" s="20">
        <v>1.482</v>
      </c>
      <c r="R54" s="20">
        <v>1.071</v>
      </c>
      <c r="S54" s="20">
        <v>1.071</v>
      </c>
      <c r="T54" s="18">
        <v>1</v>
      </c>
    </row>
    <row r="55" spans="1:20" x14ac:dyDescent="0.2">
      <c r="A55" s="4">
        <v>1903</v>
      </c>
      <c r="B55" s="52">
        <v>1</v>
      </c>
      <c r="C55" s="22">
        <v>1.1000000000000001</v>
      </c>
      <c r="D55" s="22">
        <v>1.1000000000000001</v>
      </c>
      <c r="E55" s="20">
        <v>1.2809999999999999</v>
      </c>
      <c r="F55" s="20">
        <v>1.216</v>
      </c>
      <c r="G55" s="52">
        <v>1</v>
      </c>
      <c r="H55" s="52">
        <v>1</v>
      </c>
      <c r="I55" s="18">
        <v>1</v>
      </c>
      <c r="J55" s="17">
        <v>0.85371118146880642</v>
      </c>
      <c r="K55" s="17">
        <v>0.45</v>
      </c>
      <c r="L55" s="17">
        <v>1.5780000000000001</v>
      </c>
      <c r="M55" s="17">
        <v>1.071</v>
      </c>
      <c r="N55" s="20">
        <v>1.071</v>
      </c>
      <c r="O55" s="20">
        <v>1.246</v>
      </c>
      <c r="P55" s="20">
        <v>0.998</v>
      </c>
      <c r="Q55" s="20">
        <v>1.482</v>
      </c>
      <c r="R55" s="20">
        <v>1.071</v>
      </c>
      <c r="S55" s="20">
        <v>1.071</v>
      </c>
      <c r="T55" s="18">
        <v>1</v>
      </c>
    </row>
    <row r="56" spans="1:20" x14ac:dyDescent="0.2">
      <c r="A56" s="4">
        <v>1904</v>
      </c>
      <c r="B56" s="52">
        <v>1</v>
      </c>
      <c r="C56" s="22">
        <v>1.1000000000000001</v>
      </c>
      <c r="D56" s="22">
        <v>1.1000000000000001</v>
      </c>
      <c r="E56" s="20">
        <v>1.2809999999999999</v>
      </c>
      <c r="F56" s="20">
        <v>1.216</v>
      </c>
      <c r="G56" s="52">
        <v>1</v>
      </c>
      <c r="H56" s="52">
        <v>1</v>
      </c>
      <c r="I56" s="18">
        <v>1</v>
      </c>
      <c r="J56" s="17">
        <v>0.85447003710706748</v>
      </c>
      <c r="K56" s="17">
        <v>0.45</v>
      </c>
      <c r="L56" s="17">
        <v>1.5780000000000001</v>
      </c>
      <c r="M56" s="17">
        <v>1.071</v>
      </c>
      <c r="N56" s="20">
        <v>1.071</v>
      </c>
      <c r="O56" s="20">
        <v>1.246</v>
      </c>
      <c r="P56" s="20">
        <v>0.998</v>
      </c>
      <c r="Q56" s="20">
        <v>1.482</v>
      </c>
      <c r="R56" s="20">
        <v>1.071</v>
      </c>
      <c r="S56" s="20">
        <v>1.071</v>
      </c>
      <c r="T56" s="18">
        <v>1</v>
      </c>
    </row>
    <row r="57" spans="1:20" x14ac:dyDescent="0.2">
      <c r="A57" s="4">
        <v>1905</v>
      </c>
      <c r="B57" s="52">
        <v>1</v>
      </c>
      <c r="C57" s="22">
        <v>1.1000000000000001</v>
      </c>
      <c r="D57" s="22">
        <v>1.1000000000000001</v>
      </c>
      <c r="E57" s="20">
        <v>1.2809999999999999</v>
      </c>
      <c r="F57" s="20">
        <v>1.216</v>
      </c>
      <c r="G57" s="52">
        <v>1</v>
      </c>
      <c r="H57" s="52">
        <v>1</v>
      </c>
      <c r="I57" s="18">
        <v>1</v>
      </c>
      <c r="J57" s="17">
        <v>0.85517475714224289</v>
      </c>
      <c r="K57" s="17">
        <v>0.45</v>
      </c>
      <c r="L57" s="17">
        <v>1.5780000000000001</v>
      </c>
      <c r="M57" s="17">
        <v>1.071</v>
      </c>
      <c r="N57" s="20">
        <v>1.071</v>
      </c>
      <c r="O57" s="20">
        <v>1.246</v>
      </c>
      <c r="P57" s="20">
        <v>0.998</v>
      </c>
      <c r="Q57" s="20">
        <v>1.482</v>
      </c>
      <c r="R57" s="20">
        <v>1.071</v>
      </c>
      <c r="S57" s="20">
        <v>1.071</v>
      </c>
      <c r="T57" s="18">
        <v>1</v>
      </c>
    </row>
    <row r="58" spans="1:20" x14ac:dyDescent="0.2">
      <c r="A58" s="4">
        <v>1906</v>
      </c>
      <c r="B58" s="52">
        <v>1</v>
      </c>
      <c r="C58" s="22">
        <v>1.1000000000000001</v>
      </c>
      <c r="D58" s="22">
        <v>1.1000000000000001</v>
      </c>
      <c r="E58" s="20">
        <v>1.2809999999999999</v>
      </c>
      <c r="F58" s="20">
        <v>1.216</v>
      </c>
      <c r="G58" s="52">
        <v>1</v>
      </c>
      <c r="H58" s="52">
        <v>1</v>
      </c>
      <c r="I58" s="18">
        <v>1</v>
      </c>
      <c r="J58" s="17">
        <v>0.85583315620305822</v>
      </c>
      <c r="K58" s="17">
        <v>0.45</v>
      </c>
      <c r="L58" s="17">
        <v>1.5780000000000001</v>
      </c>
      <c r="M58" s="17">
        <v>1.071</v>
      </c>
      <c r="N58" s="20">
        <v>1.071</v>
      </c>
      <c r="O58" s="20">
        <v>1.246</v>
      </c>
      <c r="P58" s="20">
        <v>0.998</v>
      </c>
      <c r="Q58" s="20">
        <v>1.482</v>
      </c>
      <c r="R58" s="20">
        <v>1.071</v>
      </c>
      <c r="S58" s="20">
        <v>1.071</v>
      </c>
      <c r="T58" s="18">
        <v>1</v>
      </c>
    </row>
    <row r="59" spans="1:20" x14ac:dyDescent="0.2">
      <c r="A59" s="4">
        <v>1907</v>
      </c>
      <c r="B59" s="52">
        <v>1</v>
      </c>
      <c r="C59" s="22">
        <v>1.1000000000000001</v>
      </c>
      <c r="D59" s="22">
        <v>1.1000000000000001</v>
      </c>
      <c r="E59" s="20">
        <v>1.2809999999999999</v>
      </c>
      <c r="F59" s="20">
        <v>1.216</v>
      </c>
      <c r="G59" s="52">
        <v>1</v>
      </c>
      <c r="H59" s="52">
        <v>1</v>
      </c>
      <c r="I59" s="18">
        <v>1</v>
      </c>
      <c r="J59" s="17">
        <v>0.85645308183940072</v>
      </c>
      <c r="K59" s="17">
        <v>0.45</v>
      </c>
      <c r="L59" s="17">
        <v>1.5780000000000001</v>
      </c>
      <c r="M59" s="17">
        <v>1.071</v>
      </c>
      <c r="N59" s="20">
        <v>1.071</v>
      </c>
      <c r="O59" s="20">
        <v>1.246</v>
      </c>
      <c r="P59" s="20">
        <v>0.998</v>
      </c>
      <c r="Q59" s="20">
        <v>1.482</v>
      </c>
      <c r="R59" s="20">
        <v>1.071</v>
      </c>
      <c r="S59" s="20">
        <v>1.071</v>
      </c>
      <c r="T59" s="18">
        <v>1</v>
      </c>
    </row>
    <row r="60" spans="1:20" x14ac:dyDescent="0.2">
      <c r="A60" s="4">
        <v>1908</v>
      </c>
      <c r="B60" s="52">
        <v>1</v>
      </c>
      <c r="C60" s="22">
        <v>1.1000000000000001</v>
      </c>
      <c r="D60" s="22">
        <v>1.1000000000000001</v>
      </c>
      <c r="E60" s="20">
        <v>1.2809999999999999</v>
      </c>
      <c r="F60" s="20">
        <v>1.216</v>
      </c>
      <c r="G60" s="52">
        <v>1</v>
      </c>
      <c r="H60" s="52">
        <v>1</v>
      </c>
      <c r="I60" s="18">
        <v>1</v>
      </c>
      <c r="J60" s="17">
        <v>0.85704241060932373</v>
      </c>
      <c r="K60" s="17">
        <v>0.45</v>
      </c>
      <c r="L60" s="17">
        <v>1.5780000000000001</v>
      </c>
      <c r="M60" s="17">
        <v>1.071</v>
      </c>
      <c r="N60" s="20">
        <v>1.071</v>
      </c>
      <c r="O60" s="20">
        <v>1.246</v>
      </c>
      <c r="P60" s="20">
        <v>0.998</v>
      </c>
      <c r="Q60" s="20">
        <v>1.482</v>
      </c>
      <c r="R60" s="20">
        <v>1.071</v>
      </c>
      <c r="S60" s="20">
        <v>1.071</v>
      </c>
      <c r="T60" s="18">
        <v>1</v>
      </c>
    </row>
    <row r="61" spans="1:20" x14ac:dyDescent="0.2">
      <c r="A61" s="4">
        <v>1909</v>
      </c>
      <c r="B61" s="52">
        <v>1</v>
      </c>
      <c r="C61" s="22">
        <v>1.1000000000000001</v>
      </c>
      <c r="D61" s="22">
        <v>1.1000000000000001</v>
      </c>
      <c r="E61" s="20">
        <v>1.2809999999999999</v>
      </c>
      <c r="F61" s="20">
        <v>1.216</v>
      </c>
      <c r="G61" s="52">
        <v>1</v>
      </c>
      <c r="H61" s="52">
        <v>1</v>
      </c>
      <c r="I61" s="18">
        <v>1</v>
      </c>
      <c r="J61" s="17">
        <v>0.85760904488800183</v>
      </c>
      <c r="K61" s="17">
        <v>0.45</v>
      </c>
      <c r="L61" s="17">
        <v>1.5780000000000001</v>
      </c>
      <c r="M61" s="17">
        <v>1.071</v>
      </c>
      <c r="N61" s="20">
        <v>1.071</v>
      </c>
      <c r="O61" s="20">
        <v>1.246</v>
      </c>
      <c r="P61" s="20">
        <v>0.998</v>
      </c>
      <c r="Q61" s="20">
        <v>1.482</v>
      </c>
      <c r="R61" s="20">
        <v>1.071</v>
      </c>
      <c r="S61" s="20">
        <v>1.071</v>
      </c>
      <c r="T61" s="18">
        <v>1</v>
      </c>
    </row>
    <row r="62" spans="1:20" x14ac:dyDescent="0.2">
      <c r="A62" s="4">
        <v>1910</v>
      </c>
      <c r="B62" s="52">
        <v>1</v>
      </c>
      <c r="C62" s="22">
        <v>1.1000000000000001</v>
      </c>
      <c r="D62" s="22">
        <v>1.1000000000000001</v>
      </c>
      <c r="E62" s="20">
        <v>1.2809999999999999</v>
      </c>
      <c r="F62" s="20">
        <v>1.216</v>
      </c>
      <c r="G62" s="52">
        <v>1</v>
      </c>
      <c r="H62" s="52">
        <v>1</v>
      </c>
      <c r="I62" s="18">
        <v>1</v>
      </c>
      <c r="J62" s="17">
        <v>0.85816091040088305</v>
      </c>
      <c r="K62" s="17">
        <v>0.45</v>
      </c>
      <c r="L62" s="17">
        <v>1.5780000000000001</v>
      </c>
      <c r="M62" s="17">
        <v>1.071</v>
      </c>
      <c r="N62" s="20">
        <v>1.071</v>
      </c>
      <c r="O62" s="20">
        <v>1.246</v>
      </c>
      <c r="P62" s="20">
        <v>0.998</v>
      </c>
      <c r="Q62" s="20">
        <v>1.482</v>
      </c>
      <c r="R62" s="20">
        <v>1.071</v>
      </c>
      <c r="S62" s="20">
        <v>1.071</v>
      </c>
      <c r="T62" s="18">
        <v>1</v>
      </c>
    </row>
    <row r="63" spans="1:20" x14ac:dyDescent="0.2">
      <c r="A63" s="4">
        <v>1911</v>
      </c>
      <c r="B63" s="52">
        <v>1</v>
      </c>
      <c r="C63" s="22">
        <v>1.1000000000000001</v>
      </c>
      <c r="D63" s="22">
        <v>1.1000000000000001</v>
      </c>
      <c r="E63" s="20">
        <v>1.2809999999999999</v>
      </c>
      <c r="F63" s="20">
        <v>1.216</v>
      </c>
      <c r="G63" s="52">
        <v>1</v>
      </c>
      <c r="H63" s="52">
        <v>1</v>
      </c>
      <c r="I63" s="18">
        <v>1</v>
      </c>
      <c r="J63" s="17">
        <v>0.85870595448868225</v>
      </c>
      <c r="K63" s="17">
        <v>0.45</v>
      </c>
      <c r="L63" s="17">
        <v>1.5780000000000001</v>
      </c>
      <c r="M63" s="17">
        <v>1.071</v>
      </c>
      <c r="N63" s="20">
        <v>1.071</v>
      </c>
      <c r="O63" s="20">
        <v>1.246</v>
      </c>
      <c r="P63" s="20">
        <v>0.998</v>
      </c>
      <c r="Q63" s="20">
        <v>1.482</v>
      </c>
      <c r="R63" s="20">
        <v>1.071</v>
      </c>
      <c r="S63" s="20">
        <v>1.071</v>
      </c>
      <c r="T63" s="18">
        <v>1</v>
      </c>
    </row>
    <row r="64" spans="1:20" x14ac:dyDescent="0.2">
      <c r="A64" s="4">
        <v>1912</v>
      </c>
      <c r="B64" s="52">
        <v>1</v>
      </c>
      <c r="C64" s="22">
        <v>1.1000000000000001</v>
      </c>
      <c r="D64" s="22">
        <v>1.1000000000000001</v>
      </c>
      <c r="E64" s="20">
        <v>1.2809999999999999</v>
      </c>
      <c r="F64" s="20">
        <v>1.216</v>
      </c>
      <c r="G64" s="52">
        <v>1</v>
      </c>
      <c r="H64" s="52">
        <v>1</v>
      </c>
      <c r="I64" s="18">
        <v>1</v>
      </c>
      <c r="J64" s="17">
        <v>0.85925214510641912</v>
      </c>
      <c r="K64" s="17">
        <v>0.45</v>
      </c>
      <c r="L64" s="17">
        <v>1.5780000000000001</v>
      </c>
      <c r="M64" s="17">
        <v>1.071</v>
      </c>
      <c r="N64" s="20">
        <v>1.071</v>
      </c>
      <c r="O64" s="20">
        <v>1.246</v>
      </c>
      <c r="P64" s="20">
        <v>0.998</v>
      </c>
      <c r="Q64" s="20">
        <v>1.482</v>
      </c>
      <c r="R64" s="20">
        <v>1.071</v>
      </c>
      <c r="S64" s="20">
        <v>1.071</v>
      </c>
      <c r="T64" s="18">
        <v>1</v>
      </c>
    </row>
    <row r="65" spans="1:20" x14ac:dyDescent="0.2">
      <c r="A65" s="4">
        <v>1913</v>
      </c>
      <c r="B65" s="52">
        <v>1</v>
      </c>
      <c r="C65" s="22">
        <v>1.1000000000000001</v>
      </c>
      <c r="D65" s="22">
        <v>1.1000000000000001</v>
      </c>
      <c r="E65" s="20">
        <v>1.2809999999999999</v>
      </c>
      <c r="F65" s="20">
        <v>1.216</v>
      </c>
      <c r="G65" s="52">
        <v>1</v>
      </c>
      <c r="H65" s="52">
        <v>1</v>
      </c>
      <c r="I65" s="18">
        <v>1</v>
      </c>
      <c r="J65" s="17">
        <v>0.85980747055972695</v>
      </c>
      <c r="K65" s="17">
        <v>0.45</v>
      </c>
      <c r="L65" s="17">
        <v>1.5780000000000001</v>
      </c>
      <c r="M65" s="17">
        <v>1.071</v>
      </c>
      <c r="N65" s="20">
        <v>1.071</v>
      </c>
      <c r="O65" s="20">
        <v>1.246</v>
      </c>
      <c r="P65" s="20">
        <v>0.998</v>
      </c>
      <c r="Q65" s="20">
        <v>1.482</v>
      </c>
      <c r="R65" s="20">
        <v>1.071</v>
      </c>
      <c r="S65" s="20">
        <v>1.071</v>
      </c>
      <c r="T65" s="18">
        <v>1</v>
      </c>
    </row>
    <row r="66" spans="1:20" x14ac:dyDescent="0.2">
      <c r="A66" s="4">
        <v>1914</v>
      </c>
      <c r="B66" s="52">
        <v>1</v>
      </c>
      <c r="C66" s="22">
        <v>1.1000000000000001</v>
      </c>
      <c r="D66" s="22">
        <v>1.1000000000000001</v>
      </c>
      <c r="E66" s="20">
        <v>1.2809999999999999</v>
      </c>
      <c r="F66" s="20">
        <v>1.216</v>
      </c>
      <c r="G66" s="52">
        <v>1</v>
      </c>
      <c r="H66" s="52">
        <v>1</v>
      </c>
      <c r="I66" s="18">
        <v>1</v>
      </c>
      <c r="J66" s="17">
        <v>0.86037993998379181</v>
      </c>
      <c r="K66" s="17">
        <v>0.45</v>
      </c>
      <c r="L66" s="17">
        <v>1.5780000000000001</v>
      </c>
      <c r="M66" s="17">
        <v>1.071</v>
      </c>
      <c r="N66" s="20">
        <v>1.071</v>
      </c>
      <c r="O66" s="20">
        <v>1.246</v>
      </c>
      <c r="P66" s="20">
        <v>0.998</v>
      </c>
      <c r="Q66" s="20">
        <v>1.482</v>
      </c>
      <c r="R66" s="20">
        <v>1.071</v>
      </c>
      <c r="S66" s="20">
        <v>1.071</v>
      </c>
      <c r="T66" s="18">
        <v>1</v>
      </c>
    </row>
    <row r="67" spans="1:20" x14ac:dyDescent="0.2">
      <c r="A67" s="4">
        <v>1915</v>
      </c>
      <c r="B67" s="52">
        <v>1</v>
      </c>
      <c r="C67" s="22">
        <v>1.1000000000000001</v>
      </c>
      <c r="D67" s="22">
        <v>1.1000000000000001</v>
      </c>
      <c r="E67" s="20">
        <v>1.2809999999999999</v>
      </c>
      <c r="F67" s="20">
        <v>1.216</v>
      </c>
      <c r="G67" s="52">
        <v>1</v>
      </c>
      <c r="H67" s="52">
        <v>1</v>
      </c>
      <c r="I67" s="18">
        <v>1</v>
      </c>
      <c r="J67" s="17">
        <v>0.86097758456534823</v>
      </c>
      <c r="K67" s="17">
        <v>0.45</v>
      </c>
      <c r="L67" s="17">
        <v>1.5780000000000001</v>
      </c>
      <c r="M67" s="17">
        <v>1.071</v>
      </c>
      <c r="N67" s="20">
        <v>1.071</v>
      </c>
      <c r="O67" s="20">
        <v>1.246</v>
      </c>
      <c r="P67" s="20">
        <v>0.998</v>
      </c>
      <c r="Q67" s="20">
        <v>1.482</v>
      </c>
      <c r="R67" s="20">
        <v>1.071</v>
      </c>
      <c r="S67" s="20">
        <v>1.071</v>
      </c>
      <c r="T67" s="18">
        <v>1</v>
      </c>
    </row>
    <row r="68" spans="1:20" x14ac:dyDescent="0.2">
      <c r="A68" s="4">
        <v>1916</v>
      </c>
      <c r="B68" s="52">
        <v>1</v>
      </c>
      <c r="C68" s="22">
        <v>1.1000000000000001</v>
      </c>
      <c r="D68" s="22">
        <v>1.1000000000000001</v>
      </c>
      <c r="E68" s="20">
        <v>1.2809999999999999</v>
      </c>
      <c r="F68" s="20">
        <v>1.216</v>
      </c>
      <c r="G68" s="52">
        <v>1</v>
      </c>
      <c r="H68" s="52">
        <v>1</v>
      </c>
      <c r="I68" s="18">
        <v>1</v>
      </c>
      <c r="J68" s="17">
        <v>0.86160845951372989</v>
      </c>
      <c r="K68" s="17">
        <v>0.45</v>
      </c>
      <c r="L68" s="17">
        <v>1.5780000000000001</v>
      </c>
      <c r="M68" s="17">
        <v>1.071</v>
      </c>
      <c r="N68" s="20">
        <v>1.071</v>
      </c>
      <c r="O68" s="20">
        <v>1.246</v>
      </c>
      <c r="P68" s="20">
        <v>0.998</v>
      </c>
      <c r="Q68" s="20">
        <v>1.482</v>
      </c>
      <c r="R68" s="20">
        <v>1.071</v>
      </c>
      <c r="S68" s="20">
        <v>1.071</v>
      </c>
      <c r="T68" s="18">
        <v>1</v>
      </c>
    </row>
    <row r="69" spans="1:20" x14ac:dyDescent="0.2">
      <c r="A69" s="4">
        <v>1917</v>
      </c>
      <c r="B69" s="52">
        <v>1</v>
      </c>
      <c r="C69" s="22">
        <v>1.1000000000000001</v>
      </c>
      <c r="D69" s="22">
        <v>1.1000000000000001</v>
      </c>
      <c r="E69" s="20">
        <v>1.2809999999999999</v>
      </c>
      <c r="F69" s="20">
        <v>1.216</v>
      </c>
      <c r="G69" s="52">
        <v>1</v>
      </c>
      <c r="H69" s="52">
        <v>1</v>
      </c>
      <c r="I69" s="18">
        <v>1</v>
      </c>
      <c r="J69" s="17">
        <v>0.86228064678430283</v>
      </c>
      <c r="K69" s="17">
        <v>0.45</v>
      </c>
      <c r="L69" s="17">
        <v>1.5780000000000001</v>
      </c>
      <c r="M69" s="17">
        <v>1.071</v>
      </c>
      <c r="N69" s="20">
        <v>1.071</v>
      </c>
      <c r="O69" s="20">
        <v>1.246</v>
      </c>
      <c r="P69" s="20">
        <v>0.998</v>
      </c>
      <c r="Q69" s="20">
        <v>1.482</v>
      </c>
      <c r="R69" s="20">
        <v>1.071</v>
      </c>
      <c r="S69" s="20">
        <v>1.071</v>
      </c>
      <c r="T69" s="18">
        <v>1</v>
      </c>
    </row>
    <row r="70" spans="1:20" x14ac:dyDescent="0.2">
      <c r="A70" s="4">
        <v>1918</v>
      </c>
      <c r="B70" s="52">
        <v>1</v>
      </c>
      <c r="C70" s="22">
        <v>1.1000000000000001</v>
      </c>
      <c r="D70" s="22">
        <v>1.1000000000000001</v>
      </c>
      <c r="E70" s="20">
        <v>1.2809999999999999</v>
      </c>
      <c r="F70" s="20">
        <v>1.216</v>
      </c>
      <c r="G70" s="52">
        <v>1</v>
      </c>
      <c r="H70" s="52">
        <v>1</v>
      </c>
      <c r="I70" s="18">
        <v>1</v>
      </c>
      <c r="J70" s="17">
        <v>0.86300225855856649</v>
      </c>
      <c r="K70" s="17">
        <v>0.45</v>
      </c>
      <c r="L70" s="17">
        <v>1.5780000000000001</v>
      </c>
      <c r="M70" s="17">
        <v>1.071</v>
      </c>
      <c r="N70" s="20">
        <v>1.071</v>
      </c>
      <c r="O70" s="20">
        <v>1.246</v>
      </c>
      <c r="P70" s="20">
        <v>0.998</v>
      </c>
      <c r="Q70" s="20">
        <v>1.482</v>
      </c>
      <c r="R70" s="20">
        <v>1.071</v>
      </c>
      <c r="S70" s="20">
        <v>1.071</v>
      </c>
      <c r="T70" s="18">
        <v>1</v>
      </c>
    </row>
    <row r="71" spans="1:20" x14ac:dyDescent="0.2">
      <c r="A71" s="4">
        <v>1919</v>
      </c>
      <c r="B71" s="52">
        <v>1</v>
      </c>
      <c r="C71" s="22">
        <v>1.1000000000000001</v>
      </c>
      <c r="D71" s="22">
        <v>1.1000000000000001</v>
      </c>
      <c r="E71" s="20">
        <v>1.2809999999999999</v>
      </c>
      <c r="F71" s="20">
        <v>1.216</v>
      </c>
      <c r="G71" s="52">
        <v>1</v>
      </c>
      <c r="H71" s="52">
        <v>1</v>
      </c>
      <c r="I71" s="18">
        <v>1</v>
      </c>
      <c r="J71" s="17">
        <v>0.86378144148581937</v>
      </c>
      <c r="K71" s="17">
        <v>0.45</v>
      </c>
      <c r="L71" s="17">
        <v>1.5780000000000001</v>
      </c>
      <c r="M71" s="17">
        <v>1.071</v>
      </c>
      <c r="N71" s="20">
        <v>1.071</v>
      </c>
      <c r="O71" s="20">
        <v>1.246</v>
      </c>
      <c r="P71" s="20">
        <v>0.998</v>
      </c>
      <c r="Q71" s="20">
        <v>1.482</v>
      </c>
      <c r="R71" s="20">
        <v>1.071</v>
      </c>
      <c r="S71" s="20">
        <v>1.071</v>
      </c>
      <c r="T71" s="18">
        <v>1</v>
      </c>
    </row>
    <row r="72" spans="1:20" x14ac:dyDescent="0.2">
      <c r="A72" s="4">
        <v>1920</v>
      </c>
      <c r="B72" s="52">
        <v>1</v>
      </c>
      <c r="C72" s="22">
        <v>1.1000000000000001</v>
      </c>
      <c r="D72" s="22">
        <v>1.1000000000000001</v>
      </c>
      <c r="E72" s="20">
        <v>1.2809999999999999</v>
      </c>
      <c r="F72" s="20">
        <v>1.216</v>
      </c>
      <c r="G72" s="52">
        <v>1</v>
      </c>
      <c r="H72" s="52">
        <v>1</v>
      </c>
      <c r="I72" s="18">
        <v>1</v>
      </c>
      <c r="J72" s="17">
        <v>0.8646263816953994</v>
      </c>
      <c r="K72" s="17">
        <v>0.45</v>
      </c>
      <c r="L72" s="17">
        <v>1.5780000000000001</v>
      </c>
      <c r="M72" s="17">
        <v>1.071</v>
      </c>
      <c r="N72" s="20">
        <v>1.071</v>
      </c>
      <c r="O72" s="20">
        <v>1.246</v>
      </c>
      <c r="P72" s="20">
        <v>0.998</v>
      </c>
      <c r="Q72" s="20">
        <v>1.482</v>
      </c>
      <c r="R72" s="20">
        <v>1.071</v>
      </c>
      <c r="S72" s="20">
        <v>1.071</v>
      </c>
      <c r="T72" s="18">
        <v>1</v>
      </c>
    </row>
    <row r="73" spans="1:20" x14ac:dyDescent="0.2">
      <c r="A73" s="4">
        <v>1921</v>
      </c>
      <c r="B73" s="52">
        <v>1</v>
      </c>
      <c r="C73" s="22">
        <v>1.1000000000000001</v>
      </c>
      <c r="D73" s="22">
        <v>1.1000000000000001</v>
      </c>
      <c r="E73" s="20">
        <v>1.2809999999999999</v>
      </c>
      <c r="F73" s="20">
        <v>1.216</v>
      </c>
      <c r="G73" s="52">
        <v>1</v>
      </c>
      <c r="H73" s="52">
        <v>1</v>
      </c>
      <c r="I73" s="18">
        <v>1</v>
      </c>
      <c r="J73" s="17">
        <v>0.86554531058346473</v>
      </c>
      <c r="K73" s="17">
        <v>0.45</v>
      </c>
      <c r="L73" s="17">
        <v>1.5780000000000001</v>
      </c>
      <c r="M73" s="17">
        <v>1.071</v>
      </c>
      <c r="N73" s="20">
        <v>1.071</v>
      </c>
      <c r="O73" s="20">
        <v>1.246</v>
      </c>
      <c r="P73" s="20">
        <v>0.998</v>
      </c>
      <c r="Q73" s="20">
        <v>1.482</v>
      </c>
      <c r="R73" s="20">
        <v>1.071</v>
      </c>
      <c r="S73" s="20">
        <v>1.071</v>
      </c>
      <c r="T73" s="18">
        <v>1</v>
      </c>
    </row>
    <row r="74" spans="1:20" x14ac:dyDescent="0.2">
      <c r="A74" s="4">
        <v>1922</v>
      </c>
      <c r="B74" s="52">
        <v>1</v>
      </c>
      <c r="C74" s="22">
        <v>1.1000000000000001</v>
      </c>
      <c r="D74" s="22">
        <v>1.1000000000000001</v>
      </c>
      <c r="E74" s="20">
        <v>1.2809999999999999</v>
      </c>
      <c r="F74" s="20">
        <v>1.216</v>
      </c>
      <c r="G74" s="52">
        <v>1</v>
      </c>
      <c r="H74" s="52">
        <v>1</v>
      </c>
      <c r="I74" s="18">
        <v>1</v>
      </c>
      <c r="J74" s="17">
        <v>0.86654651138645766</v>
      </c>
      <c r="K74" s="17">
        <v>0.45</v>
      </c>
      <c r="L74" s="17">
        <v>1.5780000000000001</v>
      </c>
      <c r="M74" s="17">
        <v>1.071</v>
      </c>
      <c r="N74" s="20">
        <v>1.071</v>
      </c>
      <c r="O74" s="20">
        <v>1.246</v>
      </c>
      <c r="P74" s="20">
        <v>0.998</v>
      </c>
      <c r="Q74" s="20">
        <v>1.482</v>
      </c>
      <c r="R74" s="20">
        <v>1.071</v>
      </c>
      <c r="S74" s="20">
        <v>1.071</v>
      </c>
      <c r="T74" s="18">
        <v>1</v>
      </c>
    </row>
    <row r="75" spans="1:20" x14ac:dyDescent="0.2">
      <c r="A75" s="4">
        <v>1923</v>
      </c>
      <c r="B75" s="52">
        <v>1</v>
      </c>
      <c r="C75" s="22">
        <v>1.1000000000000001</v>
      </c>
      <c r="D75" s="22">
        <v>1.1000000000000001</v>
      </c>
      <c r="E75" s="20">
        <v>1.2809999999999999</v>
      </c>
      <c r="F75" s="20">
        <v>1.216</v>
      </c>
      <c r="G75" s="52">
        <v>1</v>
      </c>
      <c r="H75" s="52">
        <v>1</v>
      </c>
      <c r="I75" s="18">
        <v>1</v>
      </c>
      <c r="J75" s="17">
        <v>0.8672040731340156</v>
      </c>
      <c r="K75" s="17">
        <v>0.45</v>
      </c>
      <c r="L75" s="17">
        <v>1.5780000000000001</v>
      </c>
      <c r="M75" s="17">
        <v>1.071</v>
      </c>
      <c r="N75" s="20">
        <v>1.071</v>
      </c>
      <c r="O75" s="20">
        <v>1.246</v>
      </c>
      <c r="P75" s="20">
        <v>0.998</v>
      </c>
      <c r="Q75" s="20">
        <v>1.482</v>
      </c>
      <c r="R75" s="20">
        <v>1.071</v>
      </c>
      <c r="S75" s="20">
        <v>1.071</v>
      </c>
      <c r="T75" s="18">
        <v>1</v>
      </c>
    </row>
    <row r="76" spans="1:20" x14ac:dyDescent="0.2">
      <c r="A76" s="4">
        <v>1924</v>
      </c>
      <c r="B76" s="52">
        <v>1</v>
      </c>
      <c r="C76" s="22">
        <v>1.1000000000000001</v>
      </c>
      <c r="D76" s="22">
        <v>1.1000000000000001</v>
      </c>
      <c r="E76" s="20">
        <v>1.2809999999999999</v>
      </c>
      <c r="F76" s="20">
        <v>1.216</v>
      </c>
      <c r="G76" s="52">
        <v>1</v>
      </c>
      <c r="H76" s="52">
        <v>1</v>
      </c>
      <c r="I76" s="18">
        <v>1</v>
      </c>
      <c r="J76" s="17">
        <v>0.86709172500321896</v>
      </c>
      <c r="K76" s="17">
        <v>0.45</v>
      </c>
      <c r="L76" s="17">
        <v>1.5780000000000001</v>
      </c>
      <c r="M76" s="17">
        <v>1.071</v>
      </c>
      <c r="N76" s="20">
        <v>1.071</v>
      </c>
      <c r="O76" s="20">
        <v>1.246</v>
      </c>
      <c r="P76" s="20">
        <v>0.998</v>
      </c>
      <c r="Q76" s="20">
        <v>1.482</v>
      </c>
      <c r="R76" s="20">
        <v>1.071</v>
      </c>
      <c r="S76" s="20">
        <v>1.071</v>
      </c>
      <c r="T76" s="18">
        <v>1</v>
      </c>
    </row>
    <row r="77" spans="1:20" x14ac:dyDescent="0.2">
      <c r="A77" s="4">
        <v>1925</v>
      </c>
      <c r="B77" s="52">
        <v>1</v>
      </c>
      <c r="C77" s="22">
        <v>1.1000000000000001</v>
      </c>
      <c r="D77" s="22">
        <v>1.1000000000000001</v>
      </c>
      <c r="E77" s="20">
        <v>1.2809999999999999</v>
      </c>
      <c r="F77" s="20">
        <v>1.216</v>
      </c>
      <c r="G77" s="52">
        <v>1</v>
      </c>
      <c r="H77" s="52">
        <v>1</v>
      </c>
      <c r="I77" s="18">
        <v>1</v>
      </c>
      <c r="J77" s="17">
        <v>0.86708489718960868</v>
      </c>
      <c r="K77" s="17">
        <v>0.45</v>
      </c>
      <c r="L77" s="17">
        <v>1.5780000000000001</v>
      </c>
      <c r="M77" s="17">
        <v>1.071</v>
      </c>
      <c r="N77" s="20">
        <v>1.071</v>
      </c>
      <c r="O77" s="20">
        <v>1.246</v>
      </c>
      <c r="P77" s="20">
        <v>0.998</v>
      </c>
      <c r="Q77" s="20">
        <v>1.482</v>
      </c>
      <c r="R77" s="20">
        <v>1.071</v>
      </c>
      <c r="S77" s="20">
        <v>1.071</v>
      </c>
      <c r="T77" s="18">
        <v>1</v>
      </c>
    </row>
    <row r="78" spans="1:20" x14ac:dyDescent="0.2">
      <c r="A78" s="4">
        <v>1926</v>
      </c>
      <c r="B78" s="52">
        <v>1</v>
      </c>
      <c r="C78" s="22">
        <v>1.1000000000000001</v>
      </c>
      <c r="D78" s="22">
        <v>1.1000000000000001</v>
      </c>
      <c r="E78" s="20">
        <v>1.2785999999999997</v>
      </c>
      <c r="F78" s="20">
        <v>1.2128000000000003</v>
      </c>
      <c r="G78" s="52">
        <v>1</v>
      </c>
      <c r="H78" s="52">
        <v>1</v>
      </c>
      <c r="I78" s="18">
        <v>1</v>
      </c>
      <c r="J78" s="17">
        <v>0.86719164234912016</v>
      </c>
      <c r="K78" s="17">
        <v>0.4532000000000001</v>
      </c>
      <c r="L78" s="17">
        <v>1.5717999999999999</v>
      </c>
      <c r="M78" s="17">
        <v>1.0703999999999998</v>
      </c>
      <c r="N78" s="20">
        <v>1.0703999999999998</v>
      </c>
      <c r="O78" s="20">
        <v>1.2424000000000002</v>
      </c>
      <c r="P78" s="20">
        <v>0.99659999999999982</v>
      </c>
      <c r="Q78" s="20">
        <v>1.4775999999999998</v>
      </c>
      <c r="R78" s="20">
        <v>1.0703999999999998</v>
      </c>
      <c r="S78" s="20">
        <v>1.0703999999999998</v>
      </c>
      <c r="T78" s="18">
        <v>1</v>
      </c>
    </row>
    <row r="79" spans="1:20" x14ac:dyDescent="0.2">
      <c r="A79" s="4">
        <v>1927</v>
      </c>
      <c r="B79" s="52">
        <v>1</v>
      </c>
      <c r="C79" s="22">
        <v>1.1000000000000001</v>
      </c>
      <c r="D79" s="22">
        <v>1.1000000000000001</v>
      </c>
      <c r="E79" s="20">
        <v>1.2785999999999997</v>
      </c>
      <c r="F79" s="20">
        <v>1.2128000000000003</v>
      </c>
      <c r="G79" s="52">
        <v>1</v>
      </c>
      <c r="H79" s="52">
        <v>1</v>
      </c>
      <c r="I79" s="18">
        <v>1</v>
      </c>
      <c r="J79" s="17">
        <v>0.86742005969959579</v>
      </c>
      <c r="K79" s="17">
        <v>0.4532000000000001</v>
      </c>
      <c r="L79" s="17">
        <v>1.5717999999999999</v>
      </c>
      <c r="M79" s="17">
        <v>1.0703999999999998</v>
      </c>
      <c r="N79" s="20">
        <v>1.0703999999999998</v>
      </c>
      <c r="O79" s="20">
        <v>1.2424000000000002</v>
      </c>
      <c r="P79" s="20">
        <v>0.99659999999999982</v>
      </c>
      <c r="Q79" s="20">
        <v>1.4775999999999998</v>
      </c>
      <c r="R79" s="20">
        <v>1.0703999999999998</v>
      </c>
      <c r="S79" s="20">
        <v>1.0703999999999998</v>
      </c>
      <c r="T79" s="18">
        <v>1</v>
      </c>
    </row>
    <row r="80" spans="1:20" x14ac:dyDescent="0.2">
      <c r="A80" s="4">
        <v>1928</v>
      </c>
      <c r="B80" s="52">
        <v>1</v>
      </c>
      <c r="C80" s="22">
        <v>1.1000000000000001</v>
      </c>
      <c r="D80" s="22">
        <v>1.1000000000000001</v>
      </c>
      <c r="E80" s="20">
        <v>1.2761999999999998</v>
      </c>
      <c r="F80" s="20">
        <v>1.2096000000000002</v>
      </c>
      <c r="G80" s="52">
        <v>1</v>
      </c>
      <c r="H80" s="52">
        <v>1</v>
      </c>
      <c r="I80" s="18">
        <v>1</v>
      </c>
      <c r="J80" s="17">
        <v>0.86777830597757799</v>
      </c>
      <c r="K80" s="17">
        <v>0.45640000000000008</v>
      </c>
      <c r="L80" s="17">
        <v>1.5655999999999999</v>
      </c>
      <c r="M80" s="17">
        <v>1.0697999999999999</v>
      </c>
      <c r="N80" s="20">
        <v>1.0697999999999999</v>
      </c>
      <c r="O80" s="20">
        <v>1.2388000000000001</v>
      </c>
      <c r="P80" s="20">
        <v>0.99519999999999986</v>
      </c>
      <c r="Q80" s="20">
        <v>1.4731999999999998</v>
      </c>
      <c r="R80" s="20">
        <v>1.0697999999999999</v>
      </c>
      <c r="S80" s="20">
        <v>1.0697999999999999</v>
      </c>
      <c r="T80" s="18">
        <v>1</v>
      </c>
    </row>
    <row r="81" spans="1:20" x14ac:dyDescent="0.2">
      <c r="A81" s="4">
        <v>1929</v>
      </c>
      <c r="B81" s="52">
        <v>1</v>
      </c>
      <c r="C81" s="22">
        <v>1.1000000000000001</v>
      </c>
      <c r="D81" s="22">
        <v>1.1000000000000001</v>
      </c>
      <c r="E81" s="20">
        <v>1.2737999999999998</v>
      </c>
      <c r="F81" s="20">
        <v>1.2064000000000001</v>
      </c>
      <c r="G81" s="52">
        <v>1</v>
      </c>
      <c r="H81" s="52">
        <v>1</v>
      </c>
      <c r="I81" s="18">
        <v>1</v>
      </c>
      <c r="J81" s="17">
        <v>0.86827460719432348</v>
      </c>
      <c r="K81" s="17">
        <v>0.45960000000000006</v>
      </c>
      <c r="L81" s="17">
        <v>1.5593999999999999</v>
      </c>
      <c r="M81" s="17">
        <v>1.0691999999999999</v>
      </c>
      <c r="N81" s="20">
        <v>1.0691999999999999</v>
      </c>
      <c r="O81" s="20">
        <v>1.2352000000000001</v>
      </c>
      <c r="P81" s="20">
        <v>0.99379999999999991</v>
      </c>
      <c r="Q81" s="20">
        <v>1.4687999999999999</v>
      </c>
      <c r="R81" s="20">
        <v>1.0691999999999999</v>
      </c>
      <c r="S81" s="20">
        <v>1.0691999999999999</v>
      </c>
      <c r="T81" s="18">
        <v>1</v>
      </c>
    </row>
    <row r="82" spans="1:20" x14ac:dyDescent="0.2">
      <c r="A82" s="4">
        <v>1930</v>
      </c>
      <c r="B82" s="52">
        <v>1</v>
      </c>
      <c r="C82" s="22">
        <v>1.1000000000000001</v>
      </c>
      <c r="D82" s="22">
        <v>1.1000000000000001</v>
      </c>
      <c r="E82" s="20">
        <v>1.2713999999999999</v>
      </c>
      <c r="F82" s="20">
        <v>1.2032</v>
      </c>
      <c r="G82" s="52">
        <v>1</v>
      </c>
      <c r="H82" s="52">
        <v>1</v>
      </c>
      <c r="I82" s="18">
        <v>1</v>
      </c>
      <c r="J82" s="17">
        <v>0.8689172712080232</v>
      </c>
      <c r="K82" s="17">
        <v>0.46280000000000004</v>
      </c>
      <c r="L82" s="17">
        <v>1.5531999999999999</v>
      </c>
      <c r="M82" s="17">
        <v>1.0686</v>
      </c>
      <c r="N82" s="20">
        <v>1.0686</v>
      </c>
      <c r="O82" s="20">
        <v>1.2316</v>
      </c>
      <c r="P82" s="20">
        <v>0.99239999999999995</v>
      </c>
      <c r="Q82" s="20">
        <v>1.4643999999999999</v>
      </c>
      <c r="R82" s="20">
        <v>1.0686</v>
      </c>
      <c r="S82" s="20">
        <v>1.0686</v>
      </c>
      <c r="T82" s="18">
        <v>1</v>
      </c>
    </row>
    <row r="83" spans="1:20" x14ac:dyDescent="0.2">
      <c r="A83" s="4">
        <v>1931</v>
      </c>
      <c r="B83" s="52">
        <v>1</v>
      </c>
      <c r="C83" s="22">
        <v>1.1000000000000001</v>
      </c>
      <c r="D83" s="22">
        <v>1.1000000000000001</v>
      </c>
      <c r="E83" s="20">
        <v>1.2689999999999999</v>
      </c>
      <c r="F83" s="20">
        <v>1.2</v>
      </c>
      <c r="G83" s="52">
        <v>1</v>
      </c>
      <c r="H83" s="52">
        <v>1</v>
      </c>
      <c r="I83" s="18">
        <v>1</v>
      </c>
      <c r="J83" s="17">
        <v>0.86971470113645943</v>
      </c>
      <c r="K83" s="17">
        <v>0.46600000000000003</v>
      </c>
      <c r="L83" s="17">
        <v>1.5469999999999999</v>
      </c>
      <c r="M83" s="17">
        <v>1.0680000000000001</v>
      </c>
      <c r="N83" s="20">
        <v>1.0680000000000001</v>
      </c>
      <c r="O83" s="20">
        <v>1.228</v>
      </c>
      <c r="P83" s="20">
        <v>0.99099999999999999</v>
      </c>
      <c r="Q83" s="20">
        <v>1.46</v>
      </c>
      <c r="R83" s="20">
        <v>1.0680000000000001</v>
      </c>
      <c r="S83" s="20">
        <v>1.0680000000000001</v>
      </c>
      <c r="T83" s="18">
        <v>1</v>
      </c>
    </row>
    <row r="84" spans="1:20" x14ac:dyDescent="0.2">
      <c r="A84" s="4">
        <v>1932</v>
      </c>
      <c r="B84" s="52">
        <v>1</v>
      </c>
      <c r="C84" s="22">
        <v>1.1000000000000001</v>
      </c>
      <c r="D84" s="22">
        <v>1.1000000000000001</v>
      </c>
      <c r="E84" s="20">
        <v>1.2665999999999997</v>
      </c>
      <c r="F84" s="20">
        <v>1.1968000000000003</v>
      </c>
      <c r="G84" s="52">
        <v>1</v>
      </c>
      <c r="H84" s="52">
        <v>1</v>
      </c>
      <c r="I84" s="18">
        <v>1</v>
      </c>
      <c r="J84" s="17">
        <v>0.87067540963459988</v>
      </c>
      <c r="K84" s="17">
        <v>0.46939999999999993</v>
      </c>
      <c r="L84" s="17">
        <v>1.5407999999999999</v>
      </c>
      <c r="M84" s="17">
        <v>1.0671999999999997</v>
      </c>
      <c r="N84" s="20">
        <v>1.0671999999999997</v>
      </c>
      <c r="O84" s="20">
        <v>1.2244000000000002</v>
      </c>
      <c r="P84" s="20">
        <v>0.98940000000000017</v>
      </c>
      <c r="Q84" s="20">
        <v>1.4555999999999998</v>
      </c>
      <c r="R84" s="20">
        <v>1.0671999999999997</v>
      </c>
      <c r="S84" s="20">
        <v>1.0671999999999997</v>
      </c>
      <c r="T84" s="18">
        <v>1</v>
      </c>
    </row>
    <row r="85" spans="1:20" x14ac:dyDescent="0.2">
      <c r="A85" s="4">
        <v>1933</v>
      </c>
      <c r="B85" s="52">
        <v>1</v>
      </c>
      <c r="C85" s="22">
        <v>1.1000000000000001</v>
      </c>
      <c r="D85" s="22">
        <v>1.1000000000000001</v>
      </c>
      <c r="E85" s="20">
        <v>1.2641999999999998</v>
      </c>
      <c r="F85" s="20">
        <v>1.1936000000000002</v>
      </c>
      <c r="G85" s="52">
        <v>1</v>
      </c>
      <c r="H85" s="52">
        <v>1</v>
      </c>
      <c r="I85" s="18">
        <v>1</v>
      </c>
      <c r="J85" s="17">
        <v>0.87180803406872964</v>
      </c>
      <c r="K85" s="17">
        <v>0.47279999999999994</v>
      </c>
      <c r="L85" s="17">
        <v>1.5346</v>
      </c>
      <c r="M85" s="17">
        <v>1.0663999999999998</v>
      </c>
      <c r="N85" s="20">
        <v>1.0663999999999998</v>
      </c>
      <c r="O85" s="20">
        <v>1.2208000000000001</v>
      </c>
      <c r="P85" s="20">
        <v>0.98780000000000012</v>
      </c>
      <c r="Q85" s="20">
        <v>1.4511999999999998</v>
      </c>
      <c r="R85" s="20">
        <v>1.0663999999999998</v>
      </c>
      <c r="S85" s="20">
        <v>1.0663999999999998</v>
      </c>
      <c r="T85" s="18">
        <v>1</v>
      </c>
    </row>
    <row r="86" spans="1:20" x14ac:dyDescent="0.2">
      <c r="A86" s="4">
        <v>1934</v>
      </c>
      <c r="B86" s="52">
        <v>1</v>
      </c>
      <c r="C86" s="22">
        <v>1.1000000000000001</v>
      </c>
      <c r="D86" s="22">
        <v>1.1000000000000001</v>
      </c>
      <c r="E86" s="20">
        <v>1.2617999999999998</v>
      </c>
      <c r="F86" s="20">
        <v>1.1904000000000001</v>
      </c>
      <c r="G86" s="52">
        <v>1</v>
      </c>
      <c r="H86" s="52">
        <v>1</v>
      </c>
      <c r="I86" s="18">
        <v>1</v>
      </c>
      <c r="J86" s="17">
        <v>0.87312135261889423</v>
      </c>
      <c r="K86" s="17">
        <v>0.47619999999999996</v>
      </c>
      <c r="L86" s="17">
        <v>1.5284</v>
      </c>
      <c r="M86" s="17">
        <v>1.0655999999999999</v>
      </c>
      <c r="N86" s="20">
        <v>1.0655999999999999</v>
      </c>
      <c r="O86" s="20">
        <v>1.2172000000000001</v>
      </c>
      <c r="P86" s="20">
        <v>0.98620000000000008</v>
      </c>
      <c r="Q86" s="20">
        <v>1.4467999999999999</v>
      </c>
      <c r="R86" s="20">
        <v>1.0655999999999999</v>
      </c>
      <c r="S86" s="20">
        <v>1.0655999999999999</v>
      </c>
      <c r="T86" s="18">
        <v>1</v>
      </c>
    </row>
    <row r="87" spans="1:20" x14ac:dyDescent="0.2">
      <c r="A87" s="4">
        <v>1935</v>
      </c>
      <c r="B87" s="52">
        <v>1</v>
      </c>
      <c r="C87" s="22">
        <v>1.1000000000000001</v>
      </c>
      <c r="D87" s="22">
        <v>1.1000000000000001</v>
      </c>
      <c r="E87" s="20">
        <v>1.2593999999999999</v>
      </c>
      <c r="F87" s="20">
        <v>1.1872</v>
      </c>
      <c r="G87" s="52">
        <v>1</v>
      </c>
      <c r="H87" s="52">
        <v>1</v>
      </c>
      <c r="I87" s="18">
        <v>1</v>
      </c>
      <c r="J87" s="17">
        <v>0.87462430134924241</v>
      </c>
      <c r="K87" s="17">
        <v>0.47959999999999997</v>
      </c>
      <c r="L87" s="17">
        <v>1.5222</v>
      </c>
      <c r="M87" s="17">
        <v>1.0648</v>
      </c>
      <c r="N87" s="20">
        <v>1.0648</v>
      </c>
      <c r="O87" s="20">
        <v>1.2136</v>
      </c>
      <c r="P87" s="20">
        <v>0.98460000000000003</v>
      </c>
      <c r="Q87" s="20">
        <v>1.4423999999999999</v>
      </c>
      <c r="R87" s="20">
        <v>1.0648</v>
      </c>
      <c r="S87" s="20">
        <v>1.0648</v>
      </c>
      <c r="T87" s="18">
        <v>1</v>
      </c>
    </row>
    <row r="88" spans="1:20" x14ac:dyDescent="0.2">
      <c r="A88" s="4">
        <v>1936</v>
      </c>
      <c r="B88" s="52">
        <v>1</v>
      </c>
      <c r="C88" s="22">
        <v>1.1000000000000001</v>
      </c>
      <c r="D88" s="22">
        <v>1.1000000000000001</v>
      </c>
      <c r="E88" s="20">
        <v>1.2569999999999999</v>
      </c>
      <c r="F88" s="20">
        <v>1.1839999999999999</v>
      </c>
      <c r="G88" s="52">
        <v>1</v>
      </c>
      <c r="H88" s="52">
        <v>1</v>
      </c>
      <c r="I88" s="18">
        <v>1</v>
      </c>
      <c r="J88" s="17">
        <v>0.87632599228839436</v>
      </c>
      <c r="K88" s="17">
        <v>0.48299999999999998</v>
      </c>
      <c r="L88" s="17">
        <v>1.516</v>
      </c>
      <c r="M88" s="17">
        <v>1.0640000000000001</v>
      </c>
      <c r="N88" s="20">
        <v>1.0640000000000001</v>
      </c>
      <c r="O88" s="20">
        <v>1.21</v>
      </c>
      <c r="P88" s="20">
        <v>0.98299999999999998</v>
      </c>
      <c r="Q88" s="20">
        <v>1.4379999999999999</v>
      </c>
      <c r="R88" s="20">
        <v>1.0640000000000001</v>
      </c>
      <c r="S88" s="20">
        <v>1.0640000000000001</v>
      </c>
      <c r="T88" s="18">
        <v>1</v>
      </c>
    </row>
    <row r="89" spans="1:20" x14ac:dyDescent="0.2">
      <c r="A89" s="4">
        <v>1937</v>
      </c>
      <c r="B89" s="52">
        <v>1</v>
      </c>
      <c r="C89" s="22">
        <v>1.1000000000000001</v>
      </c>
      <c r="D89" s="22">
        <v>1.1000000000000001</v>
      </c>
      <c r="E89" s="20">
        <v>1.2543999999999997</v>
      </c>
      <c r="F89" s="20">
        <v>1.1809999999999996</v>
      </c>
      <c r="G89" s="52">
        <v>1</v>
      </c>
      <c r="H89" s="52">
        <v>1</v>
      </c>
      <c r="I89" s="18">
        <v>1</v>
      </c>
      <c r="J89" s="17">
        <v>0.87823573256711185</v>
      </c>
      <c r="K89" s="17">
        <v>0.4867999999999999</v>
      </c>
      <c r="L89" s="17">
        <v>1.5098</v>
      </c>
      <c r="M89" s="17">
        <v>1.0633999999999997</v>
      </c>
      <c r="N89" s="20">
        <v>1.0633999999999997</v>
      </c>
      <c r="O89" s="20">
        <v>1.2066000000000003</v>
      </c>
      <c r="P89" s="20">
        <v>0.98159999999999981</v>
      </c>
      <c r="Q89" s="20">
        <v>1.4331999999999996</v>
      </c>
      <c r="R89" s="20">
        <v>1.0633999999999997</v>
      </c>
      <c r="S89" s="20">
        <v>1.0633999999999997</v>
      </c>
      <c r="T89" s="18">
        <v>1</v>
      </c>
    </row>
    <row r="90" spans="1:20" x14ac:dyDescent="0.2">
      <c r="A90" s="4">
        <v>1938</v>
      </c>
      <c r="B90" s="52">
        <v>1</v>
      </c>
      <c r="C90" s="22">
        <v>1.1000000000000001</v>
      </c>
      <c r="D90" s="22">
        <v>1.1000000000000001</v>
      </c>
      <c r="E90" s="20">
        <v>1.2517999999999998</v>
      </c>
      <c r="F90" s="20">
        <v>1.1779999999999997</v>
      </c>
      <c r="G90" s="52">
        <v>1</v>
      </c>
      <c r="H90" s="52">
        <v>1</v>
      </c>
      <c r="I90" s="18">
        <v>1</v>
      </c>
      <c r="J90" s="17">
        <v>0.88036304466700388</v>
      </c>
      <c r="K90" s="17">
        <v>0.49059999999999993</v>
      </c>
      <c r="L90" s="17">
        <v>1.5036</v>
      </c>
      <c r="M90" s="17">
        <v>1.0627999999999997</v>
      </c>
      <c r="N90" s="20">
        <v>1.0627999999999997</v>
      </c>
      <c r="O90" s="20">
        <v>1.2032000000000003</v>
      </c>
      <c r="P90" s="20">
        <v>0.98019999999999985</v>
      </c>
      <c r="Q90" s="20">
        <v>1.4283999999999997</v>
      </c>
      <c r="R90" s="20">
        <v>1.0627999999999997</v>
      </c>
      <c r="S90" s="20">
        <v>1.0627999999999997</v>
      </c>
      <c r="T90" s="18">
        <v>1</v>
      </c>
    </row>
    <row r="91" spans="1:20" x14ac:dyDescent="0.2">
      <c r="A91" s="4">
        <v>1939</v>
      </c>
      <c r="B91" s="52">
        <v>1</v>
      </c>
      <c r="C91" s="22">
        <v>1.1000000000000001</v>
      </c>
      <c r="D91" s="22">
        <v>1.1000000000000001</v>
      </c>
      <c r="E91" s="20">
        <v>1.2491999999999999</v>
      </c>
      <c r="F91" s="20">
        <v>1.1749999999999998</v>
      </c>
      <c r="G91" s="52">
        <v>1</v>
      </c>
      <c r="H91" s="52">
        <v>1</v>
      </c>
      <c r="I91" s="18">
        <v>1</v>
      </c>
      <c r="J91" s="17">
        <v>0.88271768783824722</v>
      </c>
      <c r="K91" s="17">
        <v>0.49439999999999995</v>
      </c>
      <c r="L91" s="17">
        <v>1.4974000000000001</v>
      </c>
      <c r="M91" s="17">
        <v>1.0621999999999998</v>
      </c>
      <c r="N91" s="20">
        <v>1.0621999999999998</v>
      </c>
      <c r="O91" s="20">
        <v>1.1998000000000002</v>
      </c>
      <c r="P91" s="20">
        <v>0.97879999999999989</v>
      </c>
      <c r="Q91" s="20">
        <v>1.4235999999999998</v>
      </c>
      <c r="R91" s="20">
        <v>1.0621999999999998</v>
      </c>
      <c r="S91" s="20">
        <v>1.0621999999999998</v>
      </c>
      <c r="T91" s="18">
        <v>1</v>
      </c>
    </row>
    <row r="92" spans="1:20" x14ac:dyDescent="0.2">
      <c r="A92" s="4">
        <v>1940</v>
      </c>
      <c r="B92" s="52">
        <v>1</v>
      </c>
      <c r="C92" s="22">
        <v>1.1000000000000001</v>
      </c>
      <c r="D92" s="22">
        <v>1.1000000000000001</v>
      </c>
      <c r="E92" s="20">
        <v>1.2465999999999999</v>
      </c>
      <c r="F92" s="20">
        <v>1.1719999999999999</v>
      </c>
      <c r="G92" s="52">
        <v>1</v>
      </c>
      <c r="H92" s="52">
        <v>1</v>
      </c>
      <c r="I92" s="18">
        <v>1</v>
      </c>
      <c r="J92" s="17">
        <v>0.88530968075115912</v>
      </c>
      <c r="K92" s="17">
        <v>0.49819999999999998</v>
      </c>
      <c r="L92" s="17">
        <v>1.4912000000000001</v>
      </c>
      <c r="M92" s="17">
        <v>1.0615999999999999</v>
      </c>
      <c r="N92" s="20">
        <v>1.0615999999999999</v>
      </c>
      <c r="O92" s="20">
        <v>1.1964000000000001</v>
      </c>
      <c r="P92" s="20">
        <v>0.97739999999999994</v>
      </c>
      <c r="Q92" s="20">
        <v>1.4187999999999998</v>
      </c>
      <c r="R92" s="20">
        <v>1.0615999999999999</v>
      </c>
      <c r="S92" s="20">
        <v>1.0615999999999999</v>
      </c>
      <c r="T92" s="18">
        <v>1</v>
      </c>
    </row>
    <row r="93" spans="1:20" x14ac:dyDescent="0.2">
      <c r="A93" s="4">
        <v>1941</v>
      </c>
      <c r="B93" s="52">
        <v>1</v>
      </c>
      <c r="C93" s="22">
        <v>1.1000000000000001</v>
      </c>
      <c r="D93" s="22">
        <v>1.1000000000000001</v>
      </c>
      <c r="E93" s="20">
        <v>1.244</v>
      </c>
      <c r="F93" s="20">
        <v>1.169</v>
      </c>
      <c r="G93" s="52">
        <v>1</v>
      </c>
      <c r="H93" s="52">
        <v>1</v>
      </c>
      <c r="I93" s="18">
        <v>1</v>
      </c>
      <c r="J93" s="17">
        <v>0.88814932545355341</v>
      </c>
      <c r="K93" s="17">
        <v>0.502</v>
      </c>
      <c r="L93" s="17">
        <v>1.4850000000000001</v>
      </c>
      <c r="M93" s="17">
        <v>1.0609999999999999</v>
      </c>
      <c r="N93" s="20">
        <v>1.0609999999999999</v>
      </c>
      <c r="O93" s="20">
        <v>1.1930000000000001</v>
      </c>
      <c r="P93" s="20">
        <v>0.97599999999999998</v>
      </c>
      <c r="Q93" s="20">
        <v>1.4139999999999999</v>
      </c>
      <c r="R93" s="20">
        <v>1.0609999999999999</v>
      </c>
      <c r="S93" s="20">
        <v>1.0609999999999999</v>
      </c>
      <c r="T93" s="18">
        <v>1</v>
      </c>
    </row>
    <row r="94" spans="1:20" x14ac:dyDescent="0.2">
      <c r="A94" s="4">
        <v>1942</v>
      </c>
      <c r="B94" s="52">
        <v>1</v>
      </c>
      <c r="C94" s="22">
        <v>1.1000000000000001</v>
      </c>
      <c r="D94" s="22">
        <v>1.1000000000000001</v>
      </c>
      <c r="E94" s="20">
        <v>1.2411999999999996</v>
      </c>
      <c r="F94" s="20">
        <v>1.1660000000000004</v>
      </c>
      <c r="G94" s="52">
        <v>1</v>
      </c>
      <c r="H94" s="52">
        <v>1</v>
      </c>
      <c r="I94" s="18">
        <v>1</v>
      </c>
      <c r="J94" s="17">
        <v>0.89124723271062967</v>
      </c>
      <c r="K94" s="17">
        <v>0.50600000000000001</v>
      </c>
      <c r="L94" s="17">
        <v>1.4783999999999997</v>
      </c>
      <c r="M94" s="17">
        <v>1.0601999999999996</v>
      </c>
      <c r="N94" s="20">
        <v>1.0601999999999996</v>
      </c>
      <c r="O94" s="20">
        <v>1.1894000000000002</v>
      </c>
      <c r="P94" s="20">
        <v>0.97440000000000015</v>
      </c>
      <c r="Q94" s="20">
        <v>1.4091999999999996</v>
      </c>
      <c r="R94" s="20">
        <v>1.0601999999999996</v>
      </c>
      <c r="S94" s="20">
        <v>1.0601999999999996</v>
      </c>
      <c r="T94" s="18">
        <v>1</v>
      </c>
    </row>
    <row r="95" spans="1:20" x14ac:dyDescent="0.2">
      <c r="A95" s="4">
        <v>1943</v>
      </c>
      <c r="B95" s="52">
        <v>1</v>
      </c>
      <c r="C95" s="22">
        <v>1.1000000000000001</v>
      </c>
      <c r="D95" s="22">
        <v>1.1000000000000001</v>
      </c>
      <c r="E95" s="20">
        <v>1.2383999999999997</v>
      </c>
      <c r="F95" s="20">
        <v>1.1630000000000003</v>
      </c>
      <c r="G95" s="52">
        <v>1</v>
      </c>
      <c r="H95" s="52">
        <v>1</v>
      </c>
      <c r="I95" s="18">
        <v>1</v>
      </c>
      <c r="J95" s="17">
        <v>0.89461434881567015</v>
      </c>
      <c r="K95" s="17">
        <v>0.51</v>
      </c>
      <c r="L95" s="17">
        <v>1.4717999999999998</v>
      </c>
      <c r="M95" s="17">
        <v>1.0593999999999997</v>
      </c>
      <c r="N95" s="20">
        <v>1.0593999999999997</v>
      </c>
      <c r="O95" s="20">
        <v>1.1858000000000002</v>
      </c>
      <c r="P95" s="20">
        <v>0.97280000000000011</v>
      </c>
      <c r="Q95" s="20">
        <v>1.4043999999999996</v>
      </c>
      <c r="R95" s="20">
        <v>1.0593999999999997</v>
      </c>
      <c r="S95" s="20">
        <v>1.0593999999999997</v>
      </c>
      <c r="T95" s="18">
        <v>1</v>
      </c>
    </row>
    <row r="96" spans="1:20" x14ac:dyDescent="0.2">
      <c r="A96" s="4">
        <v>1944</v>
      </c>
      <c r="B96" s="52">
        <v>1</v>
      </c>
      <c r="C96" s="22">
        <v>1.1000000000000001</v>
      </c>
      <c r="D96" s="22">
        <v>1.1000000000000001</v>
      </c>
      <c r="E96" s="20">
        <v>1.2355999999999998</v>
      </c>
      <c r="F96" s="20">
        <v>1.1600000000000001</v>
      </c>
      <c r="G96" s="52">
        <v>1</v>
      </c>
      <c r="H96" s="52">
        <v>1</v>
      </c>
      <c r="I96" s="18">
        <v>1</v>
      </c>
      <c r="J96" s="17">
        <v>0.89826198396309354</v>
      </c>
      <c r="K96" s="17">
        <v>0.51400000000000001</v>
      </c>
      <c r="L96" s="17">
        <v>1.4651999999999998</v>
      </c>
      <c r="M96" s="17">
        <v>1.0585999999999998</v>
      </c>
      <c r="N96" s="20">
        <v>1.0585999999999998</v>
      </c>
      <c r="O96" s="20">
        <v>1.1822000000000001</v>
      </c>
      <c r="P96" s="20">
        <v>0.97120000000000006</v>
      </c>
      <c r="Q96" s="20">
        <v>1.3995999999999997</v>
      </c>
      <c r="R96" s="20">
        <v>1.0585999999999998</v>
      </c>
      <c r="S96" s="20">
        <v>1.0585999999999998</v>
      </c>
      <c r="T96" s="18">
        <v>1</v>
      </c>
    </row>
    <row r="97" spans="1:20" x14ac:dyDescent="0.2">
      <c r="A97" s="4">
        <v>1945</v>
      </c>
      <c r="B97" s="52">
        <v>1</v>
      </c>
      <c r="C97" s="22">
        <v>1.1000000000000001</v>
      </c>
      <c r="D97" s="22">
        <v>1.1000000000000001</v>
      </c>
      <c r="E97" s="20">
        <v>1.2327999999999999</v>
      </c>
      <c r="F97" s="20">
        <v>1.157</v>
      </c>
      <c r="G97" s="52">
        <v>1</v>
      </c>
      <c r="H97" s="52">
        <v>1</v>
      </c>
      <c r="I97" s="18">
        <v>1</v>
      </c>
      <c r="J97" s="17">
        <v>0.90220184228840028</v>
      </c>
      <c r="K97" s="17">
        <v>0.51800000000000002</v>
      </c>
      <c r="L97" s="17">
        <v>1.4585999999999999</v>
      </c>
      <c r="M97" s="17">
        <v>1.0577999999999999</v>
      </c>
      <c r="N97" s="20">
        <v>1.0577999999999999</v>
      </c>
      <c r="O97" s="20">
        <v>1.1786000000000001</v>
      </c>
      <c r="P97" s="20">
        <v>0.96960000000000002</v>
      </c>
      <c r="Q97" s="20">
        <v>1.3947999999999998</v>
      </c>
      <c r="R97" s="20">
        <v>1.0577999999999999</v>
      </c>
      <c r="S97" s="20">
        <v>1.0577999999999999</v>
      </c>
      <c r="T97" s="18">
        <v>1</v>
      </c>
    </row>
    <row r="98" spans="1:20" x14ac:dyDescent="0.2">
      <c r="A98" s="4">
        <v>1946</v>
      </c>
      <c r="B98" s="52">
        <v>1</v>
      </c>
      <c r="C98" s="22">
        <v>1.1000000000000001</v>
      </c>
      <c r="D98" s="22">
        <v>1.1000000000000001</v>
      </c>
      <c r="E98" s="20">
        <v>1.23</v>
      </c>
      <c r="F98" s="20">
        <v>1.1539999999999999</v>
      </c>
      <c r="G98" s="52">
        <v>1</v>
      </c>
      <c r="H98" s="52">
        <v>1</v>
      </c>
      <c r="I98" s="18">
        <v>1</v>
      </c>
      <c r="J98" s="17">
        <v>0.906446053686639</v>
      </c>
      <c r="K98" s="17">
        <v>0.52200000000000002</v>
      </c>
      <c r="L98" s="17">
        <v>1.452</v>
      </c>
      <c r="M98" s="17">
        <v>1.0569999999999999</v>
      </c>
      <c r="N98" s="20">
        <v>1.0569999999999999</v>
      </c>
      <c r="O98" s="20">
        <v>1.175</v>
      </c>
      <c r="P98" s="20">
        <v>0.96799999999999997</v>
      </c>
      <c r="Q98" s="20">
        <v>1.39</v>
      </c>
      <c r="R98" s="20">
        <v>1.0569999999999999</v>
      </c>
      <c r="S98" s="20">
        <v>1.0569999999999999</v>
      </c>
      <c r="T98" s="18">
        <v>1</v>
      </c>
    </row>
    <row r="99" spans="1:20" x14ac:dyDescent="0.2">
      <c r="A99" s="4">
        <v>1947</v>
      </c>
      <c r="B99" s="52">
        <v>1</v>
      </c>
      <c r="C99" s="22">
        <v>1.1000000000000001</v>
      </c>
      <c r="D99" s="22">
        <v>1.1000000000000001</v>
      </c>
      <c r="E99" s="20">
        <v>1.2271999999999996</v>
      </c>
      <c r="F99" s="20">
        <v>1.1509999999999996</v>
      </c>
      <c r="G99" s="52">
        <v>1</v>
      </c>
      <c r="H99" s="52">
        <v>1</v>
      </c>
      <c r="I99" s="18">
        <v>1</v>
      </c>
      <c r="J99" s="17">
        <v>0.91100720753207975</v>
      </c>
      <c r="K99" s="17">
        <v>0.5264000000000002</v>
      </c>
      <c r="L99" s="17">
        <v>1.4453999999999998</v>
      </c>
      <c r="M99" s="17">
        <v>1.0561999999999996</v>
      </c>
      <c r="N99" s="20">
        <v>1.0561999999999996</v>
      </c>
      <c r="O99" s="20">
        <v>1.1716000000000002</v>
      </c>
      <c r="P99" s="20">
        <v>0.96659999999999979</v>
      </c>
      <c r="Q99" s="20">
        <v>1.3847999999999996</v>
      </c>
      <c r="R99" s="20">
        <v>1.0561999999999996</v>
      </c>
      <c r="S99" s="20">
        <v>1.0561999999999996</v>
      </c>
      <c r="T99" s="18">
        <v>1</v>
      </c>
    </row>
    <row r="100" spans="1:20" x14ac:dyDescent="0.2">
      <c r="A100" s="4">
        <v>1948</v>
      </c>
      <c r="B100" s="52">
        <v>1</v>
      </c>
      <c r="C100" s="22">
        <v>1.1000000000000001</v>
      </c>
      <c r="D100" s="22">
        <v>1.1000000000000001</v>
      </c>
      <c r="E100" s="20">
        <v>1.2243999999999997</v>
      </c>
      <c r="F100" s="20">
        <v>1.1479999999999997</v>
      </c>
      <c r="G100" s="52">
        <v>1</v>
      </c>
      <c r="H100" s="52">
        <v>1</v>
      </c>
      <c r="I100" s="18">
        <v>1</v>
      </c>
      <c r="J100" s="17">
        <v>0.91589838843250382</v>
      </c>
      <c r="K100" s="17">
        <v>0.53080000000000016</v>
      </c>
      <c r="L100" s="17">
        <v>1.4387999999999999</v>
      </c>
      <c r="M100" s="17">
        <v>1.0553999999999997</v>
      </c>
      <c r="N100" s="20">
        <v>1.0553999999999997</v>
      </c>
      <c r="O100" s="20">
        <v>1.1682000000000001</v>
      </c>
      <c r="P100" s="20">
        <v>0.96519999999999984</v>
      </c>
      <c r="Q100" s="20">
        <v>1.3795999999999997</v>
      </c>
      <c r="R100" s="20">
        <v>1.0553999999999997</v>
      </c>
      <c r="S100" s="20">
        <v>1.0553999999999997</v>
      </c>
      <c r="T100" s="18">
        <v>1</v>
      </c>
    </row>
    <row r="101" spans="1:20" x14ac:dyDescent="0.2">
      <c r="A101" s="4">
        <v>1949</v>
      </c>
      <c r="B101" s="52">
        <v>1</v>
      </c>
      <c r="C101" s="22">
        <v>1.1000000000000001</v>
      </c>
      <c r="D101" s="22">
        <v>1.1000000000000001</v>
      </c>
      <c r="E101" s="20">
        <v>1.2215999999999998</v>
      </c>
      <c r="F101" s="20">
        <v>1.1449999999999998</v>
      </c>
      <c r="G101" s="52">
        <v>1</v>
      </c>
      <c r="H101" s="52">
        <v>1</v>
      </c>
      <c r="I101" s="18">
        <v>1</v>
      </c>
      <c r="J101" s="17">
        <v>0.92113321416341143</v>
      </c>
      <c r="K101" s="17">
        <v>0.53520000000000012</v>
      </c>
      <c r="L101" s="17">
        <v>1.4321999999999999</v>
      </c>
      <c r="M101" s="17">
        <v>1.0545999999999998</v>
      </c>
      <c r="N101" s="20">
        <v>1.0545999999999998</v>
      </c>
      <c r="O101" s="20">
        <v>1.1648000000000001</v>
      </c>
      <c r="P101" s="20">
        <v>0.96379999999999988</v>
      </c>
      <c r="Q101" s="20">
        <v>1.3743999999999998</v>
      </c>
      <c r="R101" s="20">
        <v>1.0545999999999998</v>
      </c>
      <c r="S101" s="20">
        <v>1.0545999999999998</v>
      </c>
      <c r="T101" s="18">
        <v>1</v>
      </c>
    </row>
    <row r="102" spans="1:20" x14ac:dyDescent="0.2">
      <c r="A102" s="4">
        <v>1950</v>
      </c>
      <c r="B102" s="52">
        <v>1</v>
      </c>
      <c r="C102" s="22">
        <v>1.1000000000000001</v>
      </c>
      <c r="D102" s="22">
        <v>1.1000000000000001</v>
      </c>
      <c r="E102" s="20">
        <v>1.2187999999999999</v>
      </c>
      <c r="F102" s="20">
        <v>1.1419999999999999</v>
      </c>
      <c r="G102" s="52">
        <v>1</v>
      </c>
      <c r="H102" s="52">
        <v>1</v>
      </c>
      <c r="I102" s="18">
        <v>1</v>
      </c>
      <c r="J102" s="17">
        <v>0.92672587594109423</v>
      </c>
      <c r="K102" s="17">
        <v>0.53960000000000008</v>
      </c>
      <c r="L102" s="17">
        <v>1.4256</v>
      </c>
      <c r="M102" s="17">
        <v>1.0537999999999998</v>
      </c>
      <c r="N102" s="20">
        <v>1.0537999999999998</v>
      </c>
      <c r="O102" s="20">
        <v>1.1614</v>
      </c>
      <c r="P102" s="20">
        <v>0.96239999999999992</v>
      </c>
      <c r="Q102" s="20">
        <v>1.3692</v>
      </c>
      <c r="R102" s="20">
        <v>1.0537999999999998</v>
      </c>
      <c r="S102" s="20">
        <v>1.0537999999999998</v>
      </c>
      <c r="T102" s="18">
        <v>1</v>
      </c>
    </row>
    <row r="103" spans="1:20" x14ac:dyDescent="0.2">
      <c r="A103" s="4">
        <v>1951</v>
      </c>
      <c r="B103" s="52">
        <v>1</v>
      </c>
      <c r="C103" s="22">
        <v>1.1000000000000001</v>
      </c>
      <c r="D103" s="22">
        <v>1.1000000000000001</v>
      </c>
      <c r="E103" s="20">
        <v>1.216</v>
      </c>
      <c r="F103" s="20">
        <v>1.139</v>
      </c>
      <c r="G103" s="52">
        <v>1</v>
      </c>
      <c r="H103" s="52">
        <v>1</v>
      </c>
      <c r="I103" s="18">
        <v>1</v>
      </c>
      <c r="J103" s="17">
        <v>1.1162682655606411</v>
      </c>
      <c r="K103" s="17">
        <v>0.54400000000000004</v>
      </c>
      <c r="L103" s="17">
        <v>1.419</v>
      </c>
      <c r="M103" s="17">
        <v>1.0529999999999999</v>
      </c>
      <c r="N103" s="20">
        <v>1.0529999999999999</v>
      </c>
      <c r="O103" s="20">
        <v>1.1579999999999999</v>
      </c>
      <c r="P103" s="20">
        <v>0.96099999999999997</v>
      </c>
      <c r="Q103" s="20">
        <v>1.3640000000000001</v>
      </c>
      <c r="R103" s="20">
        <v>1.0529999999999999</v>
      </c>
      <c r="S103" s="20">
        <v>1.0529999999999999</v>
      </c>
      <c r="T103" s="18">
        <v>1</v>
      </c>
    </row>
    <row r="104" spans="1:20" x14ac:dyDescent="0.2">
      <c r="A104" s="4">
        <v>1952</v>
      </c>
      <c r="B104" s="52">
        <v>1</v>
      </c>
      <c r="C104" s="22">
        <v>1.1000000000000001</v>
      </c>
      <c r="D104" s="22">
        <v>1.1000000000000001</v>
      </c>
      <c r="E104" s="20">
        <v>1.2129999999999996</v>
      </c>
      <c r="F104" s="20">
        <v>1.1359999999999997</v>
      </c>
      <c r="G104" s="52">
        <v>1</v>
      </c>
      <c r="H104" s="52">
        <v>1</v>
      </c>
      <c r="I104" s="18">
        <v>1</v>
      </c>
      <c r="J104" s="17">
        <v>1.1238246512170611</v>
      </c>
      <c r="K104" s="17">
        <v>0.54879999999999984</v>
      </c>
      <c r="L104" s="17">
        <v>1.4121999999999997</v>
      </c>
      <c r="M104" s="17">
        <v>1.0521999999999996</v>
      </c>
      <c r="N104" s="20">
        <v>1.0521999999999996</v>
      </c>
      <c r="O104" s="20">
        <v>1.1546000000000003</v>
      </c>
      <c r="P104" s="20">
        <v>0.95940000000000014</v>
      </c>
      <c r="Q104" s="20">
        <v>1.3588000000000005</v>
      </c>
      <c r="R104" s="20">
        <v>1.0521999999999996</v>
      </c>
      <c r="S104" s="20">
        <v>1.0521999999999996</v>
      </c>
      <c r="T104" s="18">
        <v>1</v>
      </c>
    </row>
    <row r="105" spans="1:20" x14ac:dyDescent="0.2">
      <c r="A105" s="4">
        <v>1953</v>
      </c>
      <c r="B105" s="52">
        <v>1</v>
      </c>
      <c r="C105" s="22">
        <v>1.1000000000000001</v>
      </c>
      <c r="D105" s="22">
        <v>1.1000000000000001</v>
      </c>
      <c r="E105" s="20">
        <v>1.2099999999999997</v>
      </c>
      <c r="F105" s="20">
        <v>1.1329999999999998</v>
      </c>
      <c r="G105" s="52">
        <v>1</v>
      </c>
      <c r="H105" s="52">
        <v>1</v>
      </c>
      <c r="I105" s="18">
        <v>1</v>
      </c>
      <c r="J105" s="17">
        <v>1.1317821377405222</v>
      </c>
      <c r="K105" s="17">
        <v>0.55359999999999987</v>
      </c>
      <c r="L105" s="17">
        <v>1.4053999999999998</v>
      </c>
      <c r="M105" s="17">
        <v>1.0513999999999997</v>
      </c>
      <c r="N105" s="20">
        <v>1.0513999999999997</v>
      </c>
      <c r="O105" s="20">
        <v>1.1512000000000002</v>
      </c>
      <c r="P105" s="20">
        <v>0.9578000000000001</v>
      </c>
      <c r="Q105" s="20">
        <v>1.3536000000000004</v>
      </c>
      <c r="R105" s="20">
        <v>1.0513999999999997</v>
      </c>
      <c r="S105" s="20">
        <v>1.0513999999999997</v>
      </c>
      <c r="T105" s="18">
        <v>1</v>
      </c>
    </row>
    <row r="106" spans="1:20" x14ac:dyDescent="0.2">
      <c r="A106" s="4">
        <v>1954</v>
      </c>
      <c r="B106" s="52">
        <v>1</v>
      </c>
      <c r="C106" s="22">
        <v>1.1000000000000001</v>
      </c>
      <c r="D106" s="22">
        <v>1.1000000000000001</v>
      </c>
      <c r="E106" s="20">
        <v>1.2069999999999999</v>
      </c>
      <c r="F106" s="20">
        <v>1.1299999999999999</v>
      </c>
      <c r="G106" s="52">
        <v>1</v>
      </c>
      <c r="H106" s="52">
        <v>1</v>
      </c>
      <c r="I106" s="18">
        <v>1</v>
      </c>
      <c r="J106" s="17">
        <v>1.1401177524885124</v>
      </c>
      <c r="K106" s="17">
        <v>0.5583999999999999</v>
      </c>
      <c r="L106" s="17">
        <v>1.3985999999999998</v>
      </c>
      <c r="M106" s="17">
        <v>1.0505999999999998</v>
      </c>
      <c r="N106" s="20">
        <v>1.0505999999999998</v>
      </c>
      <c r="O106" s="20">
        <v>1.1478000000000002</v>
      </c>
      <c r="P106" s="20">
        <v>0.95620000000000005</v>
      </c>
      <c r="Q106" s="20">
        <v>1.3484000000000003</v>
      </c>
      <c r="R106" s="20">
        <v>1.0505999999999998</v>
      </c>
      <c r="S106" s="20">
        <v>1.0505999999999998</v>
      </c>
      <c r="T106" s="18">
        <v>1</v>
      </c>
    </row>
    <row r="107" spans="1:20" x14ac:dyDescent="0.2">
      <c r="A107" s="4">
        <v>1955</v>
      </c>
      <c r="B107" s="52">
        <v>1</v>
      </c>
      <c r="C107" s="22">
        <v>1.1000000000000001</v>
      </c>
      <c r="D107" s="22">
        <v>1.1000000000000001</v>
      </c>
      <c r="E107" s="20">
        <v>1.204</v>
      </c>
      <c r="F107" s="20">
        <v>1.127</v>
      </c>
      <c r="G107" s="52">
        <v>1</v>
      </c>
      <c r="H107" s="52">
        <v>1</v>
      </c>
      <c r="I107" s="18">
        <v>1</v>
      </c>
      <c r="J107" s="17">
        <v>1.1488080172691824</v>
      </c>
      <c r="K107" s="17">
        <v>0.56319999999999992</v>
      </c>
      <c r="L107" s="17">
        <v>1.3917999999999999</v>
      </c>
      <c r="M107" s="17">
        <v>1.0497999999999998</v>
      </c>
      <c r="N107" s="20">
        <v>1.0497999999999998</v>
      </c>
      <c r="O107" s="20">
        <v>1.1444000000000001</v>
      </c>
      <c r="P107" s="20">
        <v>0.9546</v>
      </c>
      <c r="Q107" s="20">
        <v>1.3432000000000002</v>
      </c>
      <c r="R107" s="20">
        <v>1.0497999999999998</v>
      </c>
      <c r="S107" s="20">
        <v>1.0497999999999998</v>
      </c>
      <c r="T107" s="18">
        <v>1</v>
      </c>
    </row>
    <row r="108" spans="1:20" x14ac:dyDescent="0.2">
      <c r="A108" s="4">
        <v>1956</v>
      </c>
      <c r="B108" s="52">
        <v>1</v>
      </c>
      <c r="C108" s="22">
        <v>1.1000000000000001</v>
      </c>
      <c r="D108" s="22">
        <v>1.1000000000000001</v>
      </c>
      <c r="E108" s="20">
        <v>1.2010000000000001</v>
      </c>
      <c r="F108" s="20">
        <v>1.1240000000000001</v>
      </c>
      <c r="G108" s="52">
        <v>1</v>
      </c>
      <c r="H108" s="52">
        <v>1</v>
      </c>
      <c r="I108" s="18">
        <v>1</v>
      </c>
      <c r="J108" s="17">
        <v>1.1578288597746988</v>
      </c>
      <c r="K108" s="17">
        <v>0.56799999999999995</v>
      </c>
      <c r="L108" s="17">
        <v>1.385</v>
      </c>
      <c r="M108" s="17">
        <v>1.0489999999999999</v>
      </c>
      <c r="N108" s="20">
        <v>1.0489999999999999</v>
      </c>
      <c r="O108" s="20">
        <v>1.141</v>
      </c>
      <c r="P108" s="20">
        <v>0.95299999999999996</v>
      </c>
      <c r="Q108" s="20">
        <v>1.3380000000000001</v>
      </c>
      <c r="R108" s="20">
        <v>1.0489999999999999</v>
      </c>
      <c r="S108" s="20">
        <v>1.0489999999999999</v>
      </c>
      <c r="T108" s="18">
        <v>1</v>
      </c>
    </row>
    <row r="109" spans="1:20" x14ac:dyDescent="0.2">
      <c r="A109" s="4">
        <v>1957</v>
      </c>
      <c r="B109" s="52">
        <v>1</v>
      </c>
      <c r="C109" s="22">
        <v>1.1000000000000001</v>
      </c>
      <c r="D109" s="22">
        <v>1.1000000000000001</v>
      </c>
      <c r="E109" s="20">
        <v>1.1978000000000004</v>
      </c>
      <c r="F109" s="20">
        <v>1.1211999999999998</v>
      </c>
      <c r="G109" s="52">
        <v>1</v>
      </c>
      <c r="H109" s="52">
        <v>1</v>
      </c>
      <c r="I109" s="18">
        <v>1</v>
      </c>
      <c r="J109" s="17">
        <v>1.1671555300337701</v>
      </c>
      <c r="K109" s="17">
        <v>0.57320000000000004</v>
      </c>
      <c r="L109" s="17">
        <v>1.3779999999999997</v>
      </c>
      <c r="M109" s="17">
        <v>1.0481999999999996</v>
      </c>
      <c r="N109" s="20">
        <v>1.0481999999999996</v>
      </c>
      <c r="O109" s="20">
        <v>1.1378000000000004</v>
      </c>
      <c r="P109" s="20">
        <v>0.95159999999999978</v>
      </c>
      <c r="Q109" s="20">
        <v>1.3324000000000003</v>
      </c>
      <c r="R109" s="20">
        <v>1.0481999999999996</v>
      </c>
      <c r="S109" s="20">
        <v>1.0481999999999996</v>
      </c>
      <c r="T109" s="18">
        <v>1</v>
      </c>
    </row>
    <row r="110" spans="1:20" x14ac:dyDescent="0.2">
      <c r="A110" s="4">
        <v>1958</v>
      </c>
      <c r="B110" s="52">
        <v>1</v>
      </c>
      <c r="C110" s="22">
        <v>1.1000000000000001</v>
      </c>
      <c r="D110" s="22">
        <v>1.1000000000000001</v>
      </c>
      <c r="E110" s="20">
        <v>1.1946000000000003</v>
      </c>
      <c r="F110" s="20">
        <v>1.1183999999999998</v>
      </c>
      <c r="G110" s="52">
        <v>1</v>
      </c>
      <c r="H110" s="52">
        <v>1</v>
      </c>
      <c r="I110" s="18">
        <v>1</v>
      </c>
      <c r="J110" s="17">
        <v>1.1767625220576217</v>
      </c>
      <c r="K110" s="17">
        <v>0.57840000000000003</v>
      </c>
      <c r="L110" s="17">
        <v>1.3709999999999998</v>
      </c>
      <c r="M110" s="17">
        <v>1.0473999999999997</v>
      </c>
      <c r="N110" s="20">
        <v>1.0473999999999997</v>
      </c>
      <c r="O110" s="20">
        <v>1.1346000000000003</v>
      </c>
      <c r="P110" s="20">
        <v>0.95019999999999982</v>
      </c>
      <c r="Q110" s="20">
        <v>1.3268000000000002</v>
      </c>
      <c r="R110" s="20">
        <v>1.0473999999999997</v>
      </c>
      <c r="S110" s="20">
        <v>1.0473999999999997</v>
      </c>
      <c r="T110" s="18">
        <v>1</v>
      </c>
    </row>
    <row r="111" spans="1:20" x14ac:dyDescent="0.2">
      <c r="A111" s="4">
        <v>1959</v>
      </c>
      <c r="B111" s="52">
        <v>1</v>
      </c>
      <c r="C111" s="22">
        <v>1.1000000000000001</v>
      </c>
      <c r="D111" s="22">
        <v>1.1000000000000001</v>
      </c>
      <c r="E111" s="20">
        <v>1.1914000000000002</v>
      </c>
      <c r="F111" s="20">
        <v>1.1155999999999999</v>
      </c>
      <c r="G111" s="52">
        <v>1</v>
      </c>
      <c r="H111" s="52">
        <v>1</v>
      </c>
      <c r="I111" s="18">
        <v>1</v>
      </c>
      <c r="J111" s="17">
        <v>1.1866235009092352</v>
      </c>
      <c r="K111" s="17">
        <v>0.58360000000000001</v>
      </c>
      <c r="L111" s="17">
        <v>1.3639999999999999</v>
      </c>
      <c r="M111" s="17">
        <v>1.0465999999999998</v>
      </c>
      <c r="N111" s="20">
        <v>1.0465999999999998</v>
      </c>
      <c r="O111" s="20">
        <v>1.1314000000000002</v>
      </c>
      <c r="P111" s="20">
        <v>0.94879999999999987</v>
      </c>
      <c r="Q111" s="20">
        <v>1.3212000000000002</v>
      </c>
      <c r="R111" s="20">
        <v>1.0465999999999998</v>
      </c>
      <c r="S111" s="20">
        <v>1.0465999999999998</v>
      </c>
      <c r="T111" s="18">
        <v>1</v>
      </c>
    </row>
    <row r="112" spans="1:20" x14ac:dyDescent="0.2">
      <c r="A112" s="4">
        <v>1960</v>
      </c>
      <c r="B112" s="52">
        <v>1</v>
      </c>
      <c r="C112" s="22">
        <v>1.1000000000000001</v>
      </c>
      <c r="D112" s="22">
        <v>1.1000000000000001</v>
      </c>
      <c r="E112" s="20">
        <v>1.1882000000000001</v>
      </c>
      <c r="F112" s="20">
        <v>1.1128</v>
      </c>
      <c r="G112" s="52">
        <v>1</v>
      </c>
      <c r="H112" s="52">
        <v>1</v>
      </c>
      <c r="I112" s="18">
        <v>1</v>
      </c>
      <c r="J112" s="17">
        <v>1.1967112354786877</v>
      </c>
      <c r="K112" s="17">
        <v>0.58879999999999999</v>
      </c>
      <c r="L112" s="17">
        <v>1.357</v>
      </c>
      <c r="M112" s="17">
        <v>1.0457999999999998</v>
      </c>
      <c r="N112" s="20">
        <v>1.0457999999999998</v>
      </c>
      <c r="O112" s="20">
        <v>1.1282000000000001</v>
      </c>
      <c r="P112" s="20">
        <v>0.94739999999999991</v>
      </c>
      <c r="Q112" s="20">
        <v>1.3156000000000001</v>
      </c>
      <c r="R112" s="20">
        <v>1.0457999999999998</v>
      </c>
      <c r="S112" s="20">
        <v>1.0457999999999998</v>
      </c>
      <c r="T112" s="18">
        <v>1</v>
      </c>
    </row>
    <row r="113" spans="1:20" x14ac:dyDescent="0.2">
      <c r="A113" s="4">
        <v>1961</v>
      </c>
      <c r="B113" s="52">
        <v>1</v>
      </c>
      <c r="C113" s="22">
        <v>1.1000000000000001</v>
      </c>
      <c r="D113" s="22">
        <v>1.1000000000000001</v>
      </c>
      <c r="E113" s="20">
        <v>1.1850000000000001</v>
      </c>
      <c r="F113" s="20">
        <v>1.1100000000000001</v>
      </c>
      <c r="G113" s="52">
        <v>1</v>
      </c>
      <c r="H113" s="52">
        <v>1</v>
      </c>
      <c r="I113" s="18">
        <v>1</v>
      </c>
      <c r="J113" s="17">
        <v>1.206997537295841</v>
      </c>
      <c r="K113" s="17">
        <v>0.59399999999999997</v>
      </c>
      <c r="L113" s="17">
        <v>1.35</v>
      </c>
      <c r="M113" s="17">
        <v>1.0449999999999999</v>
      </c>
      <c r="N113" s="20">
        <v>1.0449999999999999</v>
      </c>
      <c r="O113" s="20">
        <v>1.125</v>
      </c>
      <c r="P113" s="20">
        <v>0.94599999999999995</v>
      </c>
      <c r="Q113" s="20">
        <v>1.31</v>
      </c>
      <c r="R113" s="20">
        <v>1.0449999999999999</v>
      </c>
      <c r="S113" s="20">
        <v>1.0449999999999999</v>
      </c>
      <c r="T113" s="18">
        <v>1</v>
      </c>
    </row>
    <row r="114" spans="1:20" x14ac:dyDescent="0.2">
      <c r="A114" s="4">
        <v>1962</v>
      </c>
      <c r="B114" s="52">
        <v>1</v>
      </c>
      <c r="C114" s="22">
        <v>1.1000000000000001</v>
      </c>
      <c r="D114" s="22">
        <v>1.1000000000000001</v>
      </c>
      <c r="E114" s="20">
        <v>1.1816000000000002</v>
      </c>
      <c r="F114" s="20">
        <v>1.1070000000000004</v>
      </c>
      <c r="G114" s="52">
        <v>1</v>
      </c>
      <c r="H114" s="52">
        <v>1</v>
      </c>
      <c r="I114" s="18">
        <v>1</v>
      </c>
      <c r="J114" s="17">
        <v>1.217453205758013</v>
      </c>
      <c r="K114" s="17">
        <v>0.6</v>
      </c>
      <c r="L114" s="17">
        <v>1.3426000000000002</v>
      </c>
      <c r="M114" s="17">
        <v>1.0441999999999996</v>
      </c>
      <c r="N114" s="20">
        <v>1.0441999999999996</v>
      </c>
      <c r="O114" s="20">
        <v>1.1216000000000004</v>
      </c>
      <c r="P114" s="20">
        <v>0.94459999999999977</v>
      </c>
      <c r="Q114" s="20">
        <v>1.304</v>
      </c>
      <c r="R114" s="20">
        <v>1.0441999999999996</v>
      </c>
      <c r="S114" s="20">
        <v>1.0441999999999996</v>
      </c>
      <c r="T114" s="18">
        <v>1</v>
      </c>
    </row>
    <row r="115" spans="1:20" x14ac:dyDescent="0.2">
      <c r="A115" s="4">
        <v>1963</v>
      </c>
      <c r="B115" s="52">
        <v>1</v>
      </c>
      <c r="C115" s="22">
        <v>1.1000000000000001</v>
      </c>
      <c r="D115" s="22">
        <v>1.1000000000000001</v>
      </c>
      <c r="E115" s="20">
        <v>1.1782000000000001</v>
      </c>
      <c r="F115" s="20">
        <v>1.1040000000000003</v>
      </c>
      <c r="G115" s="52">
        <v>1</v>
      </c>
      <c r="H115" s="52">
        <v>1</v>
      </c>
      <c r="I115" s="18">
        <v>1</v>
      </c>
      <c r="J115" s="17">
        <v>1.2280479801910753</v>
      </c>
      <c r="K115" s="17">
        <v>0.60599999999999998</v>
      </c>
      <c r="L115" s="17">
        <v>1.3352000000000002</v>
      </c>
      <c r="M115" s="17">
        <v>1.0433999999999997</v>
      </c>
      <c r="N115" s="20">
        <v>1.0433999999999997</v>
      </c>
      <c r="O115" s="20">
        <v>1.1182000000000003</v>
      </c>
      <c r="P115" s="20">
        <v>0.94319999999999982</v>
      </c>
      <c r="Q115" s="20">
        <v>1.298</v>
      </c>
      <c r="R115" s="20">
        <v>1.0433999999999997</v>
      </c>
      <c r="S115" s="20">
        <v>1.0433999999999997</v>
      </c>
      <c r="T115" s="18">
        <v>1</v>
      </c>
    </row>
    <row r="116" spans="1:20" x14ac:dyDescent="0.2">
      <c r="A116" s="4">
        <v>1964</v>
      </c>
      <c r="B116" s="52">
        <v>1</v>
      </c>
      <c r="C116" s="22">
        <v>1.1000000000000001</v>
      </c>
      <c r="D116" s="22">
        <v>1.1000000000000001</v>
      </c>
      <c r="E116" s="20">
        <v>1.1748000000000001</v>
      </c>
      <c r="F116" s="20">
        <v>1.1010000000000002</v>
      </c>
      <c r="G116" s="52">
        <v>1</v>
      </c>
      <c r="H116" s="52">
        <v>1</v>
      </c>
      <c r="I116" s="18">
        <v>1</v>
      </c>
      <c r="J116" s="17">
        <v>1.2387504991997367</v>
      </c>
      <c r="K116" s="17">
        <v>0.61199999999999999</v>
      </c>
      <c r="L116" s="17">
        <v>1.3278000000000001</v>
      </c>
      <c r="M116" s="17">
        <v>1.0425999999999997</v>
      </c>
      <c r="N116" s="20">
        <v>1.0425999999999997</v>
      </c>
      <c r="O116" s="20">
        <v>1.1148000000000002</v>
      </c>
      <c r="P116" s="20">
        <v>0.94179999999999986</v>
      </c>
      <c r="Q116" s="20">
        <v>1.292</v>
      </c>
      <c r="R116" s="20">
        <v>1.0425999999999997</v>
      </c>
      <c r="S116" s="20">
        <v>1.0425999999999997</v>
      </c>
      <c r="T116" s="18">
        <v>1</v>
      </c>
    </row>
    <row r="117" spans="1:20" x14ac:dyDescent="0.2">
      <c r="A117" s="4">
        <v>1965</v>
      </c>
      <c r="B117" s="52">
        <v>1</v>
      </c>
      <c r="C117" s="22">
        <v>1.1000000000000001</v>
      </c>
      <c r="D117" s="22">
        <v>1.1000000000000001</v>
      </c>
      <c r="E117" s="20">
        <v>1.1714</v>
      </c>
      <c r="F117" s="20">
        <v>1.0980000000000001</v>
      </c>
      <c r="G117" s="52">
        <v>1</v>
      </c>
      <c r="H117" s="52">
        <v>1</v>
      </c>
      <c r="I117" s="18">
        <v>1</v>
      </c>
      <c r="J117" s="17">
        <v>1.2495282677957764</v>
      </c>
      <c r="K117" s="17">
        <v>0.61799999999999999</v>
      </c>
      <c r="L117" s="17">
        <v>1.3204</v>
      </c>
      <c r="M117" s="17">
        <v>1.0417999999999998</v>
      </c>
      <c r="N117" s="20">
        <v>1.0417999999999998</v>
      </c>
      <c r="O117" s="20">
        <v>1.1114000000000002</v>
      </c>
      <c r="P117" s="20">
        <v>0.9403999999999999</v>
      </c>
      <c r="Q117" s="20">
        <v>1.286</v>
      </c>
      <c r="R117" s="20">
        <v>1.0417999999999998</v>
      </c>
      <c r="S117" s="20">
        <v>1.0417999999999998</v>
      </c>
      <c r="T117" s="18">
        <v>1</v>
      </c>
    </row>
    <row r="118" spans="1:20" x14ac:dyDescent="0.2">
      <c r="A118" s="4">
        <v>1966</v>
      </c>
      <c r="B118" s="52">
        <v>1</v>
      </c>
      <c r="C118" s="22">
        <v>1.1000000000000001</v>
      </c>
      <c r="D118" s="22">
        <v>1.1000000000000001</v>
      </c>
      <c r="E118" s="20">
        <v>1.1679999999999999</v>
      </c>
      <c r="F118" s="20">
        <v>1.095</v>
      </c>
      <c r="G118" s="52">
        <v>1</v>
      </c>
      <c r="H118" s="52">
        <v>1</v>
      </c>
      <c r="I118" s="18">
        <v>1</v>
      </c>
      <c r="J118" s="17">
        <v>1.2603476328194689</v>
      </c>
      <c r="K118" s="17">
        <v>0.624</v>
      </c>
      <c r="L118" s="17">
        <v>1.3129999999999999</v>
      </c>
      <c r="M118" s="17">
        <v>1.0409999999999999</v>
      </c>
      <c r="N118" s="20">
        <v>1.0409999999999999</v>
      </c>
      <c r="O118" s="20">
        <v>1.1080000000000001</v>
      </c>
      <c r="P118" s="20">
        <v>0.93899999999999995</v>
      </c>
      <c r="Q118" s="20">
        <v>1.28</v>
      </c>
      <c r="R118" s="20">
        <v>1.0409999999999999</v>
      </c>
      <c r="S118" s="20">
        <v>1.0409999999999999</v>
      </c>
      <c r="T118" s="18">
        <v>1</v>
      </c>
    </row>
    <row r="119" spans="1:20" x14ac:dyDescent="0.2">
      <c r="A119" s="4">
        <v>1967</v>
      </c>
      <c r="B119" s="52">
        <v>1</v>
      </c>
      <c r="C119" s="22">
        <v>1.1000000000000001</v>
      </c>
      <c r="D119" s="22">
        <v>1.1000000000000001</v>
      </c>
      <c r="E119" s="20">
        <v>1.1644000000000001</v>
      </c>
      <c r="F119" s="20">
        <v>1.0921999999999996</v>
      </c>
      <c r="G119" s="52">
        <v>1</v>
      </c>
      <c r="H119" s="52">
        <v>1</v>
      </c>
      <c r="I119" s="18">
        <v>1</v>
      </c>
      <c r="J119" s="17">
        <v>1.2711737671920897</v>
      </c>
      <c r="K119" s="17">
        <v>0.63059999999999983</v>
      </c>
      <c r="L119" s="17">
        <v>1.3056000000000003</v>
      </c>
      <c r="M119" s="17">
        <v>1.0399999999999996</v>
      </c>
      <c r="N119" s="20">
        <v>1.0399999999999996</v>
      </c>
      <c r="O119" s="20">
        <v>1.1048000000000004</v>
      </c>
      <c r="P119" s="20">
        <v>0.93759999999999988</v>
      </c>
      <c r="Q119" s="20">
        <v>1.2738</v>
      </c>
      <c r="R119" s="20">
        <v>1.0399999999999996</v>
      </c>
      <c r="S119" s="20">
        <v>1.0399999999999996</v>
      </c>
      <c r="T119" s="18">
        <v>1</v>
      </c>
    </row>
    <row r="120" spans="1:20" x14ac:dyDescent="0.2">
      <c r="A120" s="4">
        <v>1968</v>
      </c>
      <c r="B120" s="52">
        <v>1</v>
      </c>
      <c r="C120" s="22">
        <v>1.1000000000000001</v>
      </c>
      <c r="D120" s="22">
        <v>1.1000000000000001</v>
      </c>
      <c r="E120" s="20">
        <v>1.1608000000000001</v>
      </c>
      <c r="F120" s="20">
        <v>1.0893999999999997</v>
      </c>
      <c r="G120" s="52">
        <v>1</v>
      </c>
      <c r="H120" s="52">
        <v>1</v>
      </c>
      <c r="I120" s="18">
        <v>1</v>
      </c>
      <c r="J120" s="17">
        <v>1.2819706635511139</v>
      </c>
      <c r="K120" s="17">
        <v>0.63719999999999988</v>
      </c>
      <c r="L120" s="17">
        <v>1.2982000000000002</v>
      </c>
      <c r="M120" s="17">
        <v>1.0389999999999997</v>
      </c>
      <c r="N120" s="20">
        <v>1.0389999999999997</v>
      </c>
      <c r="O120" s="20">
        <v>1.1016000000000004</v>
      </c>
      <c r="P120" s="20">
        <v>0.93619999999999992</v>
      </c>
      <c r="Q120" s="20">
        <v>1.2676000000000001</v>
      </c>
      <c r="R120" s="20">
        <v>1.0389999999999997</v>
      </c>
      <c r="S120" s="20">
        <v>1.0389999999999997</v>
      </c>
      <c r="T120" s="18">
        <v>1</v>
      </c>
    </row>
    <row r="121" spans="1:20" x14ac:dyDescent="0.2">
      <c r="A121" s="4">
        <v>1969</v>
      </c>
      <c r="B121" s="52">
        <v>1</v>
      </c>
      <c r="C121" s="22">
        <v>1.1000000000000001</v>
      </c>
      <c r="D121" s="22">
        <v>1.1000000000000001</v>
      </c>
      <c r="E121" s="20">
        <v>1.1572</v>
      </c>
      <c r="F121" s="20">
        <v>1.0865999999999998</v>
      </c>
      <c r="G121" s="52">
        <v>1</v>
      </c>
      <c r="H121" s="52">
        <v>1</v>
      </c>
      <c r="I121" s="18">
        <v>1</v>
      </c>
      <c r="J121" s="17">
        <v>1.2927011378287301</v>
      </c>
      <c r="K121" s="17">
        <v>0.64379999999999993</v>
      </c>
      <c r="L121" s="17">
        <v>1.2908000000000002</v>
      </c>
      <c r="M121" s="17">
        <v>1.0379999999999998</v>
      </c>
      <c r="N121" s="20">
        <v>1.0379999999999998</v>
      </c>
      <c r="O121" s="20">
        <v>1.0984000000000003</v>
      </c>
      <c r="P121" s="20">
        <v>0.93479999999999996</v>
      </c>
      <c r="Q121" s="20">
        <v>1.2614000000000001</v>
      </c>
      <c r="R121" s="20">
        <v>1.0379999999999998</v>
      </c>
      <c r="S121" s="20">
        <v>1.0379999999999998</v>
      </c>
      <c r="T121" s="18">
        <v>1</v>
      </c>
    </row>
    <row r="122" spans="1:20" x14ac:dyDescent="0.2">
      <c r="A122" s="4">
        <v>1970</v>
      </c>
      <c r="B122" s="52">
        <v>1</v>
      </c>
      <c r="C122" s="22">
        <v>1.1000000000000001</v>
      </c>
      <c r="D122" s="22">
        <v>1.1000000000000001</v>
      </c>
      <c r="E122" s="20">
        <v>1.1536</v>
      </c>
      <c r="F122" s="20">
        <v>1.0837999999999999</v>
      </c>
      <c r="G122" s="52">
        <v>1</v>
      </c>
      <c r="H122" s="52">
        <v>1</v>
      </c>
      <c r="I122" s="18">
        <v>1</v>
      </c>
      <c r="J122" s="17">
        <v>1.3033268433362211</v>
      </c>
      <c r="K122" s="17">
        <v>0.65039999999999998</v>
      </c>
      <c r="L122" s="17">
        <v>1.2834000000000001</v>
      </c>
      <c r="M122" s="17">
        <v>1.0369999999999999</v>
      </c>
      <c r="N122" s="20">
        <v>1.0369999999999999</v>
      </c>
      <c r="O122" s="20">
        <v>1.0952000000000002</v>
      </c>
      <c r="P122" s="20">
        <v>0.93340000000000001</v>
      </c>
      <c r="Q122" s="20">
        <v>1.2552000000000001</v>
      </c>
      <c r="R122" s="20">
        <v>1.0369999999999999</v>
      </c>
      <c r="S122" s="20">
        <v>1.0369999999999999</v>
      </c>
      <c r="T122" s="18">
        <v>1</v>
      </c>
    </row>
    <row r="123" spans="1:20" x14ac:dyDescent="0.2">
      <c r="A123" s="4">
        <v>1971</v>
      </c>
      <c r="B123" s="52">
        <v>1</v>
      </c>
      <c r="C123" s="22">
        <v>1.1000000000000001</v>
      </c>
      <c r="D123" s="22">
        <v>1.1000000000000001</v>
      </c>
      <c r="E123" s="20">
        <v>1.1499999999999999</v>
      </c>
      <c r="F123" s="20">
        <v>1.081</v>
      </c>
      <c r="G123" s="52">
        <v>1</v>
      </c>
      <c r="H123" s="52">
        <v>1</v>
      </c>
      <c r="I123" s="18">
        <v>1</v>
      </c>
      <c r="J123" s="17">
        <v>1.313808295906419</v>
      </c>
      <c r="K123" s="17">
        <v>0.65700000000000003</v>
      </c>
      <c r="L123" s="17">
        <v>1.276</v>
      </c>
      <c r="M123" s="17">
        <v>1.036</v>
      </c>
      <c r="N123" s="20">
        <v>1.036</v>
      </c>
      <c r="O123" s="20">
        <v>1.0920000000000001</v>
      </c>
      <c r="P123" s="20">
        <v>0.93200000000000005</v>
      </c>
      <c r="Q123" s="20">
        <v>1.2490000000000001</v>
      </c>
      <c r="R123" s="20">
        <v>1.036</v>
      </c>
      <c r="S123" s="20">
        <v>1.036</v>
      </c>
      <c r="T123" s="18">
        <v>1</v>
      </c>
    </row>
    <row r="124" spans="1:20" x14ac:dyDescent="0.2">
      <c r="A124" s="4">
        <v>1972</v>
      </c>
      <c r="B124" s="52">
        <v>1</v>
      </c>
      <c r="C124" s="22">
        <v>1.1000000000000001</v>
      </c>
      <c r="D124" s="22">
        <v>1.1000000000000001</v>
      </c>
      <c r="E124" s="20">
        <v>1.1462000000000001</v>
      </c>
      <c r="F124" s="20">
        <v>1.0781999999999996</v>
      </c>
      <c r="G124" s="52">
        <v>1</v>
      </c>
      <c r="H124" s="52">
        <v>1</v>
      </c>
      <c r="I124" s="18">
        <v>1</v>
      </c>
      <c r="J124" s="17">
        <v>1.3241049106342588</v>
      </c>
      <c r="K124" s="17">
        <v>0.6644000000000001</v>
      </c>
      <c r="L124" s="17">
        <v>1.268</v>
      </c>
      <c r="M124" s="17">
        <v>1.0350000000000004</v>
      </c>
      <c r="N124" s="20">
        <v>1.0350000000000004</v>
      </c>
      <c r="O124" s="20">
        <v>1.0888000000000004</v>
      </c>
      <c r="P124" s="20">
        <v>0.93059999999999987</v>
      </c>
      <c r="Q124" s="20">
        <v>1.2423999999999997</v>
      </c>
      <c r="R124" s="20">
        <v>1.0350000000000004</v>
      </c>
      <c r="S124" s="20">
        <v>1.0350000000000004</v>
      </c>
      <c r="T124" s="18">
        <v>1</v>
      </c>
    </row>
    <row r="125" spans="1:20" x14ac:dyDescent="0.2">
      <c r="A125" s="4">
        <v>1973</v>
      </c>
      <c r="B125" s="52">
        <v>1</v>
      </c>
      <c r="C125" s="22">
        <v>1.1000000000000001</v>
      </c>
      <c r="D125" s="22">
        <v>1.1000000000000001</v>
      </c>
      <c r="E125" s="20">
        <v>1.1424000000000001</v>
      </c>
      <c r="F125" s="20">
        <v>1.0753999999999997</v>
      </c>
      <c r="G125" s="52">
        <v>1</v>
      </c>
      <c r="H125" s="52">
        <v>1</v>
      </c>
      <c r="I125" s="18">
        <v>1</v>
      </c>
      <c r="J125" s="17">
        <v>1.3341750507264722</v>
      </c>
      <c r="K125" s="17">
        <v>0.67180000000000006</v>
      </c>
      <c r="L125" s="17">
        <v>1.26</v>
      </c>
      <c r="M125" s="17">
        <v>1.0340000000000003</v>
      </c>
      <c r="N125" s="20">
        <v>1.0340000000000003</v>
      </c>
      <c r="O125" s="20">
        <v>1.0856000000000003</v>
      </c>
      <c r="P125" s="20">
        <v>0.92919999999999991</v>
      </c>
      <c r="Q125" s="20">
        <v>1.2357999999999998</v>
      </c>
      <c r="R125" s="20">
        <v>1.0340000000000003</v>
      </c>
      <c r="S125" s="20">
        <v>1.0340000000000003</v>
      </c>
      <c r="T125" s="18">
        <v>1</v>
      </c>
    </row>
    <row r="126" spans="1:20" x14ac:dyDescent="0.2">
      <c r="A126" s="4">
        <v>1974</v>
      </c>
      <c r="B126" s="52">
        <v>1</v>
      </c>
      <c r="C126" s="22">
        <v>1.1000000000000001</v>
      </c>
      <c r="D126" s="22">
        <v>1.1000000000000001</v>
      </c>
      <c r="E126" s="20">
        <v>1.1386000000000001</v>
      </c>
      <c r="F126" s="20">
        <v>1.0725999999999998</v>
      </c>
      <c r="G126" s="52">
        <v>1</v>
      </c>
      <c r="H126" s="52">
        <v>1</v>
      </c>
      <c r="I126" s="18">
        <v>1</v>
      </c>
      <c r="J126" s="17">
        <v>1.3439760889389185</v>
      </c>
      <c r="K126" s="17">
        <v>0.67920000000000003</v>
      </c>
      <c r="L126" s="17">
        <v>1.252</v>
      </c>
      <c r="M126" s="17">
        <v>1.0330000000000001</v>
      </c>
      <c r="N126" s="20">
        <v>1.0330000000000001</v>
      </c>
      <c r="O126" s="20">
        <v>1.0824000000000003</v>
      </c>
      <c r="P126" s="20">
        <v>0.92779999999999996</v>
      </c>
      <c r="Q126" s="20">
        <v>1.2291999999999998</v>
      </c>
      <c r="R126" s="20">
        <v>1.0330000000000001</v>
      </c>
      <c r="S126" s="20">
        <v>1.0330000000000001</v>
      </c>
      <c r="T126" s="18">
        <v>1</v>
      </c>
    </row>
    <row r="127" spans="1:20" x14ac:dyDescent="0.2">
      <c r="A127" s="4">
        <v>1975</v>
      </c>
      <c r="B127" s="52">
        <v>1</v>
      </c>
      <c r="C127" s="22">
        <v>1.1000000000000001</v>
      </c>
      <c r="D127" s="22">
        <v>1.1000000000000001</v>
      </c>
      <c r="E127" s="20">
        <v>1.1348</v>
      </c>
      <c r="F127" s="20">
        <v>1.0697999999999999</v>
      </c>
      <c r="G127" s="52">
        <v>1</v>
      </c>
      <c r="H127" s="52">
        <v>1</v>
      </c>
      <c r="I127" s="18">
        <v>1</v>
      </c>
      <c r="J127" s="17">
        <v>1.3534644820331136</v>
      </c>
      <c r="K127" s="17">
        <v>0.68659999999999999</v>
      </c>
      <c r="L127" s="17">
        <v>1.244</v>
      </c>
      <c r="M127" s="17">
        <v>1.032</v>
      </c>
      <c r="N127" s="20">
        <v>1.032</v>
      </c>
      <c r="O127" s="20">
        <v>1.0792000000000002</v>
      </c>
      <c r="P127" s="20">
        <v>0.9264</v>
      </c>
      <c r="Q127" s="20">
        <v>1.2225999999999999</v>
      </c>
      <c r="R127" s="20">
        <v>1.032</v>
      </c>
      <c r="S127" s="20">
        <v>1.032</v>
      </c>
      <c r="T127" s="18">
        <v>1</v>
      </c>
    </row>
    <row r="128" spans="1:20" x14ac:dyDescent="0.2">
      <c r="A128" s="4">
        <v>1976</v>
      </c>
      <c r="B128" s="52">
        <v>1</v>
      </c>
      <c r="C128" s="22">
        <v>1.1000000000000001</v>
      </c>
      <c r="D128" s="22">
        <v>1.1000000000000001</v>
      </c>
      <c r="E128" s="20">
        <v>1.131</v>
      </c>
      <c r="F128" s="20">
        <v>1.0669999999999999</v>
      </c>
      <c r="G128" s="52">
        <v>1</v>
      </c>
      <c r="H128" s="52">
        <v>1</v>
      </c>
      <c r="I128" s="18">
        <v>1</v>
      </c>
      <c r="J128" s="17">
        <v>1.3625958586266365</v>
      </c>
      <c r="K128" s="17">
        <v>0.69399999999999995</v>
      </c>
      <c r="L128" s="17">
        <v>1.236</v>
      </c>
      <c r="M128" s="17">
        <v>1.0309999999999999</v>
      </c>
      <c r="N128" s="20">
        <v>1.0309999999999999</v>
      </c>
      <c r="O128" s="20">
        <v>1.0760000000000001</v>
      </c>
      <c r="P128" s="20">
        <v>0.92500000000000004</v>
      </c>
      <c r="Q128" s="20">
        <v>1.216</v>
      </c>
      <c r="R128" s="20">
        <v>1.0309999999999999</v>
      </c>
      <c r="S128" s="20">
        <v>1.0309999999999999</v>
      </c>
      <c r="T128" s="18">
        <v>1</v>
      </c>
    </row>
    <row r="129" spans="1:20" x14ac:dyDescent="0.2">
      <c r="A129" s="4">
        <v>1977</v>
      </c>
      <c r="B129" s="52">
        <v>1</v>
      </c>
      <c r="C129" s="22">
        <v>1.1000000000000001</v>
      </c>
      <c r="D129" s="22">
        <v>1.1000000000000001</v>
      </c>
      <c r="E129" s="20">
        <v>1.1268</v>
      </c>
      <c r="F129" s="20">
        <v>1.0641999999999996</v>
      </c>
      <c r="G129" s="52">
        <v>1</v>
      </c>
      <c r="H129" s="52">
        <v>1</v>
      </c>
      <c r="I129" s="18">
        <v>1</v>
      </c>
      <c r="J129" s="17">
        <v>1.3713251207471513</v>
      </c>
      <c r="K129" s="17">
        <v>0.70259999999999978</v>
      </c>
      <c r="L129" s="17">
        <v>1.2278</v>
      </c>
      <c r="M129" s="17">
        <v>1.0299999999999996</v>
      </c>
      <c r="N129" s="20">
        <v>1.0299999999999996</v>
      </c>
      <c r="O129" s="20">
        <v>1.0728000000000004</v>
      </c>
      <c r="P129" s="20">
        <v>0.92359999999999987</v>
      </c>
      <c r="Q129" s="20">
        <v>1.2088000000000003</v>
      </c>
      <c r="R129" s="20">
        <v>1.0299999999999996</v>
      </c>
      <c r="S129" s="20">
        <v>1.0299999999999996</v>
      </c>
      <c r="T129" s="18">
        <v>1</v>
      </c>
    </row>
    <row r="130" spans="1:20" x14ac:dyDescent="0.2">
      <c r="A130" s="4">
        <v>1978</v>
      </c>
      <c r="B130" s="52">
        <v>1</v>
      </c>
      <c r="C130" s="22">
        <v>1.1000000000000001</v>
      </c>
      <c r="D130" s="22">
        <v>1.1000000000000001</v>
      </c>
      <c r="E130" s="20">
        <v>1.1226</v>
      </c>
      <c r="F130" s="20">
        <v>1.0613999999999997</v>
      </c>
      <c r="G130" s="52">
        <v>1</v>
      </c>
      <c r="H130" s="52">
        <v>1</v>
      </c>
      <c r="I130" s="18">
        <v>1</v>
      </c>
      <c r="J130" s="17">
        <v>1.3796065593166431</v>
      </c>
      <c r="K130" s="17">
        <v>0.71119999999999983</v>
      </c>
      <c r="L130" s="17">
        <v>1.2196</v>
      </c>
      <c r="M130" s="17">
        <v>1.0289999999999997</v>
      </c>
      <c r="N130" s="20">
        <v>1.0289999999999997</v>
      </c>
      <c r="O130" s="20">
        <v>1.0696000000000003</v>
      </c>
      <c r="P130" s="20">
        <v>0.92219999999999991</v>
      </c>
      <c r="Q130" s="20">
        <v>1.2016000000000002</v>
      </c>
      <c r="R130" s="20">
        <v>1.0289999999999997</v>
      </c>
      <c r="S130" s="20">
        <v>1.0289999999999997</v>
      </c>
      <c r="T130" s="18">
        <v>1</v>
      </c>
    </row>
    <row r="131" spans="1:20" x14ac:dyDescent="0.2">
      <c r="A131" s="4">
        <v>1979</v>
      </c>
      <c r="B131" s="52">
        <v>1</v>
      </c>
      <c r="C131" s="22">
        <v>1.1000000000000001</v>
      </c>
      <c r="D131" s="22">
        <v>1.1000000000000001</v>
      </c>
      <c r="E131" s="20">
        <v>1.1184000000000001</v>
      </c>
      <c r="F131" s="20">
        <v>1.0585999999999998</v>
      </c>
      <c r="G131" s="52">
        <v>1</v>
      </c>
      <c r="H131" s="52">
        <v>1</v>
      </c>
      <c r="I131" s="18">
        <v>1</v>
      </c>
      <c r="J131" s="17">
        <v>1.38739398370662</v>
      </c>
      <c r="K131" s="17">
        <v>0.71979999999999988</v>
      </c>
      <c r="L131" s="17">
        <v>1.2114</v>
      </c>
      <c r="M131" s="17">
        <v>1.0279999999999998</v>
      </c>
      <c r="N131" s="20">
        <v>1.0279999999999998</v>
      </c>
      <c r="O131" s="20">
        <v>1.0664000000000002</v>
      </c>
      <c r="P131" s="20">
        <v>0.92079999999999995</v>
      </c>
      <c r="Q131" s="20">
        <v>1.1944000000000001</v>
      </c>
      <c r="R131" s="20">
        <v>1.0279999999999998</v>
      </c>
      <c r="S131" s="20">
        <v>1.0279999999999998</v>
      </c>
      <c r="T131" s="18">
        <v>1</v>
      </c>
    </row>
    <row r="132" spans="1:20" x14ac:dyDescent="0.2">
      <c r="A132" s="4">
        <v>1980</v>
      </c>
      <c r="B132" s="52">
        <v>1</v>
      </c>
      <c r="C132" s="22">
        <v>1.1000000000000001</v>
      </c>
      <c r="D132" s="22">
        <v>1.1000000000000001</v>
      </c>
      <c r="E132" s="20">
        <v>1.1142000000000001</v>
      </c>
      <c r="F132" s="20">
        <v>1.0557999999999998</v>
      </c>
      <c r="G132" s="52">
        <v>1</v>
      </c>
      <c r="H132" s="52">
        <v>1</v>
      </c>
      <c r="I132" s="18">
        <v>1</v>
      </c>
      <c r="J132" s="17">
        <v>1.3946408653987559</v>
      </c>
      <c r="K132" s="17">
        <v>0.72839999999999994</v>
      </c>
      <c r="L132" s="17">
        <v>1.2032</v>
      </c>
      <c r="M132" s="17">
        <v>1.0269999999999999</v>
      </c>
      <c r="N132" s="20">
        <v>1.0269999999999999</v>
      </c>
      <c r="O132" s="20">
        <v>1.0632000000000001</v>
      </c>
      <c r="P132" s="20">
        <v>0.9194</v>
      </c>
      <c r="Q132" s="20">
        <v>1.1872</v>
      </c>
      <c r="R132" s="20">
        <v>1.0269999999999999</v>
      </c>
      <c r="S132" s="20">
        <v>1.0269999999999999</v>
      </c>
      <c r="T132" s="18">
        <v>1</v>
      </c>
    </row>
    <row r="133" spans="1:20" x14ac:dyDescent="0.2">
      <c r="A133" s="4">
        <v>1981</v>
      </c>
      <c r="B133" s="52">
        <v>1</v>
      </c>
      <c r="C133" s="22">
        <v>1.1000000000000001</v>
      </c>
      <c r="D133" s="22">
        <v>1.1000000000000001</v>
      </c>
      <c r="E133" s="20">
        <v>1.1100000000000001</v>
      </c>
      <c r="F133" s="20">
        <v>1.0529999999999999</v>
      </c>
      <c r="G133" s="52">
        <v>1</v>
      </c>
      <c r="H133" s="52">
        <v>1</v>
      </c>
      <c r="I133" s="18">
        <v>1</v>
      </c>
      <c r="J133" s="17">
        <v>1.4013004956746771</v>
      </c>
      <c r="K133" s="17">
        <v>0.73699999999999999</v>
      </c>
      <c r="L133" s="17">
        <v>1.1950000000000001</v>
      </c>
      <c r="M133" s="17">
        <v>1.026</v>
      </c>
      <c r="N133" s="20">
        <v>1.026</v>
      </c>
      <c r="O133" s="20">
        <v>1.06</v>
      </c>
      <c r="P133" s="20">
        <v>0.91800000000000004</v>
      </c>
      <c r="Q133" s="20">
        <v>1.18</v>
      </c>
      <c r="R133" s="20">
        <v>1.026</v>
      </c>
      <c r="S133" s="20">
        <v>1.026</v>
      </c>
      <c r="T133" s="18">
        <v>1</v>
      </c>
    </row>
    <row r="134" spans="1:20" x14ac:dyDescent="0.2">
      <c r="A134" s="4">
        <v>1982</v>
      </c>
      <c r="B134" s="52">
        <v>1</v>
      </c>
      <c r="C134" s="22">
        <v>1.1000000000000001</v>
      </c>
      <c r="D134" s="22">
        <v>1.1000000000000001</v>
      </c>
      <c r="E134" s="20">
        <v>1.1053999999999997</v>
      </c>
      <c r="F134" s="20">
        <v>1.0503999999999998</v>
      </c>
      <c r="G134" s="52">
        <v>1</v>
      </c>
      <c r="H134" s="52">
        <v>1</v>
      </c>
      <c r="I134" s="18">
        <v>1</v>
      </c>
      <c r="J134" s="17">
        <v>1.4073261571332623</v>
      </c>
      <c r="K134" s="17">
        <v>0.74679999999999991</v>
      </c>
      <c r="L134" s="17">
        <v>1.1861999999999997</v>
      </c>
      <c r="M134" s="17">
        <v>1.0248000000000004</v>
      </c>
      <c r="N134" s="20">
        <v>1.0248000000000004</v>
      </c>
      <c r="O134" s="20">
        <v>1.0570000000000004</v>
      </c>
      <c r="P134" s="20">
        <v>0.92199999999999993</v>
      </c>
      <c r="Q134" s="20">
        <v>1.1722000000000001</v>
      </c>
      <c r="R134" s="20">
        <v>1.0248000000000004</v>
      </c>
      <c r="S134" s="20">
        <v>1.0248000000000004</v>
      </c>
      <c r="T134" s="18">
        <v>1</v>
      </c>
    </row>
    <row r="135" spans="1:20" x14ac:dyDescent="0.2">
      <c r="A135" s="4">
        <v>1983</v>
      </c>
      <c r="B135" s="52">
        <v>1</v>
      </c>
      <c r="C135" s="22">
        <v>1.1000000000000001</v>
      </c>
      <c r="D135" s="22">
        <v>1.1000000000000001</v>
      </c>
      <c r="E135" s="20">
        <v>1.1007999999999998</v>
      </c>
      <c r="F135" s="20">
        <v>1.0477999999999998</v>
      </c>
      <c r="G135" s="52">
        <v>1</v>
      </c>
      <c r="H135" s="52">
        <v>1</v>
      </c>
      <c r="I135" s="18">
        <v>1</v>
      </c>
      <c r="J135" s="17">
        <v>1.4126713086980998</v>
      </c>
      <c r="K135" s="17">
        <v>0.75659999999999994</v>
      </c>
      <c r="L135" s="17">
        <v>1.1773999999999998</v>
      </c>
      <c r="M135" s="17">
        <v>1.0236000000000003</v>
      </c>
      <c r="N135" s="20">
        <v>1.0236000000000003</v>
      </c>
      <c r="O135" s="20">
        <v>1.0540000000000003</v>
      </c>
      <c r="P135" s="20">
        <v>0.92599999999999993</v>
      </c>
      <c r="Q135" s="20">
        <v>1.1644000000000001</v>
      </c>
      <c r="R135" s="20">
        <v>1.0236000000000003</v>
      </c>
      <c r="S135" s="20">
        <v>1.0236000000000003</v>
      </c>
      <c r="T135" s="18">
        <v>1</v>
      </c>
    </row>
    <row r="136" spans="1:20" x14ac:dyDescent="0.2">
      <c r="A136" s="4">
        <v>1984</v>
      </c>
      <c r="B136" s="52">
        <v>1</v>
      </c>
      <c r="C136" s="22">
        <v>1.1000000000000001</v>
      </c>
      <c r="D136" s="22">
        <v>1.1000000000000001</v>
      </c>
      <c r="E136" s="20">
        <v>1.0961999999999998</v>
      </c>
      <c r="F136" s="20">
        <v>1.0451999999999999</v>
      </c>
      <c r="G136" s="52">
        <v>1</v>
      </c>
      <c r="H136" s="52">
        <v>1</v>
      </c>
      <c r="I136" s="18">
        <v>1</v>
      </c>
      <c r="J136" s="17">
        <v>1.4172897836334766</v>
      </c>
      <c r="K136" s="17">
        <v>0.76639999999999997</v>
      </c>
      <c r="L136" s="17">
        <v>1.1685999999999999</v>
      </c>
      <c r="M136" s="17">
        <v>1.0224000000000002</v>
      </c>
      <c r="N136" s="20">
        <v>1.0224000000000002</v>
      </c>
      <c r="O136" s="20">
        <v>1.0510000000000002</v>
      </c>
      <c r="P136" s="20">
        <v>0.92999999999999994</v>
      </c>
      <c r="Q136" s="20">
        <v>1.1566000000000001</v>
      </c>
      <c r="R136" s="20">
        <v>1.0224000000000002</v>
      </c>
      <c r="S136" s="20">
        <v>1.0224000000000002</v>
      </c>
      <c r="T136" s="18">
        <v>1</v>
      </c>
    </row>
    <row r="137" spans="1:20" x14ac:dyDescent="0.2">
      <c r="A137" s="4">
        <v>1985</v>
      </c>
      <c r="B137" s="52">
        <v>1</v>
      </c>
      <c r="C137" s="22">
        <v>1.1000000000000001</v>
      </c>
      <c r="D137" s="22">
        <v>1.1000000000000001</v>
      </c>
      <c r="E137" s="20">
        <v>1.0915999999999999</v>
      </c>
      <c r="F137" s="20">
        <v>1.0426</v>
      </c>
      <c r="G137" s="52">
        <v>1</v>
      </c>
      <c r="H137" s="52">
        <v>1</v>
      </c>
      <c r="I137" s="18">
        <v>1</v>
      </c>
      <c r="J137" s="17">
        <v>1.4211359999331863</v>
      </c>
      <c r="K137" s="17">
        <v>0.7762</v>
      </c>
      <c r="L137" s="17">
        <v>1.1597999999999999</v>
      </c>
      <c r="M137" s="17">
        <v>1.0212000000000001</v>
      </c>
      <c r="N137" s="20">
        <v>1.0212000000000001</v>
      </c>
      <c r="O137" s="20">
        <v>1.048</v>
      </c>
      <c r="P137" s="20">
        <v>0.93399999999999994</v>
      </c>
      <c r="Q137" s="20">
        <v>1.1488</v>
      </c>
      <c r="R137" s="20">
        <v>1.0212000000000001</v>
      </c>
      <c r="S137" s="20">
        <v>1.0212000000000001</v>
      </c>
      <c r="T137" s="18">
        <v>1</v>
      </c>
    </row>
    <row r="138" spans="1:20" x14ac:dyDescent="0.2">
      <c r="A138" s="4">
        <v>1986</v>
      </c>
      <c r="B138" s="52">
        <v>1</v>
      </c>
      <c r="C138" s="22">
        <v>1.1000000000000001</v>
      </c>
      <c r="D138" s="22">
        <v>1.1000000000000001</v>
      </c>
      <c r="E138" s="20">
        <v>1.087</v>
      </c>
      <c r="F138" s="20">
        <v>1.04</v>
      </c>
      <c r="G138" s="52">
        <v>1</v>
      </c>
      <c r="H138" s="52">
        <v>1</v>
      </c>
      <c r="I138" s="18">
        <v>1</v>
      </c>
      <c r="J138" s="17">
        <v>1.4241651822844636</v>
      </c>
      <c r="K138" s="17">
        <v>0.78600000000000003</v>
      </c>
      <c r="L138" s="17">
        <v>1.151</v>
      </c>
      <c r="M138" s="17">
        <v>1.02</v>
      </c>
      <c r="N138" s="20">
        <v>1.02</v>
      </c>
      <c r="O138" s="20">
        <v>1.0449999999999999</v>
      </c>
      <c r="P138" s="20">
        <v>0.93799999999999994</v>
      </c>
      <c r="Q138" s="20">
        <v>1.141</v>
      </c>
      <c r="R138" s="20">
        <v>1.02</v>
      </c>
      <c r="S138" s="20">
        <v>1.02</v>
      </c>
      <c r="T138" s="18">
        <v>1</v>
      </c>
    </row>
    <row r="139" spans="1:20" x14ac:dyDescent="0.2">
      <c r="A139" s="4">
        <v>1987</v>
      </c>
      <c r="B139" s="52">
        <v>1</v>
      </c>
      <c r="C139" s="22">
        <v>1.1000000000000001</v>
      </c>
      <c r="D139" s="22">
        <v>1.1000000000000001</v>
      </c>
      <c r="E139" s="20">
        <v>1.0818000000000003</v>
      </c>
      <c r="F139" s="20">
        <v>1.0371999999999997</v>
      </c>
      <c r="G139" s="52">
        <v>1</v>
      </c>
      <c r="H139" s="52">
        <v>1</v>
      </c>
      <c r="I139" s="18">
        <v>1</v>
      </c>
      <c r="J139" s="17">
        <v>1.4263335946419227</v>
      </c>
      <c r="K139" s="17">
        <v>0.7976000000000002</v>
      </c>
      <c r="L139" s="17">
        <v>1.1418000000000004</v>
      </c>
      <c r="M139" s="17">
        <v>1.0188000000000004</v>
      </c>
      <c r="N139" s="20">
        <v>1.0188000000000004</v>
      </c>
      <c r="O139" s="20">
        <v>1.0419999999999996</v>
      </c>
      <c r="P139" s="20">
        <v>0.94199999999999995</v>
      </c>
      <c r="Q139" s="20">
        <v>1.1325999999999998</v>
      </c>
      <c r="R139" s="20">
        <v>1.0188000000000004</v>
      </c>
      <c r="S139" s="20">
        <v>1.0188000000000004</v>
      </c>
      <c r="T139" s="18">
        <v>1</v>
      </c>
    </row>
    <row r="140" spans="1:20" x14ac:dyDescent="0.2">
      <c r="A140" s="4">
        <v>1988</v>
      </c>
      <c r="B140" s="52">
        <v>1</v>
      </c>
      <c r="C140" s="22">
        <v>1.1000000000000001</v>
      </c>
      <c r="D140" s="22">
        <v>1.1000000000000001</v>
      </c>
      <c r="E140" s="20">
        <v>1.0766000000000002</v>
      </c>
      <c r="F140" s="20">
        <v>1.0343999999999998</v>
      </c>
      <c r="G140" s="52">
        <v>1</v>
      </c>
      <c r="H140" s="52">
        <v>1</v>
      </c>
      <c r="I140" s="18">
        <v>1</v>
      </c>
      <c r="J140" s="17">
        <v>1.4275987822728362</v>
      </c>
      <c r="K140" s="17">
        <v>0.80920000000000014</v>
      </c>
      <c r="L140" s="17">
        <v>1.1326000000000003</v>
      </c>
      <c r="M140" s="17">
        <v>1.0176000000000003</v>
      </c>
      <c r="N140" s="20">
        <v>1.0176000000000003</v>
      </c>
      <c r="O140" s="20">
        <v>1.0389999999999997</v>
      </c>
      <c r="P140" s="20">
        <v>0.94599999999999995</v>
      </c>
      <c r="Q140" s="20">
        <v>1.1241999999999999</v>
      </c>
      <c r="R140" s="20">
        <v>1.0176000000000003</v>
      </c>
      <c r="S140" s="20">
        <v>1.0176000000000003</v>
      </c>
      <c r="T140" s="18">
        <v>1</v>
      </c>
    </row>
    <row r="141" spans="1:20" x14ac:dyDescent="0.2">
      <c r="A141" s="4">
        <v>1989</v>
      </c>
      <c r="B141" s="52">
        <v>1</v>
      </c>
      <c r="C141" s="22">
        <v>1.1000000000000001</v>
      </c>
      <c r="D141" s="22">
        <v>1.1000000000000001</v>
      </c>
      <c r="E141" s="20">
        <v>1.0714000000000001</v>
      </c>
      <c r="F141" s="20">
        <v>1.0315999999999999</v>
      </c>
      <c r="G141" s="52">
        <v>1</v>
      </c>
      <c r="H141" s="52">
        <v>1</v>
      </c>
      <c r="I141" s="18">
        <v>1</v>
      </c>
      <c r="J141" s="17">
        <v>1.4279198219602844</v>
      </c>
      <c r="K141" s="17">
        <v>0.82080000000000009</v>
      </c>
      <c r="L141" s="17">
        <v>1.1234000000000002</v>
      </c>
      <c r="M141" s="17">
        <v>1.0164000000000002</v>
      </c>
      <c r="N141" s="20">
        <v>1.0164000000000002</v>
      </c>
      <c r="O141" s="20">
        <v>1.0359999999999998</v>
      </c>
      <c r="P141" s="20">
        <v>0.95</v>
      </c>
      <c r="Q141" s="20">
        <v>1.1157999999999999</v>
      </c>
      <c r="R141" s="20">
        <v>1.0164000000000002</v>
      </c>
      <c r="S141" s="20">
        <v>1.0164000000000002</v>
      </c>
      <c r="T141" s="18">
        <v>1</v>
      </c>
    </row>
    <row r="142" spans="1:20" x14ac:dyDescent="0.2">
      <c r="A142" s="4">
        <v>1990</v>
      </c>
      <c r="B142" s="52">
        <v>1</v>
      </c>
      <c r="C142" s="22">
        <v>1.1000000000000001</v>
      </c>
      <c r="D142" s="22">
        <v>1.1000000000000001</v>
      </c>
      <c r="E142" s="20">
        <v>1.0662</v>
      </c>
      <c r="F142" s="20">
        <v>1.0287999999999999</v>
      </c>
      <c r="G142" s="52">
        <v>1</v>
      </c>
      <c r="H142" s="52">
        <v>1</v>
      </c>
      <c r="I142" s="18">
        <v>1</v>
      </c>
      <c r="J142" s="17">
        <v>1.4272575788738746</v>
      </c>
      <c r="K142" s="17">
        <v>0.83240000000000003</v>
      </c>
      <c r="L142" s="17">
        <v>1.1142000000000001</v>
      </c>
      <c r="M142" s="17">
        <v>1.0152000000000001</v>
      </c>
      <c r="N142" s="20">
        <v>1.0152000000000001</v>
      </c>
      <c r="O142" s="20">
        <v>1.0329999999999999</v>
      </c>
      <c r="P142" s="20">
        <v>0.95399999999999996</v>
      </c>
      <c r="Q142" s="20">
        <v>1.1073999999999999</v>
      </c>
      <c r="R142" s="20">
        <v>1.0152000000000001</v>
      </c>
      <c r="S142" s="20">
        <v>1.0152000000000001</v>
      </c>
      <c r="T142" s="18">
        <v>1</v>
      </c>
    </row>
    <row r="143" spans="1:20" x14ac:dyDescent="0.2">
      <c r="A143" s="4">
        <v>1991</v>
      </c>
      <c r="B143" s="52">
        <v>1</v>
      </c>
      <c r="C143" s="22">
        <v>1.1000000000000001</v>
      </c>
      <c r="D143" s="22">
        <v>1.1000000000000001</v>
      </c>
      <c r="E143" s="20">
        <v>1.0609999999999999</v>
      </c>
      <c r="F143" s="20">
        <v>1.026</v>
      </c>
      <c r="G143" s="52">
        <v>1</v>
      </c>
      <c r="H143" s="52">
        <v>1</v>
      </c>
      <c r="I143" s="18">
        <v>1</v>
      </c>
      <c r="J143" s="17">
        <v>1.6333631065324672</v>
      </c>
      <c r="K143" s="17">
        <v>0.84399999999999997</v>
      </c>
      <c r="L143" s="17">
        <v>1.105</v>
      </c>
      <c r="M143" s="17">
        <v>1.014</v>
      </c>
      <c r="N143" s="20">
        <v>1.014</v>
      </c>
      <c r="O143" s="20">
        <v>1.03</v>
      </c>
      <c r="P143" s="20">
        <v>0.95799999999999996</v>
      </c>
      <c r="Q143" s="20">
        <v>1.099</v>
      </c>
      <c r="R143" s="20">
        <v>1.014</v>
      </c>
      <c r="S143" s="20">
        <v>1.014</v>
      </c>
      <c r="T143" s="18">
        <v>1</v>
      </c>
    </row>
    <row r="144" spans="1:20" x14ac:dyDescent="0.2">
      <c r="A144" s="4">
        <v>1992</v>
      </c>
      <c r="B144" s="52">
        <v>1</v>
      </c>
      <c r="C144" s="22">
        <v>1.1000000000000001</v>
      </c>
      <c r="D144" s="22">
        <v>1.1000000000000001</v>
      </c>
      <c r="E144" s="20">
        <v>1.0554000000000001</v>
      </c>
      <c r="F144" s="20">
        <v>1.0233999999999996</v>
      </c>
      <c r="G144" s="52">
        <v>1</v>
      </c>
      <c r="H144" s="52">
        <v>1</v>
      </c>
      <c r="I144" s="18">
        <v>1</v>
      </c>
      <c r="J144" s="17">
        <v>1.6302263125231271</v>
      </c>
      <c r="K144" s="17">
        <v>0.8577999999999999</v>
      </c>
      <c r="L144" s="17">
        <v>1.095</v>
      </c>
      <c r="M144" s="17">
        <v>1.0126000000000002</v>
      </c>
      <c r="N144" s="20">
        <v>1.0126000000000002</v>
      </c>
      <c r="O144" s="20">
        <v>1.0270000000000004</v>
      </c>
      <c r="P144" s="20">
        <v>0.96220000000000006</v>
      </c>
      <c r="Q144" s="20">
        <v>1.0896000000000003</v>
      </c>
      <c r="R144" s="20">
        <v>1.0126000000000002</v>
      </c>
      <c r="S144" s="20">
        <v>1.0126000000000002</v>
      </c>
      <c r="T144" s="18">
        <v>1</v>
      </c>
    </row>
    <row r="145" spans="1:20" x14ac:dyDescent="0.2">
      <c r="A145" s="4">
        <v>1993</v>
      </c>
      <c r="B145" s="52">
        <v>1</v>
      </c>
      <c r="C145" s="22">
        <v>1.1000000000000001</v>
      </c>
      <c r="D145" s="22">
        <v>1.1000000000000001</v>
      </c>
      <c r="E145" s="20">
        <v>1.0498000000000001</v>
      </c>
      <c r="F145" s="20">
        <v>1.0207999999999997</v>
      </c>
      <c r="G145" s="52">
        <v>1</v>
      </c>
      <c r="H145" s="52">
        <v>1</v>
      </c>
      <c r="I145" s="18">
        <v>1</v>
      </c>
      <c r="J145" s="17">
        <v>1.6258437085316193</v>
      </c>
      <c r="K145" s="17">
        <v>0.87159999999999993</v>
      </c>
      <c r="L145" s="17">
        <v>1.085</v>
      </c>
      <c r="M145" s="17">
        <v>1.0112000000000001</v>
      </c>
      <c r="N145" s="20">
        <v>1.0112000000000001</v>
      </c>
      <c r="O145" s="20">
        <v>1.0240000000000002</v>
      </c>
      <c r="P145" s="20">
        <v>0.96640000000000004</v>
      </c>
      <c r="Q145" s="20">
        <v>1.0802000000000003</v>
      </c>
      <c r="R145" s="20">
        <v>1.0112000000000001</v>
      </c>
      <c r="S145" s="20">
        <v>1.0112000000000001</v>
      </c>
      <c r="T145" s="18">
        <v>1</v>
      </c>
    </row>
    <row r="146" spans="1:20" x14ac:dyDescent="0.2">
      <c r="A146" s="4">
        <v>1994</v>
      </c>
      <c r="B146" s="52">
        <v>1</v>
      </c>
      <c r="C146" s="22">
        <v>1.1000000000000001</v>
      </c>
      <c r="D146" s="22">
        <v>1.1000000000000001</v>
      </c>
      <c r="E146" s="20">
        <v>1.0442</v>
      </c>
      <c r="F146" s="20">
        <v>1.0181999999999998</v>
      </c>
      <c r="G146" s="52">
        <v>1</v>
      </c>
      <c r="H146" s="52">
        <v>1</v>
      </c>
      <c r="I146" s="18">
        <v>1</v>
      </c>
      <c r="J146" s="17">
        <v>1.6201816768483666</v>
      </c>
      <c r="K146" s="17">
        <v>0.88539999999999996</v>
      </c>
      <c r="L146" s="17">
        <v>1.075</v>
      </c>
      <c r="M146" s="17">
        <v>1.0098</v>
      </c>
      <c r="N146" s="20">
        <v>1.0098</v>
      </c>
      <c r="O146" s="20">
        <v>1.0210000000000001</v>
      </c>
      <c r="P146" s="20">
        <v>0.97060000000000002</v>
      </c>
      <c r="Q146" s="20">
        <v>1.0708000000000002</v>
      </c>
      <c r="R146" s="20">
        <v>1.0098</v>
      </c>
      <c r="S146" s="20">
        <v>1.0098</v>
      </c>
      <c r="T146" s="18">
        <v>1</v>
      </c>
    </row>
    <row r="147" spans="1:20" x14ac:dyDescent="0.2">
      <c r="A147" s="4">
        <v>1995</v>
      </c>
      <c r="B147" s="52">
        <v>1</v>
      </c>
      <c r="C147" s="22">
        <v>1.1000000000000001</v>
      </c>
      <c r="D147" s="22">
        <v>1.1000000000000001</v>
      </c>
      <c r="E147" s="20">
        <v>1.0386</v>
      </c>
      <c r="F147" s="20">
        <v>1.0155999999999998</v>
      </c>
      <c r="G147" s="52">
        <v>1</v>
      </c>
      <c r="H147" s="52">
        <v>1</v>
      </c>
      <c r="I147" s="18">
        <v>1</v>
      </c>
      <c r="J147" s="17">
        <v>1.6132101615423777</v>
      </c>
      <c r="K147" s="17">
        <v>0.8992</v>
      </c>
      <c r="L147" s="17">
        <v>1.0649999999999999</v>
      </c>
      <c r="M147" s="17">
        <v>1.0084</v>
      </c>
      <c r="N147" s="20">
        <v>1.0084</v>
      </c>
      <c r="O147" s="20">
        <v>1.018</v>
      </c>
      <c r="P147" s="20">
        <v>0.9748</v>
      </c>
      <c r="Q147" s="20">
        <v>1.0614000000000001</v>
      </c>
      <c r="R147" s="20">
        <v>1.0084</v>
      </c>
      <c r="S147" s="20">
        <v>1.0084</v>
      </c>
      <c r="T147" s="18">
        <v>1</v>
      </c>
    </row>
    <row r="148" spans="1:20" x14ac:dyDescent="0.2">
      <c r="A148" s="4">
        <v>1996</v>
      </c>
      <c r="B148" s="52">
        <v>1</v>
      </c>
      <c r="C148" s="22">
        <v>1</v>
      </c>
      <c r="D148" s="22">
        <v>1</v>
      </c>
      <c r="E148" s="20">
        <v>1.0329999999999999</v>
      </c>
      <c r="F148" s="20">
        <v>1.0129999999999999</v>
      </c>
      <c r="G148" s="52">
        <v>1</v>
      </c>
      <c r="H148" s="52">
        <v>1</v>
      </c>
      <c r="I148" s="18">
        <v>1</v>
      </c>
      <c r="J148" s="17">
        <v>1.604902962046274</v>
      </c>
      <c r="K148" s="17">
        <v>0.91300000000000003</v>
      </c>
      <c r="L148" s="17">
        <v>1.0549999999999999</v>
      </c>
      <c r="M148" s="17">
        <v>1.0069999999999999</v>
      </c>
      <c r="N148" s="20">
        <v>1.0069999999999999</v>
      </c>
      <c r="O148" s="20">
        <v>1.0149999999999999</v>
      </c>
      <c r="P148" s="20">
        <v>0.97899999999999998</v>
      </c>
      <c r="Q148" s="20">
        <v>1.052</v>
      </c>
      <c r="R148" s="20">
        <v>1.0069999999999999</v>
      </c>
      <c r="S148" s="20">
        <v>1.0069999999999999</v>
      </c>
      <c r="T148" s="18">
        <v>1</v>
      </c>
    </row>
    <row r="149" spans="1:20" x14ac:dyDescent="0.2">
      <c r="A149" s="4">
        <v>1997</v>
      </c>
      <c r="B149" s="52">
        <v>1</v>
      </c>
      <c r="C149" s="22">
        <v>1</v>
      </c>
      <c r="D149" s="22">
        <v>1</v>
      </c>
      <c r="E149" s="20">
        <v>1.0263999999999998</v>
      </c>
      <c r="F149" s="20">
        <v>1.0103999999999997</v>
      </c>
      <c r="G149" s="52">
        <v>1</v>
      </c>
      <c r="H149" s="52">
        <v>1</v>
      </c>
      <c r="I149" s="18">
        <v>1</v>
      </c>
      <c r="J149" s="17">
        <v>1.5952380173106884</v>
      </c>
      <c r="K149" s="17">
        <v>0.93040000000000012</v>
      </c>
      <c r="L149" s="17">
        <v>1.0439999999999996</v>
      </c>
      <c r="M149" s="17">
        <v>1.0056000000000003</v>
      </c>
      <c r="N149" s="20">
        <v>1.0056000000000003</v>
      </c>
      <c r="O149" s="20">
        <v>1.0119999999999996</v>
      </c>
      <c r="P149" s="20">
        <v>0.98320000000000007</v>
      </c>
      <c r="Q149" s="20">
        <v>1.0415999999999999</v>
      </c>
      <c r="R149" s="20">
        <v>1.0056000000000003</v>
      </c>
      <c r="S149" s="20">
        <v>1.0056000000000003</v>
      </c>
      <c r="T149" s="18">
        <v>1</v>
      </c>
    </row>
    <row r="150" spans="1:20" x14ac:dyDescent="0.2">
      <c r="A150" s="4">
        <v>1998</v>
      </c>
      <c r="B150" s="52">
        <v>1</v>
      </c>
      <c r="C150" s="22">
        <v>1</v>
      </c>
      <c r="D150" s="22">
        <v>1</v>
      </c>
      <c r="E150" s="20">
        <v>1.0197999999999998</v>
      </c>
      <c r="F150" s="20">
        <v>1.0077999999999998</v>
      </c>
      <c r="G150" s="52">
        <v>1</v>
      </c>
      <c r="H150" s="52">
        <v>1</v>
      </c>
      <c r="I150" s="18">
        <v>1</v>
      </c>
      <c r="J150" s="17">
        <v>1.5841976775350191</v>
      </c>
      <c r="K150" s="17">
        <v>0.94780000000000009</v>
      </c>
      <c r="L150" s="17">
        <v>1.0329999999999997</v>
      </c>
      <c r="M150" s="17">
        <v>1.0042000000000002</v>
      </c>
      <c r="N150" s="20">
        <v>1.0042000000000002</v>
      </c>
      <c r="O150" s="20">
        <v>1.0089999999999997</v>
      </c>
      <c r="P150" s="20">
        <v>0.98740000000000006</v>
      </c>
      <c r="Q150" s="20">
        <v>1.0311999999999999</v>
      </c>
      <c r="R150" s="20">
        <v>1.0042000000000002</v>
      </c>
      <c r="S150" s="20">
        <v>1.0042000000000002</v>
      </c>
      <c r="T150" s="18">
        <v>1</v>
      </c>
    </row>
    <row r="151" spans="1:20" x14ac:dyDescent="0.2">
      <c r="A151" s="4">
        <v>1999</v>
      </c>
      <c r="B151" s="52">
        <v>1</v>
      </c>
      <c r="C151" s="22">
        <v>1</v>
      </c>
      <c r="D151" s="22">
        <v>1</v>
      </c>
      <c r="E151" s="20">
        <v>1.0131999999999999</v>
      </c>
      <c r="F151" s="20">
        <v>1.0051999999999999</v>
      </c>
      <c r="G151" s="52">
        <v>1</v>
      </c>
      <c r="H151" s="52">
        <v>1</v>
      </c>
      <c r="I151" s="18">
        <v>1</v>
      </c>
      <c r="J151" s="17">
        <v>1.5717689604123055</v>
      </c>
      <c r="K151" s="17">
        <v>0.96520000000000006</v>
      </c>
      <c r="L151" s="17">
        <v>1.0219999999999998</v>
      </c>
      <c r="M151" s="17">
        <v>1.0028000000000001</v>
      </c>
      <c r="N151" s="20">
        <v>1.0028000000000001</v>
      </c>
      <c r="O151" s="20">
        <v>1.0059999999999998</v>
      </c>
      <c r="P151" s="20">
        <v>0.99160000000000004</v>
      </c>
      <c r="Q151" s="20">
        <v>1.0207999999999999</v>
      </c>
      <c r="R151" s="20">
        <v>1.0028000000000001</v>
      </c>
      <c r="S151" s="20">
        <v>1.0028000000000001</v>
      </c>
      <c r="T151" s="18">
        <v>1</v>
      </c>
    </row>
    <row r="152" spans="1:20" x14ac:dyDescent="0.2">
      <c r="A152" s="4">
        <v>2000</v>
      </c>
      <c r="B152" s="52">
        <v>1</v>
      </c>
      <c r="C152" s="22">
        <v>1</v>
      </c>
      <c r="D152" s="22">
        <v>1</v>
      </c>
      <c r="E152" s="20">
        <v>1.0065999999999999</v>
      </c>
      <c r="F152" s="20">
        <v>1.0025999999999999</v>
      </c>
      <c r="G152" s="52">
        <v>1</v>
      </c>
      <c r="H152" s="52">
        <v>1</v>
      </c>
      <c r="I152" s="18">
        <v>1</v>
      </c>
      <c r="J152" s="17">
        <v>1.5579437887884575</v>
      </c>
      <c r="K152" s="17">
        <v>0.98260000000000003</v>
      </c>
      <c r="L152" s="17">
        <v>1.0109999999999999</v>
      </c>
      <c r="M152" s="17">
        <v>1.0014000000000001</v>
      </c>
      <c r="N152" s="20">
        <v>1.0014000000000001</v>
      </c>
      <c r="O152" s="20">
        <v>1.0029999999999999</v>
      </c>
      <c r="P152" s="20">
        <v>0.99580000000000002</v>
      </c>
      <c r="Q152" s="20">
        <v>1.0104</v>
      </c>
      <c r="R152" s="20">
        <v>1.0014000000000001</v>
      </c>
      <c r="S152" s="20">
        <v>1.0014000000000001</v>
      </c>
      <c r="T152" s="18">
        <v>1</v>
      </c>
    </row>
    <row r="153" spans="1:20" x14ac:dyDescent="0.2">
      <c r="A153" s="4">
        <v>2001</v>
      </c>
      <c r="B153" s="52">
        <v>1</v>
      </c>
      <c r="C153" s="22">
        <v>0.9</v>
      </c>
      <c r="D153" s="22">
        <v>0.9</v>
      </c>
      <c r="E153" s="20">
        <v>1</v>
      </c>
      <c r="F153" s="20">
        <v>1</v>
      </c>
      <c r="G153" s="52">
        <v>1</v>
      </c>
      <c r="H153" s="52">
        <v>1</v>
      </c>
      <c r="I153" s="18">
        <v>1</v>
      </c>
      <c r="J153" s="17">
        <v>1.5427261735780973</v>
      </c>
      <c r="K153" s="17">
        <v>1</v>
      </c>
      <c r="L153" s="17">
        <v>1</v>
      </c>
      <c r="M153" s="17">
        <v>1</v>
      </c>
      <c r="N153" s="20">
        <v>1</v>
      </c>
      <c r="O153" s="20">
        <v>1</v>
      </c>
      <c r="P153" s="20">
        <v>1</v>
      </c>
      <c r="Q153" s="20">
        <v>1</v>
      </c>
      <c r="R153" s="20">
        <v>1</v>
      </c>
      <c r="S153" s="20">
        <v>1</v>
      </c>
      <c r="T153" s="18">
        <v>1</v>
      </c>
    </row>
    <row r="154" spans="1:20" x14ac:dyDescent="0.2">
      <c r="A154" s="4">
        <v>2002</v>
      </c>
      <c r="B154" s="52">
        <v>1</v>
      </c>
      <c r="C154" s="22">
        <v>0.9</v>
      </c>
      <c r="D154" s="22">
        <v>0.9</v>
      </c>
      <c r="E154" s="20">
        <v>0.99299999999999999</v>
      </c>
      <c r="F154" s="20">
        <v>0.997</v>
      </c>
      <c r="G154" s="52">
        <v>1</v>
      </c>
      <c r="H154" s="52">
        <v>1</v>
      </c>
      <c r="I154" s="18">
        <v>1</v>
      </c>
      <c r="J154" s="17">
        <v>1.5261527061771123</v>
      </c>
      <c r="K154" s="17">
        <v>1.02</v>
      </c>
      <c r="L154" s="17">
        <v>0.98799999999999999</v>
      </c>
      <c r="M154" s="17">
        <v>0.998</v>
      </c>
      <c r="N154" s="20">
        <v>0.998</v>
      </c>
      <c r="O154" s="20">
        <v>0.997</v>
      </c>
      <c r="P154" s="20">
        <v>1.004</v>
      </c>
      <c r="Q154" s="20">
        <v>0.98899999999999999</v>
      </c>
      <c r="R154" s="20">
        <v>0.998</v>
      </c>
      <c r="S154" s="20">
        <v>0.998</v>
      </c>
      <c r="T154" s="18">
        <v>1</v>
      </c>
    </row>
    <row r="155" spans="1:20" x14ac:dyDescent="0.2">
      <c r="A155" s="4">
        <v>2003</v>
      </c>
      <c r="B155" s="52">
        <v>1</v>
      </c>
      <c r="C155" s="22">
        <v>0.9</v>
      </c>
      <c r="D155" s="22">
        <v>0.9</v>
      </c>
      <c r="E155" s="20">
        <v>0.98499999999999999</v>
      </c>
      <c r="F155" s="20">
        <v>0.995</v>
      </c>
      <c r="G155" s="52">
        <v>1</v>
      </c>
      <c r="H155" s="52">
        <v>1</v>
      </c>
      <c r="I155" s="18">
        <v>1</v>
      </c>
      <c r="J155" s="17">
        <v>1.5082706072804042</v>
      </c>
      <c r="K155" s="17">
        <v>1.0409999999999999</v>
      </c>
      <c r="L155" s="17">
        <v>0.97699999999999998</v>
      </c>
      <c r="M155" s="17">
        <v>0.997</v>
      </c>
      <c r="N155" s="20">
        <v>0.997</v>
      </c>
      <c r="O155" s="20">
        <v>0.99399999999999999</v>
      </c>
      <c r="P155" s="20">
        <v>1.0089999999999999</v>
      </c>
      <c r="Q155" s="20">
        <v>0.97699999999999998</v>
      </c>
      <c r="R155" s="20">
        <v>0.997</v>
      </c>
      <c r="S155" s="20">
        <v>0.997</v>
      </c>
      <c r="T155" s="18">
        <v>1</v>
      </c>
    </row>
    <row r="156" spans="1:20" x14ac:dyDescent="0.2">
      <c r="A156" s="4">
        <v>2004</v>
      </c>
      <c r="B156" s="52">
        <v>1</v>
      </c>
      <c r="C156" s="22">
        <v>0.9</v>
      </c>
      <c r="D156" s="22">
        <v>0.9</v>
      </c>
      <c r="E156" s="20">
        <v>0.97799999999999998</v>
      </c>
      <c r="F156" s="20">
        <v>0.99199999999999999</v>
      </c>
      <c r="G156" s="52">
        <v>1</v>
      </c>
      <c r="H156" s="52">
        <v>1</v>
      </c>
      <c r="I156" s="18">
        <v>1</v>
      </c>
      <c r="J156" s="17">
        <v>1.489130404920842</v>
      </c>
      <c r="K156" s="17">
        <v>1.0640000000000001</v>
      </c>
      <c r="L156" s="17">
        <v>0.96399999999999997</v>
      </c>
      <c r="M156" s="17">
        <v>0.995</v>
      </c>
      <c r="N156" s="20">
        <v>0.995</v>
      </c>
      <c r="O156" s="20">
        <v>0.99099999999999999</v>
      </c>
      <c r="P156" s="20">
        <v>1.0129999999999999</v>
      </c>
      <c r="Q156" s="20">
        <v>0.96499999999999997</v>
      </c>
      <c r="R156" s="20">
        <v>0.995</v>
      </c>
      <c r="S156" s="20">
        <v>0.995</v>
      </c>
      <c r="T156" s="18">
        <v>1</v>
      </c>
    </row>
    <row r="157" spans="1:20" x14ac:dyDescent="0.2">
      <c r="A157" s="4">
        <v>2005</v>
      </c>
      <c r="B157" s="52">
        <v>1</v>
      </c>
      <c r="C157" s="22">
        <v>0.9</v>
      </c>
      <c r="D157" s="22">
        <v>0.9</v>
      </c>
      <c r="E157" s="20">
        <v>0.97</v>
      </c>
      <c r="F157" s="20">
        <v>0.99</v>
      </c>
      <c r="G157" s="52">
        <v>1</v>
      </c>
      <c r="H157" s="52">
        <v>1</v>
      </c>
      <c r="I157" s="18">
        <v>1</v>
      </c>
      <c r="J157" s="17">
        <v>1.4687856969943209</v>
      </c>
      <c r="K157" s="17">
        <v>1.0880000000000001</v>
      </c>
      <c r="L157" s="17">
        <v>0.95199999999999996</v>
      </c>
      <c r="M157" s="17">
        <v>0.99299999999999999</v>
      </c>
      <c r="N157" s="20">
        <v>0.99299999999999999</v>
      </c>
      <c r="O157" s="20">
        <v>0.98799999999999999</v>
      </c>
      <c r="P157" s="20">
        <v>1.0169999999999999</v>
      </c>
      <c r="Q157" s="20">
        <v>0.95299999999999996</v>
      </c>
      <c r="R157" s="20">
        <v>0.99299999999999999</v>
      </c>
      <c r="S157" s="20">
        <v>0.99299999999999999</v>
      </c>
      <c r="T157" s="18">
        <v>1</v>
      </c>
    </row>
    <row r="158" spans="1:20" x14ac:dyDescent="0.2">
      <c r="A158" s="4">
        <v>2006</v>
      </c>
      <c r="B158" s="52">
        <v>1</v>
      </c>
      <c r="C158" s="22">
        <v>0.8</v>
      </c>
      <c r="D158" s="22">
        <v>0.8</v>
      </c>
      <c r="E158" s="20">
        <v>0.96199999999999997</v>
      </c>
      <c r="F158" s="20">
        <v>0.98699999999999999</v>
      </c>
      <c r="G158" s="52">
        <v>1</v>
      </c>
      <c r="H158" s="52">
        <v>1</v>
      </c>
      <c r="I158" s="18">
        <v>1</v>
      </c>
      <c r="J158" s="17">
        <v>1.447292901730407</v>
      </c>
      <c r="K158" s="17">
        <v>1.113</v>
      </c>
      <c r="L158" s="17">
        <v>0.93899999999999995</v>
      </c>
      <c r="M158" s="17">
        <v>0.99199999999999999</v>
      </c>
      <c r="N158" s="20">
        <v>0.99199999999999999</v>
      </c>
      <c r="O158" s="20">
        <v>0.98499999999999999</v>
      </c>
      <c r="P158" s="20">
        <v>1.022</v>
      </c>
      <c r="Q158" s="20">
        <v>0.94</v>
      </c>
      <c r="R158" s="20">
        <v>0.99199999999999999</v>
      </c>
      <c r="S158" s="20">
        <v>0.99199999999999999</v>
      </c>
      <c r="T158" s="18">
        <v>1</v>
      </c>
    </row>
    <row r="159" spans="1:20" x14ac:dyDescent="0.2">
      <c r="A159" s="4">
        <v>2007</v>
      </c>
      <c r="B159" s="52">
        <v>1</v>
      </c>
      <c r="C159" s="22">
        <v>0.8</v>
      </c>
      <c r="D159" s="22">
        <v>0.8</v>
      </c>
      <c r="E159" s="20">
        <v>0.95299999999999996</v>
      </c>
      <c r="F159" s="20">
        <v>0.98499999999999999</v>
      </c>
      <c r="G159" s="52">
        <v>1</v>
      </c>
      <c r="H159" s="52">
        <v>1</v>
      </c>
      <c r="I159" s="18">
        <v>1</v>
      </c>
      <c r="J159" s="17">
        <v>1.424710997732141</v>
      </c>
      <c r="K159" s="17">
        <v>1.141</v>
      </c>
      <c r="L159" s="17">
        <v>0.92600000000000005</v>
      </c>
      <c r="M159" s="17">
        <v>0.99</v>
      </c>
      <c r="N159" s="20">
        <v>0.99</v>
      </c>
      <c r="O159" s="20">
        <v>0.98299999999999998</v>
      </c>
      <c r="P159" s="20">
        <v>1.026</v>
      </c>
      <c r="Q159" s="20">
        <v>0.92700000000000005</v>
      </c>
      <c r="R159" s="20">
        <v>0.99</v>
      </c>
      <c r="S159" s="20">
        <v>0.99</v>
      </c>
      <c r="T159" s="18">
        <v>1</v>
      </c>
    </row>
    <row r="160" spans="1:20" x14ac:dyDescent="0.2">
      <c r="A160" s="4">
        <v>2008</v>
      </c>
      <c r="B160" s="52">
        <v>1</v>
      </c>
      <c r="C160" s="22">
        <v>0.8</v>
      </c>
      <c r="D160" s="22">
        <v>0.8</v>
      </c>
      <c r="E160" s="20">
        <v>0.94399999999999995</v>
      </c>
      <c r="F160" s="20">
        <v>0.98199999999999998</v>
      </c>
      <c r="G160" s="52">
        <v>1</v>
      </c>
      <c r="H160" s="52">
        <v>1</v>
      </c>
      <c r="I160" s="18">
        <v>1</v>
      </c>
      <c r="J160" s="17">
        <v>1.4011012552549498</v>
      </c>
      <c r="K160" s="17">
        <v>1.171</v>
      </c>
      <c r="L160" s="17">
        <v>0.91300000000000003</v>
      </c>
      <c r="M160" s="17">
        <v>0.98799999999999999</v>
      </c>
      <c r="N160" s="20">
        <v>0.98799999999999999</v>
      </c>
      <c r="O160" s="20">
        <v>0.98</v>
      </c>
      <c r="P160" s="20">
        <v>1.03</v>
      </c>
      <c r="Q160" s="20">
        <v>0.91300000000000003</v>
      </c>
      <c r="R160" s="20">
        <v>0.98799999999999999</v>
      </c>
      <c r="S160" s="20">
        <v>0.98799999999999999</v>
      </c>
      <c r="T160" s="18">
        <v>1</v>
      </c>
    </row>
    <row r="161" spans="1:20" x14ac:dyDescent="0.2">
      <c r="A161" s="4">
        <v>2009</v>
      </c>
      <c r="B161" s="52">
        <v>1</v>
      </c>
      <c r="C161" s="22">
        <v>0.8</v>
      </c>
      <c r="D161" s="22">
        <v>0.8</v>
      </c>
      <c r="E161" s="20">
        <v>0.93500000000000005</v>
      </c>
      <c r="F161" s="20">
        <v>0.97899999999999998</v>
      </c>
      <c r="G161" s="52">
        <v>1</v>
      </c>
      <c r="H161" s="52">
        <v>1</v>
      </c>
      <c r="I161" s="18">
        <v>1</v>
      </c>
      <c r="J161" s="17">
        <v>1.3765269604329344</v>
      </c>
      <c r="K161" s="17">
        <v>1.2050000000000001</v>
      </c>
      <c r="L161" s="17">
        <v>0.89900000000000002</v>
      </c>
      <c r="M161" s="17">
        <v>0.98599999999999999</v>
      </c>
      <c r="N161" s="20">
        <v>0.98599999999999999</v>
      </c>
      <c r="O161" s="20">
        <v>0.97699999999999998</v>
      </c>
      <c r="P161" s="20">
        <v>1.0349999999999999</v>
      </c>
      <c r="Q161" s="20">
        <v>0.89900000000000002</v>
      </c>
      <c r="R161" s="20">
        <v>0.98599999999999999</v>
      </c>
      <c r="S161" s="20">
        <v>0.98599999999999999</v>
      </c>
      <c r="T161" s="18">
        <v>1</v>
      </c>
    </row>
    <row r="162" spans="1:20" x14ac:dyDescent="0.2">
      <c r="A162" s="4">
        <v>2010</v>
      </c>
      <c r="B162" s="52">
        <v>1</v>
      </c>
      <c r="C162" s="22">
        <v>0.8</v>
      </c>
      <c r="D162" s="22">
        <v>0.8</v>
      </c>
      <c r="E162" s="20">
        <v>0.92500000000000004</v>
      </c>
      <c r="F162" s="20">
        <v>0.97699999999999998</v>
      </c>
      <c r="G162" s="52">
        <v>1</v>
      </c>
      <c r="H162" s="52">
        <v>1</v>
      </c>
      <c r="I162" s="18">
        <v>1</v>
      </c>
      <c r="J162" s="17">
        <v>1.3510531341801615</v>
      </c>
      <c r="K162" s="17">
        <v>1.2430000000000001</v>
      </c>
      <c r="L162" s="17">
        <v>0.88400000000000001</v>
      </c>
      <c r="M162" s="17">
        <v>0.98399999999999999</v>
      </c>
      <c r="N162" s="20">
        <v>0.98399999999999999</v>
      </c>
      <c r="O162" s="20">
        <v>0.97399999999999998</v>
      </c>
      <c r="P162" s="20">
        <v>1.0389999999999999</v>
      </c>
      <c r="Q162" s="20">
        <v>0.88400000000000001</v>
      </c>
      <c r="R162" s="20">
        <v>0.98399999999999999</v>
      </c>
      <c r="S162" s="20">
        <v>0.98399999999999999</v>
      </c>
      <c r="T162" s="18">
        <v>1</v>
      </c>
    </row>
    <row r="163" spans="1:20" x14ac:dyDescent="0.2">
      <c r="A163" s="4">
        <v>2011</v>
      </c>
      <c r="B163" s="52">
        <v>1</v>
      </c>
      <c r="C163" s="22">
        <v>0.8</v>
      </c>
      <c r="D163" s="22">
        <v>0.8</v>
      </c>
      <c r="E163" s="20">
        <v>0.91500000000000004</v>
      </c>
      <c r="F163" s="20">
        <v>0.97399999999999998</v>
      </c>
      <c r="G163" s="52">
        <v>1</v>
      </c>
      <c r="H163" s="52">
        <v>1</v>
      </c>
      <c r="I163" s="18">
        <v>1</v>
      </c>
      <c r="J163" s="17">
        <v>1.3247462475041947</v>
      </c>
      <c r="K163" s="17">
        <v>1.3029999999999999</v>
      </c>
      <c r="L163" s="17">
        <v>0.86899999999999999</v>
      </c>
      <c r="M163" s="17">
        <v>0.98199999999999998</v>
      </c>
      <c r="N163" s="20">
        <v>0.98199999999999998</v>
      </c>
      <c r="O163" s="20">
        <v>0.97099999999999997</v>
      </c>
      <c r="P163" s="20">
        <v>1.044</v>
      </c>
      <c r="Q163" s="20">
        <v>0.86899999999999999</v>
      </c>
      <c r="R163" s="20">
        <v>0.98199999999999998</v>
      </c>
      <c r="S163" s="20">
        <v>0.98199999999999998</v>
      </c>
      <c r="T163" s="18">
        <v>1</v>
      </c>
    </row>
    <row r="164" spans="1:20" x14ac:dyDescent="0.2">
      <c r="A164" s="4">
        <v>2012</v>
      </c>
      <c r="B164" s="52">
        <v>1</v>
      </c>
      <c r="C164" s="22">
        <v>0.8</v>
      </c>
      <c r="D164" s="22">
        <v>0.8</v>
      </c>
      <c r="E164" s="20">
        <v>0.90400000000000003</v>
      </c>
      <c r="F164" s="20">
        <v>0.97199999999999998</v>
      </c>
      <c r="G164" s="52">
        <v>1</v>
      </c>
      <c r="H164" s="52">
        <v>1</v>
      </c>
      <c r="I164" s="18">
        <v>1</v>
      </c>
      <c r="J164" s="17">
        <v>1.2976739349625768</v>
      </c>
      <c r="K164" s="17">
        <v>1.25</v>
      </c>
      <c r="L164" s="17">
        <v>0.85399999999999998</v>
      </c>
      <c r="M164" s="17">
        <v>0.95499999999999996</v>
      </c>
      <c r="N164" s="20">
        <v>0.95499999999999996</v>
      </c>
      <c r="O164" s="20">
        <v>0.96799999999999997</v>
      </c>
      <c r="P164" s="20">
        <v>1.048</v>
      </c>
      <c r="Q164" s="20">
        <v>0.85299999999999998</v>
      </c>
      <c r="R164" s="20">
        <v>0.95499999999999996</v>
      </c>
      <c r="S164" s="20">
        <v>0.95499999999999996</v>
      </c>
      <c r="T164" s="18">
        <v>1</v>
      </c>
    </row>
    <row r="165" spans="1:20" x14ac:dyDescent="0.2">
      <c r="A165" s="4">
        <v>2013</v>
      </c>
      <c r="B165" s="52">
        <v>1</v>
      </c>
      <c r="C165" s="22">
        <v>0.8</v>
      </c>
      <c r="D165" s="22">
        <v>0.8</v>
      </c>
      <c r="E165" s="20">
        <v>0.89300000000000002</v>
      </c>
      <c r="F165" s="20">
        <v>0.96899999999999997</v>
      </c>
      <c r="G165" s="52">
        <v>1</v>
      </c>
      <c r="H165" s="52">
        <v>1</v>
      </c>
      <c r="I165" s="18">
        <v>1</v>
      </c>
      <c r="J165" s="17">
        <v>1.2699047079734451</v>
      </c>
      <c r="K165" s="17">
        <v>1.1970000000000001</v>
      </c>
      <c r="L165" s="17">
        <v>0.83799999999999997</v>
      </c>
      <c r="M165" s="17">
        <v>0.92700000000000005</v>
      </c>
      <c r="N165" s="20">
        <v>0.92700000000000005</v>
      </c>
      <c r="O165" s="20">
        <v>0.96499999999999997</v>
      </c>
      <c r="P165" s="20">
        <v>1.0529999999999999</v>
      </c>
      <c r="Q165" s="20">
        <v>0.83599999999999997</v>
      </c>
      <c r="R165" s="20">
        <v>0.92700000000000005</v>
      </c>
      <c r="S165" s="20">
        <v>0.92700000000000005</v>
      </c>
      <c r="T165" s="18">
        <v>1</v>
      </c>
    </row>
    <row r="166" spans="1:20" x14ac:dyDescent="0.2">
      <c r="A166" s="4">
        <v>2014</v>
      </c>
      <c r="B166" s="52">
        <v>1</v>
      </c>
      <c r="C166" s="22">
        <v>0.8</v>
      </c>
      <c r="D166" s="22">
        <v>0.8</v>
      </c>
      <c r="E166" s="20">
        <v>0.88100000000000001</v>
      </c>
      <c r="F166" s="20">
        <v>0.96699999999999997</v>
      </c>
      <c r="G166" s="52">
        <v>1</v>
      </c>
      <c r="H166" s="52">
        <v>1</v>
      </c>
      <c r="I166" s="18">
        <v>1</v>
      </c>
      <c r="J166" s="17">
        <v>1.2415076696595302</v>
      </c>
      <c r="K166" s="17">
        <v>1.1439999999999999</v>
      </c>
      <c r="L166" s="17">
        <v>0.82099999999999995</v>
      </c>
      <c r="M166" s="17">
        <v>0.89900000000000002</v>
      </c>
      <c r="N166" s="20">
        <v>0.89900000000000002</v>
      </c>
      <c r="O166" s="20">
        <v>0.96299999999999997</v>
      </c>
      <c r="P166" s="20">
        <v>1.0569999999999999</v>
      </c>
      <c r="Q166" s="20">
        <v>0.81799999999999995</v>
      </c>
      <c r="R166" s="20">
        <v>0.89900000000000002</v>
      </c>
      <c r="S166" s="20">
        <v>0.89900000000000002</v>
      </c>
      <c r="T166" s="18">
        <v>1</v>
      </c>
    </row>
    <row r="167" spans="1:20" x14ac:dyDescent="0.2">
      <c r="A167" s="4">
        <v>2015</v>
      </c>
      <c r="B167" s="52">
        <v>1</v>
      </c>
      <c r="C167" s="22">
        <v>0.8</v>
      </c>
      <c r="D167" s="22">
        <v>0.8</v>
      </c>
      <c r="E167" s="20">
        <v>0.86799999999999999</v>
      </c>
      <c r="F167" s="20">
        <v>0.96399999999999997</v>
      </c>
      <c r="G167" s="52">
        <v>1</v>
      </c>
      <c r="H167" s="52">
        <v>1</v>
      </c>
      <c r="I167" s="18">
        <v>1</v>
      </c>
      <c r="J167" s="17">
        <v>1.2125522328606724</v>
      </c>
      <c r="K167" s="17">
        <v>1.0900000000000001</v>
      </c>
      <c r="L167" s="17">
        <v>0.80300000000000005</v>
      </c>
      <c r="M167" s="17">
        <v>0.87</v>
      </c>
      <c r="N167" s="20">
        <v>0.87</v>
      </c>
      <c r="O167" s="20">
        <v>0.96</v>
      </c>
      <c r="P167" s="20">
        <v>1.0620000000000001</v>
      </c>
      <c r="Q167" s="20">
        <v>0.79900000000000004</v>
      </c>
      <c r="R167" s="20">
        <v>0.87</v>
      </c>
      <c r="S167" s="20">
        <v>0.87</v>
      </c>
      <c r="T167" s="18">
        <v>1</v>
      </c>
    </row>
    <row r="168" spans="1:20" x14ac:dyDescent="0.2">
      <c r="A168" s="4">
        <v>2016</v>
      </c>
      <c r="B168" s="52">
        <v>1</v>
      </c>
      <c r="C168" s="22">
        <v>0.8</v>
      </c>
      <c r="D168" s="22">
        <v>0.8</v>
      </c>
      <c r="E168" s="20">
        <v>0.85499999999999998</v>
      </c>
      <c r="F168" s="20">
        <v>0.96199999999999997</v>
      </c>
      <c r="G168" s="52">
        <v>1</v>
      </c>
      <c r="H168" s="52">
        <v>1</v>
      </c>
      <c r="I168" s="18">
        <v>1</v>
      </c>
      <c r="J168" s="17">
        <v>1.1831078428922741</v>
      </c>
      <c r="K168" s="17">
        <v>1.0369999999999999</v>
      </c>
      <c r="L168" s="17">
        <v>0.78500000000000003</v>
      </c>
      <c r="M168" s="17">
        <v>0.84099999999999997</v>
      </c>
      <c r="N168" s="20">
        <v>0.84099999999999997</v>
      </c>
      <c r="O168" s="20">
        <v>0.95699999999999996</v>
      </c>
      <c r="P168" s="20">
        <v>1.0660000000000001</v>
      </c>
      <c r="Q168" s="20">
        <v>0.77900000000000003</v>
      </c>
      <c r="R168" s="20">
        <v>0.84099999999999997</v>
      </c>
      <c r="S168" s="20">
        <v>0.84099999999999997</v>
      </c>
      <c r="T168" s="18">
        <v>1</v>
      </c>
    </row>
    <row r="169" spans="1:20" x14ac:dyDescent="0.2">
      <c r="A169" s="4">
        <v>2017</v>
      </c>
      <c r="B169" s="52">
        <v>1</v>
      </c>
      <c r="C169" s="22">
        <v>0.8</v>
      </c>
      <c r="D169" s="22">
        <v>0.8</v>
      </c>
      <c r="E169" s="20">
        <v>0.84</v>
      </c>
      <c r="F169" s="20">
        <v>0.95899999999999996</v>
      </c>
      <c r="G169" s="52">
        <v>1</v>
      </c>
      <c r="H169" s="52">
        <v>1</v>
      </c>
      <c r="I169" s="18">
        <v>1</v>
      </c>
      <c r="J169" s="17">
        <v>1.153243706560618</v>
      </c>
      <c r="K169" s="17">
        <v>0.98199999999999998</v>
      </c>
      <c r="L169" s="17">
        <v>0.76500000000000001</v>
      </c>
      <c r="M169" s="17">
        <v>0.81</v>
      </c>
      <c r="N169" s="20">
        <v>0.81</v>
      </c>
      <c r="O169" s="20">
        <v>0.95399999999999996</v>
      </c>
      <c r="P169" s="20">
        <v>1.056</v>
      </c>
      <c r="Q169" s="20">
        <v>0.75800000000000001</v>
      </c>
      <c r="R169" s="20">
        <v>0.81</v>
      </c>
      <c r="S169" s="20">
        <v>0.81</v>
      </c>
      <c r="T169" s="18">
        <v>1</v>
      </c>
    </row>
    <row r="170" spans="1:20" x14ac:dyDescent="0.2">
      <c r="A170" s="4">
        <v>2018</v>
      </c>
      <c r="B170" s="52">
        <v>1</v>
      </c>
      <c r="C170" s="22">
        <v>0.8</v>
      </c>
      <c r="D170" s="22">
        <v>0.8</v>
      </c>
      <c r="E170" s="20">
        <v>0.82399999999999995</v>
      </c>
      <c r="F170" s="20">
        <v>0.95699999999999996</v>
      </c>
      <c r="G170" s="52">
        <v>1</v>
      </c>
      <c r="H170" s="52">
        <v>1</v>
      </c>
      <c r="I170" s="18">
        <v>1</v>
      </c>
      <c r="J170" s="17">
        <v>1.1230285288685109</v>
      </c>
      <c r="K170" s="17">
        <v>0.92700000000000005</v>
      </c>
      <c r="L170" s="17">
        <v>0.74399999999999999</v>
      </c>
      <c r="M170" s="17">
        <v>0.77900000000000003</v>
      </c>
      <c r="N170" s="20">
        <v>0.77900000000000003</v>
      </c>
      <c r="O170" s="20">
        <v>0.95099999999999996</v>
      </c>
      <c r="P170" s="20">
        <v>1.0449999999999999</v>
      </c>
      <c r="Q170" s="20">
        <v>0.73499999999999999</v>
      </c>
      <c r="R170" s="20">
        <v>0.77900000000000003</v>
      </c>
      <c r="S170" s="20">
        <v>0.77900000000000003</v>
      </c>
      <c r="T170" s="18">
        <v>1</v>
      </c>
    </row>
    <row r="171" spans="1:20" x14ac:dyDescent="0.2">
      <c r="A171" s="4">
        <v>2019</v>
      </c>
      <c r="B171" s="52">
        <v>1</v>
      </c>
      <c r="C171" s="22">
        <v>0.8</v>
      </c>
      <c r="D171" s="22">
        <v>0.8</v>
      </c>
      <c r="E171" s="20">
        <v>0.80600000000000005</v>
      </c>
      <c r="F171" s="20">
        <v>0.95399999999999996</v>
      </c>
      <c r="G171" s="52">
        <v>1</v>
      </c>
      <c r="H171" s="52">
        <v>1</v>
      </c>
      <c r="I171" s="18">
        <v>1</v>
      </c>
      <c r="J171" s="17">
        <v>1.0925302587558032</v>
      </c>
      <c r="K171" s="17">
        <v>0.87</v>
      </c>
      <c r="L171" s="17">
        <v>0.72199999999999998</v>
      </c>
      <c r="M171" s="17">
        <v>0.746</v>
      </c>
      <c r="N171" s="20">
        <v>0.746</v>
      </c>
      <c r="O171" s="20">
        <v>0.94899999999999995</v>
      </c>
      <c r="P171" s="20">
        <v>1.034</v>
      </c>
      <c r="Q171" s="20">
        <v>0.71099999999999997</v>
      </c>
      <c r="R171" s="20">
        <v>0.746</v>
      </c>
      <c r="S171" s="20">
        <v>0.746</v>
      </c>
      <c r="T171" s="18">
        <v>1</v>
      </c>
    </row>
    <row r="172" spans="1:20" x14ac:dyDescent="0.2">
      <c r="A172" s="4">
        <v>2020</v>
      </c>
      <c r="B172" s="52">
        <v>1</v>
      </c>
      <c r="C172" s="22">
        <v>0.8</v>
      </c>
      <c r="D172" s="22">
        <v>0.8</v>
      </c>
      <c r="E172" s="20">
        <v>0.78700000000000003</v>
      </c>
      <c r="F172" s="20">
        <v>0.95199999999999996</v>
      </c>
      <c r="G172" s="52">
        <v>1</v>
      </c>
      <c r="H172" s="52">
        <v>1</v>
      </c>
      <c r="I172" s="18">
        <v>1</v>
      </c>
      <c r="J172" s="17">
        <v>1.0618158451267492</v>
      </c>
      <c r="K172" s="17">
        <v>0.81200000000000006</v>
      </c>
      <c r="L172" s="17">
        <v>0.69699999999999995</v>
      </c>
      <c r="M172" s="17">
        <v>0.71099999999999997</v>
      </c>
      <c r="N172" s="20">
        <v>0.71099999999999997</v>
      </c>
      <c r="O172" s="20">
        <v>0.94599999999999995</v>
      </c>
      <c r="P172" s="20">
        <v>1.024</v>
      </c>
      <c r="Q172" s="20">
        <v>0.68400000000000005</v>
      </c>
      <c r="R172" s="20">
        <v>0.71099999999999997</v>
      </c>
      <c r="S172" s="20">
        <v>0.71099999999999997</v>
      </c>
      <c r="T172" s="18">
        <v>1</v>
      </c>
    </row>
    <row r="173" spans="1:20" x14ac:dyDescent="0.2">
      <c r="A173" s="4">
        <v>2021</v>
      </c>
      <c r="B173" s="52">
        <v>1</v>
      </c>
      <c r="C173" s="22">
        <v>0.8</v>
      </c>
      <c r="D173" s="22">
        <v>0.8</v>
      </c>
      <c r="E173" s="20">
        <v>0.76500000000000001</v>
      </c>
      <c r="F173" s="20">
        <v>0.94899999999999995</v>
      </c>
      <c r="G173" s="52">
        <v>1</v>
      </c>
      <c r="H173" s="52">
        <v>1</v>
      </c>
      <c r="I173" s="18">
        <v>1</v>
      </c>
      <c r="J173" s="17">
        <v>1.0309510043113435</v>
      </c>
      <c r="K173" s="17">
        <v>0.752</v>
      </c>
      <c r="L173" s="17">
        <v>0.67</v>
      </c>
      <c r="M173" s="17">
        <v>0.67400000000000004</v>
      </c>
      <c r="N173" s="20">
        <v>0.67400000000000004</v>
      </c>
      <c r="O173" s="20">
        <v>0.94299999999999995</v>
      </c>
      <c r="P173" s="20">
        <v>1.0129999999999999</v>
      </c>
      <c r="Q173" s="20">
        <v>0.65400000000000003</v>
      </c>
      <c r="R173" s="20">
        <v>0.67400000000000004</v>
      </c>
      <c r="S173" s="20">
        <v>0.67400000000000004</v>
      </c>
      <c r="T173" s="18">
        <v>1</v>
      </c>
    </row>
    <row r="174" spans="1:20" x14ac:dyDescent="0.2">
      <c r="A174" s="4">
        <v>2022</v>
      </c>
      <c r="B174" s="52">
        <v>1</v>
      </c>
      <c r="C174" s="22">
        <v>0.8</v>
      </c>
      <c r="D174" s="22">
        <v>0.8</v>
      </c>
      <c r="E174" s="20">
        <v>0.74</v>
      </c>
      <c r="F174" s="20">
        <v>0.94699999999999995</v>
      </c>
      <c r="G174" s="52">
        <v>1</v>
      </c>
      <c r="H174" s="52">
        <v>1</v>
      </c>
      <c r="I174" s="18">
        <v>1</v>
      </c>
      <c r="J174" s="17">
        <v>1</v>
      </c>
      <c r="K174" s="17">
        <v>0.69</v>
      </c>
      <c r="L174" s="17">
        <v>0.64</v>
      </c>
      <c r="M174" s="17">
        <v>0.63400000000000001</v>
      </c>
      <c r="N174" s="20">
        <v>0.63400000000000001</v>
      </c>
      <c r="O174" s="20">
        <v>0.94</v>
      </c>
      <c r="P174" s="20">
        <v>1.0029999999999999</v>
      </c>
      <c r="Q174" s="20">
        <v>0.62</v>
      </c>
      <c r="R174" s="20">
        <v>0.63400000000000001</v>
      </c>
      <c r="S174" s="20">
        <v>0.63400000000000001</v>
      </c>
      <c r="T174" s="18">
        <v>1</v>
      </c>
    </row>
    <row r="175" spans="1:20" x14ac:dyDescent="0.2">
      <c r="A175" s="4">
        <v>2023</v>
      </c>
      <c r="B175" s="52">
        <v>1</v>
      </c>
      <c r="C175" s="22">
        <v>0.8</v>
      </c>
      <c r="D175" s="22">
        <v>0.8</v>
      </c>
      <c r="E175" s="20">
        <v>0.71099999999999997</v>
      </c>
      <c r="F175" s="20">
        <v>0.94399999999999995</v>
      </c>
      <c r="G175" s="52">
        <v>1</v>
      </c>
      <c r="H175" s="52">
        <v>1</v>
      </c>
      <c r="I175" s="18">
        <v>1</v>
      </c>
      <c r="J175" s="17">
        <v>0.96902543657720119</v>
      </c>
      <c r="K175" s="17">
        <v>0.623</v>
      </c>
      <c r="L175" s="17">
        <v>0.60499999999999998</v>
      </c>
      <c r="M175" s="17">
        <v>0.59</v>
      </c>
      <c r="N175" s="20">
        <v>0.59</v>
      </c>
      <c r="O175" s="20">
        <v>0.93700000000000006</v>
      </c>
      <c r="P175" s="20">
        <v>0.99299999999999999</v>
      </c>
      <c r="Q175" s="20">
        <v>0.58099999999999996</v>
      </c>
      <c r="R175" s="20">
        <v>0.59</v>
      </c>
      <c r="S175" s="20">
        <v>0.59</v>
      </c>
      <c r="T175" s="18">
        <v>1</v>
      </c>
    </row>
    <row r="176" spans="1:20" x14ac:dyDescent="0.2">
      <c r="A176" s="4">
        <v>2024</v>
      </c>
      <c r="B176" s="52">
        <v>1</v>
      </c>
      <c r="C176" s="22">
        <v>0.8</v>
      </c>
      <c r="D176" s="22">
        <v>0.8</v>
      </c>
      <c r="E176" s="20">
        <v>0.67400000000000004</v>
      </c>
      <c r="F176" s="20">
        <v>0.94199999999999995</v>
      </c>
      <c r="G176" s="52">
        <v>1</v>
      </c>
      <c r="H176" s="52">
        <v>1</v>
      </c>
      <c r="I176" s="18">
        <v>1</v>
      </c>
      <c r="J176" s="17">
        <v>0.93808806666139211</v>
      </c>
      <c r="K176" s="17">
        <v>0.54800000000000004</v>
      </c>
      <c r="L176" s="17">
        <v>0.56399999999999995</v>
      </c>
      <c r="M176" s="17">
        <v>0.53900000000000003</v>
      </c>
      <c r="N176" s="20">
        <v>0.53900000000000003</v>
      </c>
      <c r="O176" s="20">
        <v>0.93500000000000005</v>
      </c>
      <c r="P176" s="20">
        <v>0.98299999999999998</v>
      </c>
      <c r="Q176" s="20">
        <v>0.53500000000000003</v>
      </c>
      <c r="R176" s="20">
        <v>0.53900000000000003</v>
      </c>
      <c r="S176" s="20">
        <v>0.53900000000000003</v>
      </c>
      <c r="T176" s="18">
        <v>1</v>
      </c>
    </row>
    <row r="177" spans="1:20" x14ac:dyDescent="0.2">
      <c r="A177" s="4">
        <v>2025</v>
      </c>
      <c r="B177" s="52">
        <v>1</v>
      </c>
      <c r="C177" s="22">
        <v>0.8</v>
      </c>
      <c r="D177" s="22">
        <v>0.8</v>
      </c>
      <c r="E177" s="20">
        <v>0.626</v>
      </c>
      <c r="F177" s="20">
        <v>0.93899999999999995</v>
      </c>
      <c r="G177" s="52">
        <v>1</v>
      </c>
      <c r="H177" s="52">
        <v>1</v>
      </c>
      <c r="I177" s="18">
        <v>1</v>
      </c>
      <c r="J177" s="17">
        <v>0.90724661353845726</v>
      </c>
      <c r="K177" s="17">
        <v>0.45800000000000002</v>
      </c>
      <c r="L177" s="17">
        <v>0.51100000000000001</v>
      </c>
      <c r="M177" s="17">
        <v>0.47399999999999998</v>
      </c>
      <c r="N177" s="20">
        <v>0.47399999999999998</v>
      </c>
      <c r="O177" s="20">
        <v>0.93200000000000005</v>
      </c>
      <c r="P177" s="20">
        <v>0.97299999999999998</v>
      </c>
      <c r="Q177" s="20">
        <v>0.47599999999999998</v>
      </c>
      <c r="R177" s="20">
        <v>0.47399999999999998</v>
      </c>
      <c r="S177" s="20">
        <v>0.47399999999999998</v>
      </c>
      <c r="T177" s="18">
        <v>1</v>
      </c>
    </row>
    <row r="178" spans="1:20" x14ac:dyDescent="0.2">
      <c r="A178" s="4">
        <v>2026</v>
      </c>
      <c r="B178" s="52">
        <v>1</v>
      </c>
      <c r="C178" s="22">
        <v>0.8</v>
      </c>
      <c r="D178" s="22">
        <v>0.8</v>
      </c>
      <c r="E178" s="20">
        <v>0.55200000000000005</v>
      </c>
      <c r="F178" s="20">
        <v>0.93700000000000006</v>
      </c>
      <c r="G178" s="52">
        <v>1</v>
      </c>
      <c r="H178" s="52">
        <v>1</v>
      </c>
      <c r="I178" s="18">
        <v>1</v>
      </c>
      <c r="J178" s="17">
        <v>0.87655760905374591</v>
      </c>
      <c r="K178" s="17">
        <v>0.23899999999999999</v>
      </c>
      <c r="L178" s="17">
        <v>0.42799999999999999</v>
      </c>
      <c r="M178" s="17">
        <v>0.28799999999999998</v>
      </c>
      <c r="N178" s="20">
        <v>0.28799999999999998</v>
      </c>
      <c r="O178" s="20">
        <v>0.92900000000000005</v>
      </c>
      <c r="P178" s="20">
        <v>0.96299999999999997</v>
      </c>
      <c r="Q178" s="20">
        <v>0.38900000000000001</v>
      </c>
      <c r="R178" s="20">
        <v>0.28799999999999998</v>
      </c>
      <c r="S178" s="20">
        <v>0.28799999999999998</v>
      </c>
      <c r="T178" s="18">
        <v>1</v>
      </c>
    </row>
    <row r="179" spans="1:20" x14ac:dyDescent="0.2">
      <c r="A179" s="4">
        <v>2027</v>
      </c>
      <c r="B179" s="52">
        <v>1</v>
      </c>
      <c r="C179" s="22">
        <v>0.8</v>
      </c>
      <c r="D179" s="22">
        <v>0.8</v>
      </c>
      <c r="E179" s="20">
        <v>0.5370256410256411</v>
      </c>
      <c r="F179" s="20">
        <v>0.93447623931623935</v>
      </c>
      <c r="G179" s="52">
        <v>1</v>
      </c>
      <c r="H179" s="52">
        <v>1</v>
      </c>
      <c r="I179" s="18">
        <v>1</v>
      </c>
      <c r="J179" s="17">
        <v>0.84607524740454132</v>
      </c>
      <c r="K179" s="17">
        <v>0.21279692307692308</v>
      </c>
      <c r="L179" s="17">
        <v>0.40817094017094019</v>
      </c>
      <c r="M179" s="17">
        <v>0.26461675213675212</v>
      </c>
      <c r="N179" s="20">
        <v>0.26461675213675212</v>
      </c>
      <c r="O179" s="20">
        <v>0.926171623931624</v>
      </c>
      <c r="P179" s="20">
        <v>0.96212683760683759</v>
      </c>
      <c r="Q179" s="20">
        <v>0.36781299145299146</v>
      </c>
      <c r="R179" s="20">
        <v>0.26461675213675212</v>
      </c>
      <c r="S179" s="20">
        <v>0.26461675213675212</v>
      </c>
      <c r="T179" s="18">
        <v>1</v>
      </c>
    </row>
    <row r="180" spans="1:20" x14ac:dyDescent="0.2">
      <c r="A180" s="4">
        <v>2028</v>
      </c>
      <c r="B180" s="52">
        <v>1</v>
      </c>
      <c r="C180" s="22">
        <v>0.8</v>
      </c>
      <c r="D180" s="22">
        <v>0.8</v>
      </c>
      <c r="E180" s="20">
        <v>0.52205128205128215</v>
      </c>
      <c r="F180" s="20">
        <v>0.93195247863247865</v>
      </c>
      <c r="G180" s="52">
        <v>1</v>
      </c>
      <c r="H180" s="52">
        <v>1</v>
      </c>
      <c r="I180" s="18">
        <v>1</v>
      </c>
      <c r="J180" s="17">
        <v>0.81585125515371382</v>
      </c>
      <c r="K180" s="17">
        <v>0.18659384615384617</v>
      </c>
      <c r="L180" s="17">
        <v>0.38834188034188039</v>
      </c>
      <c r="M180" s="17">
        <v>0.24123350427350426</v>
      </c>
      <c r="N180" s="20">
        <v>0.24123350427350426</v>
      </c>
      <c r="O180" s="20">
        <v>0.92334324786324795</v>
      </c>
      <c r="P180" s="20">
        <v>0.96125367521367522</v>
      </c>
      <c r="Q180" s="20">
        <v>0.3466259829059829</v>
      </c>
      <c r="R180" s="20">
        <v>0.24123350427350426</v>
      </c>
      <c r="S180" s="20">
        <v>0.24123350427350426</v>
      </c>
      <c r="T180" s="18">
        <v>1</v>
      </c>
    </row>
    <row r="181" spans="1:20" x14ac:dyDescent="0.2">
      <c r="A181" s="4">
        <v>2029</v>
      </c>
      <c r="B181" s="52">
        <v>1</v>
      </c>
      <c r="C181" s="22">
        <v>0.8</v>
      </c>
      <c r="D181" s="22">
        <v>0.8</v>
      </c>
      <c r="E181" s="20">
        <v>0.5070769230769232</v>
      </c>
      <c r="F181" s="20">
        <v>0.92942871794871795</v>
      </c>
      <c r="G181" s="52">
        <v>1</v>
      </c>
      <c r="H181" s="52">
        <v>1</v>
      </c>
      <c r="I181" s="18">
        <v>1</v>
      </c>
      <c r="J181" s="17">
        <v>0.78593477766315423</v>
      </c>
      <c r="K181" s="17">
        <v>0.16039076923076925</v>
      </c>
      <c r="L181" s="17">
        <v>0.36851282051282058</v>
      </c>
      <c r="M181" s="17">
        <v>0.2178502564102564</v>
      </c>
      <c r="N181" s="20">
        <v>0.2178502564102564</v>
      </c>
      <c r="O181" s="20">
        <v>0.9205148717948719</v>
      </c>
      <c r="P181" s="20">
        <v>0.96038051282051284</v>
      </c>
      <c r="Q181" s="20">
        <v>0.32543897435897434</v>
      </c>
      <c r="R181" s="20">
        <v>0.2178502564102564</v>
      </c>
      <c r="S181" s="20">
        <v>0.2178502564102564</v>
      </c>
      <c r="T181" s="18">
        <v>1</v>
      </c>
    </row>
    <row r="182" spans="1:20" x14ac:dyDescent="0.2">
      <c r="A182" s="4">
        <v>2030</v>
      </c>
      <c r="B182" s="52">
        <v>1</v>
      </c>
      <c r="C182" s="22">
        <v>0.8</v>
      </c>
      <c r="D182" s="22">
        <v>0.8</v>
      </c>
      <c r="E182" s="20">
        <v>0.49210256410256425</v>
      </c>
      <c r="F182" s="20">
        <v>0.92690495726495725</v>
      </c>
      <c r="G182" s="52">
        <v>1</v>
      </c>
      <c r="H182" s="52">
        <v>1</v>
      </c>
      <c r="I182" s="18">
        <v>1</v>
      </c>
      <c r="J182" s="17">
        <v>0.75637228202952167</v>
      </c>
      <c r="K182" s="17">
        <v>0.13418769230769234</v>
      </c>
      <c r="L182" s="17">
        <v>0.34868376068376078</v>
      </c>
      <c r="M182" s="17">
        <v>0.19446700854700855</v>
      </c>
      <c r="N182" s="20">
        <v>0.19446700854700855</v>
      </c>
      <c r="O182" s="20">
        <v>0.91768649572649585</v>
      </c>
      <c r="P182" s="20">
        <v>0.95950735042735047</v>
      </c>
      <c r="Q182" s="20">
        <v>0.30425196581196579</v>
      </c>
      <c r="R182" s="20">
        <v>0.19446700854700855</v>
      </c>
      <c r="S182" s="20">
        <v>0.19446700854700855</v>
      </c>
      <c r="T182" s="18">
        <v>1</v>
      </c>
    </row>
    <row r="183" spans="1:20" x14ac:dyDescent="0.2">
      <c r="A183" s="4">
        <v>2031</v>
      </c>
      <c r="B183" s="52">
        <v>1</v>
      </c>
      <c r="C183" s="22">
        <v>0.8</v>
      </c>
      <c r="D183" s="22">
        <v>0.8</v>
      </c>
      <c r="E183" s="20">
        <v>0.47712820512820531</v>
      </c>
      <c r="F183" s="20">
        <v>0.92438119658119655</v>
      </c>
      <c r="G183" s="52">
        <v>1</v>
      </c>
      <c r="H183" s="52">
        <v>1</v>
      </c>
      <c r="I183" s="18">
        <v>1</v>
      </c>
      <c r="J183" s="17">
        <v>0.72720747648845485</v>
      </c>
      <c r="K183" s="17">
        <v>0.10798461538461543</v>
      </c>
      <c r="L183" s="17">
        <v>0.32885470085470098</v>
      </c>
      <c r="M183" s="17">
        <v>0.17108376068376069</v>
      </c>
      <c r="N183" s="20">
        <v>0.17108376068376069</v>
      </c>
      <c r="O183" s="20">
        <v>0.91485811965811981</v>
      </c>
      <c r="P183" s="20">
        <v>0.95863418803418809</v>
      </c>
      <c r="Q183" s="20">
        <v>0.28306495726495723</v>
      </c>
      <c r="R183" s="20">
        <v>0.17108376068376069</v>
      </c>
      <c r="S183" s="20">
        <v>0.17108376068376069</v>
      </c>
      <c r="T183" s="18">
        <v>1</v>
      </c>
    </row>
    <row r="184" spans="1:20" x14ac:dyDescent="0.2">
      <c r="A184" s="4">
        <v>2032</v>
      </c>
      <c r="B184" s="52">
        <v>1</v>
      </c>
      <c r="C184" s="22">
        <v>0.8</v>
      </c>
      <c r="D184" s="22">
        <v>0.8</v>
      </c>
      <c r="E184" s="20">
        <v>0.46215384615384636</v>
      </c>
      <c r="F184" s="20">
        <v>0.92185743589743585</v>
      </c>
      <c r="G184" s="52">
        <v>1</v>
      </c>
      <c r="H184" s="52">
        <v>1</v>
      </c>
      <c r="I184" s="18">
        <v>1</v>
      </c>
      <c r="J184" s="17">
        <v>0.69848124614505469</v>
      </c>
      <c r="K184" s="17">
        <v>8.1781538461538517E-2</v>
      </c>
      <c r="L184" s="17">
        <v>0.30902564102564117</v>
      </c>
      <c r="M184" s="17">
        <v>0.14770051282051283</v>
      </c>
      <c r="N184" s="20">
        <v>0.14770051282051283</v>
      </c>
      <c r="O184" s="20">
        <v>0.91202974358974376</v>
      </c>
      <c r="P184" s="20">
        <v>0.95776102564102572</v>
      </c>
      <c r="Q184" s="20">
        <v>0.26187794871794867</v>
      </c>
      <c r="R184" s="20">
        <v>0.14770051282051283</v>
      </c>
      <c r="S184" s="20">
        <v>0.14770051282051283</v>
      </c>
      <c r="T184" s="18">
        <v>1</v>
      </c>
    </row>
    <row r="185" spans="1:20" x14ac:dyDescent="0.2">
      <c r="A185" s="4">
        <v>2033</v>
      </c>
      <c r="B185" s="52">
        <v>1</v>
      </c>
      <c r="C185" s="22">
        <v>0.8</v>
      </c>
      <c r="D185" s="22">
        <v>0.8</v>
      </c>
      <c r="E185" s="20">
        <v>0.44717948717948741</v>
      </c>
      <c r="F185" s="20">
        <v>0.91933367521367515</v>
      </c>
      <c r="G185" s="52">
        <v>1</v>
      </c>
      <c r="H185" s="52">
        <v>1</v>
      </c>
      <c r="I185" s="18">
        <v>1</v>
      </c>
      <c r="J185" s="17">
        <v>0.67023160478247779</v>
      </c>
      <c r="K185" s="17">
        <v>5.5578461538461604E-2</v>
      </c>
      <c r="L185" s="17">
        <v>0.28919658119658137</v>
      </c>
      <c r="M185" s="17">
        <v>0.12431726495726497</v>
      </c>
      <c r="N185" s="20">
        <v>0.12431726495726497</v>
      </c>
      <c r="O185" s="20">
        <v>0.90920136752136771</v>
      </c>
      <c r="P185" s="20">
        <v>0.95688786324786335</v>
      </c>
      <c r="Q185" s="20">
        <v>0.24069094017094012</v>
      </c>
      <c r="R185" s="20">
        <v>0.12431726495726497</v>
      </c>
      <c r="S185" s="20">
        <v>0.12431726495726497</v>
      </c>
      <c r="T185" s="18">
        <v>1</v>
      </c>
    </row>
    <row r="186" spans="1:20" x14ac:dyDescent="0.2">
      <c r="A186" s="4">
        <v>2034</v>
      </c>
      <c r="B186" s="52">
        <v>1</v>
      </c>
      <c r="C186" s="22">
        <v>0.8</v>
      </c>
      <c r="D186" s="22">
        <v>0.8</v>
      </c>
      <c r="E186" s="20">
        <v>0.43220512820512846</v>
      </c>
      <c r="F186" s="20">
        <v>0.91680991452991445</v>
      </c>
      <c r="G186" s="52">
        <v>1</v>
      </c>
      <c r="H186" s="52">
        <v>1</v>
      </c>
      <c r="I186" s="18">
        <v>1</v>
      </c>
      <c r="J186" s="17">
        <v>0.64249366240185712</v>
      </c>
      <c r="K186" s="17">
        <v>0.05</v>
      </c>
      <c r="L186" s="17">
        <v>0.26936752136752157</v>
      </c>
      <c r="M186" s="17">
        <v>0.10093401709401711</v>
      </c>
      <c r="N186" s="20">
        <v>0.10093401709401711</v>
      </c>
      <c r="O186" s="20">
        <v>0.90637299145299166</v>
      </c>
      <c r="P186" s="20">
        <v>0.95601470085470097</v>
      </c>
      <c r="Q186" s="20">
        <v>0.21950393162393156</v>
      </c>
      <c r="R186" s="20">
        <v>0.10093401709401711</v>
      </c>
      <c r="S186" s="20">
        <v>0.10093401709401711</v>
      </c>
      <c r="T186" s="18">
        <v>1</v>
      </c>
    </row>
    <row r="187" spans="1:20" x14ac:dyDescent="0.2">
      <c r="A187" s="4">
        <v>2035</v>
      </c>
      <c r="B187" s="52">
        <v>1</v>
      </c>
      <c r="C187" s="22">
        <v>0.8</v>
      </c>
      <c r="D187" s="22">
        <v>0.8</v>
      </c>
      <c r="E187" s="20">
        <v>0.41723076923076952</v>
      </c>
      <c r="F187" s="20">
        <v>0.91428615384615375</v>
      </c>
      <c r="G187" s="52">
        <v>1</v>
      </c>
      <c r="H187" s="52">
        <v>1</v>
      </c>
      <c r="I187" s="18">
        <v>1</v>
      </c>
      <c r="J187" s="17">
        <v>0.61529960805469019</v>
      </c>
      <c r="K187" s="17">
        <v>0.05</v>
      </c>
      <c r="L187" s="17">
        <v>0.24953846153846174</v>
      </c>
      <c r="M187" s="17">
        <v>7.7550769230769256E-2</v>
      </c>
      <c r="N187" s="20">
        <v>7.7550769230769256E-2</v>
      </c>
      <c r="O187" s="20">
        <v>0.90354461538461561</v>
      </c>
      <c r="P187" s="20">
        <v>0.9551415384615386</v>
      </c>
      <c r="Q187" s="20">
        <v>0.198316923076923</v>
      </c>
      <c r="R187" s="20">
        <v>7.7550769230769256E-2</v>
      </c>
      <c r="S187" s="20">
        <v>7.7550769230769256E-2</v>
      </c>
      <c r="T187" s="18">
        <v>1</v>
      </c>
    </row>
    <row r="188" spans="1:20" x14ac:dyDescent="0.2">
      <c r="A188" s="4">
        <v>2036</v>
      </c>
      <c r="B188" s="52">
        <v>1</v>
      </c>
      <c r="C188" s="22">
        <v>0.8</v>
      </c>
      <c r="D188" s="22">
        <v>0.8</v>
      </c>
      <c r="E188" s="20">
        <v>0.40225641025641057</v>
      </c>
      <c r="F188" s="20">
        <v>0.91176239316239305</v>
      </c>
      <c r="G188" s="52">
        <v>1</v>
      </c>
      <c r="H188" s="52">
        <v>1</v>
      </c>
      <c r="I188" s="18">
        <v>1</v>
      </c>
      <c r="J188" s="17">
        <v>0.58867870744281381</v>
      </c>
      <c r="K188" s="17">
        <v>0.05</v>
      </c>
      <c r="L188" s="17">
        <v>0.22970940170940191</v>
      </c>
      <c r="M188" s="17">
        <v>5.4167521367521392E-2</v>
      </c>
      <c r="N188" s="20">
        <v>5.4167521367521392E-2</v>
      </c>
      <c r="O188" s="20">
        <v>0.90071623931623956</v>
      </c>
      <c r="P188" s="20">
        <v>0.95426837606837622</v>
      </c>
      <c r="Q188" s="20">
        <v>0.17712991452991445</v>
      </c>
      <c r="R188" s="20">
        <v>5.4167521367521392E-2</v>
      </c>
      <c r="S188" s="20">
        <v>5.4167521367521392E-2</v>
      </c>
      <c r="T188" s="18">
        <v>1</v>
      </c>
    </row>
    <row r="189" spans="1:20" x14ac:dyDescent="0.2">
      <c r="A189" s="4">
        <v>2037</v>
      </c>
      <c r="B189" s="52">
        <v>1</v>
      </c>
      <c r="C189" s="22">
        <v>0</v>
      </c>
      <c r="D189" s="22">
        <v>0</v>
      </c>
      <c r="E189" s="20">
        <v>0.38728205128205162</v>
      </c>
      <c r="F189" s="20">
        <v>0.90923863247863235</v>
      </c>
      <c r="G189" s="52">
        <v>1</v>
      </c>
      <c r="H189" s="52">
        <v>1</v>
      </c>
      <c r="I189" s="18">
        <v>1</v>
      </c>
      <c r="J189" s="17">
        <v>0.56265731468375324</v>
      </c>
      <c r="K189" s="17">
        <v>0.05</v>
      </c>
      <c r="L189" s="17">
        <v>0.20988034188034208</v>
      </c>
      <c r="M189" s="17">
        <v>0.05</v>
      </c>
      <c r="N189" s="20">
        <v>0.05</v>
      </c>
      <c r="O189" s="20">
        <v>0.89788786324786352</v>
      </c>
      <c r="P189" s="20">
        <v>0.95339521367521385</v>
      </c>
      <c r="Q189" s="20">
        <v>0.15594290598290589</v>
      </c>
      <c r="R189" s="20">
        <v>0.05</v>
      </c>
      <c r="S189" s="20">
        <v>0.05</v>
      </c>
      <c r="T189" s="18">
        <v>1</v>
      </c>
    </row>
    <row r="190" spans="1:20" x14ac:dyDescent="0.2">
      <c r="A190" s="4">
        <v>2038</v>
      </c>
      <c r="B190" s="52">
        <v>1</v>
      </c>
      <c r="C190" s="22">
        <v>1</v>
      </c>
      <c r="D190" s="22">
        <v>1</v>
      </c>
      <c r="E190" s="20">
        <v>0.37230769230769267</v>
      </c>
      <c r="F190" s="20">
        <v>0.90671487179487165</v>
      </c>
      <c r="G190" s="52">
        <v>1</v>
      </c>
      <c r="H190" s="52">
        <v>1</v>
      </c>
      <c r="I190" s="18">
        <v>1</v>
      </c>
      <c r="J190" s="17">
        <v>0.53725889756936385</v>
      </c>
      <c r="K190" s="17">
        <v>0.05</v>
      </c>
      <c r="L190" s="17">
        <v>0.19005128205128224</v>
      </c>
      <c r="M190" s="17">
        <v>0.05</v>
      </c>
      <c r="N190" s="20">
        <v>0.05</v>
      </c>
      <c r="O190" s="20">
        <v>0.89505948717948747</v>
      </c>
      <c r="P190" s="20">
        <v>0.95252205128205147</v>
      </c>
      <c r="Q190" s="20">
        <v>0.13475589743589733</v>
      </c>
      <c r="R190" s="20">
        <v>0.05</v>
      </c>
      <c r="S190" s="20">
        <v>0.05</v>
      </c>
      <c r="T190" s="18">
        <v>1</v>
      </c>
    </row>
    <row r="191" spans="1:20" x14ac:dyDescent="0.2">
      <c r="A191" s="4">
        <v>2039</v>
      </c>
      <c r="B191" s="52">
        <v>1</v>
      </c>
      <c r="C191" s="22">
        <v>0.8</v>
      </c>
      <c r="D191" s="22">
        <v>0.8</v>
      </c>
      <c r="E191" s="20">
        <v>0.35733333333333372</v>
      </c>
      <c r="F191" s="20">
        <v>0.90419111111111095</v>
      </c>
      <c r="G191" s="52">
        <v>1</v>
      </c>
      <c r="H191" s="52">
        <v>1</v>
      </c>
      <c r="I191" s="18">
        <v>1</v>
      </c>
      <c r="J191" s="17">
        <v>0.51250407558355593</v>
      </c>
      <c r="K191" s="17">
        <v>0.05</v>
      </c>
      <c r="L191" s="17">
        <v>0.17022222222222241</v>
      </c>
      <c r="M191" s="17">
        <v>0.05</v>
      </c>
      <c r="N191" s="20">
        <v>0.05</v>
      </c>
      <c r="O191" s="20">
        <v>0.89223111111111142</v>
      </c>
      <c r="P191" s="20">
        <v>0.9516488888888891</v>
      </c>
      <c r="Q191" s="20">
        <v>0.11356888888888879</v>
      </c>
      <c r="R191" s="20">
        <v>0.05</v>
      </c>
      <c r="S191" s="20">
        <v>0.05</v>
      </c>
      <c r="T191" s="18">
        <v>1</v>
      </c>
    </row>
    <row r="192" spans="1:20" x14ac:dyDescent="0.2">
      <c r="A192" s="4">
        <v>2040</v>
      </c>
      <c r="B192" s="52">
        <v>1</v>
      </c>
      <c r="C192" s="22">
        <v>0.8</v>
      </c>
      <c r="D192" s="22">
        <v>0.8</v>
      </c>
      <c r="E192" s="20">
        <v>0.34235897435897478</v>
      </c>
      <c r="F192" s="20">
        <v>0.90166735042735024</v>
      </c>
      <c r="G192" s="52">
        <v>1</v>
      </c>
      <c r="H192" s="52">
        <v>1</v>
      </c>
      <c r="I192" s="18">
        <v>1</v>
      </c>
      <c r="J192" s="17">
        <v>0.48841066989161569</v>
      </c>
      <c r="K192" s="17">
        <v>0.05</v>
      </c>
      <c r="L192" s="17">
        <v>0.15039316239316258</v>
      </c>
      <c r="M192" s="17">
        <v>0.05</v>
      </c>
      <c r="N192" s="20">
        <v>0.05</v>
      </c>
      <c r="O192" s="20">
        <v>0.88940273504273537</v>
      </c>
      <c r="P192" s="20">
        <v>0.95077572649572673</v>
      </c>
      <c r="Q192" s="20">
        <v>9.2381880341880246E-2</v>
      </c>
      <c r="R192" s="20">
        <v>0.05</v>
      </c>
      <c r="S192" s="20">
        <v>0.05</v>
      </c>
      <c r="T192" s="18">
        <v>1</v>
      </c>
    </row>
    <row r="193" spans="1:20" x14ac:dyDescent="0.2">
      <c r="A193" s="4">
        <v>2041</v>
      </c>
      <c r="B193" s="52">
        <v>1</v>
      </c>
      <c r="C193" s="22">
        <v>1</v>
      </c>
      <c r="D193" s="22">
        <v>1</v>
      </c>
      <c r="E193" s="20">
        <v>0.32738461538461583</v>
      </c>
      <c r="F193" s="20">
        <v>0.89914358974358954</v>
      </c>
      <c r="G193" s="52">
        <v>1</v>
      </c>
      <c r="H193" s="52">
        <v>1</v>
      </c>
      <c r="I193" s="18">
        <v>1</v>
      </c>
      <c r="J193" s="17">
        <v>0.46499376446895513</v>
      </c>
      <c r="K193" s="17">
        <v>0.05</v>
      </c>
      <c r="L193" s="17">
        <v>0.13056410256410275</v>
      </c>
      <c r="M193" s="17">
        <v>0.05</v>
      </c>
      <c r="N193" s="20">
        <v>0.05</v>
      </c>
      <c r="O193" s="20">
        <v>0.88657435897435932</v>
      </c>
      <c r="P193" s="20">
        <v>0.94990256410256435</v>
      </c>
      <c r="Q193" s="20">
        <v>7.1194871794871703E-2</v>
      </c>
      <c r="R193" s="20">
        <v>0.05</v>
      </c>
      <c r="S193" s="20">
        <v>0.05</v>
      </c>
      <c r="T193" s="18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table_aop_prospective_tiv</vt:lpstr>
      <vt:lpstr>table_aop_split</vt:lpstr>
      <vt:lpstr>table_aop_weights</vt:lpstr>
      <vt:lpstr>table_base_rate</vt:lpstr>
      <vt:lpstr>table_building_occupancy</vt:lpstr>
      <vt:lpstr>table_construction_type</vt:lpstr>
      <vt:lpstr>table_distance_to_coast</vt:lpstr>
      <vt:lpstr>table_limit_scale</vt:lpstr>
      <vt:lpstr>table_ppc</vt:lpstr>
      <vt:lpstr>table_product_line</vt:lpstr>
      <vt:lpstr>table_roof_age</vt:lpstr>
      <vt:lpstr>table_roof_type</vt:lpstr>
      <vt:lpstr>table_sprinkler</vt:lpstr>
      <vt:lpstr>table_state_rels</vt:lpstr>
      <vt:lpstr>table_water_damage_limit_scale</vt:lpstr>
      <vt:lpstr>table_year_built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Kanowitz</dc:creator>
  <cp:lastModifiedBy>Darren Khou</cp:lastModifiedBy>
  <dcterms:created xsi:type="dcterms:W3CDTF">2023-02-09T16:53:37Z</dcterms:created>
  <dcterms:modified xsi:type="dcterms:W3CDTF">2026-03-19T11:21:00Z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2025-05-21T12:35:10Z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df573bac-790d-4f4c-8f97-af6eaeff8f6d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