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azley-my.sharepoint.com/personal/yifei_zhao_beazley_com/Documents/Documents/Downloads/"/>
    </mc:Choice>
  </mc:AlternateContent>
  <xr:revisionPtr revIDLastSave="10" documentId="13_ncr:1_{D556E351-D670-4FB3-927C-762A2A117739}" xr6:coauthVersionLast="47" xr6:coauthVersionMax="47" xr10:uidLastSave="{E992118E-E631-4FB4-BF73-8246F4FCA79D}"/>
  <bookViews>
    <workbookView xWindow="-120" yWindow="-120" windowWidth="29040" windowHeight="15720" xr2:uid="{46874FE0-1EE5-4742-9BA3-9F716107C9EE}"/>
  </bookViews>
  <sheets>
    <sheet name="Rating Summary" sheetId="1" r:id="rId1"/>
    <sheet name="Rate Change (LOH)" sheetId="2" r:id="rId2"/>
  </sheets>
  <definedNames>
    <definedName name="BenchmarkLR">#REF!</definedName>
    <definedName name="DB.ApplicationID">#REF!</definedName>
    <definedName name="DB.EndDate">#REF!</definedName>
    <definedName name="DB.FirmName">#REF!</definedName>
    <definedName name="DB.Reference.Currency">#REF!</definedName>
    <definedName name="DB.Reference.LeadFollow">#REF!</definedName>
    <definedName name="DB.Reference.TPHullCHE">#REF!</definedName>
    <definedName name="DB.Reference.TPHullCIR">#REF!</definedName>
    <definedName name="DB.Reference.TPHullFixedExpense">#REF!</definedName>
    <definedName name="DB.Reference.TPHullInvestmentIncome">#REF!</definedName>
    <definedName name="DB.Reference.TPHullRICost">#REF!</definedName>
    <definedName name="DB.Reference.TPHullROC">#REF!</definedName>
    <definedName name="DB.Reference.TPHullVariableExpense">#REF!</definedName>
    <definedName name="DB.RiskInfo.CCY">#REF!</definedName>
    <definedName name="DB.StartDate">#REF!</definedName>
    <definedName name="DB.Vessel.AchievedPremium" localSheetId="1">'Rate Change (LOH)'!#REF!</definedName>
    <definedName name="DB.Vessel.AchievedPremium" localSheetId="0">'Rating Summary'!#REF!</definedName>
    <definedName name="DB.Vessel.BenchmarkPremium" localSheetId="1">'Rate Change (LOH)'!#REF!</definedName>
    <definedName name="DB.Vessel.BenchmarkPremium" localSheetId="0">'Rating Summary'!#REF!</definedName>
    <definedName name="DB.Vessels.AcheivedPremium" localSheetId="1">'Rate Change (LOH)'!#REF!</definedName>
    <definedName name="DB.Vessels.AcheivedPremium" localSheetId="0">'Rating Summary'!#REF!</definedName>
    <definedName name="DB.Vessels.AcheivedPremium">#REF!</definedName>
    <definedName name="DB.Vessels.BenchmarkPremium" localSheetId="1">'Rate Change (LOH)'!#REF!</definedName>
    <definedName name="DB.Vessels.BenchmarkPremium" localSheetId="0">'Rating Summary'!#REF!</definedName>
    <definedName name="DB.Vessels.BenchmarkPremium">#REF!</definedName>
    <definedName name="DB.Vessels.BPI" localSheetId="1">'Rate Change (LOH)'!#REF!</definedName>
    <definedName name="DB.Vessels.BPI" localSheetId="0">'Rating Summary'!#REF!</definedName>
    <definedName name="DB.Vessels.BPI">#REF!</definedName>
    <definedName name="DB.Vessels.Commission" localSheetId="1">'Rate Change (LOH)'!#REF!</definedName>
    <definedName name="DB.Vessels.Commission" localSheetId="0">'Rating Summary'!$C$12</definedName>
    <definedName name="DB.Vessels.ModelPremium">#REF!</definedName>
    <definedName name="DB.Vessels.WrittenLine" localSheetId="1">'Rate Change (LOH)'!#REF!</definedName>
    <definedName name="DB.Vessels.WrittenLine" localSheetId="0">'Rating Summary'!$F$12</definedName>
    <definedName name="Globals.RaterName">#REF!</definedName>
    <definedName name="lstAreasOfOperation">#REF!</definedName>
    <definedName name="lstClass">#REF!</definedName>
    <definedName name="lstCoverage">#REF!</definedName>
    <definedName name="lstFlag">#REF!</definedName>
    <definedName name="lstFleetCasualtyHistory">#REF!</definedName>
    <definedName name="lstFreightConditions">#REF!</definedName>
    <definedName name="lstOwnerManagerQuality">#REF!</definedName>
    <definedName name="lstVesselMachineryQuality">#REF!</definedName>
    <definedName name="lstVessel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B23" i="1"/>
  <c r="B22" i="1"/>
  <c r="B21" i="1"/>
  <c r="B20" i="1"/>
  <c r="F7" i="1"/>
  <c r="F6" i="1"/>
  <c r="C5" i="1"/>
</calcChain>
</file>

<file path=xl/sharedStrings.xml><?xml version="1.0" encoding="utf-8"?>
<sst xmlns="http://schemas.openxmlformats.org/spreadsheetml/2006/main" count="52" uniqueCount="49">
  <si>
    <t>Comment</t>
  </si>
  <si>
    <t>Policy Section Reference</t>
  </si>
  <si>
    <t>Written Line</t>
  </si>
  <si>
    <t>Brokerage</t>
  </si>
  <si>
    <t>TPI (Pre-UW Adjustment)</t>
  </si>
  <si>
    <t>TPI</t>
  </si>
  <si>
    <t>BPI</t>
  </si>
  <si>
    <t>Priced-for Loss Ratio</t>
  </si>
  <si>
    <t>Return on Capital</t>
  </si>
  <si>
    <t>Impact of Underwriting Adjustments</t>
  </si>
  <si>
    <t>Status</t>
  </si>
  <si>
    <t>LOH</t>
  </si>
  <si>
    <t>IMO</t>
  </si>
  <si>
    <t>Number of Vessels</t>
  </si>
  <si>
    <t>Vessel Name</t>
  </si>
  <si>
    <t>Type</t>
  </si>
  <si>
    <t>Build Year</t>
  </si>
  <si>
    <t>Gross Tonnage</t>
  </si>
  <si>
    <t>XS Days</t>
  </si>
  <si>
    <t>Cover</t>
  </si>
  <si>
    <t>Insured Name</t>
  </si>
  <si>
    <t>Underwriter</t>
  </si>
  <si>
    <t>Policy Reference</t>
  </si>
  <si>
    <t>Currency</t>
  </si>
  <si>
    <t>Inception Date</t>
  </si>
  <si>
    <t>Expiry Date</t>
  </si>
  <si>
    <t>Broker Name</t>
  </si>
  <si>
    <t>Combined Hull - Loss of Hire -  Rating Summary</t>
  </si>
  <si>
    <t>Is Renewal</t>
  </si>
  <si>
    <t>DWT</t>
  </si>
  <si>
    <t>Broker Contact</t>
  </si>
  <si>
    <t>Renewal</t>
  </si>
  <si>
    <t>Expiring</t>
  </si>
  <si>
    <t>Premium - Policy Term (100% Share)</t>
  </si>
  <si>
    <t>Premium - Policy Term (Beazley Share)</t>
  </si>
  <si>
    <t>Beazley Share</t>
  </si>
  <si>
    <t>Gross Benchmark Premium</t>
  </si>
  <si>
    <t>Model</t>
  </si>
  <si>
    <t>UW Selected</t>
  </si>
  <si>
    <t>Exposure Change</t>
  </si>
  <si>
    <t>Risk Characteristics Change</t>
  </si>
  <si>
    <t>Deductible Change</t>
  </si>
  <si>
    <t>Limit Change</t>
  </si>
  <si>
    <t>Terms &amp; Conditions Change</t>
  </si>
  <si>
    <t>Brokerage Change</t>
  </si>
  <si>
    <t>Other Change</t>
  </si>
  <si>
    <t>Risk Adjusted Rate Change</t>
  </si>
  <si>
    <t>UW Selected Risk Adjusted Rate Change (Gross Brokerage)</t>
  </si>
  <si>
    <t>LOH Achieved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</si>
</sst>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(* #,##0_);_(* \(#,##0\);_(* &quot;-&quot;??_);_(@_)"/>
    <numFmt numFmtId="166" formatCode="0.000000%"/>
  </numFmts>
  <fonts count="7" x14ac:knownFonts="1"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u/>
      <sz val="11"/>
      <color rgb="FFCF118C"/>
      <name val="Calibri"/>
      <family val="2"/>
    </font>
    <font>
      <sz val="11"/>
      <name val="Calibri"/>
      <family val="2"/>
    </font>
    <font>
      <b/>
      <sz val="14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CD8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/>
      <top/>
      <bottom/>
      <diagonal/>
    </border>
    <border>
      <left/>
      <right/>
      <top style="thin">
        <color rgb="FF3F3F3F"/>
      </top>
      <bottom/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/>
      <top style="thin">
        <color rgb="FF3F3F3F"/>
      </top>
      <bottom style="thin">
        <color indexed="64"/>
      </bottom>
      <diagonal/>
    </border>
    <border>
      <left/>
      <right style="thin">
        <color indexed="64"/>
      </right>
      <top style="thin">
        <color rgb="FF3F3F3F"/>
      </top>
      <bottom style="thin">
        <color indexed="64"/>
      </bottom>
      <diagonal/>
    </border>
  </borders>
  <cellStyleXfs count="17">
    <xf numFmtId="0" fontId="0" fillId="0" borderId="0"/>
    <xf numFmtId="0" fontId="1" fillId="2" borderId="1" applyBorder="0"/>
    <xf numFmtId="0" fontId="2" fillId="3" borderId="1">
      <alignment horizontal="center" vertical="center" wrapText="1"/>
    </xf>
    <xf numFmtId="0" fontId="2" fillId="2" borderId="0">
      <alignment horizontal="right"/>
    </xf>
    <xf numFmtId="9" fontId="3" fillId="4" borderId="1" applyBorder="0">
      <protection locked="0"/>
    </xf>
    <xf numFmtId="0" fontId="4" fillId="2" borderId="0"/>
    <xf numFmtId="9" fontId="5" fillId="5" borderId="1" applyBorder="0"/>
    <xf numFmtId="165" fontId="5" fillId="5" borderId="1" applyBorder="0"/>
    <xf numFmtId="0" fontId="3" fillId="4" borderId="1" applyBorder="0">
      <protection locked="0"/>
    </xf>
    <xf numFmtId="0" fontId="6" fillId="6" borderId="1" applyBorder="0">
      <alignment horizontal="center" vertical="center"/>
    </xf>
    <xf numFmtId="165" fontId="3" fillId="4" borderId="1" applyBorder="0">
      <protection locked="0"/>
    </xf>
    <xf numFmtId="0" fontId="5" fillId="5" borderId="1" applyBorder="0"/>
    <xf numFmtId="10" fontId="5" fillId="5" borderId="1" applyBorder="0"/>
    <xf numFmtId="164" fontId="5" fillId="5" borderId="1" applyBorder="0"/>
    <xf numFmtId="10" fontId="3" fillId="4" borderId="1" applyBorder="0">
      <protection locked="0"/>
    </xf>
    <xf numFmtId="164" fontId="3" fillId="4" borderId="1" applyBorder="0">
      <protection locked="0"/>
    </xf>
    <xf numFmtId="166" fontId="5" fillId="4" borderId="1"/>
  </cellStyleXfs>
  <cellXfs count="44">
    <xf numFmtId="0" fontId="0" fillId="0" borderId="0" xfId="0"/>
    <xf numFmtId="0" fontId="1" fillId="2" borderId="0" xfId="1" applyBorder="1"/>
    <xf numFmtId="0" fontId="2" fillId="3" borderId="1" xfId="2">
      <alignment horizontal="center" vertical="center" wrapText="1"/>
    </xf>
    <xf numFmtId="0" fontId="2" fillId="3" borderId="2" xfId="2" applyBorder="1">
      <alignment horizontal="center" vertical="center" wrapText="1"/>
    </xf>
    <xf numFmtId="0" fontId="2" fillId="2" borderId="0" xfId="3">
      <alignment horizontal="right"/>
    </xf>
    <xf numFmtId="0" fontId="2" fillId="3" borderId="3" xfId="2" applyBorder="1">
      <alignment horizontal="center" vertical="center" wrapText="1"/>
    </xf>
    <xf numFmtId="0" fontId="4" fillId="2" borderId="0" xfId="5"/>
    <xf numFmtId="165" fontId="5" fillId="5" borderId="5" xfId="7" applyBorder="1"/>
    <xf numFmtId="0" fontId="3" fillId="4" borderId="1" xfId="8" applyBorder="1">
      <protection locked="0"/>
    </xf>
    <xf numFmtId="0" fontId="3" fillId="7" borderId="1" xfId="1" applyFont="1" applyFill="1" applyBorder="1"/>
    <xf numFmtId="0" fontId="3" fillId="7" borderId="1" xfId="1" applyFont="1" applyFill="1" applyBorder="1" applyAlignment="1">
      <alignment horizontal="center"/>
    </xf>
    <xf numFmtId="14" fontId="3" fillId="7" borderId="1" xfId="1" applyNumberFormat="1" applyFont="1" applyFill="1" applyBorder="1"/>
    <xf numFmtId="165" fontId="3" fillId="4" borderId="1" xfId="10" applyBorder="1">
      <protection locked="0"/>
    </xf>
    <xf numFmtId="10" fontId="5" fillId="5" borderId="5" xfId="12" applyBorder="1"/>
    <xf numFmtId="164" fontId="5" fillId="5" borderId="5" xfId="13" applyBorder="1"/>
    <xf numFmtId="10" fontId="3" fillId="4" borderId="1" xfId="14" applyBorder="1">
      <protection locked="0"/>
    </xf>
    <xf numFmtId="10" fontId="3" fillId="4" borderId="5" xfId="14" applyBorder="1">
      <protection locked="0"/>
    </xf>
    <xf numFmtId="0" fontId="1" fillId="2" borderId="4" xfId="1" applyBorder="1"/>
    <xf numFmtId="0" fontId="6" fillId="6" borderId="0" xfId="9" applyBorder="1" applyAlignment="1">
      <alignment vertical="center"/>
    </xf>
    <xf numFmtId="0" fontId="1" fillId="2" borderId="11" xfId="1" applyBorder="1"/>
    <xf numFmtId="0" fontId="1" fillId="2" borderId="9" xfId="1" applyBorder="1"/>
    <xf numFmtId="0" fontId="2" fillId="2" borderId="9" xfId="3" applyBorder="1">
      <alignment horizontal="right"/>
    </xf>
    <xf numFmtId="164" fontId="3" fillId="4" borderId="1" xfId="15" applyBorder="1">
      <protection locked="0"/>
    </xf>
    <xf numFmtId="165" fontId="3" fillId="4" borderId="5" xfId="10" applyBorder="1">
      <protection locked="0"/>
    </xf>
    <xf numFmtId="0" fontId="1" fillId="2" borderId="13" xfId="1" applyBorder="1"/>
    <xf numFmtId="164" fontId="3" fillId="4" borderId="5" xfId="15" applyBorder="1">
      <protection locked="0"/>
    </xf>
    <xf numFmtId="0" fontId="1" fillId="2" borderId="14" xfId="1" applyBorder="1"/>
    <xf numFmtId="0" fontId="2" fillId="3" borderId="0" xfId="2" applyBorder="1">
      <alignment horizontal="center" vertical="center" wrapText="1"/>
    </xf>
    <xf numFmtId="0" fontId="1" fillId="2" borderId="15" xfId="1" applyBorder="1"/>
    <xf numFmtId="0" fontId="0" fillId="0" borderId="7" xfId="0" applyBorder="1"/>
    <xf numFmtId="0" fontId="6" fillId="6" borderId="0" xfId="9" applyBorder="1">
      <alignment horizontal="center" vertical="center"/>
    </xf>
    <xf numFmtId="0" fontId="5" fillId="4" borderId="6" xfId="8" applyFont="1" applyBorder="1" applyAlignment="1">
      <alignment horizontal="left" vertical="top" wrapText="1"/>
      <protection locked="0"/>
    </xf>
    <xf numFmtId="0" fontId="5" fillId="4" borderId="7" xfId="8" applyFont="1" applyBorder="1" applyAlignment="1">
      <alignment horizontal="left" vertical="top"/>
      <protection locked="0"/>
    </xf>
    <xf numFmtId="0" fontId="5" fillId="4" borderId="8" xfId="8" applyFont="1" applyBorder="1" applyAlignment="1">
      <alignment horizontal="left" vertical="top"/>
      <protection locked="0"/>
    </xf>
    <xf numFmtId="0" fontId="5" fillId="4" borderId="4" xfId="8" applyFont="1" applyBorder="1" applyAlignment="1">
      <alignment horizontal="left" vertical="top"/>
      <protection locked="0"/>
    </xf>
    <xf numFmtId="0" fontId="5" fillId="4" borderId="0" xfId="8" applyFont="1" applyBorder="1" applyAlignment="1">
      <alignment horizontal="left" vertical="top"/>
      <protection locked="0"/>
    </xf>
    <xf numFmtId="0" fontId="5" fillId="4" borderId="9" xfId="8" applyFont="1" applyBorder="1" applyAlignment="1">
      <alignment horizontal="left" vertical="top"/>
      <protection locked="0"/>
    </xf>
    <xf numFmtId="0" fontId="5" fillId="4" borderId="10" xfId="8" applyFont="1" applyBorder="1" applyAlignment="1">
      <alignment horizontal="left" vertical="top"/>
      <protection locked="0"/>
    </xf>
    <xf numFmtId="0" fontId="5" fillId="4" borderId="11" xfId="8" applyFont="1" applyBorder="1" applyAlignment="1">
      <alignment horizontal="left" vertical="top"/>
      <protection locked="0"/>
    </xf>
    <xf numFmtId="0" fontId="5" fillId="4" borderId="12" xfId="8" applyFont="1" applyBorder="1" applyAlignment="1">
      <alignment horizontal="left" vertical="top"/>
      <protection locked="0"/>
    </xf>
    <xf numFmtId="164" fontId="3" fillId="4" borderId="16" xfId="15" applyBorder="1">
      <protection locked="0"/>
    </xf>
    <xf numFmtId="164" fontId="3" fillId="4" borderId="17" xfId="15" applyBorder="1">
      <protection locked="0"/>
    </xf>
    <xf numFmtId="164" fontId="3" fillId="4" borderId="18" xfId="15" applyBorder="1">
      <protection locked="0"/>
    </xf>
    <xf numFmtId="166" fontId="5" fillId="4" borderId="1" xfId="16"/>
  </cellXfs>
  <cellStyles count="17">
    <cellStyle name="FldHeading" xfId="3" xr:uid="{E6F6914B-A0CA-44D4-9ABA-1C7AD02EF860}"/>
    <cellStyle name="InGen" xfId="8" xr:uid="{98FABCDD-3CE8-421D-A51F-5FB0FF3E530B}"/>
    <cellStyle name="InNum0dp" xfId="10" xr:uid="{C3C95318-6300-4E28-8D04-EFF5A07F7862}"/>
    <cellStyle name="InPerc0dp" xfId="4" xr:uid="{A5F51606-FD67-4802-BBF2-3B65D75EFF03}"/>
    <cellStyle name="InPerc1dp" xfId="15" xr:uid="{06F76B77-1DF1-4753-9422-646C0E92056E}"/>
    <cellStyle name="InPerc2dp" xfId="14" xr:uid="{E089E0A4-D796-4071-8C3F-B0046469D7A5}"/>
    <cellStyle name="Normal" xfId="0" builtinId="0"/>
    <cellStyle name="OutGen" xfId="11" xr:uid="{40B1C393-3A94-4058-9843-A431A634CC48}"/>
    <cellStyle name="OutNum0dp" xfId="7" xr:uid="{76643106-71A7-4D64-88DF-9C4CD6BFED6B}"/>
    <cellStyle name="OutPerc0dp" xfId="6" xr:uid="{557F1A0B-1E84-4E88-9956-EF089CC8C67B}"/>
    <cellStyle name="OutPerc1dp" xfId="13" xr:uid="{44017C92-E4BC-41B7-9C8D-BF2FE2ECFBE1}"/>
    <cellStyle name="OutPerc2dp" xfId="12" xr:uid="{E9536FC8-7B4C-4FE6-90CC-7EA3C0BBFCF1}"/>
    <cellStyle name="SecHeading" xfId="5" xr:uid="{1BEFFD32-A50B-4470-9208-83BFF94CF127}"/>
    <cellStyle name="ShtBack" xfId="1" xr:uid="{4D303866-8258-4AA2-A27A-7B76377D59FA}"/>
    <cellStyle name="ShtHeading" xfId="9" xr:uid="{D3A8898F-13F6-4091-AE18-C0A449DD7C58}"/>
    <cellStyle name="Style 1" xfId="16" xr:uid="{3DEE9BA6-1E0C-4E1D-A8BB-79A449C8E432}"/>
    <cellStyle name="TblHeading" xfId="2" xr:uid="{2CA7304C-EBBA-426A-A102-9C463842FA11}"/>
  </cellStyles>
  <dxfs count="0"/>
  <tableStyles count="0" defaultTableStyle="TableStyleMedium2" defaultPivotStyle="PivotStyleLight16"/>
  <colors>
    <mruColors>
      <color rgb="FFFCD8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587C-F768-4EA4-B802-CE75D183E8BD}">
  <dimension ref="A1:AE51"/>
  <sheetViews>
    <sheetView tabSelected="1" workbookViewId="0">
      <selection activeCell="L28" sqref="L28"/>
    </sheetView>
  </sheetViews>
  <sheetFormatPr defaultColWidth="0" defaultRowHeight="0" customHeight="1" zeroHeight="1" x14ac:dyDescent="0.25"/>
  <cols>
    <col min="1" max="1" width="9.140625" customWidth="1"/>
    <col min="2" max="2" width="50" bestFit="1" customWidth="1"/>
    <col min="3" max="3" width="24.5703125" customWidth="1"/>
    <col min="4" max="12" width="14.7109375" customWidth="1"/>
    <col min="13" max="13" width="9.140625" customWidth="1"/>
    <col min="14" max="17" width="9.140625" hidden="1" customWidth="1"/>
    <col min="18" max="18" width="18.7109375" hidden="1" customWidth="1"/>
    <col min="19" max="23" width="9.140625" hidden="1" customWidth="1"/>
    <col min="24" max="24" width="31" hidden="1" customWidth="1"/>
    <col min="25" max="26" width="9.140625" hidden="1" customWidth="1"/>
    <col min="27" max="27" width="16.85546875" hidden="1" customWidth="1"/>
    <col min="28" max="16384" width="9.140625" hidden="1"/>
  </cols>
  <sheetData>
    <row r="1" spans="1:31" ht="15" customHeight="1" x14ac:dyDescent="0.25">
      <c r="A1" s="30" t="s">
        <v>27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 spans="1:31" ht="15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3" spans="1:31" ht="15" x14ac:dyDescent="0.25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" x14ac:dyDescent="0.25">
      <c r="A4" s="1"/>
      <c r="B4" s="4" t="s">
        <v>20</v>
      </c>
      <c r="C4" s="9"/>
      <c r="D4" s="1"/>
      <c r="E4" s="4" t="s">
        <v>21</v>
      </c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x14ac:dyDescent="0.25">
      <c r="A5" s="1"/>
      <c r="B5" s="4" t="s">
        <v>22</v>
      </c>
      <c r="C5" s="9" t="str">
        <f>LEFT(C17,8)</f>
        <v/>
      </c>
      <c r="D5" s="1"/>
      <c r="E5" s="4" t="s">
        <v>23</v>
      </c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x14ac:dyDescent="0.25">
      <c r="A6" s="1"/>
      <c r="B6" s="4" t="s">
        <v>24</v>
      </c>
      <c r="C6" s="11"/>
      <c r="D6" s="1"/>
      <c r="E6" s="4" t="s">
        <v>30</v>
      </c>
      <c r="F6" s="10" t="str">
        <f>LEFT(F18,8)</f>
        <v/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" x14ac:dyDescent="0.25">
      <c r="A7" s="1"/>
      <c r="B7" s="4" t="s">
        <v>25</v>
      </c>
      <c r="C7" s="11"/>
      <c r="D7" s="1"/>
      <c r="E7" s="4" t="s">
        <v>26</v>
      </c>
      <c r="F7" s="10" t="str">
        <f>LEFT(F19,8)</f>
        <v/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x14ac:dyDescent="0.25">
      <c r="A8" s="1"/>
      <c r="B8" s="4" t="s">
        <v>28</v>
      </c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" x14ac:dyDescent="0.25">
      <c r="A9" s="1"/>
      <c r="B9" s="6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" x14ac:dyDescent="0.25">
      <c r="A10" s="1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31" ht="15" x14ac:dyDescent="0.25">
      <c r="A11" s="1"/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1" ht="15" x14ac:dyDescent="0.25">
      <c r="A12" s="1"/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1" ht="15" x14ac:dyDescent="0.25">
      <c r="A13" s="1"/>
      <c r="B13" s="37"/>
      <c r="C13" s="38"/>
      <c r="D13" s="38"/>
      <c r="E13" s="38"/>
      <c r="F13" s="38"/>
      <c r="G13" s="38"/>
      <c r="H13" s="38"/>
      <c r="I13" s="38"/>
      <c r="J13" s="38"/>
      <c r="K13" s="38"/>
      <c r="L13" s="3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31" ht="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x14ac:dyDescent="0.25">
      <c r="A15" s="1"/>
      <c r="B15" s="2"/>
      <c r="C15" s="2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" customHeight="1" x14ac:dyDescent="0.25">
      <c r="A16" s="1"/>
      <c r="B16" s="4" t="s">
        <v>10</v>
      </c>
      <c r="C16" s="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 x14ac:dyDescent="0.25">
      <c r="A17" s="1"/>
      <c r="B17" s="4" t="s">
        <v>1</v>
      </c>
      <c r="C17" s="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x14ac:dyDescent="0.25">
      <c r="A18" s="1"/>
      <c r="B18" s="4" t="s">
        <v>3</v>
      </c>
      <c r="C18" s="1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 x14ac:dyDescent="0.25">
      <c r="A19" s="1"/>
      <c r="B19" s="4" t="s">
        <v>2</v>
      </c>
      <c r="C19" s="1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" x14ac:dyDescent="0.25">
      <c r="A20" s="1"/>
      <c r="B20" s="4" t="str">
        <f>"Gross Quoted/Achieved Premium (100%, "&amp;F5&amp;")"</f>
        <v>Gross Quoted/Achieved Premium (100%, )</v>
      </c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5"/>
      <c r="AE20" s="1"/>
    </row>
    <row r="21" spans="1:31" ht="15" x14ac:dyDescent="0.25">
      <c r="A21" s="1"/>
      <c r="B21" s="4" t="str">
        <f>"Gross Technical Premium (100%, "&amp;F5&amp;")"</f>
        <v>Gross Technical Premium (100%, )</v>
      </c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31" ht="15" x14ac:dyDescent="0.25">
      <c r="A22" s="1"/>
      <c r="B22" s="4" t="str">
        <f>"Gross Technical Premium (Pre-UW Adjustment, 100%, "&amp;F5&amp;")"</f>
        <v>Gross Technical Premium (Pre-UW Adjustment, 100%, )</v>
      </c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31" ht="15" customHeight="1" x14ac:dyDescent="0.25">
      <c r="A23" s="1"/>
      <c r="B23" s="4" t="str">
        <f>"Gross Benchmark Premium (100%, "&amp;F5&amp;")"</f>
        <v>Gross Benchmark Premium (100%, )</v>
      </c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AC23" s="1"/>
    </row>
    <row r="24" spans="1:31" ht="15" customHeight="1" x14ac:dyDescent="0.25">
      <c r="A24" s="1"/>
      <c r="B24" s="4" t="s">
        <v>5</v>
      </c>
      <c r="C24" s="1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AC24" s="1"/>
    </row>
    <row r="25" spans="1:31" ht="15" customHeight="1" x14ac:dyDescent="0.25">
      <c r="A25" s="1"/>
      <c r="B25" s="4" t="s">
        <v>4</v>
      </c>
      <c r="C25" s="1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AC25" s="1"/>
    </row>
    <row r="26" spans="1:31" ht="15" customHeight="1" x14ac:dyDescent="0.25">
      <c r="A26" s="1"/>
      <c r="B26" s="4" t="s">
        <v>6</v>
      </c>
      <c r="C26" s="1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31" ht="15" customHeight="1" x14ac:dyDescent="0.25">
      <c r="A27" s="1"/>
      <c r="B27" s="4" t="s">
        <v>7</v>
      </c>
      <c r="C27" s="1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31" ht="15" customHeight="1" x14ac:dyDescent="0.25">
      <c r="A28" s="1"/>
      <c r="B28" s="4" t="s">
        <v>8</v>
      </c>
      <c r="C28" s="1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31" ht="15" customHeight="1" x14ac:dyDescent="0.25">
      <c r="A29" s="1"/>
      <c r="B29" s="4" t="s">
        <v>9</v>
      </c>
      <c r="C29" s="1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31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31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31" ht="53.25" customHeight="1" x14ac:dyDescent="0.25">
      <c r="A32" s="1"/>
      <c r="B32" s="2" t="s">
        <v>13</v>
      </c>
      <c r="C32" s="3" t="s">
        <v>14</v>
      </c>
      <c r="D32" s="2" t="s">
        <v>12</v>
      </c>
      <c r="E32" s="2" t="s">
        <v>15</v>
      </c>
      <c r="F32" s="2" t="s">
        <v>16</v>
      </c>
      <c r="G32" s="2" t="s">
        <v>17</v>
      </c>
      <c r="H32" s="2" t="s">
        <v>29</v>
      </c>
      <c r="I32" s="2" t="str">
        <f>"LOH Daily Benchmark Rate("&amp;F5&amp;")"</f>
        <v>LOH Daily Benchmark Rate()</v>
      </c>
      <c r="J32" s="2" t="s">
        <v>18</v>
      </c>
      <c r="K32" s="2" t="s">
        <v>19</v>
      </c>
      <c r="L32" s="2" t="s">
        <v>48</v>
      </c>
      <c r="M32" s="17"/>
      <c r="N32" s="1"/>
    </row>
    <row r="33" spans="1:14" ht="15" x14ac:dyDescent="0.25">
      <c r="A33" s="1"/>
      <c r="B33" s="12"/>
      <c r="C33" s="8"/>
      <c r="D33" s="8"/>
      <c r="E33" s="8"/>
      <c r="F33" s="8"/>
      <c r="G33" s="12"/>
      <c r="H33" s="12"/>
      <c r="I33" s="12"/>
      <c r="J33" s="8"/>
      <c r="K33" s="8"/>
      <c r="L33" s="43"/>
      <c r="M33" s="17"/>
      <c r="N33" s="1"/>
    </row>
    <row r="49" customFormat="1" ht="0" hidden="1" customHeight="1" x14ac:dyDescent="0.25"/>
    <row r="50" customFormat="1" ht="0" hidden="1" customHeight="1" x14ac:dyDescent="0.25"/>
    <row r="51" customFormat="1" ht="0" hidden="1" customHeight="1" x14ac:dyDescent="0.25"/>
  </sheetData>
  <mergeCells count="2">
    <mergeCell ref="A1:AE2"/>
    <mergeCell ref="B10:L13"/>
  </mergeCells>
  <dataValidations disablePrompts="1" count="1">
    <dataValidation type="decimal" allowBlank="1" showInputMessage="1" showErrorMessage="1" sqref="C16:E18" xr:uid="{386AE869-48BB-4C28-BB86-5702367BF7BA}">
      <formula1>-1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E71E-48B2-4B2B-9F16-DB25C0FF6476}">
  <dimension ref="A1:AG1048575"/>
  <sheetViews>
    <sheetView workbookViewId="0">
      <selection activeCell="B21" sqref="B21"/>
    </sheetView>
  </sheetViews>
  <sheetFormatPr defaultColWidth="0" defaultRowHeight="0" customHeight="1" zeroHeight="1" x14ac:dyDescent="0.25"/>
  <cols>
    <col min="1" max="1" width="9.140625" customWidth="1"/>
    <col min="2" max="2" width="50" bestFit="1" customWidth="1"/>
    <col min="3" max="5" width="14.7109375" customWidth="1"/>
    <col min="6" max="6" width="9.140625" customWidth="1"/>
    <col min="7" max="18" width="14.7109375" hidden="1" customWidth="1"/>
    <col min="19" max="19" width="9.140625" hidden="1" customWidth="1"/>
    <col min="20" max="20" width="18.7109375" hidden="1" customWidth="1"/>
    <col min="21" max="25" width="9.140625" hidden="1" customWidth="1"/>
    <col min="26" max="26" width="31" hidden="1" customWidth="1"/>
    <col min="27" max="28" width="9.140625" hidden="1" customWidth="1"/>
    <col min="29" max="29" width="16.85546875" hidden="1" customWidth="1"/>
    <col min="30" max="16384" width="9.140625" hidden="1"/>
  </cols>
  <sheetData>
    <row r="1" spans="1:33" ht="15" customHeight="1" x14ac:dyDescent="0.25">
      <c r="A1" s="30" t="s">
        <v>27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ht="15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15" x14ac:dyDescent="0.25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" x14ac:dyDescent="0.25">
      <c r="A4" s="1"/>
      <c r="B4" s="1"/>
      <c r="C4" s="1"/>
      <c r="D4" s="1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x14ac:dyDescent="0.25">
      <c r="A5" s="1"/>
      <c r="B5" s="20"/>
      <c r="C5" s="3" t="s">
        <v>31</v>
      </c>
      <c r="D5" s="2" t="s">
        <v>32</v>
      </c>
      <c r="E5" s="1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customHeight="1" x14ac:dyDescent="0.25">
      <c r="A6" s="1"/>
      <c r="B6" s="21" t="s">
        <v>33</v>
      </c>
      <c r="C6" s="12"/>
      <c r="D6" s="12"/>
      <c r="E6" s="1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x14ac:dyDescent="0.25">
      <c r="A7" s="1"/>
      <c r="B7" s="4" t="s">
        <v>34</v>
      </c>
      <c r="C7" s="12"/>
      <c r="D7" s="12"/>
      <c r="E7" s="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x14ac:dyDescent="0.25">
      <c r="A8" s="1"/>
      <c r="B8" s="4" t="s">
        <v>35</v>
      </c>
      <c r="C8" s="22"/>
      <c r="D8" s="22"/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x14ac:dyDescent="0.25">
      <c r="A9" s="1"/>
      <c r="B9" s="4" t="s">
        <v>36</v>
      </c>
      <c r="C9" s="23"/>
      <c r="D9" s="23"/>
      <c r="E9" s="2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x14ac:dyDescent="0.25">
      <c r="A10" s="1"/>
      <c r="B10" s="4" t="s">
        <v>6</v>
      </c>
      <c r="C10" s="25"/>
      <c r="D10" s="25"/>
      <c r="E10" s="2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5"/>
      <c r="AG10" s="1"/>
    </row>
    <row r="11" spans="1:33" ht="15" x14ac:dyDescent="0.25">
      <c r="A11" s="1"/>
      <c r="B11" s="4"/>
      <c r="C11" s="26"/>
      <c r="D11" s="2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27"/>
      <c r="AG11" s="1"/>
    </row>
    <row r="12" spans="1:33" ht="15" x14ac:dyDescent="0.25">
      <c r="A12" s="1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27"/>
      <c r="AG12" s="1"/>
    </row>
    <row r="13" spans="1:33" ht="15" customHeight="1" x14ac:dyDescent="0.25">
      <c r="A13" s="1"/>
      <c r="B13" s="20"/>
      <c r="C13" s="3" t="s">
        <v>37</v>
      </c>
      <c r="D13" s="2" t="s">
        <v>38</v>
      </c>
      <c r="E13" s="2" t="s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3" ht="15" customHeight="1" x14ac:dyDescent="0.25">
      <c r="A14" s="1"/>
      <c r="B14" s="21" t="s">
        <v>39</v>
      </c>
      <c r="C14" s="22"/>
      <c r="D14" s="22"/>
      <c r="E14" s="2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3" ht="15" customHeight="1" x14ac:dyDescent="0.25">
      <c r="A15" s="1"/>
      <c r="B15" s="4" t="s">
        <v>40</v>
      </c>
      <c r="C15" s="22"/>
      <c r="D15" s="22"/>
      <c r="E15" s="2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3" ht="15" customHeight="1" x14ac:dyDescent="0.25">
      <c r="A16" s="1"/>
      <c r="B16" s="4" t="s">
        <v>41</v>
      </c>
      <c r="C16" s="22"/>
      <c r="D16" s="22"/>
      <c r="E16" s="2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 customHeight="1" x14ac:dyDescent="0.25">
      <c r="A17" s="1"/>
      <c r="B17" s="4" t="s">
        <v>42</v>
      </c>
      <c r="C17" s="25"/>
      <c r="D17" s="25"/>
      <c r="E17" s="2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customHeight="1" x14ac:dyDescent="0.25">
      <c r="A18" s="1"/>
      <c r="B18" s="4" t="s">
        <v>43</v>
      </c>
      <c r="C18" s="25"/>
      <c r="D18" s="25"/>
      <c r="E18" s="2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 customHeight="1" x14ac:dyDescent="0.25">
      <c r="A19" s="1"/>
      <c r="B19" s="4" t="s">
        <v>44</v>
      </c>
      <c r="C19" s="25"/>
      <c r="D19" s="25"/>
      <c r="E19" s="2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" customHeight="1" x14ac:dyDescent="0.25">
      <c r="A20" s="1"/>
      <c r="B20" s="4" t="s">
        <v>45</v>
      </c>
      <c r="C20" s="25"/>
      <c r="D20" s="25"/>
      <c r="E20" s="2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s="1" customFormat="1" ht="15" customHeight="1" x14ac:dyDescent="0.15">
      <c r="C21" s="28"/>
      <c r="D21" s="28"/>
      <c r="E21" s="28"/>
    </row>
    <row r="22" spans="1:31" ht="15" customHeight="1" x14ac:dyDescent="0.25">
      <c r="A22" s="1"/>
      <c r="B22" s="4" t="s">
        <v>46</v>
      </c>
      <c r="C22" s="25"/>
      <c r="D22" s="25"/>
      <c r="E22" s="2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s="1" customFormat="1" ht="15" customHeight="1" x14ac:dyDescent="0.15">
      <c r="C23" s="28"/>
      <c r="D23" s="26"/>
      <c r="E23" s="26"/>
    </row>
    <row r="24" spans="1:31" ht="15" x14ac:dyDescent="0.25">
      <c r="A24" s="1"/>
      <c r="B24" s="4" t="s">
        <v>47</v>
      </c>
      <c r="C24" s="40"/>
      <c r="D24" s="41"/>
      <c r="E24" s="4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1048575" spans="5:5" ht="0" hidden="1" customHeight="1" x14ac:dyDescent="0.25">
      <c r="E1048575" s="29"/>
    </row>
  </sheetData>
  <mergeCells count="2">
    <mergeCell ref="A1:R2"/>
    <mergeCell ref="C24:E24"/>
  </mergeCells>
  <dataValidations count="1">
    <dataValidation type="decimal" allowBlank="1" showInputMessage="1" showErrorMessage="1" sqref="D6:E6 D14:E14" xr:uid="{9FB39857-7D2A-48F4-A7E7-04CCDBFB22DE}">
      <formula1>-1</formula1>
      <formula2>1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Rating Summary</vt:lpstr>
      <vt:lpstr>Rate Change (LOH)</vt:lpstr>
      <vt:lpstr>'Rating Summary'!DB.Vessels.Commission</vt:lpstr>
      <vt:lpstr>'Rating Summary'!DB.Vessels.WrittenLine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Shafie</dc:creator>
  <cp:lastModifiedBy>Yifei Zhao</cp:lastModifiedBy>
  <dcterms:created xsi:type="dcterms:W3CDTF">2025-04-09T09:25:03Z</dcterms:created>
  <dcterms:modified xsi:type="dcterms:W3CDTF">2025-08-05T22:05:40Z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5a184a-ec6c-4706-a8fe-00eb3519811b_Enabled">
    <vt:lpwstr>true</vt:lpwstr>
  </property>
  <property fmtid="{D5CDD505-2E9C-101B-9397-08002B2CF9AE}" pid="3" name="MSIP_Label_e45a184a-ec6c-4706-a8fe-00eb3519811b_SetDate">
    <vt:lpwstr>2025-07-15T12:13:47Z</vt:lpwstr>
  </property>
  <property fmtid="{D5CDD505-2E9C-101B-9397-08002B2CF9AE}" pid="4" name="MSIP_Label_e45a184a-ec6c-4706-a8fe-00eb3519811b_Method">
    <vt:lpwstr>Privileged</vt:lpwstr>
  </property>
  <property fmtid="{D5CDD505-2E9C-101B-9397-08002B2CF9AE}" pid="5" name="MSIP_Label_e45a184a-ec6c-4706-a8fe-00eb3519811b_Name">
    <vt:lpwstr>Confidential</vt:lpwstr>
  </property>
  <property fmtid="{D5CDD505-2E9C-101B-9397-08002B2CF9AE}" pid="6" name="MSIP_Label_e45a184a-ec6c-4706-a8fe-00eb3519811b_SiteId">
    <vt:lpwstr>9a50eba8-7568-447a-bcb9-27a0d464aa80</vt:lpwstr>
  </property>
  <property fmtid="{D5CDD505-2E9C-101B-9397-08002B2CF9AE}" pid="7" name="MSIP_Label_e45a184a-ec6c-4706-a8fe-00eb3519811b_ActionId">
    <vt:lpwstr>e6ca7f58-fbce-4375-b0a4-1f285219ec8a</vt:lpwstr>
  </property>
  <property fmtid="{D5CDD505-2E9C-101B-9397-08002B2CF9AE}" pid="8" name="MSIP_Label_e45a184a-ec6c-4706-a8fe-00eb3519811b_ContentBits">
    <vt:lpwstr>0</vt:lpwstr>
  </property>
  <property fmtid="{D5CDD505-2E9C-101B-9397-08002B2CF9AE}" pid="9" name="MSIP_Label_e45a184a-ec6c-4706-a8fe-00eb3519811b_Tag">
    <vt:lpwstr>10, 0, 1, 1</vt:lpwstr>
  </property>
</Properties>
</file>