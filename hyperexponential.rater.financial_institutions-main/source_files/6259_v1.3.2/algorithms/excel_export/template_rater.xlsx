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someID" Type="http://schemas.microsoft.com/office/2006/relationships/ui/extensibility" Target="customUI/customUI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W:\Finance\Actuarial\Pricing\04 - Specialty\08 - Modernisation\FI\Excel Export\"/>
    </mc:Choice>
  </mc:AlternateContent>
  <xr:revisionPtr revIDLastSave="0" documentId="8_{E9BDE08B-B6F3-46A2-8441-86A7D4C4CE10}" xr6:coauthVersionLast="47" xr6:coauthVersionMax="47" xr10:uidLastSave="{00000000-0000-0000-0000-000000000000}"/>
  <bookViews>
    <workbookView xWindow="-120" yWindow="-120" windowWidth="29040" windowHeight="15840" tabRatio="622" xr2:uid="{00000000-000D-0000-FFFF-FFFF00000000}"/>
  </bookViews>
  <sheets>
    <sheet name="Risk Information" sheetId="19" r:id="rId1"/>
    <sheet name="Exposure Details" sheetId="47" r:id="rId2"/>
    <sheet name="Cover details" sheetId="49" r:id="rId3"/>
    <sheet name="Risk assessment" sheetId="48" r:id="rId4"/>
    <sheet name="Rating Summary" sheetId="50" r:id="rId5"/>
    <sheet name="Rationale" sheetId="111" r:id="rId6"/>
    <sheet name="Rate Change" sheetId="110" r:id="rId7"/>
  </sheets>
  <definedNames>
    <definedName name="[2]_1_WEBI_DataGrid" hidden="1">#REF!</definedName>
    <definedName name="[2]_1_WEBI_HHeading" hidden="1">#REF!</definedName>
    <definedName name="[2]_1_WEBI_Table" hidden="1">#REF!</definedName>
    <definedName name="_1_1__1_WEBI_DataGrid" hidden="1">#REF!</definedName>
    <definedName name="_2_1__1_WEBI_HHeading" hidden="1">#REF!</definedName>
    <definedName name="_3_1__1_WEBI_Table" hidden="1">#REF!</definedName>
    <definedName name="_4_2__1_WEBI_DataGrid" hidden="1">#REF!</definedName>
    <definedName name="_5_2__1_WEBI_HHeading" hidden="1">#REF!</definedName>
    <definedName name="_6_2__1_WEBI_Table" hidden="1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LiveUpdatePeriod" hidden="1">-1</definedName>
    <definedName name="_AtRisk_SimSetting_MacroMode" hidden="1">0</definedName>
    <definedName name="_AtRisk_SimSetting_MacroRecalculationBehavior" hidden="1">0</definedName>
    <definedName name="_AtRisk_SimSetting_MultipleCPUManualCount" hidden="1">8</definedName>
    <definedName name="_AtRisk_SimSetting_MultipleCPUMode" hidden="1">0</definedName>
    <definedName name="_AtRisk_SimSetting_RandomNumberGenerator" hidden="1">0</definedName>
    <definedName name="_AtRisk_SimSetting_ReportOptionCustomItemsCount" hidden="1">0</definedName>
    <definedName name="_AtRisk_SimSetting_ReportOptionDataMode" hidden="1">1</definedName>
    <definedName name="_AtRisk_SimSetting_ReportOptionReportMultiSimType" hidden="1">1</definedName>
    <definedName name="_AtRisk_SimSetting_ReportOptionReportPlacement" hidden="1">1</definedName>
    <definedName name="_AtRisk_SimSetting_ReportOptionReportSelection" hidden="1">0</definedName>
    <definedName name="_AtRisk_SimSetting_ReportOptionReportsFileType" hidden="1">1</definedName>
    <definedName name="_AtRisk_SimSetting_ReportOptionReportStyle" hidden="1">1</definedName>
    <definedName name="_AtRisk_SimSetting_ReportOptionSelectiveQR" hidden="1">FALSE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xlnm._FilterDatabase" localSheetId="2" hidden="1">'Cover details'!$L$3:$L$36</definedName>
    <definedName name="_xlnm._FilterDatabase" localSheetId="1" hidden="1">'Exposure Details'!$I$2:$I$114</definedName>
    <definedName name="_xlnm._FilterDatabase" localSheetId="4" hidden="1">'Rating Summary'!$CH$2:$CH$45</definedName>
    <definedName name="_xlnm._FilterDatabase" localSheetId="3" hidden="1">'Risk assessment'!$F$4:$F$28</definedName>
    <definedName name="_Order1" hidden="1">255</definedName>
    <definedName name="CIQWBGuid" localSheetId="6" hidden="1">"9921417e-7cb2-4480-924c-4c341f93224d"</definedName>
    <definedName name="CIQWBGuid" hidden="1">"d78e8507-465c-44e6-bfee-ae627a46e2c9"</definedName>
    <definedName name="DB.AdditionalInfoPath">Rationale!$B$40</definedName>
    <definedName name="DB.BPIComments">Rationale!$B$12</definedName>
    <definedName name="DB.Broker">'Risk Information'!$D$31</definedName>
    <definedName name="DB.ClearanceStatus">'Rating Summary'!#REF!</definedName>
    <definedName name="DB.CoverDetails.AllLayers.BRK">'Cover details'!$E$26</definedName>
    <definedName name="DB.CoverDetails.AllLayers.CrimePC">'Cover details'!$E$33</definedName>
    <definedName name="DB.CoverDetails.AllLayers.DOPC">'Cover details'!$E$35</definedName>
    <definedName name="DB.CoverDetails.AllLayers.EEA">'Cover details'!$E$31</definedName>
    <definedName name="DB.CoverDetails.AllLayers.EEANonEEA">'Cover details'!$E$32</definedName>
    <definedName name="DB.CoverDetails.AllLayers.LTA">'Cover details'!$E$28</definedName>
    <definedName name="DB.CoverDetails.AllLayers.NCB">'Cover details'!$E$27</definedName>
    <definedName name="DB.CoverDetails.AllLayers.PIPC">'Cover details'!$E$34</definedName>
    <definedName name="DB.CoverDetails.C1">'Cover details'!$E$6</definedName>
    <definedName name="DB.CoverDetails.c1.ret">'Cover details'!$I$6</definedName>
    <definedName name="DB.CoverDetails.c2">'Cover details'!$F$6</definedName>
    <definedName name="DB.CoverDetails.c2.ret">'Cover details'!$J$6</definedName>
    <definedName name="DB.CoverDetails.CCY.Cover">'Cover details'!$E$11</definedName>
    <definedName name="DB.CoverDetails.d1">'Cover details'!$E$8</definedName>
    <definedName name="DB.CoverDetails.d1.ret">'Cover details'!$I$8</definedName>
    <definedName name="DB.CoverDetails.d1c.ret">'Cover details'!$I$9</definedName>
    <definedName name="DB.CoverDetails.d2">'Cover details'!$F$8</definedName>
    <definedName name="DB.CoverDetails.d2.ret">'Cover details'!$J$8</definedName>
    <definedName name="DB.CoverDetails.d2c.ret">'Cover details'!$J$9</definedName>
    <definedName name="DB.CoverDetails.DandoType">'Cover details'!$D$8</definedName>
    <definedName name="DB.CoverDetails.Layers">'Cover details'!$E$12</definedName>
    <definedName name="DB.CoverDetails.p1">'Cover details'!$E$7</definedName>
    <definedName name="DB.CoverDetails.p1.ret">'Cover details'!$I$7</definedName>
    <definedName name="DB.CoverDetails.p2">'Cover details'!$F$7</definedName>
    <definedName name="DB.CoverDetails.p2.ret">'Cover details'!$J$7</definedName>
    <definedName name="DB.CoverDetails.Reinstatements">'Cover details'!$E$18</definedName>
    <definedName name="DB.CoverDetails.Reinstatements.directnumber">'Cover details'!$E$21</definedName>
    <definedName name="DB.CoverDetails.Reinstatements.RTC.ProgramLimit">'Cover details'!$E$20</definedName>
    <definedName name="DB.CoverDetails.SubLimitsRequired">'Cover details'!$F$13</definedName>
    <definedName name="DB.DealStatus">'Risk Information'!#REF!</definedName>
    <definedName name="DB.DealVersion.RetroactiveDate_Crime">'Cover details'!$E$14</definedName>
    <definedName name="DB.DealVersion.RetroactiveDate_DandO">'Cover details'!$E$16</definedName>
    <definedName name="DB.DealVersion.RetroactiveDate_PI">'Cover details'!$E$15</definedName>
    <definedName name="DB.Details">'Rating Summary'!#REF!</definedName>
    <definedName name="DB.EndDate">'Risk Information'!$D$13</definedName>
    <definedName name="DB.ESGComments">Rationale!$B$26</definedName>
    <definedName name="DB.Exposure.ADR">'Exposure Details'!$C$10</definedName>
    <definedName name="DB.Exposure.Assets">'Exposure Details'!$E$15</definedName>
    <definedName name="DB.Exposure.Assets.Check">'Exposure Details'!$E$30</definedName>
    <definedName name="DB.Exposure.Assets.EnteredAs">'Exposure Details'!$E$17</definedName>
    <definedName name="DB.Exposure.AUM">'Exposure Details'!$F$15</definedName>
    <definedName name="DB.Exposure.CombinedRatio">'Exposure Details'!$C$77</definedName>
    <definedName name="DB.Exposure.committedcapital">'Exposure Details'!$C$32</definedName>
    <definedName name="DB.Exposure.CR.Fitch">'Exposure Details'!$C$46</definedName>
    <definedName name="DB.Exposure.CR.Moodys">'Exposure Details'!$C$45</definedName>
    <definedName name="DB.Exposure.CR.SP">'Exposure Details'!$C$44</definedName>
    <definedName name="DB.Exposure.DirectBusinessPc">'Exposure Details'!$C$80</definedName>
    <definedName name="DB.Exposure.Employees">'Exposure Details'!$C$15</definedName>
    <definedName name="DB.Exposure.Employees.Check">'Exposure Details'!$C$30</definedName>
    <definedName name="DB.Exposure.Employees.EnteredAs">'Exposure Details'!$C$17</definedName>
    <definedName name="DB.Exposure.Industry">'Risk Information'!$D$18</definedName>
    <definedName name="DB.Exposure.investedcapital">'Exposure Details'!$C$33</definedName>
    <definedName name="DB.Exposure.InvestorSplit.1">'Exposure Details'!$F$38</definedName>
    <definedName name="DB.Exposure.InvestorSplit.2">'Exposure Details'!$F$39</definedName>
    <definedName name="DB.Exposure.InvestorSplit.3">'Exposure Details'!$F$40</definedName>
    <definedName name="DB.Exposure.InvestorSplit.Institutional">'Exposure Details'!$C$38</definedName>
    <definedName name="DB.Exposure.InvestorSplit.Institutional3">'Exposure Details'!$G$38</definedName>
    <definedName name="DB.Exposure.InvestorSplit.Other">'Exposure Details'!$C$40</definedName>
    <definedName name="DB.Exposure.InvestorSplit.Other3">'Exposure Details'!$G$40</definedName>
    <definedName name="DB.Exposure.InvestorSplit.Region1">'Exposure Details'!$E$38</definedName>
    <definedName name="DB.Exposure.InvestorSplit.Region2">'Exposure Details'!$E$39</definedName>
    <definedName name="DB.Exposure.InvestorSplit.Region3">'Exposure Details'!$E$40</definedName>
    <definedName name="DB.Exposure.InvestorSplit.Retail">'Exposure Details'!$C$39</definedName>
    <definedName name="DB.Exposure.InvestorSplit.Retail3">'Exposure Details'!$G$39</definedName>
    <definedName name="DB.Exposure.IPODate">'Exposure Details'!$C$8</definedName>
    <definedName name="DB.Exposure.Listing">'Exposure Details'!$C$7</definedName>
    <definedName name="DB.Exposure.MCap">'Exposure Details'!$C$9</definedName>
    <definedName name="DB.Exposure.MCapUS">'Exposure Details'!$C$11</definedName>
    <definedName name="DB.Exposure.Offices">'Exposure Details'!$C$4</definedName>
    <definedName name="DB.Exposure.outsidedirectorships">'Exposure Details'!$C$35</definedName>
    <definedName name="DB.Exposure.PremiumSplit.Commercial">'Exposure Details'!$C$71</definedName>
    <definedName name="DB.Exposure.PremiumSplit.CommercialPercent">'Exposure Details'!$D$71</definedName>
    <definedName name="DB.Exposure.PremiumSplit.Healthcare">'Exposure Details'!$C$72</definedName>
    <definedName name="DB.Exposure.PremiumSplit.HealthcarePercent">'Exposure Details'!$D$72</definedName>
    <definedName name="DB.Exposure.PremiumSplit.Life">'Exposure Details'!$C$68</definedName>
    <definedName name="DB.Exposure.PremiumSplit.LifePercent">'Exposure Details'!$D$68</definedName>
    <definedName name="DB.Exposure.PremiumSplit.Other">'Exposure Details'!$C$74</definedName>
    <definedName name="DB.Exposure.PremiumSplit.OtherPercent">'Exposure Details'!$D$74</definedName>
    <definedName name="DB.Exposure.PremiumSplit.PC">'Exposure Details'!$C$69</definedName>
    <definedName name="DB.Exposure.PremiumSplit.PCPercent">'Exposure Details'!$D$69</definedName>
    <definedName name="DB.Exposure.PremiumSplit.Personal">'Exposure Details'!$C$70</definedName>
    <definedName name="DB.Exposure.PremiumSplit.PersonalPercent">'Exposure Details'!$D$70</definedName>
    <definedName name="DB.Exposure.RegionSplit1">'Exposure Details'!$B$19</definedName>
    <definedName name="DB.Exposure.RegionSplit1.Assets">'Exposure Details'!$E$19</definedName>
    <definedName name="DB.Exposure.RegionSplit1.Assets.Value">'Exposure Details'!$Z$19</definedName>
    <definedName name="DB.Exposure.RegionSplit1.Employees">'Exposure Details'!$C$19</definedName>
    <definedName name="DB.Exposure.RegionSplit1.Employees.Value">'Exposure Details'!$X$19</definedName>
    <definedName name="DB.Exposure.RegionSplit1.Revenues">'Exposure Details'!$D$19</definedName>
    <definedName name="DB.Exposure.RegionSplit1.Revenues.Value">'Exposure Details'!$Y$19</definedName>
    <definedName name="DB.Exposure.RegionSplit10">'Exposure Details'!$B$28</definedName>
    <definedName name="DB.Exposure.RegionSplit10.Assets">'Exposure Details'!$E$28</definedName>
    <definedName name="DB.Exposure.RegionSplit10.Assets.Value">'Exposure Details'!$Z$28</definedName>
    <definedName name="DB.Exposure.RegionSplit10.Employees">'Exposure Details'!$C$28</definedName>
    <definedName name="DB.Exposure.RegionSplit10.Employees.Value">'Exposure Details'!$X$28</definedName>
    <definedName name="DB.Exposure.RegionSplit10.Revenues">'Exposure Details'!$D$28</definedName>
    <definedName name="DB.Exposure.RegionSplit10.Revenues.Value">'Exposure Details'!$Y$28</definedName>
    <definedName name="DB.Exposure.RegionSplit11">'Exposure Details'!$B$29</definedName>
    <definedName name="DB.Exposure.RegionSplit11.Assets">'Exposure Details'!$E$29</definedName>
    <definedName name="DB.Exposure.RegionSplit11.Assets.Value">'Exposure Details'!$Z$29</definedName>
    <definedName name="DB.Exposure.RegionSplit11.Employees">'Exposure Details'!$C$29</definedName>
    <definedName name="DB.Exposure.RegionSplit11.Employees.Value">'Exposure Details'!$X$29</definedName>
    <definedName name="DB.Exposure.RegionSplit11.Revenues">'Exposure Details'!$D$29</definedName>
    <definedName name="DB.Exposure.RegionSplit11.Revenues.Value">'Exposure Details'!$Y$29</definedName>
    <definedName name="DB.Exposure.RegionSplit2">'Exposure Details'!$B$20</definedName>
    <definedName name="DB.Exposure.RegionSplit2.Assets">'Exposure Details'!$E$20</definedName>
    <definedName name="DB.Exposure.RegionSplit2.Assets.Value">'Exposure Details'!$Z$20</definedName>
    <definedName name="DB.Exposure.RegionSplit2.Employees">'Exposure Details'!$C$20</definedName>
    <definedName name="DB.Exposure.RegionSplit2.Employees.Value">'Exposure Details'!$X$20</definedName>
    <definedName name="DB.Exposure.RegionSplit2.Revenues">'Exposure Details'!$D$20</definedName>
    <definedName name="DB.Exposure.RegionSplit2.Revenues.Value">'Exposure Details'!$Y$20</definedName>
    <definedName name="DB.Exposure.RegionSplit3">'Exposure Details'!$B$21</definedName>
    <definedName name="DB.Exposure.RegionSplit3.Assets">'Exposure Details'!$E$21</definedName>
    <definedName name="DB.Exposure.RegionSplit3.Assets.Value">'Exposure Details'!$Z$21</definedName>
    <definedName name="DB.Exposure.RegionSplit3.Employees">'Exposure Details'!$C$21</definedName>
    <definedName name="DB.Exposure.RegionSplit3.Employees.Value">'Exposure Details'!$X$21</definedName>
    <definedName name="DB.Exposure.RegionSplit3.Revenues">'Exposure Details'!$D$21</definedName>
    <definedName name="DB.Exposure.RegionSplit3.Revenues.Value">'Exposure Details'!$Y$21</definedName>
    <definedName name="DB.Exposure.RegionSplit4">'Exposure Details'!$B$22</definedName>
    <definedName name="DB.Exposure.RegionSplit4.Assets">'Exposure Details'!$E$22</definedName>
    <definedName name="DB.Exposure.RegionSplit4.Assets.Value">'Exposure Details'!$Z$22</definedName>
    <definedName name="DB.Exposure.RegionSplit4.Employees">'Exposure Details'!$C$22</definedName>
    <definedName name="DB.Exposure.RegionSplit4.Employees.Value">'Exposure Details'!$X$22</definedName>
    <definedName name="DB.Exposure.RegionSplit4.Revenues">'Exposure Details'!$D$22</definedName>
    <definedName name="DB.Exposure.RegionSplit4.Revenues.Value">'Exposure Details'!$Y$22</definedName>
    <definedName name="DB.Exposure.RegionSplit5">'Exposure Details'!$B$23</definedName>
    <definedName name="DB.Exposure.RegionSplit5.Assets">'Exposure Details'!$E$23</definedName>
    <definedName name="DB.Exposure.RegionSplit5.Assets.Value">'Exposure Details'!$Z$23</definedName>
    <definedName name="DB.Exposure.RegionSplit5.Employees">'Exposure Details'!$C$23</definedName>
    <definedName name="DB.Exposure.RegionSplit5.Employees.Value">'Exposure Details'!$X$23</definedName>
    <definedName name="DB.Exposure.RegionSplit5.Revenues">'Exposure Details'!$D$23</definedName>
    <definedName name="DB.Exposure.RegionSplit5.Revenues.Value">'Exposure Details'!$Y$23</definedName>
    <definedName name="DB.Exposure.RegionSplit6">'Exposure Details'!$B$24</definedName>
    <definedName name="DB.Exposure.RegionSplit6.Assets">'Exposure Details'!$E$24</definedName>
    <definedName name="DB.Exposure.RegionSplit6.Assets.Value">'Exposure Details'!$Z$24</definedName>
    <definedName name="DB.Exposure.RegionSplit6.Employees">'Exposure Details'!$C$24</definedName>
    <definedName name="DB.Exposure.RegionSplit6.Employees.Value">'Exposure Details'!$X$24</definedName>
    <definedName name="DB.Exposure.RegionSplit6.Revenues">'Exposure Details'!$D$24</definedName>
    <definedName name="DB.Exposure.RegionSplit6.Revenues.Value">'Exposure Details'!$Y$24</definedName>
    <definedName name="DB.Exposure.RegionSplit7">'Exposure Details'!$B$25</definedName>
    <definedName name="DB.Exposure.RegionSplit7.Assets">'Exposure Details'!$E$25</definedName>
    <definedName name="DB.Exposure.RegionSplit7.Assets.Value">'Exposure Details'!$Z$25</definedName>
    <definedName name="DB.Exposure.RegionSplit7.Employees">'Exposure Details'!$C$25</definedName>
    <definedName name="DB.Exposure.RegionSplit7.Employees.Value">'Exposure Details'!$X$25</definedName>
    <definedName name="DB.Exposure.RegionSplit7.Revenues">'Exposure Details'!$D$25</definedName>
    <definedName name="DB.Exposure.RegionSplit7.Revenues.Value">'Exposure Details'!$Y$25</definedName>
    <definedName name="DB.Exposure.RegionSplit8">'Exposure Details'!$B$26</definedName>
    <definedName name="DB.Exposure.RegionSplit8.Assets">'Exposure Details'!$E$26</definedName>
    <definedName name="DB.Exposure.RegionSplit8.Assets.Value">'Exposure Details'!$Z$26</definedName>
    <definedName name="DB.Exposure.RegionSplit8.Employees">'Exposure Details'!$C$26</definedName>
    <definedName name="DB.Exposure.RegionSplit8.Employees.Value">'Exposure Details'!$X$26</definedName>
    <definedName name="DB.Exposure.RegionSplit8.Revenues">'Exposure Details'!$D$26</definedName>
    <definedName name="DB.Exposure.RegionSplit8.Revenues.Value">'Exposure Details'!$Y$26</definedName>
    <definedName name="DB.Exposure.RegionSplit9">'Exposure Details'!$B$27</definedName>
    <definedName name="DB.Exposure.RegionSplit9.Assets">'Exposure Details'!$E$27</definedName>
    <definedName name="DB.Exposure.RegionSplit9.Assets.Value">'Exposure Details'!$Z$27</definedName>
    <definedName name="DB.Exposure.RegionSplit9.Employees">'Exposure Details'!$C$27</definedName>
    <definedName name="DB.Exposure.RegionSplit9.Employees.Value">'Exposure Details'!$X$27</definedName>
    <definedName name="DB.Exposure.RegionSplit9.Revenues">'Exposure Details'!$D$27</definedName>
    <definedName name="DB.Exposure.RegionSplit9.Revenues.Value">'Exposure Details'!$Y$27</definedName>
    <definedName name="DB.Exposure.RegionSplitAll.Assets">'Exposure Details'!$E$19:$E$31</definedName>
    <definedName name="DB.Exposure.RegionSplitAll.Employees">'Exposure Details'!$C$19:$C$31</definedName>
    <definedName name="DB.Exposure.RegionSplitAll.Revenues">'Exposure Details'!$D$19:$D$31</definedName>
    <definedName name="DB.Exposure.Revenues">'Exposure Details'!$D$15</definedName>
    <definedName name="DB.Exposure.Revenues.Check">'Exposure Details'!$D$30</definedName>
    <definedName name="DB.Exposure.Revenues.EnteredAs">'Exposure Details'!$D$17</definedName>
    <definedName name="DB.Exposure.RevenueSplit.Accountancy">'Exposure Details'!$C$55</definedName>
    <definedName name="DB.Exposure.RevenueSplit.AccountancyPercent">'Exposure Details'!$D$55</definedName>
    <definedName name="DB.Exposure.RevenueSplit.AdminOther">'Exposure Details'!$C$57</definedName>
    <definedName name="DB.Exposure.RevenueSplit.AdminOtherPercent">'Exposure Details'!$D$57</definedName>
    <definedName name="DB.Exposure.RevenueSplit.BrokersOther">'Exposure Details'!$C$88</definedName>
    <definedName name="DB.Exposure.RevenueSplit.BrokersOtherPercent">'Exposure Details'!$D$88</definedName>
    <definedName name="DB.Exposure.RevenueSplit.ClearingSettlement">'Exposure Details'!$C$97</definedName>
    <definedName name="DB.Exposure.RevenueSplit.ClearingSettlementPercent">'Exposure Details'!$D$97</definedName>
    <definedName name="DB.Exposure.RevenueSplit.Depositary">'Exposure Details'!$C$98</definedName>
    <definedName name="DB.Exposure.RevenueSplit.DepositaryPercent">'Exposure Details'!$D$98</definedName>
    <definedName name="DB.Exposure.RevenueSplit.EstCompanies">'Exposure Details'!$C$51</definedName>
    <definedName name="DB.Exposure.RevenueSplit.EstCompaniesPercent">'Exposure Details'!$D$51</definedName>
    <definedName name="DB.Exposure.RevenueSplit.EstTrusts">'Exposure Details'!$C$52</definedName>
    <definedName name="DB.Exposure.RevenueSplit.EstTrustsPercent">'Exposure Details'!$D$52</definedName>
    <definedName name="DB.Exposure.RevenueSplit.Exchange">'Exposure Details'!$C$95</definedName>
    <definedName name="DB.Exposure.RevenueSplit.ExchangePercent">'Exposure Details'!$D$95</definedName>
    <definedName name="DB.Exposure.RevenueSplit.ExchangesOther">'Exposure Details'!$C$99</definedName>
    <definedName name="DB.Exposure.RevenueSplit.ExchangesOtherPercent">'Exposure Details'!$D$99</definedName>
    <definedName name="DB.Exposure.RevenueSplit.FamilyGroupServices">'Exposure Details'!$C$106</definedName>
    <definedName name="DB.Exposure.RevenueSplit.FamilyGroupServicesPercent">'Exposure Details'!$D$106</definedName>
    <definedName name="DB.Exposure.RevenueSplit.Fee">'Exposure Details'!$C$62</definedName>
    <definedName name="DB.Exposure.RevenueSplit.FeePercent">'Exposure Details'!$D$62</definedName>
    <definedName name="DB.Exposure.RevenueSplit.InstitutionalAdvisory">'Exposure Details'!$C$83</definedName>
    <definedName name="DB.Exposure.RevenueSplit.InstitutionalAdvisoryPercent">'Exposure Details'!$D$83</definedName>
    <definedName name="DB.Exposure.RevenueSplit.InstitutionalExecution">'Exposure Details'!$C$84</definedName>
    <definedName name="DB.Exposure.RevenueSplit.InstitutionalExecutionPercent">'Exposure Details'!$D$84</definedName>
    <definedName name="DB.Exposure.RevenueSplit.Interest">'Exposure Details'!$C$61</definedName>
    <definedName name="DB.Exposure.RevenueSplit.InterestPercent">'Exposure Details'!$D$61</definedName>
    <definedName name="DB.Exposure.RevenueSplit.InvestmentManagement">'Exposure Details'!$C$103</definedName>
    <definedName name="DB.Exposure.RevenueSplit.InvestmentManagementPercent">'Exposure Details'!$D$103</definedName>
    <definedName name="DB.Exposure.RevenueSplit.InvestmentManagersOther">'Exposure Details'!$C$107</definedName>
    <definedName name="DB.Exposure.RevenueSplit.InvestmentManagersOtherPercent">'Exposure Details'!$D$107</definedName>
    <definedName name="DB.Exposure.RevenueSplit.LegalAdvice">'Exposure Details'!$C$54</definedName>
    <definedName name="DB.Exposure.RevenueSplit.LegalAdvicePercent">'Exposure Details'!$D$54</definedName>
    <definedName name="DB.Exposure.RevenueSplit.LegalAdvisoryServices">'Exposure Details'!$C$105</definedName>
    <definedName name="DB.Exposure.RevenueSplit.LegalAdvisoryServicesPercent">'Exposure Details'!$D$105</definedName>
    <definedName name="DB.Exposure.RevenueSplit.Listing">'Exposure Details'!$C$96</definedName>
    <definedName name="DB.Exposure.RevenueSplit.ListingPercent">'Exposure Details'!$D$96</definedName>
    <definedName name="DB.Exposure.RevenueSplit.Other">'Exposure Details'!$C$64</definedName>
    <definedName name="DB.Exposure.RevenueSplit.OtherPercent">'Exposure Details'!$D$64</definedName>
    <definedName name="DB.Exposure.RevenueSplit.OutsideBoard">'Exposure Details'!$C$53</definedName>
    <definedName name="DB.Exposure.RevenueSplit.OutsideBoardPercent">'Exposure Details'!$D$53</definedName>
    <definedName name="DB.Exposure.RevenueSplit.PersonalServices">'Exposure Details'!$C$104</definedName>
    <definedName name="DB.Exposure.RevenueSplit.PersonalServicesPercent">'Exposure Details'!$D$104</definedName>
    <definedName name="DB.Exposure.RevenueSplit.RetailAdvisory">'Exposure Details'!$C$85</definedName>
    <definedName name="DB.Exposure.RevenueSplit.RetailAdvisoryPercent">'Exposure Details'!$D$85</definedName>
    <definedName name="DB.Exposure.RevenueSplit.RetailDiscretionary">'Exposure Details'!$C$87</definedName>
    <definedName name="DB.Exposure.RevenueSplit.RetailDiscretionaryPercent">'Exposure Details'!$D$87</definedName>
    <definedName name="DB.Exposure.RevenueSplit.RetailExecution">'Exposure Details'!$C$86</definedName>
    <definedName name="DB.Exposure.RevenueSplit.RetailExecutionPercent">'Exposure Details'!$D$86</definedName>
    <definedName name="DB.Exposure.RevenueSplit.Tax">'Exposure Details'!$C$56</definedName>
    <definedName name="DB.Exposure.RevenueSplit.TaxPercent">'Exposure Details'!$D$56</definedName>
    <definedName name="DB.Exposure.RevenueSplit.Total">'Exposure Details'!$C$58</definedName>
    <definedName name="DB.Exposure.RevenueSplit.TotalBanks">'Exposure Details'!$C$65</definedName>
    <definedName name="DB.Exposure.RevenueSplit.TotalBanksPercent">'Exposure Details'!$D$65</definedName>
    <definedName name="DB.Exposure.RevenueSplit.TotalBrokers">'Exposure Details'!$C$89</definedName>
    <definedName name="DB.Exposure.RevenueSplit.TotalBrokersPercent">'Exposure Details'!$D$89</definedName>
    <definedName name="DB.Exposure.RevenueSplit.TotalFinancialInfrastructure">'Exposure Details'!$C$100</definedName>
    <definedName name="DB.Exposure.RevenueSplit.TotalFinancialInfrastructurePercent">'Exposure Details'!$D$100</definedName>
    <definedName name="DB.Exposure.RevenueSplit.TotalInsurance">'Exposure Details'!$C$75</definedName>
    <definedName name="DB.Exposure.RevenueSplit.TotalInsurancePercent">'Exposure Details'!$D$75</definedName>
    <definedName name="DB.Exposure.RevenueSplit.TotalInvestmentManagement">'Exposure Details'!$C$108</definedName>
    <definedName name="DB.Exposure.RevenueSplit.TotalInvestmentManagementPercent">'Exposure Details'!$D$108</definedName>
    <definedName name="DB.Exposure.RevenueSplit.TotalPercent">'Exposure Details'!$D$58</definedName>
    <definedName name="DB.Exposure.RevenueSplit.Trading">'Exposure Details'!$C$63</definedName>
    <definedName name="DB.Exposure.RevenueSplit.TradingPercent">'Exposure Details'!$D$63</definedName>
    <definedName name="DB.Exposure.RIpc">'Exposure Details'!$C$73</definedName>
    <definedName name="DB.Exposure.RIpcPercent">'Exposure Details'!$D$73</definedName>
    <definedName name="DB.Exposure.ShortTailPC">'Exposure Details'!$C$79</definedName>
    <definedName name="DB.Exposure.SolvencyRatio">'Exposure Details'!$C$78</definedName>
    <definedName name="DB.Exposure.TransactionsAvFee">'Exposure Details'!$C$92</definedName>
    <definedName name="DB.Exposure.TransactionsAvValue">'Exposure Details'!$C$91</definedName>
    <definedName name="DB.FirmName">'Risk Information'!$D$9</definedName>
    <definedName name="DB.GeneralComments">Rationale!$B$5</definedName>
    <definedName name="DB.hxOptionID">'Risk Information'!$D$6</definedName>
    <definedName name="DB.OtherFactorsComments">Rationale!$B$19</definedName>
    <definedName name="DB.Producer">'Risk Information'!$D$32</definedName>
    <definedName name="DB.RatingSummary.ActualILF.Layer1.CCY">'Rating Summary'!$BP$7</definedName>
    <definedName name="DB.RatingSummary.ActualILF.Layer1.USD">'Rating Summary'!$BP$30</definedName>
    <definedName name="DB.RatingSummary.ActualILF.Layer10.CCY">'Rating Summary'!$BP$16</definedName>
    <definedName name="DB.RatingSummary.ActualILF.Layer10.USD">'Rating Summary'!$BP$39</definedName>
    <definedName name="DB.RatingSummary.ActualILF.Layer11.CCY">'Rating Summary'!$BP$17</definedName>
    <definedName name="DB.RatingSummary.ActualILF.Layer11.USD">'Rating Summary'!$BP$40</definedName>
    <definedName name="DB.RatingSummary.ActualILF.Layer12.CCY">'Rating Summary'!$BP$18</definedName>
    <definedName name="DB.RatingSummary.ActualILF.Layer12.USD">'Rating Summary'!$BP$41</definedName>
    <definedName name="DB.RatingSummary.ActualILF.Layer13.CCY">'Rating Summary'!$BP$19</definedName>
    <definedName name="DB.RatingSummary.ActualILF.Layer13.USD">'Rating Summary'!$BP$42</definedName>
    <definedName name="DB.RatingSummary.ActualILF.Layer14.CCY">'Rating Summary'!$BP$20</definedName>
    <definedName name="DB.RatingSummary.ActualILF.Layer14.USD">'Rating Summary'!$BP$43</definedName>
    <definedName name="DB.RatingSummary.ActualILF.Layer15.CCY">'Rating Summary'!$BP$21</definedName>
    <definedName name="DB.RatingSummary.ActualILF.Layer15.USD">'Rating Summary'!$BP$44</definedName>
    <definedName name="DB.RatingSummary.ActualILF.Layer16.CCY">'Rating Summary'!$BP$22</definedName>
    <definedName name="DB.RatingSummary.ActualILF.Layer16.USD">'Rating Summary'!$BP$45</definedName>
    <definedName name="DB.RatingSummary.ActualILF.Layer2.CCY">'Rating Summary'!$BP$8</definedName>
    <definedName name="DB.RatingSummary.ActualILF.Layer2.USD">'Rating Summary'!$BP$31</definedName>
    <definedName name="DB.RatingSummary.ActualILF.Layer3.CCY">'Rating Summary'!$BP$9</definedName>
    <definedName name="DB.RatingSummary.ActualILF.Layer3.USD">'Rating Summary'!$BP$32</definedName>
    <definedName name="DB.RatingSummary.ActualILF.Layer4.CCY">'Rating Summary'!$BP$10</definedName>
    <definedName name="DB.RatingSummary.ActualILF.Layer4.USD">'Rating Summary'!$BP$33</definedName>
    <definedName name="DB.RatingSummary.ActualILF.Layer5.CCY">'Rating Summary'!$BP$11</definedName>
    <definedName name="DB.RatingSummary.ActualILF.Layer5.USD">'Rating Summary'!$BP$34</definedName>
    <definedName name="DB.RatingSummary.ActualILF.Layer6.CCY">'Rating Summary'!$BP$12</definedName>
    <definedName name="DB.RatingSummary.ActualILF.Layer6.USD">'Rating Summary'!$BP$35</definedName>
    <definedName name="DB.RatingSummary.ActualILF.Layer7.CCY">'Rating Summary'!$BP$13</definedName>
    <definedName name="DB.RatingSummary.ActualILF.Layer7.USD">'Rating Summary'!$BP$36</definedName>
    <definedName name="DB.RatingSummary.ActualILF.Layer8.CCY">'Rating Summary'!$BP$14</definedName>
    <definedName name="DB.RatingSummary.ActualILF.Layer8.USD">'Rating Summary'!$BP$37</definedName>
    <definedName name="DB.RatingSummary.ActualILF.Layer9.CCY">'Rating Summary'!$BP$15</definedName>
    <definedName name="DB.RatingSummary.ActualILF.Layer9.USD">'Rating Summary'!$BP$38</definedName>
    <definedName name="DB.RatingSummary.AFBExposure.Layer1.CCY">'Rating Summary'!$BM$7</definedName>
    <definedName name="DB.RatingSummary.AFBExposure.Layer1.USD">'Rating Summary'!$BM$30</definedName>
    <definedName name="DB.RatingSummary.AFBExposure.Layer10.CCY">'Rating Summary'!$BM$16</definedName>
    <definedName name="DB.RatingSummary.AFBExposure.Layer10.USD">'Rating Summary'!$BM$39</definedName>
    <definedName name="DB.RatingSummary.AFBExposure.Layer11.CCY">'Rating Summary'!$BM$17</definedName>
    <definedName name="DB.RatingSummary.AFBExposure.Layer11.USD">'Rating Summary'!$BM$40</definedName>
    <definedName name="DB.RatingSummary.AFBExposure.Layer12.CCY">'Rating Summary'!$BM$18</definedName>
    <definedName name="DB.RatingSummary.AFBExposure.Layer12.USD">'Rating Summary'!$BM$41</definedName>
    <definedName name="DB.RatingSummary.AFBExposure.Layer13.CCY">'Rating Summary'!$BM$19</definedName>
    <definedName name="DB.RatingSummary.AFBExposure.Layer13.USD">'Rating Summary'!$BM$42</definedName>
    <definedName name="DB.RatingSummary.AFBExposure.Layer14.CCY">'Rating Summary'!$BM$20</definedName>
    <definedName name="DB.RatingSummary.AFBExposure.Layer14.USD">'Rating Summary'!$BM$43</definedName>
    <definedName name="DB.RatingSummary.AFBExposure.Layer15.CCY">'Rating Summary'!$BM$21</definedName>
    <definedName name="DB.RatingSummary.AFBExposure.Layer15.USD">'Rating Summary'!$BM$44</definedName>
    <definedName name="DB.RatingSummary.AFBExposure.Layer16.CCY">'Rating Summary'!$BM$22</definedName>
    <definedName name="DB.RatingSummary.AFBExposure.Layer16.USD">'Rating Summary'!$BM$45</definedName>
    <definedName name="DB.RatingSummary.AFBExposure.Layer2.CCY">'Rating Summary'!$BM$8</definedName>
    <definedName name="DB.RatingSummary.AFBExposure.Layer2.USD">'Rating Summary'!$BM$31</definedName>
    <definedName name="DB.RatingSummary.AFBExposure.Layer3.CCY">'Rating Summary'!$BM$9</definedName>
    <definedName name="DB.RatingSummary.AFBExposure.Layer3.USD">'Rating Summary'!$BM$32</definedName>
    <definedName name="DB.RatingSummary.AFBExposure.Layer4.CCY">'Rating Summary'!$BM$10</definedName>
    <definedName name="DB.RatingSummary.AFBExposure.Layer4.USD">'Rating Summary'!$BM$33</definedName>
    <definedName name="DB.RatingSummary.AFBExposure.Layer5.CCY">'Rating Summary'!$BM$11</definedName>
    <definedName name="DB.RatingSummary.AFBExposure.Layer5.USD">'Rating Summary'!$BM$34</definedName>
    <definedName name="DB.RatingSummary.AFBExposure.Layer6.CCY">'Rating Summary'!$BM$12</definedName>
    <definedName name="DB.RatingSummary.AFBExposure.Layer6.USD">'Rating Summary'!$BM$35</definedName>
    <definedName name="DB.RatingSummary.AFBExposure.Layer7.CCY">'Rating Summary'!$BM$13</definedName>
    <definedName name="DB.RatingSummary.AFBExposure.Layer7.USD">'Rating Summary'!$BM$36</definedName>
    <definedName name="DB.RatingSummary.AFBExposure.Layer8.CCY">'Rating Summary'!$BM$14</definedName>
    <definedName name="DB.RatingSummary.AFBExposure.Layer8.USD">'Rating Summary'!$BM$37</definedName>
    <definedName name="DB.RatingSummary.AFBExposure.Layer9.CCY">'Rating Summary'!$BM$15</definedName>
    <definedName name="DB.RatingSummary.AFBExposure.Layer9.USD">'Rating Summary'!$BM$38</definedName>
    <definedName name="DB.RatingSummary.AFBNetPremium.Layer1.CCY">'Rating Summary'!$BN$7</definedName>
    <definedName name="DB.RatingSummary.AFBNetPremium.Layer1.USD">'Rating Summary'!$BM:$BS</definedName>
    <definedName name="DB.RatingSummary.AFBNetPremium.Layer10.CCY">'Rating Summary'!$BN$16</definedName>
    <definedName name="DB.RatingSummary.AFBNetPremium.Layer11.CCY">'Rating Summary'!$BN$17</definedName>
    <definedName name="DB.RatingSummary.AFBNetPremium.Layer12.CCY">'Rating Summary'!$BN$18</definedName>
    <definedName name="DB.RatingSummary.AFBNetPremium.Layer13.CCY">'Rating Summary'!$BN$19</definedName>
    <definedName name="DB.RatingSummary.AFBNetPremium.Layer14.CCY">'Rating Summary'!$BN$20</definedName>
    <definedName name="DB.RatingSummary.AFBNetPremium.Layer15.CCY">'Rating Summary'!$BN$21</definedName>
    <definedName name="DB.RatingSummary.AFBNetPremium.Layer16.CCY">'Rating Summary'!$BN$22</definedName>
    <definedName name="DB.RatingSummary.AFBNetPremium.Layer2.CCY">'Rating Summary'!$BN$8</definedName>
    <definedName name="DB.RatingSummary.AFBNetPremium.Layer3.CCY">'Rating Summary'!$BN$9</definedName>
    <definedName name="DB.RatingSummary.AFBNetPremium.Layer4.CCY">'Rating Summary'!$BN$10</definedName>
    <definedName name="DB.RatingSummary.AFBNetPremium.Layer5.CCY">'Rating Summary'!$BN$11</definedName>
    <definedName name="DB.RatingSummary.AFBNetPremium.Layer6.CCY">'Rating Summary'!$BN$12</definedName>
    <definedName name="DB.RatingSummary.AFBNetPremium.Layer7.CCY">'Rating Summary'!$BN$13</definedName>
    <definedName name="DB.RatingSummary.AFBNetPremium.Layer8.CCY">'Rating Summary'!$BN$14</definedName>
    <definedName name="DB.RatingSummary.AFBNetPremium.Layer9.CCY">'Rating Summary'!$BN$15</definedName>
    <definedName name="DB.RatingSummary.AnnualBenchmarkPremium.Layer1.CCY">'Rating Summary'!$BS$7</definedName>
    <definedName name="DB.RatingSummary.AnnualBenchmarkPremium.Layer1.USD">'Rating Summary'!$BS$30</definedName>
    <definedName name="DB.RatingSummary.AnnualBenchmarkPremium.Layer10.CCY">'Rating Summary'!$BS$16</definedName>
    <definedName name="DB.RatingSummary.AnnualBenchmarkPremium.Layer10.USD">'Rating Summary'!$BS$39</definedName>
    <definedName name="DB.RatingSummary.AnnualBenchmarkPremium.Layer11.CCY">'Rating Summary'!$BS$17</definedName>
    <definedName name="DB.RatingSummary.AnnualBenchmarkPremium.Layer11.USD">'Rating Summary'!$BS$40</definedName>
    <definedName name="DB.RatingSummary.AnnualBenchmarkPremium.Layer12.CCY">'Rating Summary'!$BS$18</definedName>
    <definedName name="DB.RatingSummary.AnnualBenchmarkPremium.Layer12.USD">'Rating Summary'!$BS$41</definedName>
    <definedName name="DB.RatingSummary.AnnualBenchmarkPremium.Layer13.CCY">'Rating Summary'!$BS$19</definedName>
    <definedName name="DB.RatingSummary.AnnualBenchmarkPremium.Layer13.USD">'Rating Summary'!$BS$42</definedName>
    <definedName name="DB.RatingSummary.AnnualBenchmarkPremium.Layer14.CCY">'Rating Summary'!$BS$20</definedName>
    <definedName name="DB.RatingSummary.AnnualBenchmarkPremium.Layer14.USD">'Rating Summary'!$BS$43</definedName>
    <definedName name="DB.RatingSummary.AnnualBenchmarkPremium.Layer15.CCY">'Rating Summary'!$BS$21</definedName>
    <definedName name="DB.RatingSummary.AnnualBenchmarkPremium.Layer15.USD">'Rating Summary'!$BS$44</definedName>
    <definedName name="DB.RatingSummary.AnnualBenchmarkPremium.Layer16.CCY">'Rating Summary'!$BS$22</definedName>
    <definedName name="DB.RatingSummary.AnnualBenchmarkPremium.Layer16.USD">'Rating Summary'!$BS$45</definedName>
    <definedName name="DB.RatingSummary.AnnualBenchmarkPremium.Layer2.CCY">'Rating Summary'!$BS$8</definedName>
    <definedName name="DB.RatingSummary.AnnualBenchmarkPremium.Layer2.USD">'Rating Summary'!$BS$31</definedName>
    <definedName name="DB.RatingSummary.AnnualBenchmarkPremium.Layer3.CCY">'Rating Summary'!$BS$9</definedName>
    <definedName name="DB.RatingSummary.AnnualBenchmarkPremium.Layer3.USD">'Rating Summary'!$BS$32</definedName>
    <definedName name="DB.RatingSummary.AnnualBenchmarkPremium.Layer4.CCY">'Rating Summary'!$BS$10</definedName>
    <definedName name="DB.RatingSummary.AnnualBenchmarkPremium.Layer4.USD">'Rating Summary'!$BS$33</definedName>
    <definedName name="DB.RatingSummary.AnnualBenchmarkPremium.Layer5.CCY">'Rating Summary'!$BS$11</definedName>
    <definedName name="DB.RatingSummary.AnnualBenchmarkPremium.Layer5.USD">'Rating Summary'!$BS$34</definedName>
    <definedName name="DB.RatingSummary.AnnualBenchmarkPremium.Layer6.CCY">'Rating Summary'!$BS$12</definedName>
    <definedName name="DB.RatingSummary.AnnualBenchmarkPremium.Layer6.USD">'Rating Summary'!$BS$35</definedName>
    <definedName name="DB.RatingSummary.AnnualBenchmarkPremium.Layer7.CCY">'Rating Summary'!$BS$13</definedName>
    <definedName name="DB.RatingSummary.AnnualBenchmarkPremium.Layer7.USD">'Rating Summary'!$BS$36</definedName>
    <definedName name="DB.RatingSummary.AnnualBenchmarkPremium.Layer8.CCY">'Rating Summary'!$BS$14</definedName>
    <definedName name="DB.RatingSummary.AnnualBenchmarkPremium.Layer8.USD">'Rating Summary'!$BS$37</definedName>
    <definedName name="DB.RatingSummary.AnnualBenchmarkPremium.Layer9.CCY">'Rating Summary'!$BS$15</definedName>
    <definedName name="DB.RatingSummary.AnnualBenchmarkPremium.Layer9.USD">'Rating Summary'!$BS$38</definedName>
    <definedName name="DB.RatingSummary.AnnualTechnicalPremium.Layer1.CCY">'Rating Summary'!$BV$7</definedName>
    <definedName name="DB.RatingSummary.AnnualTechnicalPremium.Layer1.USD">'Rating Summary'!$BV$30</definedName>
    <definedName name="DB.RatingSummary.AnnualTechnicalPremium.Layer10.CCY">'Rating Summary'!$BV$16</definedName>
    <definedName name="DB.RatingSummary.AnnualTechnicalPremium.Layer10.USD">'Rating Summary'!$BV$39</definedName>
    <definedName name="DB.RatingSummary.AnnualTechnicalPremium.Layer11.CCY">'Rating Summary'!$BV$17</definedName>
    <definedName name="DB.RatingSummary.AnnualTechnicalPremium.Layer11.USD">'Rating Summary'!$BV$40</definedName>
    <definedName name="DB.RatingSummary.AnnualTechnicalPremium.Layer12.CCY">'Rating Summary'!$BV$18</definedName>
    <definedName name="DB.RatingSummary.AnnualTechnicalPremium.Layer12.USD">'Rating Summary'!$BV$41</definedName>
    <definedName name="DB.RatingSummary.AnnualTechnicalPremium.Layer13.CCY">'Rating Summary'!$BV$19</definedName>
    <definedName name="DB.RatingSummary.AnnualTechnicalPremium.Layer13.USD">'Rating Summary'!$BV$42</definedName>
    <definedName name="DB.RatingSummary.AnnualTechnicalPremium.Layer14.CCY">'Rating Summary'!$BV$20</definedName>
    <definedName name="DB.RatingSummary.AnnualTechnicalPremium.Layer14.USD">'Rating Summary'!$BV$43</definedName>
    <definedName name="DB.RatingSummary.AnnualTechnicalPremium.Layer15.CCY">'Rating Summary'!$BV$21</definedName>
    <definedName name="DB.RatingSummary.AnnualTechnicalPremium.Layer15.USD">'Rating Summary'!$BV$44</definedName>
    <definedName name="DB.RatingSummary.AnnualTechnicalPremium.Layer16.CCY">'Rating Summary'!$BV$22</definedName>
    <definedName name="DB.RatingSummary.AnnualTechnicalPremium.Layer16.USD">'Rating Summary'!$BV$45</definedName>
    <definedName name="DB.RatingSummary.AnnualTechnicalPremium.Layer2.CCY">'Rating Summary'!$BV$8</definedName>
    <definedName name="DB.RatingSummary.AnnualTechnicalPremium.Layer2.USD">'Rating Summary'!$BV$31</definedName>
    <definedName name="DB.RatingSummary.AnnualTechnicalPremium.Layer3.CCY">'Rating Summary'!$BV$9</definedName>
    <definedName name="DB.RatingSummary.AnnualTechnicalPremium.Layer3.USD">'Rating Summary'!$BV$32</definedName>
    <definedName name="DB.RatingSummary.AnnualTechnicalPremium.Layer4.CCY">'Rating Summary'!$BV$10</definedName>
    <definedName name="DB.RatingSummary.AnnualTechnicalPremium.Layer4.USD">'Rating Summary'!$BV$33</definedName>
    <definedName name="DB.RatingSummary.AnnualTechnicalPremium.Layer5.CCY">'Rating Summary'!$BV$11</definedName>
    <definedName name="DB.RatingSummary.AnnualTechnicalPremium.Layer5.USD">'Rating Summary'!$BV$34</definedName>
    <definedName name="DB.RatingSummary.AnnualTechnicalPremium.Layer6.CCY">'Rating Summary'!$BV$12</definedName>
    <definedName name="DB.RatingSummary.AnnualTechnicalPremium.Layer6.USD">'Rating Summary'!$BV$35</definedName>
    <definedName name="DB.RatingSummary.AnnualTechnicalPremium.Layer7.CCY">'Rating Summary'!$BV$13</definedName>
    <definedName name="DB.RatingSummary.AnnualTechnicalPremium.Layer7.USD">'Rating Summary'!$BV$36</definedName>
    <definedName name="DB.RatingSummary.AnnualTechnicalPremium.Layer8.CCY">'Rating Summary'!$BV$14</definedName>
    <definedName name="DB.RatingSummary.AnnualTechnicalPremium.Layer8.USD">'Rating Summary'!$BV$37</definedName>
    <definedName name="DB.RatingSummary.AnnualTechnicalPremium.Layer9.CCY">'Rating Summary'!$BV$15</definedName>
    <definedName name="DB.RatingSummary.AnnualTechnicalPremium.Layer9.USD">'Rating Summary'!$BV$38</definedName>
    <definedName name="DB.RatingSummary.Attachment.Layer1.Cover1.CCY">'Rating Summary'!$S$7</definedName>
    <definedName name="DB.RatingSummary.Attachment.Layer1.Cover1.USD">'Rating Summary'!$S$30</definedName>
    <definedName name="DB.RatingSummary.Attachment.Layer1.Cover2.CCY">'Rating Summary'!$T$7</definedName>
    <definedName name="DB.RatingSummary.Attachment.Layer1.Cover2.USD">'Rating Summary'!$T$30</definedName>
    <definedName name="DB.RatingSummary.Attachment.Layer1.Cover3.CCY">'Rating Summary'!$U$7</definedName>
    <definedName name="DB.RatingSummary.Attachment.Layer1.Cover3.USD">'Rating Summary'!$U$30</definedName>
    <definedName name="DB.RatingSummary.Attachment.Layer1.Cover4.CCY">'Rating Summary'!$V$7</definedName>
    <definedName name="DB.RatingSummary.Attachment.Layer1.Cover4.USD">'Rating Summary'!$V$30</definedName>
    <definedName name="DB.RatingSummary.Attachment.Layer1.Cover5.CCY">'Rating Summary'!$W$7</definedName>
    <definedName name="DB.RatingSummary.Attachment.Layer1.Cover5.USD">'Rating Summary'!$W$30</definedName>
    <definedName name="DB.RatingSummary.Attachment.Layer1.Cover6.CCY">'Rating Summary'!$X$7</definedName>
    <definedName name="DB.RatingSummary.Attachment.Layer1.Cover6.USD">'Rating Summary'!$X$30</definedName>
    <definedName name="DB.RatingSummary.Attachment.Layer10.Cover1.CCY">'Rating Summary'!$S$16</definedName>
    <definedName name="DB.RatingSummary.Attachment.Layer10.Cover1.USD">'Rating Summary'!$S$39</definedName>
    <definedName name="DB.RatingSummary.Attachment.Layer10.Cover2.CCY">'Rating Summary'!$T$16</definedName>
    <definedName name="DB.RatingSummary.Attachment.Layer10.Cover2.USD">'Rating Summary'!$T$39</definedName>
    <definedName name="DB.RatingSummary.Attachment.Layer10.Cover3.CCY">'Rating Summary'!$U$16</definedName>
    <definedName name="DB.RatingSummary.Attachment.Layer10.Cover3.USD">'Rating Summary'!$U$39</definedName>
    <definedName name="DB.RatingSummary.Attachment.Layer10.Cover4.CCY">'Rating Summary'!$V$16</definedName>
    <definedName name="DB.RatingSummary.Attachment.Layer10.Cover4.USD">'Rating Summary'!$V$39</definedName>
    <definedName name="DB.RatingSummary.Attachment.Layer10.Cover5.CCY">'Rating Summary'!$W$16</definedName>
    <definedName name="DB.RatingSummary.Attachment.Layer10.Cover5.USD">'Rating Summary'!$W$39</definedName>
    <definedName name="DB.RatingSummary.Attachment.Layer10.Cover6.CCY">'Rating Summary'!$X$16</definedName>
    <definedName name="DB.RatingSummary.Attachment.Layer10.Cover6.USD">'Rating Summary'!$X$39</definedName>
    <definedName name="DB.RatingSummary.Attachment.Layer11.Cover1.CCY">'Rating Summary'!$S$17</definedName>
    <definedName name="DB.RatingSummary.Attachment.Layer11.Cover1.USD">'Rating Summary'!$S$40</definedName>
    <definedName name="DB.RatingSummary.Attachment.Layer11.Cover2.CCY">'Rating Summary'!$T$17</definedName>
    <definedName name="DB.RatingSummary.Attachment.Layer11.Cover2.USD">'Rating Summary'!$T$40</definedName>
    <definedName name="DB.RatingSummary.Attachment.Layer11.Cover3.CCY">'Rating Summary'!$U$17</definedName>
    <definedName name="DB.RatingSummary.Attachment.Layer11.Cover3.USD">'Rating Summary'!$U$40</definedName>
    <definedName name="DB.RatingSummary.Attachment.Layer11.Cover4.CCY">'Rating Summary'!$V$17</definedName>
    <definedName name="DB.RatingSummary.Attachment.Layer11.Cover4.USD">'Rating Summary'!$V$40</definedName>
    <definedName name="DB.RatingSummary.Attachment.Layer11.Cover5.CCY">'Rating Summary'!$W$17</definedName>
    <definedName name="DB.RatingSummary.Attachment.Layer11.Cover5.USD">'Rating Summary'!$W$40</definedName>
    <definedName name="DB.RatingSummary.Attachment.Layer11.Cover6.CCY">'Rating Summary'!$X$17</definedName>
    <definedName name="DB.RatingSummary.Attachment.Layer11.Cover6.USD">'Rating Summary'!$X$40</definedName>
    <definedName name="DB.RatingSummary.Attachment.Layer12.Cover1.CCY">'Rating Summary'!$S$18</definedName>
    <definedName name="DB.RatingSummary.Attachment.Layer12.Cover1.USD">'Rating Summary'!$S$41</definedName>
    <definedName name="DB.RatingSummary.Attachment.Layer12.Cover2.CCY">'Rating Summary'!$T$18</definedName>
    <definedName name="DB.RatingSummary.Attachment.Layer12.Cover2.USD">'Rating Summary'!$T$41</definedName>
    <definedName name="DB.RatingSummary.Attachment.Layer12.Cover3.CCY">'Rating Summary'!$U$18</definedName>
    <definedName name="DB.RatingSummary.Attachment.Layer12.Cover3.USD">'Rating Summary'!$U$41</definedName>
    <definedName name="DB.RatingSummary.Attachment.Layer12.Cover4.CCY">'Rating Summary'!$V$18</definedName>
    <definedName name="DB.RatingSummary.Attachment.Layer12.Cover4.USD">'Rating Summary'!$V$41</definedName>
    <definedName name="DB.RatingSummary.Attachment.Layer12.Cover5.CCY">'Rating Summary'!$W$18</definedName>
    <definedName name="DB.RatingSummary.Attachment.Layer12.Cover5.USD">'Rating Summary'!$W$41</definedName>
    <definedName name="DB.RatingSummary.Attachment.Layer12.Cover6.CCY">'Rating Summary'!$X$18</definedName>
    <definedName name="DB.RatingSummary.Attachment.Layer12.Cover6.USD">'Rating Summary'!$X$41</definedName>
    <definedName name="DB.RatingSummary.Attachment.Layer13.Cover1.CCY">'Rating Summary'!$S$19</definedName>
    <definedName name="DB.RatingSummary.Attachment.Layer13.Cover1.USD">'Rating Summary'!$S$42</definedName>
    <definedName name="DB.RatingSummary.Attachment.Layer13.Cover2.CCY">'Rating Summary'!$T$19</definedName>
    <definedName name="DB.RatingSummary.Attachment.Layer13.Cover2.USD">'Rating Summary'!$T$42</definedName>
    <definedName name="DB.RatingSummary.Attachment.Layer13.Cover3.CCY">'Rating Summary'!$U$19</definedName>
    <definedName name="DB.RatingSummary.Attachment.Layer13.Cover3.USD">'Rating Summary'!$U$42</definedName>
    <definedName name="DB.RatingSummary.Attachment.Layer13.Cover4.CCY">'Rating Summary'!$V$19</definedName>
    <definedName name="DB.RatingSummary.Attachment.Layer13.Cover4.USD">'Rating Summary'!$V$42</definedName>
    <definedName name="DB.RatingSummary.Attachment.Layer13.Cover5.CCY">'Rating Summary'!$W$19</definedName>
    <definedName name="DB.RatingSummary.Attachment.Layer13.Cover5.USD">'Rating Summary'!$W$42</definedName>
    <definedName name="DB.RatingSummary.Attachment.Layer13.Cover6.CCY">'Rating Summary'!$X$19</definedName>
    <definedName name="DB.RatingSummary.Attachment.Layer13.Cover6.USD">'Rating Summary'!$X$42</definedName>
    <definedName name="DB.RatingSummary.Attachment.Layer14.Cover1.CCY">'Rating Summary'!$S$20</definedName>
    <definedName name="DB.RatingSummary.Attachment.Layer14.Cover1.USD">'Rating Summary'!$S$43</definedName>
    <definedName name="DB.RatingSummary.Attachment.Layer14.Cover2.CCY">'Rating Summary'!$T$20</definedName>
    <definedName name="DB.RatingSummary.Attachment.Layer14.Cover2.USD">'Rating Summary'!$T$43</definedName>
    <definedName name="DB.RatingSummary.Attachment.Layer14.Cover3.CCY">'Rating Summary'!$U$20</definedName>
    <definedName name="DB.RatingSummary.Attachment.Layer14.Cover3.USD">'Rating Summary'!$U$43</definedName>
    <definedName name="DB.RatingSummary.Attachment.Layer14.Cover4.CCY">'Rating Summary'!$V$20</definedName>
    <definedName name="DB.RatingSummary.Attachment.Layer14.Cover4.USD">'Rating Summary'!$V$43</definedName>
    <definedName name="DB.RatingSummary.Attachment.Layer14.Cover5.CCY">'Rating Summary'!$W$20</definedName>
    <definedName name="DB.RatingSummary.Attachment.Layer14.Cover5.USD">'Rating Summary'!$W$43</definedName>
    <definedName name="DB.RatingSummary.Attachment.Layer14.Cover6.CCY">'Rating Summary'!$X$20</definedName>
    <definedName name="DB.RatingSummary.Attachment.Layer14.Cover6.USD">'Rating Summary'!$X$43</definedName>
    <definedName name="DB.RatingSummary.Attachment.Layer15.Cover1.CCY">'Rating Summary'!$S$21</definedName>
    <definedName name="DB.RatingSummary.Attachment.Layer15.Cover1.USD">'Rating Summary'!$S$44</definedName>
    <definedName name="DB.RatingSummary.Attachment.Layer15.Cover2.CCY">'Rating Summary'!$T$21</definedName>
    <definedName name="DB.RatingSummary.Attachment.Layer15.Cover2.USD">'Rating Summary'!$T$44</definedName>
    <definedName name="DB.RatingSummary.Attachment.Layer15.Cover3.CCY">'Rating Summary'!$U$21</definedName>
    <definedName name="DB.RatingSummary.Attachment.Layer15.Cover3.USD">'Rating Summary'!$U$44</definedName>
    <definedName name="DB.RatingSummary.Attachment.Layer15.Cover4.CCY">'Rating Summary'!$V$21</definedName>
    <definedName name="DB.RatingSummary.Attachment.Layer15.Cover4.USD">'Rating Summary'!$V$44</definedName>
    <definedName name="DB.RatingSummary.Attachment.Layer15.Cover5.CCY">'Rating Summary'!$W$21</definedName>
    <definedName name="DB.RatingSummary.Attachment.Layer15.Cover5.USD">'Rating Summary'!$W$44</definedName>
    <definedName name="DB.RatingSummary.Attachment.Layer15.Cover6.CCY">'Rating Summary'!$X$21</definedName>
    <definedName name="DB.RatingSummary.Attachment.Layer15.Cover6.USD">'Rating Summary'!$X$44</definedName>
    <definedName name="DB.RatingSummary.Attachment.Layer16.Cover1.CCY">'Rating Summary'!$S$22</definedName>
    <definedName name="DB.RatingSummary.Attachment.Layer16.Cover1.USD">'Rating Summary'!$S$45</definedName>
    <definedName name="DB.RatingSummary.Attachment.Layer16.Cover2.CCY">'Rating Summary'!$T$22</definedName>
    <definedName name="DB.RatingSummary.Attachment.Layer16.Cover2.USD">'Rating Summary'!$T$45</definedName>
    <definedName name="DB.RatingSummary.Attachment.Layer16.Cover3.CCY">'Rating Summary'!$U$22</definedName>
    <definedName name="DB.RatingSummary.Attachment.Layer16.Cover3.USD">'Rating Summary'!$U$45</definedName>
    <definedName name="DB.RatingSummary.Attachment.Layer16.Cover4.CCY">'Rating Summary'!$V$22</definedName>
    <definedName name="DB.RatingSummary.Attachment.Layer16.Cover4.USD">'Rating Summary'!$V$45</definedName>
    <definedName name="DB.RatingSummary.Attachment.Layer16.Cover5.CCY">'Rating Summary'!$W$22</definedName>
    <definedName name="DB.RatingSummary.Attachment.Layer16.Cover5.USD">'Rating Summary'!$W$45</definedName>
    <definedName name="DB.RatingSummary.Attachment.Layer16.Cover6.CCY">'Rating Summary'!$X$22</definedName>
    <definedName name="DB.RatingSummary.Attachment.Layer16.Cover6.USD">'Rating Summary'!$X$45</definedName>
    <definedName name="DB.RatingSummary.Attachment.Layer2.Cover.CCY">'Rating Summary'!$W$8</definedName>
    <definedName name="DB.RatingSummary.Attachment.Layer2.Cover1.CCY">'Rating Summary'!$S$8</definedName>
    <definedName name="DB.RatingSummary.Attachment.Layer2.Cover1.USD">'Rating Summary'!$S$31</definedName>
    <definedName name="DB.RatingSummary.Attachment.Layer2.Cover2.CCY">'Rating Summary'!$T$8</definedName>
    <definedName name="DB.RatingSummary.Attachment.Layer2.Cover2.USD">'Rating Summary'!$T$31</definedName>
    <definedName name="DB.RatingSummary.Attachment.Layer2.Cover3.CCY">'Rating Summary'!$U$8</definedName>
    <definedName name="DB.RatingSummary.Attachment.Layer2.Cover3.USD">'Rating Summary'!$U$31</definedName>
    <definedName name="DB.RatingSummary.Attachment.Layer2.Cover4.CCY">'Rating Summary'!$V$8</definedName>
    <definedName name="DB.RatingSummary.Attachment.Layer2.Cover4.USD">'Rating Summary'!$V$31</definedName>
    <definedName name="DB.RatingSummary.Attachment.Layer2.Cover5.CCY">'Rating Summary'!$W$8</definedName>
    <definedName name="DB.RatingSummary.Attachment.Layer2.Cover5.USD">'Rating Summary'!$W$31</definedName>
    <definedName name="DB.RatingSummary.Attachment.Layer2.Cover6.CCY">'Rating Summary'!$X$8</definedName>
    <definedName name="DB.RatingSummary.Attachment.Layer2.Cover6.USD">'Rating Summary'!$X$31</definedName>
    <definedName name="DB.RatingSummary.Attachment.Layer3.Cover1.CCY">'Rating Summary'!$S$9</definedName>
    <definedName name="DB.RatingSummary.Attachment.Layer3.Cover1.USD">'Rating Summary'!$S$32</definedName>
    <definedName name="DB.RatingSummary.Attachment.Layer3.Cover2.CCY">'Rating Summary'!$T$9</definedName>
    <definedName name="DB.RatingSummary.Attachment.Layer3.Cover2.USD">'Rating Summary'!$T$32</definedName>
    <definedName name="DB.RatingSummary.Attachment.Layer3.Cover3.CCY">'Rating Summary'!$U$9</definedName>
    <definedName name="DB.RatingSummary.Attachment.Layer3.Cover3.USD">'Rating Summary'!$U$32</definedName>
    <definedName name="DB.RatingSummary.Attachment.Layer3.Cover4.CCY">'Rating Summary'!$V$9</definedName>
    <definedName name="DB.RatingSummary.Attachment.Layer3.Cover4.USD">'Rating Summary'!$V$32</definedName>
    <definedName name="DB.RatingSummary.Attachment.Layer3.Cover5.CCY">'Rating Summary'!$W$9</definedName>
    <definedName name="DB.RatingSummary.Attachment.Layer3.Cover5.USD">'Rating Summary'!$W$32</definedName>
    <definedName name="DB.RatingSummary.Attachment.Layer3.Cover6.CCY">'Rating Summary'!$X$9</definedName>
    <definedName name="DB.RatingSummary.Attachment.Layer3.Cover6.USD">'Rating Summary'!$X$32</definedName>
    <definedName name="DB.RatingSummary.Attachment.Layer4.Cover1.CCY">'Rating Summary'!$S$10</definedName>
    <definedName name="DB.RatingSummary.Attachment.Layer4.Cover1.USD">'Rating Summary'!$S$33</definedName>
    <definedName name="DB.RatingSummary.Attachment.Layer4.Cover2.CCY">'Rating Summary'!$T$10</definedName>
    <definedName name="DB.RatingSummary.Attachment.Layer4.Cover2.USD">'Rating Summary'!$T$33</definedName>
    <definedName name="DB.RatingSummary.Attachment.Layer4.Cover3.CCY">'Rating Summary'!$U$10</definedName>
    <definedName name="DB.RatingSummary.Attachment.Layer4.Cover3.USD">'Rating Summary'!$U$33</definedName>
    <definedName name="DB.RatingSummary.Attachment.Layer4.Cover4.CCY">'Rating Summary'!$V$10</definedName>
    <definedName name="DB.RatingSummary.Attachment.Layer4.Cover4.USD">'Rating Summary'!$V$33</definedName>
    <definedName name="DB.RatingSummary.Attachment.Layer4.Cover5.CCY">'Rating Summary'!$W$10</definedName>
    <definedName name="DB.RatingSummary.Attachment.Layer4.Cover5.USD">'Rating Summary'!$W$33</definedName>
    <definedName name="DB.RatingSummary.Attachment.Layer4.Cover6.CCY">'Rating Summary'!$X$10</definedName>
    <definedName name="DB.RatingSummary.Attachment.Layer4.Cover6.USD">'Rating Summary'!$X$33</definedName>
    <definedName name="DB.RatingSummary.Attachment.Layer5.Cover1.CCY">'Rating Summary'!$S$11</definedName>
    <definedName name="DB.RatingSummary.Attachment.Layer5.Cover1.USD">'Rating Summary'!$S$34</definedName>
    <definedName name="DB.RatingSummary.Attachment.Layer5.Cover2.CCY">'Rating Summary'!$T$11</definedName>
    <definedName name="DB.RatingSummary.Attachment.Layer5.Cover2.USD">'Rating Summary'!$T$34</definedName>
    <definedName name="DB.RatingSummary.Attachment.Layer5.Cover3.CCY">'Rating Summary'!$U$11</definedName>
    <definedName name="DB.RatingSummary.Attachment.Layer5.Cover3.USD">'Rating Summary'!$U$34</definedName>
    <definedName name="DB.RatingSummary.Attachment.Layer5.Cover4.CCY">'Rating Summary'!$V$11</definedName>
    <definedName name="DB.RatingSummary.Attachment.Layer5.Cover4.USD">'Rating Summary'!$V$34</definedName>
    <definedName name="DB.RatingSummary.Attachment.Layer5.Cover5.CCY">'Rating Summary'!$W$11</definedName>
    <definedName name="DB.RatingSummary.Attachment.Layer5.Cover5.USD">'Rating Summary'!$W$11</definedName>
    <definedName name="DB.RatingSummary.Attachment.Layer5.Cover6.CCY">'Rating Summary'!$X$11</definedName>
    <definedName name="DB.RatingSummary.Attachment.Layer5.Cover6.USD">'Rating Summary'!$X$34</definedName>
    <definedName name="DB.RatingSummary.Attachment.Layer6.Cover1.CCY">'Rating Summary'!$S$12</definedName>
    <definedName name="DB.RatingSummary.Attachment.Layer6.Cover1.USD">'Rating Summary'!$S$35</definedName>
    <definedName name="DB.RatingSummary.Attachment.Layer6.Cover2.CCY">'Rating Summary'!$T$12</definedName>
    <definedName name="DB.RatingSummary.Attachment.Layer6.Cover2.USD">'Rating Summary'!$T$35</definedName>
    <definedName name="DB.RatingSummary.Attachment.Layer6.Cover3.CCY">'Rating Summary'!$U$12</definedName>
    <definedName name="DB.RatingSummary.Attachment.Layer6.Cover3.USD">'Rating Summary'!$U$35</definedName>
    <definedName name="DB.RatingSummary.Attachment.Layer6.Cover4.CCY">'Rating Summary'!$V$12</definedName>
    <definedName name="DB.RatingSummary.Attachment.Layer6.Cover4.USD">'Rating Summary'!$V$35</definedName>
    <definedName name="DB.RatingSummary.Attachment.Layer6.Cover5.CCY">'Rating Summary'!$W$12</definedName>
    <definedName name="DB.RatingSummary.Attachment.Layer6.Cover5.USD">'Rating Summary'!$W$35</definedName>
    <definedName name="DB.RatingSummary.Attachment.Layer6.Cover6.CCY">'Rating Summary'!$X$12</definedName>
    <definedName name="DB.RatingSummary.Attachment.Layer6.Cover6.USD">'Rating Summary'!$X$35</definedName>
    <definedName name="DB.RatingSummary.Attachment.Layer7.Cover1.CCY">'Rating Summary'!$S$13</definedName>
    <definedName name="DB.RatingSummary.Attachment.Layer7.Cover1.USD">'Rating Summary'!$S$36</definedName>
    <definedName name="DB.RatingSummary.Attachment.Layer7.Cover2.CCY">'Rating Summary'!$T$13</definedName>
    <definedName name="DB.RatingSummary.Attachment.Layer7.Cover2.USD">'Rating Summary'!$T$36</definedName>
    <definedName name="DB.RatingSummary.Attachment.Layer7.Cover3.CCY">'Rating Summary'!$U$13</definedName>
    <definedName name="DB.RatingSummary.Attachment.Layer7.Cover3.USD">'Rating Summary'!$U$36</definedName>
    <definedName name="DB.RatingSummary.Attachment.Layer7.Cover4.CCY">'Rating Summary'!$V$13</definedName>
    <definedName name="DB.RatingSummary.Attachment.Layer7.Cover4.USD">'Rating Summary'!$V$36</definedName>
    <definedName name="DB.RatingSummary.Attachment.Layer7.Cover5.CCY">'Rating Summary'!$W$13</definedName>
    <definedName name="DB.RatingSummary.Attachment.Layer7.Cover5.USD">'Rating Summary'!$W$36</definedName>
    <definedName name="DB.RatingSummary.Attachment.Layer7.Cover6.CCY">'Rating Summary'!$X$13</definedName>
    <definedName name="DB.RatingSummary.Attachment.Layer7.Cover6.USD">'Rating Summary'!$X$36</definedName>
    <definedName name="DB.RatingSummary.Attachment.Layer8.Cover1.CCY">'Rating Summary'!$S$14</definedName>
    <definedName name="DB.RatingSummary.Attachment.Layer8.Cover1.USD">'Rating Summary'!$S$37</definedName>
    <definedName name="DB.RatingSummary.Attachment.Layer8.Cover2.CCY">'Rating Summary'!$T$14</definedName>
    <definedName name="DB.RatingSummary.Attachment.Layer8.Cover2.USD">'Rating Summary'!$T$37</definedName>
    <definedName name="DB.RatingSummary.Attachment.Layer8.Cover3.CCY">'Rating Summary'!$U$14</definedName>
    <definedName name="DB.RatingSummary.Attachment.Layer8.Cover3.USD">'Rating Summary'!$U$37</definedName>
    <definedName name="DB.RatingSummary.Attachment.Layer8.Cover4.CCY">'Rating Summary'!$V$14</definedName>
    <definedName name="DB.RatingSummary.Attachment.Layer8.Cover4.USD">'Rating Summary'!$V$37</definedName>
    <definedName name="DB.RatingSummary.Attachment.Layer8.Cover5.CCY">'Rating Summary'!$W$14</definedName>
    <definedName name="DB.RatingSummary.Attachment.Layer8.Cover5.USD">'Rating Summary'!$W$37</definedName>
    <definedName name="DB.RatingSummary.Attachment.Layer8.Cover6.CCY">'Rating Summary'!$X$14</definedName>
    <definedName name="DB.RatingSummary.Attachment.Layer8.Cover6.USD">'Rating Summary'!$X$37</definedName>
    <definedName name="DB.RatingSummary.Attachment.Layer9.Cover1.CCY">'Rating Summary'!$S$15</definedName>
    <definedName name="DB.RatingSummary.Attachment.Layer9.Cover1.USD">'Rating Summary'!$S$38</definedName>
    <definedName name="DB.RatingSummary.Attachment.Layer9.Cover2.CCY">'Rating Summary'!$T$15</definedName>
    <definedName name="DB.RatingSummary.Attachment.Layer9.Cover2.USD">'Rating Summary'!$T$38</definedName>
    <definedName name="DB.RatingSummary.Attachment.Layer9.Cover3.CCY">'Rating Summary'!$U$15</definedName>
    <definedName name="DB.RatingSummary.Attachment.Layer9.Cover3.USD">'Rating Summary'!$U$38</definedName>
    <definedName name="DB.RatingSummary.Attachment.Layer9.Cover4.CCY">'Rating Summary'!$V$15</definedName>
    <definedName name="DB.RatingSummary.Attachment.Layer9.Cover4.USD">'Rating Summary'!$V$38</definedName>
    <definedName name="DB.RatingSummary.Attachment.Layer9.Cover5.CCY">'Rating Summary'!$W$15</definedName>
    <definedName name="DB.RatingSummary.Attachment.Layer9.Cover5.USD">'Rating Summary'!$W$38</definedName>
    <definedName name="DB.RatingSummary.Attachment.Layer9.Cover6.CCY">'Rating Summary'!$X$15</definedName>
    <definedName name="DB.RatingSummary.Attachment.Layer9.Cover6.USD">'Rating Summary'!$X$38</definedName>
    <definedName name="DB.RatingSummary.AuthoritiesFX">'Rating Summary'!$C$26</definedName>
    <definedName name="DB.RatingSummary.AuthoritiesFXOverride">'Rating Summary'!$C$25</definedName>
    <definedName name="DB.RatingSummary.BB.Layer1">'Rating Summary'!$AZ$7</definedName>
    <definedName name="DB.RatingSummary.BB.Layer1.USD">'Rating Summary'!$AZ$30</definedName>
    <definedName name="DB.RatingSummary.BB.Layer10">'Rating Summary'!$AZ$16</definedName>
    <definedName name="DB.RatingSummary.BB.Layer10.USD">'Rating Summary'!$AZ$39</definedName>
    <definedName name="DB.RatingSummary.BB.Layer11">'Rating Summary'!$AZ$17</definedName>
    <definedName name="DB.RatingSummary.BB.Layer11.USD">'Rating Summary'!$AZ$40</definedName>
    <definedName name="DB.RatingSummary.BB.Layer12">'Rating Summary'!$AZ$18</definedName>
    <definedName name="DB.RatingSummary.BB.Layer12.USD">'Rating Summary'!$AZ$41</definedName>
    <definedName name="DB.RatingSummary.BB.Layer13">'Rating Summary'!$AZ$19</definedName>
    <definedName name="DB.RatingSummary.BB.Layer13.USD">'Rating Summary'!$AZ$42</definedName>
    <definedName name="DB.RatingSummary.BB.Layer14">'Rating Summary'!$AZ$20</definedName>
    <definedName name="DB.RatingSummary.BB.Layer14.USD">'Rating Summary'!$AZ$43</definedName>
    <definedName name="DB.RatingSummary.BB.Layer15">'Rating Summary'!$AZ$21</definedName>
    <definedName name="DB.RatingSummary.BB.Layer15.USD">'Rating Summary'!$AZ$44</definedName>
    <definedName name="DB.RatingSummary.BB.Layer16">'Rating Summary'!$AZ$22</definedName>
    <definedName name="DB.RatingSummary.BB.Layer16.USD">'Rating Summary'!$AZ$45</definedName>
    <definedName name="DB.RatingSummary.BB.Layer2">'Rating Summary'!$AZ$8</definedName>
    <definedName name="DB.RatingSummary.BB.Layer2.USD">'Rating Summary'!$AZ$31</definedName>
    <definedName name="DB.RatingSummary.BB.Layer3">'Rating Summary'!$AZ$9</definedName>
    <definedName name="DB.RatingSummary.BB.Layer3.USD">'Rating Summary'!$AZ$32</definedName>
    <definedName name="DB.RatingSummary.BB.Layer4">'Rating Summary'!$AZ$10</definedName>
    <definedName name="DB.RatingSummary.BB.Layer4.USD">'Rating Summary'!$AZ$33</definedName>
    <definedName name="DB.RatingSummary.BB.Layer5">'Rating Summary'!$AZ$11</definedName>
    <definedName name="DB.RatingSummary.BB.Layer5.USD">'Rating Summary'!$AZ$34</definedName>
    <definedName name="DB.RatingSummary.BB.Layer6">'Rating Summary'!$AZ$12</definedName>
    <definedName name="DB.RatingSummary.BB.Layer6.USD">'Rating Summary'!$AZ$35</definedName>
    <definedName name="DB.RatingSummary.BB.Layer7">'Rating Summary'!$AZ$13</definedName>
    <definedName name="DB.RatingSummary.BB.Layer7.USD">'Rating Summary'!$AZ$36</definedName>
    <definedName name="DB.RatingSummary.BB.Layer8">'Rating Summary'!$AZ$14</definedName>
    <definedName name="DB.RatingSummary.BB.Layer8.USD">'Rating Summary'!$AZ$37</definedName>
    <definedName name="DB.RatingSummary.BB.Layer9">'Rating Summary'!$AZ$15</definedName>
    <definedName name="DB.RatingSummary.BB.Layer9.USD">'Rating Summary'!$AZ$38</definedName>
    <definedName name="DB.RatingSummary.BeazleyLinepc.1.Layer1">'Rating Summary'!$BD$7</definedName>
    <definedName name="DB.RatingSummary.BeazleyLinepc.1.Layer1.USD">'Rating Summary'!$BD$30</definedName>
    <definedName name="DB.RatingSummary.BeazleyLinepc.1.Layer10">'Rating Summary'!$BD$16</definedName>
    <definedName name="DB.RatingSummary.BeazleyLinepc.1.Layer10.USD">'Rating Summary'!$BD$39</definedName>
    <definedName name="DB.RatingSummary.BeazleyLinepc.1.Layer11">'Rating Summary'!$BD$17</definedName>
    <definedName name="DB.RatingSummary.BeazleyLinepc.1.Layer11.USD">'Rating Summary'!$BD$40</definedName>
    <definedName name="DB.RatingSummary.BeazleyLinepc.1.Layer12">'Rating Summary'!$BD$18</definedName>
    <definedName name="DB.RatingSummary.BeazleyLinepc.1.Layer12.USD">'Rating Summary'!$BD$41</definedName>
    <definedName name="DB.RatingSummary.BeazleyLinepc.1.Layer13">'Rating Summary'!$BD$19</definedName>
    <definedName name="DB.RatingSummary.BeazleyLinepc.1.Layer13.USD">'Rating Summary'!$BD$42</definedName>
    <definedName name="DB.RatingSummary.BeazleyLinepc.1.Layer14">'Rating Summary'!$BD$20</definedName>
    <definedName name="DB.RatingSummary.BeazleyLinepc.1.Layer14.USD">'Rating Summary'!$BD$43</definedName>
    <definedName name="DB.RatingSummary.BeazleyLinepc.1.Layer15">'Rating Summary'!$BD$21</definedName>
    <definedName name="DB.RatingSummary.BeazleyLinepc.1.Layer15.USD">'Rating Summary'!$BD$44</definedName>
    <definedName name="DB.RatingSummary.BeazleyLinepc.1.Layer16">'Rating Summary'!$BD$22</definedName>
    <definedName name="DB.RatingSummary.BeazleyLinepc.1.Layer16.USD">'Rating Summary'!$BD$45</definedName>
    <definedName name="DB.RatingSummary.BeazleyLinepc.1.Layer2">'Rating Summary'!$BD$8</definedName>
    <definedName name="DB.RatingSummary.BeazleyLinepc.1.Layer2.USD">'Rating Summary'!$BD$31</definedName>
    <definedName name="DB.RatingSummary.BeazleyLinepc.1.Layer3">'Rating Summary'!$BD$9</definedName>
    <definedName name="DB.RatingSummary.BeazleyLinepc.1.Layer3.USD">'Rating Summary'!$BD$32</definedName>
    <definedName name="DB.RatingSummary.BeazleyLinepc.1.Layer4">'Rating Summary'!$BD$10</definedName>
    <definedName name="DB.RatingSummary.BeazleyLinepc.1.Layer4.USD">'Rating Summary'!$BD$33</definedName>
    <definedName name="DB.RatingSummary.BeazleyLinepc.1.Layer5">'Rating Summary'!$BD$11</definedName>
    <definedName name="DB.RatingSummary.BeazleyLinepc.1.Layer5.USD">'Rating Summary'!$BD$34</definedName>
    <definedName name="DB.RatingSummary.BeazleyLinepc.1.Layer6">'Rating Summary'!$BD$12</definedName>
    <definedName name="DB.RatingSummary.BeazleyLinepc.1.Layer6.USD">'Rating Summary'!$BD$35</definedName>
    <definedName name="DB.RatingSummary.BeazleyLinepc.1.Layer7">'Rating Summary'!$BD$13</definedName>
    <definedName name="DB.RatingSummary.BeazleyLinepc.1.Layer7.USD">'Rating Summary'!$BD$36</definedName>
    <definedName name="DB.RatingSummary.BeazleyLinepc.1.Layer8">'Rating Summary'!$BD$14</definedName>
    <definedName name="DB.RatingSummary.BeazleyLinepc.1.Layer8.USD">'Rating Summary'!$BD$37</definedName>
    <definedName name="DB.RatingSummary.BeazleyLinepc.1.Layer9">'Rating Summary'!$BD$15</definedName>
    <definedName name="DB.RatingSummary.BeazleyLinepc.1.Layer9.USD">'Rating Summary'!$BD$38</definedName>
    <definedName name="DB.RatingSummary.BeazleyLinepc.2.Layer1">'Rating Summary'!$BE$7</definedName>
    <definedName name="DB.RatingSummary.BeazleyLinepc.2.Layer1.USD">'Rating Summary'!$BE$30</definedName>
    <definedName name="DB.RatingSummary.BeazleyLinepc.2.Layer10">'Rating Summary'!$BE$16</definedName>
    <definedName name="DB.RatingSummary.BeazleyLinepc.2.Layer10.USD">'Rating Summary'!$BE$39</definedName>
    <definedName name="DB.RatingSummary.BeazleyLinepc.2.Layer11">'Rating Summary'!$BE$17</definedName>
    <definedName name="DB.RatingSummary.BeazleyLinepc.2.Layer11.USD">'Rating Summary'!$BE$40</definedName>
    <definedName name="DB.RatingSummary.BeazleyLinepc.2.Layer12">'Rating Summary'!$BE$18</definedName>
    <definedName name="DB.RatingSummary.BeazleyLinepc.2.Layer12.USD">'Rating Summary'!$BE$41</definedName>
    <definedName name="DB.RatingSummary.BeazleyLinepc.2.Layer13">'Rating Summary'!$BE$19</definedName>
    <definedName name="DB.RatingSummary.BeazleyLinepc.2.Layer13.USD">'Rating Summary'!$BE$42</definedName>
    <definedName name="DB.RatingSummary.BeazleyLinepc.2.Layer14">'Rating Summary'!$BE$20</definedName>
    <definedName name="DB.RatingSummary.BeazleyLinepc.2.Layer14.USD">'Rating Summary'!$BE$43</definedName>
    <definedName name="DB.RatingSummary.BeazleyLinepc.2.Layer15">'Rating Summary'!$BE$21</definedName>
    <definedName name="DB.RatingSummary.BeazleyLinepc.2.Layer15.USD">'Rating Summary'!$BE$44</definedName>
    <definedName name="DB.RatingSummary.BeazleyLinepc.2.Layer16">'Rating Summary'!$BE$22</definedName>
    <definedName name="DB.RatingSummary.BeazleyLinepc.2.Layer16.USD">'Rating Summary'!$BE$45</definedName>
    <definedName name="DB.RatingSummary.BeazleyLinepc.2.Layer2">'Rating Summary'!$BE$8</definedName>
    <definedName name="DB.RatingSummary.BeazleyLinepc.2.Layer2.USD">'Rating Summary'!$BE$31</definedName>
    <definedName name="DB.RatingSummary.BeazleyLinepc.2.Layer3">'Rating Summary'!$BE$9</definedName>
    <definedName name="DB.RatingSummary.BeazleyLinepc.2.Layer3.USD">'Rating Summary'!$BE$32</definedName>
    <definedName name="DB.RatingSummary.BeazleyLinepc.2.Layer4">'Rating Summary'!$BE$10</definedName>
    <definedName name="DB.RatingSummary.BeazleyLinepc.2.Layer4.USD">'Rating Summary'!$BE$33</definedName>
    <definedName name="DB.RatingSummary.BeazleyLinepc.2.Layer5">'Rating Summary'!$BE$11</definedName>
    <definedName name="DB.RatingSummary.BeazleyLinepc.2.Layer5.USD">'Rating Summary'!$BE$34</definedName>
    <definedName name="DB.RatingSummary.BeazleyLinepc.2.Layer6">'Rating Summary'!$BE$12</definedName>
    <definedName name="DB.RatingSummary.BeazleyLinepc.2.Layer6.USD">'Rating Summary'!$BE$35</definedName>
    <definedName name="DB.RatingSummary.BeazleyLinepc.2.Layer7">'Rating Summary'!$BE$13</definedName>
    <definedName name="DB.RatingSummary.BeazleyLinepc.2.Layer7.USD">'Rating Summary'!$BE$36</definedName>
    <definedName name="DB.RatingSummary.BeazleyLinepc.2.Layer8">'Rating Summary'!$BE$14</definedName>
    <definedName name="DB.RatingSummary.BeazleyLinepc.2.Layer8.USD">'Rating Summary'!$BE$37</definedName>
    <definedName name="DB.RatingSummary.BeazleyLinepc.2.Layer9">'Rating Summary'!$BE$15</definedName>
    <definedName name="DB.RatingSummary.BeazleyLinepc.2.Layer9.USD">'Rating Summary'!$BE$38</definedName>
    <definedName name="DB.RatingSummary.BeazleyLinepc.3.Layer1">'Rating Summary'!$BF$7</definedName>
    <definedName name="DB.RatingSummary.BeazleyLinepc.3.Layer1.USD">'Rating Summary'!$BF$30</definedName>
    <definedName name="DB.RatingSummary.BeazleyLinepc.3.Layer10">'Rating Summary'!$BF$16</definedName>
    <definedName name="DB.RatingSummary.BeazleyLinepc.3.Layer10.USD">'Rating Summary'!$BF$39</definedName>
    <definedName name="DB.RatingSummary.BeazleyLinepc.3.Layer11">'Rating Summary'!$BF$17</definedName>
    <definedName name="DB.RatingSummary.BeazleyLinepc.3.Layer11.USD">'Rating Summary'!$BF$40</definedName>
    <definedName name="DB.RatingSummary.BeazleyLinepc.3.Layer12">'Rating Summary'!$BF$18</definedName>
    <definedName name="DB.RatingSummary.BeazleyLinepc.3.Layer12.USD">'Rating Summary'!$BF$41</definedName>
    <definedName name="DB.RatingSummary.BeazleyLinepc.3.Layer13">'Rating Summary'!$BF$19</definedName>
    <definedName name="DB.RatingSummary.BeazleyLinepc.3.Layer13.USD">'Rating Summary'!$BF$42</definedName>
    <definedName name="DB.RatingSummary.BeazleyLinepc.3.Layer14">'Rating Summary'!$BF$20</definedName>
    <definedName name="DB.RatingSummary.BeazleyLinepc.3.Layer14.USD">'Rating Summary'!$BF$43</definedName>
    <definedName name="DB.RatingSummary.BeazleyLinepc.3.Layer15">'Rating Summary'!$BF$21</definedName>
    <definedName name="DB.RatingSummary.BeazleyLinepc.3.Layer15.USD">'Rating Summary'!$BF$44</definedName>
    <definedName name="DB.RatingSummary.BeazleyLinepc.3.Layer16">'Rating Summary'!$BF$22</definedName>
    <definedName name="DB.RatingSummary.BeazleyLinepc.3.Layer16.USD">'Rating Summary'!$BF$45</definedName>
    <definedName name="DB.RatingSummary.BeazleyLinepc.3.Layer2">'Rating Summary'!$BF$8</definedName>
    <definedName name="DB.RatingSummary.BeazleyLinepc.3.Layer2.USD">'Rating Summary'!$BF$31</definedName>
    <definedName name="DB.RatingSummary.BeazleyLinepc.3.Layer3">'Rating Summary'!$BF$9</definedName>
    <definedName name="DB.RatingSummary.BeazleyLinepc.3.Layer3.USD">'Rating Summary'!$BF$32</definedName>
    <definedName name="DB.RatingSummary.BeazleyLinepc.3.Layer4">'Rating Summary'!$BF$10</definedName>
    <definedName name="DB.RatingSummary.BeazleyLinepc.3.Layer4.USD">'Rating Summary'!$BF$33</definedName>
    <definedName name="DB.RatingSummary.BeazleyLinepc.3.Layer5">'Rating Summary'!$BF$11</definedName>
    <definedName name="DB.RatingSummary.BeazleyLinepc.3.Layer5.USD">'Rating Summary'!$BF$34</definedName>
    <definedName name="DB.RatingSummary.BeazleyLinepc.3.Layer6">'Rating Summary'!$BF$12</definedName>
    <definedName name="DB.RatingSummary.BeazleyLinepc.3.Layer6.USD">'Rating Summary'!$BF$35</definedName>
    <definedName name="DB.RatingSummary.BeazleyLinepc.3.Layer7">'Rating Summary'!$BF$13</definedName>
    <definedName name="DB.RatingSummary.BeazleyLinepc.3.Layer7.USD">'Rating Summary'!$BF$36</definedName>
    <definedName name="DB.RatingSummary.BeazleyLinepc.3.Layer8">'Rating Summary'!$BF$14</definedName>
    <definedName name="DB.RatingSummary.BeazleyLinepc.3.Layer8.USD">'Rating Summary'!$BF$37</definedName>
    <definedName name="DB.RatingSummary.BeazleyLinepc.3.Layer9">'Rating Summary'!$BF$15</definedName>
    <definedName name="DB.RatingSummary.BeazleyLinepc.3.Layer9.USD">'Rating Summary'!$BF$38</definedName>
    <definedName name="DB.RatingSummary.BeazleyLinepc.4.Layer1">'Rating Summary'!$BG$7</definedName>
    <definedName name="DB.RatingSummary.BeazleyLinepc.4.Layer1.USD">'Rating Summary'!$BG$30</definedName>
    <definedName name="DB.RatingSummary.BeazleyLinepc.4.Layer10">'Rating Summary'!$BG$16</definedName>
    <definedName name="DB.RatingSummary.BeazleyLinepc.4.Layer10.USD">'Rating Summary'!$BG$39</definedName>
    <definedName name="DB.RatingSummary.BeazleyLinepc.4.Layer11">'Rating Summary'!$BG$17</definedName>
    <definedName name="DB.RatingSummary.BeazleyLinepc.4.Layer11.USD">'Rating Summary'!$BG$40</definedName>
    <definedName name="DB.RatingSummary.BeazleyLinepc.4.Layer12">'Rating Summary'!$BG$18</definedName>
    <definedName name="DB.RatingSummary.BeazleyLinepc.4.Layer12.USD">'Rating Summary'!$BG$41</definedName>
    <definedName name="DB.RatingSummary.BeazleyLinepc.4.Layer13">'Rating Summary'!$BG$19</definedName>
    <definedName name="DB.RatingSummary.BeazleyLinepc.4.Layer13.USD">'Rating Summary'!$BG$42</definedName>
    <definedName name="DB.RatingSummary.BeazleyLinepc.4.Layer14">'Rating Summary'!$BG$20</definedName>
    <definedName name="DB.RatingSummary.BeazleyLinepc.4.Layer14.USD">'Rating Summary'!$BG$43</definedName>
    <definedName name="DB.RatingSummary.BeazleyLinepc.4.Layer15">'Rating Summary'!$BG$21</definedName>
    <definedName name="DB.RatingSummary.BeazleyLinepc.4.Layer15.USD">'Rating Summary'!$BG$44</definedName>
    <definedName name="DB.RatingSummary.BeazleyLinepc.4.Layer16">'Rating Summary'!$BG$22</definedName>
    <definedName name="DB.RatingSummary.BeazleyLinepc.4.Layer16.USD">'Rating Summary'!$BG$45</definedName>
    <definedName name="DB.RatingSummary.BeazleyLinepc.4.Layer2">'Rating Summary'!$BG$8</definedName>
    <definedName name="DB.RatingSummary.BeazleyLinepc.4.Layer2.USD">'Rating Summary'!$BG$31</definedName>
    <definedName name="DB.RatingSummary.BeazleyLinepc.4.Layer3">'Rating Summary'!$BG$9</definedName>
    <definedName name="DB.RatingSummary.BeazleyLinepc.4.Layer3.USD">'Rating Summary'!$BG$32</definedName>
    <definedName name="DB.RatingSummary.BeazleyLinepc.4.Layer4">'Rating Summary'!$BG$10</definedName>
    <definedName name="DB.RatingSummary.BeazleyLinepc.4.Layer4.USD">'Rating Summary'!$BG$33</definedName>
    <definedName name="DB.RatingSummary.BeazleyLinepc.4.Layer5">'Rating Summary'!$BG$11</definedName>
    <definedName name="DB.RatingSummary.BeazleyLinepc.4.Layer5.USD">'Rating Summary'!$BG$34</definedName>
    <definedName name="DB.RatingSummary.BeazleyLinepc.4.Layer6">'Rating Summary'!$BG$12</definedName>
    <definedName name="DB.RatingSummary.BeazleyLinepc.4.Layer6.USD">'Rating Summary'!$BG$35</definedName>
    <definedName name="DB.RatingSummary.BeazleyLinepc.4.Layer7">'Rating Summary'!$BG$13</definedName>
    <definedName name="DB.RatingSummary.BeazleyLinepc.4.Layer7.USD">'Rating Summary'!$BG$36</definedName>
    <definedName name="DB.RatingSummary.BeazleyLinepc.4.Layer8">'Rating Summary'!$BG$14</definedName>
    <definedName name="DB.RatingSummary.BeazleyLinepc.4.Layer8.USD">'Rating Summary'!$BG$37</definedName>
    <definedName name="DB.RatingSummary.BeazleyLinepc.4.Layer9">'Rating Summary'!$BG$15</definedName>
    <definedName name="DB.RatingSummary.BeazleyLinepc.4.Layer9.USD">'Rating Summary'!$BG$38</definedName>
    <definedName name="DB.RatingSummary.BeazleyLinepc.5.Layer1">'Rating Summary'!$BH$7</definedName>
    <definedName name="DB.RatingSummary.BeazleyLinepc.5.Layer1.USD">'Rating Summary'!$BH$30</definedName>
    <definedName name="DB.RatingSummary.BeazleyLinepc.5.Layer10">'Rating Summary'!$BH$16</definedName>
    <definedName name="DB.RatingSummary.BeazleyLinepc.5.Layer10.USD">'Rating Summary'!$BH$39</definedName>
    <definedName name="DB.RatingSummary.BeazleyLinepc.5.Layer11">'Rating Summary'!$BH$17</definedName>
    <definedName name="DB.RatingSummary.BeazleyLinepc.5.Layer11.USD">'Rating Summary'!$BH$40</definedName>
    <definedName name="DB.RatingSummary.BeazleyLinepc.5.Layer12">'Rating Summary'!$BH$18</definedName>
    <definedName name="DB.RatingSummary.BeazleyLinepc.5.Layer12.USD">'Rating Summary'!$BH$41</definedName>
    <definedName name="DB.RatingSummary.BeazleyLinepc.5.Layer13">'Rating Summary'!$BH$19</definedName>
    <definedName name="DB.RatingSummary.BeazleyLinepc.5.Layer13.USD">'Rating Summary'!$BH$42</definedName>
    <definedName name="DB.RatingSummary.BeazleyLinepc.5.Layer14">'Rating Summary'!$BH$20</definedName>
    <definedName name="DB.RatingSummary.BeazleyLinepc.5.Layer14.USD">'Rating Summary'!$BH$43</definedName>
    <definedName name="DB.RatingSummary.BeazleyLinepc.5.Layer15">'Rating Summary'!$BH$21</definedName>
    <definedName name="DB.RatingSummary.BeazleyLinepc.5.Layer15.USD">'Rating Summary'!$BH$44</definedName>
    <definedName name="DB.RatingSummary.BeazleyLinepc.5.Layer16">'Rating Summary'!$BH$22</definedName>
    <definedName name="DB.RatingSummary.BeazleyLinepc.5.Layer16.USD">'Rating Summary'!$BH$45</definedName>
    <definedName name="DB.RatingSummary.BeazleyLinepc.5.Layer2">'Rating Summary'!$BH$8</definedName>
    <definedName name="DB.RatingSummary.BeazleyLinepc.5.Layer2.USD">'Rating Summary'!$BH$31</definedName>
    <definedName name="DB.RatingSummary.BeazleyLinepc.5.Layer3">'Rating Summary'!$BH$9</definedName>
    <definedName name="DB.RatingSummary.BeazleyLinepc.5.Layer3.USD">'Rating Summary'!$BH$32</definedName>
    <definedName name="DB.RatingSummary.BeazleyLinepc.5.Layer4">'Rating Summary'!$BH$10</definedName>
    <definedName name="DB.RatingSummary.BeazleyLinepc.5.Layer4.USD">'Rating Summary'!$BH$33</definedName>
    <definedName name="DB.RatingSummary.BeazleyLinepc.5.Layer5">'Rating Summary'!$BH$11</definedName>
    <definedName name="DB.RatingSummary.BeazleyLinepc.5.Layer5.USD">'Rating Summary'!$BH$34</definedName>
    <definedName name="DB.RatingSummary.BeazleyLinepc.5.Layer6">'Rating Summary'!$BH$12</definedName>
    <definedName name="DB.RatingSummary.BeazleyLinepc.5.Layer6.USD">'Rating Summary'!$BH$35</definedName>
    <definedName name="DB.RatingSummary.BeazleyLinepc.5.Layer7">'Rating Summary'!$BH$13</definedName>
    <definedName name="DB.RatingSummary.BeazleyLinepc.5.Layer7.USD">'Rating Summary'!$BH$36</definedName>
    <definedName name="DB.RatingSummary.BeazleyLinepc.5.Layer8">'Rating Summary'!$BH$14</definedName>
    <definedName name="DB.RatingSummary.BeazleyLinepc.5.Layer8.USD">'Rating Summary'!$BH$37</definedName>
    <definedName name="DB.RatingSummary.BeazleyLinepc.5.Layer9">'Rating Summary'!$BH$15</definedName>
    <definedName name="DB.RatingSummary.BeazleyLinepc.5.Layer9.USD">'Rating Summary'!$BH$38</definedName>
    <definedName name="DB.RatingSummary.BeazleyLinepc.6.Layer1">'Rating Summary'!$BI$7</definedName>
    <definedName name="DB.RatingSummary.BeazleyLinepc.6.Layer1.USD">'Rating Summary'!$BI$30</definedName>
    <definedName name="DB.RatingSummary.BeazleyLinepc.6.Layer10">'Rating Summary'!$BI$16</definedName>
    <definedName name="DB.RatingSummary.BeazleyLinepc.6.Layer10.USD">'Rating Summary'!$BI$39</definedName>
    <definedName name="DB.RatingSummary.BeazleyLinepc.6.Layer11">'Rating Summary'!$BI$17</definedName>
    <definedName name="DB.RatingSummary.BeazleyLinepc.6.Layer11.USD">'Rating Summary'!$BI$40</definedName>
    <definedName name="DB.RatingSummary.BeazleyLinepc.6.Layer12">'Rating Summary'!$BI$18</definedName>
    <definedName name="DB.RatingSummary.BeazleyLinepc.6.Layer12.USD">'Rating Summary'!$BI$41</definedName>
    <definedName name="DB.RatingSummary.BeazleyLinepc.6.Layer13">'Rating Summary'!$BI$19</definedName>
    <definedName name="DB.RatingSummary.BeazleyLinepc.6.Layer13.USD">'Rating Summary'!$BI$42</definedName>
    <definedName name="DB.RatingSummary.BeazleyLinepc.6.Layer14">'Rating Summary'!$BI$20</definedName>
    <definedName name="DB.RatingSummary.BeazleyLinepc.6.Layer14.USD">'Rating Summary'!$BI$43</definedName>
    <definedName name="DB.RatingSummary.BeazleyLinepc.6.Layer15">'Rating Summary'!$BI$21</definedName>
    <definedName name="DB.RatingSummary.BeazleyLinepc.6.Layer15.USD">'Rating Summary'!$BI$44</definedName>
    <definedName name="DB.RatingSummary.BeazleyLinepc.6.Layer16">'Rating Summary'!$BI$22</definedName>
    <definedName name="DB.RatingSummary.BeazleyLinepc.6.Layer16.USD">'Rating Summary'!$BI$45</definedName>
    <definedName name="DB.RatingSummary.BeazleyLinepc.6.Layer2">'Rating Summary'!$BI$8</definedName>
    <definedName name="DB.RatingSummary.BeazleyLinepc.6.Layer2.USD">'Rating Summary'!$BI$31</definedName>
    <definedName name="DB.RatingSummary.BeazleyLinepc.6.Layer3">'Rating Summary'!$BI$9</definedName>
    <definedName name="DB.RatingSummary.BeazleyLinepc.6.Layer3.USD">'Rating Summary'!$BI$32</definedName>
    <definedName name="DB.RatingSummary.BeazleyLinepc.6.Layer4">'Rating Summary'!$BI$10</definedName>
    <definedName name="DB.RatingSummary.BeazleyLinepc.6.Layer4.USD">'Rating Summary'!$BI$33</definedName>
    <definedName name="DB.RatingSummary.BeazleyLinepc.6.Layer5">'Rating Summary'!$BI$11</definedName>
    <definedName name="DB.RatingSummary.BeazleyLinepc.6.Layer5.USD">'Rating Summary'!$BI$34</definedName>
    <definedName name="DB.RatingSummary.BeazleyLinepc.6.Layer6">'Rating Summary'!$BI$12</definedName>
    <definedName name="DB.RatingSummary.BeazleyLinepc.6.Layer6.USD">'Rating Summary'!$BI$35</definedName>
    <definedName name="DB.RatingSummary.BeazleyLinepc.6.Layer7">'Rating Summary'!$BI$13</definedName>
    <definedName name="DB.RatingSummary.BeazleyLinepc.6.Layer7.USD">'Rating Summary'!$BI$36</definedName>
    <definedName name="DB.RatingSummary.BeazleyLinepc.6.Layer8">'Rating Summary'!$BI$14</definedName>
    <definedName name="DB.RatingSummary.BeazleyLinepc.6.Layer8.USD">'Rating Summary'!$BI$37</definedName>
    <definedName name="DB.RatingSummary.BeazleyLinepc.6.Layer9">'Rating Summary'!$BI$15</definedName>
    <definedName name="DB.RatingSummary.BeazleyLinepc.6.Layer9.USD">'Rating Summary'!$BI$38</definedName>
    <definedName name="DB.RatingSummary.BPIpc.Layer1">'Rating Summary'!$BR$7</definedName>
    <definedName name="DB.RatingSummary.BPIpc.Layer1.USD">'Rating Summary'!$BR$30</definedName>
    <definedName name="DB.RatingSummary.BPIpc.Layer10">'Rating Summary'!$BR$16</definedName>
    <definedName name="DB.RatingSummary.BPIpc.Layer10.USD">'Rating Summary'!$BR$39</definedName>
    <definedName name="DB.RatingSummary.BPIpc.Layer11">'Rating Summary'!$BR$17</definedName>
    <definedName name="DB.RatingSummary.BPIpc.Layer11.USD">'Rating Summary'!$BR$40</definedName>
    <definedName name="DB.RatingSummary.BPIpc.Layer12">'Rating Summary'!$BR$18</definedName>
    <definedName name="DB.RatingSummary.BPIpc.Layer12.USD">'Rating Summary'!$BR$41</definedName>
    <definedName name="DB.RatingSummary.BPIpc.Layer13">'Rating Summary'!$BR$19</definedName>
    <definedName name="DB.RatingSummary.BPIpc.Layer13.USD">'Rating Summary'!$BR$42</definedName>
    <definedName name="DB.RatingSummary.BPIpc.Layer14">'Rating Summary'!$BR$20</definedName>
    <definedName name="DB.RatingSummary.BPIpc.Layer14.USD">'Rating Summary'!$BR$43</definedName>
    <definedName name="DB.RatingSummary.BPIpc.Layer15">'Rating Summary'!$BR$21</definedName>
    <definedName name="DB.RatingSummary.BPIpc.Layer15.USD">'Rating Summary'!$BR$44</definedName>
    <definedName name="DB.RatingSummary.BPIpc.Layer16">'Rating Summary'!$BR$22</definedName>
    <definedName name="DB.RatingSummary.BPIpc.Layer16.USD">'Rating Summary'!$BR$45</definedName>
    <definedName name="DB.RatingSummary.BPIpc.Layer2">'Rating Summary'!$BR$8</definedName>
    <definedName name="DB.RatingSummary.BPIpc.Layer2.USD">'Rating Summary'!$BR$31</definedName>
    <definedName name="DB.RatingSummary.BPIpc.Layer3">'Rating Summary'!$BR$9</definedName>
    <definedName name="DB.RatingSummary.BPIpc.Layer3.USD">'Rating Summary'!$BR$32</definedName>
    <definedName name="DB.RatingSummary.BPIpc.Layer4">'Rating Summary'!$BR$10</definedName>
    <definedName name="DB.RatingSummary.BPIpc.Layer4.USD">'Rating Summary'!$BR$33</definedName>
    <definedName name="DB.RatingSummary.BPIpc.Layer5">'Rating Summary'!$BR$11</definedName>
    <definedName name="DB.RatingSummary.BPIpc.Layer5.USD">'Rating Summary'!$BR$34</definedName>
    <definedName name="DB.RatingSummary.BPIpc.Layer6">'Rating Summary'!$BR$12</definedName>
    <definedName name="DB.RatingSummary.BPIpc.Layer6.USD">'Rating Summary'!$BR$35</definedName>
    <definedName name="DB.RatingSummary.BPIpc.Layer7">'Rating Summary'!$BR$13</definedName>
    <definedName name="DB.RatingSummary.BPIpc.Layer7.USD">'Rating Summary'!$BR$36</definedName>
    <definedName name="DB.RatingSummary.BPIpc.Layer8">'Rating Summary'!$BR$14</definedName>
    <definedName name="DB.RatingSummary.BPIpc.Layer8.USD">'Rating Summary'!$BR$37</definedName>
    <definedName name="DB.RatingSummary.BPIpc.Layer9">'Rating Summary'!$BR$15</definedName>
    <definedName name="DB.RatingSummary.BPIpc.Layer9.USD">'Rating Summary'!$BR$38</definedName>
    <definedName name="DB.RatingSummary.BRKpc.Layer1">'Rating Summary'!$AV$7</definedName>
    <definedName name="DB.RatingSummary.BRKpc.Layer1.USD">'Rating Summary'!$AV$30</definedName>
    <definedName name="DB.RatingSummary.BRKpc.Layer10">'Rating Summary'!$AV$16</definedName>
    <definedName name="DB.RatingSummary.BRKpc.Layer10.USD">'Rating Summary'!$AV$39</definedName>
    <definedName name="DB.RatingSummary.BRKpc.Layer11">'Rating Summary'!$AV$17</definedName>
    <definedName name="DB.RatingSummary.BRKpc.Layer11.USD">'Rating Summary'!$AV$40</definedName>
    <definedName name="DB.RatingSummary.BRKpc.Layer12">'Rating Summary'!$AV$18</definedName>
    <definedName name="DB.RatingSummary.BRKpc.Layer12.USD">'Rating Summary'!$AV$41</definedName>
    <definedName name="DB.RatingSummary.BRKpc.Layer13">'Rating Summary'!$AV$19</definedName>
    <definedName name="DB.RatingSummary.BRKpc.Layer13.USD">'Rating Summary'!$AV$42</definedName>
    <definedName name="DB.RatingSummary.BRKpc.Layer14">'Rating Summary'!$AV$20</definedName>
    <definedName name="DB.RatingSummary.BRKpc.Layer14.USD">'Rating Summary'!$AV$43</definedName>
    <definedName name="DB.RatingSummary.BRKpc.Layer15">'Rating Summary'!$AV$21</definedName>
    <definedName name="DB.RatingSummary.BRKpc.Layer15.USD">'Rating Summary'!$AV$44</definedName>
    <definedName name="DB.RatingSummary.BRKpc.Layer16">'Rating Summary'!$AV$22</definedName>
    <definedName name="DB.RatingSummary.BRKpc.Layer16.USD">'Rating Summary'!$AV$45</definedName>
    <definedName name="DB.RatingSummary.BRKpc.Layer2">'Rating Summary'!$AV$8</definedName>
    <definedName name="DB.RatingSummary.BRKpc.Layer2.USD">'Rating Summary'!$AV$31</definedName>
    <definedName name="DB.RatingSummary.BRKpc.Layer3">'Rating Summary'!$AV$9</definedName>
    <definedName name="DB.RatingSummary.BRKpc.Layer3.USD">'Rating Summary'!$AV$32</definedName>
    <definedName name="DB.RatingSummary.BRKpc.Layer4">'Rating Summary'!$AV$10</definedName>
    <definedName name="DB.RatingSummary.BRKpc.Layer4.USD">'Rating Summary'!$AV$33</definedName>
    <definedName name="DB.RatingSummary.BRKpc.Layer5">'Rating Summary'!$AV$11</definedName>
    <definedName name="DB.RatingSummary.BRKpc.Layer5.USD">'Rating Summary'!$AV$34</definedName>
    <definedName name="DB.RatingSummary.BRKpc.Layer6">'Rating Summary'!$AV$12</definedName>
    <definedName name="DB.RatingSummary.BRKpc.Layer6.USD">'Rating Summary'!$AV$35</definedName>
    <definedName name="DB.RatingSummary.BRKpc.Layer7">'Rating Summary'!$AV$13</definedName>
    <definedName name="DB.RatingSummary.BRKpc.Layer7.USD">'Rating Summary'!$AV$36</definedName>
    <definedName name="DB.RatingSummary.BRKpc.Layer8">'Rating Summary'!$AV$14</definedName>
    <definedName name="DB.RatingSummary.BRKpc.Layer8.USD">'Rating Summary'!$AV$37</definedName>
    <definedName name="DB.RatingSummary.BRKpc.Layer9">'Rating Summary'!$AV$15</definedName>
    <definedName name="DB.RatingSummary.BRKpc.Layer9.USD">'Rating Summary'!$AV$38</definedName>
    <definedName name="DB.RatingSummary.Coverage.Layer1.Cover1">'Rating Summary'!$D$7</definedName>
    <definedName name="DB.RatingSummary.Coverage.Layer1.Cover1USD">'Rating Summary'!$D$30</definedName>
    <definedName name="DB.RatingSummary.Coverage.Layer1.Cover2">'Rating Summary'!$E$7</definedName>
    <definedName name="DB.RatingSummary.Coverage.Layer1.Cover2USD">'Rating Summary'!$E$30</definedName>
    <definedName name="DB.RatingSummary.Coverage.Layer1.Cover3">'Rating Summary'!$F$7</definedName>
    <definedName name="DB.RatingSummary.Coverage.Layer1.Cover3USD">'Rating Summary'!$F$30</definedName>
    <definedName name="DB.RatingSummary.Coverage.Layer1.Cover4">'Rating Summary'!$G$7</definedName>
    <definedName name="DB.RatingSummary.Coverage.Layer1.Cover4USD">'Rating Summary'!$G$30</definedName>
    <definedName name="DB.RatingSummary.Coverage.Layer1.Cover5">'Rating Summary'!$H$7</definedName>
    <definedName name="DB.RatingSummary.Coverage.Layer1.Cover5USD">'Rating Summary'!$H$30</definedName>
    <definedName name="DB.RatingSummary.Coverage.Layer1.Cover6">'Rating Summary'!$I$7</definedName>
    <definedName name="DB.RatingSummary.Coverage.Layer1.Cover6USD">'Rating Summary'!$I$30</definedName>
    <definedName name="DB.RatingSummary.Coverage.Layer10.Cover1">'Rating Summary'!$D$16</definedName>
    <definedName name="DB.RatingSummary.Coverage.Layer10.Cover1USD">'Rating Summary'!$D$39</definedName>
    <definedName name="DB.RatingSummary.Coverage.Layer10.Cover2">'Rating Summary'!$E$16</definedName>
    <definedName name="DB.RatingSummary.Coverage.Layer10.Cover2USD">'Rating Summary'!$E$39</definedName>
    <definedName name="DB.RatingSummary.Coverage.Layer10.Cover3">'Rating Summary'!$F$16</definedName>
    <definedName name="DB.RatingSummary.Coverage.Layer10.Cover3USD">'Rating Summary'!$F$39</definedName>
    <definedName name="DB.RatingSummary.Coverage.Layer10.Cover4">'Rating Summary'!$G$16</definedName>
    <definedName name="DB.RatingSummary.Coverage.Layer10.Cover4USD">'Rating Summary'!$G$39</definedName>
    <definedName name="DB.RatingSummary.Coverage.Layer10.Cover5">'Rating Summary'!$H$16</definedName>
    <definedName name="DB.RatingSummary.Coverage.Layer10.Cover5USD">'Rating Summary'!$H$39</definedName>
    <definedName name="DB.RatingSummary.Coverage.Layer10.Cover6">'Rating Summary'!$I$16</definedName>
    <definedName name="DB.RatingSummary.Coverage.Layer10.Cover6USD">'Rating Summary'!$I$39</definedName>
    <definedName name="DB.RatingSummary.Coverage.Layer11.Cover1">'Rating Summary'!$D$17</definedName>
    <definedName name="DB.RatingSummary.Coverage.Layer11.Cover1USD">'Rating Summary'!$D$40</definedName>
    <definedName name="DB.RatingSummary.Coverage.Layer11.Cover2">'Rating Summary'!$E$17</definedName>
    <definedName name="DB.RatingSummary.Coverage.Layer11.Cover2USD">'Rating Summary'!$E$40</definedName>
    <definedName name="DB.RatingSummary.Coverage.Layer11.Cover3">'Rating Summary'!$F$17</definedName>
    <definedName name="DB.RatingSummary.Coverage.Layer11.Cover3USD">'Rating Summary'!$F$40</definedName>
    <definedName name="DB.RatingSummary.Coverage.Layer11.Cover4">'Rating Summary'!$G$17</definedName>
    <definedName name="DB.RatingSummary.Coverage.Layer11.Cover4USD">'Rating Summary'!$G$40</definedName>
    <definedName name="DB.RatingSummary.Coverage.Layer11.Cover5">'Rating Summary'!$H$17</definedName>
    <definedName name="DB.RatingSummary.Coverage.Layer11.Cover5USD">'Rating Summary'!$H$40</definedName>
    <definedName name="DB.RatingSummary.Coverage.Layer11.Cover6">'Rating Summary'!$I$17</definedName>
    <definedName name="DB.RatingSummary.Coverage.Layer11.Cover6USD">'Rating Summary'!$I$40</definedName>
    <definedName name="DB.RatingSummary.Coverage.Layer12.Cover1">'Rating Summary'!$D$18</definedName>
    <definedName name="DB.RatingSummary.Coverage.Layer12.Cover1USD">'Rating Summary'!$D$41</definedName>
    <definedName name="DB.RatingSummary.Coverage.Layer12.Cover2">'Rating Summary'!$E$18</definedName>
    <definedName name="DB.RatingSummary.Coverage.Layer12.Cover2USD">'Rating Summary'!$E$41</definedName>
    <definedName name="DB.RatingSummary.Coverage.Layer12.Cover3">'Rating Summary'!$F$18</definedName>
    <definedName name="DB.RatingSummary.Coverage.Layer12.Cover3USD">'Rating Summary'!$F$41</definedName>
    <definedName name="DB.RatingSummary.Coverage.Layer12.Cover4">'Rating Summary'!$G$18</definedName>
    <definedName name="DB.RatingSummary.Coverage.Layer12.Cover4USD">'Rating Summary'!$G$41</definedName>
    <definedName name="DB.RatingSummary.Coverage.Layer12.Cover5">'Rating Summary'!$H$18</definedName>
    <definedName name="DB.RatingSummary.Coverage.Layer12.Cover5USD">'Rating Summary'!$H$41</definedName>
    <definedName name="DB.RatingSummary.Coverage.Layer12.Cover6">'Rating Summary'!$I$18</definedName>
    <definedName name="DB.RatingSummary.Coverage.Layer12.Cover6USD">'Rating Summary'!$I$41</definedName>
    <definedName name="DB.RatingSummary.Coverage.Layer13.Cover1">'Rating Summary'!$D$19</definedName>
    <definedName name="DB.RatingSummary.Coverage.Layer13.Cover1USD">'Rating Summary'!$D$42</definedName>
    <definedName name="DB.RatingSummary.Coverage.Layer13.Cover2">'Rating Summary'!$E$19</definedName>
    <definedName name="DB.RatingSummary.Coverage.Layer13.Cover2USD">'Rating Summary'!$E$42</definedName>
    <definedName name="DB.RatingSummary.Coverage.Layer13.Cover3">'Rating Summary'!$F$19</definedName>
    <definedName name="DB.RatingSummary.Coverage.Layer13.Cover3USD">'Rating Summary'!$F$42</definedName>
    <definedName name="DB.RatingSummary.Coverage.Layer13.Cover4">'Rating Summary'!$G$19</definedName>
    <definedName name="DB.RatingSummary.Coverage.Layer13.Cover4USD">'Rating Summary'!$G$42</definedName>
    <definedName name="DB.RatingSummary.Coverage.Layer13.Cover5">'Rating Summary'!$H$19</definedName>
    <definedName name="DB.RatingSummary.Coverage.Layer13.Cover5USD">'Rating Summary'!$H$42</definedName>
    <definedName name="DB.RatingSummary.Coverage.Layer13.Cover6">'Rating Summary'!$I$19</definedName>
    <definedName name="DB.RatingSummary.Coverage.Layer13.Cover6USD">'Rating Summary'!$I$42</definedName>
    <definedName name="DB.RatingSummary.Coverage.Layer14.Cover1">'Rating Summary'!$D$20</definedName>
    <definedName name="DB.RatingSummary.Coverage.Layer14.Cover1USD">'Rating Summary'!$D$43</definedName>
    <definedName name="DB.RatingSummary.Coverage.Layer14.Cover2">'Rating Summary'!$E$20</definedName>
    <definedName name="DB.RatingSummary.Coverage.Layer14.Cover2USD">'Rating Summary'!$E$43</definedName>
    <definedName name="DB.RatingSummary.Coverage.Layer14.Cover3">'Rating Summary'!$F$20</definedName>
    <definedName name="DB.RatingSummary.Coverage.Layer14.Cover3USD">'Rating Summary'!$F$43</definedName>
    <definedName name="DB.RatingSummary.Coverage.Layer14.Cover4">'Rating Summary'!$G$20</definedName>
    <definedName name="DB.RatingSummary.Coverage.Layer14.Cover4USD">'Rating Summary'!$G$43</definedName>
    <definedName name="DB.RatingSummary.Coverage.Layer14.Cover5">'Rating Summary'!$H$20</definedName>
    <definedName name="DB.RatingSummary.Coverage.Layer14.Cover5USD">'Rating Summary'!$H$43</definedName>
    <definedName name="DB.RatingSummary.Coverage.Layer14.Cover6">'Rating Summary'!$I$20</definedName>
    <definedName name="DB.RatingSummary.Coverage.Layer14.Cover6USD">'Rating Summary'!$I$43</definedName>
    <definedName name="DB.RatingSummary.Coverage.Layer15.Cover1">'Rating Summary'!$D$21</definedName>
    <definedName name="DB.RatingSummary.Coverage.Layer15.Cover1USD">'Rating Summary'!$D$44</definedName>
    <definedName name="DB.RatingSummary.Coverage.Layer15.Cover2">'Rating Summary'!$E$21</definedName>
    <definedName name="DB.RatingSummary.Coverage.Layer15.Cover2USD">'Rating Summary'!$E$44</definedName>
    <definedName name="DB.RatingSummary.Coverage.Layer15.Cover3">'Rating Summary'!$F$21</definedName>
    <definedName name="DB.RatingSummary.Coverage.Layer15.Cover3USD">'Rating Summary'!$F$44</definedName>
    <definedName name="DB.RatingSummary.Coverage.Layer15.Cover4">'Rating Summary'!$G$21</definedName>
    <definedName name="DB.RatingSummary.Coverage.Layer15.Cover4USD">'Rating Summary'!$G$44</definedName>
    <definedName name="DB.RatingSummary.Coverage.Layer15.Cover5">'Rating Summary'!$H$21</definedName>
    <definedName name="DB.RatingSummary.Coverage.Layer15.Cover5USD">'Rating Summary'!$H$44</definedName>
    <definedName name="DB.RatingSummary.Coverage.Layer15.Cover6">'Rating Summary'!$I$21</definedName>
    <definedName name="DB.RatingSummary.Coverage.Layer15.Cover6USD">'Rating Summary'!$I$44</definedName>
    <definedName name="DB.RatingSummary.Coverage.Layer16.Cover1">'Rating Summary'!$D$22</definedName>
    <definedName name="DB.RatingSummary.Coverage.Layer16.Cover1USD">'Rating Summary'!$D$45</definedName>
    <definedName name="DB.RatingSummary.Coverage.Layer16.Cover2">'Rating Summary'!$E$22</definedName>
    <definedName name="DB.RatingSummary.Coverage.Layer16.Cover2USD">'Rating Summary'!$E$45</definedName>
    <definedName name="DB.RatingSummary.Coverage.Layer16.Cover3">'Rating Summary'!$F$22</definedName>
    <definedName name="DB.RatingSummary.Coverage.Layer16.Cover3USD">'Rating Summary'!$F$45</definedName>
    <definedName name="DB.RatingSummary.Coverage.Layer16.Cover4">'Rating Summary'!$G$22</definedName>
    <definedName name="DB.RatingSummary.Coverage.Layer16.Cover4USD">'Rating Summary'!$G$45</definedName>
    <definedName name="DB.RatingSummary.Coverage.Layer16.Cover5">'Rating Summary'!$H$22</definedName>
    <definedName name="DB.RatingSummary.Coverage.Layer16.Cover5USD">'Rating Summary'!$H$45</definedName>
    <definedName name="DB.RatingSummary.Coverage.Layer16.Cover6">'Rating Summary'!$I$22</definedName>
    <definedName name="DB.RatingSummary.Coverage.Layer16.Cover6USD">'Rating Summary'!$I$45</definedName>
    <definedName name="DB.RatingSummary.Coverage.Layer2.Cover1">'Rating Summary'!$D$8</definedName>
    <definedName name="DB.RatingSummary.Coverage.Layer2.Cover1USD">'Rating Summary'!$D$31</definedName>
    <definedName name="DB.RatingSummary.Coverage.Layer2.Cover2">'Rating Summary'!$E$8</definedName>
    <definedName name="DB.RatingSummary.Coverage.Layer2.Cover2USD">'Rating Summary'!$E$31</definedName>
    <definedName name="DB.RatingSummary.Coverage.Layer2.Cover3">'Rating Summary'!$F$8</definedName>
    <definedName name="DB.RatingSummary.Coverage.Layer2.Cover3USD">'Rating Summary'!$F$31</definedName>
    <definedName name="DB.RatingSummary.Coverage.Layer2.Cover4">'Rating Summary'!$G$8</definedName>
    <definedName name="DB.RatingSummary.Coverage.Layer2.Cover4USD">'Rating Summary'!$G$31</definedName>
    <definedName name="DB.RatingSummary.Coverage.Layer2.Cover5">'Rating Summary'!$H$8</definedName>
    <definedName name="DB.RatingSummary.Coverage.Layer2.Cover5USD">'Rating Summary'!$H$31</definedName>
    <definedName name="DB.RatingSummary.Coverage.Layer2.Cover6">'Rating Summary'!$I$8</definedName>
    <definedName name="DB.RatingSummary.Coverage.Layer2.Cover6USD">'Rating Summary'!$I$31</definedName>
    <definedName name="DB.RatingSummary.Coverage.Layer3.Cover1">'Rating Summary'!$D$9</definedName>
    <definedName name="DB.RatingSummary.Coverage.Layer3.Cover1USD">'Rating Summary'!$D$32</definedName>
    <definedName name="DB.RatingSummary.Coverage.Layer3.Cover2">'Rating Summary'!$E$9</definedName>
    <definedName name="DB.RatingSummary.Coverage.Layer3.Cover2USD">'Rating Summary'!$E$32</definedName>
    <definedName name="DB.RatingSummary.Coverage.Layer3.Cover3">'Rating Summary'!$F$9</definedName>
    <definedName name="DB.RatingSummary.Coverage.Layer3.Cover3USD">'Rating Summary'!$F$32</definedName>
    <definedName name="DB.RatingSummary.Coverage.Layer3.Cover4">'Rating Summary'!$G$9</definedName>
    <definedName name="DB.RatingSummary.Coverage.Layer3.Cover4USD">'Rating Summary'!$G$32</definedName>
    <definedName name="DB.RatingSummary.Coverage.Layer3.Cover5">'Rating Summary'!$H$9</definedName>
    <definedName name="DB.RatingSummary.Coverage.Layer3.Cover5USD">'Rating Summary'!$H$32</definedName>
    <definedName name="DB.RatingSummary.Coverage.Layer3.Cover6">'Rating Summary'!$I$9</definedName>
    <definedName name="DB.RatingSummary.Coverage.Layer3.Cover6USD">'Rating Summary'!$I$32</definedName>
    <definedName name="DB.RatingSummary.Coverage.Layer4.Cover1">'Rating Summary'!$D$10</definedName>
    <definedName name="DB.RatingSummary.Coverage.Layer4.Cover1USD">'Rating Summary'!$D$33</definedName>
    <definedName name="DB.RatingSummary.Coverage.Layer4.Cover2">'Rating Summary'!$E$10</definedName>
    <definedName name="DB.RatingSummary.Coverage.Layer4.Cover2USD">'Rating Summary'!$E$33</definedName>
    <definedName name="DB.RatingSummary.Coverage.Layer4.Cover3">'Rating Summary'!$F$10</definedName>
    <definedName name="DB.RatingSummary.Coverage.Layer4.Cover3USD">'Rating Summary'!$F$33</definedName>
    <definedName name="DB.RatingSummary.Coverage.Layer4.Cover4">'Rating Summary'!$G$10</definedName>
    <definedName name="DB.RatingSummary.Coverage.Layer4.Cover4USD">'Rating Summary'!$G$33</definedName>
    <definedName name="DB.RatingSummary.Coverage.Layer4.Cover5">'Rating Summary'!$H$10</definedName>
    <definedName name="DB.RatingSummary.Coverage.Layer4.Cover5USD">'Rating Summary'!$H$33</definedName>
    <definedName name="DB.RatingSummary.Coverage.Layer4.Cover6">'Rating Summary'!$I$10</definedName>
    <definedName name="DB.RatingSummary.Coverage.Layer4.Cover6USD">'Rating Summary'!$I$33</definedName>
    <definedName name="DB.RatingSummary.Coverage.Layer5.Cover1">'Rating Summary'!$D$11</definedName>
    <definedName name="DB.RatingSummary.Coverage.Layer5.Cover1USD">'Rating Summary'!$D$34</definedName>
    <definedName name="DB.RatingSummary.Coverage.Layer5.Cover2">'Rating Summary'!$E$11</definedName>
    <definedName name="DB.RatingSummary.Coverage.Layer5.Cover2USD">'Rating Summary'!$E$34</definedName>
    <definedName name="DB.RatingSummary.Coverage.Layer5.Cover3">'Rating Summary'!$F$11</definedName>
    <definedName name="DB.RatingSummary.Coverage.Layer5.Cover3USD">'Rating Summary'!$F$34</definedName>
    <definedName name="DB.RatingSummary.Coverage.Layer5.Cover4">'Rating Summary'!$G$11</definedName>
    <definedName name="DB.RatingSummary.Coverage.Layer5.Cover4USD">'Rating Summary'!$G$34</definedName>
    <definedName name="DB.RatingSummary.Coverage.Layer5.Cover5">'Rating Summary'!$H$11</definedName>
    <definedName name="DB.RatingSummary.Coverage.Layer5.Cover5USD">'Rating Summary'!$H$34</definedName>
    <definedName name="DB.RatingSummary.Coverage.Layer5.Cover6">'Rating Summary'!$I$11</definedName>
    <definedName name="DB.RatingSummary.Coverage.Layer5.Cover6USD">'Rating Summary'!$I$34</definedName>
    <definedName name="DB.RatingSummary.Coverage.Layer6.Cover1">'Rating Summary'!$D$12</definedName>
    <definedName name="DB.RatingSummary.Coverage.Layer6.Cover1USD">'Rating Summary'!$D$35</definedName>
    <definedName name="DB.RatingSummary.Coverage.Layer6.Cover2">'Rating Summary'!$E$12</definedName>
    <definedName name="DB.RatingSummary.Coverage.Layer6.Cover2USD">'Rating Summary'!$E$35</definedName>
    <definedName name="DB.RatingSummary.Coverage.Layer6.Cover3">'Rating Summary'!$F$12</definedName>
    <definedName name="DB.RatingSummary.Coverage.Layer6.Cover3USD">'Rating Summary'!$F$35</definedName>
    <definedName name="DB.RatingSummary.Coverage.Layer6.Cover4">'Rating Summary'!$G$12</definedName>
    <definedName name="DB.RatingSummary.Coverage.Layer6.Cover4USD">'Rating Summary'!$G$35</definedName>
    <definedName name="DB.RatingSummary.Coverage.Layer6.Cover5">'Rating Summary'!$H$12</definedName>
    <definedName name="DB.RatingSummary.Coverage.Layer6.Cover5USD">'Rating Summary'!$H$35</definedName>
    <definedName name="DB.RatingSummary.Coverage.Layer6.Cover6">'Rating Summary'!$I$12</definedName>
    <definedName name="DB.RatingSummary.Coverage.Layer6.Cover6USD">'Rating Summary'!$I$35</definedName>
    <definedName name="DB.RatingSummary.Coverage.Layer7.Cover1">'Rating Summary'!$D$13</definedName>
    <definedName name="DB.RatingSummary.Coverage.Layer7.Cover1USD">'Rating Summary'!$D$36</definedName>
    <definedName name="DB.RatingSummary.Coverage.Layer7.Cover2">'Rating Summary'!$E$13</definedName>
    <definedName name="DB.RatingSummary.Coverage.Layer7.Cover2USD">'Rating Summary'!$E$36</definedName>
    <definedName name="DB.RatingSummary.Coverage.Layer7.Cover3">'Rating Summary'!$F$13</definedName>
    <definedName name="DB.RatingSummary.Coverage.Layer7.Cover3USD">'Rating Summary'!$F$36</definedName>
    <definedName name="DB.RatingSummary.Coverage.Layer7.Cover4">'Rating Summary'!$G$13</definedName>
    <definedName name="DB.RatingSummary.Coverage.Layer7.Cover4USD">'Rating Summary'!$G$36</definedName>
    <definedName name="DB.RatingSummary.Coverage.Layer7.Cover5">'Rating Summary'!$H$13</definedName>
    <definedName name="DB.RatingSummary.Coverage.Layer7.Cover5USD">'Rating Summary'!$H$36</definedName>
    <definedName name="DB.RatingSummary.Coverage.Layer7.Cover6">'Rating Summary'!$I$13</definedName>
    <definedName name="DB.RatingSummary.Coverage.Layer7.Cover6USD">'Rating Summary'!$I$36</definedName>
    <definedName name="DB.RatingSummary.Coverage.Layer8.Cover1">'Rating Summary'!$D$14</definedName>
    <definedName name="DB.RatingSummary.Coverage.Layer8.Cover1USD">'Rating Summary'!$D$37</definedName>
    <definedName name="DB.RatingSummary.Coverage.Layer8.Cover2">'Rating Summary'!$E$14</definedName>
    <definedName name="DB.RatingSummary.Coverage.Layer8.Cover2USD">'Rating Summary'!$E$37</definedName>
    <definedName name="DB.RatingSummary.Coverage.Layer8.Cover3">'Rating Summary'!$F$14</definedName>
    <definedName name="DB.RatingSummary.Coverage.Layer8.Cover3USD">'Rating Summary'!$F$37</definedName>
    <definedName name="DB.RatingSummary.Coverage.Layer8.Cover4">'Rating Summary'!$G$14</definedName>
    <definedName name="DB.RatingSummary.Coverage.Layer8.Cover4USD">'Rating Summary'!$G$37</definedName>
    <definedName name="DB.RatingSummary.Coverage.Layer8.Cover5">'Rating Summary'!$H$14</definedName>
    <definedName name="DB.RatingSummary.Coverage.Layer8.Cover5USD">'Rating Summary'!$H$37</definedName>
    <definedName name="DB.RatingSummary.Coverage.Layer8.Cover6">'Rating Summary'!$I$14</definedName>
    <definedName name="DB.RatingSummary.Coverage.Layer8.Cover6USD">'Rating Summary'!$I$37</definedName>
    <definedName name="DB.RatingSummary.Coverage.Layer9.Cover1">'Rating Summary'!$D$15</definedName>
    <definedName name="DB.RatingSummary.Coverage.Layer9.Cover1USD">'Rating Summary'!$D$38</definedName>
    <definedName name="DB.RatingSummary.Coverage.Layer9.Cover2">'Rating Summary'!$E$15</definedName>
    <definedName name="DB.RatingSummary.Coverage.Layer9.Cover2USD">'Rating Summary'!$E$38</definedName>
    <definedName name="DB.RatingSummary.Coverage.Layer9.Cover3">'Rating Summary'!$F$15</definedName>
    <definedName name="DB.RatingSummary.Coverage.Layer9.Cover3USD">'Rating Summary'!$F$38</definedName>
    <definedName name="DB.RatingSummary.Coverage.Layer9.Cover4">'Rating Summary'!$G$15</definedName>
    <definedName name="DB.RatingSummary.Coverage.Layer9.Cover4USD">'Rating Summary'!$G$38</definedName>
    <definedName name="DB.RatingSummary.Coverage.Layer9.Cover5">'Rating Summary'!$H$15</definedName>
    <definedName name="DB.RatingSummary.Coverage.Layer9.Cover5USD">'Rating Summary'!$H$38</definedName>
    <definedName name="DB.RatingSummary.Coverage.Layer9.Cover6">'Rating Summary'!$I$15</definedName>
    <definedName name="DB.RatingSummary.Coverage.Layer9.Cover6USD">'Rating Summary'!$I$38</definedName>
    <definedName name="DB.RatingSummary.D5.Layer1">'Rating Summary'!$BB$7</definedName>
    <definedName name="DB.RatingSummary.D5.Layer1.USD">'Rating Summary'!$BB$30</definedName>
    <definedName name="DB.RatingSummary.D5.Layer10">'Rating Summary'!$BB$16</definedName>
    <definedName name="DB.RatingSummary.D5.Layer10.USD">'Rating Summary'!$BB$39</definedName>
    <definedName name="DB.RatingSummary.D5.Layer11">'Rating Summary'!$BB$17</definedName>
    <definedName name="DB.RatingSummary.D5.Layer11.USD">'Rating Summary'!$BB$40</definedName>
    <definedName name="DB.RatingSummary.D5.Layer12">'Rating Summary'!$BB$18</definedName>
    <definedName name="DB.RatingSummary.D5.Layer12.USD">'Rating Summary'!$BB$41</definedName>
    <definedName name="DB.RatingSummary.D5.Layer13">'Rating Summary'!$BB$19</definedName>
    <definedName name="DB.RatingSummary.D5.Layer13.USD">'Rating Summary'!$BB$42</definedName>
    <definedName name="DB.RatingSummary.D5.Layer14">'Rating Summary'!$BB$20</definedName>
    <definedName name="DB.RatingSummary.D5.Layer14.USD">'Rating Summary'!$BB$43</definedName>
    <definedName name="DB.RatingSummary.D5.Layer15">'Rating Summary'!$BB$21</definedName>
    <definedName name="DB.RatingSummary.D5.Layer15.USD">'Rating Summary'!$BB$44</definedName>
    <definedName name="DB.RatingSummary.D5.Layer16">'Rating Summary'!$BB$22</definedName>
    <definedName name="DB.RatingSummary.D5.Layer16.USD">'Rating Summary'!$BB$45</definedName>
    <definedName name="DB.RatingSummary.D5.Layer2">'Rating Summary'!$BB$8</definedName>
    <definedName name="DB.RatingSummary.D5.Layer2.USD">'Rating Summary'!$BB$31</definedName>
    <definedName name="DB.RatingSummary.D5.Layer3">'Rating Summary'!$BB$9</definedName>
    <definedName name="DB.RatingSummary.D5.Layer3.USD">'Rating Summary'!$BB$32</definedName>
    <definedName name="DB.RatingSummary.D5.Layer4">'Rating Summary'!$BB$10</definedName>
    <definedName name="DB.RatingSummary.D5.Layer4.USD">'Rating Summary'!$BB$33</definedName>
    <definedName name="DB.RatingSummary.D5.Layer5">'Rating Summary'!$BB$11</definedName>
    <definedName name="DB.RatingSummary.D5.Layer5.USD">'Rating Summary'!$BB$34</definedName>
    <definedName name="DB.RatingSummary.D5.Layer6">'Rating Summary'!$BB$12</definedName>
    <definedName name="DB.RatingSummary.D5.Layer6.USD">'Rating Summary'!$BB$35</definedName>
    <definedName name="DB.RatingSummary.D5.Layer7">'Rating Summary'!$BB$13</definedName>
    <definedName name="DB.RatingSummary.D5.Layer7.USD">'Rating Summary'!$BB$36</definedName>
    <definedName name="DB.RatingSummary.D5.Layer8">'Rating Summary'!$BB$14</definedName>
    <definedName name="DB.RatingSummary.D5.Layer8.USD">'Rating Summary'!$BB$37</definedName>
    <definedName name="DB.RatingSummary.D5.Layer9">'Rating Summary'!$BB$15</definedName>
    <definedName name="DB.RatingSummary.D5.Layer9.USD">'Rating Summary'!$BB$38</definedName>
    <definedName name="DB.RatingSummary.DirectReinstatements.Layer1.Cover1">'Rating Summary'!$Z$7</definedName>
    <definedName name="DB.RatingSummary.DirectReinstatements.Layer1.Cover1.USD">'Rating Summary'!$Z$30</definedName>
    <definedName name="DB.RatingSummary.DirectReinstatements.Layer1.Cover2">'Rating Summary'!$AA$7</definedName>
    <definedName name="DB.RatingSummary.DirectReinstatements.Layer1.Cover2.USD">'Rating Summary'!$AA$30</definedName>
    <definedName name="DB.RatingSummary.DirectReinstatements.Layer1.Cover3">'Rating Summary'!$AB$7</definedName>
    <definedName name="DB.RatingSummary.DirectReinstatements.Layer1.Cover3.USD">'Rating Summary'!$AB$30</definedName>
    <definedName name="DB.RatingSummary.DirectReinstatements.Layer1.Cover4">'Rating Summary'!$AC$7</definedName>
    <definedName name="DB.RatingSummary.DirectReinstatements.Layer1.Cover4.USD">'Rating Summary'!$AC$30</definedName>
    <definedName name="DB.RatingSummary.DirectReinstatements.Layer1.Cover5">'Rating Summary'!$AD$7</definedName>
    <definedName name="DB.RatingSummary.DirectReinstatements.Layer1.Cover5.USD">'Rating Summary'!$AD$30</definedName>
    <definedName name="DB.RatingSummary.DirectReinstatements.Layer1.Cover6">'Rating Summary'!$AE$7</definedName>
    <definedName name="DB.RatingSummary.DirectReinstatements.Layer1.Cover6.USD">'Rating Summary'!$AE$30</definedName>
    <definedName name="DB.RatingSummary.DirectReinstatements.Layer10.Cover1">'Rating Summary'!$Z$16</definedName>
    <definedName name="DB.RatingSummary.DirectReinstatements.Layer10.Cover1.USD">'Rating Summary'!$Z$39</definedName>
    <definedName name="DB.RatingSummary.DirectReinstatements.Layer10.Cover2">'Rating Summary'!$AA$16</definedName>
    <definedName name="DB.RatingSummary.DirectReinstatements.Layer10.Cover2.USD">'Rating Summary'!$AA$39</definedName>
    <definedName name="DB.RatingSummary.DirectReinstatements.Layer10.Cover3">'Rating Summary'!$AB$16</definedName>
    <definedName name="DB.RatingSummary.DirectReinstatements.Layer10.Cover3.USD">'Rating Summary'!$AB$39</definedName>
    <definedName name="DB.RatingSummary.DirectReinstatements.Layer10.Cover4">'Rating Summary'!$AC$16</definedName>
    <definedName name="DB.RatingSummary.DirectReinstatements.Layer10.Cover4.USD">'Rating Summary'!$AC$39</definedName>
    <definedName name="DB.RatingSummary.DirectReinstatements.Layer10.Cover5">'Rating Summary'!$AD$16</definedName>
    <definedName name="DB.RatingSummary.DirectReinstatements.Layer10.Cover5.USD">'Rating Summary'!$AD$39</definedName>
    <definedName name="DB.RatingSummary.DirectReinstatements.Layer10.Cover6">'Rating Summary'!$AE$16</definedName>
    <definedName name="DB.RatingSummary.DirectReinstatements.Layer10.Cover6.USD">'Rating Summary'!$AE$39</definedName>
    <definedName name="DB.RatingSummary.DirectReinstatements.Layer11.Cover1">'Rating Summary'!$Z$17</definedName>
    <definedName name="DB.RatingSummary.DirectReinstatements.Layer11.Cover1.USD">'Rating Summary'!$Z$40</definedName>
    <definedName name="DB.RatingSummary.DirectReinstatements.Layer11.Cover2">'Rating Summary'!$AA$17</definedName>
    <definedName name="DB.RatingSummary.DirectReinstatements.Layer11.Cover2.USD">'Rating Summary'!$AA$40</definedName>
    <definedName name="DB.RatingSummary.DirectReinstatements.Layer11.Cover3">'Rating Summary'!$AB$17</definedName>
    <definedName name="DB.RatingSummary.DirectReinstatements.Layer11.Cover3.USD">'Rating Summary'!$AB$40</definedName>
    <definedName name="DB.RatingSummary.DirectReinstatements.Layer11.Cover4">'Rating Summary'!$AC$17</definedName>
    <definedName name="DB.RatingSummary.DirectReinstatements.Layer11.Cover4.USD">'Rating Summary'!$AC$40</definedName>
    <definedName name="DB.RatingSummary.DirectReinstatements.Layer11.Cover5">'Rating Summary'!$AD$17</definedName>
    <definedName name="DB.RatingSummary.DirectReinstatements.Layer11.Cover5.USD">'Rating Summary'!$AD$40</definedName>
    <definedName name="DB.RatingSummary.DirectReinstatements.Layer11.Cover6">'Rating Summary'!$AE$17</definedName>
    <definedName name="DB.RatingSummary.DirectReinstatements.Layer11.Cover6.USD">'Rating Summary'!$AE$40</definedName>
    <definedName name="DB.RatingSummary.DirectReinstatements.Layer12.Cover1">'Rating Summary'!$Z$18</definedName>
    <definedName name="DB.RatingSummary.DirectReinstatements.Layer12.Cover1.USD">'Rating Summary'!$Z$41</definedName>
    <definedName name="DB.RatingSummary.DirectReinstatements.Layer12.Cover2">'Rating Summary'!$AA$18</definedName>
    <definedName name="DB.RatingSummary.DirectReinstatements.Layer12.Cover2.USD">'Rating Summary'!$AA$41</definedName>
    <definedName name="DB.RatingSummary.DirectReinstatements.Layer12.Cover3">'Rating Summary'!$AB$18</definedName>
    <definedName name="DB.RatingSummary.DirectReinstatements.Layer12.Cover3.USD">'Rating Summary'!$AB$41</definedName>
    <definedName name="DB.RatingSummary.DirectReinstatements.Layer12.Cover4">'Rating Summary'!$AC$18</definedName>
    <definedName name="DB.RatingSummary.DirectReinstatements.Layer12.Cover4.USD">'Rating Summary'!$AC$41</definedName>
    <definedName name="DB.RatingSummary.DirectReinstatements.Layer12.Cover5">'Rating Summary'!$AD$18</definedName>
    <definedName name="DB.RatingSummary.DirectReinstatements.Layer12.Cover5.USD">'Rating Summary'!$AD$41</definedName>
    <definedName name="DB.RatingSummary.DirectReinstatements.Layer12.Cover6">'Rating Summary'!$AE$18</definedName>
    <definedName name="DB.RatingSummary.DirectReinstatements.Layer12.Cover6.USD">'Rating Summary'!$AE$41</definedName>
    <definedName name="DB.RatingSummary.DirectReinstatements.Layer13.Cover1">'Rating Summary'!$Z$19</definedName>
    <definedName name="DB.RatingSummary.DirectReinstatements.Layer13.Cover1.USD">'Rating Summary'!$Z$42</definedName>
    <definedName name="DB.RatingSummary.DirectReinstatements.Layer13.Cover2">'Rating Summary'!$AA$19</definedName>
    <definedName name="DB.RatingSummary.DirectReinstatements.Layer13.Cover2.USD">'Rating Summary'!$AA$42</definedName>
    <definedName name="DB.RatingSummary.DirectReinstatements.Layer13.Cover3">'Rating Summary'!$AB$19</definedName>
    <definedName name="DB.RatingSummary.DirectReinstatements.Layer13.Cover3.USD">'Rating Summary'!$AB$42</definedName>
    <definedName name="DB.RatingSummary.DirectReinstatements.Layer13.Cover4">'Rating Summary'!$AC$19</definedName>
    <definedName name="DB.RatingSummary.DirectReinstatements.Layer13.Cover4.USD">'Rating Summary'!$AC$42</definedName>
    <definedName name="DB.RatingSummary.DirectReinstatements.Layer13.Cover5">'Rating Summary'!$AD$19</definedName>
    <definedName name="DB.RatingSummary.DirectReinstatements.Layer13.Cover5.USD">'Rating Summary'!$AD$42</definedName>
    <definedName name="DB.RatingSummary.DirectReinstatements.Layer13.Cover6">'Rating Summary'!$AE$19</definedName>
    <definedName name="DB.RatingSummary.DirectReinstatements.Layer13.Cover6.USD">'Rating Summary'!$AE$42</definedName>
    <definedName name="DB.RatingSummary.DirectReinstatements.Layer14.Cover1">'Rating Summary'!$Z$20</definedName>
    <definedName name="DB.RatingSummary.DirectReinstatements.Layer14.Cover1.USD">'Rating Summary'!$Z$43</definedName>
    <definedName name="DB.RatingSummary.DirectReinstatements.Layer14.Cover2">'Rating Summary'!$AA$20</definedName>
    <definedName name="DB.RatingSummary.DirectReinstatements.Layer14.Cover2.USD">'Rating Summary'!$AA$43</definedName>
    <definedName name="DB.RatingSummary.DirectReinstatements.Layer14.Cover3">'Rating Summary'!$AB$20</definedName>
    <definedName name="DB.RatingSummary.DirectReinstatements.Layer14.Cover3.USD">'Rating Summary'!$AB$43</definedName>
    <definedName name="DB.RatingSummary.DirectReinstatements.Layer14.Cover4">'Rating Summary'!$AC$20</definedName>
    <definedName name="DB.RatingSummary.DirectReinstatements.Layer14.Cover4.USD">'Rating Summary'!$AC$43</definedName>
    <definedName name="DB.RatingSummary.DirectReinstatements.Layer14.Cover5">'Rating Summary'!$AD$20</definedName>
    <definedName name="DB.RatingSummary.DirectReinstatements.Layer14.Cover5.USD">'Rating Summary'!$AD$43</definedName>
    <definedName name="DB.RatingSummary.DirectReinstatements.Layer14.Cover6">'Rating Summary'!$AE$20</definedName>
    <definedName name="DB.RatingSummary.DirectReinstatements.Layer14.Cover6.USD">'Rating Summary'!$AE$43</definedName>
    <definedName name="DB.RatingSummary.DirectReinstatements.Layer15.Cover1">'Rating Summary'!$Z$21</definedName>
    <definedName name="DB.RatingSummary.DirectReinstatements.Layer15.Cover1.USD">'Rating Summary'!$Z$44</definedName>
    <definedName name="DB.RatingSummary.DirectReinstatements.Layer15.Cover2">'Rating Summary'!$AA$21</definedName>
    <definedName name="DB.RatingSummary.DirectReinstatements.Layer15.Cover2.USD">'Rating Summary'!$AA$44</definedName>
    <definedName name="DB.RatingSummary.DirectReinstatements.Layer15.Cover3">'Rating Summary'!$AB$21</definedName>
    <definedName name="DB.RatingSummary.DirectReinstatements.Layer15.Cover3.USD">'Rating Summary'!$AB$44</definedName>
    <definedName name="DB.RatingSummary.DirectReinstatements.Layer15.Cover4">'Rating Summary'!$AC$21</definedName>
    <definedName name="DB.RatingSummary.DirectReinstatements.Layer15.Cover4.USD">'Rating Summary'!$AC$44</definedName>
    <definedName name="DB.RatingSummary.DirectReinstatements.Layer15.Cover5">'Rating Summary'!$AD$21</definedName>
    <definedName name="DB.RatingSummary.DirectReinstatements.Layer15.Cover5.USD">'Rating Summary'!$AD$44</definedName>
    <definedName name="DB.RatingSummary.DirectReinstatements.Layer15.Cover6">'Rating Summary'!$AE$21</definedName>
    <definedName name="DB.RatingSummary.DirectReinstatements.Layer15.Cover6.USD">'Rating Summary'!$AE$44</definedName>
    <definedName name="DB.RatingSummary.DirectReinstatements.Layer16.Cover1">'Rating Summary'!$Z$22</definedName>
    <definedName name="DB.RatingSummary.DirectReinstatements.Layer16.Cover1.USD">'Rating Summary'!$Z$45</definedName>
    <definedName name="DB.RatingSummary.DirectReinstatements.Layer16.Cover2">'Rating Summary'!$AA$22</definedName>
    <definedName name="DB.RatingSummary.DirectReinstatements.Layer16.Cover2.USD">'Rating Summary'!$AA$45</definedName>
    <definedName name="DB.RatingSummary.DirectReinstatements.Layer16.Cover3">'Rating Summary'!$AB$22</definedName>
    <definedName name="DB.RatingSummary.DirectReinstatements.Layer16.Cover3.USD">'Rating Summary'!$AB$45</definedName>
    <definedName name="DB.RatingSummary.DirectReinstatements.Layer16.Cover4">'Rating Summary'!$AC$22</definedName>
    <definedName name="DB.RatingSummary.DirectReinstatements.Layer16.Cover4.USD">'Rating Summary'!$AC$45</definedName>
    <definedName name="DB.RatingSummary.DirectReinstatements.Layer16.Cover5">'Rating Summary'!$AD$22</definedName>
    <definedName name="DB.RatingSummary.DirectReinstatements.Layer16.Cover5.USD">'Rating Summary'!$AD$45</definedName>
    <definedName name="DB.RatingSummary.DirectReinstatements.Layer16.Cover6">'Rating Summary'!$AE$22</definedName>
    <definedName name="DB.RatingSummary.DirectReinstatements.Layer16.Cover6.USD">'Rating Summary'!$AE$45</definedName>
    <definedName name="DB.RatingSummary.DirectReinstatements.Layer2.Cover1">'Rating Summary'!$Z$8</definedName>
    <definedName name="DB.RatingSummary.DirectReinstatements.Layer2.Cover1.USD">'Rating Summary'!$Z$31</definedName>
    <definedName name="DB.RatingSummary.DirectReinstatements.Layer2.Cover2">'Rating Summary'!$AA$8</definedName>
    <definedName name="DB.RatingSummary.DirectReinstatements.Layer2.Cover2.USD">'Rating Summary'!$AA$31</definedName>
    <definedName name="DB.RatingSummary.DirectReinstatements.Layer2.Cover3">'Rating Summary'!$AB$8</definedName>
    <definedName name="DB.RatingSummary.DirectReinstatements.Layer2.Cover3.USD">'Rating Summary'!$AB$31</definedName>
    <definedName name="DB.RatingSummary.DirectReinstatements.Layer2.Cover4">'Rating Summary'!$AC$8</definedName>
    <definedName name="DB.RatingSummary.DirectReinstatements.Layer2.Cover4.USD">'Rating Summary'!$AC$31</definedName>
    <definedName name="DB.RatingSummary.DirectReinstatements.Layer2.Cover5">'Rating Summary'!$AD$8</definedName>
    <definedName name="DB.RatingSummary.DirectReinstatements.Layer2.Cover5.USD">'Rating Summary'!$AD$31</definedName>
    <definedName name="DB.RatingSummary.DirectReinstatements.Layer2.Cover6">'Rating Summary'!$AE$8</definedName>
    <definedName name="DB.RatingSummary.DirectReinstatements.Layer2.Cover6.USD">'Rating Summary'!$AE$31</definedName>
    <definedName name="DB.RatingSummary.DirectReinstatements.Layer3.Cover1">'Rating Summary'!$Z$9</definedName>
    <definedName name="DB.RatingSummary.DirectReinstatements.Layer3.Cover1.USD">'Rating Summary'!$Z$32</definedName>
    <definedName name="DB.RatingSummary.DirectReinstatements.Layer3.Cover2">'Rating Summary'!$AA$9</definedName>
    <definedName name="DB.RatingSummary.DirectReinstatements.Layer3.Cover2.USD">'Rating Summary'!$AA$32</definedName>
    <definedName name="DB.RatingSummary.DirectReinstatements.Layer3.Cover3">'Rating Summary'!$AB$9</definedName>
    <definedName name="DB.RatingSummary.DirectReinstatements.Layer3.Cover3.USD">'Rating Summary'!$AB$32</definedName>
    <definedName name="DB.RatingSummary.DirectReinstatements.Layer3.Cover4">'Rating Summary'!$AC$9</definedName>
    <definedName name="DB.RatingSummary.DirectReinstatements.Layer3.Cover4.USD">'Rating Summary'!$AC$32</definedName>
    <definedName name="DB.RatingSummary.DirectReinstatements.Layer3.Cover5">'Rating Summary'!$AD$9</definedName>
    <definedName name="DB.RatingSummary.DirectReinstatements.Layer3.Cover5.USD">'Rating Summary'!$AD$32</definedName>
    <definedName name="DB.RatingSummary.DirectReinstatements.Layer3.Cover6">'Rating Summary'!$AE$9</definedName>
    <definedName name="DB.RatingSummary.DirectReinstatements.Layer3.Cover6.USD">'Rating Summary'!$AE$32</definedName>
    <definedName name="DB.RatingSummary.DirectReinstatements.Layer4.Cover1">'Rating Summary'!$Z$10</definedName>
    <definedName name="DB.RatingSummary.DirectReinstatements.Layer4.Cover1.USD">'Rating Summary'!$Z$33</definedName>
    <definedName name="DB.RatingSummary.DirectReinstatements.Layer4.Cover2">'Rating Summary'!$AA$10</definedName>
    <definedName name="DB.RatingSummary.DirectReinstatements.Layer4.Cover2.USD">'Rating Summary'!$AA$33</definedName>
    <definedName name="DB.RatingSummary.DirectReinstatements.Layer4.Cover3">'Rating Summary'!$AB$10</definedName>
    <definedName name="DB.RatingSummary.DirectReinstatements.Layer4.Cover3.USD">'Rating Summary'!$AB$33</definedName>
    <definedName name="DB.RatingSummary.DirectReinstatements.Layer4.Cover4">'Rating Summary'!$AC$10</definedName>
    <definedName name="DB.RatingSummary.DirectReinstatements.Layer4.Cover4.USD">'Rating Summary'!$AC$33</definedName>
    <definedName name="DB.RatingSummary.DirectReinstatements.Layer4.Cover5">'Rating Summary'!$AD$10</definedName>
    <definedName name="DB.RatingSummary.DirectReinstatements.Layer4.Cover5.USD">'Rating Summary'!$AD$33</definedName>
    <definedName name="DB.RatingSummary.DirectReinstatements.Layer4.Cover6">'Rating Summary'!$AE$10</definedName>
    <definedName name="DB.RatingSummary.DirectReinstatements.Layer4.Cover6.USD">'Rating Summary'!$AE$33</definedName>
    <definedName name="DB.RatingSummary.DirectReinstatements.Layer5.Cover1">'Rating Summary'!$Z$11</definedName>
    <definedName name="DB.RatingSummary.DirectReinstatements.Layer5.Cover1.USD">'Rating Summary'!$Z$34</definedName>
    <definedName name="DB.RatingSummary.DirectReinstatements.Layer5.Cover2">'Rating Summary'!$AA$11</definedName>
    <definedName name="DB.RatingSummary.DirectReinstatements.Layer5.Cover2.USD">'Rating Summary'!$AA$34</definedName>
    <definedName name="DB.RatingSummary.DirectReinstatements.Layer5.Cover3">'Rating Summary'!$AB$11</definedName>
    <definedName name="DB.RatingSummary.DirectReinstatements.Layer5.Cover3.USD">'Rating Summary'!$AB$34</definedName>
    <definedName name="DB.RatingSummary.DirectReinstatements.Layer5.Cover4">'Rating Summary'!$AC$11</definedName>
    <definedName name="DB.RatingSummary.DirectReinstatements.Layer5.Cover4.USD">'Rating Summary'!$AC$34</definedName>
    <definedName name="DB.RatingSummary.DirectReinstatements.Layer5.Cover5">'Rating Summary'!$AD$11</definedName>
    <definedName name="DB.RatingSummary.DirectReinstatements.Layer5.Cover5.USD">'Rating Summary'!$AD$34</definedName>
    <definedName name="DB.RatingSummary.DirectReinstatements.Layer5.Cover6">'Rating Summary'!$AE$11</definedName>
    <definedName name="DB.RatingSummary.DirectReinstatements.Layer5.Cover6.USD">'Rating Summary'!$AE$34</definedName>
    <definedName name="DB.RatingSummary.DirectReinstatements.Layer6.Cover1">'Rating Summary'!$Z$12</definedName>
    <definedName name="DB.RatingSummary.DirectReinstatements.Layer6.Cover1.USD">'Rating Summary'!$Z$35</definedName>
    <definedName name="DB.RatingSummary.DirectReinstatements.Layer6.Cover2">'Rating Summary'!$AA$12</definedName>
    <definedName name="DB.RatingSummary.DirectReinstatements.Layer6.Cover2.USD">'Rating Summary'!$AA$35</definedName>
    <definedName name="DB.RatingSummary.DirectReinstatements.Layer6.Cover3">'Rating Summary'!$AB$12</definedName>
    <definedName name="DB.RatingSummary.DirectReinstatements.Layer6.Cover3.USD">'Rating Summary'!$AB$35</definedName>
    <definedName name="DB.RatingSummary.DirectReinstatements.Layer6.Cover4">'Rating Summary'!$AC$12</definedName>
    <definedName name="DB.RatingSummary.DirectReinstatements.Layer6.Cover4.USD">'Rating Summary'!$AC$35</definedName>
    <definedName name="DB.RatingSummary.DirectReinstatements.Layer6.Cover5">'Rating Summary'!$AD$12</definedName>
    <definedName name="DB.RatingSummary.DirectReinstatements.Layer6.Cover5.USD">'Rating Summary'!$AD$35</definedName>
    <definedName name="DB.RatingSummary.DirectReinstatements.Layer6.Cover6">'Rating Summary'!$AE$12</definedName>
    <definedName name="DB.RatingSummary.DirectReinstatements.Layer6.Cover6.USD">'Rating Summary'!$AE$35</definedName>
    <definedName name="DB.RatingSummary.DirectReinstatements.Layer7.Cover1">'Rating Summary'!$Z$13</definedName>
    <definedName name="DB.RatingSummary.DirectReinstatements.Layer7.Cover1.USD">'Rating Summary'!$Z$36</definedName>
    <definedName name="DB.RatingSummary.DirectReinstatements.Layer7.Cover2">'Rating Summary'!$AA$13</definedName>
    <definedName name="DB.RatingSummary.DirectReinstatements.Layer7.Cover2.USD">'Rating Summary'!$AA$36</definedName>
    <definedName name="DB.RatingSummary.DirectReinstatements.Layer7.Cover3">'Rating Summary'!$AB$13</definedName>
    <definedName name="DB.RatingSummary.DirectReinstatements.Layer7.Cover3.USD">'Rating Summary'!$AB$36</definedName>
    <definedName name="DB.RatingSummary.DirectReinstatements.Layer7.Cover4">'Rating Summary'!$AC$13</definedName>
    <definedName name="DB.RatingSummary.DirectReinstatements.Layer7.Cover4.USD">'Rating Summary'!$AC$36</definedName>
    <definedName name="DB.RatingSummary.DirectReinstatements.Layer7.Cover5">'Rating Summary'!$AD$13</definedName>
    <definedName name="DB.RatingSummary.DirectReinstatements.Layer7.Cover5.USD">'Rating Summary'!$AD$36</definedName>
    <definedName name="DB.RatingSummary.DirectReinstatements.Layer7.Cover6">'Rating Summary'!$AE$13</definedName>
    <definedName name="DB.RatingSummary.DirectReinstatements.Layer7.Cover6.USD">'Rating Summary'!$AE$36</definedName>
    <definedName name="DB.RatingSummary.DirectReinstatements.Layer8.Cover1">'Rating Summary'!$Z$14</definedName>
    <definedName name="DB.RatingSummary.DirectReinstatements.Layer8.Cover1.USD">'Rating Summary'!$Z$37</definedName>
    <definedName name="DB.RatingSummary.DirectReinstatements.Layer8.Cover2">'Rating Summary'!$AA$14</definedName>
    <definedName name="DB.RatingSummary.DirectReinstatements.Layer8.Cover2.USD">'Rating Summary'!$AA$37</definedName>
    <definedName name="DB.RatingSummary.DirectReinstatements.Layer8.Cover3">'Rating Summary'!$AB$14</definedName>
    <definedName name="DB.RatingSummary.DirectReinstatements.Layer8.Cover3.USD">'Rating Summary'!$AB$37</definedName>
    <definedName name="DB.RatingSummary.DirectReinstatements.Layer8.Cover4">'Rating Summary'!$AC$14</definedName>
    <definedName name="DB.RatingSummary.DirectReinstatements.Layer8.Cover4.USD">'Rating Summary'!$AC$37</definedName>
    <definedName name="DB.RatingSummary.DirectReinstatements.Layer8.Cover5">'Rating Summary'!$AD$14</definedName>
    <definedName name="DB.RatingSummary.DirectReinstatements.Layer8.Cover5.USD">'Rating Summary'!$AD$37</definedName>
    <definedName name="DB.RatingSummary.DirectReinstatements.Layer8.Cover6">'Rating Summary'!$AE$14</definedName>
    <definedName name="DB.RatingSummary.DirectReinstatements.Layer8.Cover6.USD">'Rating Summary'!$AE$37</definedName>
    <definedName name="DB.RatingSummary.DirectReinstatements.Layer9.Cover1">'Rating Summary'!$Z$15</definedName>
    <definedName name="DB.RatingSummary.DirectReinstatements.Layer9.Cover1.USD">'Rating Summary'!$Z$38</definedName>
    <definedName name="DB.RatingSummary.DirectReinstatements.Layer9.Cover2">'Rating Summary'!$AA$15</definedName>
    <definedName name="DB.RatingSummary.DirectReinstatements.Layer9.Cover2.USD">'Rating Summary'!$AA$38</definedName>
    <definedName name="DB.RatingSummary.DirectReinstatements.Layer9.Cover3">'Rating Summary'!$AB$15</definedName>
    <definedName name="DB.RatingSummary.DirectReinstatements.Layer9.Cover3.USD">'Rating Summary'!$AB$38</definedName>
    <definedName name="DB.RatingSummary.DirectReinstatements.Layer9.Cover4">'Rating Summary'!$AC$15</definedName>
    <definedName name="DB.RatingSummary.DirectReinstatements.Layer9.Cover4.USD">'Rating Summary'!$AC$38</definedName>
    <definedName name="DB.RatingSummary.DirectReinstatements.Layer9.Cover5">'Rating Summary'!$AD$15</definedName>
    <definedName name="DB.RatingSummary.DirectReinstatements.Layer9.Cover5.USD">'Rating Summary'!$AD$38</definedName>
    <definedName name="DB.RatingSummary.DirectReinstatements.Layer9.Cover6">'Rating Summary'!$AE$15</definedName>
    <definedName name="DB.RatingSummary.DirectReinstatements.Layer9.Cover6.USD">'Rating Summary'!$AE$38</definedName>
    <definedName name="DB.RatingSummary.ESG.Layer1">'Rating Summary'!$BK$7</definedName>
    <definedName name="DB.RatingSummary.ESG.Layer1.USD">'Rating Summary'!$BK$30</definedName>
    <definedName name="DB.RatingSummary.ESG.Layer10">'Rating Summary'!$BK$16</definedName>
    <definedName name="DB.RatingSummary.ESG.Layer10.USD">'Rating Summary'!$BK$39</definedName>
    <definedName name="DB.RatingSummary.ESG.Layer11">'Rating Summary'!$BK$17</definedName>
    <definedName name="DB.RatingSummary.ESG.Layer11.USD">'Rating Summary'!$BK$40</definedName>
    <definedName name="DB.RatingSummary.ESG.Layer12">'Rating Summary'!$BK$18</definedName>
    <definedName name="DB.RatingSummary.ESG.Layer12.USD">'Rating Summary'!$BK$41</definedName>
    <definedName name="DB.RatingSummary.ESG.Layer13">'Rating Summary'!$BK$19</definedName>
    <definedName name="DB.RatingSummary.ESG.Layer13.USD">'Rating Summary'!$BK$42</definedName>
    <definedName name="DB.RatingSummary.ESG.Layer14">'Rating Summary'!$BK$20</definedName>
    <definedName name="DB.RatingSummary.ESG.Layer14.USD">'Rating Summary'!$BK$43</definedName>
    <definedName name="DB.RatingSummary.ESG.Layer15">'Rating Summary'!$BK$21</definedName>
    <definedName name="DB.RatingSummary.ESG.Layer15.USD">'Rating Summary'!$BK$44</definedName>
    <definedName name="DB.RatingSummary.ESG.Layer16">'Rating Summary'!$BK$22</definedName>
    <definedName name="DB.RatingSummary.ESG.Layer16.USD">'Rating Summary'!$BK$45</definedName>
    <definedName name="DB.RatingSummary.ESG.Layer2">'Rating Summary'!$BK$8</definedName>
    <definedName name="DB.RatingSummary.ESG.Layer2.USD">'Rating Summary'!$BK$31</definedName>
    <definedName name="DB.RatingSummary.ESG.Layer3">'Rating Summary'!$BK$9</definedName>
    <definedName name="DB.RatingSummary.ESG.Layer3.USD">'Rating Summary'!$BK$32</definedName>
    <definedName name="DB.RatingSummary.ESG.Layer4">'Rating Summary'!$BK$10</definedName>
    <definedName name="DB.RatingSummary.ESG.Layer4.USD">'Rating Summary'!$BK$33</definedName>
    <definedName name="DB.RatingSummary.ESG.Layer5">'Rating Summary'!$BK$11</definedName>
    <definedName name="DB.RatingSummary.ESG.Layer5.USD">'Rating Summary'!$BK$34</definedName>
    <definedName name="DB.RatingSummary.ESG.Layer6">'Rating Summary'!$BK$12</definedName>
    <definedName name="DB.RatingSummary.ESG.Layer6.USD">'Rating Summary'!$BK$35</definedName>
    <definedName name="DB.RatingSummary.ESG.Layer7">'Rating Summary'!$BK$13</definedName>
    <definedName name="DB.RatingSummary.ESG.Layer7.USD">'Rating Summary'!$BK$36</definedName>
    <definedName name="DB.RatingSummary.ESG.Layer8">'Rating Summary'!$BK$14</definedName>
    <definedName name="DB.RatingSummary.ESG.Layer8.USD">'Rating Summary'!$BK$37</definedName>
    <definedName name="DB.RatingSummary.ESG.Layer9">'Rating Summary'!$BK$15</definedName>
    <definedName name="DB.RatingSummary.ESG.Layer9.USD">'Rating Summary'!$BK$38</definedName>
    <definedName name="DB.RatingSummary.F3.Layer1">'Rating Summary'!$BA$7</definedName>
    <definedName name="DB.RatingSummary.F3.Layer1.USD">'Rating Summary'!$BA$30</definedName>
    <definedName name="DB.RatingSummary.F3.Layer10">'Rating Summary'!$BA$16</definedName>
    <definedName name="DB.RatingSummary.F3.Layer10.USD">'Rating Summary'!$BA$39</definedName>
    <definedName name="DB.RatingSummary.F3.Layer11">'Rating Summary'!$BA$17</definedName>
    <definedName name="DB.RatingSummary.F3.Layer11.USD">'Rating Summary'!$BA$40</definedName>
    <definedName name="DB.RatingSummary.F3.Layer12">'Rating Summary'!$BA$18</definedName>
    <definedName name="DB.RatingSummary.F3.Layer12.USD">'Rating Summary'!$BA$41</definedName>
    <definedName name="DB.RatingSummary.F3.Layer13">'Rating Summary'!$BA$19</definedName>
    <definedName name="DB.RatingSummary.F3.Layer13.USD">'Rating Summary'!$BA$42</definedName>
    <definedName name="DB.RatingSummary.F3.Layer14">'Rating Summary'!$BA$20</definedName>
    <definedName name="DB.RatingSummary.F3.Layer14.USD">'Rating Summary'!$BA$43</definedName>
    <definedName name="DB.RatingSummary.F3.Layer15">'Rating Summary'!$BA$21</definedName>
    <definedName name="DB.RatingSummary.F3.Layer15.USD">'Rating Summary'!$BA$44</definedName>
    <definedName name="DB.RatingSummary.F3.Layer16">'Rating Summary'!$BA$22</definedName>
    <definedName name="DB.RatingSummary.F3.Layer16.USD">'Rating Summary'!$BA$45</definedName>
    <definedName name="DB.RatingSummary.F3.Layer2">'Rating Summary'!$BA$8</definedName>
    <definedName name="DB.RatingSummary.F3.Layer2.USD">'Rating Summary'!$BA$31</definedName>
    <definedName name="DB.RatingSummary.F3.Layer3">'Rating Summary'!$BA$9</definedName>
    <definedName name="DB.RatingSummary.F3.Layer3.USD">'Rating Summary'!$BA$32</definedName>
    <definedName name="DB.RatingSummary.F3.Layer4">'Rating Summary'!$BA$10</definedName>
    <definedName name="DB.RatingSummary.F3.Layer4.USD">'Rating Summary'!$BA$33</definedName>
    <definedName name="DB.RatingSummary.F3.Layer5">'Rating Summary'!$BA$11</definedName>
    <definedName name="DB.RatingSummary.F3.Layer5.USD">'Rating Summary'!$BA$34</definedName>
    <definedName name="DB.RatingSummary.F3.Layer6">'Rating Summary'!$BA$12</definedName>
    <definedName name="DB.RatingSummary.F3.Layer6.USD">'Rating Summary'!$BA$35</definedName>
    <definedName name="DB.RatingSummary.F3.Layer7">'Rating Summary'!$BA$13</definedName>
    <definedName name="DB.RatingSummary.F3.Layer7.USD">'Rating Summary'!$BA$36</definedName>
    <definedName name="DB.RatingSummary.F3.Layer8">'Rating Summary'!$BA$14</definedName>
    <definedName name="DB.RatingSummary.F3.Layer8.USD">'Rating Summary'!$BA$37</definedName>
    <definedName name="DB.RatingSummary.F3.Layer9">'Rating Summary'!$BA$15</definedName>
    <definedName name="DB.RatingSummary.F3.Layer9.USD">'Rating Summary'!$BA$38</definedName>
    <definedName name="DB.RatingSummary.GrossPremium.Layer1.CCY">'Rating Summary'!$AU$7</definedName>
    <definedName name="DB.RatingSummary.GrossPremium.Layer1.USD">'Rating Summary'!$AU$30</definedName>
    <definedName name="DB.RatingSummary.GrossPremium.Layer10.CCY">'Rating Summary'!$AU$16</definedName>
    <definedName name="DB.RatingSummary.GrossPremium.Layer10.USD">'Rating Summary'!$AU$39</definedName>
    <definedName name="DB.RatingSummary.GrossPremium.Layer11.CCY">'Rating Summary'!$AU$17</definedName>
    <definedName name="DB.RatingSummary.GrossPremium.Layer11.USD">'Rating Summary'!$AU$40</definedName>
    <definedName name="DB.RatingSummary.GrossPremium.Layer12.CCY">'Rating Summary'!$AU$18</definedName>
    <definedName name="DB.RatingSummary.GrossPremium.Layer12.USD">'Rating Summary'!$AU$41</definedName>
    <definedName name="DB.RatingSummary.GrossPremium.Layer13.CCY">'Rating Summary'!$AU$19</definedName>
    <definedName name="DB.RatingSummary.GrossPremium.Layer13.USD">'Rating Summary'!$AU$42</definedName>
    <definedName name="DB.RatingSummary.GrossPremium.Layer14.CCY">'Rating Summary'!$AU$20</definedName>
    <definedName name="DB.RatingSummary.GrossPremium.Layer14.USD">'Rating Summary'!$AU$43</definedName>
    <definedName name="DB.RatingSummary.GrossPremium.Layer15.CCY">'Rating Summary'!$AU$21</definedName>
    <definedName name="DB.RatingSummary.GrossPremium.Layer15.USD">'Rating Summary'!$AU$44</definedName>
    <definedName name="DB.RatingSummary.GrossPremium.Layer16.CCY">'Rating Summary'!$AU$22</definedName>
    <definedName name="DB.RatingSummary.GrossPremium.Layer16.USD">'Rating Summary'!$AU$45</definedName>
    <definedName name="DB.RatingSummary.GrossPremium.Layer2.CCY">'Rating Summary'!$AU$8</definedName>
    <definedName name="DB.RatingSummary.GrossPremium.Layer2.USD">'Rating Summary'!$AU$31</definedName>
    <definedName name="DB.RatingSummary.GrossPremium.Layer3.CCY">'Rating Summary'!$AU$9</definedName>
    <definedName name="DB.RatingSummary.GrossPremium.Layer3.USD">'Rating Summary'!$AU$32</definedName>
    <definedName name="DB.RatingSummary.GrossPremium.Layer4.CCY">'Rating Summary'!$AU$10</definedName>
    <definedName name="DB.RatingSummary.GrossPremium.Layer4.USD">'Rating Summary'!$AU$33</definedName>
    <definedName name="DB.RatingSummary.GrossPremium.Layer5.CCY">'Rating Summary'!$AU$11</definedName>
    <definedName name="DB.RatingSummary.GrossPremium.Layer5.USD">'Rating Summary'!$AU$34</definedName>
    <definedName name="DB.RatingSummary.GrossPremium.Layer6.CCY">'Rating Summary'!$AU$12</definedName>
    <definedName name="DB.RatingSummary.GrossPremium.Layer6.USD">'Rating Summary'!$AU$35</definedName>
    <definedName name="DB.RatingSummary.GrossPremium.Layer7.CCY">'Rating Summary'!$AU$13</definedName>
    <definedName name="DB.RatingSummary.GrossPremium.Layer7.USD">'Rating Summary'!$AU$36</definedName>
    <definedName name="DB.RatingSummary.GrossPremium.Layer8.CCY">'Rating Summary'!$AU$14</definedName>
    <definedName name="DB.RatingSummary.GrossPremium.Layer8.USD">'Rating Summary'!$AU$37</definedName>
    <definedName name="DB.RatingSummary.GrossPremium.Layer9.CCY">'Rating Summary'!$AU$15</definedName>
    <definedName name="DB.RatingSummary.GrossPremium.Layer9.USD">'Rating Summary'!$AU$38</definedName>
    <definedName name="DB.RatingSummary.InnerLimits.Layer1.Cover1.CCY">'Rating Summary'!$AN$7</definedName>
    <definedName name="DB.RatingSummary.InnerLimits.Layer1.Cover1.USD">'Rating Summary'!$AN$30</definedName>
    <definedName name="DB.RatingSummary.InnerLimits.Layer1.Cover2.CCY">'Rating Summary'!$AO$7</definedName>
    <definedName name="DB.RatingSummary.InnerLimits.Layer1.Cover2.USD">'Rating Summary'!$AO$30</definedName>
    <definedName name="DB.RatingSummary.InnerLimits.Layer1.Cover3.CCY">'Rating Summary'!$AP$7</definedName>
    <definedName name="DB.RatingSummary.InnerLimits.Layer1.Cover3.USD">'Rating Summary'!$AP$30</definedName>
    <definedName name="DB.RatingSummary.InnerLimits.Layer1.Cover4.CCY">'Rating Summary'!$AQ$7</definedName>
    <definedName name="DB.RatingSummary.InnerLimits.Layer1.Cover4.USD">'Rating Summary'!$AQ$30</definedName>
    <definedName name="DB.RatingSummary.InnerLimits.Layer1.Cover5.CCY">'Rating Summary'!$AR$7</definedName>
    <definedName name="DB.RatingSummary.InnerLimits.Layer1.Cover5.USD">'Rating Summary'!$AR$30</definedName>
    <definedName name="DB.RatingSummary.InnerLimits.Layer1.Cover6.CCY">'Rating Summary'!$AS$7</definedName>
    <definedName name="DB.RatingSummary.InnerLimits.Layer1.Cover6.USD">'Rating Summary'!$AS$30</definedName>
    <definedName name="DB.RatingSummary.InnerLimits.Layer10.Cover1.CCY">'Rating Summary'!$AN$16</definedName>
    <definedName name="DB.RatingSummary.InnerLimits.Layer10.Cover1.USD">'Rating Summary'!$AN$39</definedName>
    <definedName name="DB.RatingSummary.InnerLimits.Layer10.Cover2.CCY">'Rating Summary'!$AO$16</definedName>
    <definedName name="DB.RatingSummary.InnerLimits.Layer10.Cover2.USD">'Rating Summary'!$AO$39</definedName>
    <definedName name="DB.RatingSummary.InnerLimits.Layer10.Cover3.CCY">'Rating Summary'!$AP$16</definedName>
    <definedName name="DB.RatingSummary.InnerLimits.Layer10.Cover3.USD">'Rating Summary'!$AP$39</definedName>
    <definedName name="DB.RatingSummary.InnerLimits.Layer10.Cover4.CCY">'Rating Summary'!$AQ$16</definedName>
    <definedName name="DB.RatingSummary.InnerLimits.Layer10.Cover4.USD">'Rating Summary'!$AQ$39</definedName>
    <definedName name="DB.RatingSummary.InnerLimits.Layer10.Cover5.CCY">'Rating Summary'!$AR$16</definedName>
    <definedName name="DB.RatingSummary.InnerLimits.Layer10.Cover5.USD">'Rating Summary'!$AR$39</definedName>
    <definedName name="DB.RatingSummary.InnerLimits.Layer10.Cover6.CCY">'Rating Summary'!$AS$16</definedName>
    <definedName name="DB.RatingSummary.InnerLimits.Layer10.Cover6.USD">'Rating Summary'!$AS$39</definedName>
    <definedName name="DB.RatingSummary.InnerLimits.Layer11.Cover1.CCY">'Rating Summary'!$AN$17</definedName>
    <definedName name="DB.RatingSummary.InnerLimits.Layer11.Cover1.USD">'Rating Summary'!$AN$40</definedName>
    <definedName name="DB.RatingSummary.InnerLimits.Layer11.Cover2.CCY">'Rating Summary'!$AO$17</definedName>
    <definedName name="DB.RatingSummary.InnerLimits.Layer11.Cover2.USD">'Rating Summary'!$AO$40</definedName>
    <definedName name="DB.RatingSummary.InnerLimits.Layer11.Cover3.CCY">'Rating Summary'!$AP$17</definedName>
    <definedName name="DB.RatingSummary.InnerLimits.Layer11.Cover3.USD">'Rating Summary'!$AP$40</definedName>
    <definedName name="DB.RatingSummary.InnerLimits.Layer11.Cover4.CCY">'Rating Summary'!$AQ$17</definedName>
    <definedName name="DB.RatingSummary.InnerLimits.Layer11.Cover4.USD">'Rating Summary'!$AQ$40</definedName>
    <definedName name="DB.RatingSummary.InnerLimits.Layer11.Cover5.CCY">'Rating Summary'!$AR$17</definedName>
    <definedName name="DB.RatingSummary.InnerLimits.Layer11.Cover5.USD">'Rating Summary'!$AR$40</definedName>
    <definedName name="DB.RatingSummary.InnerLimits.Layer11.Cover6.CCY">'Rating Summary'!$AS$17</definedName>
    <definedName name="DB.RatingSummary.InnerLimits.Layer11.Cover6.USD">'Rating Summary'!$AS$40</definedName>
    <definedName name="DB.RatingSummary.InnerLimits.Layer12.Cover1.CCY">'Rating Summary'!$AN$18</definedName>
    <definedName name="DB.RatingSummary.InnerLimits.Layer12.Cover1.USD">'Rating Summary'!$AN$41</definedName>
    <definedName name="DB.RatingSummary.InnerLimits.Layer12.Cover2.CCY">'Rating Summary'!$AO$18</definedName>
    <definedName name="DB.RatingSummary.InnerLimits.Layer12.Cover2.USD">'Rating Summary'!$AO$41</definedName>
    <definedName name="DB.RatingSummary.InnerLimits.Layer12.Cover3.CCY">'Rating Summary'!$AP$18</definedName>
    <definedName name="DB.RatingSummary.InnerLimits.Layer12.Cover3.USD">'Rating Summary'!$AP$41</definedName>
    <definedName name="DB.RatingSummary.InnerLimits.Layer12.Cover4.CCY">'Rating Summary'!$AQ$18</definedName>
    <definedName name="DB.RatingSummary.InnerLimits.Layer12.Cover4.USD">'Rating Summary'!$AQ$41</definedName>
    <definedName name="DB.RatingSummary.InnerLimits.Layer12.Cover5.CCY">'Rating Summary'!$AR$18</definedName>
    <definedName name="DB.RatingSummary.InnerLimits.Layer12.Cover5.USD">'Rating Summary'!$AR$41</definedName>
    <definedName name="DB.RatingSummary.InnerLimits.Layer12.Cover6.CCY">'Rating Summary'!$AS$18</definedName>
    <definedName name="DB.RatingSummary.InnerLimits.Layer12.Cover6.USD">'Rating Summary'!$AS$41</definedName>
    <definedName name="DB.RatingSummary.InnerLimits.Layer13.Cover1.CCY">'Rating Summary'!$AN$19</definedName>
    <definedName name="DB.RatingSummary.InnerLimits.Layer13.Cover1.USD">'Rating Summary'!$AN$42</definedName>
    <definedName name="DB.RatingSummary.InnerLimits.Layer13.Cover2.CCY">'Rating Summary'!$AO$19</definedName>
    <definedName name="DB.RatingSummary.InnerLimits.Layer13.Cover2.USD">'Rating Summary'!$AO$42</definedName>
    <definedName name="DB.RatingSummary.InnerLimits.Layer13.Cover3.CCY">'Rating Summary'!$AP$19</definedName>
    <definedName name="DB.RatingSummary.InnerLimits.Layer13.Cover3.USD">'Rating Summary'!$AP$42</definedName>
    <definedName name="DB.RatingSummary.InnerLimits.Layer13.Cover4.CCY">'Rating Summary'!$AQ$19</definedName>
    <definedName name="DB.RatingSummary.InnerLimits.Layer13.Cover4.USD">'Rating Summary'!$AQ$42</definedName>
    <definedName name="DB.RatingSummary.InnerLimits.Layer13.Cover5.CCY">'Rating Summary'!$AR$19</definedName>
    <definedName name="DB.RatingSummary.InnerLimits.Layer13.Cover5.USD">'Rating Summary'!$AR$42</definedName>
    <definedName name="DB.RatingSummary.InnerLimits.Layer13.Cover6.CCY">'Rating Summary'!$AS$19</definedName>
    <definedName name="DB.RatingSummary.InnerLimits.Layer13.Cover6.USD">'Rating Summary'!$AS$42</definedName>
    <definedName name="DB.RatingSummary.InnerLimits.Layer14.Cover1.CCY">'Rating Summary'!$AN$20</definedName>
    <definedName name="DB.RatingSummary.InnerLimits.Layer14.Cover1.USD">'Rating Summary'!$AN$43</definedName>
    <definedName name="DB.RatingSummary.InnerLimits.Layer14.Cover2.CCY">'Rating Summary'!$AO$20</definedName>
    <definedName name="DB.RatingSummary.InnerLimits.Layer14.Cover2.USD">'Rating Summary'!$AO$43</definedName>
    <definedName name="DB.RatingSummary.InnerLimits.Layer14.Cover3.CCY">'Rating Summary'!$AP$20</definedName>
    <definedName name="DB.RatingSummary.InnerLimits.Layer14.Cover3.USD">'Rating Summary'!$AP$43</definedName>
    <definedName name="DB.RatingSummary.InnerLimits.Layer14.Cover4.CCY">'Rating Summary'!$AQ$20</definedName>
    <definedName name="DB.RatingSummary.InnerLimits.Layer14.Cover4.USD">'Rating Summary'!$AQ$43</definedName>
    <definedName name="DB.RatingSummary.InnerLimits.Layer14.Cover5.CCY">'Rating Summary'!$AR$20</definedName>
    <definedName name="DB.RatingSummary.InnerLimits.Layer14.Cover5.USD">'Rating Summary'!$AR$43</definedName>
    <definedName name="DB.RatingSummary.InnerLimits.Layer14.Cover6.CCY">'Rating Summary'!$AS$20</definedName>
    <definedName name="DB.RatingSummary.InnerLimits.Layer14.Cover6.USD">'Rating Summary'!$AS$43</definedName>
    <definedName name="DB.RatingSummary.InnerLimits.Layer15.Cover1.CCY">'Rating Summary'!$AN$21</definedName>
    <definedName name="DB.RatingSummary.InnerLimits.Layer15.Cover1.USD">'Rating Summary'!$AN$44</definedName>
    <definedName name="DB.RatingSummary.InnerLimits.Layer15.Cover2.CCY">'Rating Summary'!$AO$21</definedName>
    <definedName name="DB.RatingSummary.InnerLimits.Layer15.Cover2.USD">'Rating Summary'!$AO$44</definedName>
    <definedName name="DB.RatingSummary.InnerLimits.Layer15.Cover3.CCY">'Rating Summary'!$AP$21</definedName>
    <definedName name="DB.RatingSummary.InnerLimits.Layer15.Cover3.USD">'Rating Summary'!$AP$44</definedName>
    <definedName name="DB.RatingSummary.InnerLimits.Layer15.Cover4.CCY">'Rating Summary'!$AQ$21</definedName>
    <definedName name="DB.RatingSummary.InnerLimits.Layer15.Cover4.USD">'Rating Summary'!$AQ$44</definedName>
    <definedName name="DB.RatingSummary.InnerLimits.Layer15.Cover5.CCY">'Rating Summary'!$AR$21</definedName>
    <definedName name="DB.RatingSummary.InnerLimits.Layer15.Cover5.USD">'Rating Summary'!$AR$44</definedName>
    <definedName name="DB.RatingSummary.InnerLimits.Layer15.Cover6.CCY">'Rating Summary'!$AS$21</definedName>
    <definedName name="DB.RatingSummary.InnerLimits.Layer15.Cover6.USD">'Rating Summary'!$AS$44</definedName>
    <definedName name="DB.RatingSummary.InnerLimits.Layer16.Cover1.CCY">'Rating Summary'!$AN$22</definedName>
    <definedName name="DB.RatingSummary.InnerLimits.Layer16.Cover1.USD">'Rating Summary'!$AN$45</definedName>
    <definedName name="DB.RatingSummary.InnerLimits.Layer16.Cover2.CCY">'Rating Summary'!$AO$22</definedName>
    <definedName name="DB.RatingSummary.InnerLimits.Layer16.Cover2.USD">'Rating Summary'!$AO$45</definedName>
    <definedName name="DB.RatingSummary.InnerLimits.Layer16.Cover3.CCY">'Rating Summary'!$AP$22</definedName>
    <definedName name="DB.RatingSummary.InnerLimits.Layer16.Cover3.USD">'Rating Summary'!$AP$45</definedName>
    <definedName name="DB.RatingSummary.InnerLimits.Layer16.Cover4.CCY">'Rating Summary'!$AQ$22</definedName>
    <definedName name="DB.RatingSummary.InnerLimits.Layer16.Cover4.USD">'Rating Summary'!$AQ$45</definedName>
    <definedName name="DB.RatingSummary.InnerLimits.Layer16.Cover5.CCY">'Rating Summary'!$AR$22</definedName>
    <definedName name="DB.RatingSummary.InnerLimits.Layer16.Cover5.USD">'Rating Summary'!$AR$45</definedName>
    <definedName name="DB.RatingSummary.InnerLimits.Layer16.Cover6.CCY">'Rating Summary'!$AS$22</definedName>
    <definedName name="DB.RatingSummary.InnerLimits.Layer16.Cover6.USD">'Rating Summary'!$AS$45</definedName>
    <definedName name="DB.RatingSummary.InnerLimits.Layer2.Cover1.CCY">'Rating Summary'!$AN$8</definedName>
    <definedName name="DB.RatingSummary.InnerLimits.Layer2.Cover1.USD">'Rating Summary'!$AN$31</definedName>
    <definedName name="DB.RatingSummary.InnerLimits.Layer2.Cover2.CCY">'Rating Summary'!$AO$8</definedName>
    <definedName name="DB.RatingSummary.InnerLimits.Layer2.Cover2.USD">'Rating Summary'!$AO$31</definedName>
    <definedName name="DB.RatingSummary.InnerLimits.Layer2.Cover3.CCY">'Rating Summary'!$AP$8</definedName>
    <definedName name="DB.RatingSummary.InnerLimits.Layer2.Cover3.USD">'Rating Summary'!$AP$31</definedName>
    <definedName name="DB.RatingSummary.InnerLimits.Layer2.Cover4.CCY">'Rating Summary'!$AQ$8</definedName>
    <definedName name="DB.RatingSummary.InnerLimits.Layer2.Cover4.USD">'Rating Summary'!$AQ$31</definedName>
    <definedName name="DB.RatingSummary.InnerLimits.Layer2.Cover5.CCY">'Rating Summary'!$AR$8</definedName>
    <definedName name="DB.RatingSummary.InnerLimits.Layer2.Cover5.USD">'Rating Summary'!$AR$31</definedName>
    <definedName name="DB.RatingSummary.InnerLimits.Layer2.Cover6.CCY">'Rating Summary'!$AS$8</definedName>
    <definedName name="DB.RatingSummary.InnerLimits.Layer2.Cover6.USD">'Rating Summary'!$AS$31</definedName>
    <definedName name="DB.RatingSummary.InnerLimits.Layer3.Cover1.CCY">'Rating Summary'!$AN$9</definedName>
    <definedName name="DB.RatingSummary.InnerLimits.Layer3.Cover1.USD">'Rating Summary'!$AN$32</definedName>
    <definedName name="DB.RatingSummary.InnerLimits.Layer3.Cover2.CCY">'Rating Summary'!$AO$9</definedName>
    <definedName name="DB.RatingSummary.InnerLimits.Layer3.Cover2.USD">'Rating Summary'!$AO$32</definedName>
    <definedName name="DB.RatingSummary.InnerLimits.Layer3.Cover3.CCY">'Rating Summary'!$AP$9</definedName>
    <definedName name="DB.RatingSummary.InnerLimits.Layer3.Cover3.USD">'Rating Summary'!$AP$32</definedName>
    <definedName name="DB.RatingSummary.InnerLimits.Layer3.Cover4.CCY">'Rating Summary'!$AQ$9</definedName>
    <definedName name="DB.RatingSummary.InnerLimits.Layer3.Cover4.USD">'Rating Summary'!$AQ$32</definedName>
    <definedName name="DB.RatingSummary.InnerLimits.Layer3.Cover5.CCY">'Rating Summary'!$AR$9</definedName>
    <definedName name="DB.RatingSummary.InnerLimits.Layer3.Cover5.USD">'Rating Summary'!$AR$32</definedName>
    <definedName name="DB.RatingSummary.InnerLimits.Layer3.Cover6.CCY">'Rating Summary'!$AS$9</definedName>
    <definedName name="DB.RatingSummary.InnerLimits.Layer3.Cover6.USD">'Rating Summary'!$AS$32</definedName>
    <definedName name="DB.RatingSummary.InnerLimits.Layer4.Cover1.CCY">'Rating Summary'!$AN$10</definedName>
    <definedName name="DB.RatingSummary.InnerLimits.Layer4.Cover1.USD">'Rating Summary'!$AN$33</definedName>
    <definedName name="DB.RatingSummary.InnerLimits.Layer4.Cover2.CCY">'Rating Summary'!$AO$10</definedName>
    <definedName name="DB.RatingSummary.InnerLimits.Layer4.Cover2.USD">'Rating Summary'!$AO$33</definedName>
    <definedName name="DB.RatingSummary.InnerLimits.Layer4.Cover3.CCY">'Rating Summary'!$AP$10</definedName>
    <definedName name="DB.RatingSummary.InnerLimits.Layer4.Cover3.USD">'Rating Summary'!$AP$33</definedName>
    <definedName name="DB.RatingSummary.InnerLimits.Layer4.Cover4.CCY">'Rating Summary'!$AQ$10</definedName>
    <definedName name="DB.RatingSummary.InnerLimits.Layer4.Cover4.USD">'Rating Summary'!$AQ$33</definedName>
    <definedName name="DB.RatingSummary.InnerLimits.Layer4.Cover5.CCY">'Rating Summary'!$AR$10</definedName>
    <definedName name="DB.RatingSummary.InnerLimits.Layer4.Cover5.USD">'Rating Summary'!$AR$33</definedName>
    <definedName name="DB.RatingSummary.InnerLimits.Layer4.Cover6.CCY">'Rating Summary'!$AS$10</definedName>
    <definedName name="DB.RatingSummary.InnerLimits.Layer4.Cover6.USD">'Rating Summary'!$AS$33</definedName>
    <definedName name="DB.RatingSummary.InnerLimits.Layer5.Cover1.CCY">'Rating Summary'!$AN$11</definedName>
    <definedName name="DB.RatingSummary.InnerLimits.Layer5.Cover1.USD">'Rating Summary'!$AN$34</definedName>
    <definedName name="DB.RatingSummary.InnerLimits.Layer5.Cover2.CCY">'Rating Summary'!$AO$11</definedName>
    <definedName name="DB.RatingSummary.InnerLimits.Layer5.Cover2.USD">'Rating Summary'!$AO$34</definedName>
    <definedName name="DB.RatingSummary.InnerLimits.Layer5.Cover3.CCY">'Rating Summary'!$AP$11</definedName>
    <definedName name="DB.RatingSummary.InnerLimits.Layer5.Cover3.USD">'Rating Summary'!$AP$34</definedName>
    <definedName name="DB.RatingSummary.InnerLimits.Layer5.Cover4.CCY">'Rating Summary'!$AQ$11</definedName>
    <definedName name="DB.RatingSummary.InnerLimits.Layer5.Cover4.USD">'Rating Summary'!$AQ$34</definedName>
    <definedName name="DB.RatingSummary.InnerLimits.Layer5.Cover5.CCY">'Rating Summary'!$AR$11</definedName>
    <definedName name="DB.RatingSummary.InnerLimits.Layer5.Cover5.USD">'Rating Summary'!$AR$34</definedName>
    <definedName name="DB.RatingSummary.InnerLimits.Layer5.Cover6.CCY">'Rating Summary'!$AS$11</definedName>
    <definedName name="DB.RatingSummary.InnerLimits.Layer5.Cover6.USD">'Rating Summary'!$AS$34</definedName>
    <definedName name="DB.RatingSummary.InnerLimits.Layer6.Cover1.CCY">'Rating Summary'!$AN$12</definedName>
    <definedName name="DB.RatingSummary.InnerLimits.Layer6.Cover1.USD">'Rating Summary'!$AN$35</definedName>
    <definedName name="DB.RatingSummary.InnerLimits.Layer6.Cover2.CCY">'Rating Summary'!$AO$12</definedName>
    <definedName name="DB.RatingSummary.InnerLimits.Layer6.Cover2.USD">'Rating Summary'!$AO$35</definedName>
    <definedName name="DB.RatingSummary.InnerLimits.Layer6.Cover3.CCY">'Rating Summary'!$AP$12</definedName>
    <definedName name="DB.RatingSummary.InnerLimits.Layer6.Cover3.USD">'Rating Summary'!$AP$35</definedName>
    <definedName name="DB.RatingSummary.InnerLimits.Layer6.Cover4.CCY">'Rating Summary'!$AQ$12</definedName>
    <definedName name="DB.RatingSummary.InnerLimits.Layer6.Cover4.USD">'Rating Summary'!$AQ$35</definedName>
    <definedName name="DB.RatingSummary.InnerLimits.Layer6.Cover5.CCY">'Rating Summary'!$AR$12</definedName>
    <definedName name="DB.RatingSummary.InnerLimits.Layer6.Cover5.USD">'Rating Summary'!$AR$35</definedName>
    <definedName name="DB.RatingSummary.InnerLimits.Layer6.Cover6.CCY">'Rating Summary'!$AS$12</definedName>
    <definedName name="DB.RatingSummary.InnerLimits.Layer6.Cover6.USD">'Rating Summary'!$AS$35</definedName>
    <definedName name="DB.RatingSummary.InnerLimits.Layer7.Cover1.CCY">'Rating Summary'!$AN$13</definedName>
    <definedName name="DB.RatingSummary.InnerLimits.Layer7.Cover1.USD">'Rating Summary'!$AN$36</definedName>
    <definedName name="DB.RatingSummary.InnerLimits.Layer7.Cover2.CCY">'Rating Summary'!$AO$13</definedName>
    <definedName name="DB.RatingSummary.InnerLimits.Layer7.Cover2.USD">'Rating Summary'!$AO$36</definedName>
    <definedName name="DB.RatingSummary.InnerLimits.Layer7.Cover3.CCY">'Rating Summary'!$AP$13</definedName>
    <definedName name="DB.RatingSummary.InnerLimits.Layer7.Cover3.USD">'Rating Summary'!$AP$36</definedName>
    <definedName name="DB.RatingSummary.InnerLimits.Layer7.Cover4.CCY">'Rating Summary'!$AQ$13</definedName>
    <definedName name="DB.RatingSummary.InnerLimits.Layer7.Cover4.USD">'Rating Summary'!$AQ$36</definedName>
    <definedName name="DB.RatingSummary.InnerLimits.Layer7.Cover5.CCY">'Rating Summary'!$AR$13</definedName>
    <definedName name="DB.RatingSummary.InnerLimits.Layer7.Cover5.USD">'Rating Summary'!$AR$36</definedName>
    <definedName name="DB.RatingSummary.InnerLimits.Layer7.Cover6.CCY">'Rating Summary'!$AS$13</definedName>
    <definedName name="DB.RatingSummary.InnerLimits.Layer7.Cover6.USD">'Rating Summary'!$AS$36</definedName>
    <definedName name="DB.RatingSummary.InnerLimits.Layer8.Cover1.CCY">'Rating Summary'!$AN$14</definedName>
    <definedName name="DB.RatingSummary.InnerLimits.Layer8.Cover1.USD">'Rating Summary'!$AN$37</definedName>
    <definedName name="DB.RatingSummary.InnerLimits.Layer8.Cover2.CCY">'Rating Summary'!$AO$14</definedName>
    <definedName name="DB.RatingSummary.InnerLimits.Layer8.Cover2.USD">'Rating Summary'!$AO$37</definedName>
    <definedName name="DB.RatingSummary.InnerLimits.Layer8.Cover3.CCY">'Rating Summary'!$AP$14</definedName>
    <definedName name="DB.RatingSummary.InnerLimits.Layer8.Cover3.USD">'Rating Summary'!$AP$37</definedName>
    <definedName name="DB.RatingSummary.InnerLimits.Layer8.Cover4.CCY">'Rating Summary'!$AQ$14</definedName>
    <definedName name="DB.RatingSummary.InnerLimits.Layer8.Cover4.USD">'Rating Summary'!$AQ$37</definedName>
    <definedName name="DB.RatingSummary.InnerLimits.Layer8.Cover5.CCY">'Rating Summary'!$AR$14</definedName>
    <definedName name="DB.RatingSummary.InnerLimits.Layer8.Cover5.USD">'Rating Summary'!$AR$37</definedName>
    <definedName name="DB.RatingSummary.InnerLimits.Layer8.Cover6.CCY">'Rating Summary'!$AS$14</definedName>
    <definedName name="DB.RatingSummary.InnerLimits.Layer8.Cover6.USD">'Rating Summary'!$AS$37</definedName>
    <definedName name="DB.RatingSummary.InnerLimits.Layer9.Cover1.CCY">'Rating Summary'!$AN$15</definedName>
    <definedName name="DB.RatingSummary.InnerLimits.Layer9.Cover1.USD">'Rating Summary'!$AN$38</definedName>
    <definedName name="DB.RatingSummary.InnerLimits.Layer9.Cover2.CCY">'Rating Summary'!$AO$15</definedName>
    <definedName name="DB.RatingSummary.InnerLimits.Layer9.Cover2.USD">'Rating Summary'!$AO$38</definedName>
    <definedName name="DB.RatingSummary.InnerLimits.Layer9.Cover3.CCY">'Rating Summary'!$AP$15</definedName>
    <definedName name="DB.RatingSummary.InnerLimits.Layer9.Cover3.USD">'Rating Summary'!$AP$38</definedName>
    <definedName name="DB.RatingSummary.InnerLimits.Layer9.Cover4.CCY">'Rating Summary'!$AQ$15</definedName>
    <definedName name="DB.RatingSummary.InnerLimits.Layer9.Cover4.USD">'Rating Summary'!$AQ$38</definedName>
    <definedName name="DB.RatingSummary.InnerLimits.Layer9.Cover5.CCY">'Rating Summary'!$AR$15</definedName>
    <definedName name="DB.RatingSummary.InnerLimits.Layer9.Cover5.USD">'Rating Summary'!$AR$38</definedName>
    <definedName name="DB.RatingSummary.InnerLimits.Layer9.Cover6.CCY">'Rating Summary'!$AS$15</definedName>
    <definedName name="DB.RatingSummary.InnerLimits.Layer9.Cover6.USD">'Rating Summary'!$AS$38</definedName>
    <definedName name="DB.RatingSummary.Layer.Layer1.CCY">'Rating Summary'!$C$7</definedName>
    <definedName name="DB.RatingSummary.Layer.Layer10.CCY">'Rating Summary'!$C$16</definedName>
    <definedName name="DB.RatingSummary.Layer.Layer11.CCY">'Rating Summary'!$C$17</definedName>
    <definedName name="DB.RatingSummary.Layer.Layer12.CCY">'Rating Summary'!$C$18</definedName>
    <definedName name="DB.RatingSummary.Layer.Layer13.CCY">'Rating Summary'!$C$19</definedName>
    <definedName name="DB.RatingSummary.Layer.Layer14.CCY">'Rating Summary'!$C$20</definedName>
    <definedName name="DB.RatingSummary.Layer.Layer15.CCY">'Rating Summary'!$C$21</definedName>
    <definedName name="DB.RatingSummary.Layer.Layer16.CCY">'Rating Summary'!$C$22</definedName>
    <definedName name="DB.RatingSummary.Layer.Layer2.CCY">'Rating Summary'!$C$8</definedName>
    <definedName name="DB.RatingSummary.Layer.Layer3.CCY">'Rating Summary'!$C$9</definedName>
    <definedName name="DB.RatingSummary.Layer.Layer4.CCY">'Rating Summary'!$C$10</definedName>
    <definedName name="DB.RatingSummary.Layer.Layer5.CCY">'Rating Summary'!$C$11</definedName>
    <definedName name="DB.RatingSummary.Layer.Layer6.CCY">'Rating Summary'!$C$12</definedName>
    <definedName name="DB.RatingSummary.Layer.Layer7.CCY">'Rating Summary'!$C$13</definedName>
    <definedName name="DB.RatingSummary.Layer.Layer8.CCY">'Rating Summary'!$C$14</definedName>
    <definedName name="DB.RatingSummary.Layer.Layer9.CCY">'Rating Summary'!$C$15</definedName>
    <definedName name="DB.RatingSummary.Limits.Layer1.Cover1.CCY">'Rating Summary'!$L$7</definedName>
    <definedName name="DB.RatingSummary.Limits.Layer1.Cover1.USD">'Rating Summary'!$L$30</definedName>
    <definedName name="DB.RatingSummary.Limits.Layer1.Cover2.CCY">'Rating Summary'!$M$7</definedName>
    <definedName name="DB.RatingSummary.Limits.Layer1.Cover2.USD">'Rating Summary'!$M$30</definedName>
    <definedName name="DB.RatingSummary.Limits.Layer1.Cover3.CCY">'Rating Summary'!$N$7</definedName>
    <definedName name="DB.RatingSummary.Limits.Layer1.Cover3.USD">'Rating Summary'!$N$30</definedName>
    <definedName name="DB.RatingSummary.Limits.Layer1.Cover4.CCY">'Rating Summary'!$O$7</definedName>
    <definedName name="DB.RatingSummary.Limits.Layer1.Cover4.USD">'Rating Summary'!$O$30</definedName>
    <definedName name="DB.RatingSummary.Limits.Layer1.Cover5.CCY">'Rating Summary'!$P$7</definedName>
    <definedName name="DB.RatingSummary.Limits.Layer1.Cover5.USD">'Rating Summary'!$P$30</definedName>
    <definedName name="DB.RatingSummary.Limits.Layer1.Cover6.CCY">'Rating Summary'!$Q$7</definedName>
    <definedName name="DB.RatingSummary.Limits.Layer1.Cover6.USD">'Rating Summary'!$Q$30</definedName>
    <definedName name="DB.RatingSummary.Limits.Layer10.Cover1.CCY">'Rating Summary'!$L$16</definedName>
    <definedName name="DB.RatingSummary.Limits.Layer10.Cover1.USD">'Rating Summary'!$L$39</definedName>
    <definedName name="DB.RatingSummary.Limits.Layer10.Cover2.CCY">'Rating Summary'!$M$16</definedName>
    <definedName name="DB.RatingSummary.Limits.Layer10.Cover2.USD">'Rating Summary'!$M$39</definedName>
    <definedName name="DB.RatingSummary.Limits.Layer10.Cover3.CCY">'Rating Summary'!$N$16</definedName>
    <definedName name="DB.RatingSummary.Limits.Layer10.Cover3.USD">'Rating Summary'!$N$39</definedName>
    <definedName name="DB.RatingSummary.Limits.Layer10.Cover4.CCY">'Rating Summary'!$O$16</definedName>
    <definedName name="DB.RatingSummary.Limits.Layer10.Cover4.USD">'Rating Summary'!$O$39</definedName>
    <definedName name="DB.RatingSummary.Limits.Layer10.Cover5.CCY">'Rating Summary'!$P$16</definedName>
    <definedName name="DB.RatingSummary.Limits.Layer10.Cover5.USD">'Rating Summary'!$P$39</definedName>
    <definedName name="DB.RatingSummary.Limits.Layer10.Cover6.CCY">'Rating Summary'!$Q$16</definedName>
    <definedName name="DB.RatingSummary.Limits.Layer10.Cover6.USD">'Rating Summary'!$Q$39</definedName>
    <definedName name="DB.RatingSummary.Limits.Layer11.Cover1.CCY">'Rating Summary'!$L$17</definedName>
    <definedName name="DB.RatingSummary.Limits.Layer11.Cover1.USD">'Rating Summary'!$L$40</definedName>
    <definedName name="DB.RatingSummary.Limits.Layer11.Cover2.CCY">'Rating Summary'!$M$17</definedName>
    <definedName name="DB.RatingSummary.Limits.Layer11.Cover2.USD">'Rating Summary'!$M$40</definedName>
    <definedName name="DB.RatingSummary.Limits.Layer11.Cover3.CCY">'Rating Summary'!$N$17</definedName>
    <definedName name="DB.RatingSummary.Limits.Layer11.Cover3.USD">'Rating Summary'!$N$40</definedName>
    <definedName name="DB.RatingSummary.Limits.Layer11.Cover4.CCY">'Rating Summary'!$O$17</definedName>
    <definedName name="DB.RatingSummary.Limits.Layer11.Cover4.USD">'Rating Summary'!$O$40</definedName>
    <definedName name="DB.RatingSummary.Limits.Layer11.Cover5.CCY">'Rating Summary'!$P$17</definedName>
    <definedName name="DB.RatingSummary.Limits.Layer11.Cover5.USD">'Rating Summary'!$P$40</definedName>
    <definedName name="DB.RatingSummary.Limits.Layer11.Cover6.CCY">'Rating Summary'!$Q$17</definedName>
    <definedName name="DB.RatingSummary.Limits.Layer11.Cover6.USD">'Rating Summary'!$Q$40</definedName>
    <definedName name="DB.RatingSummary.Limits.Layer12.Cover1.CCY">'Rating Summary'!$L$18</definedName>
    <definedName name="DB.RatingSummary.Limits.Layer12.Cover1.USD">'Rating Summary'!$L$41</definedName>
    <definedName name="DB.RatingSummary.Limits.Layer12.Cover2.CCY">'Rating Summary'!$M$18</definedName>
    <definedName name="DB.RatingSummary.Limits.Layer12.Cover2.USD">'Rating Summary'!$M$41</definedName>
    <definedName name="DB.RatingSummary.Limits.Layer12.Cover3.CCY">'Rating Summary'!$N$18</definedName>
    <definedName name="DB.RatingSummary.Limits.Layer12.Cover3.USD">'Rating Summary'!$N$41</definedName>
    <definedName name="DB.RatingSummary.Limits.Layer12.Cover4.CCY">'Rating Summary'!$O$18</definedName>
    <definedName name="DB.RatingSummary.Limits.Layer12.Cover4.USD">'Rating Summary'!$O$41</definedName>
    <definedName name="DB.RatingSummary.Limits.Layer12.Cover5.CCY">'Rating Summary'!$P$18</definedName>
    <definedName name="DB.RatingSummary.Limits.Layer12.Cover5.USD">'Rating Summary'!$P$41</definedName>
    <definedName name="DB.RatingSummary.Limits.Layer12.Cover6.CCY">'Rating Summary'!$Q$18</definedName>
    <definedName name="DB.RatingSummary.Limits.Layer12.Cover6.USD">'Rating Summary'!$Q$41</definedName>
    <definedName name="DB.RatingSummary.Limits.Layer13.Cover.CCY">'Rating Summary'!$O$19</definedName>
    <definedName name="DB.RatingSummary.Limits.Layer13.Cover1.CCY">'Rating Summary'!$L$19</definedName>
    <definedName name="DB.RatingSummary.Limits.Layer13.Cover1.USD">'Rating Summary'!$L$42</definedName>
    <definedName name="DB.RatingSummary.Limits.Layer13.Cover2.CCY">'Rating Summary'!$M$19</definedName>
    <definedName name="DB.RatingSummary.Limits.Layer13.Cover2.USD">'Rating Summary'!$M$42</definedName>
    <definedName name="DB.RatingSummary.Limits.Layer13.Cover3.CCY">'Rating Summary'!$N$19</definedName>
    <definedName name="DB.RatingSummary.Limits.Layer13.Cover3.USD">'Rating Summary'!$N$42</definedName>
    <definedName name="DB.RatingSummary.Limits.Layer13.Cover4.CCY">'Rating Summary'!$O$19</definedName>
    <definedName name="DB.RatingSummary.Limits.Layer13.Cover4.USD">'Rating Summary'!$O$42</definedName>
    <definedName name="DB.RatingSummary.Limits.Layer13.Cover5.CCY">'Rating Summary'!$P$19</definedName>
    <definedName name="DB.RatingSummary.Limits.Layer13.Cover5.USD">'Rating Summary'!$P$42</definedName>
    <definedName name="DB.RatingSummary.Limits.Layer13.Cover6.CCY">'Rating Summary'!$Q$19</definedName>
    <definedName name="DB.RatingSummary.Limits.Layer13.Cover6.USD">'Rating Summary'!$Q$42</definedName>
    <definedName name="DB.RatingSummary.Limits.Layer14.Cover1.CCY">'Rating Summary'!$L$20</definedName>
    <definedName name="DB.RatingSummary.Limits.Layer14.Cover1.USD">'Rating Summary'!$L$43</definedName>
    <definedName name="DB.RatingSummary.Limits.Layer14.Cover2.CCY">'Rating Summary'!$M$20</definedName>
    <definedName name="DB.RatingSummary.Limits.Layer14.Cover2.USD">'Rating Summary'!$M$43</definedName>
    <definedName name="DB.RatingSummary.Limits.Layer14.Cover3.CCY">'Rating Summary'!$N$20</definedName>
    <definedName name="DB.RatingSummary.Limits.Layer14.Cover3.USD">'Rating Summary'!$N$43</definedName>
    <definedName name="DB.RatingSummary.Limits.Layer14.Cover4.CCY">'Rating Summary'!$O$20</definedName>
    <definedName name="DB.RatingSummary.Limits.Layer14.Cover4.USD">'Rating Summary'!$O$43</definedName>
    <definedName name="DB.RatingSummary.Limits.Layer14.Cover5.CCY">'Rating Summary'!$P$20</definedName>
    <definedName name="DB.RatingSummary.Limits.Layer14.Cover5.USD">'Rating Summary'!$P$43</definedName>
    <definedName name="DB.RatingSummary.Limits.Layer14.Cover6.CCY">'Rating Summary'!$Q$20</definedName>
    <definedName name="DB.RatingSummary.Limits.Layer14.Cover6.USD">'Rating Summary'!$Q$43</definedName>
    <definedName name="DB.RatingSummary.Limits.Layer15.Cover1.CCY">'Rating Summary'!$L$21</definedName>
    <definedName name="DB.RatingSummary.Limits.Layer15.Cover1.USD">'Rating Summary'!$L$44</definedName>
    <definedName name="DB.RatingSummary.Limits.Layer15.Cover2.CCY">'Rating Summary'!$M$21</definedName>
    <definedName name="DB.RatingSummary.Limits.Layer15.Cover2.USD">'Rating Summary'!$M$44</definedName>
    <definedName name="DB.RatingSummary.Limits.Layer15.Cover3.CCY">'Rating Summary'!$N$21</definedName>
    <definedName name="DB.RatingSummary.Limits.Layer15.Cover3.USD">'Rating Summary'!$N$44</definedName>
    <definedName name="DB.RatingSummary.Limits.Layer15.Cover4.CCY">'Rating Summary'!$O$21</definedName>
    <definedName name="DB.RatingSummary.Limits.Layer15.Cover4.USD">'Rating Summary'!$O$44</definedName>
    <definedName name="DB.RatingSummary.Limits.Layer15.Cover5.CCY">'Rating Summary'!$P$21</definedName>
    <definedName name="DB.RatingSummary.Limits.Layer15.Cover5.USD">'Rating Summary'!$P$44</definedName>
    <definedName name="DB.RatingSummary.Limits.Layer15.Cover6.CCY">'Rating Summary'!$Q$21</definedName>
    <definedName name="DB.RatingSummary.Limits.Layer15.Cover6.USD">'Rating Summary'!$Q$44</definedName>
    <definedName name="DB.RatingSummary.Limits.Layer16.Cover1.CCY">'Rating Summary'!$L$22</definedName>
    <definedName name="DB.RatingSummary.Limits.Layer16.Cover1.USD">'Rating Summary'!$L$45</definedName>
    <definedName name="DB.RatingSummary.Limits.Layer16.Cover2.CCY">'Rating Summary'!$M$22</definedName>
    <definedName name="DB.RatingSummary.Limits.Layer16.Cover2.USD">'Rating Summary'!$M$45</definedName>
    <definedName name="DB.RatingSummary.Limits.Layer16.Cover3.CCY">'Rating Summary'!$N$22</definedName>
    <definedName name="DB.RatingSummary.Limits.Layer16.Cover3.USD">'Rating Summary'!$N$45</definedName>
    <definedName name="DB.RatingSummary.Limits.Layer16.Cover4.CCY">'Rating Summary'!$O$22</definedName>
    <definedName name="DB.RatingSummary.Limits.Layer16.Cover4.USD">'Rating Summary'!$O$45</definedName>
    <definedName name="DB.RatingSummary.Limits.Layer16.Cover5.CCY">'Rating Summary'!$P$22</definedName>
    <definedName name="DB.RatingSummary.Limits.Layer16.Cover5.USD">'Rating Summary'!$P$45</definedName>
    <definedName name="DB.RatingSummary.Limits.Layer16.Cover6.CCY">'Rating Summary'!$Q$22</definedName>
    <definedName name="DB.RatingSummary.Limits.Layer16.Cover6.USD">'Rating Summary'!$Q$45</definedName>
    <definedName name="DB.RatingSummary.Limits.Layer2.Cover1.CCY">'Rating Summary'!$L$8</definedName>
    <definedName name="DB.RatingSummary.Limits.Layer2.Cover1.USD">'Rating Summary'!$L$31</definedName>
    <definedName name="DB.RatingSummary.Limits.Layer2.Cover2.CCY">'Rating Summary'!$M$8</definedName>
    <definedName name="DB.RatingSummary.Limits.Layer2.Cover2.USD">'Rating Summary'!$M$31</definedName>
    <definedName name="DB.RatingSummary.Limits.Layer2.Cover3.CCY">'Rating Summary'!$N$8</definedName>
    <definedName name="DB.RatingSummary.Limits.Layer2.Cover3.USD">'Rating Summary'!$N$31</definedName>
    <definedName name="DB.RatingSummary.Limits.Layer2.Cover4.CCY">'Rating Summary'!$O$8</definedName>
    <definedName name="DB.RatingSummary.Limits.Layer2.Cover4.USD">'Rating Summary'!$O$31</definedName>
    <definedName name="DB.RatingSummary.Limits.Layer2.Cover5.CCY">'Rating Summary'!$P$8</definedName>
    <definedName name="DB.RatingSummary.Limits.Layer2.Cover5.USD">'Rating Summary'!$P$31</definedName>
    <definedName name="DB.RatingSummary.Limits.Layer2.Cover6.CCY">'Rating Summary'!$Q$8</definedName>
    <definedName name="DB.RatingSummary.Limits.Layer2.Cover6.USD">'Rating Summary'!$Q$31</definedName>
    <definedName name="DB.RatingSummary.Limits.Layer3.Cover1.CCY">'Rating Summary'!$L$9</definedName>
    <definedName name="DB.RatingSummary.Limits.Layer3.Cover1.USD">'Rating Summary'!$L$32</definedName>
    <definedName name="DB.RatingSummary.Limits.Layer3.Cover2.CCY">'Rating Summary'!$M$9</definedName>
    <definedName name="DB.RatingSummary.Limits.Layer3.Cover2.USD">'Rating Summary'!$M$32</definedName>
    <definedName name="DB.RatingSummary.Limits.Layer3.Cover3.CCY">'Rating Summary'!$N$9</definedName>
    <definedName name="DB.RatingSummary.Limits.Layer3.Cover3.USD">'Rating Summary'!$N$32</definedName>
    <definedName name="DB.RatingSummary.Limits.Layer3.Cover4.CCY">'Rating Summary'!$O$9</definedName>
    <definedName name="DB.RatingSummary.Limits.Layer3.Cover4.USD">'Rating Summary'!$O$32</definedName>
    <definedName name="DB.RatingSummary.Limits.Layer3.Cover5.CCY">'Rating Summary'!$P$9</definedName>
    <definedName name="DB.RatingSummary.Limits.Layer3.Cover5.USD">'Rating Summary'!$P$32</definedName>
    <definedName name="DB.RatingSummary.Limits.Layer3.Cover6.CCY">'Rating Summary'!$Q$9</definedName>
    <definedName name="DB.RatingSummary.Limits.Layer3.Cover6.USD">'Rating Summary'!$Q$32</definedName>
    <definedName name="DB.RatingSummary.Limits.Layer4.Cover1.CCY">'Rating Summary'!$L$10</definedName>
    <definedName name="DB.RatingSummary.Limits.Layer4.Cover1.USD">'Rating Summary'!$L$33</definedName>
    <definedName name="DB.RatingSummary.Limits.Layer4.Cover2.CCY">'Rating Summary'!$M$10</definedName>
    <definedName name="DB.RatingSummary.Limits.Layer4.Cover2.USD">'Rating Summary'!$M$33</definedName>
    <definedName name="DB.RatingSummary.Limits.Layer4.Cover3.CCY">'Rating Summary'!$N$10</definedName>
    <definedName name="DB.RatingSummary.Limits.Layer4.Cover3.USD">'Rating Summary'!$N$33</definedName>
    <definedName name="DB.RatingSummary.Limits.Layer4.Cover4.CCY">'Rating Summary'!$O$10</definedName>
    <definedName name="DB.RatingSummary.Limits.Layer4.Cover4.USD">'Rating Summary'!$O$33</definedName>
    <definedName name="DB.RatingSummary.Limits.Layer4.Cover5.CCY">'Rating Summary'!$P$10</definedName>
    <definedName name="DB.RatingSummary.Limits.Layer4.Cover5.USD">'Rating Summary'!$P$33</definedName>
    <definedName name="DB.RatingSummary.Limits.Layer4.Cover6.CCY">'Rating Summary'!$Q$10</definedName>
    <definedName name="DB.RatingSummary.Limits.Layer4.Cover6.USD">'Rating Summary'!$Q$33</definedName>
    <definedName name="DB.RatingSummary.Limits.Layer5.Cover1.CCY">'Rating Summary'!$L$11</definedName>
    <definedName name="DB.RatingSummary.Limits.Layer5.Cover1.USD">'Rating Summary'!$L$34</definedName>
    <definedName name="DB.RatingSummary.Limits.Layer5.Cover2.CCY">'Rating Summary'!$M$11</definedName>
    <definedName name="DB.RatingSummary.Limits.Layer5.Cover2.USD">'Rating Summary'!$M$34</definedName>
    <definedName name="DB.RatingSummary.Limits.Layer5.Cover3.CCY">'Rating Summary'!$N$11</definedName>
    <definedName name="DB.RatingSummary.Limits.Layer5.Cover3.USD">'Rating Summary'!$N$34</definedName>
    <definedName name="DB.RatingSummary.Limits.Layer5.Cover4.CCY">'Rating Summary'!$O$11</definedName>
    <definedName name="DB.RatingSummary.Limits.Layer5.Cover4.USD">'Rating Summary'!$O$34</definedName>
    <definedName name="DB.RatingSummary.Limits.Layer5.Cover5.CCY">'Rating Summary'!$P$11</definedName>
    <definedName name="DB.RatingSummary.Limits.Layer5.Cover5.USD">'Rating Summary'!$P$34</definedName>
    <definedName name="DB.RatingSummary.Limits.Layer5.Cover6.CCY">'Rating Summary'!$Q$11</definedName>
    <definedName name="DB.RatingSummary.Limits.Layer5.Cover6.USD">'Rating Summary'!$Q$34</definedName>
    <definedName name="DB.RatingSummary.Limits.Layer6.Cover1.CCY">'Rating Summary'!$L$12</definedName>
    <definedName name="DB.RatingSummary.Limits.Layer6.Cover1.USD">'Rating Summary'!$L$35</definedName>
    <definedName name="DB.RatingSummary.Limits.Layer6.Cover2.CCY">'Rating Summary'!$M$12</definedName>
    <definedName name="DB.RatingSummary.Limits.Layer6.Cover2.USD">'Rating Summary'!$M$35</definedName>
    <definedName name="DB.RatingSummary.Limits.Layer6.Cover3.CCY">'Rating Summary'!$N$12</definedName>
    <definedName name="DB.RatingSummary.Limits.Layer6.Cover3.USD">'Rating Summary'!$N$35</definedName>
    <definedName name="DB.RatingSummary.Limits.Layer6.Cover4.CCY">'Rating Summary'!$O$12</definedName>
    <definedName name="DB.RatingSummary.Limits.Layer6.Cover4.USD">'Rating Summary'!$O$35</definedName>
    <definedName name="DB.RatingSummary.Limits.Layer6.Cover5.CCY">'Rating Summary'!$P$12</definedName>
    <definedName name="DB.RatingSummary.Limits.Layer6.Cover5.USD">'Rating Summary'!$P$35</definedName>
    <definedName name="DB.RatingSummary.Limits.Layer6.Cover6.CCY">'Rating Summary'!$Q$12</definedName>
    <definedName name="DB.RatingSummary.Limits.Layer6.Cover6.USD">'Rating Summary'!$Q$35</definedName>
    <definedName name="DB.RatingSummary.Limits.Layer7.Cover1.CCY">'Rating Summary'!$L$13</definedName>
    <definedName name="DB.RatingSummary.Limits.Layer7.Cover1.USD">'Rating Summary'!$L$36</definedName>
    <definedName name="DB.RatingSummary.Limits.Layer7.Cover2.CCY">'Rating Summary'!$M$13</definedName>
    <definedName name="DB.RatingSummary.Limits.Layer7.Cover2.USD">'Rating Summary'!$M$36</definedName>
    <definedName name="DB.RatingSummary.Limits.Layer7.Cover3.CCY">'Rating Summary'!$N$13</definedName>
    <definedName name="DB.RatingSummary.Limits.Layer7.Cover3.USD">'Rating Summary'!$N$36</definedName>
    <definedName name="DB.RatingSummary.Limits.Layer7.Cover4.CCY">'Rating Summary'!$O$13</definedName>
    <definedName name="DB.RatingSummary.Limits.Layer7.Cover4.USD">'Rating Summary'!$O$36</definedName>
    <definedName name="DB.RatingSummary.Limits.Layer7.Cover5.CCY">'Rating Summary'!$P$13</definedName>
    <definedName name="DB.RatingSummary.Limits.Layer7.Cover5.USD">'Rating Summary'!$P$36</definedName>
    <definedName name="DB.RatingSummary.Limits.Layer7.Cover6.CCY">'Rating Summary'!$Q$13</definedName>
    <definedName name="DB.RatingSummary.Limits.Layer7.Cover6.USD">'Rating Summary'!$Q$36</definedName>
    <definedName name="DB.RatingSummary.Limits.Layer8.Cover1.CCY">'Rating Summary'!$L$14</definedName>
    <definedName name="DB.RatingSummary.Limits.Layer8.Cover1.USD">'Rating Summary'!$L$37</definedName>
    <definedName name="DB.RatingSummary.Limits.Layer8.Cover2.CCY">'Rating Summary'!$M$14</definedName>
    <definedName name="DB.RatingSummary.Limits.Layer8.Cover2.USD">'Rating Summary'!$M$37</definedName>
    <definedName name="DB.RatingSummary.Limits.Layer8.Cover3.CCY">'Rating Summary'!$N$14</definedName>
    <definedName name="DB.RatingSummary.Limits.Layer8.Cover3.USD">'Rating Summary'!$N$37</definedName>
    <definedName name="DB.RatingSummary.Limits.Layer8.Cover4.CCY">'Rating Summary'!$O$14</definedName>
    <definedName name="DB.RatingSummary.Limits.Layer8.Cover4.USD">'Rating Summary'!$O$37</definedName>
    <definedName name="DB.RatingSummary.Limits.Layer8.Cover5.CCY">'Rating Summary'!$P$14</definedName>
    <definedName name="DB.RatingSummary.Limits.Layer8.Cover5.USD">'Rating Summary'!$P$37</definedName>
    <definedName name="DB.RatingSummary.Limits.Layer8.Cover6.CCY">'Rating Summary'!$Q$14</definedName>
    <definedName name="DB.RatingSummary.Limits.Layer8.Cover6.USD">'Rating Summary'!$Q$37</definedName>
    <definedName name="DB.RatingSummary.Limits.Layer9.Cover1.CCY">'Rating Summary'!$L$15</definedName>
    <definedName name="DB.RatingSummary.Limits.Layer9.Cover1.USD">'Rating Summary'!$L$38</definedName>
    <definedName name="DB.RatingSummary.Limits.Layer9.Cover2.CCY">'Rating Summary'!$M$15</definedName>
    <definedName name="DB.RatingSummary.Limits.Layer9.Cover2.USD">'Rating Summary'!$M$38</definedName>
    <definedName name="DB.RatingSummary.Limits.Layer9.Cover3.CCY">'Rating Summary'!$N$15</definedName>
    <definedName name="DB.RatingSummary.Limits.Layer9.Cover3.USD">'Rating Summary'!$N$38</definedName>
    <definedName name="DB.RatingSummary.Limits.Layer9.Cover4.CCY">'Rating Summary'!$O$15</definedName>
    <definedName name="DB.RatingSummary.Limits.Layer9.Cover4.USD">'Rating Summary'!$O$38</definedName>
    <definedName name="DB.RatingSummary.Limits.Layer9.Cover5.CCY">'Rating Summary'!$P$15</definedName>
    <definedName name="DB.RatingSummary.Limits.Layer9.Cover5.USD">'Rating Summary'!$P$38</definedName>
    <definedName name="DB.RatingSummary.Limits.Layer9.Cover6.CCY">'Rating Summary'!$Q$15</definedName>
    <definedName name="DB.RatingSummary.Limits.Layer9.Cover6.USD">'Rating Summary'!$Q$38</definedName>
    <definedName name="DB.RatingSummary.LTApc.Layer1">'Rating Summary'!$AX$7</definedName>
    <definedName name="DB.RatingSummary.LTApc.Layer1.USD">'Rating Summary'!$AX$30</definedName>
    <definedName name="DB.RatingSummary.LTApc.Layer10">'Rating Summary'!$AX$16</definedName>
    <definedName name="DB.RatingSummary.LTApc.Layer10.USD">'Rating Summary'!$AX$39</definedName>
    <definedName name="DB.RatingSummary.LTApc.Layer11">'Rating Summary'!$AX$17</definedName>
    <definedName name="DB.RatingSummary.LTApc.Layer11.USD">'Rating Summary'!$AX$40</definedName>
    <definedName name="DB.RatingSummary.LTApc.Layer12">'Rating Summary'!$AX$18</definedName>
    <definedName name="DB.RatingSummary.LTApc.Layer12.USD">'Rating Summary'!$AX$41</definedName>
    <definedName name="DB.RatingSummary.LTApc.Layer13">'Rating Summary'!$AX$19</definedName>
    <definedName name="DB.RatingSummary.LTApc.Layer13.USD">'Rating Summary'!$AX$42</definedName>
    <definedName name="DB.RatingSummary.LTApc.Layer14">'Rating Summary'!$AX$20</definedName>
    <definedName name="DB.RatingSummary.LTApc.Layer14.USD">'Rating Summary'!$AX$43</definedName>
    <definedName name="DB.RatingSummary.LTApc.Layer15">'Rating Summary'!$AX$21</definedName>
    <definedName name="DB.RatingSummary.LTApc.Layer15.USD">'Rating Summary'!$AX$44</definedName>
    <definedName name="DB.RatingSummary.LTApc.Layer16">'Rating Summary'!$AX$22</definedName>
    <definedName name="DB.RatingSummary.LTApc.Layer16.USD">'Rating Summary'!$AX$45</definedName>
    <definedName name="DB.RatingSummary.LTApc.Layer2">'Rating Summary'!$AX$8</definedName>
    <definedName name="DB.RatingSummary.LTApc.Layer2.USD">'Rating Summary'!$AX$31</definedName>
    <definedName name="DB.RatingSummary.LTApc.Layer3">'Rating Summary'!$AX$9</definedName>
    <definedName name="DB.RatingSummary.LTApc.Layer3.USD">'Rating Summary'!$AX$32</definedName>
    <definedName name="DB.RatingSummary.LTApc.Layer4">'Rating Summary'!$AX$10</definedName>
    <definedName name="DB.RatingSummary.LTApc.Layer4.USD">'Rating Summary'!$AX$33</definedName>
    <definedName name="DB.RatingSummary.LTApc.Layer5">'Rating Summary'!$AX$11</definedName>
    <definedName name="DB.RatingSummary.LTApc.Layer5.USD">'Rating Summary'!$AX$34</definedName>
    <definedName name="DB.RatingSummary.LTApc.Layer6">'Rating Summary'!$AX$12</definedName>
    <definedName name="DB.RatingSummary.LTApc.Layer6.USD">'Rating Summary'!$AX$35</definedName>
    <definedName name="DB.RatingSummary.LTApc.Layer7">'Rating Summary'!$AX$13</definedName>
    <definedName name="DB.RatingSummary.LTApc.Layer7.USD">'Rating Summary'!$AX$36</definedName>
    <definedName name="DB.RatingSummary.LTApc.Layer8">'Rating Summary'!$AX$14</definedName>
    <definedName name="DB.RatingSummary.LTApc.Layer8.USD">'Rating Summary'!$AX$37</definedName>
    <definedName name="DB.RatingSummary.LTApc.Layer9">'Rating Summary'!$AX$15</definedName>
    <definedName name="DB.RatingSummary.LTApc.Layer9.USD">'Rating Summary'!$AX$38</definedName>
    <definedName name="DB.RatingSummary.NCBpc.Layer1">'Rating Summary'!$AW$7</definedName>
    <definedName name="DB.RatingSummary.NCBpc.Layer1.USD">'Rating Summary'!$AW$30</definedName>
    <definedName name="DB.RatingSummary.NCBpc.Layer10">'Rating Summary'!$AW$16</definedName>
    <definedName name="DB.RatingSummary.NCBpc.Layer10.USD">'Rating Summary'!$AW$39</definedName>
    <definedName name="DB.RatingSummary.NCBpc.Layer11">'Rating Summary'!$AW$17</definedName>
    <definedName name="DB.RatingSummary.NCBpc.Layer11.USD">'Rating Summary'!$AW$40</definedName>
    <definedName name="DB.RatingSummary.NCBpc.Layer12">'Rating Summary'!$AW$18</definedName>
    <definedName name="DB.RatingSummary.NCBpc.Layer12.USD">'Rating Summary'!$AW$41</definedName>
    <definedName name="DB.RatingSummary.NCBpc.Layer13">'Rating Summary'!$AW$19</definedName>
    <definedName name="DB.RatingSummary.NCBpc.Layer13.USD">'Rating Summary'!$AW$42</definedName>
    <definedName name="DB.RatingSummary.NCBpc.Layer14">'Rating Summary'!$AW$20</definedName>
    <definedName name="DB.RatingSummary.NCBpc.Layer14.USD">'Rating Summary'!$AW$43</definedName>
    <definedName name="DB.RatingSummary.NCBpc.Layer15">'Rating Summary'!$AW$21</definedName>
    <definedName name="DB.RatingSummary.NCBpc.Layer15.USD">'Rating Summary'!$AW$44</definedName>
    <definedName name="DB.RatingSummary.NCBpc.Layer16">'Rating Summary'!$AW$22</definedName>
    <definedName name="DB.RatingSummary.NCBpc.Layer16.USD">'Rating Summary'!$AW$45</definedName>
    <definedName name="DB.RatingSummary.NCBpc.Layer2">'Rating Summary'!$AW$8</definedName>
    <definedName name="DB.RatingSummary.NCBpc.Layer2.USD">'Rating Summary'!$AW$31</definedName>
    <definedName name="DB.RatingSummary.NCBpc.Layer3">'Rating Summary'!$AW$9</definedName>
    <definedName name="DB.RatingSummary.NCBpc.Layer3.USD">'Rating Summary'!$AW$32</definedName>
    <definedName name="DB.RatingSummary.NCBpc.Layer4">'Rating Summary'!$AW$10</definedName>
    <definedName name="DB.RatingSummary.NCBpc.Layer4.USD">'Rating Summary'!$AW$33</definedName>
    <definedName name="DB.RatingSummary.NCBpc.Layer5">'Rating Summary'!$AW$11</definedName>
    <definedName name="DB.RatingSummary.NCBpc.Layer5.USD">'Rating Summary'!$AW$34</definedName>
    <definedName name="DB.RatingSummary.NCBpc.Layer6">'Rating Summary'!$AW$12</definedName>
    <definedName name="DB.RatingSummary.NCBpc.Layer6.USD">'Rating Summary'!$AW$35</definedName>
    <definedName name="DB.RatingSummary.NCBpc.Layer7">'Rating Summary'!$AW$13</definedName>
    <definedName name="DB.RatingSummary.NCBpc.Layer7.USD">'Rating Summary'!$AW$36</definedName>
    <definedName name="DB.RatingSummary.NCBpc.Layer8">'Rating Summary'!$AW$14</definedName>
    <definedName name="DB.RatingSummary.NCBpc.Layer8.USD">'Rating Summary'!$AW$37</definedName>
    <definedName name="DB.RatingSummary.NCBpc.Layer9">'Rating Summary'!$AW$15</definedName>
    <definedName name="DB.RatingSummary.NCBpc.Layer9.USD">'Rating Summary'!$AW$38</definedName>
    <definedName name="DB.RatingSummary.NetBenchmarkPremium.Layer1.CCY">'Rating Summary'!$BT$7</definedName>
    <definedName name="DB.RatingSummary.NetBenchmarkPremium.Layer1.USD">'Rating Summary'!$BT$30</definedName>
    <definedName name="DB.RatingSummary.NetBenchmarkPremium.Layer10.CCY">'Rating Summary'!$BT$16</definedName>
    <definedName name="DB.RatingSummary.NetBenchmarkPremium.Layer10.USD">'Rating Summary'!$BT$39</definedName>
    <definedName name="DB.RatingSummary.NetBenchmarkPremium.Layer11.CCY">'Rating Summary'!$BT$17</definedName>
    <definedName name="DB.RatingSummary.NetBenchmarkPremium.Layer11.USD">'Rating Summary'!$BT$40</definedName>
    <definedName name="DB.RatingSummary.NetBenchmarkPremium.Layer12.CCY">'Rating Summary'!$BT$18</definedName>
    <definedName name="DB.RatingSummary.NetBenchmarkPremium.Layer12.USD">'Rating Summary'!$BT$41</definedName>
    <definedName name="DB.RatingSummary.NetBenchmarkPremium.Layer13.CCY">'Rating Summary'!$BT$19</definedName>
    <definedName name="DB.RatingSummary.NetBenchmarkPremium.Layer13.USD">'Rating Summary'!$BT$42</definedName>
    <definedName name="DB.RatingSummary.NetBenchmarkPremium.Layer14.CCY">'Rating Summary'!$BT$20</definedName>
    <definedName name="DB.RatingSummary.NetBenchmarkPremium.Layer14.USD">'Rating Summary'!$BT$43</definedName>
    <definedName name="DB.RatingSummary.NetBenchmarkPremium.Layer15.CCY">'Rating Summary'!$BT$21</definedName>
    <definedName name="DB.RatingSummary.NetBenchmarkPremium.Layer15.USD">'Rating Summary'!$BT$44</definedName>
    <definedName name="DB.RatingSummary.NetBenchmarkPremium.Layer16.CCY">'Rating Summary'!$BT$22</definedName>
    <definedName name="DB.RatingSummary.NetBenchmarkPremium.Layer16.USD">'Rating Summary'!$BT$45</definedName>
    <definedName name="DB.RatingSummary.NetBenchmarkPremium.Layer2.CCY">'Rating Summary'!$BT$8</definedName>
    <definedName name="DB.RatingSummary.NetBenchmarkPremium.Layer2.USD">'Rating Summary'!$BT$31</definedName>
    <definedName name="DB.RatingSummary.NetBenchmarkPremium.Layer3.CCY">'Rating Summary'!$BT$9</definedName>
    <definedName name="DB.RatingSummary.NetBenchmarkPremium.Layer3.USD">'Rating Summary'!$BT$32</definedName>
    <definedName name="DB.RatingSummary.NetBenchmarkPremium.Layer4.CCY">'Rating Summary'!$BT$10</definedName>
    <definedName name="DB.RatingSummary.NetBenchmarkPremium.Layer4.USD">'Rating Summary'!$BT$33</definedName>
    <definedName name="DB.RatingSummary.NetBenchmarkPremium.Layer5.CCY">'Rating Summary'!$BT$11</definedName>
    <definedName name="DB.RatingSummary.NetBenchmarkPremium.Layer5.USD">'Rating Summary'!$BT$34</definedName>
    <definedName name="DB.RatingSummary.NetBenchmarkPremium.Layer6.CCY">'Rating Summary'!$BT$12</definedName>
    <definedName name="DB.RatingSummary.NetBenchmarkPremium.Layer6.USD">'Rating Summary'!$BT$35</definedName>
    <definedName name="DB.RatingSummary.NetBenchmarkPremium.Layer7.CCY">'Rating Summary'!$BT$13</definedName>
    <definedName name="DB.RatingSummary.NetBenchmarkPremium.Layer7.USD">'Rating Summary'!$BT$36</definedName>
    <definedName name="DB.RatingSummary.NetBenchmarkPremium.Layer8.CCY">'Rating Summary'!$BT$14</definedName>
    <definedName name="DB.RatingSummary.NetBenchmarkPremium.Layer8.USD">'Rating Summary'!$BT$37</definedName>
    <definedName name="DB.RatingSummary.NetBenchmarkPremium.Layer9.CCY">'Rating Summary'!$BT$15</definedName>
    <definedName name="DB.RatingSummary.NetBenchmarkPremium.Layer9.USD">'Rating Summary'!$BT$38</definedName>
    <definedName name="DB.RatingSummary.NetPremium.Layer1.CCY">'Rating Summary'!$AY$7</definedName>
    <definedName name="DB.RatingSummary.NetPremium.Layer1.USD">'Rating Summary'!$AY$30</definedName>
    <definedName name="DB.RatingSummary.NetPremium.Layer10.CCY">'Rating Summary'!$AY$16</definedName>
    <definedName name="DB.RatingSummary.NetPremium.Layer10.USD">'Rating Summary'!$AY$39</definedName>
    <definedName name="DB.RatingSummary.NetPremium.Layer11.CCY">'Rating Summary'!$AY$17</definedName>
    <definedName name="DB.RatingSummary.NetPremium.Layer11.USD">'Rating Summary'!$AY$40</definedName>
    <definedName name="DB.RatingSummary.NetPremium.Layer12.CCY">'Rating Summary'!$AY$18</definedName>
    <definedName name="DB.RatingSummary.NetPremium.Layer12.USD">'Rating Summary'!$AY$41</definedName>
    <definedName name="DB.RatingSummary.NetPremium.Layer13.CCY">'Rating Summary'!$AY$19</definedName>
    <definedName name="DB.RatingSummary.NetPremium.Layer13.USD">'Rating Summary'!$AY$42</definedName>
    <definedName name="DB.RatingSummary.NetPremium.Layer14.CCY">'Rating Summary'!$AY$20</definedName>
    <definedName name="DB.RatingSummary.NetPremium.Layer14.USD">'Rating Summary'!$AY$43</definedName>
    <definedName name="DB.RatingSummary.NetPremium.Layer15.CCY">'Rating Summary'!$AY$21</definedName>
    <definedName name="DB.RatingSummary.NetPremium.Layer15.USD">'Rating Summary'!$AY$44</definedName>
    <definedName name="DB.RatingSummary.NetPremium.Layer16.CCY">'Rating Summary'!$AY$22</definedName>
    <definedName name="DB.RatingSummary.NetPremium.Layer16.USD">'Rating Summary'!$AY$45</definedName>
    <definedName name="DB.RatingSummary.NetPremium.Layer2.CCY">'Rating Summary'!$AY$8</definedName>
    <definedName name="DB.RatingSummary.NetPremium.Layer2.USD">'Rating Summary'!$AY$31</definedName>
    <definedName name="DB.RatingSummary.NetPremium.Layer3.CCY">'Rating Summary'!$AY$9</definedName>
    <definedName name="DB.RatingSummary.NetPremium.Layer3.USD">'Rating Summary'!$AY$32</definedName>
    <definedName name="DB.RatingSummary.NetPremium.Layer4.CCY">'Rating Summary'!$AY$10</definedName>
    <definedName name="DB.RatingSummary.NetPremium.Layer4.USD">'Rating Summary'!$AY$33</definedName>
    <definedName name="DB.RatingSummary.NetPremium.Layer5.CCY">'Rating Summary'!$AY$11</definedName>
    <definedName name="DB.RatingSummary.NetPremium.Layer5.USD">'Rating Summary'!$AY$34</definedName>
    <definedName name="DB.RatingSummary.NetPremium.Layer6.CCY">'Rating Summary'!$AY$12</definedName>
    <definedName name="DB.RatingSummary.NetPremium.Layer6.USD">'Rating Summary'!$AY$35</definedName>
    <definedName name="DB.RatingSummary.NetPremium.Layer7.CCY">'Rating Summary'!$AY$13</definedName>
    <definedName name="DB.RatingSummary.NetPremium.Layer7.USD">'Rating Summary'!$AY$36</definedName>
    <definedName name="DB.RatingSummary.NetPremium.Layer8.CCY">'Rating Summary'!$AY$14</definedName>
    <definedName name="DB.RatingSummary.NetPremium.Layer8.USD">'Rating Summary'!$AY$37</definedName>
    <definedName name="DB.RatingSummary.NetPremium.Layer9.CCY">'Rating Summary'!$AY$15</definedName>
    <definedName name="DB.RatingSummary.NetPremium.Layer9.USD">'Rating Summary'!$AY$38</definedName>
    <definedName name="DB.RatingSummary.NetPremiumToBeazley.Layer1.USD">'Rating Summary'!$BN$30</definedName>
    <definedName name="DB.RatingSummary.NetPremiumToBeazley.Layer10.USD">'Rating Summary'!$BN$39</definedName>
    <definedName name="DB.RatingSummary.NetPremiumToBeazley.Layer11.USD">'Rating Summary'!$BN$40</definedName>
    <definedName name="DB.RatingSummary.NetPremiumToBeazley.Layer12.USD">'Rating Summary'!$BN$41</definedName>
    <definedName name="DB.RatingSummary.NetPremiumToBeazley.Layer13.USD">'Rating Summary'!$BN$42</definedName>
    <definedName name="DB.RatingSummary.NetPremiumToBeazley.Layer14.USD">'Rating Summary'!$BN$43</definedName>
    <definedName name="DB.RatingSummary.NetPremiumToBeazley.Layer15.USD">'Rating Summary'!$BN$44</definedName>
    <definedName name="DB.RatingSummary.NetPremiumToBeazley.Layer16.USD">'Rating Summary'!$BN$45</definedName>
    <definedName name="DB.RatingSummary.NetPremiumToBeazley.Layer2.USD">'Rating Summary'!$BN$31</definedName>
    <definedName name="DB.RatingSummary.NetPremiumToBeazley.Layer3.USD">'Rating Summary'!$BN$32</definedName>
    <definedName name="DB.RatingSummary.NetPremiumToBeazley.Layer4.USD">'Rating Summary'!$BN$33</definedName>
    <definedName name="DB.RatingSummary.NetPremiumToBeazley.Layer5.USD">'Rating Summary'!$BN$34</definedName>
    <definedName name="DB.RatingSummary.NetPremiumToBeazley.Layer6.USD">'Rating Summary'!$BN$35</definedName>
    <definedName name="DB.RatingSummary.NetPremiumToBeazley.Layer7.USD">'Rating Summary'!$BN$36</definedName>
    <definedName name="DB.RatingSummary.NetPremiumToBeazley.Layer8.USD">'Rating Summary'!$BN$37</definedName>
    <definedName name="DB.RatingSummary.NetPremiumToBeazley.Layer9.USD">'Rating Summary'!$BN$38</definedName>
    <definedName name="DB.RatingSummary.NetRoL.Layer1.CCY">'Rating Summary'!$BO$7</definedName>
    <definedName name="DB.RatingSummary.NetRoL.Layer1.USD">'Rating Summary'!$BO$30</definedName>
    <definedName name="DB.RatingSummary.NetRoL.Layer10.CCY">'Rating Summary'!$BO$16</definedName>
    <definedName name="DB.RatingSummary.NetRoL.Layer10.USD">'Rating Summary'!$BO$39</definedName>
    <definedName name="DB.RatingSummary.NetRoL.Layer11.CCY">'Rating Summary'!$BO$17</definedName>
    <definedName name="DB.RatingSummary.NetRoL.Layer11.USD">'Rating Summary'!$BO$40</definedName>
    <definedName name="DB.RatingSummary.NetRoL.Layer12.CCY">'Rating Summary'!$BO$18</definedName>
    <definedName name="DB.RatingSummary.NetRoL.Layer12.USD">'Rating Summary'!$BO$41</definedName>
    <definedName name="DB.RatingSummary.NetRoL.Layer13.CCY">'Rating Summary'!$BO$19</definedName>
    <definedName name="DB.RatingSummary.NetRoL.Layer13.USD">'Rating Summary'!$BO$42</definedName>
    <definedName name="DB.RatingSummary.NetRoL.Layer14.CCY">'Rating Summary'!$BO$20</definedName>
    <definedName name="DB.RatingSummary.NetRoL.Layer14.USD">'Rating Summary'!$BO$43</definedName>
    <definedName name="DB.RatingSummary.NetRoL.Layer15.CCY">'Rating Summary'!$BO$21</definedName>
    <definedName name="DB.RatingSummary.NetRoL.Layer15.USD">'Rating Summary'!$BO$44</definedName>
    <definedName name="DB.RatingSummary.NetRoL.Layer16.CCY">'Rating Summary'!$BO$22</definedName>
    <definedName name="DB.RatingSummary.NetRoL.Layer16.USD">'Rating Summary'!$BO$45</definedName>
    <definedName name="DB.RatingSummary.NetRoL.Layer2.CCY">'Rating Summary'!$BO$8</definedName>
    <definedName name="DB.RatingSummary.NetRoL.Layer2.USD">'Rating Summary'!$BO$31</definedName>
    <definedName name="DB.RatingSummary.NetRoL.Layer3.CCY">'Rating Summary'!$BO$9</definedName>
    <definedName name="DB.RatingSummary.NetRoL.Layer3.USD">'Rating Summary'!$BO$32</definedName>
    <definedName name="DB.RatingSummary.NetRoL.Layer4.CCY">'Rating Summary'!$BO$10</definedName>
    <definedName name="DB.RatingSummary.NetRoL.Layer4.USD">'Rating Summary'!$BO$33</definedName>
    <definedName name="DB.RatingSummary.NetRoL.Layer5.CCY">'Rating Summary'!$BO$11</definedName>
    <definedName name="DB.RatingSummary.NetRoL.Layer5.USD">'Rating Summary'!$BO$34</definedName>
    <definedName name="DB.RatingSummary.NetRoL.Layer6.CCY">'Rating Summary'!$BO$12</definedName>
    <definedName name="DB.RatingSummary.NetRoL.Layer6.USD">'Rating Summary'!$BO$35</definedName>
    <definedName name="DB.RatingSummary.NetRoL.Layer7.CCY">'Rating Summary'!$BO$13</definedName>
    <definedName name="DB.RatingSummary.NetRoL.Layer7.USD">'Rating Summary'!$BO$36</definedName>
    <definedName name="DB.RatingSummary.NetRoL.Layer8.USD">'Rating Summary'!$BO$37</definedName>
    <definedName name="DB.RatingSummary.NetRoL.Layer9.CCY">'Rating Summary'!$BO$15</definedName>
    <definedName name="DB.RatingSummary.NetRoL.Layer9.USD">'Rating Summary'!$BO$38</definedName>
    <definedName name="DB.RatingSummary.NetTechnicalPremium.Layer1.CCY">'Rating Summary'!$BW$7</definedName>
    <definedName name="DB.RatingSummary.NetTechnicalPremium.Layer1.USD">'Rating Summary'!$BW$30</definedName>
    <definedName name="DB.RatingSummary.NetTechnicalPremium.Layer10.CCY">'Rating Summary'!$BW$16</definedName>
    <definedName name="DB.RatingSummary.NetTechnicalPremium.Layer10.USD">'Rating Summary'!$BW$39</definedName>
    <definedName name="DB.RatingSummary.NetTechnicalPremium.Layer11.CCY">'Rating Summary'!$BW$17</definedName>
    <definedName name="DB.RatingSummary.NetTechnicalPremium.Layer11.USD">'Rating Summary'!$BW$40</definedName>
    <definedName name="DB.RatingSummary.NetTechnicalPremium.Layer12.CCY">'Rating Summary'!$BW$18</definedName>
    <definedName name="DB.RatingSummary.NetTechnicalPremium.Layer12.USD">'Rating Summary'!$BW$41</definedName>
    <definedName name="DB.RatingSummary.NetTechnicalPremium.Layer13.CCY">'Rating Summary'!$BW$19</definedName>
    <definedName name="DB.RatingSummary.NetTechnicalPremium.Layer13.USD">'Rating Summary'!$BW$42</definedName>
    <definedName name="DB.RatingSummary.NetTechnicalPremium.Layer14.CCY">'Rating Summary'!$BW$20</definedName>
    <definedName name="DB.RatingSummary.NetTechnicalPremium.Layer14.USD">'Rating Summary'!$BW$43</definedName>
    <definedName name="DB.RatingSummary.NetTechnicalPremium.Layer15.CCY">'Rating Summary'!$BW$21</definedName>
    <definedName name="DB.RatingSummary.NetTechnicalPremium.Layer15.USD">'Rating Summary'!$BW$44</definedName>
    <definedName name="DB.RatingSummary.NetTechnicalPremium.Layer16.CCY">'Rating Summary'!$BW$22</definedName>
    <definedName name="DB.RatingSummary.NetTechnicalPremium.Layer16.USD">'Rating Summary'!$BW$45</definedName>
    <definedName name="DB.RatingSummary.NetTechnicalPremium.Layer2.CCY">'Rating Summary'!$BW$8</definedName>
    <definedName name="DB.RatingSummary.NetTechnicalPremium.Layer2.USD">'Rating Summary'!$BW$31</definedName>
    <definedName name="DB.RatingSummary.NetTechnicalPremium.Layer3.CCY">'Rating Summary'!$BW$9</definedName>
    <definedName name="DB.RatingSummary.NetTechnicalPremium.Layer3.USD">'Rating Summary'!$BW$32</definedName>
    <definedName name="DB.RatingSummary.NetTechnicalPremium.Layer4.CCY">'Rating Summary'!$BW$10</definedName>
    <definedName name="DB.RatingSummary.NetTechnicalPremium.Layer4.USD">'Rating Summary'!$BW$33</definedName>
    <definedName name="DB.RatingSummary.NetTechnicalPremium.Layer5.CCY">'Rating Summary'!$BW$11</definedName>
    <definedName name="DB.RatingSummary.NetTechnicalPremium.Layer5.USD">'Rating Summary'!$BW$34</definedName>
    <definedName name="DB.RatingSummary.NetTechnicalPremium.Layer6.CCY">'Rating Summary'!$BW$12</definedName>
    <definedName name="DB.RatingSummary.NetTechnicalPremium.Layer6.USD">'Rating Summary'!$BW$35</definedName>
    <definedName name="DB.RatingSummary.NetTechnicalPremium.Layer7.CCY">'Rating Summary'!$BW$13</definedName>
    <definedName name="DB.RatingSummary.NetTechnicalPremium.Layer7.USD">'Rating Summary'!$BW$36</definedName>
    <definedName name="DB.RatingSummary.NetTechnicalPremium.Layer8.CCY">'Rating Summary'!$BW$14</definedName>
    <definedName name="DB.RatingSummary.NetTechnicalPremium.Layer8.USD">'Rating Summary'!$BW$37</definedName>
    <definedName name="DB.RatingSummary.NetTechnicalPremium.Layer9.CCY">'Rating Summary'!$BW$15</definedName>
    <definedName name="DB.RatingSummary.NetTechnicalPremium.Layer9.USD">'Rating Summary'!$BW$38</definedName>
    <definedName name="DB.RatingSummary.PolRef.Layer1.Crime">'Rating Summary'!$BZ$7</definedName>
    <definedName name="DB.RatingSummary.PolRef.Layer1.Crime.USD">'Rating Summary'!$BZ$30</definedName>
    <definedName name="DB.RatingSummary.PolRef.Layer1.DandO">'Rating Summary'!$CB$7</definedName>
    <definedName name="DB.RatingSummary.PolRef.Layer1.DandO.USD">'Rating Summary'!$CB$30</definedName>
    <definedName name="DB.RatingSummary.PolRef.Layer1.PI">'Rating Summary'!$CA$7</definedName>
    <definedName name="DB.RatingSummary.PolRef.Layer1.PI.USD">'Rating Summary'!$CA$30</definedName>
    <definedName name="DB.RatingSummary.PolRef.Layer10.Crime">'Rating Summary'!$BZ$16</definedName>
    <definedName name="DB.RatingSummary.PolRef.Layer10.Crime.USD">'Rating Summary'!$BZ$39</definedName>
    <definedName name="DB.RatingSummary.PolRef.Layer10.DandO">'Rating Summary'!$CB$16</definedName>
    <definedName name="DB.RatingSummary.PolRef.Layer10.DandO.USD">'Rating Summary'!$CB$39</definedName>
    <definedName name="DB.RatingSummary.PolRef.Layer10.PI">'Rating Summary'!$CA$16</definedName>
    <definedName name="DB.RatingSummary.PolRef.Layer10.PI.USD">'Rating Summary'!$CA$39</definedName>
    <definedName name="DB.RatingSummary.PolRef.Layer11.Crime">'Rating Summary'!$BZ$17</definedName>
    <definedName name="DB.RatingSummary.PolRef.Layer11.Crime.USD">'Rating Summary'!$BZ$40</definedName>
    <definedName name="DB.RatingSummary.PolRef.Layer11.DandO">'Rating Summary'!$CB$17</definedName>
    <definedName name="DB.RatingSummary.PolRef.Layer11.DandO.USD">'Rating Summary'!$CB$40</definedName>
    <definedName name="DB.RatingSummary.PolRef.Layer11.PI">'Rating Summary'!$CA$17</definedName>
    <definedName name="DB.RatingSummary.PolRef.Layer11.PI.USD">'Rating Summary'!$CA$40</definedName>
    <definedName name="DB.RatingSummary.PolRef.Layer12.Crime">'Rating Summary'!$BZ$18</definedName>
    <definedName name="DB.RatingSummary.PolRef.Layer12.Crime.USD">'Rating Summary'!$BZ$41</definedName>
    <definedName name="DB.RatingSummary.PolRef.Layer12.DandO">'Rating Summary'!$CB$18</definedName>
    <definedName name="DB.RatingSummary.PolRef.Layer12.DandO.USD">'Rating Summary'!$CB$41</definedName>
    <definedName name="DB.RatingSummary.PolRef.Layer12.PI">'Rating Summary'!$CA$18</definedName>
    <definedName name="DB.RatingSummary.PolRef.Layer12.PI.USD">'Rating Summary'!$CA$41</definedName>
    <definedName name="DB.RatingSummary.PolRef.Layer13.Crime">'Rating Summary'!$BZ$19</definedName>
    <definedName name="DB.RatingSummary.PolRef.Layer13.Crime.USD">'Rating Summary'!$BZ$42</definedName>
    <definedName name="DB.RatingSummary.PolRef.Layer13.DandO">'Rating Summary'!$CB$19</definedName>
    <definedName name="DB.RatingSummary.PolRef.Layer13.DandO.USD">'Rating Summary'!$CB$42</definedName>
    <definedName name="DB.RatingSummary.PolRef.Layer13.PI">'Rating Summary'!$CA$19</definedName>
    <definedName name="DB.RatingSummary.PolRef.Layer13.PI.USD">'Rating Summary'!$CA$42</definedName>
    <definedName name="DB.RatingSummary.PolRef.Layer14.Crime">'Rating Summary'!$BZ$20</definedName>
    <definedName name="DB.RatingSummary.PolRef.Layer14.Crime.USD">'Rating Summary'!$BZ$43</definedName>
    <definedName name="DB.RatingSummary.PolRef.Layer14.DandO">'Rating Summary'!$CB$20</definedName>
    <definedName name="DB.RatingSummary.PolRef.Layer14.DandO.USD">'Rating Summary'!$CB$43</definedName>
    <definedName name="DB.RatingSummary.PolRef.Layer14.PI">'Rating Summary'!$CA$20</definedName>
    <definedName name="DB.RatingSummary.PolRef.Layer14.PI.USD">'Rating Summary'!$CA$43</definedName>
    <definedName name="DB.RatingSummary.PolRef.Layer15.Crime">'Rating Summary'!$BZ$21</definedName>
    <definedName name="DB.RatingSummary.PolRef.Layer15.Crime.USD">'Rating Summary'!$BZ$44</definedName>
    <definedName name="DB.RatingSummary.PolRef.Layer15.DandO">'Rating Summary'!$CB$21</definedName>
    <definedName name="DB.RatingSummary.PolRef.Layer15.DandO.USD">'Rating Summary'!$CB$44</definedName>
    <definedName name="DB.RatingSummary.PolRef.Layer15.PI">'Rating Summary'!$CA$21</definedName>
    <definedName name="DB.RatingSummary.PolRef.Layer15.PI.USD">'Rating Summary'!$CA$44</definedName>
    <definedName name="DB.RatingSummary.PolRef.Layer16.Crime">'Rating Summary'!$BZ$22</definedName>
    <definedName name="DB.RatingSummary.PolRef.Layer16.Crime.USD">'Rating Summary'!$BZ$45</definedName>
    <definedName name="DB.RatingSummary.PolRef.Layer16.DandO">'Rating Summary'!$CB$22</definedName>
    <definedName name="DB.RatingSummary.PolRef.Layer16.DandO.USD">'Rating Summary'!$CB$45</definedName>
    <definedName name="DB.RatingSummary.PolRef.Layer16.PI">'Rating Summary'!$CA$22</definedName>
    <definedName name="DB.RatingSummary.PolRef.Layer16.PI.USD">'Rating Summary'!$CA$45</definedName>
    <definedName name="DB.RatingSummary.PolRef.Layer17.DandO">'Rating Summary'!$CB$22</definedName>
    <definedName name="DB.RatingSummary.PolRef.Layer2.Crime">'Rating Summary'!$BZ$8</definedName>
    <definedName name="DB.RatingSummary.PolRef.Layer2.Crime.USD">'Rating Summary'!$BZ$31</definedName>
    <definedName name="DB.RatingSummary.PolRef.Layer2.DandO">'Rating Summary'!$CB$8</definedName>
    <definedName name="DB.RatingSummary.PolRef.Layer2.DandO.USD">'Rating Summary'!$CB$31</definedName>
    <definedName name="DB.RatingSummary.PolRef.Layer2.PI">'Rating Summary'!$CA$8</definedName>
    <definedName name="DB.RatingSummary.PolRef.Layer2.PI.USD">'Rating Summary'!$CA$31</definedName>
    <definedName name="DB.RatingSummary.PolRef.Layer3.Crime">'Rating Summary'!$BZ$9</definedName>
    <definedName name="DB.RatingSummary.PolRef.Layer3.Crime.USD">'Rating Summary'!$BZ$32</definedName>
    <definedName name="DB.RatingSummary.PolRef.Layer3.DandO">'Rating Summary'!$CB$9</definedName>
    <definedName name="DB.RatingSummary.PolRef.Layer3.DandO.USD">'Rating Summary'!$CB$32</definedName>
    <definedName name="DB.RatingSummary.PolRef.Layer3.PI">'Rating Summary'!$CA$9</definedName>
    <definedName name="DB.RatingSummary.PolRef.Layer3.PI.USD">'Rating Summary'!$CA$32</definedName>
    <definedName name="DB.RatingSummary.PolRef.Layer4.Crime">'Rating Summary'!$BZ$10</definedName>
    <definedName name="DB.RatingSummary.PolRef.Layer4.Crime.USD">'Rating Summary'!$BZ$33</definedName>
    <definedName name="DB.RatingSummary.PolRef.Layer4.DandO">'Rating Summary'!$CB$10</definedName>
    <definedName name="DB.RatingSummary.PolRef.Layer4.DandO.USD">'Rating Summary'!$CB$33</definedName>
    <definedName name="DB.RatingSummary.PolRef.Layer4.PI">'Rating Summary'!$CA$10</definedName>
    <definedName name="DB.RatingSummary.PolRef.Layer4.PI.USD">'Rating Summary'!$CA$33</definedName>
    <definedName name="DB.RatingSummary.PolRef.Layer5.Crime">'Rating Summary'!$BZ$11</definedName>
    <definedName name="DB.RatingSummary.PolRef.Layer5.Crime.USD">'Rating Summary'!$BZ$34</definedName>
    <definedName name="DB.RatingSummary.PolRef.Layer5.DandO">'Rating Summary'!$CB$11</definedName>
    <definedName name="DB.RatingSummary.PolRef.Layer5.DandO.USD">'Rating Summary'!$CB$34</definedName>
    <definedName name="DB.RatingSummary.PolRef.Layer5.PI">'Rating Summary'!$CA$11</definedName>
    <definedName name="DB.RatingSummary.PolRef.Layer5.PI.USD">'Rating Summary'!$CA$34</definedName>
    <definedName name="DB.RatingSummary.PolRef.Layer6.Crime">'Rating Summary'!$BZ$12</definedName>
    <definedName name="DB.RatingSummary.PolRef.Layer6.Crime.USD">'Rating Summary'!$BZ$35</definedName>
    <definedName name="DB.RatingSummary.PolRef.Layer6.DandO">'Rating Summary'!$CB$12</definedName>
    <definedName name="DB.RatingSummary.PolRef.Layer6.DandO.USD">'Rating Summary'!$CB$35</definedName>
    <definedName name="DB.RatingSummary.PolRef.Layer6.PI">'Rating Summary'!$CA$12</definedName>
    <definedName name="DB.RatingSummary.PolRef.Layer6.PI.USD">'Rating Summary'!$CA$35</definedName>
    <definedName name="DB.RatingSummary.PolRef.Layer7.Crime">'Rating Summary'!$BZ$13</definedName>
    <definedName name="DB.RatingSummary.PolRef.Layer7.Crime.USD">'Rating Summary'!$BZ$36</definedName>
    <definedName name="DB.RatingSummary.PolRef.Layer7.DandO">'Rating Summary'!$CB$13</definedName>
    <definedName name="DB.RatingSummary.PolRef.Layer7.DandO.USD">'Rating Summary'!$CB$36</definedName>
    <definedName name="DB.RatingSummary.PolRef.Layer7.PI">'Rating Summary'!$CA$13</definedName>
    <definedName name="DB.RatingSummary.PolRef.Layer7.PI.USD">'Rating Summary'!$CA$36</definedName>
    <definedName name="DB.RatingSummary.PolRef.Layer8.Crime">'Rating Summary'!$BZ$14</definedName>
    <definedName name="DB.RatingSummary.PolRef.Layer8.Crime.USD">'Rating Summary'!$BZ$37</definedName>
    <definedName name="DB.RatingSummary.PolRef.Layer8.DandO">'Rating Summary'!$CB$14</definedName>
    <definedName name="DB.RatingSummary.PolRef.Layer8.DandO.USD">'Rating Summary'!$CB$37</definedName>
    <definedName name="DB.RatingSummary.PolRef.Layer8.PI">'Rating Summary'!$CA$14</definedName>
    <definedName name="DB.RatingSummary.PolRef.Layer8.PI.USD">'Rating Summary'!$CA$37</definedName>
    <definedName name="DB.RatingSummary.PolRef.Layer9.Crime">'Rating Summary'!$BZ$15</definedName>
    <definedName name="DB.RatingSummary.PolRef.Layer9.Crime.USD">'Rating Summary'!$BZ$38</definedName>
    <definedName name="DB.RatingSummary.PolRef.Layer9.DandO">'Rating Summary'!$CB$15</definedName>
    <definedName name="DB.RatingSummary.PolRef.Layer9.DandO.USD">'Rating Summary'!$CB$38</definedName>
    <definedName name="DB.RatingSummary.PolRef.Layer9.PI">'Rating Summary'!$CA$15</definedName>
    <definedName name="DB.RatingSummary.PolRef.Layer9.PI.USD">'Rating Summary'!$CA$38</definedName>
    <definedName name="DB.RatingSummary.PolRef2.Layer1.Crime">'Rating Summary'!$CC$7</definedName>
    <definedName name="DB.RatingSummary.PolRef2.Layer1.Crime.USD">'Rating Summary'!$CC$30</definedName>
    <definedName name="DB.RatingSummary.PolRef2.Layer1.DandO">'Rating Summary'!$CE$7</definedName>
    <definedName name="DB.RatingSummary.PolRef2.Layer1.DandO.USD">'Rating Summary'!$CE$30</definedName>
    <definedName name="DB.RatingSummary.PolRef2.Layer1.PI">'Rating Summary'!$CD$7</definedName>
    <definedName name="DB.RatingSummary.PolRef2.Layer1.PI.USD">'Rating Summary'!$CD$30</definedName>
    <definedName name="DB.RatingSummary.PolRef2.Layer10.Crime">'Rating Summary'!$CC$16</definedName>
    <definedName name="DB.RatingSummary.PolRef2.Layer10.Crime.USD">'Rating Summary'!$CC$39</definedName>
    <definedName name="DB.RatingSummary.PolRef2.Layer10.DandO">'Rating Summary'!$CE$16</definedName>
    <definedName name="DB.RatingSummary.PolRef2.Layer10.DandO.USD">'Rating Summary'!$CE$39</definedName>
    <definedName name="DB.RatingSummary.PolRef2.Layer10.PI">'Rating Summary'!$CD$16</definedName>
    <definedName name="DB.RatingSummary.PolRef2.Layer10.PI.USD">'Rating Summary'!$CD$39</definedName>
    <definedName name="DB.RatingSummary.PolRef2.Layer11.Crime">'Rating Summary'!$CC$17</definedName>
    <definedName name="DB.RatingSummary.PolRef2.Layer11.Crime.USD">'Rating Summary'!$CC$40</definedName>
    <definedName name="DB.RatingSummary.PolRef2.Layer11.DandO">'Rating Summary'!$CE$17</definedName>
    <definedName name="DB.RatingSummary.PolRef2.Layer11.DandO.USD">'Rating Summary'!$CE$40</definedName>
    <definedName name="DB.RatingSummary.PolRef2.Layer11.PI">'Rating Summary'!$CD$17</definedName>
    <definedName name="DB.RatingSummary.PolRef2.Layer11.PI.USD">'Rating Summary'!$CD$40</definedName>
    <definedName name="DB.RatingSummary.PolRef2.Layer12.Crime">'Rating Summary'!$CC$18</definedName>
    <definedName name="DB.RatingSummary.PolRef2.Layer12.Crime.USD">'Rating Summary'!$CC$41</definedName>
    <definedName name="DB.RatingSummary.PolRef2.Layer12.DandO">'Rating Summary'!$CE$18</definedName>
    <definedName name="DB.RatingSummary.PolRef2.Layer12.DandO.USD">'Rating Summary'!$CE$41</definedName>
    <definedName name="DB.RatingSummary.PolRef2.Layer12.PI">'Rating Summary'!$CD$18</definedName>
    <definedName name="DB.RatingSummary.PolRef2.Layer12.PI.USD">'Rating Summary'!$CD$41</definedName>
    <definedName name="DB.RatingSummary.PolRef2.Layer13.Crime">'Rating Summary'!$CC$19</definedName>
    <definedName name="DB.RatingSummary.PolRef2.Layer13.Crime.USD">'Rating Summary'!$CC$42</definedName>
    <definedName name="DB.RatingSummary.PolRef2.Layer13.DandO">'Rating Summary'!$CE$19</definedName>
    <definedName name="DB.RatingSummary.PolRef2.Layer13.DandO.USD">'Rating Summary'!$CE$42</definedName>
    <definedName name="DB.RatingSummary.PolRef2.Layer13.PI">'Rating Summary'!$CD$19</definedName>
    <definedName name="DB.RatingSummary.PolRef2.Layer13.PI.USD">'Rating Summary'!$CD$42</definedName>
    <definedName name="DB.RatingSummary.PolRef2.Layer14.Crime">'Rating Summary'!$CC$20</definedName>
    <definedName name="DB.RatingSummary.PolRef2.Layer14.Crime.USD">'Rating Summary'!$CC$43</definedName>
    <definedName name="DB.RatingSummary.PolRef2.Layer14.DandO">'Rating Summary'!$CE$20</definedName>
    <definedName name="DB.RatingSummary.PolRef2.Layer14.DandO.USD">'Rating Summary'!$CE$43</definedName>
    <definedName name="DB.RatingSummary.PolRef2.Layer14.PI">'Rating Summary'!$CD$20</definedName>
    <definedName name="DB.RatingSummary.PolRef2.Layer14.PI.USD">'Rating Summary'!$CD$43</definedName>
    <definedName name="DB.RatingSummary.PolRef2.Layer15.Crime">'Rating Summary'!$CC$21</definedName>
    <definedName name="DB.RatingSummary.PolRef2.Layer15.Crime.USD">'Rating Summary'!$CC$44</definedName>
    <definedName name="DB.RatingSummary.PolRef2.Layer15.DandO">'Rating Summary'!$CE$21</definedName>
    <definedName name="DB.RatingSummary.PolRef2.Layer15.DandO.USD">'Rating Summary'!$CE$44</definedName>
    <definedName name="DB.RatingSummary.PolRef2.Layer15.PI">'Rating Summary'!$CD$21</definedName>
    <definedName name="DB.RatingSummary.PolRef2.Layer15.PI.USD">'Rating Summary'!$CD$44</definedName>
    <definedName name="DB.RatingSummary.PolRef2.Layer16.Crime">'Rating Summary'!$CC$22</definedName>
    <definedName name="DB.RatingSummary.PolRef2.Layer16.Crime.USD">'Rating Summary'!$CC$45</definedName>
    <definedName name="DB.RatingSummary.PolRef2.Layer16.DandO">'Rating Summary'!$CE$22</definedName>
    <definedName name="DB.RatingSummary.PolRef2.Layer16.DandO.USD">'Rating Summary'!$CE$45</definedName>
    <definedName name="DB.RatingSummary.PolRef2.Layer16.PI">'Rating Summary'!$CD$22</definedName>
    <definedName name="DB.RatingSummary.PolRef2.Layer16.PI.USD">'Rating Summary'!$CD$45</definedName>
    <definedName name="DB.RatingSummary.PolRef2.Layer2.Crime">'Rating Summary'!$CC$8</definedName>
    <definedName name="DB.RatingSummary.PolRef2.Layer2.Crime.USD">'Rating Summary'!$CC$31</definedName>
    <definedName name="DB.RatingSummary.PolRef2.Layer2.DandO">'Rating Summary'!$CE$8</definedName>
    <definedName name="DB.RatingSummary.PolRef2.Layer2.DandO.USD">'Rating Summary'!$CE$31</definedName>
    <definedName name="DB.RatingSummary.PolRef2.Layer2.PI">'Rating Summary'!$CD$8</definedName>
    <definedName name="DB.RatingSummary.PolRef2.Layer2.PI.USD">'Rating Summary'!$CD$31</definedName>
    <definedName name="DB.RatingSummary.PolRef2.Layer3.Crime">'Rating Summary'!$CC$9</definedName>
    <definedName name="DB.RatingSummary.PolRef2.Layer3.Crime.USD">'Rating Summary'!$CC$32</definedName>
    <definedName name="DB.RatingSummary.PolRef2.Layer3.DandO">'Rating Summary'!$CE$9</definedName>
    <definedName name="DB.RatingSummary.PolRef2.Layer3.DandO.USD">'Rating Summary'!$CE$32</definedName>
    <definedName name="DB.RatingSummary.PolRef2.Layer3.PI">'Rating Summary'!$CD$9</definedName>
    <definedName name="DB.RatingSummary.PolRef2.Layer3.PI.USD">'Rating Summary'!$CD$32</definedName>
    <definedName name="DB.RatingSummary.PolRef2.Layer4.Crime">'Rating Summary'!$CC$10</definedName>
    <definedName name="DB.RatingSummary.PolRef2.Layer4.Crime.USD">'Rating Summary'!$CC$33</definedName>
    <definedName name="DB.RatingSummary.PolRef2.Layer4.DandO">'Rating Summary'!$CE$10</definedName>
    <definedName name="DB.RatingSummary.PolRef2.Layer4.DandO.USD">'Rating Summary'!$CE$33</definedName>
    <definedName name="DB.RatingSummary.PolRef2.Layer4.PI">'Rating Summary'!$CD$10</definedName>
    <definedName name="DB.RatingSummary.PolRef2.Layer4.PI.USD">'Rating Summary'!$CD$33</definedName>
    <definedName name="DB.RatingSummary.PolRef2.Layer5.Crime">'Rating Summary'!$CC$11</definedName>
    <definedName name="DB.RatingSummary.PolRef2.Layer5.Crime.USD">'Rating Summary'!$CC$34</definedName>
    <definedName name="DB.RatingSummary.PolRef2.Layer5.DandO">'Rating Summary'!$CE$11</definedName>
    <definedName name="DB.RatingSummary.PolRef2.Layer5.DandO.USD">'Rating Summary'!$CE$34</definedName>
    <definedName name="DB.RatingSummary.PolRef2.Layer5.PI">'Rating Summary'!$CD$11</definedName>
    <definedName name="DB.RatingSummary.PolRef2.Layer5.PI.USD">'Rating Summary'!$CD$34</definedName>
    <definedName name="DB.RatingSummary.PolRef2.Layer6.Crime">'Rating Summary'!$CC$12</definedName>
    <definedName name="DB.RatingSummary.PolRef2.Layer6.Crime.USD">'Rating Summary'!$CC$35</definedName>
    <definedName name="DB.RatingSummary.PolRef2.Layer6.DandO">'Rating Summary'!$CE$12</definedName>
    <definedName name="DB.RatingSummary.PolRef2.Layer6.DandO.USD">'Rating Summary'!$CE$35</definedName>
    <definedName name="DB.RatingSummary.PolRef2.Layer6.PI">'Rating Summary'!$CD$12</definedName>
    <definedName name="DB.RatingSummary.PolRef2.Layer6.PI.USD">'Rating Summary'!$CD$35</definedName>
    <definedName name="DB.RatingSummary.PolRef2.Layer7.Crime">'Rating Summary'!$CC$13</definedName>
    <definedName name="DB.RatingSummary.PolRef2.Layer7.Crime.USD">'Rating Summary'!$CC$36</definedName>
    <definedName name="DB.RatingSummary.PolRef2.Layer7.DandO">'Rating Summary'!$CE$13</definedName>
    <definedName name="DB.RatingSummary.PolRef2.Layer7.DandO.USD">'Rating Summary'!$CE$36</definedName>
    <definedName name="DB.RatingSummary.PolRef2.Layer7.PI">'Rating Summary'!$CD$13</definedName>
    <definedName name="DB.RatingSummary.PolRef2.Layer7.PI.USD">'Rating Summary'!$CD$36</definedName>
    <definedName name="DB.RatingSummary.PolRef2.Layer8.Crime">'Rating Summary'!$CC$14</definedName>
    <definedName name="DB.RatingSummary.PolRef2.Layer8.Crime.USD">'Rating Summary'!$CC$37</definedName>
    <definedName name="DB.RatingSummary.PolRef2.Layer8.DandO">'Rating Summary'!$CE$14</definedName>
    <definedName name="DB.RatingSummary.PolRef2.Layer8.DandO.USD">'Rating Summary'!$CE$37</definedName>
    <definedName name="DB.RatingSummary.PolRef2.Layer8.PI">'Rating Summary'!$CD$14</definedName>
    <definedName name="DB.RatingSummary.PolRef2.Layer8.PI.USD">'Rating Summary'!$CD$37</definedName>
    <definedName name="DB.RatingSummary.PolRef2.Layer9.Crime">'Rating Summary'!$CC$15</definedName>
    <definedName name="DB.RatingSummary.PolRef2.Layer9.Crime.USD">'Rating Summary'!$CC$38</definedName>
    <definedName name="DB.RatingSummary.PolRef2.Layer9.DandO">'Rating Summary'!$CE$15</definedName>
    <definedName name="DB.RatingSummary.PolRef2.Layer9.DandO.USD">'Rating Summary'!$CE$38</definedName>
    <definedName name="DB.RatingSummary.PolRef2.Layer9.PI">'Rating Summary'!$CD$15</definedName>
    <definedName name="DB.RatingSummary.PolRef2.Layer9.PI.USD">'Rating Summary'!$CD$38</definedName>
    <definedName name="DB.RatingSummary.RTCReinstatements.Layer1.Cover1.CCY">'Rating Summary'!$AG$7</definedName>
    <definedName name="DB.RatingSummary.RTCReinstatements.Layer1.Cover1.USD">'Rating Summary'!$AG$30</definedName>
    <definedName name="DB.RatingSummary.RTCReinstatements.Layer1.Cover2.CCY">'Rating Summary'!$AH$7</definedName>
    <definedName name="DB.RatingSummary.RTCReinstatements.Layer1.Cover2.USD">'Rating Summary'!$AH$30</definedName>
    <definedName name="DB.RatingSummary.RTCReinstatements.Layer1.Cover3.CCY">'Rating Summary'!$AI$7</definedName>
    <definedName name="DB.RatingSummary.RTCReinstatements.Layer1.Cover3.USD">'Rating Summary'!$AI$30</definedName>
    <definedName name="DB.RatingSummary.RTCReinstatements.Layer1.Cover4.CCY">'Rating Summary'!$AJ$7</definedName>
    <definedName name="DB.RatingSummary.RTCReinstatements.Layer1.Cover4.USD">'Rating Summary'!$AJ$30</definedName>
    <definedName name="DB.RatingSummary.RTCReinstatements.Layer1.Cover5.CCY">'Rating Summary'!$AK$7</definedName>
    <definedName name="DB.RatingSummary.RTCReinstatements.Layer1.Cover5.USD">'Rating Summary'!$AK$30</definedName>
    <definedName name="DB.RatingSummary.RTCReinstatements.Layer1.Cover6.CCY">'Rating Summary'!$AL$7</definedName>
    <definedName name="DB.RatingSummary.RTCReinstatements.Layer1.Cover6.USD">'Rating Summary'!$AL$30</definedName>
    <definedName name="DB.RatingSummary.RTCReinstatements.Layer10.Cover1.CCY">'Rating Summary'!$AG$16</definedName>
    <definedName name="DB.RatingSummary.RTCReinstatements.Layer10.Cover1.USD">'Rating Summary'!$AG$39</definedName>
    <definedName name="DB.RatingSummary.RTCReinstatements.Layer10.Cover2.CCY">'Rating Summary'!$AH$16</definedName>
    <definedName name="DB.RatingSummary.RTCReinstatements.Layer10.Cover2.USD">'Rating Summary'!$AH$39</definedName>
    <definedName name="DB.RatingSummary.RTCReinstatements.Layer10.Cover3.CCY">'Rating Summary'!$AI$16</definedName>
    <definedName name="DB.RatingSummary.RTCReinstatements.Layer10.Cover3.USD">'Rating Summary'!$AI$39</definedName>
    <definedName name="DB.RatingSummary.RTCReinstatements.Layer10.Cover4.CCY">'Rating Summary'!$AJ$16</definedName>
    <definedName name="DB.RatingSummary.RTCReinstatements.Layer10.Cover4.USD">'Rating Summary'!$AJ$39</definedName>
    <definedName name="DB.RatingSummary.RTCReinstatements.Layer10.Cover5.CCY">'Rating Summary'!$AK$16</definedName>
    <definedName name="DB.RatingSummary.RTCReinstatements.Layer10.Cover5.USD">'Rating Summary'!$AK$39</definedName>
    <definedName name="DB.RatingSummary.RTCReinstatements.Layer10.Cover6.CCY">'Rating Summary'!$AL$16</definedName>
    <definedName name="DB.RatingSummary.RTCReinstatements.Layer10.Cover6.USD">'Rating Summary'!$AL$39</definedName>
    <definedName name="DB.RatingSummary.RTCReinstatements.Layer11.Cover1.CCY">'Rating Summary'!$AG$17</definedName>
    <definedName name="DB.RatingSummary.RTCReinstatements.Layer11.Cover1.USD">'Rating Summary'!$AG$40</definedName>
    <definedName name="DB.RatingSummary.RTCReinstatements.Layer11.Cover2.CCY">'Rating Summary'!$AH$17</definedName>
    <definedName name="DB.RatingSummary.RTCReinstatements.Layer11.Cover2.USD">'Rating Summary'!$AH$40</definedName>
    <definedName name="DB.RatingSummary.RTCReinstatements.Layer11.Cover3.CCY">'Rating Summary'!$AI$17</definedName>
    <definedName name="DB.RatingSummary.RTCReinstatements.Layer11.Cover3.USD">'Rating Summary'!$AI$40</definedName>
    <definedName name="DB.RatingSummary.RTCReinstatements.Layer11.Cover4.CCY">'Rating Summary'!$AJ$17</definedName>
    <definedName name="DB.RatingSummary.RTCReinstatements.Layer11.Cover4.USD">'Rating Summary'!$AJ$40</definedName>
    <definedName name="DB.RatingSummary.RTCReinstatements.Layer11.Cover5.CCY">'Rating Summary'!$AK$17</definedName>
    <definedName name="DB.RatingSummary.RTCReinstatements.Layer11.Cover5.USD">'Rating Summary'!$AK$40</definedName>
    <definedName name="DB.RatingSummary.RTCReinstatements.Layer11.Cover6.CCY">'Rating Summary'!$AL$17</definedName>
    <definedName name="DB.RatingSummary.RTCReinstatements.Layer11.Cover6.USD">'Rating Summary'!$AL$40</definedName>
    <definedName name="DB.RatingSummary.RTCReinstatements.Layer12.Cover1.CCY">'Rating Summary'!$AG$18</definedName>
    <definedName name="DB.RatingSummary.RTCReinstatements.Layer12.Cover1.USD">'Rating Summary'!$AG$41</definedName>
    <definedName name="DB.RatingSummary.RTCReinstatements.Layer12.Cover2.CCY">'Rating Summary'!$AH$18</definedName>
    <definedName name="DB.RatingSummary.RTCReinstatements.Layer12.Cover2.USD">'Rating Summary'!$AH$41</definedName>
    <definedName name="DB.RatingSummary.RTCReinstatements.Layer12.Cover3.CCY">'Rating Summary'!$AI$18</definedName>
    <definedName name="DB.RatingSummary.RTCReinstatements.Layer12.Cover3.USD">'Rating Summary'!$AI$41</definedName>
    <definedName name="DB.RatingSummary.RTCReinstatements.Layer12.Cover4.CCY">'Rating Summary'!$AJ$18</definedName>
    <definedName name="DB.RatingSummary.RTCReinstatements.Layer12.Cover4.USD">'Rating Summary'!$AJ$41</definedName>
    <definedName name="DB.RatingSummary.RTCReinstatements.Layer12.Cover5.CCY">'Rating Summary'!$AK$18</definedName>
    <definedName name="DB.RatingSummary.RTCReinstatements.Layer12.Cover5.USD">'Rating Summary'!$AK$41</definedName>
    <definedName name="DB.RatingSummary.RTCReinstatements.Layer12.Cover6.CCY">'Rating Summary'!$AL$18</definedName>
    <definedName name="DB.RatingSummary.RTCReinstatements.Layer12.Cover6.USD">'Rating Summary'!$AL$41</definedName>
    <definedName name="DB.RatingSummary.RTCReinstatements.Layer13.Cover1.CCY">'Rating Summary'!$AG$19</definedName>
    <definedName name="DB.RatingSummary.RTCReinstatements.Layer13.Cover1.USD">'Rating Summary'!$AG$42</definedName>
    <definedName name="DB.RatingSummary.RTCReinstatements.Layer13.Cover2.CCY">'Rating Summary'!$AH$19</definedName>
    <definedName name="DB.RatingSummary.RTCReinstatements.Layer13.Cover2.USD">'Rating Summary'!$AH$42</definedName>
    <definedName name="DB.RatingSummary.RTCReinstatements.Layer13.Cover3.CCY">'Rating Summary'!$AI$19</definedName>
    <definedName name="DB.RatingSummary.RTCReinstatements.Layer13.Cover3.USD">'Rating Summary'!$AI$42</definedName>
    <definedName name="DB.RatingSummary.RTCReinstatements.Layer13.Cover4.CCY">'Rating Summary'!$AJ$19</definedName>
    <definedName name="DB.RatingSummary.RTCReinstatements.Layer13.Cover4.USD">'Rating Summary'!$AJ$42</definedName>
    <definedName name="DB.RatingSummary.RTCReinstatements.Layer13.Cover5.CCY">'Rating Summary'!$AK$19</definedName>
    <definedName name="DB.RatingSummary.RTCReinstatements.Layer13.Cover5.USD">'Rating Summary'!$AK$42</definedName>
    <definedName name="DB.RatingSummary.RTCReinstatements.Layer13.Cover6.CCY">'Rating Summary'!$AL$19</definedName>
    <definedName name="DB.RatingSummary.RTCReinstatements.Layer13.Cover6.USD">'Rating Summary'!$AL$42</definedName>
    <definedName name="DB.RatingSummary.RTCReinstatements.Layer14.Cover1.CCY">'Rating Summary'!$AG$20</definedName>
    <definedName name="DB.RatingSummary.RTCReinstatements.Layer14.Cover1.USD">'Rating Summary'!$AG$43</definedName>
    <definedName name="DB.RatingSummary.RTCReinstatements.Layer14.Cover2.CCY">'Rating Summary'!$AH$20</definedName>
    <definedName name="DB.RatingSummary.RTCReinstatements.Layer14.Cover2.USD">'Rating Summary'!$AH$43</definedName>
    <definedName name="DB.RatingSummary.RTCReinstatements.Layer14.Cover3.CCY">'Rating Summary'!$AI$20</definedName>
    <definedName name="DB.RatingSummary.RTCReinstatements.Layer14.Cover3.USD">'Rating Summary'!$AI$43</definedName>
    <definedName name="DB.RatingSummary.RTCReinstatements.Layer14.Cover4.CCY">'Rating Summary'!$AJ$20</definedName>
    <definedName name="DB.RatingSummary.RTCReinstatements.Layer14.Cover4.USD">'Rating Summary'!$AJ$43</definedName>
    <definedName name="DB.RatingSummary.RTCReinstatements.Layer14.Cover5.CCY">'Rating Summary'!$AK$20</definedName>
    <definedName name="DB.RatingSummary.RTCReinstatements.Layer14.Cover5.USD">'Rating Summary'!$AK$43</definedName>
    <definedName name="DB.RatingSummary.RTCReinstatements.Layer14.Cover6.CCY">'Rating Summary'!$AL$20</definedName>
    <definedName name="DB.RatingSummary.RTCReinstatements.Layer14.Cover6.USD">'Rating Summary'!$AL$43</definedName>
    <definedName name="DB.RatingSummary.RTCReinstatements.Layer15.Cover1.CCY">'Rating Summary'!$AG$21</definedName>
    <definedName name="DB.RatingSummary.RTCReinstatements.Layer15.Cover1.USD">'Rating Summary'!$AG$44</definedName>
    <definedName name="DB.RatingSummary.RTCReinstatements.Layer15.Cover2.CCY">'Rating Summary'!$AH$21</definedName>
    <definedName name="DB.RatingSummary.RTCReinstatements.Layer15.Cover2.USD">'Rating Summary'!$AH$44</definedName>
    <definedName name="DB.RatingSummary.RTCReinstatements.Layer15.Cover3.CCY">'Rating Summary'!$AI$21</definedName>
    <definedName name="DB.RatingSummary.RTCReinstatements.Layer15.Cover3.USD">'Rating Summary'!$AI$44</definedName>
    <definedName name="DB.RatingSummary.RTCReinstatements.Layer15.Cover4.CCY">'Rating Summary'!$AJ$21</definedName>
    <definedName name="DB.RatingSummary.RTCReinstatements.Layer15.Cover4.USD">'Rating Summary'!$AJ$44</definedName>
    <definedName name="DB.RatingSummary.RTCReinstatements.Layer15.Cover5.CCY">'Rating Summary'!$AK$21</definedName>
    <definedName name="DB.RatingSummary.RTCReinstatements.Layer15.Cover5.USD">'Rating Summary'!$AK$44</definedName>
    <definedName name="DB.RatingSummary.RTCReinstatements.Layer15.Cover6.CCY">'Rating Summary'!$AL$21</definedName>
    <definedName name="DB.RatingSummary.RTCReinstatements.Layer15.Cover6.USD">'Rating Summary'!$AL$44</definedName>
    <definedName name="DB.RatingSummary.RTCReinstatements.Layer16.Cover1.CCY">'Rating Summary'!$AG$22</definedName>
    <definedName name="DB.RatingSummary.RTCReinstatements.Layer16.Cover1.USD">'Rating Summary'!$AG$45</definedName>
    <definedName name="DB.RatingSummary.RTCReinstatements.Layer16.Cover2.CCY">'Rating Summary'!$AH$22</definedName>
    <definedName name="DB.RatingSummary.RTCReinstatements.Layer16.Cover2.USD">'Rating Summary'!$AH$45</definedName>
    <definedName name="DB.RatingSummary.RTCReinstatements.Layer16.Cover3.CCY">'Rating Summary'!$AI$22</definedName>
    <definedName name="DB.RatingSummary.RTCReinstatements.Layer16.Cover3.USD">'Rating Summary'!$AI$45</definedName>
    <definedName name="DB.RatingSummary.RTCReinstatements.Layer16.Cover4.CCY">'Rating Summary'!$AJ$22</definedName>
    <definedName name="DB.RatingSummary.RTCReinstatements.Layer16.Cover4.USD">'Rating Summary'!$AJ$45</definedName>
    <definedName name="DB.RatingSummary.RTCReinstatements.Layer16.Cover5.CCY">'Rating Summary'!$AK$22</definedName>
    <definedName name="DB.RatingSummary.RTCReinstatements.Layer16.Cover5.USD">'Rating Summary'!$AK$45</definedName>
    <definedName name="DB.RatingSummary.RTCReinstatements.Layer16.Cover6.CCY">'Rating Summary'!$AL$22</definedName>
    <definedName name="DB.RatingSummary.RTCReinstatements.Layer16.Cover6.USD">'Rating Summary'!$AL$45</definedName>
    <definedName name="DB.RatingSummary.RTCReinstatements.Layer2.Cover1.CCY">'Rating Summary'!$AG$8</definedName>
    <definedName name="DB.RatingSummary.RTCReinstatements.Layer2.Cover1.USD">'Rating Summary'!$AG$31</definedName>
    <definedName name="DB.RatingSummary.RTCReinstatements.Layer2.Cover2.CCY">'Rating Summary'!$AH$8</definedName>
    <definedName name="DB.RatingSummary.RTCReinstatements.Layer2.Cover2.USD">'Rating Summary'!$AH$31</definedName>
    <definedName name="DB.RatingSummary.RTCReinstatements.Layer2.Cover3.CCY">'Rating Summary'!$AI$8</definedName>
    <definedName name="DB.RatingSummary.RTCReinstatements.Layer2.Cover3.USD">'Rating Summary'!$AI$31</definedName>
    <definedName name="DB.RatingSummary.RTCReinstatements.Layer2.Cover4.CCY">'Rating Summary'!$AJ$8</definedName>
    <definedName name="DB.RatingSummary.RTCReinstatements.Layer2.Cover4.USD">'Rating Summary'!$AJ$31</definedName>
    <definedName name="DB.RatingSummary.RTCReinstatements.Layer2.Cover5.CCY">'Rating Summary'!$AK$8</definedName>
    <definedName name="DB.RatingSummary.RTCReinstatements.Layer2.Cover5.USD">'Rating Summary'!$AK$31</definedName>
    <definedName name="DB.RatingSummary.RTCReinstatements.Layer2.Cover6.CCY">'Rating Summary'!$AL$8</definedName>
    <definedName name="DB.RatingSummary.RTCReinstatements.Layer2.Cover6.USD">'Rating Summary'!$AL$31</definedName>
    <definedName name="DB.RatingSummary.RTCReinstatements.Layer3.Cover1.CCY">'Rating Summary'!$AG$9</definedName>
    <definedName name="DB.RatingSummary.RTCReinstatements.Layer3.Cover1.USD">'Rating Summary'!$AG$32</definedName>
    <definedName name="DB.RatingSummary.RTCReinstatements.Layer3.Cover2.CCY">'Rating Summary'!$AH$9</definedName>
    <definedName name="DB.RatingSummary.RTCReinstatements.Layer3.Cover2.USD">'Rating Summary'!$AH$32</definedName>
    <definedName name="DB.RatingSummary.RTCReinstatements.Layer3.Cover3.CCY">'Rating Summary'!$AI$9</definedName>
    <definedName name="DB.RatingSummary.RTCReinstatements.Layer3.Cover3.USD">'Rating Summary'!$AI$32</definedName>
    <definedName name="DB.RatingSummary.RTCReinstatements.Layer3.Cover4.CCY">'Rating Summary'!$AJ$9</definedName>
    <definedName name="DB.RatingSummary.RTCReinstatements.Layer3.Cover4.USD">'Rating Summary'!$AJ$32</definedName>
    <definedName name="DB.RatingSummary.RTCReinstatements.Layer3.Cover5.CCY">'Rating Summary'!$AK$9</definedName>
    <definedName name="DB.RatingSummary.RTCReinstatements.Layer3.Cover5.USD">'Rating Summary'!$AK$32</definedName>
    <definedName name="DB.RatingSummary.RTCReinstatements.Layer3.Cover6.CCY">'Rating Summary'!$AL$9</definedName>
    <definedName name="DB.RatingSummary.RTCReinstatements.Layer3.Cover6.USD">'Rating Summary'!$AL$32</definedName>
    <definedName name="DB.RatingSummary.RTCReinstatements.Layer4.Cover1.CCY">'Rating Summary'!$AG$10</definedName>
    <definedName name="DB.RatingSummary.RTCReinstatements.Layer4.Cover1.USD">'Rating Summary'!$AG$33</definedName>
    <definedName name="DB.RatingSummary.RTCReinstatements.Layer4.Cover2.CCY">'Rating Summary'!$AH$10</definedName>
    <definedName name="DB.RatingSummary.RTCReinstatements.Layer4.Cover2.USD">'Rating Summary'!$AH$33</definedName>
    <definedName name="DB.RatingSummary.RTCReinstatements.Layer4.Cover3.CCY">'Rating Summary'!$AI$10</definedName>
    <definedName name="DB.RatingSummary.RTCReinstatements.Layer4.Cover3.USD">'Rating Summary'!$AI$33</definedName>
    <definedName name="DB.RatingSummary.RTCReinstatements.Layer4.Cover4.CCY">'Rating Summary'!$AJ$10</definedName>
    <definedName name="DB.RatingSummary.RTCReinstatements.Layer4.Cover4.USD">'Rating Summary'!$AJ$33</definedName>
    <definedName name="DB.RatingSummary.RTCReinstatements.Layer4.Cover5.CCY">'Rating Summary'!$AK$10</definedName>
    <definedName name="DB.RatingSummary.RTCReinstatements.Layer4.Cover5.USD">'Rating Summary'!$AK$33</definedName>
    <definedName name="DB.RatingSummary.RTCReinstatements.Layer4.Cover6.CCY">'Rating Summary'!$AL$10</definedName>
    <definedName name="DB.RatingSummary.RTCReinstatements.Layer4.Cover6.USD">'Rating Summary'!$AL$33</definedName>
    <definedName name="DB.RatingSummary.RTCReinstatements.Layer5.Cover1.CCY">'Rating Summary'!$AG$11</definedName>
    <definedName name="DB.RatingSummary.RTCReinstatements.Layer5.Cover1.USD">'Rating Summary'!$AG$34</definedName>
    <definedName name="DB.RatingSummary.RTCReinstatements.Layer5.Cover2.CCY">'Rating Summary'!$AH$11</definedName>
    <definedName name="DB.RatingSummary.RTCReinstatements.Layer5.Cover2.USD">'Rating Summary'!$AH$34</definedName>
    <definedName name="DB.RatingSummary.RTCReinstatements.Layer5.Cover3.CCY">'Rating Summary'!$AI$11</definedName>
    <definedName name="DB.RatingSummary.RTCReinstatements.Layer5.Cover3.USD">'Rating Summary'!$AI$34</definedName>
    <definedName name="DB.RatingSummary.RTCReinstatements.Layer5.Cover4.CCY">'Rating Summary'!$AJ$11</definedName>
    <definedName name="DB.RatingSummary.RTCReinstatements.Layer5.Cover4.USD">'Rating Summary'!$AJ$34</definedName>
    <definedName name="DB.RatingSummary.RTCReinstatements.Layer5.Cover5.CCY">'Rating Summary'!$AK$11</definedName>
    <definedName name="DB.RatingSummary.RTCReinstatements.Layer5.Cover5.USD">'Rating Summary'!$AK$34</definedName>
    <definedName name="DB.RatingSummary.RTCReinstatements.Layer5.Cover6.CCY">'Rating Summary'!$AL$11</definedName>
    <definedName name="DB.RatingSummary.RTCReinstatements.Layer5.Cover6.USD">'Rating Summary'!$AL$34</definedName>
    <definedName name="DB.RatingSummary.RTCReinstatements.Layer6.Cover1.CCY">'Rating Summary'!$AG$12</definedName>
    <definedName name="DB.RatingSummary.RTCReinstatements.Layer6.Cover1.USD">'Rating Summary'!$AG$35</definedName>
    <definedName name="DB.RatingSummary.RTCReinstatements.Layer6.Cover2.CCY">'Rating Summary'!$AH$12</definedName>
    <definedName name="DB.RatingSummary.RTCReinstatements.Layer6.Cover2.USD">'Rating Summary'!$AH$35</definedName>
    <definedName name="DB.RatingSummary.RTCReinstatements.Layer6.Cover3.CCY">'Rating Summary'!$AI$12</definedName>
    <definedName name="DB.RatingSummary.RTCReinstatements.Layer6.Cover3.USD">'Rating Summary'!$AI$35</definedName>
    <definedName name="DB.RatingSummary.RTCReinstatements.Layer6.Cover4.CCY">'Rating Summary'!$AJ$12</definedName>
    <definedName name="DB.RatingSummary.RTCReinstatements.Layer6.Cover4.USD">'Rating Summary'!$AJ$35</definedName>
    <definedName name="DB.RatingSummary.RTCReinstatements.Layer6.Cover5.CCY">'Rating Summary'!$AK$12</definedName>
    <definedName name="DB.RatingSummary.RTCReinstatements.Layer6.Cover5.USD">'Rating Summary'!$AK$35</definedName>
    <definedName name="DB.RatingSummary.RTCReinstatements.Layer6.Cover6.CCY">'Rating Summary'!$AL$12</definedName>
    <definedName name="DB.RatingSummary.RTCReinstatements.Layer6.Cover6.USD">'Rating Summary'!$AL$35</definedName>
    <definedName name="DB.RatingSummary.RTCReinstatements.Layer7.Cover1.CCY">'Rating Summary'!$AG$13</definedName>
    <definedName name="DB.RatingSummary.RTCReinstatements.Layer7.Cover1.USD">'Rating Summary'!$AG$36</definedName>
    <definedName name="DB.RatingSummary.RTCReinstatements.Layer7.Cover2.CCY">'Rating Summary'!$AH$13</definedName>
    <definedName name="DB.RatingSummary.RTCReinstatements.Layer7.Cover2.USD">'Rating Summary'!$AH$36</definedName>
    <definedName name="DB.RatingSummary.RTCReinstatements.Layer7.Cover3.CCY">'Rating Summary'!$AI$13</definedName>
    <definedName name="DB.RatingSummary.RTCReinstatements.Layer7.Cover3.USD">'Rating Summary'!$AI$36</definedName>
    <definedName name="DB.RatingSummary.RTCReinstatements.Layer7.Cover4.CCY">'Rating Summary'!$AJ$13</definedName>
    <definedName name="DB.RatingSummary.RTCReinstatements.Layer7.Cover4.USD">'Rating Summary'!$AJ$36</definedName>
    <definedName name="DB.RatingSummary.RTCReinstatements.Layer7.Cover5.CCY">'Rating Summary'!$AK$13</definedName>
    <definedName name="DB.RatingSummary.RTCReinstatements.Layer7.Cover5.USD">'Rating Summary'!$AK$36</definedName>
    <definedName name="DB.RatingSummary.RTCReinstatements.Layer7.Cover6.CCY">'Rating Summary'!$AL$13</definedName>
    <definedName name="DB.RatingSummary.RTCReinstatements.Layer7.Cover6.USD">'Rating Summary'!$AL$36</definedName>
    <definedName name="DB.RatingSummary.RTCReinstatements.Layer8.Cover1.CCY">'Rating Summary'!$AG$14</definedName>
    <definedName name="DB.RatingSummary.RTCReinstatements.Layer8.Cover1.USD">'Rating Summary'!$AG$37</definedName>
    <definedName name="DB.RatingSummary.RTCReinstatements.Layer8.Cover2.CCY">'Rating Summary'!$AH$14</definedName>
    <definedName name="DB.RatingSummary.RTCReinstatements.Layer8.Cover2.USD">'Rating Summary'!$AH$37</definedName>
    <definedName name="DB.RatingSummary.RTCReinstatements.Layer8.Cover3.CCY">'Rating Summary'!$AI$14</definedName>
    <definedName name="DB.RatingSummary.RTCReinstatements.Layer8.Cover3.USD">'Rating Summary'!$AI$37</definedName>
    <definedName name="DB.RatingSummary.RTCReinstatements.Layer8.Cover4.CCY">'Rating Summary'!$AJ$14</definedName>
    <definedName name="DB.RatingSummary.RTCReinstatements.Layer8.Cover4.USD">'Rating Summary'!$AJ$37</definedName>
    <definedName name="DB.RatingSummary.RTCReinstatements.Layer8.Cover5.CCY">'Rating Summary'!$AK$14</definedName>
    <definedName name="DB.RatingSummary.RTCReinstatements.Layer8.Cover5.USD">'Rating Summary'!$AK$37</definedName>
    <definedName name="DB.RatingSummary.RTCReinstatements.Layer8.Cover6.CCY">'Rating Summary'!$AL$14</definedName>
    <definedName name="DB.RatingSummary.RTCReinstatements.Layer8.Cover6.USD">'Rating Summary'!$AL$37</definedName>
    <definedName name="DB.RatingSummary.RTCReinstatements.Layer9.Cover1.CCY">'Rating Summary'!$AG$15</definedName>
    <definedName name="DB.RatingSummary.RTCReinstatements.Layer9.Cover1.USD">'Rating Summary'!$AG$38</definedName>
    <definedName name="DB.RatingSummary.RTCReinstatements.Layer9.Cover2.CCY">'Rating Summary'!$AH$15</definedName>
    <definedName name="DB.RatingSummary.RTCReinstatements.Layer9.Cover2.USD">'Rating Summary'!$AH$38</definedName>
    <definedName name="DB.RatingSummary.RTCReinstatements.Layer9.Cover3.CCY">'Rating Summary'!$AI$15</definedName>
    <definedName name="DB.RatingSummary.RTCReinstatements.Layer9.Cover3.USD">'Rating Summary'!$AI$38</definedName>
    <definedName name="DB.RatingSummary.RTCReinstatements.Layer9.Cover4.CCY">'Rating Summary'!$AJ$15</definedName>
    <definedName name="DB.RatingSummary.RTCReinstatements.Layer9.Cover4.USD">'Rating Summary'!$AJ$38</definedName>
    <definedName name="DB.RatingSummary.RTCReinstatements.Layer9.Cover5.CCY">'Rating Summary'!$AK$15</definedName>
    <definedName name="DB.RatingSummary.RTCReinstatements.Layer9.Cover5.USD">'Rating Summary'!$AK$38</definedName>
    <definedName name="DB.RatingSummary.RTCReinstatements.Layer9.Cover6.CCY">'Rating Summary'!$AL$15</definedName>
    <definedName name="DB.RatingSummary.RTCReinstatements.Layer9.Cover6.USD">'Rating Summary'!$AL$38</definedName>
    <definedName name="DB.RatingSummary.SlipLead.Layer1">'Rating Summary'!$CF$7</definedName>
    <definedName name="DB.RatingSummary.SlipLead.Layer1.USD">'Rating Summary'!$CF$30</definedName>
    <definedName name="DB.RatingSummary.SlipLead.Layer10">'Rating Summary'!$CF$16</definedName>
    <definedName name="DB.RatingSummary.SlipLead.Layer10.USD">'Rating Summary'!$CF$39</definedName>
    <definedName name="DB.RatingSummary.SlipLead.Layer11">'Rating Summary'!$CF$17</definedName>
    <definedName name="DB.RatingSummary.SlipLead.Layer11.USD">'Rating Summary'!$CF$40</definedName>
    <definedName name="DB.RatingSummary.SlipLead.Layer12">'Rating Summary'!$CF$18</definedName>
    <definedName name="DB.RatingSummary.SlipLead.Layer12.USD">'Rating Summary'!$CF$41</definedName>
    <definedName name="DB.RatingSummary.SlipLead.Layer13">'Rating Summary'!$CF$19</definedName>
    <definedName name="DB.RatingSummary.SlipLead.Layer13.USD">'Rating Summary'!$CF$42</definedName>
    <definedName name="DB.RatingSummary.SlipLead.Layer14">'Rating Summary'!$CF$20</definedName>
    <definedName name="DB.RatingSummary.SlipLead.Layer14.USD">'Rating Summary'!$CF$43</definedName>
    <definedName name="DB.RatingSummary.SlipLead.Layer15">'Rating Summary'!$CF$21</definedName>
    <definedName name="DB.RatingSummary.SlipLead.Layer15.USD">'Rating Summary'!$CF$44</definedName>
    <definedName name="DB.RatingSummary.SlipLead.Layer16">'Rating Summary'!$CF$22</definedName>
    <definedName name="DB.RatingSummary.SlipLead.Layer16.USD">'Rating Summary'!$CF$45</definedName>
    <definedName name="DB.RatingSummary.SlipLead.Layer2">'Rating Summary'!$CF$8</definedName>
    <definedName name="DB.RatingSummary.SlipLead.Layer2.USD">'Rating Summary'!$CF$31</definedName>
    <definedName name="DB.RatingSummary.SlipLead.Layer3">'Rating Summary'!$CF$9</definedName>
    <definedName name="DB.RatingSummary.SlipLead.Layer3.USD">'Rating Summary'!$CF$32</definedName>
    <definedName name="DB.RatingSummary.SlipLead.Layer4">'Rating Summary'!$CF$10</definedName>
    <definedName name="DB.RatingSummary.SlipLead.Layer4.USD">'Rating Summary'!$CF$33</definedName>
    <definedName name="DB.RatingSummary.SlipLead.Layer5">'Rating Summary'!$CF$11</definedName>
    <definedName name="DB.RatingSummary.SlipLead.Layer5.USD">'Rating Summary'!$CF$34</definedName>
    <definedName name="DB.RatingSummary.SlipLead.Layer6">'Rating Summary'!$CF$12</definedName>
    <definedName name="DB.RatingSummary.SlipLead.Layer6.USD">'Rating Summary'!$CF$35</definedName>
    <definedName name="DB.RatingSummary.SlipLead.Layer7">'Rating Summary'!$CF$13</definedName>
    <definedName name="DB.RatingSummary.SlipLead.Layer7.USD">'Rating Summary'!$CF$36</definedName>
    <definedName name="DB.RatingSummary.SlipLead.Layer8">'Rating Summary'!$CF$14</definedName>
    <definedName name="DB.RatingSummary.SlipLead.Layer8.USD">'Rating Summary'!$CF$37</definedName>
    <definedName name="DB.RatingSummary.SlipLead.Layer9">'Rating Summary'!$CF$15</definedName>
    <definedName name="DB.RatingSummary.SlipLead.Layer9.USD">'Rating Summary'!$CF$38</definedName>
    <definedName name="DB.RatingSummary.Status.Layer1">'Rating Summary'!$BY$7</definedName>
    <definedName name="DB.RatingSummary.Status.Layer1.USD">'Rating Summary'!$BY$30</definedName>
    <definedName name="DB.RatingSummary.Status.Layer10">'Rating Summary'!$BY$16</definedName>
    <definedName name="DB.RatingSummary.Status.Layer10.USD">'Rating Summary'!$BY$39</definedName>
    <definedName name="DB.RatingSummary.Status.Layer11">'Rating Summary'!$BY$17</definedName>
    <definedName name="DB.RatingSummary.Status.Layer11.USD">'Rating Summary'!$BY$40</definedName>
    <definedName name="DB.RatingSummary.Status.Layer12">'Rating Summary'!$BY$18</definedName>
    <definedName name="DB.RatingSummary.Status.Layer12.USD">'Rating Summary'!$BY$41</definedName>
    <definedName name="DB.RatingSummary.Status.Layer13">'Rating Summary'!$BY$19</definedName>
    <definedName name="DB.RatingSummary.Status.Layer13.USD">'Rating Summary'!$BY$42</definedName>
    <definedName name="DB.RatingSummary.Status.Layer14">'Rating Summary'!$BY$20</definedName>
    <definedName name="DB.RatingSummary.Status.Layer14.USD">'Rating Summary'!$BY$43</definedName>
    <definedName name="DB.RatingSummary.Status.Layer15">'Rating Summary'!$BY$21</definedName>
    <definedName name="DB.RatingSummary.Status.Layer15.USD">'Rating Summary'!$BY$44</definedName>
    <definedName name="DB.RatingSummary.Status.Layer16">'Rating Summary'!$BY$22</definedName>
    <definedName name="DB.RatingSummary.Status.Layer16.USD">'Rating Summary'!$BY$45</definedName>
    <definedName name="DB.RatingSummary.Status.Layer2">'Rating Summary'!$BY$8</definedName>
    <definedName name="DB.RatingSummary.Status.Layer2.USD">'Rating Summary'!$BY$31</definedName>
    <definedName name="DB.RatingSummary.Status.Layer3">'Rating Summary'!$BY$9</definedName>
    <definedName name="DB.RatingSummary.Status.Layer3.USD">'Rating Summary'!$BY$32</definedName>
    <definedName name="DB.RatingSummary.Status.Layer4">'Rating Summary'!$BY$10</definedName>
    <definedName name="DB.RatingSummary.Status.Layer4.USD">'Rating Summary'!$BY$33</definedName>
    <definedName name="DB.RatingSummary.Status.Layer5">'Rating Summary'!$BY$11</definedName>
    <definedName name="DB.RatingSummary.Status.Layer5.USD">'Rating Summary'!$BY$34</definedName>
    <definedName name="DB.RatingSummary.Status.Layer6">'Rating Summary'!$BY$12</definedName>
    <definedName name="DB.RatingSummary.Status.Layer6.USD">'Rating Summary'!$BY$35</definedName>
    <definedName name="DB.RatingSummary.Status.Layer7">'Rating Summary'!$BY$13</definedName>
    <definedName name="DB.RatingSummary.Status.Layer7.USD">'Rating Summary'!$BY$36</definedName>
    <definedName name="DB.RatingSummary.Status.Layer8">'Rating Summary'!$BY$14</definedName>
    <definedName name="DB.RatingSummary.Status.Layer8.USD">'Rating Summary'!$BY$37</definedName>
    <definedName name="DB.RatingSummary.Status.Layer9">'Rating Summary'!$BY$15</definedName>
    <definedName name="DB.RatingSummary.Status.Layer9.USD">'Rating Summary'!$BY$38</definedName>
    <definedName name="DB.RatingSummary.TPIpc.Layer1">'Rating Summary'!$BU$7</definedName>
    <definedName name="DB.RatingSummary.TPIpc.Layer1.USD">'Rating Summary'!$BU$30</definedName>
    <definedName name="DB.RatingSummary.TPIpc.Layer10">'Rating Summary'!$BU$16</definedName>
    <definedName name="DB.RatingSummary.TPIpc.Layer10.USD">'Rating Summary'!$BU$39</definedName>
    <definedName name="DB.RatingSummary.TPIpc.Layer11">'Rating Summary'!$BU$17</definedName>
    <definedName name="DB.RatingSummary.TPIpc.Layer11.USD">'Rating Summary'!$BU$40</definedName>
    <definedName name="DB.RatingSummary.TPIpc.Layer12">'Rating Summary'!$BU$18</definedName>
    <definedName name="DB.RatingSummary.TPIpc.Layer12.USD">'Rating Summary'!$BU$41</definedName>
    <definedName name="DB.RatingSummary.TPIpc.Layer13">'Rating Summary'!$BU$19</definedName>
    <definedName name="DB.RatingSummary.TPIpc.Layer13.USD">'Rating Summary'!$BU$42</definedName>
    <definedName name="DB.RatingSummary.TPIpc.Layer14">'Rating Summary'!$BU$20</definedName>
    <definedName name="DB.RatingSummary.TPIpc.Layer14.USD">'Rating Summary'!$BU$43</definedName>
    <definedName name="DB.RatingSummary.TPIpc.Layer15">'Rating Summary'!$BU$21</definedName>
    <definedName name="DB.RatingSummary.TPIpc.Layer15.USD">'Rating Summary'!$BU$44</definedName>
    <definedName name="DB.RatingSummary.TPIpc.Layer16">'Rating Summary'!$BU$22</definedName>
    <definedName name="DB.RatingSummary.TPIpc.Layer16.USD">'Rating Summary'!$BU$45</definedName>
    <definedName name="DB.RatingSummary.TPIpc.Layer2">'Rating Summary'!$BU$8</definedName>
    <definedName name="DB.RatingSummary.TPIpc.Layer2.USD">'Rating Summary'!$BU$31</definedName>
    <definedName name="DB.RatingSummary.TPIpc.Layer3">'Rating Summary'!$BU$9</definedName>
    <definedName name="DB.RatingSummary.TPIpc.Layer3.USD">'Rating Summary'!$BU$32</definedName>
    <definedName name="DB.RatingSummary.TPIpc.Layer4">'Rating Summary'!$BU$10</definedName>
    <definedName name="DB.RatingSummary.TPIpc.Layer4.USD">'Rating Summary'!$BU$33</definedName>
    <definedName name="DB.RatingSummary.TPIpc.Layer5">'Rating Summary'!$BU$11</definedName>
    <definedName name="DB.RatingSummary.TPIpc.Layer5.USD">'Rating Summary'!$BU$34</definedName>
    <definedName name="DB.RatingSummary.TPIpc.Layer6">'Rating Summary'!$BU$12</definedName>
    <definedName name="DB.RatingSummary.TPIpc.Layer6.USD">'Rating Summary'!$BU$35</definedName>
    <definedName name="DB.RatingSummary.TPIpc.Layer7">'Rating Summary'!$BU$13</definedName>
    <definedName name="DB.RatingSummary.TPIpc.Layer7.USD">'Rating Summary'!$BU$36</definedName>
    <definedName name="DB.RatingSummary.TPIpc.Layer8">'Rating Summary'!$BU$14</definedName>
    <definedName name="DB.RatingSummary.TPIpc.Layer8.USD">'Rating Summary'!$BU$37</definedName>
    <definedName name="DB.RatingSummary.TPIpc.Layer9">'Rating Summary'!$BU$15</definedName>
    <definedName name="DB.RatingSummary.TPIpc.Layer9.USD">'Rating Summary'!$BU$38</definedName>
    <definedName name="DB.RC.ExpiringNameLayer1">'Rate Change'!$F$6</definedName>
    <definedName name="DB.RC.ExpiringNameLayer10">'Rate Change'!$AG$6</definedName>
    <definedName name="DB.RC.ExpiringNameLayer11">'Rate Change'!$AJ$6</definedName>
    <definedName name="DB.RC.ExpiringNameLayer12">'Rate Change'!$AM$6</definedName>
    <definedName name="DB.RC.ExpiringNameLayer13">'Rate Change'!$AP$6</definedName>
    <definedName name="DB.RC.ExpiringNameLayer14">'Rate Change'!$AS$6</definedName>
    <definedName name="DB.RC.ExpiringNameLayer15">'Rate Change'!$AV$6</definedName>
    <definedName name="DB.RC.ExpiringNameLayer16">'Rate Change'!$AY$6</definedName>
    <definedName name="DB.RC.ExpiringNameLayer2">'Rate Change'!$I$6</definedName>
    <definedName name="DB.RC.ExpiringNameLayer3">'Rate Change'!$L$6</definedName>
    <definedName name="DB.RC.ExpiringNameLayer4">'Rate Change'!$O$6</definedName>
    <definedName name="DB.RC.ExpiringNameLayer5">'Rate Change'!$R$6</definedName>
    <definedName name="DB.RC.ExpiringNameLayer6">'Rate Change'!$U$6</definedName>
    <definedName name="DB.RC.ExpiringNameLayer7">'Rate Change'!$X$6</definedName>
    <definedName name="DB.RC.ExpiringNameLayer8">'Rate Change'!$AA$6</definedName>
    <definedName name="DB.RC.ExpiringNameLayer9">'Rate Change'!$AD$6</definedName>
    <definedName name="db.rc.expiry.DeductibleChange.Layer1">'Rate Change'!$F$13</definedName>
    <definedName name="db.rc.expiry.DeductibleChange.Layer10">'Rate Change'!$AG$13</definedName>
    <definedName name="db.rc.expiry.DeductibleChange.Layer11">'Rate Change'!$AJ$13</definedName>
    <definedName name="db.rc.expiry.DeductibleChange.Layer12">'Rate Change'!$AM$13</definedName>
    <definedName name="db.rc.expiry.DeductibleChange.Layer13">'Rate Change'!$AP$13</definedName>
    <definedName name="db.rc.expiry.DeductibleChange.Layer14">'Rate Change'!$AS$13</definedName>
    <definedName name="db.rc.expiry.DeductibleChange.Layer15">'Rate Change'!$AV$13</definedName>
    <definedName name="db.rc.expiry.DeductibleChange.Layer16">'Rate Change'!$AY$13</definedName>
    <definedName name="db.rc.expiry.DeductibleChange.Layer2">'Rate Change'!$I$13</definedName>
    <definedName name="db.rc.expiry.DeductibleChange.Layer3">'Rate Change'!$L$13</definedName>
    <definedName name="db.rc.expiry.DeductibleChange.Layer4">'Rate Change'!$O$13</definedName>
    <definedName name="db.rc.expiry.DeductibleChange.Layer5">'Rate Change'!$R$13</definedName>
    <definedName name="db.rc.expiry.DeductibleChange.Layer6">'Rate Change'!$U$13</definedName>
    <definedName name="db.rc.expiry.DeductibleChange.Layer7">'Rate Change'!$X$13</definedName>
    <definedName name="db.rc.expiry.DeductibleChange.Layer8">'Rate Change'!$AA$13</definedName>
    <definedName name="db.rc.expiry.DeductibleChange.Layer9">'Rate Change'!$AD$13</definedName>
    <definedName name="db.rc.expiry.ExposureChange.Layer1">'Rate Change'!$F$11</definedName>
    <definedName name="db.rc.expiry.ExposureChange.Layer10">'Rate Change'!$AG$11</definedName>
    <definedName name="db.rc.expiry.ExposureChange.Layer11">'Rate Change'!$AJ$11</definedName>
    <definedName name="db.rc.expiry.ExposureChange.Layer12">'Rate Change'!$AM$11</definedName>
    <definedName name="db.rc.expiry.ExposureChange.Layer13">'Rate Change'!$AP$11</definedName>
    <definedName name="db.rc.expiry.ExposureChange.Layer14">'Rate Change'!$AS$11</definedName>
    <definedName name="db.rc.expiry.ExposureChange.Layer15">'Rate Change'!$AV$11</definedName>
    <definedName name="db.rc.expiry.ExposureChange.Layer16">'Rate Change'!$AY$11</definedName>
    <definedName name="db.rc.expiry.ExposureChange.Layer2">'Rate Change'!$I$11</definedName>
    <definedName name="db.rc.expiry.ExposureChange.Layer3">'Rate Change'!$L$11</definedName>
    <definedName name="db.rc.expiry.ExposureChange.Layer4">'Rate Change'!$O$11</definedName>
    <definedName name="db.rc.expiry.ExposureChange.Layer5">'Rate Change'!$R$11</definedName>
    <definedName name="db.rc.expiry.ExposureChange.Layer6">'Rate Change'!$U$11</definedName>
    <definedName name="db.rc.expiry.ExposureChange.Layer7">'Rate Change'!$X$11</definedName>
    <definedName name="db.rc.expiry.ExposureChange.Layer8">'Rate Change'!$AA$11</definedName>
    <definedName name="db.rc.expiry.ExposureChange.Layer9">'Rate Change'!$AD$11</definedName>
    <definedName name="db.rc.expiry.FinalRateChange.Layer10">'Rate Change'!$AG$20</definedName>
    <definedName name="db.rc.expiry.FinalRateChange.Layer11">'Rate Change'!$AJ$20</definedName>
    <definedName name="db.rc.expiry.FinalRateChange.Layer12">'Rate Change'!$AM$20</definedName>
    <definedName name="db.rc.expiry.FinalRateChange.Layer13">'Rate Change'!$AP$20</definedName>
    <definedName name="db.rc.expiry.FinalRateChange.Layer14">'Rate Change'!$AS$20</definedName>
    <definedName name="db.rc.expiry.FinalRateChange.Layer15">'Rate Change'!$AV$20</definedName>
    <definedName name="db.rc.expiry.FinalRateChange.Layer16">'Rate Change'!$AY$20</definedName>
    <definedName name="db.rc.expiry.FinalRateChange.Layer8">'Rate Change'!$AA$20</definedName>
    <definedName name="db.rc.expiry.FinalRateChange.Layer9">'Rate Change'!$AD$20</definedName>
    <definedName name="db.rc.expiry.LimitChange.Layer1">'Rate Change'!$F$14</definedName>
    <definedName name="db.rc.expiry.LimitChange.Layer10">'Rate Change'!$AG$14</definedName>
    <definedName name="db.rc.expiry.LimitChange.Layer11">'Rate Change'!$AJ$14</definedName>
    <definedName name="db.rc.expiry.LimitChange.Layer12">'Rate Change'!$AM$14</definedName>
    <definedName name="db.rc.expiry.LimitChange.Layer13">'Rate Change'!$AP$14</definedName>
    <definedName name="db.rc.expiry.LimitChange.Layer14">'Rate Change'!$AS$14</definedName>
    <definedName name="db.rc.expiry.LimitChange.Layer15">'Rate Change'!$AV$14</definedName>
    <definedName name="db.rc.expiry.LimitChange.Layer16">'Rate Change'!$AY$14</definedName>
    <definedName name="db.rc.expiry.LimitChange.Layer2">'Rate Change'!$I$14</definedName>
    <definedName name="db.rc.expiry.LimitChange.Layer3">'Rate Change'!$L$14</definedName>
    <definedName name="db.rc.expiry.LimitChange.Layer4">'Rate Change'!$O$14</definedName>
    <definedName name="db.rc.expiry.LimitChange.Layer5">'Rate Change'!$R$14</definedName>
    <definedName name="db.rc.expiry.LimitChange.Layer6">'Rate Change'!$U$14</definedName>
    <definedName name="db.rc.expiry.LimitChange.Layer7">'Rate Change'!$X$14</definedName>
    <definedName name="db.rc.expiry.LimitChange.Layer8">'Rate Change'!$AA$14</definedName>
    <definedName name="db.rc.expiry.LimitChange.Layer9">'Rate Change'!$AD$14</definedName>
    <definedName name="db.rc.expiry.OtherChange.Layer1">'Rate Change'!$F$16</definedName>
    <definedName name="db.rc.expiry.OtherChange.Layer10">'Rate Change'!$AG$16</definedName>
    <definedName name="db.rc.expiry.OtherChange.Layer11">'Rate Change'!$AJ$16</definedName>
    <definedName name="db.rc.expiry.OtherChange.Layer12">'Rate Change'!$AM$16</definedName>
    <definedName name="db.rc.expiry.OtherChange.Layer13">'Rate Change'!$AP$16</definedName>
    <definedName name="db.rc.expiry.OtherChange.Layer14">'Rate Change'!$AS$16</definedName>
    <definedName name="db.rc.expiry.OtherChange.Layer15">'Rate Change'!$AV$16</definedName>
    <definedName name="db.rc.expiry.OtherChange.Layer16">'Rate Change'!$AY$16</definedName>
    <definedName name="db.rc.expiry.OtherChange.Layer2">'Rate Change'!$I$16</definedName>
    <definedName name="db.rc.expiry.OtherChange.Layer3">'Rate Change'!$L$16</definedName>
    <definedName name="db.rc.expiry.OtherChange.Layer4">'Rate Change'!$O$16</definedName>
    <definedName name="db.rc.expiry.OtherChange.Layer5">'Rate Change'!$R$16</definedName>
    <definedName name="db.rc.expiry.OtherChange.Layer6">'Rate Change'!$U$16</definedName>
    <definedName name="db.rc.expiry.OtherChange.Layer7">'Rate Change'!$X$16</definedName>
    <definedName name="db.rc.expiry.OtherChange.Layer8">'Rate Change'!$AA$16</definedName>
    <definedName name="db.rc.expiry.OtherChange.Layer9">'Rate Change'!$AD$16</definedName>
    <definedName name="db.rc.expiry.RiskChange.Layer1">'Rate Change'!$F$12</definedName>
    <definedName name="db.rc.expiry.RiskChange.Layer10">'Rate Change'!$AG$12</definedName>
    <definedName name="db.rc.expiry.RiskChange.Layer11">'Rate Change'!$AJ$12</definedName>
    <definedName name="db.rc.expiry.RiskChange.Layer12">'Rate Change'!$AM$12</definedName>
    <definedName name="db.rc.expiry.RiskChange.Layer13">'Rate Change'!$AP$12</definedName>
    <definedName name="db.rc.expiry.RiskChange.Layer14">'Rate Change'!$AS$12</definedName>
    <definedName name="db.rc.expiry.RiskChange.Layer15">'Rate Change'!$AV$12</definedName>
    <definedName name="db.rc.expiry.RiskChange.Layer16">'Rate Change'!$AY$12</definedName>
    <definedName name="db.rc.expiry.RiskChange.Layer2">'Rate Change'!$I$12</definedName>
    <definedName name="db.rc.expiry.RiskChange.Layer3">'Rate Change'!$L$12</definedName>
    <definedName name="db.rc.expiry.RiskChange.Layer4">'Rate Change'!$O$12</definedName>
    <definedName name="db.rc.expiry.RiskChange.Layer5">'Rate Change'!$R$12</definedName>
    <definedName name="db.rc.expiry.RiskChange.Layer6">'Rate Change'!$U$12</definedName>
    <definedName name="db.rc.expiry.RiskChange.Layer7">'Rate Change'!$X$12</definedName>
    <definedName name="db.rc.expiry.RiskChange.Layer8">'Rate Change'!$AA$12</definedName>
    <definedName name="db.rc.expiry.RiskChange.Layer9">'Rate Change'!$AD$12</definedName>
    <definedName name="db.rc.expiry.TermsChange.Layer1">'Rate Change'!$F$15</definedName>
    <definedName name="db.rc.expiry.TermsChange.Layer10">'Rate Change'!$AG$15</definedName>
    <definedName name="db.rc.expiry.TermsChange.Layer11">'Rate Change'!$AJ$15</definedName>
    <definedName name="db.rc.expiry.TermsChange.Layer12">'Rate Change'!$AM$15</definedName>
    <definedName name="db.rc.expiry.TermsChange.Layer13">'Rate Change'!$AP$15</definedName>
    <definedName name="db.rc.expiry.TermsChange.Layer14">'Rate Change'!$AS$15</definedName>
    <definedName name="db.rc.expiry.TermsChange.Layer15">'Rate Change'!$AV$15</definedName>
    <definedName name="db.rc.expiry.TermsChange.Layer16">'Rate Change'!$AY$15</definedName>
    <definedName name="db.rc.expiry.TermsChange.Layer2">'Rate Change'!$I$15</definedName>
    <definedName name="db.rc.expiry.TermsChange.Layer3">'Rate Change'!$L$15</definedName>
    <definedName name="db.rc.expiry.TermsChange.Layer4">'Rate Change'!$O$15</definedName>
    <definedName name="db.rc.expiry.TermsChange.Layer5">'Rate Change'!$R$15</definedName>
    <definedName name="db.rc.expiry.TermsChange.Layer6">'Rate Change'!$U$15</definedName>
    <definedName name="db.rc.expiry.TermsChange.Layer7">'Rate Change'!$X$15</definedName>
    <definedName name="db.rc.expiry.TermsChange.Layer8">'Rate Change'!$AA$15</definedName>
    <definedName name="db.rc.expiry.TermsChange.Layer9">'Rate Change'!$AD$15</definedName>
    <definedName name="db.rc.Layer1.override.deduc">'Rate Change'!$G$13</definedName>
    <definedName name="db.rc.Layer1.override.expo">'Rate Change'!$G$11</definedName>
    <definedName name="db.rc.Layer1.override.limit">'Rate Change'!$G$14</definedName>
    <definedName name="db.rc.Layer1.override.other">'Rate Change'!$G$16</definedName>
    <definedName name="db.rc.Layer1.override.riskchar">'Rate Change'!$G$12</definedName>
    <definedName name="db.rc.Layer1.override.tandc">'Rate Change'!$G$15</definedName>
    <definedName name="db.rc.Layer1.ratechange">'Rate Change'!$F$20</definedName>
    <definedName name="db.rc.Layer10.override.deduc">'Rate Change'!$AH$13</definedName>
    <definedName name="db.rc.Layer10.override.expo">'Rate Change'!$AH$11</definedName>
    <definedName name="db.rc.Layer10.override.limit">'Rate Change'!$AH$14</definedName>
    <definedName name="db.rc.Layer10.override.other">'Rate Change'!$AH$16</definedName>
    <definedName name="db.rc.Layer10.override.riskchar">'Rate Change'!$AH$12</definedName>
    <definedName name="db.rc.Layer10.override.tandc">'Rate Change'!$AH$15</definedName>
    <definedName name="db.rc.Layer10.ratechange">'Rate Change'!$AG$20</definedName>
    <definedName name="db.rc.Layer11.override.deduc">'Rate Change'!$AK$13</definedName>
    <definedName name="db.rc.Layer11.override.expo">'Rate Change'!$AK$11</definedName>
    <definedName name="db.rc.Layer11.override.limit">'Rate Change'!$AK$14</definedName>
    <definedName name="db.rc.Layer11.override.other">'Rate Change'!$AK$16</definedName>
    <definedName name="db.rc.Layer11.override.riskchar">'Rate Change'!$AK$12</definedName>
    <definedName name="db.rc.Layer11.override.tandc">'Rate Change'!$AK$15</definedName>
    <definedName name="db.rc.Layer12.override.deduc">'Rate Change'!$AN$13</definedName>
    <definedName name="db.rc.Layer12.override.expo">'Rate Change'!$AN$11</definedName>
    <definedName name="db.rc.Layer12.override.limit">'Rate Change'!$AN$14</definedName>
    <definedName name="db.rc.Layer12.override.other">'Rate Change'!$AN$16</definedName>
    <definedName name="db.rc.Layer12.override.riskchar">'Rate Change'!$AN$12</definedName>
    <definedName name="db.rc.Layer12.override.tandc">'Rate Change'!$AN$15</definedName>
    <definedName name="db.rc.Layer13.override.deduc">'Rate Change'!$AQ$13</definedName>
    <definedName name="db.rc.Layer13.override.expo">'Rate Change'!$AQ$11</definedName>
    <definedName name="db.rc.Layer13.override.limit">'Rate Change'!$AQ$14</definedName>
    <definedName name="db.rc.Layer13.override.other">'Rate Change'!$AQ$16</definedName>
    <definedName name="db.rc.Layer13.override.riskchar">'Rate Change'!$AQ$12</definedName>
    <definedName name="db.rc.Layer13.override.tandc">'Rate Change'!$AQ$15</definedName>
    <definedName name="db.rc.Layer14.override.deduc">'Rate Change'!$AT$13</definedName>
    <definedName name="db.rc.Layer14.override.expo">'Rate Change'!$AT$11</definedName>
    <definedName name="db.rc.Layer14.override.limit">'Rate Change'!$AT$14</definedName>
    <definedName name="db.rc.Layer14.override.other">'Rate Change'!$AT$16</definedName>
    <definedName name="db.rc.Layer14.override.riskchar">'Rate Change'!$AT$12</definedName>
    <definedName name="db.rc.Layer14.override.tandc">'Rate Change'!$AT$15</definedName>
    <definedName name="db.rc.Layer15.override.deduc">'Rate Change'!$AW$13</definedName>
    <definedName name="db.rc.Layer15.override.expo">'Rate Change'!$AW$11</definedName>
    <definedName name="db.rc.Layer15.override.limit">'Rate Change'!$AW$14</definedName>
    <definedName name="db.rc.Layer15.override.other">'Rate Change'!$AW$16</definedName>
    <definedName name="db.rc.Layer15.override.riskchar">'Rate Change'!$AW$12</definedName>
    <definedName name="db.rc.Layer15.override.tandc">'Rate Change'!$AW$15</definedName>
    <definedName name="db.rc.Layer16.override.deduc">'Rate Change'!$AZ$13</definedName>
    <definedName name="db.rc.Layer16.override.expo">'Rate Change'!$AZ$11</definedName>
    <definedName name="db.rc.Layer16.override.limit">'Rate Change'!$AZ$14</definedName>
    <definedName name="db.rc.Layer16.override.other">'Rate Change'!$AZ$16</definedName>
    <definedName name="db.rc.Layer16.override.riskchar">'Rate Change'!$AZ$12</definedName>
    <definedName name="db.rc.Layer16.override.tandc">'Rate Change'!$AZ$15</definedName>
    <definedName name="db.rc.Layer2.override.deduc">'Rate Change'!$J$13</definedName>
    <definedName name="db.rc.Layer2.override.expo">'Rate Change'!$J$11</definedName>
    <definedName name="db.rc.Layer2.override.limit">'Rate Change'!$J$14</definedName>
    <definedName name="db.rc.Layer2.override.other">'Rate Change'!$J$16</definedName>
    <definedName name="db.rc.Layer2.override.riskchar">'Rate Change'!$J$12</definedName>
    <definedName name="db.rc.Layer2.override.tandc">'Rate Change'!$J$15</definedName>
    <definedName name="db.rc.Layer2.ratechange">'Rate Change'!$I$20</definedName>
    <definedName name="db.rc.Layer3.override.deduc">'Rate Change'!$M$13</definedName>
    <definedName name="db.rc.Layer3.override.expo">'Rate Change'!$M$11</definedName>
    <definedName name="db.rc.Layer3.override.limit">'Rate Change'!$M$14</definedName>
    <definedName name="db.rc.Layer3.override.other">'Rate Change'!$M$16</definedName>
    <definedName name="db.rc.Layer3.override.riskchar">'Rate Change'!$M$12</definedName>
    <definedName name="db.rc.Layer3.override.tandc">'Rate Change'!$M$15</definedName>
    <definedName name="db.rc.Layer3.ratechange">'Rate Change'!$L$20</definedName>
    <definedName name="db.rc.Layer4.override.deduc">'Rate Change'!$P$13</definedName>
    <definedName name="db.rc.Layer4.override.expo">'Rate Change'!$P$11</definedName>
    <definedName name="db.rc.Layer4.override.limit">'Rate Change'!$P$14</definedName>
    <definedName name="db.rc.Layer4.override.other">'Rate Change'!$P$16</definedName>
    <definedName name="db.rc.Layer4.override.riskchar">'Rate Change'!$P$12</definedName>
    <definedName name="db.rc.Layer4.override.tandc">'Rate Change'!$P$15</definedName>
    <definedName name="db.rc.Layer4.ratechange">'Rate Change'!$O$20</definedName>
    <definedName name="db.rc.Layer5.override.deduc">'Rate Change'!$S$13</definedName>
    <definedName name="db.rc.Layer5.override.expo">'Rate Change'!$S$11</definedName>
    <definedName name="db.rc.Layer5.override.limit">'Rate Change'!$S$14</definedName>
    <definedName name="db.rc.Layer5.override.other">'Rate Change'!$S$16</definedName>
    <definedName name="db.rc.Layer5.override.riskchar">'Rate Change'!$S$12</definedName>
    <definedName name="db.rc.Layer5.override.tandc">'Rate Change'!$S$15</definedName>
    <definedName name="db.rc.Layer5.ratechange">'Rate Change'!$R$20</definedName>
    <definedName name="db.rc.Layer6.override.deduc">'Rate Change'!$V$13</definedName>
    <definedName name="db.rc.Layer6.override.expo">'Rate Change'!$V$11</definedName>
    <definedName name="db.rc.Layer6.override.limit">'Rate Change'!$V$14</definedName>
    <definedName name="db.rc.Layer6.override.other">'Rate Change'!$V$16</definedName>
    <definedName name="db.rc.Layer6.override.riskchar">'Rate Change'!$V$12</definedName>
    <definedName name="db.rc.Layer6.override.tandc">'Rate Change'!$V$15</definedName>
    <definedName name="db.rc.Layer6.ratechange">'Rate Change'!$U$20</definedName>
    <definedName name="db.rc.Layer7.override.deduc">'Rate Change'!$Y$13</definedName>
    <definedName name="db.rc.Layer7.override.expo">'Rate Change'!$Y$11</definedName>
    <definedName name="db.rc.Layer7.override.limit">'Rate Change'!$Y$14</definedName>
    <definedName name="db.rc.Layer7.override.other">'Rate Change'!$Y$16</definedName>
    <definedName name="db.rc.Layer7.override.riskchar">'Rate Change'!$Y$12</definedName>
    <definedName name="db.rc.Layer7.override.tandc">'Rate Change'!$Y$15</definedName>
    <definedName name="db.rc.Layer7.ratechange">'Rate Change'!$X$20</definedName>
    <definedName name="db.rc.Layer8.override.deduc">'Rate Change'!$AB$13</definedName>
    <definedName name="db.rc.Layer8.override.expo">'Rate Change'!$AB$11</definedName>
    <definedName name="db.rc.Layer8.override.limit">'Rate Change'!$AB$14</definedName>
    <definedName name="db.rc.Layer8.override.other">'Rate Change'!$AB$16</definedName>
    <definedName name="db.rc.Layer8.override.riskchar">'Rate Change'!$AB$12</definedName>
    <definedName name="db.rc.Layer8.override.tandc">'Rate Change'!$AB$15</definedName>
    <definedName name="db.rc.Layer8.ratechange">'Rate Change'!$AA$20</definedName>
    <definedName name="db.rc.Layer9.override.deduc">'Rate Change'!$AE$13</definedName>
    <definedName name="db.rc.Layer9.override.expo">'Rate Change'!$AE$11</definedName>
    <definedName name="db.rc.Layer9.override.limit">'Rate Change'!$AE$14</definedName>
    <definedName name="db.rc.Layer9.override.other">'Rate Change'!$AE$16</definedName>
    <definedName name="db.rc.Layer9.override.riskchar">'Rate Change'!$AE$12</definedName>
    <definedName name="db.rc.Layer9.override.tandc">'Rate Change'!$AE$15</definedName>
    <definedName name="db.rc.Layer9.ratechange">'Rate Change'!$AD$20</definedName>
    <definedName name="DB.ReasonComments">Rationale!$B$33</definedName>
    <definedName name="DB.Reference.Firm">OFFSET(#REF!,1,0,COUNTA(#REF!)-1,1)</definedName>
    <definedName name="DB.Reference.MasterFirmClaimDates">OFFSET(#REF!,1,0,COUNTA(#REF!)-1,1)</definedName>
    <definedName name="DB.RenewalIndicator">'Risk Information'!$D$38</definedName>
    <definedName name="DB.RiskAssessment.Agentsasemployees">'Risk assessment'!$C$12</definedName>
    <definedName name="DB.RiskAssessment.ClaimsHistory">'Risk assessment'!$C$6</definedName>
    <definedName name="DB.RiskAssessment.ClaimsHistory.DO">'Risk assessment'!$C$7</definedName>
    <definedName name="DB.RiskAssessment.Comments.Agentsasemployees">'Risk assessment'!$D$12</definedName>
    <definedName name="DB.RiskAssessment.Comments.ClaimsHistory">'Risk assessment'!$D$6</definedName>
    <definedName name="DB.RiskAssessment.Comments.ClaimsHistoryDO">'Risk assessment'!$D$7</definedName>
    <definedName name="DB.RiskAssessment.Comments.dandoPortfolioCompanies">'Risk assessment'!$D$23</definedName>
    <definedName name="DB.RiskAssessment.comments.datacentre">'Risk assessment'!$D$24</definedName>
    <definedName name="DB.RiskAssessment.Comments.DifferenceInConditions">'Risk assessment'!$D$26</definedName>
    <definedName name="DB.RiskAssessment.Comments.Extentofleveragedgearing">'Risk assessment'!$D$18</definedName>
    <definedName name="DB.RiskAssessment.comments.LoanCovenant">'Risk assessment'!$D$22</definedName>
    <definedName name="DB.RiskAssessment.Comments.Marketregulator">'Risk assessment'!$D$17</definedName>
    <definedName name="DB.RiskAssessment.Comments.Policywording">'Risk assessment'!$D$5</definedName>
    <definedName name="DB.RiskAssessment.Comments.Productcomplexity">'Risk assessment'!$D$15</definedName>
    <definedName name="DB.RiskAssessment.Comments.Qualityofbusinesscontinuityplan">'Risk assessment'!$D$16</definedName>
    <definedName name="DB.RiskAssessment.Comments.Qualityofclaimshandling">'Risk assessment'!$D$14</definedName>
    <definedName name="DB.RiskAssessment.Comments.Qualityofcontrols">'Risk assessment'!$D$11</definedName>
    <definedName name="DB.RiskAssessment.Comments.QualityofperformanceNonPEVC">'Risk assessment'!$D$19</definedName>
    <definedName name="DB.RiskAssessment.Comments.QualityofTechnologicalinfrastructure">'Risk assessment'!$D$10</definedName>
    <definedName name="DB.RiskAssessment.Comments.RedemptionGates">'Risk assessment'!$D$20</definedName>
    <definedName name="DB.RiskAssessment.Comments.Regulatoryrisk">'Risk assessment'!$D$13</definedName>
    <definedName name="DB.RiskAssessment.Comments.Riskmanagement">'Risk assessment'!$D$8</definedName>
    <definedName name="DB.RiskAssessment.Comments.Strengthoffinancials">'Risk assessment'!$D$9</definedName>
    <definedName name="DB.RiskAssessment.comments.techoutsourcing">'Risk assessment'!$D$25</definedName>
    <definedName name="DB.RiskAssessment.comments.UWAdj">'Risk assessment'!$D$27</definedName>
    <definedName name="DB.RiskAssessment.Comments.valuationforPEVC">'Risk assessment'!$D$21</definedName>
    <definedName name="DB.RiskAssessment.dandoPortfolioCompanies">'Risk assessment'!$C$23</definedName>
    <definedName name="DB.RiskAssessment.datacentre">'Risk assessment'!$C$24</definedName>
    <definedName name="DB.RiskAssessment.Extentofleveragedgearing">'Risk assessment'!$C$18</definedName>
    <definedName name="DB.RiskAssessment.LoanCovenant">'Risk assessment'!$C$22</definedName>
    <definedName name="DB.RiskAssessment.Marketregulator">'Risk assessment'!$C$17</definedName>
    <definedName name="DB.RiskAssessment.Policywording">'Risk assessment'!$C$5</definedName>
    <definedName name="DB.RiskAssessment.Productcomplexity">'Risk assessment'!$C$15</definedName>
    <definedName name="DB.RiskAssessment.Qualityofbusinesscontinuityplan">'Risk assessment'!$C$16</definedName>
    <definedName name="DB.RiskAssessment.Qualityofclaimshandling">'Risk assessment'!$C$14</definedName>
    <definedName name="DB.RiskAssessment.Qualityofcontrols">'Risk assessment'!$C$11</definedName>
    <definedName name="DB.RiskAssessment.QualityofperformanceNonPEVC">'Risk assessment'!$C$19</definedName>
    <definedName name="DB.RiskAssessment.QualityofTechnologicalinfrastructure">'Risk assessment'!$C$10</definedName>
    <definedName name="DB.RiskAssessment.RedemptionGates">'Risk assessment'!$C$20</definedName>
    <definedName name="DB.RiskAssessment.Regulatoryrisk">'Risk assessment'!$C$13</definedName>
    <definedName name="DB.RiskAssessment.Riskmanagement">'Risk assessment'!$C$8</definedName>
    <definedName name="DB.RiskAssessment.SideADiffConditions">'Risk assessment'!$C$26</definedName>
    <definedName name="DB.RiskAssessment.Strengthoffinancials">'Risk assessment'!$C$9</definedName>
    <definedName name="DB.RiskAssessment.techoutsourcing">'Risk assessment'!$C$25</definedName>
    <definedName name="DB.RiskAssessment.UWAdj">'Risk assessment'!$C$27</definedName>
    <definedName name="DB.RiskAssessment.valuationforPEVC">'Risk assessment'!$C$21</definedName>
    <definedName name="DB.RiskInfo.CCY">'Exposure Details'!$C$5</definedName>
    <definedName name="DB.RiskInfo.CedantName">'Risk Information'!$D$42</definedName>
    <definedName name="DB.RiskInfo.Comments">'Risk Information'!$B$45</definedName>
    <definedName name="DB.RiskInfo.Country">'Risk Information'!$D$17</definedName>
    <definedName name="DB.RiskInfo.CoverCrime">'Risk Information'!$F$25</definedName>
    <definedName name="DB.RiskInfo.CoverDandO">'Risk Information'!$F$27</definedName>
    <definedName name="DB.RiskInfo.CoverPI">'Risk Information'!$F$26</definedName>
    <definedName name="DB.RiskInfo.DirectRI">'Risk Information'!$D$41</definedName>
    <definedName name="DB.RiskInfo.EEANonEEAIndicator">'Risk Information'!$D$37</definedName>
    <definedName name="DB.RiskInfo.Ownership">'Risk Information'!$D$20</definedName>
    <definedName name="DB.RiskInfo.Platform">'Risk Information'!$D$36</definedName>
    <definedName name="DB.RiskInfo.Region">'Risk Information'!$D$16</definedName>
    <definedName name="DB.RiskInfo.RunOff">'Risk Information'!$D$21</definedName>
    <definedName name="DB.RiskInfo.SubIndustry">'Risk Information'!$D$19</definedName>
    <definedName name="DB.RiskInformation.ExpiryID">'Risk Information'!$D$40</definedName>
    <definedName name="DB.RiskInformation.RenewalID">'Risk Information'!$D$39</definedName>
    <definedName name="DB.StartDate">'Risk Information'!$D$12</definedName>
    <definedName name="DB.Underwriter">'Risk Information'!$D$7</definedName>
    <definedName name="FlaggedHiddenSheetsIndex1" hidden="1">"Sheet: DirectCosts"</definedName>
    <definedName name="FlaggedHiddenSheetsIndex10" hidden="1">"Sheet: 2003 -RI spend - AB spreadsheet"</definedName>
    <definedName name="FlaggedHiddenSheetsIndex11" hidden="1">"Sheet: H1 Forecast - Syndicate"</definedName>
    <definedName name="FlaggedHiddenSheetsIndex12" hidden="1">"Sheet: Expenses - Jing"</definedName>
    <definedName name="FlaggedHiddenSheetsIndex13" hidden="1">"Sheet: Wizi extract - at 1811"</definedName>
    <definedName name="FlaggedHiddenSheetsIndex14" hidden="1">"Sheet: Wizi - currency"</definedName>
    <definedName name="FlaggedHiddenSheetsIndex15" hidden="1">"Sheet: Tech AC 2623"</definedName>
    <definedName name="FlaggedHiddenSheetsIndex16" hidden="1">"Sheet: Property bridge analysis"</definedName>
    <definedName name="FlaggedHiddenSheetsIndex17" hidden="1">"Sheet: Marine bridge analysis"</definedName>
    <definedName name="FlaggedHiddenSheetsIndex18" hidden="1">"Sheet: SLbridge analysis"</definedName>
    <definedName name="FlaggedHiddenSheetsIndex19" hidden="1">"Sheet: Treaty bridge analysis"</definedName>
    <definedName name="FlaggedHiddenSheetsIndex2" hidden="1">"Sheet: DirectCostComm"</definedName>
    <definedName name="FlaggedHiddenSheetsIndex3" hidden="1">"Sheet: ContLocation"</definedName>
    <definedName name="FlaggedHiddenSheetsIndex4" hidden="1">"Sheet: 2004 - Treaty - premiums"</definedName>
    <definedName name="FlaggedHiddenSheetsIndex5" hidden="1">"Sheet: 2003-Group Expenses"</definedName>
    <definedName name="FlaggedHiddenSheetsIndex6" hidden="1">"Sheet: 2004 - 623 Summary"</definedName>
    <definedName name="FlaggedHiddenSheetsIndex7" hidden="1">"Sheet: 2003 -Premiums - Agresso"</definedName>
    <definedName name="FlaggedHiddenSheetsIndex8" hidden="1">"Sheet: 2003 - DAC - Agresso"</definedName>
    <definedName name="FlaggedHiddenSheetsIndex9" hidden="1">"Sheet: 2003 - Pm &amp; DAC - Last 3m 2003"</definedName>
    <definedName name="FlaggedHiddenSheetsNumber" hidden="1">3</definedName>
    <definedName name="hghh" hidden="1">"Sheet: RetBBLActual"</definedName>
    <definedName name="IQ_ADDIN" hidden="1">"AUTO"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localSheetId="6" hidden="1">44288.6068171296</definedName>
    <definedName name="IQ_NAMES_REVISION_DATE_" hidden="1">"10/25/2021 12:20:04"</definedName>
    <definedName name="IQ_QTD" hidden="1">750000</definedName>
    <definedName name="IQ_TODAY" hidden="1">0</definedName>
    <definedName name="IQ_YTDMONTH" hidden="1">130000</definedName>
    <definedName name="o" hidden="1">"Sheet: RetGraphDataWA (2)"</definedName>
    <definedName name="Pal_Workbook_GUID" hidden="1">"WRLX4RIM5138YTAHDIGW12VL"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SettingsCbxFields" hidden="1">"Business Area"</definedName>
    <definedName name="SettingsCbxMonth" hidden="1">"February"</definedName>
    <definedName name="SettingsCbxYear" hidden="1">2001</definedName>
    <definedName name="SettingsChkDrill" hidden="1">TRUE</definedName>
    <definedName name="SettingsChkDrillConsolidate" hidden="1">TRUE</definedName>
    <definedName name="SettingsChkEssbase" hidden="1">TRUE</definedName>
    <definedName name="SettingsChkExtract" hidden="1">TRUE</definedName>
    <definedName name="SettingsChkPivot" hidden="1">TRUE</definedName>
    <definedName name="SettingsChkRefresh" hidden="1">TRUE</definedName>
    <definedName name="SettingsChkSave" hidden="1">TRUE</definedName>
    <definedName name="SettingsChkSaveToFile" hidden="1">TRUE</definedName>
    <definedName name="SettingsOptReports" hidden="1">TRUE</definedName>
    <definedName name="SettingsTxtCSVLoc" hidden="1">"X:\manrep\MGRACC\2001\Monthly Cost Downloads\Expenses11.csv"</definedName>
    <definedName name="SettingsTxtDataLoc" hidden="1">"X:\manrep\MGRACC\Cost Reports\Cost Reports Data.mdb"</definedName>
    <definedName name="SettingsTxtDrillClearIndicator" hidden="1">"Clear"</definedName>
    <definedName name="SettingsTxtDrillConsolidate" hidden="1">"Special"</definedName>
    <definedName name="SettingsTxtEsbIndicator" hidden="1">"EsbQry"</definedName>
    <definedName name="SettingsTxtFileName" hidden="1">"Cost Reports Mar 2002 "</definedName>
    <definedName name="SettingsTxtImportDataLoc" hidden="1">"X:\manrep\MGRACC\2002\Monthly Cost Downloads\Exp03.dbf"</definedName>
    <definedName name="SettingsTxtOutDest" hidden="1">"X:\manrep\MGRACC\Cost Reports"</definedName>
    <definedName name="SettingsTxtSheetsIndicator" hidden="1">"Rpt"</definedName>
    <definedName name="SettingsTxtShtIndicator" hidden="1">"Rpt"</definedName>
    <definedName name="SheetID" hidden="1">"ITG123RO200303R"</definedName>
    <definedName name="wrn.effinf1." hidden="1">{"effinf1",#N/A,FALSE,"Forecasts"}</definedName>
    <definedName name="wrn.effinf2." hidden="1">{"effinf2",#N/A,FALSE,"Forecasts"}</definedName>
    <definedName name="wrn.effinf3." hidden="1">{"effinf3",#N/A,FALSE,"Forecasts"}</definedName>
    <definedName name="wrn.exposure." hidden="1">{"exposure",#N/A,FALSE,"Exposure"}</definedName>
    <definedName name="wrn.fore1." hidden="1">{"fore1",#N/A,FALSE,"Forecasts"}</definedName>
    <definedName name="wrn.fore2." hidden="1">{"fore2",#N/A,FALSE,"Forecasts"}</definedName>
    <definedName name="wrn.fore3." hidden="1">{"fore3",#N/A,FALSE,"Forecasts"}</definedName>
    <definedName name="wrn.forebf." hidden="1">{"forebf",#N/A,FALSE,"Forecasts"}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13" i="49" l="1"/>
  <c r="C4" i="50"/>
  <c r="H9" i="49"/>
  <c r="H8" i="49"/>
  <c r="J5" i="49"/>
  <c r="I5" i="49"/>
  <c r="F5" i="49"/>
  <c r="E5" i="49"/>
  <c r="D27" i="19"/>
  <c r="D26" i="19"/>
  <c r="D25" i="19"/>
  <c r="D19" i="110"/>
  <c r="D18" i="110" l="1"/>
  <c r="D9" i="110"/>
  <c r="D3" i="110" l="1"/>
  <c r="F1" i="49" l="1"/>
  <c r="J1" i="49"/>
  <c r="U20" i="110" l="1"/>
  <c r="O20" i="110"/>
  <c r="R20" i="110"/>
  <c r="I20" i="110"/>
  <c r="AG20" i="110"/>
  <c r="L20" i="110" l="1"/>
  <c r="AD20" i="110"/>
  <c r="F20" i="110"/>
  <c r="AA20" i="110"/>
  <c r="X20" i="1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Francisco Gari</author>
  </authors>
  <commentList>
    <comment ref="AV6" authorId="0" shapeId="0" xr:uid="{00000000-0006-0000-0700-000001000000}">
      <text>
        <r>
          <rPr>
            <sz val="9"/>
            <color indexed="81"/>
            <rFont val="Tahoma"/>
            <family val="2"/>
          </rPr>
          <t>Brokerage</t>
        </r>
      </text>
    </comment>
    <comment ref="AW6" authorId="0" shapeId="0" xr:uid="{00000000-0006-0000-0700-000002000000}">
      <text>
        <r>
          <rPr>
            <sz val="9"/>
            <color indexed="81"/>
            <rFont val="Tahoma"/>
            <family val="2"/>
          </rPr>
          <t>No claims bonus</t>
        </r>
      </text>
    </comment>
    <comment ref="AX6" authorId="0" shapeId="0" xr:uid="{00000000-0006-0000-0700-000003000000}">
      <text>
        <r>
          <rPr>
            <sz val="9"/>
            <color indexed="81"/>
            <rFont val="Tahoma"/>
            <family val="2"/>
          </rPr>
          <t>Long term agreement</t>
        </r>
      </text>
    </comment>
    <comment ref="AV29" authorId="0" shapeId="0" xr:uid="{00000000-0006-0000-0700-000004000000}">
      <text>
        <r>
          <rPr>
            <sz val="9"/>
            <color indexed="81"/>
            <rFont val="Tahoma"/>
            <family val="2"/>
          </rPr>
          <t>Brokerage</t>
        </r>
      </text>
    </comment>
    <comment ref="AW29" authorId="0" shapeId="0" xr:uid="{00000000-0006-0000-0700-000005000000}">
      <text>
        <r>
          <rPr>
            <sz val="9"/>
            <color indexed="81"/>
            <rFont val="Tahoma"/>
            <family val="2"/>
          </rPr>
          <t>No claims bonus</t>
        </r>
      </text>
    </comment>
    <comment ref="AX29" authorId="0" shapeId="0" xr:uid="{00000000-0006-0000-0700-000006000000}">
      <text>
        <r>
          <rPr>
            <sz val="9"/>
            <color indexed="81"/>
            <rFont val="Tahoma"/>
            <family val="2"/>
          </rPr>
          <t>Long term agreement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Connection" type="7" refreshedVersion="0" background="1"/>
  <connection id="2" xr16:uid="{00000000-0015-0000-FFFF-FFFF01000000}" name="Connection1" type="7" refreshedVersion="0" background="1"/>
  <connection id="3" xr16:uid="{00000000-0015-0000-FFFF-FFFF02000000}" name="Connection10" type="7" refreshedVersion="0" background="1"/>
  <connection id="4" xr16:uid="{00000000-0015-0000-FFFF-FFFF03000000}" name="Connection11" type="7" refreshedVersion="0" background="1"/>
  <connection id="5" xr16:uid="{00000000-0015-0000-FFFF-FFFF04000000}" name="Connection12" type="7" refreshedVersion="0" background="1"/>
  <connection id="6" xr16:uid="{00000000-0015-0000-FFFF-FFFF05000000}" name="Connection13" type="7" refreshedVersion="0" background="1"/>
  <connection id="7" xr16:uid="{00000000-0015-0000-FFFF-FFFF06000000}" name="Connection14" type="7" refreshedVersion="0" background="1"/>
  <connection id="8" xr16:uid="{00000000-0015-0000-FFFF-FFFF07000000}" name="Connection15" type="7" refreshedVersion="0" background="1"/>
  <connection id="9" xr16:uid="{00000000-0015-0000-FFFF-FFFF08000000}" name="Connection16" type="7" refreshedVersion="0" background="1"/>
  <connection id="10" xr16:uid="{00000000-0015-0000-FFFF-FFFF09000000}" name="Connection17" type="7" refreshedVersion="0" background="1"/>
  <connection id="11" xr16:uid="{00000000-0015-0000-FFFF-FFFF0A000000}" name="Connection18" type="7" refreshedVersion="0" background="1"/>
  <connection id="12" xr16:uid="{00000000-0015-0000-FFFF-FFFF0B000000}" name="Connection19" type="7" refreshedVersion="0" background="1"/>
  <connection id="13" xr16:uid="{00000000-0015-0000-FFFF-FFFF0C000000}" name="Connection2" type="7" refreshedVersion="0" background="1"/>
  <connection id="14" xr16:uid="{00000000-0015-0000-FFFF-FFFF0D000000}" name="Connection20" type="7" refreshedVersion="0" background="1"/>
  <connection id="15" xr16:uid="{00000000-0015-0000-FFFF-FFFF0E000000}" name="Connection21" type="7" refreshedVersion="0" background="1"/>
  <connection id="16" xr16:uid="{00000000-0015-0000-FFFF-FFFF0F000000}" name="Connection22" type="7" refreshedVersion="0" background="1"/>
  <connection id="17" xr16:uid="{00000000-0015-0000-FFFF-FFFF10000000}" name="Connection23" type="7" refreshedVersion="0" background="1"/>
  <connection id="18" xr16:uid="{00000000-0015-0000-FFFF-FFFF11000000}" name="Connection24" type="7" refreshedVersion="0" background="1"/>
  <connection id="19" xr16:uid="{00000000-0015-0000-FFFF-FFFF12000000}" name="Connection25" type="7" refreshedVersion="0" background="1"/>
  <connection id="20" xr16:uid="{00000000-0015-0000-FFFF-FFFF13000000}" name="Connection26" type="7" refreshedVersion="0" background="1"/>
  <connection id="21" xr16:uid="{00000000-0015-0000-FFFF-FFFF14000000}" name="Connection27" type="7" refreshedVersion="0" background="1"/>
  <connection id="22" xr16:uid="{00000000-0015-0000-FFFF-FFFF15000000}" name="Connection28" type="7" refreshedVersion="0" background="1"/>
  <connection id="23" xr16:uid="{00000000-0015-0000-FFFF-FFFF16000000}" name="Connection29" type="7" refreshedVersion="0" background="1"/>
  <connection id="24" xr16:uid="{00000000-0015-0000-FFFF-FFFF17000000}" name="Connection3" type="7" refreshedVersion="0" background="1"/>
  <connection id="25" xr16:uid="{00000000-0015-0000-FFFF-FFFF18000000}" name="Connection30" type="7" refreshedVersion="0" background="1"/>
  <connection id="26" xr16:uid="{00000000-0015-0000-FFFF-FFFF19000000}" name="Connection31" type="7" refreshedVersion="0" background="1"/>
  <connection id="27" xr16:uid="{00000000-0015-0000-FFFF-FFFF1A000000}" name="Connection4" type="7" refreshedVersion="0" background="1"/>
  <connection id="28" xr16:uid="{00000000-0015-0000-FFFF-FFFF1B000000}" name="Connection5" type="7" refreshedVersion="0" background="1"/>
  <connection id="29" xr16:uid="{00000000-0015-0000-FFFF-FFFF1C000000}" name="Connection6" type="7" refreshedVersion="0" background="1"/>
  <connection id="30" xr16:uid="{00000000-0015-0000-FFFF-FFFF1D000000}" name="Connection7" type="7" refreshedVersion="0" background="1"/>
  <connection id="31" xr16:uid="{00000000-0015-0000-FFFF-FFFF1E000000}" name="Connection8" type="7" refreshedVersion="0" background="1"/>
  <connection id="32" xr16:uid="{00000000-0015-0000-FFFF-FFFF1F000000}" name="Connection9" type="7" refreshedVersion="0" background="1"/>
</connections>
</file>

<file path=xl/sharedStrings.xml><?xml version="1.0" encoding="utf-8"?>
<sst xmlns="http://schemas.openxmlformats.org/spreadsheetml/2006/main" count="1507" uniqueCount="263">
  <si>
    <t>Limit</t>
  </si>
  <si>
    <t>No</t>
  </si>
  <si>
    <t>BPI%</t>
  </si>
  <si>
    <t>Other</t>
  </si>
  <si>
    <t>Policy Reference</t>
  </si>
  <si>
    <t>Status</t>
  </si>
  <si>
    <t>Underwriter:</t>
  </si>
  <si>
    <t>Insured:</t>
  </si>
  <si>
    <t/>
  </si>
  <si>
    <t>Renewal:</t>
  </si>
  <si>
    <t>Retail</t>
  </si>
  <si>
    <t>Comment</t>
  </si>
  <si>
    <t>Canada</t>
  </si>
  <si>
    <t>Primary</t>
  </si>
  <si>
    <t>Industry:</t>
  </si>
  <si>
    <t>Europe</t>
  </si>
  <si>
    <t>Crime</t>
  </si>
  <si>
    <t>PI</t>
  </si>
  <si>
    <t>D&amp;O</t>
  </si>
  <si>
    <t>Main listing (if public)</t>
  </si>
  <si>
    <t>IPO Date</t>
  </si>
  <si>
    <t>Market Cap (if public)</t>
  </si>
  <si>
    <t>Market Cap % in US exchanges</t>
  </si>
  <si>
    <t>Employees</t>
  </si>
  <si>
    <t>Total amounts</t>
  </si>
  <si>
    <t>Check on total</t>
  </si>
  <si>
    <t>Amounts</t>
  </si>
  <si>
    <t>Percentages</t>
  </si>
  <si>
    <t>Total %</t>
  </si>
  <si>
    <t>Credit Rating</t>
  </si>
  <si>
    <t>S&amp;P</t>
  </si>
  <si>
    <t>Moody's</t>
  </si>
  <si>
    <t>Fitch</t>
  </si>
  <si>
    <t>Interest income</t>
  </si>
  <si>
    <t>Fee income</t>
  </si>
  <si>
    <t>Trading income</t>
  </si>
  <si>
    <t>Other income</t>
  </si>
  <si>
    <t>Life insurance</t>
  </si>
  <si>
    <t>P&amp;C insurance</t>
  </si>
  <si>
    <t>Personal lines</t>
  </si>
  <si>
    <t>Commercial lines</t>
  </si>
  <si>
    <t>Medical/Healthcare</t>
  </si>
  <si>
    <t>Solvency Ratio</t>
  </si>
  <si>
    <t>Short/Long tail</t>
  </si>
  <si>
    <t>Institutional advisory</t>
  </si>
  <si>
    <t>Institutional execution only</t>
  </si>
  <si>
    <t>Retail advisory</t>
  </si>
  <si>
    <t>Retail execution only</t>
  </si>
  <si>
    <t>Retail Discretionary</t>
  </si>
  <si>
    <t>Exchange</t>
  </si>
  <si>
    <t>Listing</t>
  </si>
  <si>
    <t>Clearing &amp; Settlement</t>
  </si>
  <si>
    <t>Depositary</t>
  </si>
  <si>
    <t>Underwriting considerations</t>
  </si>
  <si>
    <t>Risk category</t>
  </si>
  <si>
    <t>Strength of financials</t>
  </si>
  <si>
    <t>Quality of technological infrastructure</t>
  </si>
  <si>
    <t>Quality of claims handling</t>
  </si>
  <si>
    <t>Policy wording</t>
  </si>
  <si>
    <t>Coverage specifics</t>
  </si>
  <si>
    <t>Number of layers required</t>
  </si>
  <si>
    <t>Reinstatements</t>
  </si>
  <si>
    <t>Brokerage &amp; Discounts</t>
  </si>
  <si>
    <t>Split of premium</t>
  </si>
  <si>
    <t>Layer</t>
  </si>
  <si>
    <t>BRK%</t>
  </si>
  <si>
    <t>NCB%</t>
  </si>
  <si>
    <t>LTA%</t>
  </si>
  <si>
    <t>1st excess</t>
  </si>
  <si>
    <t>2nd excess</t>
  </si>
  <si>
    <t>3rd excess</t>
  </si>
  <si>
    <t>4th excess</t>
  </si>
  <si>
    <t>5th excess</t>
  </si>
  <si>
    <t>6th excess</t>
  </si>
  <si>
    <t>7th excess</t>
  </si>
  <si>
    <t>8th excess</t>
  </si>
  <si>
    <t>9th excess</t>
  </si>
  <si>
    <t>10th excess</t>
  </si>
  <si>
    <t>Program Structure - values in USD</t>
  </si>
  <si>
    <t>Africa</t>
  </si>
  <si>
    <t>Arab States</t>
  </si>
  <si>
    <t>Asia</t>
  </si>
  <si>
    <t>Oceania</t>
  </si>
  <si>
    <t>Former Soviet Republics</t>
  </si>
  <si>
    <t>USA</t>
  </si>
  <si>
    <t>South/Latin America</t>
  </si>
  <si>
    <t>Caribbean</t>
  </si>
  <si>
    <t>Assets</t>
  </si>
  <si>
    <t>Inception Date:</t>
  </si>
  <si>
    <t>Expiry Date:</t>
  </si>
  <si>
    <t>ACCOUNT DETAILS</t>
  </si>
  <si>
    <t>Broker Name:</t>
  </si>
  <si>
    <t>Broker Contact:</t>
  </si>
  <si>
    <t>BROKER DETAILS</t>
  </si>
  <si>
    <t>Region of domicile:</t>
  </si>
  <si>
    <t>Country of Domicile:</t>
  </si>
  <si>
    <t>Sub Industry:</t>
  </si>
  <si>
    <t>Ownership type:</t>
  </si>
  <si>
    <t>OTHER INFORMATION</t>
  </si>
  <si>
    <t>COVER REQUIRED</t>
  </si>
  <si>
    <t>Crime:</t>
  </si>
  <si>
    <t>PI:</t>
  </si>
  <si>
    <t>D&amp;O:</t>
  </si>
  <si>
    <t>Platform:</t>
  </si>
  <si>
    <t>Direct/RI:</t>
  </si>
  <si>
    <t>COMMENTS</t>
  </si>
  <si>
    <t>RoW</t>
  </si>
  <si>
    <t>Slip Leader</t>
  </si>
  <si>
    <t>Reinsurance</t>
  </si>
  <si>
    <t>Retroactive date - D&amp;O</t>
  </si>
  <si>
    <t>Retroactive date - Crime</t>
  </si>
  <si>
    <t>Retroactive date - PI</t>
  </si>
  <si>
    <t>Renewal</t>
  </si>
  <si>
    <t>Number of locations</t>
  </si>
  <si>
    <t>Revenue split by activity</t>
  </si>
  <si>
    <t>Premium Income split</t>
  </si>
  <si>
    <t>Direct or via Intermediaries</t>
  </si>
  <si>
    <t>Net ROL</t>
  </si>
  <si>
    <t>Actual ILF</t>
  </si>
  <si>
    <t>Quality of physical controls</t>
  </si>
  <si>
    <t>Regulatory risk</t>
  </si>
  <si>
    <t>Complexity of insured's products/services</t>
  </si>
  <si>
    <t>Quality of business continuity plans</t>
  </si>
  <si>
    <t>Investment performance</t>
  </si>
  <si>
    <t>Net inflow/outflows</t>
  </si>
  <si>
    <t>Quality of risk management</t>
  </si>
  <si>
    <t>Combined Ratio</t>
  </si>
  <si>
    <t>Committed Capital</t>
  </si>
  <si>
    <t>Invested Capital</t>
  </si>
  <si>
    <t>Number of outside directorship positions</t>
  </si>
  <si>
    <t>Average value of transactions</t>
  </si>
  <si>
    <t>Average fee income from transactions</t>
  </si>
  <si>
    <t>Number of outside board positions</t>
  </si>
  <si>
    <t>Establishment/admin of companies</t>
  </si>
  <si>
    <t>Establishment/admin of trusts</t>
  </si>
  <si>
    <t>Outside board positions</t>
  </si>
  <si>
    <t>Legal advice</t>
  </si>
  <si>
    <t>Accountancy</t>
  </si>
  <si>
    <t>Tax</t>
  </si>
  <si>
    <t>US Listing</t>
  </si>
  <si>
    <t>Are agents included as employees?</t>
  </si>
  <si>
    <t>Is the insured a regulatory body?</t>
  </si>
  <si>
    <t>Loan covenant breach?</t>
  </si>
  <si>
    <t>Satisfactory external annual valuation/validation?</t>
  </si>
  <si>
    <t>D&amp;O cover purchased for portfolio companies?</t>
  </si>
  <si>
    <t>Data centre strategy?</t>
  </si>
  <si>
    <t>Technology Outsourcing?</t>
  </si>
  <si>
    <t>Currency of insurance program</t>
  </si>
  <si>
    <t>Tower 1</t>
  </si>
  <si>
    <t>Tower 2</t>
  </si>
  <si>
    <t>Tower 3</t>
  </si>
  <si>
    <t>Tower 4</t>
  </si>
  <si>
    <t>Tower 5</t>
  </si>
  <si>
    <t>Tower 6</t>
  </si>
  <si>
    <t>Claims History - Crime &amp; PI</t>
  </si>
  <si>
    <t>Claims History - D&amp;O</t>
  </si>
  <si>
    <t>Different sub-limits required?</t>
  </si>
  <si>
    <t>Total Program Limit for RTC</t>
  </si>
  <si>
    <t>Brokerage</t>
  </si>
  <si>
    <t>NCB</t>
  </si>
  <si>
    <t>LTA</t>
  </si>
  <si>
    <t>Number of Direct reinstatements</t>
  </si>
  <si>
    <t>Currency for exposure details</t>
  </si>
  <si>
    <t>Extent of leverage/gearing</t>
  </si>
  <si>
    <t>Institutional / HNW / Accredited</t>
  </si>
  <si>
    <t>Underwriting adjustment (-30% max credit)</t>
  </si>
  <si>
    <t>% Split</t>
  </si>
  <si>
    <t>Investor profile - Type</t>
  </si>
  <si>
    <t>Investor profile - Regions</t>
  </si>
  <si>
    <t>Split entered as</t>
  </si>
  <si>
    <t>a</t>
  </si>
  <si>
    <t>b</t>
  </si>
  <si>
    <t>1. Summary of Programme Discussion with Broker</t>
  </si>
  <si>
    <t>2. Comments on BPI and/or Rate Change</t>
  </si>
  <si>
    <t>3. Any other Factors not Captured Elsewhere</t>
  </si>
  <si>
    <t>11th excess</t>
  </si>
  <si>
    <t>12th excess</t>
  </si>
  <si>
    <t>13th excess</t>
  </si>
  <si>
    <t>14th excess</t>
  </si>
  <si>
    <t>15th excess</t>
  </si>
  <si>
    <t>Crime (Fund)</t>
  </si>
  <si>
    <t>PI (Fund)</t>
  </si>
  <si>
    <t>D&amp;O (Fund)</t>
  </si>
  <si>
    <t>100% Premium (USD)</t>
  </si>
  <si>
    <t>100% Net Prem</t>
  </si>
  <si>
    <t>AFB Net Prem</t>
  </si>
  <si>
    <t>AUM</t>
  </si>
  <si>
    <t>Primary Layer</t>
  </si>
  <si>
    <t>EEA</t>
  </si>
  <si>
    <t>Fill in section below if these inputs apply across all layers within the program, otherwise leave blank</t>
  </si>
  <si>
    <t>Renewal ID</t>
  </si>
  <si>
    <t>Expiry ID</t>
  </si>
  <si>
    <t>Annual Gross Benchmark Premium (100%)</t>
  </si>
  <si>
    <t>Pro Rata Gross Benchmark Premium (100%)</t>
  </si>
  <si>
    <t>AFB Net Prem (USD)</t>
  </si>
  <si>
    <t>Beazley Exposure (USD)</t>
  </si>
  <si>
    <t>Cedant Name:</t>
  </si>
  <si>
    <t>Non EEA</t>
  </si>
  <si>
    <t xml:space="preserve"> </t>
  </si>
  <si>
    <t>Gross Revenue</t>
  </si>
  <si>
    <t>Expiry</t>
  </si>
  <si>
    <t>RC value used</t>
  </si>
  <si>
    <t>Override</t>
  </si>
  <si>
    <t>Risk characteristics change dictates change of</t>
  </si>
  <si>
    <t>c</t>
  </si>
  <si>
    <t>d</t>
  </si>
  <si>
    <t>Limit change dictates change of</t>
  </si>
  <si>
    <t>e</t>
  </si>
  <si>
    <t xml:space="preserve">Terms and conditions change dictates change of </t>
  </si>
  <si>
    <t>f</t>
  </si>
  <si>
    <t>Other (inc brokerage)</t>
  </si>
  <si>
    <t>Rate Change</t>
  </si>
  <si>
    <t>Coverage</t>
  </si>
  <si>
    <t>Sublimits</t>
  </si>
  <si>
    <t>TPI%</t>
  </si>
  <si>
    <t>Annual Gross Technical Premium (100%)</t>
  </si>
  <si>
    <t>Pro-Rata Gross Technical Premium (100%)</t>
  </si>
  <si>
    <t>Run-off Indicator:</t>
  </si>
  <si>
    <t>Deductible change dictates change of</t>
  </si>
  <si>
    <t>Difference in Conditions only (A-side DIC only)</t>
  </si>
  <si>
    <t>Annual Gross Technical Premium (AFB)</t>
  </si>
  <si>
    <t>Pro-Rata Gross Technical Premium (AFB)</t>
  </si>
  <si>
    <t>EEA and Non-EEA Ref:</t>
  </si>
  <si>
    <t>Exposure change dictates change of</t>
  </si>
  <si>
    <t>Investment Management</t>
  </si>
  <si>
    <t>Personal Services</t>
  </si>
  <si>
    <t>Legal &amp; Advisory Services</t>
  </si>
  <si>
    <t>Family Group Services</t>
  </si>
  <si>
    <t>ESG add'l capacity</t>
  </si>
  <si>
    <t>4. Comments on ESG</t>
  </si>
  <si>
    <t>5. I am writing this risk because:</t>
  </si>
  <si>
    <t>6. Any other documents/attachments are stored at (including file name):</t>
  </si>
  <si>
    <t>1st Excess</t>
  </si>
  <si>
    <t>2nd Excess</t>
  </si>
  <si>
    <t>3rd Excess</t>
  </si>
  <si>
    <t>4th Excess</t>
  </si>
  <si>
    <t>5th Excess</t>
  </si>
  <si>
    <t>6th Excess</t>
  </si>
  <si>
    <t>7th Excess</t>
  </si>
  <si>
    <t>8th Excess</t>
  </si>
  <si>
    <t>9th Excess</t>
  </si>
  <si>
    <t>10th Excess</t>
  </si>
  <si>
    <t>11th Excess</t>
  </si>
  <si>
    <t>12th Excess</t>
  </si>
  <si>
    <t>13th Excess</t>
  </si>
  <si>
    <t>14th Excess</t>
  </si>
  <si>
    <t>15th Excess</t>
  </si>
  <si>
    <t xml:space="preserve"> Expiring layer:</t>
  </si>
  <si>
    <t>Renewal layer:</t>
  </si>
  <si>
    <t xml:space="preserve">Crime </t>
  </si>
  <si>
    <t xml:space="preserve">PI </t>
  </si>
  <si>
    <t xml:space="preserve">D&amp;O </t>
  </si>
  <si>
    <t>hx option ID</t>
  </si>
  <si>
    <t>Policy Reference - Non EE</t>
  </si>
  <si>
    <t>Excess</t>
  </si>
  <si>
    <t>AFB Line (%)</t>
  </si>
  <si>
    <t>No. of Reinst (Direct)</t>
  </si>
  <si>
    <t>Total Program Limit (RTC)</t>
  </si>
  <si>
    <t>Brokerage and Discounts (%)</t>
  </si>
  <si>
    <t>Beazley Exposure</t>
  </si>
  <si>
    <t>FI Rater</t>
  </si>
  <si>
    <t>100% Gross Premium</t>
  </si>
  <si>
    <t>100% Net 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</si>
</sst>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3" formatCode="_-* #,##0.00_-;\-* #,##0.00_-;_-* &quot;-&quot;??_-;_-@_-"/>
    <numFmt numFmtId="164" formatCode="_(&quot;£&quot;* #,##0_);_(&quot;£&quot;* \(#,##0\);_(&quot;£&quot;* &quot;-&quot;_);_(@_)"/>
    <numFmt numFmtId="165" formatCode="_(* #,##0_);_(* \(#,##0\);_(* &quot;-&quot;_);_(@_)"/>
    <numFmt numFmtId="166" formatCode="_(&quot;£&quot;* #,##0.00_);_(&quot;£&quot;* \(#,##0.00\);_(&quot;£&quot;* &quot;-&quot;??_);_(@_)"/>
    <numFmt numFmtId="167" formatCode="_(* #,##0.00_);_(* \(#,##0.00\);_(* &quot;-&quot;??_);_(@_)"/>
    <numFmt numFmtId="168" formatCode="0.0%"/>
    <numFmt numFmtId="169" formatCode="_-* #,##0_-;\-* #,##0_-;_-* &quot;-&quot;??_-;_-@_-"/>
    <numFmt numFmtId="170" formatCode="_(* #,##0_);_(* \(#,##0\);_(* &quot;-&quot;??_);_(@_)"/>
    <numFmt numFmtId="171" formatCode="dd\-mmm\-yyyy"/>
    <numFmt numFmtId="172" formatCode="ddmmmyy"/>
    <numFmt numFmtId="173" formatCode="[&gt;=1000000]#,##0.00,,_)&quot;M&quot;_);[&lt;1000000]#,###"/>
    <numFmt numFmtId="174" formatCode="[&lt;1000000000]\ 0.0,,&quot; m&quot;;\ 0.0,,,&quot; bn&quot;"/>
    <numFmt numFmtId="175" formatCode="0.000%"/>
    <numFmt numFmtId="176" formatCode="[&lt;=999999]#,###;[&lt;=999990000]#,###.00,,&quot; m&quot;;#,##0.00,,,&quot; bn&quot;"/>
    <numFmt numFmtId="177" formatCode="[&lt;=999999]#,##0.0;[&lt;=999990000]#,###.00,,&quot; m&quot;;#,##0.00,,,&quot; bn&quot;"/>
    <numFmt numFmtId="178" formatCode="[&lt;1000000]\ 0.0,&quot;k&quot;;\ 0.0,,&quot;m&quot;"/>
  </numFmts>
  <fonts count="71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</font>
    <font>
      <b/>
      <sz val="14"/>
      <color theme="0"/>
      <name val="Calibri"/>
      <family val="2"/>
    </font>
    <font>
      <sz val="11"/>
      <color rgb="FF00000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8"/>
      <color rgb="FF000000"/>
      <name val="Tahoma"/>
      <family val="2"/>
    </font>
    <font>
      <b/>
      <u/>
      <sz val="11"/>
      <color rgb="FFCF118C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i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14"/>
      <color rgb="FFFFFF00"/>
      <name val="Calibri"/>
      <family val="2"/>
    </font>
    <font>
      <i/>
      <sz val="11"/>
      <name val="Calibri"/>
      <family val="2"/>
    </font>
    <font>
      <b/>
      <i/>
      <sz val="11"/>
      <name val="Calibri"/>
      <family val="2"/>
    </font>
    <font>
      <b/>
      <i/>
      <sz val="9"/>
      <name val="Calibri"/>
      <family val="2"/>
    </font>
    <font>
      <sz val="10"/>
      <color rgb="FF000000"/>
      <name val="Tahoma"/>
      <family val="2"/>
    </font>
    <font>
      <sz val="10"/>
      <color rgb="FFFF0000"/>
      <name val="Tahoma"/>
      <family val="2"/>
    </font>
    <font>
      <i/>
      <sz val="10"/>
      <color rgb="FF000000"/>
      <name val="Tahoma"/>
      <family val="2"/>
    </font>
    <font>
      <b/>
      <i/>
      <sz val="10"/>
      <color rgb="FF000000"/>
      <name val="Tahoma"/>
      <family val="2"/>
    </font>
    <font>
      <b/>
      <i/>
      <sz val="10"/>
      <color theme="1"/>
      <name val="Tahoma"/>
      <family val="2"/>
    </font>
    <font>
      <b/>
      <sz val="10"/>
      <color rgb="FF000000"/>
      <name val="Tahoma"/>
      <family val="2"/>
    </font>
    <font>
      <sz val="10"/>
      <name val="Tahoma"/>
      <family val="2"/>
    </font>
    <font>
      <b/>
      <sz val="11"/>
      <name val="Tahoma"/>
      <family val="2"/>
    </font>
    <font>
      <b/>
      <sz val="10"/>
      <name val="Tahoma"/>
      <family val="2"/>
    </font>
    <font>
      <i/>
      <sz val="10"/>
      <color rgb="FFFF0000"/>
      <name val="Tahoma"/>
      <family val="2"/>
    </font>
    <font>
      <b/>
      <sz val="8"/>
      <color rgb="FF000000"/>
      <name val="Tahoma"/>
      <family val="2"/>
    </font>
    <font>
      <i/>
      <sz val="11"/>
      <color rgb="FF000000"/>
      <name val="Calibri"/>
      <family val="2"/>
    </font>
    <font>
      <sz val="10"/>
      <name val="Calibri"/>
      <family val="2"/>
    </font>
    <font>
      <i/>
      <sz val="10"/>
      <color rgb="FF92D050"/>
      <name val="Tahoma"/>
      <family val="2"/>
    </font>
    <font>
      <b/>
      <sz val="11"/>
      <color rgb="FFFF0000"/>
      <name val="Calibri"/>
      <family val="2"/>
    </font>
    <font>
      <b/>
      <sz val="10"/>
      <color rgb="FFFF0000"/>
      <name val="Tahoma"/>
      <family val="2"/>
    </font>
    <font>
      <i/>
      <sz val="8"/>
      <color rgb="FF000000"/>
      <name val="Tahoma"/>
      <family val="2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b/>
      <sz val="9"/>
      <color theme="1"/>
      <name val="Calibri"/>
      <family val="2"/>
      <scheme val="minor"/>
    </font>
    <font>
      <sz val="9"/>
      <name val="Calibri"/>
      <family val="2"/>
    </font>
    <font>
      <sz val="9"/>
      <color rgb="FF000000"/>
      <name val="Calibri"/>
      <family val="2"/>
    </font>
    <font>
      <b/>
      <sz val="10"/>
      <name val="Calibri"/>
      <family val="2"/>
    </font>
    <font>
      <b/>
      <sz val="10"/>
      <color rgb="FFFF0000"/>
      <name val="Calibri"/>
      <family val="2"/>
    </font>
    <font>
      <i/>
      <sz val="10"/>
      <name val="Calibri"/>
      <family val="2"/>
    </font>
    <font>
      <i/>
      <sz val="11"/>
      <color rgb="FFFF0000"/>
      <name val="Calibri"/>
      <family val="2"/>
    </font>
    <font>
      <i/>
      <sz val="10"/>
      <color rgb="FFFF0000"/>
      <name val="Calibri"/>
      <family val="2"/>
    </font>
    <font>
      <i/>
      <sz val="9"/>
      <color rgb="FFFF0000"/>
      <name val="Tahoma"/>
      <family val="2"/>
    </font>
    <font>
      <i/>
      <sz val="11"/>
      <name val="Calibri"/>
      <family val="2"/>
      <scheme val="minor"/>
    </font>
    <font>
      <b/>
      <sz val="14"/>
      <color rgb="FFD60093"/>
      <name val="Calibri"/>
      <family val="2"/>
      <scheme val="minor"/>
    </font>
    <font>
      <i/>
      <sz val="11"/>
      <color rgb="FFD60093"/>
      <name val="Calibri"/>
      <family val="2"/>
      <scheme val="minor"/>
    </font>
    <font>
      <sz val="10"/>
      <color rgb="FF000000"/>
      <name val="Calibri"/>
      <family val="2"/>
    </font>
    <font>
      <b/>
      <sz val="14"/>
      <name val="Calibri"/>
      <family val="2"/>
      <scheme val="minor"/>
    </font>
    <font>
      <sz val="8"/>
      <color rgb="FFEBEBEB"/>
      <name val="Tahoma"/>
      <family val="2"/>
    </font>
  </fonts>
  <fills count="4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CD8EF"/>
        <bgColor indexed="64"/>
      </patternFill>
    </fill>
    <fill>
      <patternFill patternType="solid">
        <fgColor rgb="FFFCF3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rgb="FF00CCC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2937">
    <xf numFmtId="0" fontId="0" fillId="0" borderId="0"/>
    <xf numFmtId="167" fontId="2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14" applyNumberFormat="0" applyFill="0" applyAlignment="0" applyProtection="0"/>
    <xf numFmtId="0" fontId="15" fillId="0" borderId="15" applyNumberFormat="0" applyFill="0" applyAlignment="0" applyProtection="0"/>
    <xf numFmtId="0" fontId="16" fillId="0" borderId="16" applyNumberFormat="0" applyFill="0" applyAlignment="0" applyProtection="0"/>
    <xf numFmtId="0" fontId="16" fillId="0" borderId="0" applyNumberFormat="0" applyFill="0" applyBorder="0" applyAlignment="0" applyProtection="0"/>
    <xf numFmtId="0" fontId="17" fillId="5" borderId="0" applyNumberFormat="0" applyBorder="0" applyAlignment="0" applyProtection="0"/>
    <xf numFmtId="0" fontId="18" fillId="6" borderId="0" applyNumberFormat="0" applyBorder="0" applyAlignment="0" applyProtection="0"/>
    <xf numFmtId="0" fontId="19" fillId="7" borderId="0" applyNumberFormat="0" applyBorder="0" applyAlignment="0" applyProtection="0"/>
    <xf numFmtId="0" fontId="20" fillId="8" borderId="17" applyNumberFormat="0" applyAlignment="0" applyProtection="0"/>
    <xf numFmtId="0" fontId="21" fillId="9" borderId="18" applyNumberFormat="0" applyAlignment="0" applyProtection="0"/>
    <xf numFmtId="0" fontId="22" fillId="9" borderId="17" applyNumberFormat="0" applyAlignment="0" applyProtection="0"/>
    <xf numFmtId="0" fontId="23" fillId="0" borderId="19" applyNumberFormat="0" applyFill="0" applyAlignment="0" applyProtection="0"/>
    <xf numFmtId="0" fontId="6" fillId="10" borderId="20" applyNumberFormat="0" applyAlignment="0" applyProtection="0"/>
    <xf numFmtId="0" fontId="3" fillId="0" borderId="0" applyNumberFormat="0" applyFill="0" applyBorder="0" applyAlignment="0" applyProtection="0"/>
    <xf numFmtId="0" fontId="2" fillId="11" borderId="21" applyNumberFormat="0" applyFont="0" applyAlignment="0" applyProtection="0"/>
    <xf numFmtId="0" fontId="24" fillId="0" borderId="0" applyNumberFormat="0" applyFill="0" applyBorder="0" applyAlignment="0" applyProtection="0"/>
    <xf numFmtId="0" fontId="4" fillId="0" borderId="22" applyNumberFormat="0" applyFill="0" applyAlignment="0" applyProtection="0"/>
    <xf numFmtId="0" fontId="8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8" fillId="35" borderId="0" applyNumberFormat="0" applyBorder="0" applyAlignment="0" applyProtection="0"/>
    <xf numFmtId="0" fontId="25" fillId="39" borderId="13" applyBorder="0"/>
    <xf numFmtId="0" fontId="26" fillId="39" borderId="0"/>
    <xf numFmtId="0" fontId="11" fillId="3" borderId="13" applyBorder="0">
      <alignment horizontal="center" vertical="center"/>
    </xf>
    <xf numFmtId="0" fontId="12" fillId="36" borderId="13" applyBorder="0">
      <protection locked="0"/>
    </xf>
    <xf numFmtId="0" fontId="12" fillId="36" borderId="13" applyBorder="0">
      <protection locked="0"/>
    </xf>
    <xf numFmtId="170" fontId="12" fillId="36" borderId="13" applyBorder="0">
      <protection locked="0"/>
    </xf>
    <xf numFmtId="167" fontId="12" fillId="36" borderId="13" applyBorder="0">
      <protection locked="0"/>
    </xf>
    <xf numFmtId="9" fontId="12" fillId="36" borderId="13" applyBorder="0">
      <protection locked="0"/>
    </xf>
    <xf numFmtId="168" fontId="12" fillId="36" borderId="13" applyBorder="0">
      <protection locked="0"/>
    </xf>
    <xf numFmtId="10" fontId="12" fillId="36" borderId="13" applyBorder="0">
      <protection locked="0"/>
    </xf>
    <xf numFmtId="171" fontId="12" fillId="36" borderId="13" applyBorder="0"/>
    <xf numFmtId="172" fontId="12" fillId="36" borderId="13" applyBorder="0">
      <protection locked="0"/>
    </xf>
    <xf numFmtId="0" fontId="12" fillId="37" borderId="13" applyBorder="0">
      <protection locked="0"/>
    </xf>
    <xf numFmtId="0" fontId="27" fillId="38" borderId="13" applyBorder="0"/>
    <xf numFmtId="170" fontId="27" fillId="38" borderId="13" applyBorder="0"/>
    <xf numFmtId="167" fontId="27" fillId="38" borderId="13" applyBorder="0"/>
    <xf numFmtId="9" fontId="27" fillId="38" borderId="13" applyBorder="0"/>
    <xf numFmtId="168" fontId="27" fillId="38" borderId="13" applyBorder="0"/>
    <xf numFmtId="10" fontId="27" fillId="38" borderId="13" applyBorder="0"/>
    <xf numFmtId="171" fontId="27" fillId="38" borderId="13" applyBorder="0"/>
    <xf numFmtId="172" fontId="27" fillId="38" borderId="13" applyBorder="0"/>
    <xf numFmtId="0" fontId="27" fillId="38" borderId="13" applyBorder="0"/>
    <xf numFmtId="170" fontId="27" fillId="38" borderId="13" applyBorder="0"/>
    <xf numFmtId="167" fontId="27" fillId="38" borderId="13" applyBorder="0"/>
    <xf numFmtId="9" fontId="27" fillId="38" borderId="13" applyBorder="0"/>
    <xf numFmtId="168" fontId="27" fillId="38" borderId="13" applyBorder="0"/>
    <xf numFmtId="10" fontId="27" fillId="38" borderId="13" applyBorder="0"/>
    <xf numFmtId="171" fontId="27" fillId="38" borderId="13" applyBorder="0"/>
    <xf numFmtId="172" fontId="27" fillId="38" borderId="13" applyBorder="0"/>
    <xf numFmtId="0" fontId="28" fillId="2" borderId="13">
      <alignment horizontal="center" vertical="center" wrapText="1"/>
    </xf>
    <xf numFmtId="0" fontId="28" fillId="39" borderId="0">
      <alignment horizontal="right"/>
    </xf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9" fontId="31" fillId="40" borderId="0">
      <alignment horizontal="center" vertical="center"/>
    </xf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1" fillId="40" borderId="0">
      <alignment horizontal="center" vertical="center"/>
    </xf>
    <xf numFmtId="167" fontId="12" fillId="36" borderId="13" applyBorder="0">
      <protection locked="0"/>
    </xf>
    <xf numFmtId="167" fontId="27" fillId="38" borderId="13" applyBorder="0"/>
    <xf numFmtId="167" fontId="27" fillId="38" borderId="13" applyBorder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2" fillId="36" borderId="13" applyBorder="0">
      <protection locked="0"/>
    </xf>
    <xf numFmtId="167" fontId="27" fillId="38" borderId="13" applyBorder="0"/>
    <xf numFmtId="167" fontId="27" fillId="38" borderId="13" applyBorder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55" fillId="0" borderId="0"/>
    <xf numFmtId="0" fontId="5" fillId="0" borderId="0"/>
    <xf numFmtId="167" fontId="5" fillId="0" borderId="0" applyFont="0" applyFill="0" applyBorder="0" applyAlignment="0" applyProtection="0"/>
    <xf numFmtId="0" fontId="2" fillId="0" borderId="0"/>
    <xf numFmtId="0" fontId="4" fillId="0" borderId="0" applyNumberFormat="0" applyFill="0" applyBorder="0" applyAlignment="0" applyProtection="0"/>
    <xf numFmtId="0" fontId="29" fillId="0" borderId="9" applyNumberFormat="0" applyFill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7" fillId="38" borderId="13" applyBorder="0"/>
    <xf numFmtId="43" fontId="12" fillId="36" borderId="13" applyBorder="0">
      <protection locked="0"/>
    </xf>
    <xf numFmtId="43" fontId="2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0" fontId="19" fillId="7" borderId="0" applyNumberFormat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5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12" fillId="36" borderId="13" applyBorder="0">
      <protection locked="0"/>
    </xf>
    <xf numFmtId="43" fontId="27" fillId="38" borderId="13" applyBorder="0"/>
    <xf numFmtId="43" fontId="12" fillId="36" borderId="13" applyBorder="0">
      <protection locked="0"/>
    </xf>
    <xf numFmtId="0" fontId="29" fillId="0" borderId="9" applyNumberFormat="0" applyFill="0" applyAlignment="0" applyProtection="0"/>
    <xf numFmtId="43" fontId="2" fillId="0" borderId="0" applyFont="0" applyFill="0" applyBorder="0" applyAlignment="0" applyProtection="0"/>
    <xf numFmtId="0" fontId="4" fillId="0" borderId="0" applyNumberFormat="0" applyFill="0" applyBorder="0" applyAlignment="0" applyProtection="0"/>
    <xf numFmtId="43" fontId="5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7" fillId="38" borderId="13" applyBorder="0"/>
    <xf numFmtId="43" fontId="27" fillId="38" borderId="13" applyBorder="0"/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7" fillId="38" borderId="13" applyBorder="0"/>
    <xf numFmtId="43" fontId="12" fillId="36" borderId="13" applyBorder="0">
      <protection locked="0"/>
    </xf>
    <xf numFmtId="43" fontId="2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5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12" fillId="36" borderId="13" applyBorder="0">
      <protection locked="0"/>
    </xf>
    <xf numFmtId="43" fontId="27" fillId="38" borderId="13" applyBorder="0"/>
    <xf numFmtId="43" fontId="12" fillId="36" borderId="13" applyBorder="0">
      <protection locked="0"/>
    </xf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7" fillId="38" borderId="13" applyBorder="0"/>
    <xf numFmtId="43" fontId="27" fillId="38" borderId="13" applyBorder="0"/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7" fillId="38" borderId="13" applyBorder="0"/>
    <xf numFmtId="43" fontId="12" fillId="36" borderId="13" applyBorder="0">
      <protection locked="0"/>
    </xf>
    <xf numFmtId="43" fontId="2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5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12" fillId="36" borderId="13" applyBorder="0">
      <protection locked="0"/>
    </xf>
    <xf numFmtId="43" fontId="27" fillId="38" borderId="13" applyBorder="0"/>
    <xf numFmtId="43" fontId="12" fillId="36" borderId="13" applyBorder="0">
      <protection locked="0"/>
    </xf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7" fillId="38" borderId="13" applyBorder="0"/>
    <xf numFmtId="43" fontId="27" fillId="38" borderId="13" applyBorder="0"/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7" fillId="38" borderId="13" applyBorder="0"/>
    <xf numFmtId="43" fontId="12" fillId="36" borderId="13" applyBorder="0">
      <protection locked="0"/>
    </xf>
    <xf numFmtId="43" fontId="2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5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12" fillId="36" borderId="13" applyBorder="0">
      <protection locked="0"/>
    </xf>
    <xf numFmtId="43" fontId="27" fillId="38" borderId="13" applyBorder="0"/>
    <xf numFmtId="43" fontId="12" fillId="36" borderId="13" applyBorder="0">
      <protection locked="0"/>
    </xf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7" fillId="38" borderId="13" applyBorder="0"/>
    <xf numFmtId="43" fontId="27" fillId="38" borderId="13" applyBorder="0"/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7" fillId="38" borderId="13" applyBorder="0"/>
    <xf numFmtId="43" fontId="12" fillId="36" borderId="13" applyBorder="0">
      <protection locked="0"/>
    </xf>
    <xf numFmtId="43" fontId="2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5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12" fillId="36" borderId="13" applyBorder="0">
      <protection locked="0"/>
    </xf>
    <xf numFmtId="43" fontId="27" fillId="38" borderId="13" applyBorder="0"/>
    <xf numFmtId="43" fontId="12" fillId="36" borderId="13" applyBorder="0">
      <protection locked="0"/>
    </xf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7" fillId="38" borderId="13" applyBorder="0"/>
    <xf numFmtId="43" fontId="27" fillId="38" borderId="13" applyBorder="0"/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7" fillId="38" borderId="13" applyBorder="0"/>
    <xf numFmtId="43" fontId="12" fillId="36" borderId="13" applyBorder="0">
      <protection locked="0"/>
    </xf>
    <xf numFmtId="43" fontId="2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5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12" fillId="36" borderId="13" applyBorder="0">
      <protection locked="0"/>
    </xf>
    <xf numFmtId="43" fontId="27" fillId="38" borderId="13" applyBorder="0"/>
    <xf numFmtId="43" fontId="12" fillId="36" borderId="13" applyBorder="0">
      <protection locked="0"/>
    </xf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7" fillId="38" borderId="13" applyBorder="0"/>
    <xf numFmtId="43" fontId="27" fillId="38" borderId="13" applyBorder="0"/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7" fillId="38" borderId="13" applyBorder="0"/>
    <xf numFmtId="43" fontId="12" fillId="36" borderId="13" applyBorder="0">
      <protection locked="0"/>
    </xf>
    <xf numFmtId="43" fontId="2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5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12" fillId="36" borderId="13" applyBorder="0">
      <protection locked="0"/>
    </xf>
    <xf numFmtId="43" fontId="27" fillId="38" borderId="13" applyBorder="0"/>
    <xf numFmtId="43" fontId="12" fillId="36" borderId="13" applyBorder="0">
      <protection locked="0"/>
    </xf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7" fillId="38" borderId="13" applyBorder="0"/>
    <xf numFmtId="43" fontId="27" fillId="38" borderId="13" applyBorder="0"/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7" fillId="38" borderId="13" applyBorder="0"/>
    <xf numFmtId="43" fontId="12" fillId="36" borderId="13" applyBorder="0">
      <protection locked="0"/>
    </xf>
    <xf numFmtId="43" fontId="2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5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12" fillId="36" borderId="13" applyBorder="0">
      <protection locked="0"/>
    </xf>
    <xf numFmtId="43" fontId="27" fillId="38" borderId="13" applyBorder="0"/>
    <xf numFmtId="43" fontId="12" fillId="36" borderId="13" applyBorder="0">
      <protection locked="0"/>
    </xf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7" fillId="38" borderId="13" applyBorder="0"/>
    <xf numFmtId="43" fontId="27" fillId="38" borderId="13" applyBorder="0"/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7" fillId="38" borderId="13" applyBorder="0"/>
    <xf numFmtId="43" fontId="12" fillId="36" borderId="13" applyBorder="0">
      <protection locked="0"/>
    </xf>
    <xf numFmtId="43" fontId="2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5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12" fillId="36" borderId="13" applyBorder="0">
      <protection locked="0"/>
    </xf>
    <xf numFmtId="43" fontId="27" fillId="38" borderId="13" applyBorder="0"/>
    <xf numFmtId="43" fontId="12" fillId="36" borderId="13" applyBorder="0">
      <protection locked="0"/>
    </xf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7" fillId="38" borderId="13" applyBorder="0"/>
    <xf numFmtId="43" fontId="27" fillId="38" borderId="13" applyBorder="0"/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7" fillId="38" borderId="13" applyBorder="0"/>
    <xf numFmtId="43" fontId="12" fillId="36" borderId="13" applyBorder="0">
      <protection locked="0"/>
    </xf>
    <xf numFmtId="43" fontId="2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5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12" fillId="36" borderId="13" applyBorder="0">
      <protection locked="0"/>
    </xf>
    <xf numFmtId="43" fontId="27" fillId="38" borderId="13" applyBorder="0"/>
    <xf numFmtId="43" fontId="12" fillId="36" borderId="13" applyBorder="0">
      <protection locked="0"/>
    </xf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7" fillId="38" borderId="13" applyBorder="0"/>
    <xf numFmtId="43" fontId="27" fillId="38" borderId="13" applyBorder="0"/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7" fillId="38" borderId="13" applyBorder="0"/>
    <xf numFmtId="43" fontId="12" fillId="36" borderId="13" applyBorder="0">
      <protection locked="0"/>
    </xf>
    <xf numFmtId="43" fontId="2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5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12" fillId="36" borderId="13" applyBorder="0">
      <protection locked="0"/>
    </xf>
    <xf numFmtId="43" fontId="27" fillId="38" borderId="13" applyBorder="0"/>
    <xf numFmtId="43" fontId="12" fillId="36" borderId="13" applyBorder="0">
      <protection locked="0"/>
    </xf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7" fillId="38" borderId="13" applyBorder="0"/>
    <xf numFmtId="43" fontId="27" fillId="38" borderId="13" applyBorder="0"/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7" fillId="38" borderId="13" applyBorder="0"/>
    <xf numFmtId="43" fontId="12" fillId="36" borderId="13" applyBorder="0">
      <protection locked="0"/>
    </xf>
    <xf numFmtId="43" fontId="2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5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12" fillId="36" borderId="13" applyBorder="0">
      <protection locked="0"/>
    </xf>
    <xf numFmtId="43" fontId="27" fillId="38" borderId="13" applyBorder="0"/>
    <xf numFmtId="43" fontId="12" fillId="36" borderId="13" applyBorder="0">
      <protection locked="0"/>
    </xf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7" fillId="38" borderId="13" applyBorder="0"/>
    <xf numFmtId="43" fontId="27" fillId="38" borderId="13" applyBorder="0"/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7" fillId="38" borderId="13" applyBorder="0"/>
    <xf numFmtId="43" fontId="12" fillId="36" borderId="13" applyBorder="0">
      <protection locked="0"/>
    </xf>
    <xf numFmtId="43" fontId="2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5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12" fillId="36" borderId="13" applyBorder="0">
      <protection locked="0"/>
    </xf>
    <xf numFmtId="43" fontId="27" fillId="38" borderId="13" applyBorder="0"/>
    <xf numFmtId="43" fontId="12" fillId="36" borderId="13" applyBorder="0">
      <protection locked="0"/>
    </xf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7" fillId="38" borderId="13" applyBorder="0"/>
    <xf numFmtId="43" fontId="27" fillId="38" borderId="13" applyBorder="0"/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7" fillId="38" borderId="13" applyBorder="0"/>
    <xf numFmtId="43" fontId="12" fillId="36" borderId="13" applyBorder="0">
      <protection locked="0"/>
    </xf>
    <xf numFmtId="43" fontId="2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5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12" fillId="36" borderId="13" applyBorder="0">
      <protection locked="0"/>
    </xf>
    <xf numFmtId="43" fontId="27" fillId="38" borderId="13" applyBorder="0"/>
    <xf numFmtId="43" fontId="12" fillId="36" borderId="13" applyBorder="0">
      <protection locked="0"/>
    </xf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7" fillId="38" borderId="13" applyBorder="0"/>
    <xf numFmtId="43" fontId="27" fillId="38" borderId="13" applyBorder="0"/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7" fillId="38" borderId="13" applyBorder="0"/>
    <xf numFmtId="43" fontId="12" fillId="36" borderId="13" applyBorder="0">
      <protection locked="0"/>
    </xf>
    <xf numFmtId="43" fontId="2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5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12" fillId="36" borderId="13" applyBorder="0">
      <protection locked="0"/>
    </xf>
    <xf numFmtId="43" fontId="27" fillId="38" borderId="13" applyBorder="0"/>
    <xf numFmtId="43" fontId="12" fillId="36" borderId="13" applyBorder="0">
      <protection locked="0"/>
    </xf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7" fillId="38" borderId="13" applyBorder="0"/>
    <xf numFmtId="43" fontId="27" fillId="38" borderId="13" applyBorder="0"/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7" fillId="38" borderId="13" applyBorder="0"/>
    <xf numFmtId="43" fontId="12" fillId="36" borderId="13" applyBorder="0">
      <protection locked="0"/>
    </xf>
    <xf numFmtId="43" fontId="2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5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12" fillId="36" borderId="13" applyBorder="0">
      <protection locked="0"/>
    </xf>
    <xf numFmtId="43" fontId="27" fillId="38" borderId="13" applyBorder="0"/>
    <xf numFmtId="43" fontId="12" fillId="36" borderId="13" applyBorder="0">
      <protection locked="0"/>
    </xf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7" fillId="38" borderId="13" applyBorder="0"/>
    <xf numFmtId="43" fontId="27" fillId="38" borderId="13" applyBorder="0"/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7" fillId="38" borderId="13" applyBorder="0"/>
    <xf numFmtId="43" fontId="12" fillId="36" borderId="13" applyBorder="0">
      <protection locked="0"/>
    </xf>
    <xf numFmtId="43" fontId="2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5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12" fillId="36" borderId="13" applyBorder="0">
      <protection locked="0"/>
    </xf>
    <xf numFmtId="43" fontId="27" fillId="38" borderId="13" applyBorder="0"/>
    <xf numFmtId="43" fontId="12" fillId="36" borderId="13" applyBorder="0">
      <protection locked="0"/>
    </xf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7" fillId="38" borderId="13" applyBorder="0"/>
    <xf numFmtId="43" fontId="27" fillId="38" borderId="13" applyBorder="0"/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7" fillId="38" borderId="13" applyBorder="0"/>
    <xf numFmtId="43" fontId="12" fillId="36" borderId="13" applyBorder="0">
      <protection locked="0"/>
    </xf>
    <xf numFmtId="43" fontId="2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5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12" fillId="36" borderId="13" applyBorder="0">
      <protection locked="0"/>
    </xf>
    <xf numFmtId="43" fontId="27" fillId="38" borderId="13" applyBorder="0"/>
    <xf numFmtId="43" fontId="12" fillId="36" borderId="13" applyBorder="0">
      <protection locked="0"/>
    </xf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7" fillId="38" borderId="13" applyBorder="0"/>
    <xf numFmtId="43" fontId="27" fillId="38" borderId="13" applyBorder="0"/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7" fillId="38" borderId="13" applyBorder="0"/>
    <xf numFmtId="43" fontId="12" fillId="36" borderId="13" applyBorder="0">
      <protection locked="0"/>
    </xf>
    <xf numFmtId="43" fontId="2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5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12" fillId="36" borderId="13" applyBorder="0">
      <protection locked="0"/>
    </xf>
    <xf numFmtId="43" fontId="27" fillId="38" borderId="13" applyBorder="0"/>
    <xf numFmtId="43" fontId="12" fillId="36" borderId="13" applyBorder="0">
      <protection locked="0"/>
    </xf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7" fillId="38" borderId="13" applyBorder="0"/>
    <xf numFmtId="43" fontId="27" fillId="38" borderId="13" applyBorder="0"/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7" fillId="38" borderId="13" applyBorder="0"/>
    <xf numFmtId="43" fontId="12" fillId="36" borderId="13" applyBorder="0">
      <protection locked="0"/>
    </xf>
    <xf numFmtId="43" fontId="2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5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12" fillId="36" borderId="13" applyBorder="0">
      <protection locked="0"/>
    </xf>
    <xf numFmtId="43" fontId="27" fillId="38" borderId="13" applyBorder="0"/>
    <xf numFmtId="43" fontId="12" fillId="36" borderId="13" applyBorder="0">
      <protection locked="0"/>
    </xf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7" fillId="38" borderId="13" applyBorder="0"/>
    <xf numFmtId="43" fontId="27" fillId="38" borderId="13" applyBorder="0"/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7" fillId="38" borderId="13" applyBorder="0"/>
    <xf numFmtId="43" fontId="12" fillId="36" borderId="13" applyBorder="0">
      <protection locked="0"/>
    </xf>
    <xf numFmtId="43" fontId="2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5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12" fillId="36" borderId="13" applyBorder="0">
      <protection locked="0"/>
    </xf>
    <xf numFmtId="43" fontId="27" fillId="38" borderId="13" applyBorder="0"/>
    <xf numFmtId="43" fontId="12" fillId="36" borderId="13" applyBorder="0">
      <protection locked="0"/>
    </xf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7" fillId="38" borderId="13" applyBorder="0"/>
    <xf numFmtId="43" fontId="27" fillId="38" borderId="13" applyBorder="0"/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7" fillId="38" borderId="13" applyBorder="0"/>
    <xf numFmtId="43" fontId="12" fillId="36" borderId="13" applyBorder="0">
      <protection locked="0"/>
    </xf>
    <xf numFmtId="43" fontId="2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5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12" fillId="36" borderId="13" applyBorder="0">
      <protection locked="0"/>
    </xf>
    <xf numFmtId="43" fontId="27" fillId="38" borderId="13" applyBorder="0"/>
    <xf numFmtId="43" fontId="12" fillId="36" borderId="13" applyBorder="0">
      <protection locked="0"/>
    </xf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7" fillId="38" borderId="13" applyBorder="0"/>
    <xf numFmtId="43" fontId="27" fillId="38" borderId="13" applyBorder="0"/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7" fillId="38" borderId="13" applyBorder="0"/>
    <xf numFmtId="43" fontId="12" fillId="36" borderId="13" applyBorder="0">
      <protection locked="0"/>
    </xf>
    <xf numFmtId="43" fontId="2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5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12" fillId="36" borderId="13" applyBorder="0">
      <protection locked="0"/>
    </xf>
    <xf numFmtId="43" fontId="27" fillId="38" borderId="13" applyBorder="0"/>
    <xf numFmtId="43" fontId="12" fillId="36" borderId="13" applyBorder="0">
      <protection locked="0"/>
    </xf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7" fillId="38" borderId="13" applyBorder="0"/>
    <xf numFmtId="43" fontId="27" fillId="38" borderId="13" applyBorder="0"/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7" fillId="38" borderId="13" applyBorder="0"/>
    <xf numFmtId="43" fontId="12" fillId="36" borderId="13" applyBorder="0">
      <protection locked="0"/>
    </xf>
    <xf numFmtId="43" fontId="2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5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12" fillId="36" borderId="13" applyBorder="0">
      <protection locked="0"/>
    </xf>
    <xf numFmtId="43" fontId="27" fillId="38" borderId="13" applyBorder="0"/>
    <xf numFmtId="43" fontId="12" fillId="36" borderId="13" applyBorder="0">
      <protection locked="0"/>
    </xf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7" fillId="38" borderId="13" applyBorder="0"/>
    <xf numFmtId="43" fontId="27" fillId="38" borderId="13" applyBorder="0"/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7" fillId="38" borderId="13" applyBorder="0"/>
    <xf numFmtId="43" fontId="12" fillId="36" borderId="13" applyBorder="0">
      <protection locked="0"/>
    </xf>
    <xf numFmtId="43" fontId="2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5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12" fillId="36" borderId="13" applyBorder="0">
      <protection locked="0"/>
    </xf>
    <xf numFmtId="43" fontId="27" fillId="38" borderId="13" applyBorder="0"/>
    <xf numFmtId="43" fontId="12" fillId="36" borderId="13" applyBorder="0">
      <protection locked="0"/>
    </xf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7" fillId="38" borderId="13" applyBorder="0"/>
    <xf numFmtId="43" fontId="27" fillId="38" borderId="13" applyBorder="0"/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7" fillId="38" borderId="13" applyBorder="0"/>
    <xf numFmtId="43" fontId="12" fillId="36" borderId="13" applyBorder="0">
      <protection locked="0"/>
    </xf>
    <xf numFmtId="43" fontId="2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5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12" fillId="36" borderId="13" applyBorder="0">
      <protection locked="0"/>
    </xf>
    <xf numFmtId="43" fontId="27" fillId="38" borderId="13" applyBorder="0"/>
    <xf numFmtId="43" fontId="12" fillId="36" borderId="13" applyBorder="0">
      <protection locked="0"/>
    </xf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7" fillId="38" borderId="13" applyBorder="0"/>
    <xf numFmtId="43" fontId="27" fillId="38" borderId="13" applyBorder="0"/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7" fillId="38" borderId="13" applyBorder="0"/>
    <xf numFmtId="43" fontId="12" fillId="36" borderId="13" applyBorder="0">
      <protection locked="0"/>
    </xf>
    <xf numFmtId="43" fontId="2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5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12" fillId="36" borderId="13" applyBorder="0">
      <protection locked="0"/>
    </xf>
    <xf numFmtId="43" fontId="27" fillId="38" borderId="13" applyBorder="0"/>
    <xf numFmtId="43" fontId="12" fillId="36" borderId="13" applyBorder="0">
      <protection locked="0"/>
    </xf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7" fillId="38" borderId="13" applyBorder="0"/>
    <xf numFmtId="43" fontId="27" fillId="38" borderId="13" applyBorder="0"/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7" fillId="38" borderId="13" applyBorder="0"/>
    <xf numFmtId="43" fontId="12" fillId="36" borderId="13" applyBorder="0">
      <protection locked="0"/>
    </xf>
    <xf numFmtId="43" fontId="2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5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12" fillId="36" borderId="13" applyBorder="0">
      <protection locked="0"/>
    </xf>
    <xf numFmtId="43" fontId="27" fillId="38" borderId="13" applyBorder="0"/>
    <xf numFmtId="43" fontId="12" fillId="36" borderId="13" applyBorder="0">
      <protection locked="0"/>
    </xf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7" fillId="38" borderId="13" applyBorder="0"/>
    <xf numFmtId="43" fontId="27" fillId="38" borderId="13" applyBorder="0"/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7" fillId="38" borderId="13" applyBorder="0"/>
    <xf numFmtId="43" fontId="12" fillId="36" borderId="13" applyBorder="0">
      <protection locked="0"/>
    </xf>
    <xf numFmtId="43" fontId="2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5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12" fillId="36" borderId="13" applyBorder="0">
      <protection locked="0"/>
    </xf>
    <xf numFmtId="43" fontId="27" fillId="38" borderId="13" applyBorder="0"/>
    <xf numFmtId="43" fontId="12" fillId="36" borderId="13" applyBorder="0">
      <protection locked="0"/>
    </xf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7" fillId="38" borderId="13" applyBorder="0"/>
    <xf numFmtId="43" fontId="27" fillId="38" borderId="13" applyBorder="0"/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7" fillId="38" borderId="13" applyBorder="0"/>
    <xf numFmtId="43" fontId="12" fillId="36" borderId="13" applyBorder="0">
      <protection locked="0"/>
    </xf>
    <xf numFmtId="43" fontId="2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5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12" fillId="36" borderId="13" applyBorder="0">
      <protection locked="0"/>
    </xf>
    <xf numFmtId="43" fontId="27" fillId="38" borderId="13" applyBorder="0"/>
    <xf numFmtId="43" fontId="12" fillId="36" borderId="13" applyBorder="0">
      <protection locked="0"/>
    </xf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7" fillId="38" borderId="13" applyBorder="0"/>
    <xf numFmtId="43" fontId="27" fillId="38" borderId="13" applyBorder="0"/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7" fillId="38" borderId="13" applyBorder="0"/>
    <xf numFmtId="43" fontId="12" fillId="36" borderId="13" applyBorder="0">
      <protection locked="0"/>
    </xf>
    <xf numFmtId="43" fontId="2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5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12" fillId="36" borderId="13" applyBorder="0">
      <protection locked="0"/>
    </xf>
    <xf numFmtId="43" fontId="27" fillId="38" borderId="13" applyBorder="0"/>
    <xf numFmtId="43" fontId="12" fillId="36" borderId="13" applyBorder="0">
      <protection locked="0"/>
    </xf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7" fillId="38" borderId="13" applyBorder="0"/>
    <xf numFmtId="43" fontId="27" fillId="38" borderId="13" applyBorder="0"/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7" fillId="38" borderId="13" applyBorder="0"/>
    <xf numFmtId="43" fontId="12" fillId="36" borderId="13" applyBorder="0">
      <protection locked="0"/>
    </xf>
    <xf numFmtId="43" fontId="2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5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12" fillId="36" borderId="13" applyBorder="0">
      <protection locked="0"/>
    </xf>
    <xf numFmtId="43" fontId="27" fillId="38" borderId="13" applyBorder="0"/>
    <xf numFmtId="43" fontId="12" fillId="36" borderId="13" applyBorder="0">
      <protection locked="0"/>
    </xf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7" fillId="38" borderId="13" applyBorder="0"/>
    <xf numFmtId="43" fontId="27" fillId="38" borderId="13" applyBorder="0"/>
    <xf numFmtId="43" fontId="27" fillId="38" borderId="13" applyBorder="0"/>
    <xf numFmtId="43" fontId="27" fillId="38" borderId="13" applyBorder="0"/>
    <xf numFmtId="0" fontId="2" fillId="0" borderId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7" fillId="38" borderId="13" applyBorder="0"/>
    <xf numFmtId="43" fontId="12" fillId="36" borderId="13" applyBorder="0">
      <protection locked="0"/>
    </xf>
    <xf numFmtId="43" fontId="2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5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12" fillId="36" borderId="13" applyBorder="0">
      <protection locked="0"/>
    </xf>
    <xf numFmtId="43" fontId="27" fillId="38" borderId="13" applyBorder="0"/>
    <xf numFmtId="43" fontId="12" fillId="36" borderId="13" applyBorder="0">
      <protection locked="0"/>
    </xf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7" fillId="38" borderId="13" applyBorder="0"/>
    <xf numFmtId="43" fontId="27" fillId="38" borderId="13" applyBorder="0"/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7" fillId="38" borderId="13" applyBorder="0"/>
    <xf numFmtId="43" fontId="12" fillId="36" borderId="13" applyBorder="0">
      <protection locked="0"/>
    </xf>
    <xf numFmtId="43" fontId="2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5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12" fillId="36" borderId="13" applyBorder="0">
      <protection locked="0"/>
    </xf>
    <xf numFmtId="43" fontId="27" fillId="38" borderId="13" applyBorder="0"/>
    <xf numFmtId="43" fontId="12" fillId="36" borderId="13" applyBorder="0">
      <protection locked="0"/>
    </xf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7" fillId="38" borderId="13" applyBorder="0"/>
    <xf numFmtId="43" fontId="27" fillId="38" borderId="13" applyBorder="0"/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7" fillId="38" borderId="13" applyBorder="0"/>
    <xf numFmtId="43" fontId="12" fillId="36" borderId="13" applyBorder="0">
      <protection locked="0"/>
    </xf>
    <xf numFmtId="43" fontId="2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5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12" fillId="36" borderId="13" applyBorder="0">
      <protection locked="0"/>
    </xf>
    <xf numFmtId="43" fontId="27" fillId="38" borderId="13" applyBorder="0"/>
    <xf numFmtId="43" fontId="12" fillId="36" borderId="13" applyBorder="0">
      <protection locked="0"/>
    </xf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7" fillId="38" borderId="13" applyBorder="0"/>
    <xf numFmtId="43" fontId="27" fillId="38" borderId="13" applyBorder="0"/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7" fillId="38" borderId="13" applyBorder="0"/>
    <xf numFmtId="43" fontId="12" fillId="36" borderId="13" applyBorder="0">
      <protection locked="0"/>
    </xf>
    <xf numFmtId="43" fontId="2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5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12" fillId="36" borderId="13" applyBorder="0">
      <protection locked="0"/>
    </xf>
    <xf numFmtId="43" fontId="27" fillId="38" borderId="13" applyBorder="0"/>
    <xf numFmtId="43" fontId="12" fillId="36" borderId="13" applyBorder="0">
      <protection locked="0"/>
    </xf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7" fillId="38" borderId="13" applyBorder="0"/>
    <xf numFmtId="43" fontId="27" fillId="38" borderId="13" applyBorder="0"/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7" fillId="38" borderId="13" applyBorder="0"/>
    <xf numFmtId="43" fontId="12" fillId="36" borderId="13" applyBorder="0">
      <protection locked="0"/>
    </xf>
    <xf numFmtId="43" fontId="2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5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12" fillId="36" borderId="13" applyBorder="0">
      <protection locked="0"/>
    </xf>
    <xf numFmtId="43" fontId="27" fillId="38" borderId="13" applyBorder="0"/>
    <xf numFmtId="43" fontId="12" fillId="36" borderId="13" applyBorder="0">
      <protection locked="0"/>
    </xf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7" fillId="38" borderId="13" applyBorder="0"/>
    <xf numFmtId="43" fontId="27" fillId="38" borderId="13" applyBorder="0"/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7" fillId="38" borderId="13" applyBorder="0"/>
    <xf numFmtId="43" fontId="12" fillId="36" borderId="13" applyBorder="0">
      <protection locked="0"/>
    </xf>
    <xf numFmtId="43" fontId="2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5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12" fillId="36" borderId="13" applyBorder="0">
      <protection locked="0"/>
    </xf>
    <xf numFmtId="43" fontId="27" fillId="38" borderId="13" applyBorder="0"/>
    <xf numFmtId="43" fontId="12" fillId="36" borderId="13" applyBorder="0">
      <protection locked="0"/>
    </xf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7" fillId="38" borderId="13" applyBorder="0"/>
    <xf numFmtId="43" fontId="27" fillId="38" borderId="13" applyBorder="0"/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7" fillId="38" borderId="13" applyBorder="0"/>
    <xf numFmtId="43" fontId="12" fillId="36" borderId="13" applyBorder="0">
      <protection locked="0"/>
    </xf>
    <xf numFmtId="43" fontId="2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5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12" fillId="36" borderId="13" applyBorder="0">
      <protection locked="0"/>
    </xf>
    <xf numFmtId="43" fontId="27" fillId="38" borderId="13" applyBorder="0"/>
    <xf numFmtId="43" fontId="12" fillId="36" borderId="13" applyBorder="0">
      <protection locked="0"/>
    </xf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7" fillId="38" borderId="13" applyBorder="0"/>
    <xf numFmtId="43" fontId="27" fillId="38" borderId="13" applyBorder="0"/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7" fillId="38" borderId="13" applyBorder="0"/>
    <xf numFmtId="43" fontId="12" fillId="36" borderId="13" applyBorder="0">
      <protection locked="0"/>
    </xf>
    <xf numFmtId="43" fontId="2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5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12" fillId="36" borderId="13" applyBorder="0">
      <protection locked="0"/>
    </xf>
    <xf numFmtId="43" fontId="27" fillId="38" borderId="13" applyBorder="0"/>
    <xf numFmtId="43" fontId="12" fillId="36" borderId="13" applyBorder="0">
      <protection locked="0"/>
    </xf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7" fillId="38" borderId="13" applyBorder="0"/>
    <xf numFmtId="43" fontId="27" fillId="38" borderId="13" applyBorder="0"/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7" fillId="38" borderId="13" applyBorder="0"/>
    <xf numFmtId="43" fontId="12" fillId="36" borderId="13" applyBorder="0">
      <protection locked="0"/>
    </xf>
    <xf numFmtId="43" fontId="2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5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12" fillId="36" borderId="13" applyBorder="0">
      <protection locked="0"/>
    </xf>
    <xf numFmtId="43" fontId="27" fillId="38" borderId="13" applyBorder="0"/>
    <xf numFmtId="43" fontId="12" fillId="36" borderId="13" applyBorder="0">
      <protection locked="0"/>
    </xf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7" fillId="38" borderId="13" applyBorder="0"/>
    <xf numFmtId="43" fontId="27" fillId="38" borderId="13" applyBorder="0"/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7" fillId="38" borderId="13" applyBorder="0"/>
    <xf numFmtId="43" fontId="12" fillId="36" borderId="13" applyBorder="0">
      <protection locked="0"/>
    </xf>
    <xf numFmtId="43" fontId="2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5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12" fillId="36" borderId="13" applyBorder="0">
      <protection locked="0"/>
    </xf>
    <xf numFmtId="43" fontId="27" fillId="38" borderId="13" applyBorder="0"/>
    <xf numFmtId="43" fontId="12" fillId="36" borderId="13" applyBorder="0">
      <protection locked="0"/>
    </xf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7" fillId="38" borderId="13" applyBorder="0"/>
    <xf numFmtId="43" fontId="27" fillId="38" borderId="13" applyBorder="0"/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7" fillId="38" borderId="13" applyBorder="0"/>
    <xf numFmtId="43" fontId="12" fillId="36" borderId="13" applyBorder="0">
      <protection locked="0"/>
    </xf>
    <xf numFmtId="43" fontId="2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5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12" fillId="36" borderId="13" applyBorder="0">
      <protection locked="0"/>
    </xf>
    <xf numFmtId="43" fontId="27" fillId="38" borderId="13" applyBorder="0"/>
    <xf numFmtId="43" fontId="12" fillId="36" borderId="13" applyBorder="0">
      <protection locked="0"/>
    </xf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7" fillId="38" borderId="13" applyBorder="0"/>
    <xf numFmtId="43" fontId="27" fillId="38" borderId="13" applyBorder="0"/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7" fillId="38" borderId="13" applyBorder="0"/>
    <xf numFmtId="43" fontId="12" fillId="36" borderId="13" applyBorder="0">
      <protection locked="0"/>
    </xf>
    <xf numFmtId="43" fontId="2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5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12" fillId="36" borderId="13" applyBorder="0">
      <protection locked="0"/>
    </xf>
    <xf numFmtId="43" fontId="27" fillId="38" borderId="13" applyBorder="0"/>
    <xf numFmtId="43" fontId="12" fillId="36" borderId="13" applyBorder="0">
      <protection locked="0"/>
    </xf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7" fillId="38" borderId="13" applyBorder="0"/>
    <xf numFmtId="43" fontId="27" fillId="38" borderId="13" applyBorder="0"/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7" fillId="38" borderId="13" applyBorder="0"/>
    <xf numFmtId="43" fontId="12" fillId="36" borderId="13" applyBorder="0">
      <protection locked="0"/>
    </xf>
    <xf numFmtId="43" fontId="2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5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12" fillId="36" borderId="13" applyBorder="0">
      <protection locked="0"/>
    </xf>
    <xf numFmtId="43" fontId="27" fillId="38" borderId="13" applyBorder="0"/>
    <xf numFmtId="43" fontId="12" fillId="36" borderId="13" applyBorder="0">
      <protection locked="0"/>
    </xf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7" fillId="38" borderId="13" applyBorder="0"/>
    <xf numFmtId="43" fontId="27" fillId="38" borderId="13" applyBorder="0"/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7" fillId="38" borderId="13" applyBorder="0"/>
    <xf numFmtId="43" fontId="12" fillId="36" borderId="13" applyBorder="0">
      <protection locked="0"/>
    </xf>
    <xf numFmtId="43" fontId="2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5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12" fillId="36" borderId="13" applyBorder="0">
      <protection locked="0"/>
    </xf>
    <xf numFmtId="43" fontId="27" fillId="38" borderId="13" applyBorder="0"/>
    <xf numFmtId="43" fontId="12" fillId="36" borderId="13" applyBorder="0">
      <protection locked="0"/>
    </xf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7" fillId="38" borderId="13" applyBorder="0"/>
    <xf numFmtId="43" fontId="27" fillId="38" borderId="13" applyBorder="0"/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7" fillId="38" borderId="13" applyBorder="0"/>
    <xf numFmtId="43" fontId="12" fillId="36" borderId="13" applyBorder="0">
      <protection locked="0"/>
    </xf>
    <xf numFmtId="43" fontId="2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5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12" fillId="36" borderId="13" applyBorder="0">
      <protection locked="0"/>
    </xf>
    <xf numFmtId="43" fontId="27" fillId="38" borderId="13" applyBorder="0"/>
    <xf numFmtId="43" fontId="12" fillId="36" borderId="13" applyBorder="0">
      <protection locked="0"/>
    </xf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7" fillId="38" borderId="13" applyBorder="0"/>
    <xf numFmtId="43" fontId="27" fillId="38" borderId="13" applyBorder="0"/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7" fillId="38" borderId="13" applyBorder="0"/>
    <xf numFmtId="43" fontId="12" fillId="36" borderId="13" applyBorder="0">
      <protection locked="0"/>
    </xf>
    <xf numFmtId="43" fontId="2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27" fillId="38" borderId="13" applyBorder="0"/>
    <xf numFmtId="43" fontId="27" fillId="38" borderId="13" applyBorder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5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12" fillId="36" borderId="13" applyBorder="0">
      <protection locked="0"/>
    </xf>
    <xf numFmtId="43" fontId="12" fillId="36" borderId="13" applyBorder="0">
      <protection locked="0"/>
    </xf>
    <xf numFmtId="43" fontId="27" fillId="38" borderId="13" applyBorder="0"/>
    <xf numFmtId="43" fontId="12" fillId="36" borderId="13" applyBorder="0">
      <protection locked="0"/>
    </xf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7" fillId="38" borderId="13" applyBorder="0"/>
    <xf numFmtId="43" fontId="2" fillId="0" borderId="0" applyFont="0" applyFill="0" applyBorder="0" applyAlignment="0" applyProtection="0"/>
    <xf numFmtId="43" fontId="27" fillId="38" borderId="13" applyBorder="0"/>
    <xf numFmtId="43" fontId="27" fillId="38" borderId="13" applyBorder="0"/>
    <xf numFmtId="43" fontId="27" fillId="38" borderId="13" applyBorder="0"/>
    <xf numFmtId="43" fontId="27" fillId="38" borderId="13" applyBorder="0"/>
  </cellStyleXfs>
  <cellXfs count="255">
    <xf numFmtId="0" fontId="0" fillId="0" borderId="0" xfId="0"/>
    <xf numFmtId="0" fontId="25" fillId="39" borderId="0" xfId="48" applyBorder="1"/>
    <xf numFmtId="0" fontId="26" fillId="39" borderId="0" xfId="49"/>
    <xf numFmtId="0" fontId="28" fillId="39" borderId="0" xfId="78">
      <alignment horizontal="right"/>
    </xf>
    <xf numFmtId="0" fontId="35" fillId="39" borderId="0" xfId="48" applyFont="1" applyBorder="1"/>
    <xf numFmtId="0" fontId="36" fillId="39" borderId="0" xfId="48" applyFont="1" applyBorder="1"/>
    <xf numFmtId="0" fontId="37" fillId="39" borderId="0" xfId="48" applyFont="1" applyBorder="1"/>
    <xf numFmtId="0" fontId="38" fillId="39" borderId="0" xfId="48" applyFont="1" applyBorder="1"/>
    <xf numFmtId="0" fontId="39" fillId="39" borderId="0" xfId="48" applyFont="1" applyBorder="1"/>
    <xf numFmtId="0" fontId="35" fillId="39" borderId="13" xfId="48" applyFont="1" applyBorder="1"/>
    <xf numFmtId="0" fontId="40" fillId="39" borderId="13" xfId="48" applyFont="1" applyBorder="1"/>
    <xf numFmtId="3" fontId="41" fillId="36" borderId="13" xfId="0" applyNumberFormat="1" applyFont="1" applyFill="1" applyBorder="1" applyAlignment="1" applyProtection="1">
      <alignment horizontal="right"/>
      <protection locked="0"/>
    </xf>
    <xf numFmtId="174" fontId="41" fillId="36" borderId="13" xfId="0" applyNumberFormat="1" applyFont="1" applyFill="1" applyBorder="1" applyAlignment="1" applyProtection="1">
      <alignment horizontal="right"/>
      <protection locked="0"/>
    </xf>
    <xf numFmtId="9" fontId="41" fillId="36" borderId="13" xfId="83" applyFont="1" applyFill="1" applyBorder="1" applyAlignment="1" applyProtection="1">
      <alignment horizontal="right"/>
      <protection locked="0"/>
    </xf>
    <xf numFmtId="9" fontId="41" fillId="36" borderId="13" xfId="83" applyFont="1" applyFill="1" applyBorder="1" applyAlignment="1" applyProtection="1">
      <alignment horizontal="left"/>
      <protection locked="0"/>
    </xf>
    <xf numFmtId="10" fontId="41" fillId="38" borderId="13" xfId="83" applyNumberFormat="1" applyFont="1" applyFill="1" applyBorder="1"/>
    <xf numFmtId="169" fontId="41" fillId="36" borderId="13" xfId="82" applyNumberFormat="1" applyFont="1" applyFill="1" applyBorder="1" applyAlignment="1" applyProtection="1">
      <alignment horizontal="right"/>
      <protection locked="0"/>
    </xf>
    <xf numFmtId="10" fontId="43" fillId="38" borderId="13" xfId="83" applyNumberFormat="1" applyFont="1" applyFill="1" applyBorder="1"/>
    <xf numFmtId="0" fontId="40" fillId="39" borderId="0" xfId="48" applyFont="1" applyBorder="1"/>
    <xf numFmtId="0" fontId="27" fillId="36" borderId="13" xfId="83" applyNumberFormat="1" applyFont="1" applyFill="1" applyBorder="1" applyAlignment="1" applyProtection="1">
      <alignment horizontal="left"/>
      <protection locked="0"/>
    </xf>
    <xf numFmtId="169" fontId="0" fillId="36" borderId="13" xfId="82" applyNumberFormat="1" applyFont="1" applyFill="1" applyBorder="1" applyAlignment="1" applyProtection="1">
      <alignment horizontal="right"/>
      <protection locked="0"/>
    </xf>
    <xf numFmtId="0" fontId="27" fillId="39" borderId="0" xfId="0" applyFont="1" applyFill="1"/>
    <xf numFmtId="9" fontId="27" fillId="39" borderId="0" xfId="0" applyNumberFormat="1" applyFont="1" applyFill="1" applyAlignment="1">
      <alignment horizontal="left" vertical="center" wrapText="1"/>
    </xf>
    <xf numFmtId="10" fontId="27" fillId="39" borderId="0" xfId="83" applyNumberFormat="1" applyFont="1" applyFill="1"/>
    <xf numFmtId="0" fontId="32" fillId="39" borderId="0" xfId="0" applyFont="1" applyFill="1"/>
    <xf numFmtId="0" fontId="33" fillId="39" borderId="0" xfId="0" applyFont="1" applyFill="1"/>
    <xf numFmtId="0" fontId="27" fillId="39" borderId="0" xfId="0" applyFont="1" applyFill="1" applyAlignment="1">
      <alignment horizontal="center"/>
    </xf>
    <xf numFmtId="0" fontId="34" fillId="39" borderId="0" xfId="0" applyFont="1" applyFill="1" applyAlignment="1">
      <alignment vertical="top"/>
    </xf>
    <xf numFmtId="0" fontId="12" fillId="36" borderId="13" xfId="51" applyBorder="1">
      <protection locked="0"/>
    </xf>
    <xf numFmtId="174" fontId="36" fillId="39" borderId="0" xfId="48" applyNumberFormat="1" applyFont="1" applyBorder="1"/>
    <xf numFmtId="0" fontId="35" fillId="39" borderId="0" xfId="48" applyFont="1" applyBorder="1" applyAlignment="1">
      <alignment wrapText="1"/>
    </xf>
    <xf numFmtId="0" fontId="40" fillId="39" borderId="0" xfId="48" applyFont="1" applyBorder="1" applyAlignment="1">
      <alignment wrapText="1"/>
    </xf>
    <xf numFmtId="0" fontId="27" fillId="39" borderId="0" xfId="0" quotePrefix="1" applyFont="1" applyFill="1"/>
    <xf numFmtId="174" fontId="43" fillId="38" borderId="13" xfId="83" applyNumberFormat="1" applyFont="1" applyFill="1" applyBorder="1"/>
    <xf numFmtId="0" fontId="27" fillId="39" borderId="0" xfId="0" applyFont="1" applyFill="1" applyAlignment="1">
      <alignment horizontal="center" wrapText="1"/>
    </xf>
    <xf numFmtId="0" fontId="28" fillId="39" borderId="0" xfId="0" applyFont="1" applyFill="1" applyAlignment="1">
      <alignment horizontal="left"/>
    </xf>
    <xf numFmtId="1" fontId="41" fillId="36" borderId="13" xfId="0" applyNumberFormat="1" applyFont="1" applyFill="1" applyBorder="1" applyAlignment="1" applyProtection="1">
      <alignment horizontal="right"/>
      <protection locked="0"/>
    </xf>
    <xf numFmtId="0" fontId="44" fillId="39" borderId="0" xfId="48" applyFont="1" applyBorder="1"/>
    <xf numFmtId="171" fontId="12" fillId="36" borderId="13" xfId="58" applyBorder="1" applyProtection="1">
      <protection locked="0"/>
    </xf>
    <xf numFmtId="9" fontId="27" fillId="36" borderId="13" xfId="83" applyFont="1" applyFill="1" applyBorder="1" applyAlignment="1" applyProtection="1">
      <alignment horizontal="left"/>
      <protection locked="0"/>
    </xf>
    <xf numFmtId="0" fontId="39" fillId="39" borderId="0" xfId="48" applyFont="1" applyBorder="1" applyAlignment="1">
      <alignment horizontal="right"/>
    </xf>
    <xf numFmtId="0" fontId="45" fillId="39" borderId="0" xfId="48" applyFont="1" applyBorder="1"/>
    <xf numFmtId="0" fontId="40" fillId="39" borderId="13" xfId="48" applyFont="1" applyBorder="1" applyAlignment="1">
      <alignment horizontal="right"/>
    </xf>
    <xf numFmtId="14" fontId="41" fillId="36" borderId="13" xfId="0" applyNumberFormat="1" applyFont="1" applyFill="1" applyBorder="1" applyAlignment="1" applyProtection="1">
      <alignment horizontal="right"/>
      <protection locked="0"/>
    </xf>
    <xf numFmtId="9" fontId="43" fillId="38" borderId="13" xfId="83" applyFont="1" applyFill="1" applyBorder="1"/>
    <xf numFmtId="0" fontId="12" fillId="37" borderId="10" xfId="60" applyBorder="1" applyAlignment="1">
      <alignment vertical="top"/>
      <protection locked="0"/>
    </xf>
    <xf numFmtId="0" fontId="12" fillId="37" borderId="11" xfId="60" applyBorder="1" applyAlignment="1">
      <alignment vertical="top"/>
      <protection locked="0"/>
    </xf>
    <xf numFmtId="0" fontId="12" fillId="37" borderId="0" xfId="60" applyBorder="1" applyAlignment="1">
      <alignment vertical="top"/>
      <protection locked="0"/>
    </xf>
    <xf numFmtId="0" fontId="12" fillId="37" borderId="2" xfId="60" applyBorder="1" applyAlignment="1">
      <alignment vertical="top"/>
      <protection locked="0"/>
    </xf>
    <xf numFmtId="0" fontId="12" fillId="37" borderId="9" xfId="60" applyBorder="1" applyAlignment="1">
      <alignment vertical="top"/>
      <protection locked="0"/>
    </xf>
    <xf numFmtId="0" fontId="12" fillId="37" borderId="12" xfId="60" applyBorder="1" applyAlignment="1">
      <alignment vertical="top"/>
      <protection locked="0"/>
    </xf>
    <xf numFmtId="176" fontId="0" fillId="36" borderId="13" xfId="82" applyNumberFormat="1" applyFont="1" applyFill="1" applyBorder="1" applyProtection="1">
      <protection locked="0"/>
    </xf>
    <xf numFmtId="176" fontId="0" fillId="39" borderId="13" xfId="82" applyNumberFormat="1" applyFont="1" applyFill="1" applyBorder="1" applyProtection="1"/>
    <xf numFmtId="177" fontId="0" fillId="36" borderId="13" xfId="82" applyNumberFormat="1" applyFont="1" applyFill="1" applyBorder="1" applyProtection="1">
      <protection locked="0"/>
    </xf>
    <xf numFmtId="177" fontId="0" fillId="39" borderId="13" xfId="82" applyNumberFormat="1" applyFont="1" applyFill="1" applyBorder="1" applyProtection="1"/>
    <xf numFmtId="0" fontId="12" fillId="36" borderId="13" xfId="52" applyBorder="1" applyAlignment="1">
      <alignment horizontal="right"/>
      <protection locked="0"/>
    </xf>
    <xf numFmtId="10" fontId="0" fillId="36" borderId="13" xfId="83" applyNumberFormat="1" applyFont="1" applyFill="1" applyBorder="1" applyAlignment="1" applyProtection="1">
      <alignment horizontal="right"/>
      <protection locked="0"/>
    </xf>
    <xf numFmtId="0" fontId="48" fillId="39" borderId="0" xfId="48" applyFont="1" applyBorder="1"/>
    <xf numFmtId="1" fontId="0" fillId="41" borderId="13" xfId="0" applyNumberFormat="1" applyFill="1" applyBorder="1" applyAlignment="1">
      <alignment horizontal="right"/>
    </xf>
    <xf numFmtId="1" fontId="0" fillId="42" borderId="13" xfId="82" applyNumberFormat="1" applyFont="1" applyFill="1" applyBorder="1" applyAlignment="1">
      <alignment horizontal="right"/>
    </xf>
    <xf numFmtId="0" fontId="49" fillId="39" borderId="0" xfId="0" applyFont="1" applyFill="1"/>
    <xf numFmtId="0" fontId="50" fillId="39" borderId="0" xfId="48" quotePrefix="1" applyFont="1" applyBorder="1"/>
    <xf numFmtId="0" fontId="51" fillId="39" borderId="0" xfId="48" applyFont="1" applyBorder="1"/>
    <xf numFmtId="0" fontId="35" fillId="39" borderId="6" xfId="48" applyFont="1" applyBorder="1"/>
    <xf numFmtId="0" fontId="37" fillId="39" borderId="8" xfId="48" applyFont="1" applyBorder="1"/>
    <xf numFmtId="169" fontId="27" fillId="39" borderId="0" xfId="82" applyNumberFormat="1" applyFont="1" applyFill="1"/>
    <xf numFmtId="0" fontId="50" fillId="39" borderId="0" xfId="48" applyFont="1" applyBorder="1"/>
    <xf numFmtId="0" fontId="27" fillId="38" borderId="13" xfId="61" applyBorder="1" applyAlignment="1">
      <alignment horizontal="left"/>
    </xf>
    <xf numFmtId="0" fontId="27" fillId="38" borderId="13" xfId="61" applyBorder="1" applyAlignment="1" applyProtection="1">
      <alignment horizontal="left"/>
      <protection locked="0"/>
    </xf>
    <xf numFmtId="0" fontId="47" fillId="39" borderId="13" xfId="0" applyFont="1" applyFill="1" applyBorder="1"/>
    <xf numFmtId="176" fontId="1" fillId="39" borderId="13" xfId="82" applyNumberFormat="1" applyFont="1" applyFill="1" applyBorder="1" applyProtection="1"/>
    <xf numFmtId="0" fontId="47" fillId="39" borderId="0" xfId="0" applyFont="1" applyFill="1"/>
    <xf numFmtId="10" fontId="1" fillId="39" borderId="13" xfId="83" applyNumberFormat="1" applyFont="1" applyFill="1" applyBorder="1" applyProtection="1"/>
    <xf numFmtId="0" fontId="47" fillId="39" borderId="0" xfId="0" applyFont="1" applyFill="1" applyAlignment="1">
      <alignment horizontal="center"/>
    </xf>
    <xf numFmtId="0" fontId="47" fillId="39" borderId="0" xfId="0" applyFont="1" applyFill="1" applyAlignment="1">
      <alignment horizontal="center" wrapText="1"/>
    </xf>
    <xf numFmtId="173" fontId="1" fillId="39" borderId="13" xfId="82" applyNumberFormat="1" applyFont="1" applyFill="1" applyBorder="1" applyProtection="1"/>
    <xf numFmtId="176" fontId="1" fillId="36" borderId="13" xfId="82" applyNumberFormat="1" applyFont="1" applyFill="1" applyBorder="1" applyProtection="1">
      <protection locked="0"/>
    </xf>
    <xf numFmtId="10" fontId="1" fillId="36" borderId="13" xfId="82" applyNumberFormat="1" applyFont="1" applyFill="1" applyBorder="1" applyProtection="1">
      <protection locked="0"/>
    </xf>
    <xf numFmtId="0" fontId="33" fillId="39" borderId="0" xfId="0" quotePrefix="1" applyFont="1" applyFill="1"/>
    <xf numFmtId="0" fontId="27" fillId="36" borderId="13" xfId="83" applyNumberFormat="1" applyFont="1" applyFill="1" applyBorder="1" applyAlignment="1" applyProtection="1">
      <alignment horizontal="left" wrapText="1"/>
      <protection locked="0"/>
    </xf>
    <xf numFmtId="1" fontId="0" fillId="41" borderId="23" xfId="0" applyNumberFormat="1" applyFill="1" applyBorder="1" applyAlignment="1">
      <alignment horizontal="right"/>
    </xf>
    <xf numFmtId="168" fontId="41" fillId="36" borderId="13" xfId="83" applyNumberFormat="1" applyFont="1" applyFill="1" applyBorder="1" applyAlignment="1" applyProtection="1">
      <alignment horizontal="right"/>
      <protection locked="0"/>
    </xf>
    <xf numFmtId="176" fontId="0" fillId="36" borderId="13" xfId="93" applyNumberFormat="1" applyFont="1" applyFill="1" applyBorder="1" applyProtection="1">
      <protection locked="0"/>
    </xf>
    <xf numFmtId="10" fontId="1" fillId="36" borderId="4" xfId="82" applyNumberFormat="1" applyFont="1" applyFill="1" applyBorder="1" applyProtection="1">
      <protection locked="0"/>
    </xf>
    <xf numFmtId="10" fontId="36" fillId="39" borderId="0" xfId="48" applyNumberFormat="1" applyFont="1" applyBorder="1"/>
    <xf numFmtId="0" fontId="44" fillId="39" borderId="0" xfId="48" applyFont="1" applyBorder="1" applyAlignment="1">
      <alignment horizontal="left" indent="11"/>
    </xf>
    <xf numFmtId="0" fontId="41" fillId="39" borderId="0" xfId="48" applyFont="1" applyBorder="1" applyAlignment="1">
      <alignment horizontal="center"/>
    </xf>
    <xf numFmtId="10" fontId="0" fillId="39" borderId="13" xfId="83" applyNumberFormat="1" applyFont="1" applyFill="1" applyBorder="1" applyAlignment="1" applyProtection="1">
      <alignment horizontal="right"/>
    </xf>
    <xf numFmtId="10" fontId="44" fillId="39" borderId="0" xfId="82" applyNumberFormat="1" applyFont="1" applyFill="1" applyBorder="1"/>
    <xf numFmtId="0" fontId="57" fillId="0" borderId="13" xfId="0" applyFont="1" applyBorder="1"/>
    <xf numFmtId="0" fontId="57" fillId="39" borderId="0" xfId="0" applyFont="1" applyFill="1"/>
    <xf numFmtId="176" fontId="53" fillId="36" borderId="13" xfId="93" applyNumberFormat="1" applyFont="1" applyFill="1" applyBorder="1" applyProtection="1">
      <protection locked="0"/>
    </xf>
    <xf numFmtId="176" fontId="53" fillId="36" borderId="13" xfId="82" applyNumberFormat="1" applyFont="1" applyFill="1" applyBorder="1" applyProtection="1">
      <protection locked="0"/>
    </xf>
    <xf numFmtId="0" fontId="57" fillId="36" borderId="13" xfId="0" applyFont="1" applyFill="1" applyBorder="1" applyProtection="1">
      <protection locked="0"/>
    </xf>
    <xf numFmtId="176" fontId="53" fillId="4" borderId="13" xfId="82" quotePrefix="1" applyNumberFormat="1" applyFont="1" applyFill="1" applyBorder="1" applyProtection="1"/>
    <xf numFmtId="0" fontId="34" fillId="39" borderId="0" xfId="0" applyFont="1" applyFill="1"/>
    <xf numFmtId="10" fontId="53" fillId="36" borderId="4" xfId="83" applyNumberFormat="1" applyFont="1" applyFill="1" applyBorder="1" applyProtection="1">
      <protection locked="0"/>
    </xf>
    <xf numFmtId="0" fontId="57" fillId="39" borderId="0" xfId="0" applyFont="1" applyFill="1" applyAlignment="1">
      <alignment horizontal="center"/>
    </xf>
    <xf numFmtId="10" fontId="53" fillId="36" borderId="13" xfId="83" applyNumberFormat="1" applyFont="1" applyFill="1" applyBorder="1" applyProtection="1">
      <protection locked="0"/>
    </xf>
    <xf numFmtId="0" fontId="57" fillId="39" borderId="0" xfId="0" applyFont="1" applyFill="1" applyAlignment="1">
      <alignment horizontal="center" wrapText="1"/>
    </xf>
    <xf numFmtId="176" fontId="56" fillId="0" borderId="13" xfId="82" applyNumberFormat="1" applyFont="1" applyFill="1" applyBorder="1" applyAlignment="1">
      <alignment vertical="center"/>
    </xf>
    <xf numFmtId="175" fontId="56" fillId="0" borderId="13" xfId="83" applyNumberFormat="1" applyFont="1" applyFill="1" applyBorder="1" applyAlignment="1">
      <alignment vertical="center"/>
    </xf>
    <xf numFmtId="168" fontId="56" fillId="0" borderId="13" xfId="83" applyNumberFormat="1" applyFont="1" applyFill="1" applyBorder="1" applyAlignment="1">
      <alignment vertical="center"/>
    </xf>
    <xf numFmtId="176" fontId="53" fillId="0" borderId="13" xfId="82" applyNumberFormat="1" applyFont="1" applyFill="1" applyBorder="1" applyAlignment="1">
      <alignment vertical="center"/>
    </xf>
    <xf numFmtId="169" fontId="53" fillId="36" borderId="13" xfId="82" applyNumberFormat="1" applyFont="1" applyFill="1" applyBorder="1" applyProtection="1">
      <protection locked="0"/>
    </xf>
    <xf numFmtId="0" fontId="58" fillId="36" borderId="13" xfId="51" applyFont="1" applyBorder="1">
      <protection locked="0"/>
    </xf>
    <xf numFmtId="10" fontId="57" fillId="39" borderId="0" xfId="83" applyNumberFormat="1" applyFont="1" applyFill="1"/>
    <xf numFmtId="169" fontId="57" fillId="39" borderId="0" xfId="82" applyNumberFormat="1" applyFont="1" applyFill="1"/>
    <xf numFmtId="176" fontId="53" fillId="39" borderId="13" xfId="82" applyNumberFormat="1" applyFont="1" applyFill="1" applyBorder="1" applyProtection="1"/>
    <xf numFmtId="176" fontId="53" fillId="39" borderId="13" xfId="82" applyNumberFormat="1" applyFont="1" applyFill="1" applyBorder="1" applyAlignment="1" applyProtection="1">
      <alignment horizontal="right"/>
    </xf>
    <xf numFmtId="168" fontId="53" fillId="39" borderId="13" xfId="83" applyNumberFormat="1" applyFont="1" applyFill="1" applyBorder="1" applyProtection="1"/>
    <xf numFmtId="10" fontId="53" fillId="39" borderId="13" xfId="83" applyNumberFormat="1" applyFont="1" applyFill="1" applyBorder="1" applyProtection="1"/>
    <xf numFmtId="175" fontId="53" fillId="39" borderId="13" xfId="83" applyNumberFormat="1" applyFont="1" applyFill="1" applyBorder="1" applyProtection="1"/>
    <xf numFmtId="173" fontId="53" fillId="39" borderId="13" xfId="82" applyNumberFormat="1" applyFont="1" applyFill="1" applyBorder="1" applyProtection="1"/>
    <xf numFmtId="0" fontId="59" fillId="39" borderId="0" xfId="0" applyFont="1" applyFill="1" applyAlignment="1">
      <alignment horizontal="center" vertical="center" wrapText="1"/>
    </xf>
    <xf numFmtId="0" fontId="59" fillId="39" borderId="9" xfId="0" applyFont="1" applyFill="1" applyBorder="1" applyAlignment="1">
      <alignment horizontal="center" vertical="center" wrapText="1"/>
    </xf>
    <xf numFmtId="0" fontId="59" fillId="39" borderId="0" xfId="0" applyFont="1" applyFill="1" applyAlignment="1">
      <alignment horizontal="center" vertical="center"/>
    </xf>
    <xf numFmtId="0" fontId="7" fillId="39" borderId="0" xfId="0" applyFont="1" applyFill="1" applyAlignment="1">
      <alignment horizontal="center" vertical="top" wrapText="1"/>
    </xf>
    <xf numFmtId="0" fontId="59" fillId="39" borderId="0" xfId="0" applyFont="1" applyFill="1" applyAlignment="1">
      <alignment horizontal="center" vertical="top"/>
    </xf>
    <xf numFmtId="0" fontId="59" fillId="39" borderId="0" xfId="0" applyFont="1" applyFill="1" applyAlignment="1">
      <alignment horizontal="center" vertical="top" wrapText="1"/>
    </xf>
    <xf numFmtId="0" fontId="60" fillId="39" borderId="0" xfId="0" applyFont="1" applyFill="1" applyAlignment="1">
      <alignment horizontal="center" vertical="center" wrapText="1"/>
    </xf>
    <xf numFmtId="0" fontId="59" fillId="39" borderId="0" xfId="0" applyFont="1" applyFill="1" applyAlignment="1">
      <alignment horizontal="center"/>
    </xf>
    <xf numFmtId="0" fontId="59" fillId="39" borderId="12" xfId="0" applyFont="1" applyFill="1" applyBorder="1" applyAlignment="1">
      <alignment horizontal="center" vertical="center" wrapText="1"/>
    </xf>
    <xf numFmtId="0" fontId="7" fillId="39" borderId="6" xfId="0" applyFont="1" applyFill="1" applyBorder="1" applyAlignment="1">
      <alignment horizontal="center" vertical="top" wrapText="1"/>
    </xf>
    <xf numFmtId="0" fontId="7" fillId="39" borderId="7" xfId="0" applyFont="1" applyFill="1" applyBorder="1" applyAlignment="1">
      <alignment horizontal="center" vertical="top" wrapText="1"/>
    </xf>
    <xf numFmtId="0" fontId="7" fillId="39" borderId="8" xfId="0" applyFont="1" applyFill="1" applyBorder="1" applyAlignment="1">
      <alignment horizontal="center" vertical="top" wrapText="1"/>
    </xf>
    <xf numFmtId="0" fontId="59" fillId="39" borderId="5" xfId="0" applyFont="1" applyFill="1" applyBorder="1" applyAlignment="1">
      <alignment horizontal="center" vertical="center" wrapText="1"/>
    </xf>
    <xf numFmtId="0" fontId="47" fillId="39" borderId="13" xfId="0" applyFont="1" applyFill="1" applyBorder="1" applyAlignment="1">
      <alignment vertical="center" wrapText="1"/>
    </xf>
    <xf numFmtId="0" fontId="47" fillId="39" borderId="13" xfId="0" applyFont="1" applyFill="1" applyBorder="1" applyAlignment="1">
      <alignment horizontal="center" vertical="center" wrapText="1"/>
    </xf>
    <xf numFmtId="0" fontId="47" fillId="39" borderId="5" xfId="0" applyFont="1" applyFill="1" applyBorder="1" applyAlignment="1">
      <alignment vertical="center" wrapText="1"/>
    </xf>
    <xf numFmtId="0" fontId="47" fillId="39" borderId="13" xfId="0" applyFont="1" applyFill="1" applyBorder="1" applyAlignment="1">
      <alignment wrapText="1"/>
    </xf>
    <xf numFmtId="0" fontId="61" fillId="39" borderId="0" xfId="0" applyFont="1" applyFill="1"/>
    <xf numFmtId="10" fontId="47" fillId="39" borderId="0" xfId="83" applyNumberFormat="1" applyFont="1" applyFill="1"/>
    <xf numFmtId="167" fontId="1" fillId="36" borderId="13" xfId="82" applyFont="1" applyFill="1" applyBorder="1" applyProtection="1">
      <protection locked="0"/>
    </xf>
    <xf numFmtId="167" fontId="1" fillId="4" borderId="13" xfId="82" applyFont="1" applyFill="1" applyBorder="1" applyProtection="1"/>
    <xf numFmtId="0" fontId="59" fillId="39" borderId="0" xfId="0" applyFont="1" applyFill="1" applyAlignment="1">
      <alignment horizontal="left"/>
    </xf>
    <xf numFmtId="0" fontId="47" fillId="39" borderId="0" xfId="0" quotePrefix="1" applyFont="1" applyFill="1"/>
    <xf numFmtId="169" fontId="47" fillId="39" borderId="0" xfId="82" applyNumberFormat="1" applyFont="1" applyFill="1"/>
    <xf numFmtId="0" fontId="62" fillId="39" borderId="0" xfId="0" applyFont="1" applyFill="1"/>
    <xf numFmtId="0" fontId="27" fillId="39" borderId="0" xfId="0" applyFont="1" applyFill="1" applyAlignment="1">
      <alignment horizontal="right"/>
    </xf>
    <xf numFmtId="0" fontId="59" fillId="39" borderId="0" xfId="0" applyFont="1" applyFill="1" applyAlignment="1">
      <alignment horizontal="right" vertical="center" wrapText="1"/>
    </xf>
    <xf numFmtId="168" fontId="56" fillId="0" borderId="13" xfId="83" applyNumberFormat="1" applyFont="1" applyFill="1" applyBorder="1" applyAlignment="1">
      <alignment horizontal="right" vertical="center"/>
    </xf>
    <xf numFmtId="0" fontId="57" fillId="39" borderId="0" xfId="0" applyFont="1" applyFill="1" applyAlignment="1">
      <alignment horizontal="right"/>
    </xf>
    <xf numFmtId="0" fontId="25" fillId="39" borderId="13" xfId="48" applyBorder="1" applyAlignment="1">
      <alignment horizontal="left"/>
    </xf>
    <xf numFmtId="0" fontId="36" fillId="39" borderId="0" xfId="48" applyFont="1" applyBorder="1" applyAlignment="1">
      <alignment horizontal="right"/>
    </xf>
    <xf numFmtId="0" fontId="35" fillId="39" borderId="0" xfId="48" applyFont="1" applyBorder="1" applyAlignment="1">
      <alignment horizontal="right"/>
    </xf>
    <xf numFmtId="0" fontId="64" fillId="39" borderId="0" xfId="48" applyFont="1" applyBorder="1"/>
    <xf numFmtId="170" fontId="36" fillId="39" borderId="0" xfId="82" applyNumberFormat="1" applyFont="1" applyFill="1" applyBorder="1"/>
    <xf numFmtId="170" fontId="57" fillId="39" borderId="0" xfId="82" applyNumberFormat="1" applyFont="1" applyFill="1"/>
    <xf numFmtId="178" fontId="0" fillId="39" borderId="13" xfId="82" quotePrefix="1" applyNumberFormat="1" applyFont="1" applyFill="1" applyBorder="1" applyProtection="1">
      <protection locked="0"/>
    </xf>
    <xf numFmtId="0" fontId="52" fillId="39" borderId="0" xfId="0" applyFont="1" applyFill="1"/>
    <xf numFmtId="0" fontId="52" fillId="39" borderId="0" xfId="0" applyFont="1" applyFill="1" applyAlignment="1">
      <alignment horizontal="right"/>
    </xf>
    <xf numFmtId="10" fontId="9" fillId="39" borderId="13" xfId="0" applyNumberFormat="1" applyFont="1" applyFill="1" applyBorder="1"/>
    <xf numFmtId="176" fontId="53" fillId="0" borderId="13" xfId="88" applyNumberFormat="1" applyFont="1" applyFill="1" applyBorder="1" applyAlignment="1">
      <alignment vertical="center"/>
    </xf>
    <xf numFmtId="0" fontId="47" fillId="39" borderId="8" xfId="0" applyFont="1" applyFill="1" applyBorder="1" applyAlignment="1">
      <alignment vertical="center" wrapText="1"/>
    </xf>
    <xf numFmtId="0" fontId="7" fillId="39" borderId="0" xfId="0" applyFont="1" applyFill="1" applyAlignment="1">
      <alignment horizontal="left" vertical="top" wrapText="1"/>
    </xf>
    <xf numFmtId="0" fontId="0" fillId="0" borderId="0" xfId="0" applyAlignment="1">
      <alignment horizontal="centerContinuous" vertical="distributed"/>
    </xf>
    <xf numFmtId="0" fontId="66" fillId="39" borderId="0" xfId="0" applyFont="1" applyFill="1" applyAlignment="1">
      <alignment horizontal="left"/>
    </xf>
    <xf numFmtId="0" fontId="9" fillId="39" borderId="9" xfId="0" applyFont="1" applyFill="1" applyBorder="1"/>
    <xf numFmtId="0" fontId="52" fillId="39" borderId="24" xfId="0" applyFont="1" applyFill="1" applyBorder="1" applyAlignment="1">
      <alignment horizontal="center"/>
    </xf>
    <xf numFmtId="0" fontId="52" fillId="39" borderId="24" xfId="0" applyFont="1" applyFill="1" applyBorder="1"/>
    <xf numFmtId="0" fontId="52" fillId="39" borderId="25" xfId="0" applyFont="1" applyFill="1" applyBorder="1" applyAlignment="1">
      <alignment horizontal="center"/>
    </xf>
    <xf numFmtId="0" fontId="52" fillId="39" borderId="25" xfId="0" applyFont="1" applyFill="1" applyBorder="1"/>
    <xf numFmtId="0" fontId="52" fillId="39" borderId="26" xfId="0" applyFont="1" applyFill="1" applyBorder="1" applyAlignment="1">
      <alignment horizontal="center"/>
    </xf>
    <xf numFmtId="0" fontId="52" fillId="39" borderId="26" xfId="0" applyFont="1" applyFill="1" applyBorder="1"/>
    <xf numFmtId="10" fontId="52" fillId="39" borderId="24" xfId="0" applyNumberFormat="1" applyFont="1" applyFill="1" applyBorder="1"/>
    <xf numFmtId="10" fontId="12" fillId="36" borderId="24" xfId="51" applyNumberFormat="1" applyBorder="1">
      <protection locked="0"/>
    </xf>
    <xf numFmtId="10" fontId="52" fillId="39" borderId="25" xfId="0" applyNumberFormat="1" applyFont="1" applyFill="1" applyBorder="1"/>
    <xf numFmtId="10" fontId="12" fillId="36" borderId="25" xfId="51" applyNumberFormat="1" applyBorder="1">
      <protection locked="0"/>
    </xf>
    <xf numFmtId="10" fontId="52" fillId="39" borderId="26" xfId="0" applyNumberFormat="1" applyFont="1" applyFill="1" applyBorder="1"/>
    <xf numFmtId="10" fontId="12" fillId="36" borderId="26" xfId="51" applyNumberFormat="1" applyBorder="1">
      <protection locked="0"/>
    </xf>
    <xf numFmtId="169" fontId="52" fillId="39" borderId="24" xfId="82" applyNumberFormat="1" applyFont="1" applyFill="1" applyBorder="1"/>
    <xf numFmtId="169" fontId="52" fillId="39" borderId="25" xfId="82" applyNumberFormat="1" applyFont="1" applyFill="1" applyBorder="1"/>
    <xf numFmtId="0" fontId="9" fillId="39" borderId="26" xfId="0" applyFont="1" applyFill="1" applyBorder="1"/>
    <xf numFmtId="0" fontId="52" fillId="39" borderId="13" xfId="0" applyFont="1" applyFill="1" applyBorder="1" applyAlignment="1">
      <alignment horizontal="center"/>
    </xf>
    <xf numFmtId="168" fontId="12" fillId="36" borderId="24" xfId="51" applyNumberFormat="1" applyBorder="1">
      <protection locked="0"/>
    </xf>
    <xf numFmtId="168" fontId="52" fillId="39" borderId="0" xfId="0" applyNumberFormat="1" applyFont="1" applyFill="1"/>
    <xf numFmtId="168" fontId="52" fillId="39" borderId="25" xfId="0" applyNumberFormat="1" applyFont="1" applyFill="1" applyBorder="1"/>
    <xf numFmtId="168" fontId="12" fillId="36" borderId="25" xfId="51" applyNumberFormat="1" applyBorder="1">
      <protection locked="0"/>
    </xf>
    <xf numFmtId="168" fontId="52" fillId="39" borderId="26" xfId="0" applyNumberFormat="1" applyFont="1" applyFill="1" applyBorder="1"/>
    <xf numFmtId="168" fontId="12" fillId="36" borderId="26" xfId="51" applyNumberFormat="1" applyBorder="1">
      <protection locked="0"/>
    </xf>
    <xf numFmtId="10" fontId="52" fillId="39" borderId="26" xfId="83" applyNumberFormat="1" applyFont="1" applyFill="1" applyBorder="1"/>
    <xf numFmtId="10" fontId="52" fillId="39" borderId="25" xfId="83" applyNumberFormat="1" applyFont="1" applyFill="1" applyBorder="1"/>
    <xf numFmtId="0" fontId="3" fillId="39" borderId="0" xfId="0" applyFont="1" applyFill="1"/>
    <xf numFmtId="0" fontId="59" fillId="39" borderId="0" xfId="0" applyFont="1" applyFill="1" applyAlignment="1">
      <alignment horizontal="center" wrapText="1"/>
    </xf>
    <xf numFmtId="0" fontId="40" fillId="39" borderId="13" xfId="48" applyFont="1" applyBorder="1" applyAlignment="1">
      <alignment horizontal="left"/>
    </xf>
    <xf numFmtId="10" fontId="68" fillId="36" borderId="13" xfId="57" applyFont="1" applyBorder="1">
      <protection locked="0"/>
    </xf>
    <xf numFmtId="176" fontId="53" fillId="0" borderId="4" xfId="82" applyNumberFormat="1" applyFont="1" applyBorder="1"/>
    <xf numFmtId="0" fontId="26" fillId="39" borderId="0" xfId="49" applyAlignment="1">
      <alignment vertical="top"/>
    </xf>
    <xf numFmtId="0" fontId="25" fillId="39" borderId="0" xfId="48" applyBorder="1" applyAlignment="1">
      <alignment vertical="top"/>
    </xf>
    <xf numFmtId="0" fontId="52" fillId="39" borderId="13" xfId="0" applyFont="1" applyFill="1" applyBorder="1"/>
    <xf numFmtId="169" fontId="12" fillId="39" borderId="13" xfId="82" applyNumberFormat="1" applyFont="1" applyFill="1" applyBorder="1" applyAlignment="1" applyProtection="1"/>
    <xf numFmtId="0" fontId="12" fillId="37" borderId="0" xfId="60" applyBorder="1" applyAlignment="1">
      <alignment horizontal="left"/>
      <protection locked="0"/>
    </xf>
    <xf numFmtId="0" fontId="46" fillId="37" borderId="0" xfId="60" applyFont="1" applyBorder="1" applyAlignment="1">
      <alignment vertical="top"/>
      <protection locked="0"/>
    </xf>
    <xf numFmtId="9" fontId="68" fillId="36" borderId="13" xfId="57" applyNumberFormat="1" applyFont="1" applyBorder="1">
      <protection locked="0"/>
    </xf>
    <xf numFmtId="0" fontId="66" fillId="39" borderId="0" xfId="0" applyFont="1" applyFill="1" applyAlignment="1">
      <alignment horizontal="right"/>
    </xf>
    <xf numFmtId="0" fontId="65" fillId="39" borderId="0" xfId="0" applyFont="1" applyFill="1" applyAlignment="1">
      <alignment horizontal="center"/>
    </xf>
    <xf numFmtId="0" fontId="9" fillId="39" borderId="6" xfId="0" applyFont="1" applyFill="1" applyBorder="1"/>
    <xf numFmtId="0" fontId="9" fillId="39" borderId="8" xfId="0" applyFont="1" applyFill="1" applyBorder="1"/>
    <xf numFmtId="171" fontId="12" fillId="36" borderId="6" xfId="58" applyBorder="1" applyAlignment="1" applyProtection="1">
      <alignment horizontal="left"/>
      <protection locked="0"/>
    </xf>
    <xf numFmtId="171" fontId="12" fillId="36" borderId="7" xfId="58" applyBorder="1" applyAlignment="1" applyProtection="1">
      <alignment horizontal="left"/>
      <protection locked="0"/>
    </xf>
    <xf numFmtId="171" fontId="12" fillId="36" borderId="8" xfId="58" applyBorder="1" applyAlignment="1" applyProtection="1">
      <alignment horizontal="left"/>
      <protection locked="0"/>
    </xf>
    <xf numFmtId="10" fontId="41" fillId="36" borderId="13" xfId="83" applyNumberFormat="1" applyFont="1" applyFill="1" applyBorder="1" applyAlignment="1" applyProtection="1">
      <alignment horizontal="right"/>
      <protection locked="0"/>
    </xf>
    <xf numFmtId="0" fontId="70" fillId="39" borderId="0" xfId="48" applyFont="1" applyBorder="1"/>
    <xf numFmtId="0" fontId="25" fillId="39" borderId="0" xfId="48" applyBorder="1" applyAlignment="1">
      <alignment horizontal="left"/>
    </xf>
    <xf numFmtId="0" fontId="42" fillId="39" borderId="13" xfId="69" applyFont="1" applyFill="1" applyBorder="1"/>
    <xf numFmtId="0" fontId="11" fillId="3" borderId="0" xfId="50" applyBorder="1">
      <alignment horizontal="center" vertical="center"/>
    </xf>
    <xf numFmtId="0" fontId="27" fillId="38" borderId="6" xfId="61" applyBorder="1" applyAlignment="1">
      <alignment horizontal="left"/>
    </xf>
    <xf numFmtId="0" fontId="27" fillId="38" borderId="7" xfId="61" applyBorder="1" applyAlignment="1">
      <alignment horizontal="left"/>
    </xf>
    <xf numFmtId="0" fontId="27" fillId="38" borderId="8" xfId="61" applyBorder="1" applyAlignment="1">
      <alignment horizontal="left"/>
    </xf>
    <xf numFmtId="0" fontId="12" fillId="36" borderId="6" xfId="52" applyBorder="1" applyAlignment="1">
      <alignment horizontal="left"/>
      <protection locked="0"/>
    </xf>
    <xf numFmtId="0" fontId="12" fillId="36" borderId="7" xfId="52" applyBorder="1" applyAlignment="1">
      <alignment horizontal="left"/>
      <protection locked="0"/>
    </xf>
    <xf numFmtId="0" fontId="12" fillId="36" borderId="8" xfId="52" applyBorder="1" applyAlignment="1">
      <alignment horizontal="left"/>
      <protection locked="0"/>
    </xf>
    <xf numFmtId="0" fontId="12" fillId="36" borderId="6" xfId="52" applyBorder="1" applyAlignment="1">
      <alignment horizontal="left" wrapText="1"/>
      <protection locked="0"/>
    </xf>
    <xf numFmtId="0" fontId="12" fillId="36" borderId="7" xfId="52" applyBorder="1" applyAlignment="1">
      <alignment horizontal="left" wrapText="1"/>
      <protection locked="0"/>
    </xf>
    <xf numFmtId="0" fontId="12" fillId="36" borderId="8" xfId="52" applyBorder="1" applyAlignment="1">
      <alignment horizontal="left" wrapText="1"/>
      <protection locked="0"/>
    </xf>
    <xf numFmtId="171" fontId="12" fillId="36" borderId="6" xfId="58" applyBorder="1" applyAlignment="1" applyProtection="1">
      <alignment horizontal="left"/>
      <protection locked="0"/>
    </xf>
    <xf numFmtId="171" fontId="12" fillId="36" borderId="7" xfId="58" applyBorder="1" applyAlignment="1" applyProtection="1">
      <alignment horizontal="left"/>
      <protection locked="0"/>
    </xf>
    <xf numFmtId="171" fontId="12" fillId="36" borderId="8" xfId="58" applyBorder="1" applyAlignment="1" applyProtection="1">
      <alignment horizontal="left"/>
      <protection locked="0"/>
    </xf>
    <xf numFmtId="0" fontId="27" fillId="36" borderId="3" xfId="51" applyFont="1" applyBorder="1" applyAlignment="1">
      <alignment horizontal="left" vertical="top" wrapText="1"/>
      <protection locked="0"/>
    </xf>
    <xf numFmtId="0" fontId="27" fillId="36" borderId="10" xfId="51" applyFont="1" applyBorder="1" applyAlignment="1">
      <alignment horizontal="left" vertical="top" wrapText="1"/>
      <protection locked="0"/>
    </xf>
    <xf numFmtId="0" fontId="27" fillId="36" borderId="11" xfId="51" applyFont="1" applyBorder="1" applyAlignment="1">
      <alignment horizontal="left" vertical="top" wrapText="1"/>
      <protection locked="0"/>
    </xf>
    <xf numFmtId="0" fontId="27" fillId="36" borderId="1" xfId="51" applyFont="1" applyBorder="1" applyAlignment="1">
      <alignment horizontal="left" vertical="top" wrapText="1"/>
      <protection locked="0"/>
    </xf>
    <xf numFmtId="0" fontId="27" fillId="36" borderId="0" xfId="51" applyFont="1" applyBorder="1" applyAlignment="1">
      <alignment horizontal="left" vertical="top" wrapText="1"/>
      <protection locked="0"/>
    </xf>
    <xf numFmtId="0" fontId="27" fillId="36" borderId="2" xfId="51" applyFont="1" applyBorder="1" applyAlignment="1">
      <alignment horizontal="left" vertical="top" wrapText="1"/>
      <protection locked="0"/>
    </xf>
    <xf numFmtId="0" fontId="27" fillId="36" borderId="5" xfId="51" applyFont="1" applyBorder="1" applyAlignment="1">
      <alignment horizontal="left" vertical="top" wrapText="1"/>
      <protection locked="0"/>
    </xf>
    <xf numFmtId="0" fontId="27" fillId="36" borderId="9" xfId="51" applyFont="1" applyBorder="1" applyAlignment="1">
      <alignment horizontal="left" vertical="top" wrapText="1"/>
      <protection locked="0"/>
    </xf>
    <xf numFmtId="0" fontId="27" fillId="36" borderId="12" xfId="51" applyFont="1" applyBorder="1" applyAlignment="1">
      <alignment horizontal="left" vertical="top" wrapText="1"/>
      <protection locked="0"/>
    </xf>
    <xf numFmtId="0" fontId="35" fillId="39" borderId="6" xfId="48" applyFont="1" applyBorder="1"/>
    <xf numFmtId="0" fontId="35" fillId="39" borderId="8" xfId="48" applyFont="1" applyBorder="1"/>
    <xf numFmtId="0" fontId="35" fillId="39" borderId="13" xfId="48" applyFont="1" applyBorder="1"/>
    <xf numFmtId="0" fontId="59" fillId="39" borderId="6" xfId="0" applyFont="1" applyFill="1" applyBorder="1" applyAlignment="1">
      <alignment horizontal="center" vertical="center" wrapText="1"/>
    </xf>
    <xf numFmtId="0" fontId="59" fillId="39" borderId="7" xfId="0" applyFont="1" applyFill="1" applyBorder="1" applyAlignment="1">
      <alignment horizontal="center" vertical="center" wrapText="1"/>
    </xf>
    <xf numFmtId="0" fontId="59" fillId="39" borderId="8" xfId="0" applyFont="1" applyFill="1" applyBorder="1" applyAlignment="1">
      <alignment horizontal="center" vertical="center" wrapText="1"/>
    </xf>
    <xf numFmtId="0" fontId="59" fillId="39" borderId="6" xfId="0" applyFont="1" applyFill="1" applyBorder="1" applyAlignment="1">
      <alignment horizontal="center" vertical="center"/>
    </xf>
    <xf numFmtId="0" fontId="59" fillId="39" borderId="7" xfId="0" applyFont="1" applyFill="1" applyBorder="1" applyAlignment="1">
      <alignment horizontal="center" vertical="center"/>
    </xf>
    <xf numFmtId="0" fontId="59" fillId="39" borderId="8" xfId="0" applyFont="1" applyFill="1" applyBorder="1" applyAlignment="1">
      <alignment horizontal="center" vertical="center"/>
    </xf>
    <xf numFmtId="0" fontId="7" fillId="39" borderId="9" xfId="0" applyFont="1" applyFill="1" applyBorder="1" applyAlignment="1">
      <alignment horizontal="center" vertical="top" wrapText="1"/>
    </xf>
    <xf numFmtId="0" fontId="63" fillId="39" borderId="0" xfId="0" applyFont="1" applyFill="1" applyAlignment="1">
      <alignment horizontal="left" vertical="top" wrapText="1"/>
    </xf>
    <xf numFmtId="0" fontId="11" fillId="3" borderId="0" xfId="50" applyBorder="1" applyAlignment="1">
      <alignment horizontal="left" vertical="center"/>
    </xf>
    <xf numFmtId="3" fontId="41" fillId="36" borderId="3" xfId="0" applyNumberFormat="1" applyFont="1" applyFill="1" applyBorder="1" applyAlignment="1" applyProtection="1">
      <alignment horizontal="left" vertical="top" wrapText="1"/>
      <protection locked="0"/>
    </xf>
    <xf numFmtId="3" fontId="41" fillId="36" borderId="10" xfId="0" applyNumberFormat="1" applyFont="1" applyFill="1" applyBorder="1" applyAlignment="1" applyProtection="1">
      <alignment horizontal="left" vertical="top" wrapText="1"/>
      <protection locked="0"/>
    </xf>
    <xf numFmtId="3" fontId="41" fillId="36" borderId="11" xfId="0" applyNumberFormat="1" applyFont="1" applyFill="1" applyBorder="1" applyAlignment="1" applyProtection="1">
      <alignment horizontal="left" vertical="top" wrapText="1"/>
      <protection locked="0"/>
    </xf>
    <xf numFmtId="3" fontId="41" fillId="36" borderId="1" xfId="0" applyNumberFormat="1" applyFont="1" applyFill="1" applyBorder="1" applyAlignment="1" applyProtection="1">
      <alignment horizontal="left" vertical="top" wrapText="1"/>
      <protection locked="0"/>
    </xf>
    <xf numFmtId="3" fontId="41" fillId="36" borderId="0" xfId="0" applyNumberFormat="1" applyFont="1" applyFill="1" applyAlignment="1" applyProtection="1">
      <alignment horizontal="left" vertical="top" wrapText="1"/>
      <protection locked="0"/>
    </xf>
    <xf numFmtId="3" fontId="41" fillId="36" borderId="2" xfId="0" applyNumberFormat="1" applyFont="1" applyFill="1" applyBorder="1" applyAlignment="1" applyProtection="1">
      <alignment horizontal="left" vertical="top" wrapText="1"/>
      <protection locked="0"/>
    </xf>
    <xf numFmtId="3" fontId="41" fillId="36" borderId="5" xfId="0" applyNumberFormat="1" applyFont="1" applyFill="1" applyBorder="1" applyAlignment="1" applyProtection="1">
      <alignment horizontal="left" vertical="top" wrapText="1"/>
      <protection locked="0"/>
    </xf>
    <xf numFmtId="3" fontId="41" fillId="36" borderId="9" xfId="0" applyNumberFormat="1" applyFont="1" applyFill="1" applyBorder="1" applyAlignment="1" applyProtection="1">
      <alignment horizontal="left" vertical="top" wrapText="1"/>
      <protection locked="0"/>
    </xf>
    <xf numFmtId="3" fontId="41" fillId="36" borderId="12" xfId="0" applyNumberFormat="1" applyFont="1" applyFill="1" applyBorder="1" applyAlignment="1" applyProtection="1">
      <alignment horizontal="left" vertical="top" wrapText="1"/>
      <protection locked="0"/>
    </xf>
    <xf numFmtId="0" fontId="69" fillId="39" borderId="6" xfId="0" applyFont="1" applyFill="1" applyBorder="1" applyAlignment="1">
      <alignment horizontal="center"/>
    </xf>
    <xf numFmtId="0" fontId="69" fillId="39" borderId="8" xfId="0" applyFont="1" applyFill="1" applyBorder="1" applyAlignment="1">
      <alignment horizontal="center"/>
    </xf>
    <xf numFmtId="0" fontId="66" fillId="36" borderId="6" xfId="0" applyFont="1" applyFill="1" applyBorder="1" applyAlignment="1" applyProtection="1">
      <alignment horizontal="center"/>
      <protection locked="0"/>
    </xf>
    <xf numFmtId="0" fontId="66" fillId="36" borderId="8" xfId="0" applyFont="1" applyFill="1" applyBorder="1" applyAlignment="1" applyProtection="1">
      <alignment horizontal="center"/>
      <protection locked="0"/>
    </xf>
    <xf numFmtId="0" fontId="67" fillId="39" borderId="0" xfId="0" applyFont="1" applyFill="1" applyAlignment="1">
      <alignment horizontal="center" vertical="center" wrapText="1"/>
    </xf>
    <xf numFmtId="2" fontId="41" fillId="36" borderId="13" xfId="0" applyNumberFormat="1" applyFont="1" applyFill="1" applyBorder="1" applyAlignment="1" applyProtection="1">
      <alignment horizontal="right"/>
      <protection locked="0"/>
    </xf>
  </cellXfs>
  <cellStyles count="2937">
    <cellStyle name="20% - Accent1" xfId="25" builtinId="30" hidden="1"/>
    <cellStyle name="20% - Accent2" xfId="29" builtinId="34" hidden="1"/>
    <cellStyle name="20% - Accent3" xfId="33" builtinId="38" hidden="1"/>
    <cellStyle name="20% - Accent4" xfId="37" builtinId="42" hidden="1"/>
    <cellStyle name="20% - Accent5" xfId="41" builtinId="46" hidden="1"/>
    <cellStyle name="20% - Accent6" xfId="45" builtinId="50" hidden="1"/>
    <cellStyle name="40% - Accent1" xfId="26" builtinId="31" hidden="1"/>
    <cellStyle name="40% - Accent2" xfId="30" builtinId="35" hidden="1"/>
    <cellStyle name="40% - Accent3" xfId="34" builtinId="39" hidden="1"/>
    <cellStyle name="40% - Accent4" xfId="38" builtinId="43" hidden="1"/>
    <cellStyle name="40% - Accent5" xfId="42" builtinId="47" hidden="1"/>
    <cellStyle name="40% - Accent6" xfId="46" builtinId="51" hidden="1"/>
    <cellStyle name="60% - Accent1" xfId="27" builtinId="32" hidden="1"/>
    <cellStyle name="60% - Accent2" xfId="31" builtinId="36" hidden="1"/>
    <cellStyle name="60% - Accent3" xfId="35" builtinId="40" hidden="1"/>
    <cellStyle name="60% - Accent4" xfId="39" builtinId="44" hidden="1"/>
    <cellStyle name="60% - Accent5" xfId="43" builtinId="48" hidden="1"/>
    <cellStyle name="60% - Accent6" xfId="47" builtinId="52" hidden="1"/>
    <cellStyle name="Accent1" xfId="24" builtinId="29" hidden="1"/>
    <cellStyle name="Accent2" xfId="28" builtinId="33" hidden="1"/>
    <cellStyle name="Accent3" xfId="32" builtinId="37" hidden="1"/>
    <cellStyle name="Accent4" xfId="36" builtinId="41" hidden="1"/>
    <cellStyle name="Accent5" xfId="40" builtinId="45" hidden="1"/>
    <cellStyle name="Accent6" xfId="44" builtinId="49" hidden="1"/>
    <cellStyle name="Bad" xfId="13" builtinId="27" hidden="1"/>
    <cellStyle name="Calculation" xfId="17" builtinId="22" hidden="1"/>
    <cellStyle name="Check Cell" xfId="19" builtinId="23" hidden="1"/>
    <cellStyle name="Comma" xfId="1" builtinId="3" hidden="1"/>
    <cellStyle name="Comma" xfId="79" builtinId="3" hidden="1"/>
    <cellStyle name="Comma" xfId="82" builtinId="3"/>
    <cellStyle name="Comma [0]" xfId="4" builtinId="6" hidden="1"/>
    <cellStyle name="Comma 2" xfId="88" xr:uid="{00000000-0005-0000-0000-000020000000}"/>
    <cellStyle name="Comma 2 2" xfId="93" xr:uid="{00000000-0005-0000-0000-000021000000}"/>
    <cellStyle name="Comma 2 2 2" xfId="113" xr:uid="{A17240F1-15D8-4F00-953B-85F4BBEABF44}"/>
    <cellStyle name="Comma 2 2 2 2" xfId="133" xr:uid="{0C8B9967-E937-4D1C-A147-A5B886763487}"/>
    <cellStyle name="Comma 2 2 2 2 2" xfId="195" xr:uid="{80453DC8-115D-4469-B0C1-723830F7AE7B}"/>
    <cellStyle name="Comma 2 2 2 2 2 2" xfId="313" xr:uid="{7CB62F8F-3712-43AA-8687-773FE7DD92DC}"/>
    <cellStyle name="Comma 2 2 2 2 2 2 2" xfId="549" xr:uid="{E88FDF5C-4BAE-4AB5-B492-330622AF3E40}"/>
    <cellStyle name="Comma 2 2 2 2 2 2 2 2" xfId="1021" xr:uid="{CA8F2B96-DE6B-4561-B4F3-BFCF543407BF}"/>
    <cellStyle name="Comma 2 2 2 2 2 2 2 2 2" xfId="2910" xr:uid="{35371F3C-B28B-408F-B101-9C78E30DC49E}"/>
    <cellStyle name="Comma 2 2 2 2 2 2 2 2 3" xfId="1965" xr:uid="{0F1AFD80-2805-4259-ABA8-77C3CBF1328E}"/>
    <cellStyle name="Comma 2 2 2 2 2 2 2 3" xfId="2438" xr:uid="{B2C1C868-F1ED-4EAA-9368-779C51168924}"/>
    <cellStyle name="Comma 2 2 2 2 2 2 2 4" xfId="1493" xr:uid="{88CD43BE-95E6-40FD-8FDC-10741783697B}"/>
    <cellStyle name="Comma 2 2 2 2 2 2 3" xfId="785" xr:uid="{3F9021A7-2472-4F0E-9210-DFCCC8ED2F29}"/>
    <cellStyle name="Comma 2 2 2 2 2 2 3 2" xfId="2674" xr:uid="{8C61CA76-E5EA-428B-AB03-4EE5C60E02EC}"/>
    <cellStyle name="Comma 2 2 2 2 2 2 3 3" xfId="1729" xr:uid="{8650DD6D-C6CC-454C-9B74-64F2673F5D3E}"/>
    <cellStyle name="Comma 2 2 2 2 2 2 4" xfId="2202" xr:uid="{E6AF1AF3-4EF5-4087-B66C-0B495329E515}"/>
    <cellStyle name="Comma 2 2 2 2 2 2 5" xfId="1257" xr:uid="{B85D2F7D-EED1-418D-A5AA-A819A1430164}"/>
    <cellStyle name="Comma 2 2 2 2 2 3" xfId="431" xr:uid="{126D48C7-7F00-4543-9F41-50A2709C6866}"/>
    <cellStyle name="Comma 2 2 2 2 2 3 2" xfId="903" xr:uid="{476C3A5F-1477-4B3D-A489-1936696FAEBB}"/>
    <cellStyle name="Comma 2 2 2 2 2 3 2 2" xfId="2792" xr:uid="{20EA1833-096C-40B8-B7C3-65522E0C564B}"/>
    <cellStyle name="Comma 2 2 2 2 2 3 2 3" xfId="1847" xr:uid="{F1D7E347-89E8-451B-86FA-A8810228D4BE}"/>
    <cellStyle name="Comma 2 2 2 2 2 3 3" xfId="2320" xr:uid="{63B6343D-BF0D-477E-B06F-F0597FCBC910}"/>
    <cellStyle name="Comma 2 2 2 2 2 3 4" xfId="1375" xr:uid="{3FD62850-C628-4DA6-AA5E-14479533BFFD}"/>
    <cellStyle name="Comma 2 2 2 2 2 4" xfId="667" xr:uid="{5A358D1D-21B9-4C3C-A512-51CCC70FC19F}"/>
    <cellStyle name="Comma 2 2 2 2 2 4 2" xfId="2556" xr:uid="{C59BB898-0D97-43A0-8D50-4D1FF97E9E66}"/>
    <cellStyle name="Comma 2 2 2 2 2 4 3" xfId="1611" xr:uid="{98B55404-6D02-42F8-B81C-4CFDFCE8A4DC}"/>
    <cellStyle name="Comma 2 2 2 2 2 5" xfId="2084" xr:uid="{9E69C226-2D3A-42CC-B6C2-E0E2C47B373E}"/>
    <cellStyle name="Comma 2 2 2 2 2 6" xfId="1139" xr:uid="{AA3AFD6F-412E-4D45-ABD9-D1E84F688F8C}"/>
    <cellStyle name="Comma 2 2 2 2 3" xfId="254" xr:uid="{3186AD1C-6EED-4110-9D27-DD3452011CCC}"/>
    <cellStyle name="Comma 2 2 2 2 3 2" xfId="490" xr:uid="{567B2E62-B301-451C-99E3-9E5E64F1E133}"/>
    <cellStyle name="Comma 2 2 2 2 3 2 2" xfId="962" xr:uid="{ED4C0AFC-7037-45BB-BB47-2BC8619AC9A4}"/>
    <cellStyle name="Comma 2 2 2 2 3 2 2 2" xfId="2851" xr:uid="{AF47DB26-A51D-4FD4-9ACE-5A23137A9E79}"/>
    <cellStyle name="Comma 2 2 2 2 3 2 2 3" xfId="1906" xr:uid="{A0225CF1-C97E-4107-9313-E2BC04CB1235}"/>
    <cellStyle name="Comma 2 2 2 2 3 2 3" xfId="2379" xr:uid="{E418C3FD-FA56-4FA0-A29F-CCBF1CE78AB0}"/>
    <cellStyle name="Comma 2 2 2 2 3 2 4" xfId="1434" xr:uid="{789943F1-6AB6-4A09-8B5E-073891809AF4}"/>
    <cellStyle name="Comma 2 2 2 2 3 3" xfId="726" xr:uid="{F234B585-F82F-495E-90FC-C9F864A4FE61}"/>
    <cellStyle name="Comma 2 2 2 2 3 3 2" xfId="2615" xr:uid="{FD66AA3A-FC26-44BE-AF0D-9908286F8CCC}"/>
    <cellStyle name="Comma 2 2 2 2 3 3 3" xfId="1670" xr:uid="{F4CC675C-E58A-4480-B5F4-5CA2DE4062A5}"/>
    <cellStyle name="Comma 2 2 2 2 3 4" xfId="2143" xr:uid="{971AA916-89DA-485D-AA3C-A92CCC582B03}"/>
    <cellStyle name="Comma 2 2 2 2 3 5" xfId="1198" xr:uid="{C1FB4FA0-504A-4934-9AC4-24AA7A16FE33}"/>
    <cellStyle name="Comma 2 2 2 2 4" xfId="372" xr:uid="{2D45A6BE-CB2B-44C0-A977-EDFCDD643CE4}"/>
    <cellStyle name="Comma 2 2 2 2 4 2" xfId="844" xr:uid="{992C44F2-D297-4BDE-B011-EE5D2FD909A8}"/>
    <cellStyle name="Comma 2 2 2 2 4 2 2" xfId="2733" xr:uid="{C2286820-156F-4057-9620-DC46B23A23E7}"/>
    <cellStyle name="Comma 2 2 2 2 4 2 3" xfId="1788" xr:uid="{A2274A35-7DD1-49CF-AC47-32C090B7DFFB}"/>
    <cellStyle name="Comma 2 2 2 2 4 3" xfId="2261" xr:uid="{966DC51F-6AA2-4AAC-AEB6-187056412128}"/>
    <cellStyle name="Comma 2 2 2 2 4 4" xfId="1316" xr:uid="{516044E7-D595-44D8-8C07-75CC4E7796C7}"/>
    <cellStyle name="Comma 2 2 2 2 5" xfId="608" xr:uid="{C4495489-83E1-4899-ABF9-35B3223BF510}"/>
    <cellStyle name="Comma 2 2 2 2 5 2" xfId="2497" xr:uid="{EBE54DC5-7743-477B-A787-7E9041007063}"/>
    <cellStyle name="Comma 2 2 2 2 5 3" xfId="1552" xr:uid="{AE7F747D-2719-4D5B-94A7-D5A69BBF3925}"/>
    <cellStyle name="Comma 2 2 2 2 6" xfId="2025" xr:uid="{A70FA58D-E9E1-4F8E-8235-B7545C3B54B9}"/>
    <cellStyle name="Comma 2 2 2 2 7" xfId="1080" xr:uid="{E6E8B5F3-72A8-4EC2-A22B-2E1009E1252E}"/>
    <cellStyle name="Comma 2 2 2 3" xfId="128" xr:uid="{6102AA9E-B0DC-4B90-9AF0-C312BA9D8CE7}"/>
    <cellStyle name="Comma 2 2 2 3 2" xfId="190" xr:uid="{855AE698-3AB6-44BA-8447-E5B17B1BC514}"/>
    <cellStyle name="Comma 2 2 2 3 2 2" xfId="308" xr:uid="{6A95B903-3C59-4A44-B591-6B24490DB0E6}"/>
    <cellStyle name="Comma 2 2 2 3 2 2 2" xfId="544" xr:uid="{4646AB06-9A9F-479A-9E98-6B119F01E55F}"/>
    <cellStyle name="Comma 2 2 2 3 2 2 2 2" xfId="1016" xr:uid="{59228F3F-A0CC-4826-9B5F-01F41C46A3CA}"/>
    <cellStyle name="Comma 2 2 2 3 2 2 2 2 2" xfId="2905" xr:uid="{E9A44B7D-11B4-4AC7-9A54-601195042A5A}"/>
    <cellStyle name="Comma 2 2 2 3 2 2 2 2 3" xfId="1960" xr:uid="{9707061B-BED2-47F9-B57C-4C8D2A6D0B88}"/>
    <cellStyle name="Comma 2 2 2 3 2 2 2 3" xfId="2433" xr:uid="{4BA46715-F18A-41BE-87E5-A86C54A9BE31}"/>
    <cellStyle name="Comma 2 2 2 3 2 2 2 4" xfId="1488" xr:uid="{912D78B8-057D-433A-9BFF-0B180E6F8E82}"/>
    <cellStyle name="Comma 2 2 2 3 2 2 3" xfId="780" xr:uid="{1840F23D-AA8E-457B-B1C6-3CB413CC56B6}"/>
    <cellStyle name="Comma 2 2 2 3 2 2 3 2" xfId="2669" xr:uid="{AFC47094-1A07-47D0-BE25-15C43BDC3622}"/>
    <cellStyle name="Comma 2 2 2 3 2 2 3 3" xfId="1724" xr:uid="{682455F7-7E73-492D-8053-D7A5B0241BFC}"/>
    <cellStyle name="Comma 2 2 2 3 2 2 4" xfId="2197" xr:uid="{F816CB56-E989-47E1-A27B-2B240C98EC7F}"/>
    <cellStyle name="Comma 2 2 2 3 2 2 5" xfId="1252" xr:uid="{39823C11-F4AA-46E2-A9CD-5C25D322462B}"/>
    <cellStyle name="Comma 2 2 2 3 2 3" xfId="426" xr:uid="{BD663344-260C-4BB9-A13A-9FB93F5C64A7}"/>
    <cellStyle name="Comma 2 2 2 3 2 3 2" xfId="898" xr:uid="{9BF727F9-C408-45EC-A3D6-1899A5312E35}"/>
    <cellStyle name="Comma 2 2 2 3 2 3 2 2" xfId="2787" xr:uid="{C9530340-3182-4B76-8C04-40977FDCCC57}"/>
    <cellStyle name="Comma 2 2 2 3 2 3 2 3" xfId="1842" xr:uid="{40EE1ADF-0FE0-4718-BDD9-3A60EC938D97}"/>
    <cellStyle name="Comma 2 2 2 3 2 3 3" xfId="2315" xr:uid="{9A8C8D1D-7AA1-4A0D-8B17-764C1EB49BE2}"/>
    <cellStyle name="Comma 2 2 2 3 2 3 4" xfId="1370" xr:uid="{2E58CDC6-DA18-4397-913C-AC145AFD7662}"/>
    <cellStyle name="Comma 2 2 2 3 2 4" xfId="662" xr:uid="{3114A28F-DE6A-4958-9203-579FD52E3A4F}"/>
    <cellStyle name="Comma 2 2 2 3 2 4 2" xfId="2551" xr:uid="{7D1ED0A9-2423-4EA1-9899-41A3582787EC}"/>
    <cellStyle name="Comma 2 2 2 3 2 4 3" xfId="1606" xr:uid="{484E4D65-CC00-47E0-B104-E18336A6718D}"/>
    <cellStyle name="Comma 2 2 2 3 2 5" xfId="2079" xr:uid="{5E9C0990-0A9E-4B4D-B4CF-A90AF984C17E}"/>
    <cellStyle name="Comma 2 2 2 3 2 6" xfId="1134" xr:uid="{DD20AA56-0EF0-4BBE-A1F7-7B5BAC5151C0}"/>
    <cellStyle name="Comma 2 2 2 3 3" xfId="249" xr:uid="{4E975F5B-F5A4-43EB-8417-C59D0A7184A5}"/>
    <cellStyle name="Comma 2 2 2 3 3 2" xfId="485" xr:uid="{B35A50E5-3DB3-41C8-8C25-9C92441953A5}"/>
    <cellStyle name="Comma 2 2 2 3 3 2 2" xfId="957" xr:uid="{8BC6A8E0-8F61-4C83-A677-C6E655B68536}"/>
    <cellStyle name="Comma 2 2 2 3 3 2 2 2" xfId="2846" xr:uid="{92002AEA-2822-41C1-8E2A-F125AD2AF9F2}"/>
    <cellStyle name="Comma 2 2 2 3 3 2 2 3" xfId="1901" xr:uid="{F021AE26-FCE1-4487-A644-EFAA700C4FD1}"/>
    <cellStyle name="Comma 2 2 2 3 3 2 3" xfId="2374" xr:uid="{DA90F11A-5840-46D6-B50D-5CE2A2C5DB9F}"/>
    <cellStyle name="Comma 2 2 2 3 3 2 4" xfId="1429" xr:uid="{5A15A44B-BFC2-401A-88D3-CF015B47527A}"/>
    <cellStyle name="Comma 2 2 2 3 3 3" xfId="721" xr:uid="{1244A973-EFD0-4F4D-BF28-3FD8944AAF06}"/>
    <cellStyle name="Comma 2 2 2 3 3 3 2" xfId="2610" xr:uid="{FB17C01A-4511-40FC-8D9C-949EC6AF565D}"/>
    <cellStyle name="Comma 2 2 2 3 3 3 3" xfId="1665" xr:uid="{640C3709-51F2-47E2-92F4-032586B69C1E}"/>
    <cellStyle name="Comma 2 2 2 3 3 4" xfId="2138" xr:uid="{CE2E2CE4-2D64-41D8-BF99-3CACDAC891C6}"/>
    <cellStyle name="Comma 2 2 2 3 3 5" xfId="1193" xr:uid="{E2599BAE-5A04-4B5C-BE62-BE2B96BAE6CB}"/>
    <cellStyle name="Comma 2 2 2 3 4" xfId="367" xr:uid="{F4D5B79B-2268-4861-A042-B82DEF9D1AB9}"/>
    <cellStyle name="Comma 2 2 2 3 4 2" xfId="839" xr:uid="{AEA8FD4F-13FF-4B9A-93AA-071447FB74D0}"/>
    <cellStyle name="Comma 2 2 2 3 4 2 2" xfId="2728" xr:uid="{5F5EF885-70F7-4278-8682-B3227F72752A}"/>
    <cellStyle name="Comma 2 2 2 3 4 2 3" xfId="1783" xr:uid="{2CEF1718-74A6-4CED-ABFD-04A542D50C3B}"/>
    <cellStyle name="Comma 2 2 2 3 4 3" xfId="2256" xr:uid="{E0BACDDC-51F2-4B84-BB62-FC79DF6DAAC2}"/>
    <cellStyle name="Comma 2 2 2 3 4 4" xfId="1311" xr:uid="{7DB8B38A-18BC-411B-B7EB-F306AF6D03CC}"/>
    <cellStyle name="Comma 2 2 2 3 5" xfId="603" xr:uid="{0AA5B72A-F9EB-481B-A14F-7EC359415DEC}"/>
    <cellStyle name="Comma 2 2 2 3 5 2" xfId="2492" xr:uid="{AD6714F0-AB6D-4C41-BC08-77EB361F6D33}"/>
    <cellStyle name="Comma 2 2 2 3 5 3" xfId="1547" xr:uid="{42F11166-F939-46D3-8311-C8246796F53B}"/>
    <cellStyle name="Comma 2 2 2 3 6" xfId="2020" xr:uid="{464AE438-E859-446D-BC3C-314B76DF5393}"/>
    <cellStyle name="Comma 2 2 2 3 7" xfId="1075" xr:uid="{66F17876-E92F-467A-A04A-DEE62DEE5260}"/>
    <cellStyle name="Comma 2 2 2 4" xfId="175" xr:uid="{D4D6C019-5819-45F7-AFEA-ACD4211C14D7}"/>
    <cellStyle name="Comma 2 2 2 4 2" xfId="293" xr:uid="{6ADB614E-A775-4912-B94C-1ADD30260D8A}"/>
    <cellStyle name="Comma 2 2 2 4 2 2" xfId="529" xr:uid="{8307A3B2-E91B-4DE0-871C-CBF4D0990985}"/>
    <cellStyle name="Comma 2 2 2 4 2 2 2" xfId="1001" xr:uid="{30DC3DAF-5FE3-4708-A6EE-6DC883C2139A}"/>
    <cellStyle name="Comma 2 2 2 4 2 2 2 2" xfId="2890" xr:uid="{86AC9B55-E70E-4CE4-9E24-F6EB0054B4E7}"/>
    <cellStyle name="Comma 2 2 2 4 2 2 2 3" xfId="1945" xr:uid="{AD94DB87-9559-41FC-8C24-F4FBB7785FB8}"/>
    <cellStyle name="Comma 2 2 2 4 2 2 3" xfId="2418" xr:uid="{E73794E0-B15D-4B73-BC8E-9C6F480A98C1}"/>
    <cellStyle name="Comma 2 2 2 4 2 2 4" xfId="1473" xr:uid="{B8E9C709-4900-4D57-B52E-742A537187F4}"/>
    <cellStyle name="Comma 2 2 2 4 2 3" xfId="765" xr:uid="{796DA531-38A0-4354-8281-0BD37D0E9225}"/>
    <cellStyle name="Comma 2 2 2 4 2 3 2" xfId="2654" xr:uid="{8256C93B-CAFC-46F1-AF04-D9093A371CBC}"/>
    <cellStyle name="Comma 2 2 2 4 2 3 3" xfId="1709" xr:uid="{8462A699-DB3C-4B9D-B27C-786D35998573}"/>
    <cellStyle name="Comma 2 2 2 4 2 4" xfId="2182" xr:uid="{6C4285A5-AB76-4D59-B903-C9D451D70927}"/>
    <cellStyle name="Comma 2 2 2 4 2 5" xfId="1237" xr:uid="{C66C4BCE-DD60-4B59-B027-D81164B2F654}"/>
    <cellStyle name="Comma 2 2 2 4 3" xfId="411" xr:uid="{18B31A8F-AA05-484A-AC4D-BAB4D77E60D1}"/>
    <cellStyle name="Comma 2 2 2 4 3 2" xfId="883" xr:uid="{5BA854BA-72E1-4FF4-9119-815CA9EA8930}"/>
    <cellStyle name="Comma 2 2 2 4 3 2 2" xfId="2772" xr:uid="{599EC2BF-C8EF-47A3-9BCD-4C5AB49EBBC9}"/>
    <cellStyle name="Comma 2 2 2 4 3 2 3" xfId="1827" xr:uid="{AB41D2D7-7BD7-443F-B744-B427DA585B3D}"/>
    <cellStyle name="Comma 2 2 2 4 3 3" xfId="2300" xr:uid="{E47A6AE3-E130-4CD4-85C7-83FDEFD96A28}"/>
    <cellStyle name="Comma 2 2 2 4 3 4" xfId="1355" xr:uid="{D3569A3C-7175-4731-8C4F-BB9CD1A2CD7C}"/>
    <cellStyle name="Comma 2 2 2 4 4" xfId="647" xr:uid="{06852D78-5C9A-4F69-8BCB-7C9CDAA378E8}"/>
    <cellStyle name="Comma 2 2 2 4 4 2" xfId="2536" xr:uid="{688899B4-BEEC-4635-8512-A09D958A6CB3}"/>
    <cellStyle name="Comma 2 2 2 4 4 3" xfId="1591" xr:uid="{A239B9E1-2938-485A-93C9-04C41EC67361}"/>
    <cellStyle name="Comma 2 2 2 4 5" xfId="2064" xr:uid="{AF98AF2F-4E22-40D8-A664-B4003634E5C5}"/>
    <cellStyle name="Comma 2 2 2 4 6" xfId="1119" xr:uid="{3E61A4D1-636A-4B01-9B18-4B9C40331F01}"/>
    <cellStyle name="Comma 2 2 2 5" xfId="234" xr:uid="{267E9855-F584-4D24-BB51-39DD6CF28F3E}"/>
    <cellStyle name="Comma 2 2 2 5 2" xfId="470" xr:uid="{8DBFFAE8-F86D-440C-A7B9-E932BB52EFA4}"/>
    <cellStyle name="Comma 2 2 2 5 2 2" xfId="942" xr:uid="{2BE44EB3-E430-4F5E-9CF2-81F66674BC52}"/>
    <cellStyle name="Comma 2 2 2 5 2 2 2" xfId="2831" xr:uid="{A7FF7644-1598-4250-BB24-10E3AD13A3EB}"/>
    <cellStyle name="Comma 2 2 2 5 2 2 3" xfId="1886" xr:uid="{C3EE0E4A-FCB8-4B1D-ACD8-A001C9C5170B}"/>
    <cellStyle name="Comma 2 2 2 5 2 3" xfId="2359" xr:uid="{BEEEB731-E652-4DD9-B17B-6C84060FB644}"/>
    <cellStyle name="Comma 2 2 2 5 2 4" xfId="1414" xr:uid="{881846A1-8121-4255-919E-E02D84A883DA}"/>
    <cellStyle name="Comma 2 2 2 5 3" xfId="706" xr:uid="{CEAE3587-7D95-4EB1-AD0D-FF2C95442F04}"/>
    <cellStyle name="Comma 2 2 2 5 3 2" xfId="2595" xr:uid="{C1827B27-376B-43CE-B2B5-158FF0F4311C}"/>
    <cellStyle name="Comma 2 2 2 5 3 3" xfId="1650" xr:uid="{F00A1C7C-5828-44CB-9203-690C30BA4308}"/>
    <cellStyle name="Comma 2 2 2 5 4" xfId="2123" xr:uid="{26F5B67D-3743-4605-84B2-11F8ADCE3F66}"/>
    <cellStyle name="Comma 2 2 2 5 5" xfId="1178" xr:uid="{ECFB3C96-DCF3-470E-8F63-783DAFF79526}"/>
    <cellStyle name="Comma 2 2 2 6" xfId="352" xr:uid="{0A3922C7-AD84-4A97-AA86-DC235669AC83}"/>
    <cellStyle name="Comma 2 2 2 6 2" xfId="824" xr:uid="{AAE0EEDB-F329-4198-9236-971A9579C17E}"/>
    <cellStyle name="Comma 2 2 2 6 2 2" xfId="2713" xr:uid="{FE6B4E52-2331-4A99-BF0C-3EE85C027533}"/>
    <cellStyle name="Comma 2 2 2 6 2 3" xfId="1768" xr:uid="{01B4C143-094D-488A-AA50-91CD93120D91}"/>
    <cellStyle name="Comma 2 2 2 6 3" xfId="2241" xr:uid="{2437FBFF-6892-498E-9746-8711496EDCA0}"/>
    <cellStyle name="Comma 2 2 2 6 4" xfId="1296" xr:uid="{73B2DC9D-1A73-41F4-B5F1-D0E2A1BF9C7E}"/>
    <cellStyle name="Comma 2 2 2 7" xfId="588" xr:uid="{1AD24882-E44C-4542-A6FB-4BC5CD7DD7AF}"/>
    <cellStyle name="Comma 2 2 2 7 2" xfId="2477" xr:uid="{F568FD78-99E6-436D-86BC-0F26992EEE56}"/>
    <cellStyle name="Comma 2 2 2 7 3" xfId="1532" xr:uid="{E76F5438-C399-475B-9426-3D58C09F6839}"/>
    <cellStyle name="Comma 2 2 2 8" xfId="2005" xr:uid="{9FDE2B51-83B2-4C2B-8686-9C1C245EA040}"/>
    <cellStyle name="Comma 2 2 2 9" xfId="1060" xr:uid="{627E0D0E-104D-4FCA-9E84-0AF4B04D4A52}"/>
    <cellStyle name="Comma 2 2 3" xfId="136" xr:uid="{FDC8B81E-060C-440B-B698-0332F5ECBA63}"/>
    <cellStyle name="Comma 2 2 3 2" xfId="198" xr:uid="{C92425BA-4B1B-402D-A459-9DBB807A71FC}"/>
    <cellStyle name="Comma 2 2 3 2 2" xfId="316" xr:uid="{4B14B43B-E3BB-464A-8D15-B4C19C49A7DA}"/>
    <cellStyle name="Comma 2 2 3 2 2 2" xfId="552" xr:uid="{04E144D3-BCB0-4649-9B46-F78A5D42BEAC}"/>
    <cellStyle name="Comma 2 2 3 2 2 2 2" xfId="1024" xr:uid="{8120B9DB-7230-4F60-86FA-C3E05A226175}"/>
    <cellStyle name="Comma 2 2 3 2 2 2 2 2" xfId="2913" xr:uid="{B95D1C79-B39B-43E1-AB7C-55C4C932FFBF}"/>
    <cellStyle name="Comma 2 2 3 2 2 2 2 3" xfId="1968" xr:uid="{EC4A3020-F9AD-4B2F-B26B-644FD471594E}"/>
    <cellStyle name="Comma 2 2 3 2 2 2 3" xfId="2441" xr:uid="{03026FB6-C34E-4F37-8195-A8A27DBE9BA2}"/>
    <cellStyle name="Comma 2 2 3 2 2 2 4" xfId="1496" xr:uid="{085A5D3D-D43A-4EFF-8220-3E5B6B5ECA34}"/>
    <cellStyle name="Comma 2 2 3 2 2 3" xfId="788" xr:uid="{AD8F1CCC-CA70-400C-8562-BF8663F32FD3}"/>
    <cellStyle name="Comma 2 2 3 2 2 3 2" xfId="2677" xr:uid="{0D7B3BCF-BD93-43B6-AAC3-436A3B339FA0}"/>
    <cellStyle name="Comma 2 2 3 2 2 3 3" xfId="1732" xr:uid="{52E5AEC3-3BF3-443F-9F11-872945B2AA98}"/>
    <cellStyle name="Comma 2 2 3 2 2 4" xfId="2205" xr:uid="{DB61DF05-D65F-4DE8-9C15-AB19BADE9BE9}"/>
    <cellStyle name="Comma 2 2 3 2 2 5" xfId="1260" xr:uid="{711F593C-15FF-4266-9FCA-A40FA921D210}"/>
    <cellStyle name="Comma 2 2 3 2 3" xfId="434" xr:uid="{4F95737D-8A5A-401D-9A3B-213DF4ADB51D}"/>
    <cellStyle name="Comma 2 2 3 2 3 2" xfId="906" xr:uid="{7942CDB5-2910-4769-96FF-6383293D7433}"/>
    <cellStyle name="Comma 2 2 3 2 3 2 2" xfId="2795" xr:uid="{89AB3AF0-6CEF-41FE-968F-749C70C48769}"/>
    <cellStyle name="Comma 2 2 3 2 3 2 3" xfId="1850" xr:uid="{10B79A10-1919-435E-ADB1-50ACFBC9D09F}"/>
    <cellStyle name="Comma 2 2 3 2 3 3" xfId="2323" xr:uid="{F482BF15-5BD4-4617-BA4F-EA85BF78E045}"/>
    <cellStyle name="Comma 2 2 3 2 3 4" xfId="1378" xr:uid="{EC68CDE9-3A12-4D3F-864D-9A73FFC8239B}"/>
    <cellStyle name="Comma 2 2 3 2 4" xfId="670" xr:uid="{E59A9145-D694-4F8A-BF0B-9865FA192982}"/>
    <cellStyle name="Comma 2 2 3 2 4 2" xfId="2559" xr:uid="{143E6120-2E7C-4FA1-A158-47FCADF403CF}"/>
    <cellStyle name="Comma 2 2 3 2 4 3" xfId="1614" xr:uid="{CFD0CF75-3DE2-475B-8665-B758BA63FC4C}"/>
    <cellStyle name="Comma 2 2 3 2 5" xfId="2087" xr:uid="{641B245A-764D-4EE6-B7D8-AEDDB1E00B98}"/>
    <cellStyle name="Comma 2 2 3 2 6" xfId="1142" xr:uid="{11F21C41-B3F8-42B9-B2E9-C33F2C077081}"/>
    <cellStyle name="Comma 2 2 3 3" xfId="257" xr:uid="{AD790DCF-255A-41B2-812E-313275B51F12}"/>
    <cellStyle name="Comma 2 2 3 3 2" xfId="493" xr:uid="{C5B9F028-8505-48BB-BA57-5A9862924CD2}"/>
    <cellStyle name="Comma 2 2 3 3 2 2" xfId="965" xr:uid="{8EAB11D1-31C2-455A-87A5-C13BE260D6F7}"/>
    <cellStyle name="Comma 2 2 3 3 2 2 2" xfId="2854" xr:uid="{38B86F26-F18B-4588-8E6F-C3B5A935C313}"/>
    <cellStyle name="Comma 2 2 3 3 2 2 3" xfId="1909" xr:uid="{7E6364DA-6FF3-42F1-B6E5-D1F2383469D1}"/>
    <cellStyle name="Comma 2 2 3 3 2 3" xfId="2382" xr:uid="{A3CEC853-0F32-4362-B497-51F2C3B1D51E}"/>
    <cellStyle name="Comma 2 2 3 3 2 4" xfId="1437" xr:uid="{41A7F479-38AB-4E81-BA91-834FCFCD1F0C}"/>
    <cellStyle name="Comma 2 2 3 3 3" xfId="729" xr:uid="{1E45E10D-BB24-43AC-9570-C622DB3BCF1E}"/>
    <cellStyle name="Comma 2 2 3 3 3 2" xfId="2618" xr:uid="{33D6D4C9-C726-40C1-8524-6B3DEC998D7B}"/>
    <cellStyle name="Comma 2 2 3 3 3 3" xfId="1673" xr:uid="{90E4A60E-6875-4190-8B09-6287F23DD73D}"/>
    <cellStyle name="Comma 2 2 3 3 4" xfId="2146" xr:uid="{10D41CDB-63A9-4CC7-860E-F551172FEFDA}"/>
    <cellStyle name="Comma 2 2 3 3 5" xfId="1201" xr:uid="{50EDC29C-3F7E-42F5-A8AE-E0C958883043}"/>
    <cellStyle name="Comma 2 2 3 4" xfId="375" xr:uid="{6EE1EC28-A69E-46FE-80BA-52448E16270C}"/>
    <cellStyle name="Comma 2 2 3 4 2" xfId="847" xr:uid="{6C20E6C7-E26D-4F8B-B691-33ADDEFFE147}"/>
    <cellStyle name="Comma 2 2 3 4 2 2" xfId="2736" xr:uid="{B48697F6-A533-4A01-93E6-901D54BAA034}"/>
    <cellStyle name="Comma 2 2 3 4 2 3" xfId="1791" xr:uid="{5F05D5D4-D6E9-4069-9769-776DE5F07F03}"/>
    <cellStyle name="Comma 2 2 3 4 3" xfId="2264" xr:uid="{13F4F4B0-BBE5-45F9-9937-9F5C479B4E94}"/>
    <cellStyle name="Comma 2 2 3 4 4" xfId="1319" xr:uid="{562CC008-2927-4D6E-A133-71D51FA2FB82}"/>
    <cellStyle name="Comma 2 2 3 5" xfId="611" xr:uid="{BA7B8F4E-0194-4BFD-AFAF-97F81C449252}"/>
    <cellStyle name="Comma 2 2 3 5 2" xfId="2500" xr:uid="{4549AFCD-9B6C-44F4-B3C9-9B9CDD6DC499}"/>
    <cellStyle name="Comma 2 2 3 5 3" xfId="1555" xr:uid="{AEFDE339-D7FB-42C2-B453-CB23214C2EDA}"/>
    <cellStyle name="Comma 2 2 3 6" xfId="2028" xr:uid="{2022BE53-D8A0-4B60-8DBC-3E54DFBBE523}"/>
    <cellStyle name="Comma 2 2 3 7" xfId="1083" xr:uid="{4FAE9E35-B65A-42C5-95DA-25C3165EB726}"/>
    <cellStyle name="Comma 2 3" xfId="108" xr:uid="{D189303A-BC2F-427E-AA44-AECCDC25687F}"/>
    <cellStyle name="Comma 2 3 2" xfId="146" xr:uid="{41BBD9A6-52B1-4757-89DA-74D3D3E1F929}"/>
    <cellStyle name="Comma 2 3 2 2" xfId="207" xr:uid="{F262F4AD-A029-43E6-81BE-6D3254183D04}"/>
    <cellStyle name="Comma 2 3 2 2 2" xfId="325" xr:uid="{761CB52A-E4A9-4BAD-9744-C16FCCCFD69E}"/>
    <cellStyle name="Comma 2 3 2 2 2 2" xfId="561" xr:uid="{EEA6C558-ED0B-42E0-B1C7-251F7F9FD452}"/>
    <cellStyle name="Comma 2 3 2 2 2 2 2" xfId="1033" xr:uid="{B58AF2E1-35E7-489D-B27C-F4225314250E}"/>
    <cellStyle name="Comma 2 3 2 2 2 2 2 2" xfId="2922" xr:uid="{C3707849-D37E-4AAD-8052-E96DC342E91C}"/>
    <cellStyle name="Comma 2 3 2 2 2 2 2 3" xfId="1977" xr:uid="{16EE0B50-6953-490A-952D-6D60793F0822}"/>
    <cellStyle name="Comma 2 3 2 2 2 2 3" xfId="2450" xr:uid="{4A10A277-43CE-49B9-8C7D-4AD9681EBA6F}"/>
    <cellStyle name="Comma 2 3 2 2 2 2 4" xfId="1505" xr:uid="{66AF8782-A103-4F0A-85A6-76670E8159CC}"/>
    <cellStyle name="Comma 2 3 2 2 2 3" xfId="797" xr:uid="{675403A9-08B8-4DF1-A77B-B27E66C95FC5}"/>
    <cellStyle name="Comma 2 3 2 2 2 3 2" xfId="2686" xr:uid="{0E7F8D34-1E06-4392-90AB-1EEE133AEB6B}"/>
    <cellStyle name="Comma 2 3 2 2 2 3 3" xfId="1741" xr:uid="{C8CC10D6-39D3-4B42-BE74-DD484A16CCE1}"/>
    <cellStyle name="Comma 2 3 2 2 2 4" xfId="2214" xr:uid="{C0024BBC-36A5-43A0-811D-CB458E843AEE}"/>
    <cellStyle name="Comma 2 3 2 2 2 5" xfId="1269" xr:uid="{20F8F6F9-B1D7-4358-B354-BF2725B6E43C}"/>
    <cellStyle name="Comma 2 3 2 2 3" xfId="443" xr:uid="{008B4F2A-8433-49DC-BA63-68958AA01E83}"/>
    <cellStyle name="Comma 2 3 2 2 3 2" xfId="915" xr:uid="{DE03382E-ACF1-4EAA-8586-04B6D9EDD484}"/>
    <cellStyle name="Comma 2 3 2 2 3 2 2" xfId="2804" xr:uid="{481564F5-F107-4DDC-9290-66695007E3C6}"/>
    <cellStyle name="Comma 2 3 2 2 3 2 3" xfId="1859" xr:uid="{E45E556E-B772-4DB5-98B1-95BE1ADA5AFD}"/>
    <cellStyle name="Comma 2 3 2 2 3 3" xfId="2332" xr:uid="{76311C06-327C-4E22-9B21-3869115D0DCA}"/>
    <cellStyle name="Comma 2 3 2 2 3 4" xfId="1387" xr:uid="{2833C8FE-9DC8-40F8-9420-681623EEA6FD}"/>
    <cellStyle name="Comma 2 3 2 2 4" xfId="679" xr:uid="{CC3242A3-DC9F-4BAC-B73B-319985D1DF39}"/>
    <cellStyle name="Comma 2 3 2 2 4 2" xfId="2568" xr:uid="{A61BF915-521C-49F1-AEE7-B1CF7FA18C87}"/>
    <cellStyle name="Comma 2 3 2 2 4 3" xfId="1623" xr:uid="{A0AEE46E-676B-46A0-B9F1-A3B5B4D873B0}"/>
    <cellStyle name="Comma 2 3 2 2 5" xfId="2096" xr:uid="{F767A7AD-63E8-4398-83E3-E457ACCECD47}"/>
    <cellStyle name="Comma 2 3 2 2 6" xfId="1151" xr:uid="{AE7DF96B-E366-4D8B-AD2A-2FAFD1A30D9D}"/>
    <cellStyle name="Comma 2 3 2 3" xfId="266" xr:uid="{A55C7531-6D11-43EE-B7F1-E60223744A4B}"/>
    <cellStyle name="Comma 2 3 2 3 2" xfId="502" xr:uid="{AF0307EF-89CD-4C07-A8D4-102280FC0EF2}"/>
    <cellStyle name="Comma 2 3 2 3 2 2" xfId="974" xr:uid="{2693A6A7-35BF-4849-82F6-99C99DA0FE20}"/>
    <cellStyle name="Comma 2 3 2 3 2 2 2" xfId="2863" xr:uid="{92189863-EC7A-4733-BB2E-5574560B368F}"/>
    <cellStyle name="Comma 2 3 2 3 2 2 3" xfId="1918" xr:uid="{53EE3CF9-DF1B-4BE0-946D-A0B971D2FF46}"/>
    <cellStyle name="Comma 2 3 2 3 2 3" xfId="2391" xr:uid="{2FA8A309-B35B-41B6-9985-D3F9F70131FF}"/>
    <cellStyle name="Comma 2 3 2 3 2 4" xfId="1446" xr:uid="{F1723566-2FCB-4F27-93CF-73D0E87B8872}"/>
    <cellStyle name="Comma 2 3 2 3 3" xfId="738" xr:uid="{4F635AA5-B1DD-4F13-B261-2BA725752882}"/>
    <cellStyle name="Comma 2 3 2 3 3 2" xfId="2627" xr:uid="{6F5AA836-F873-46C0-A75E-AE41AF63F5F4}"/>
    <cellStyle name="Comma 2 3 2 3 3 3" xfId="1682" xr:uid="{086867BC-EC1A-4229-A5B0-7CE72590B016}"/>
    <cellStyle name="Comma 2 3 2 3 4" xfId="2155" xr:uid="{EAC099B3-D28E-4E7B-8661-B89EC263AD05}"/>
    <cellStyle name="Comma 2 3 2 3 5" xfId="1210" xr:uid="{30C40169-1689-4483-9433-DB547FDB2B4A}"/>
    <cellStyle name="Comma 2 3 2 4" xfId="384" xr:uid="{4B972BE8-732A-4C23-8806-027286BCB4F3}"/>
    <cellStyle name="Comma 2 3 2 4 2" xfId="856" xr:uid="{D531ABFA-3F26-47B3-B575-0D163DF7766E}"/>
    <cellStyle name="Comma 2 3 2 4 2 2" xfId="2745" xr:uid="{A5A8E5F1-8566-4553-A30D-FCA9C61242F6}"/>
    <cellStyle name="Comma 2 3 2 4 2 3" xfId="1800" xr:uid="{30B8B10A-1E55-4529-B802-08463C19B0DF}"/>
    <cellStyle name="Comma 2 3 2 4 3" xfId="2273" xr:uid="{9DE5C93F-5EFC-47D2-8AB2-BDC51B4A54DA}"/>
    <cellStyle name="Comma 2 3 2 4 4" xfId="1328" xr:uid="{69991DA7-FC7B-4A82-A16A-090C4D460477}"/>
    <cellStyle name="Comma 2 3 2 5" xfId="620" xr:uid="{992346C1-F0DA-4FE4-9628-C15BE27BD4AB}"/>
    <cellStyle name="Comma 2 3 2 5 2" xfId="2509" xr:uid="{ED5E3EDE-4FAF-4412-A4CB-94E5AE243F33}"/>
    <cellStyle name="Comma 2 3 2 5 3" xfId="1564" xr:uid="{3271CA61-4758-4581-95BB-E8953E6202CA}"/>
    <cellStyle name="Comma 2 3 2 6" xfId="2037" xr:uid="{F48AE745-47BC-4C85-A3DF-1D3B267DE7C2}"/>
    <cellStyle name="Comma 2 3 2 7" xfId="1092" xr:uid="{DD40EAF0-052A-4DF6-A791-3F78704E25A7}"/>
    <cellStyle name="Comma 2 3 3" xfId="123" xr:uid="{F3DF2C44-FEA9-4A16-823E-16E716916896}"/>
    <cellStyle name="Comma 2 3 3 2" xfId="185" xr:uid="{6DA5F960-4ECC-46CC-8448-E34F69CEA4CD}"/>
    <cellStyle name="Comma 2 3 3 2 2" xfId="303" xr:uid="{1790AE76-6D9D-4182-AB6E-71AD3F0DF4BD}"/>
    <cellStyle name="Comma 2 3 3 2 2 2" xfId="539" xr:uid="{EED74E24-0538-4278-B5F5-83B63B94C5B8}"/>
    <cellStyle name="Comma 2 3 3 2 2 2 2" xfId="1011" xr:uid="{B9326448-F938-46BD-A3AF-8FC149CEEBED}"/>
    <cellStyle name="Comma 2 3 3 2 2 2 2 2" xfId="2900" xr:uid="{88AFA688-0403-4E68-99CA-C93C80A86EFE}"/>
    <cellStyle name="Comma 2 3 3 2 2 2 2 3" xfId="1955" xr:uid="{2632515F-98B2-416E-98D9-66AADEA8BF4C}"/>
    <cellStyle name="Comma 2 3 3 2 2 2 3" xfId="2428" xr:uid="{5F57E92F-93A5-40FC-B05A-56A56DA56A58}"/>
    <cellStyle name="Comma 2 3 3 2 2 2 4" xfId="1483" xr:uid="{90FE277B-BE50-472D-8C40-B81698AA3AD6}"/>
    <cellStyle name="Comma 2 3 3 2 2 3" xfId="775" xr:uid="{40F6D8C6-117C-4B85-B1D9-4CC455526795}"/>
    <cellStyle name="Comma 2 3 3 2 2 3 2" xfId="2664" xr:uid="{FB73E2AB-E8CD-499B-B8D3-0D268A7EAD66}"/>
    <cellStyle name="Comma 2 3 3 2 2 3 3" xfId="1719" xr:uid="{A092DFCF-4C7E-4B15-82AE-9F450B399FAC}"/>
    <cellStyle name="Comma 2 3 3 2 2 4" xfId="2192" xr:uid="{6D829A76-8065-40C8-BB3B-21F3BFD346CC}"/>
    <cellStyle name="Comma 2 3 3 2 2 5" xfId="1247" xr:uid="{36A5AA2F-221D-4506-A876-4AF86053BAA7}"/>
    <cellStyle name="Comma 2 3 3 2 3" xfId="421" xr:uid="{7CD51D6A-B0BB-4901-A16A-CA6A300301E0}"/>
    <cellStyle name="Comma 2 3 3 2 3 2" xfId="893" xr:uid="{F05002F8-EC85-462F-8FC1-106E2650159B}"/>
    <cellStyle name="Comma 2 3 3 2 3 2 2" xfId="2782" xr:uid="{B88D98F1-6DAA-4EB4-93F0-8ECA133D81D9}"/>
    <cellStyle name="Comma 2 3 3 2 3 2 3" xfId="1837" xr:uid="{960CD712-049C-4786-8CE1-423FEF38DB83}"/>
    <cellStyle name="Comma 2 3 3 2 3 3" xfId="2310" xr:uid="{F364DA25-5736-4CF8-8B42-0C8E4CFEDA85}"/>
    <cellStyle name="Comma 2 3 3 2 3 4" xfId="1365" xr:uid="{0CB122DB-8C58-4366-B5D1-2B64092B3373}"/>
    <cellStyle name="Comma 2 3 3 2 4" xfId="657" xr:uid="{104815C5-14C1-4B61-BFCF-317491CB691E}"/>
    <cellStyle name="Comma 2 3 3 2 4 2" xfId="2546" xr:uid="{C5021468-D40D-4CE5-83B8-1E12F3F463F7}"/>
    <cellStyle name="Comma 2 3 3 2 4 3" xfId="1601" xr:uid="{FF37DD48-9711-47D6-B290-99A7C55C26E7}"/>
    <cellStyle name="Comma 2 3 3 2 5" xfId="2074" xr:uid="{A078D836-C4C0-4C52-BB62-40DDCB019B74}"/>
    <cellStyle name="Comma 2 3 3 2 6" xfId="1129" xr:uid="{52283751-7702-4F26-AB5E-FBA3D0A09EEB}"/>
    <cellStyle name="Comma 2 3 3 3" xfId="244" xr:uid="{088943EB-4EBD-4311-845C-07394B7BAB59}"/>
    <cellStyle name="Comma 2 3 3 3 2" xfId="480" xr:uid="{57C830E4-B35D-4F15-932D-62FEBD34E1D3}"/>
    <cellStyle name="Comma 2 3 3 3 2 2" xfId="952" xr:uid="{002AEEDC-8E34-49BA-964D-C52B35D17ECB}"/>
    <cellStyle name="Comma 2 3 3 3 2 2 2" xfId="2841" xr:uid="{FFC1C1AE-8E52-4081-A7B7-B70E9425B0E1}"/>
    <cellStyle name="Comma 2 3 3 3 2 2 3" xfId="1896" xr:uid="{EEB7255B-2C4C-4C6F-B373-A6229ADDA539}"/>
    <cellStyle name="Comma 2 3 3 3 2 3" xfId="2369" xr:uid="{6EB71BDA-CCD6-4E69-BD95-928075B58325}"/>
    <cellStyle name="Comma 2 3 3 3 2 4" xfId="1424" xr:uid="{D59F1CD7-AAE1-4918-8762-60B0A5E88B87}"/>
    <cellStyle name="Comma 2 3 3 3 3" xfId="716" xr:uid="{C2C1D898-A5DE-47AF-8E99-542C399A21C0}"/>
    <cellStyle name="Comma 2 3 3 3 3 2" xfId="2605" xr:uid="{588D958C-CD5D-4ACC-8E7A-91548CFF7565}"/>
    <cellStyle name="Comma 2 3 3 3 3 3" xfId="1660" xr:uid="{3A7CB13F-6F8C-47EC-A0D5-C918571018E7}"/>
    <cellStyle name="Comma 2 3 3 3 4" xfId="2133" xr:uid="{3E906432-F58D-484D-B290-6DD189854867}"/>
    <cellStyle name="Comma 2 3 3 3 5" xfId="1188" xr:uid="{B5794B49-6392-4392-85F9-17E67D4B718E}"/>
    <cellStyle name="Comma 2 3 3 4" xfId="362" xr:uid="{E6A88744-39D5-4A6B-BE90-0A7E4837C268}"/>
    <cellStyle name="Comma 2 3 3 4 2" xfId="834" xr:uid="{E07E5614-66E9-493D-8B83-A48972FBC484}"/>
    <cellStyle name="Comma 2 3 3 4 2 2" xfId="2723" xr:uid="{B22FA87C-1E86-4C88-B00A-646D67B0741F}"/>
    <cellStyle name="Comma 2 3 3 4 2 3" xfId="1778" xr:uid="{12099948-0678-4747-9217-A29E5E6DCA28}"/>
    <cellStyle name="Comma 2 3 3 4 3" xfId="2251" xr:uid="{C085F2FD-6553-4DFC-8943-C32A26DB7CBB}"/>
    <cellStyle name="Comma 2 3 3 4 4" xfId="1306" xr:uid="{39B8554A-DDA1-4D13-BBF2-7B5C25A54641}"/>
    <cellStyle name="Comma 2 3 3 5" xfId="598" xr:uid="{69A0274B-A453-483D-A768-07F2EF5F9BB8}"/>
    <cellStyle name="Comma 2 3 3 5 2" xfId="2487" xr:uid="{7886B23C-5204-4B99-8A11-BF2264BB5810}"/>
    <cellStyle name="Comma 2 3 3 5 3" xfId="1542" xr:uid="{78BD623B-C62D-4391-A732-F3D6A40E81AA}"/>
    <cellStyle name="Comma 2 3 3 6" xfId="2015" xr:uid="{2A37BEBA-1C11-44F7-80A2-F8BE17E673FB}"/>
    <cellStyle name="Comma 2 3 3 7" xfId="1070" xr:uid="{8277F550-35AA-40B4-A837-7601C28F8A3A}"/>
    <cellStyle name="Comma 2 3 4" xfId="170" xr:uid="{B6744129-317E-4054-9FC3-3F47358AA971}"/>
    <cellStyle name="Comma 2 3 4 2" xfId="288" xr:uid="{11B55C88-732F-4A13-B51D-181F5FC88DE4}"/>
    <cellStyle name="Comma 2 3 4 2 2" xfId="524" xr:uid="{3D999D24-12DC-48C3-8D72-5CA7A3B2F9B4}"/>
    <cellStyle name="Comma 2 3 4 2 2 2" xfId="996" xr:uid="{5928F36F-C6D7-4A55-8A9C-87A562BD104D}"/>
    <cellStyle name="Comma 2 3 4 2 2 2 2" xfId="2885" xr:uid="{45323E27-70FC-4724-8F57-A192FE8FCF3E}"/>
    <cellStyle name="Comma 2 3 4 2 2 2 3" xfId="1940" xr:uid="{83AC32CB-087E-4FF7-8927-4C48659DACC9}"/>
    <cellStyle name="Comma 2 3 4 2 2 3" xfId="2413" xr:uid="{AA67932A-44A7-45AE-B029-10BD880DD94E}"/>
    <cellStyle name="Comma 2 3 4 2 2 4" xfId="1468" xr:uid="{20FFBFB3-51AC-424D-BBD1-8E1895C30E36}"/>
    <cellStyle name="Comma 2 3 4 2 3" xfId="760" xr:uid="{FE5F4588-4580-43AB-AACB-A5C578949713}"/>
    <cellStyle name="Comma 2 3 4 2 3 2" xfId="2649" xr:uid="{3A0CA981-2C20-41BD-BCC8-D590089EB8F6}"/>
    <cellStyle name="Comma 2 3 4 2 3 3" xfId="1704" xr:uid="{0C8E9746-DB52-413E-87FD-17342574907D}"/>
    <cellStyle name="Comma 2 3 4 2 4" xfId="2177" xr:uid="{B677A0DF-BB87-4141-928A-87F8839298EF}"/>
    <cellStyle name="Comma 2 3 4 2 5" xfId="1232" xr:uid="{F411B616-F163-43D3-B3E2-F9055A8890D8}"/>
    <cellStyle name="Comma 2 3 4 3" xfId="406" xr:uid="{28D51D9F-3044-41D3-8D14-0F0C19601C41}"/>
    <cellStyle name="Comma 2 3 4 3 2" xfId="878" xr:uid="{A580450E-598E-4368-AE51-E379E56CC799}"/>
    <cellStyle name="Comma 2 3 4 3 2 2" xfId="2767" xr:uid="{B9758822-7CAA-413C-A23E-F7D8C345434B}"/>
    <cellStyle name="Comma 2 3 4 3 2 3" xfId="1822" xr:uid="{D91C8C19-C493-49D8-A0B6-10E5B188022B}"/>
    <cellStyle name="Comma 2 3 4 3 3" xfId="2295" xr:uid="{F82E8260-F666-424B-A063-27B5AAFAD994}"/>
    <cellStyle name="Comma 2 3 4 3 4" xfId="1350" xr:uid="{938E09B5-6BB7-4202-8AF9-9C582E182DC8}"/>
    <cellStyle name="Comma 2 3 4 4" xfId="642" xr:uid="{BB18675F-74F1-4BE4-B799-658A2C0DDB0E}"/>
    <cellStyle name="Comma 2 3 4 4 2" xfId="2531" xr:uid="{269C53BE-F22B-4BC5-A0A0-C9D104920EF2}"/>
    <cellStyle name="Comma 2 3 4 4 3" xfId="1586" xr:uid="{48026930-34F5-40C1-869A-296C673F1FCE}"/>
    <cellStyle name="Comma 2 3 4 5" xfId="2059" xr:uid="{7CF5B58F-33A3-49E6-BD1C-20F6D34888C3}"/>
    <cellStyle name="Comma 2 3 4 6" xfId="1114" xr:uid="{6E67D01B-6BC6-4CD5-B52C-3B075E93495F}"/>
    <cellStyle name="Comma 2 3 5" xfId="229" xr:uid="{EAE62D65-4CE1-4AB4-A47B-DD982A8C2DAE}"/>
    <cellStyle name="Comma 2 3 5 2" xfId="465" xr:uid="{0B60E942-4181-4FFA-AC5A-285EE67B3760}"/>
    <cellStyle name="Comma 2 3 5 2 2" xfId="937" xr:uid="{4FE5E564-5EBE-4A29-B751-BFAAEA3CC989}"/>
    <cellStyle name="Comma 2 3 5 2 2 2" xfId="2826" xr:uid="{F6A6785A-10E1-47E8-B737-0EFB5724AB81}"/>
    <cellStyle name="Comma 2 3 5 2 2 3" xfId="1881" xr:uid="{D1E97CFB-6D83-4428-8F49-B825A1312B3E}"/>
    <cellStyle name="Comma 2 3 5 2 3" xfId="2354" xr:uid="{9FF49948-15AE-4AFB-9E33-F7717C8025B4}"/>
    <cellStyle name="Comma 2 3 5 2 4" xfId="1409" xr:uid="{1C0DEE1A-4D88-46EE-95F3-AE2CB3860765}"/>
    <cellStyle name="Comma 2 3 5 3" xfId="701" xr:uid="{68310CF3-4D54-4EAE-9989-E710200F74FD}"/>
    <cellStyle name="Comma 2 3 5 3 2" xfId="2590" xr:uid="{0D91F227-5E6B-48B5-8B37-81B8C5257A32}"/>
    <cellStyle name="Comma 2 3 5 3 3" xfId="1645" xr:uid="{41A6A638-9FB1-490B-8C9F-2631A8E32765}"/>
    <cellStyle name="Comma 2 3 5 4" xfId="2118" xr:uid="{A526976D-896C-4EC8-9D6F-F977684E1921}"/>
    <cellStyle name="Comma 2 3 5 5" xfId="1173" xr:uid="{EA4D2C3C-B643-4F80-8088-A69243B9814D}"/>
    <cellStyle name="Comma 2 3 6" xfId="347" xr:uid="{CC126392-C3C0-4CAA-87DF-1DDFE050C850}"/>
    <cellStyle name="Comma 2 3 6 2" xfId="819" xr:uid="{294E2446-ABAE-4646-A760-735EA5A7C87A}"/>
    <cellStyle name="Comma 2 3 6 2 2" xfId="2708" xr:uid="{0AA05628-9F35-4906-AC14-0FC4D3636086}"/>
    <cellStyle name="Comma 2 3 6 2 3" xfId="1763" xr:uid="{FEDFAA5A-734A-41FF-81C2-9B3DBB5E560E}"/>
    <cellStyle name="Comma 2 3 6 3" xfId="2236" xr:uid="{E1D16AF2-1569-4B84-9C76-F4A94AA542B9}"/>
    <cellStyle name="Comma 2 3 6 4" xfId="1291" xr:uid="{B44B405B-35DE-4ABC-B2E2-E67C8F99FA4B}"/>
    <cellStyle name="Comma 2 3 7" xfId="583" xr:uid="{1D8DC81F-5A4B-4CFE-9C7E-C1A8E7761F21}"/>
    <cellStyle name="Comma 2 3 7 2" xfId="2472" xr:uid="{ECAC92C6-2B8A-4C35-9A01-968BE7AC1DD8}"/>
    <cellStyle name="Comma 2 3 7 3" xfId="1527" xr:uid="{D83D9E9F-C45B-4686-86E3-457ABD35EADD}"/>
    <cellStyle name="Comma 2 3 8" xfId="2000" xr:uid="{AA0CD86E-0F49-4F24-98EF-CCB82A10F266}"/>
    <cellStyle name="Comma 2 3 9" xfId="1055" xr:uid="{EBD234AE-2341-4338-9725-910F0BB924C3}"/>
    <cellStyle name="Comma 2 4" xfId="140" xr:uid="{40CFC285-3FD0-4CCF-92C7-16DFA3D77530}"/>
    <cellStyle name="Comma 2 4 2" xfId="202" xr:uid="{9F77CA8B-ED7F-4FAC-9969-A4048A9489EF}"/>
    <cellStyle name="Comma 2 4 2 2" xfId="320" xr:uid="{8CF5868E-3D8B-4A27-B76D-766B2FBA3556}"/>
    <cellStyle name="Comma 2 4 2 2 2" xfId="556" xr:uid="{7F3850EB-6070-4A2A-AAA9-774CF70A8E3C}"/>
    <cellStyle name="Comma 2 4 2 2 2 2" xfId="1028" xr:uid="{7882E6B1-C780-4293-9DC1-627268994A5F}"/>
    <cellStyle name="Comma 2 4 2 2 2 2 2" xfId="2917" xr:uid="{BF02B2A8-B280-4909-8398-E3F6BBA3C596}"/>
    <cellStyle name="Comma 2 4 2 2 2 2 3" xfId="1972" xr:uid="{8610CDAE-AA70-4384-A8E0-101A9599720D}"/>
    <cellStyle name="Comma 2 4 2 2 2 3" xfId="2445" xr:uid="{BB105ADC-84F0-47C0-AAA8-A01D1E888FA8}"/>
    <cellStyle name="Comma 2 4 2 2 2 4" xfId="1500" xr:uid="{62F77830-6C52-4A36-AB92-5FAD65E18F20}"/>
    <cellStyle name="Comma 2 4 2 2 3" xfId="792" xr:uid="{435EAC9F-2D28-4B34-83EF-7BEEDCE4AE71}"/>
    <cellStyle name="Comma 2 4 2 2 3 2" xfId="2681" xr:uid="{86514B9F-B342-4CCB-9178-38D27970A991}"/>
    <cellStyle name="Comma 2 4 2 2 3 3" xfId="1736" xr:uid="{E6EFB840-DEBD-41C7-BDF3-CA298E467512}"/>
    <cellStyle name="Comma 2 4 2 2 4" xfId="2209" xr:uid="{13E03D04-316F-4D0F-9380-05B5CDADCC83}"/>
    <cellStyle name="Comma 2 4 2 2 5" xfId="1264" xr:uid="{65261D4D-9E37-48D9-BAFD-65AF2E1B6210}"/>
    <cellStyle name="Comma 2 4 2 3" xfId="438" xr:uid="{BD478157-DC3D-4C0D-9B6C-F9B26C0019A4}"/>
    <cellStyle name="Comma 2 4 2 3 2" xfId="910" xr:uid="{A523661F-F291-49B0-9AFE-846ED83F4526}"/>
    <cellStyle name="Comma 2 4 2 3 2 2" xfId="2799" xr:uid="{B468C4B4-D1C1-4014-B07A-CEF1B6DAAB34}"/>
    <cellStyle name="Comma 2 4 2 3 2 3" xfId="1854" xr:uid="{BC3840C2-F799-4B97-8DA6-9B179317E14D}"/>
    <cellStyle name="Comma 2 4 2 3 3" xfId="2327" xr:uid="{934A8166-3916-4DB6-A648-D2D975BB57E0}"/>
    <cellStyle name="Comma 2 4 2 3 4" xfId="1382" xr:uid="{F817FB6A-08B7-4CC6-B3D3-F70E836A8183}"/>
    <cellStyle name="Comma 2 4 2 4" xfId="674" xr:uid="{52BCC1EE-C5FC-4FAD-AFA6-0FE1DD026664}"/>
    <cellStyle name="Comma 2 4 2 4 2" xfId="2563" xr:uid="{8E0BD621-8779-4123-BD54-696C951CF572}"/>
    <cellStyle name="Comma 2 4 2 4 3" xfId="1618" xr:uid="{CDCC4E7C-7C0C-4127-BFC4-7268B8AFBB03}"/>
    <cellStyle name="Comma 2 4 2 5" xfId="2091" xr:uid="{20F11A90-D4C1-4A49-BE83-E61A2B795E8C}"/>
    <cellStyle name="Comma 2 4 2 6" xfId="1146" xr:uid="{800CE424-80C1-4B22-9149-42427B84626D}"/>
    <cellStyle name="Comma 2 4 3" xfId="261" xr:uid="{C44ACB66-845F-47D9-97B0-777AC5820693}"/>
    <cellStyle name="Comma 2 4 3 2" xfId="497" xr:uid="{DD4146A6-72AD-4140-82F6-BD2EC78CAC0A}"/>
    <cellStyle name="Comma 2 4 3 2 2" xfId="969" xr:uid="{D966B0EC-0CC4-4A11-92D9-CC77D379D646}"/>
    <cellStyle name="Comma 2 4 3 2 2 2" xfId="2858" xr:uid="{6C344953-DD6B-4ED3-BCC8-0398BC228FA6}"/>
    <cellStyle name="Comma 2 4 3 2 2 3" xfId="1913" xr:uid="{122CA9D3-5617-4C27-B570-B08586E6DCD7}"/>
    <cellStyle name="Comma 2 4 3 2 3" xfId="2386" xr:uid="{15060968-111E-447D-A6F8-206CBC5C5583}"/>
    <cellStyle name="Comma 2 4 3 2 4" xfId="1441" xr:uid="{C9533165-7BC6-4A7C-B4AA-7A4FDDF1AC70}"/>
    <cellStyle name="Comma 2 4 3 3" xfId="733" xr:uid="{05BB00F0-9096-4092-99D1-574DC7B4C060}"/>
    <cellStyle name="Comma 2 4 3 3 2" xfId="2622" xr:uid="{422C5997-456F-4244-944E-8DAA9059986A}"/>
    <cellStyle name="Comma 2 4 3 3 3" xfId="1677" xr:uid="{D34E3E80-55DF-47C3-B761-25ECBE357073}"/>
    <cellStyle name="Comma 2 4 3 4" xfId="2150" xr:uid="{CB4413AB-DA64-4B51-BBED-09465238BF0B}"/>
    <cellStyle name="Comma 2 4 3 5" xfId="1205" xr:uid="{7ABC7FFD-FB5C-43F0-8063-284417BA5498}"/>
    <cellStyle name="Comma 2 4 4" xfId="379" xr:uid="{4BAEB46B-B35F-4F1E-9690-8011DD10B266}"/>
    <cellStyle name="Comma 2 4 4 2" xfId="851" xr:uid="{743FE6B3-1926-49CA-8D91-D6A10FCF2A7A}"/>
    <cellStyle name="Comma 2 4 4 2 2" xfId="2740" xr:uid="{F87BEDD9-F870-45DA-A85B-24BA7669E3BD}"/>
    <cellStyle name="Comma 2 4 4 2 3" xfId="1795" xr:uid="{D4716739-5508-40A3-82A7-2B6D390BB009}"/>
    <cellStyle name="Comma 2 4 4 3" xfId="2268" xr:uid="{D3E499EF-681A-45CE-99DC-AC1C9C3BA924}"/>
    <cellStyle name="Comma 2 4 4 4" xfId="1323" xr:uid="{63AAAFCC-7FAF-4953-902D-07D377370D9D}"/>
    <cellStyle name="Comma 2 4 5" xfId="615" xr:uid="{431AF64C-4911-4F77-A652-993C65E93383}"/>
    <cellStyle name="Comma 2 4 5 2" xfId="2504" xr:uid="{C5A6AD02-7D56-494E-B502-16453310EF58}"/>
    <cellStyle name="Comma 2 4 5 3" xfId="1559" xr:uid="{FCFB2629-EF60-4C45-8DF3-1B438D74E226}"/>
    <cellStyle name="Comma 2 4 6" xfId="2032" xr:uid="{21295D36-9E31-4D5B-889D-81EFB51A5A76}"/>
    <cellStyle name="Comma 2 4 7" xfId="1087" xr:uid="{66CB190E-20F1-40EE-9A56-DCB41F299CA7}"/>
    <cellStyle name="Comma 3" xfId="89" xr:uid="{00000000-0005-0000-0000-000022000000}"/>
    <cellStyle name="Comma 3 2" xfId="109" xr:uid="{6168936D-DA89-467B-BD25-5ADE78009F47}"/>
    <cellStyle name="Comma 3 2 2" xfId="154" xr:uid="{E9E3A364-7027-4E99-8CB5-1D930556EFB4}"/>
    <cellStyle name="Comma 3 2 2 2" xfId="214" xr:uid="{0D0E15F1-26A4-4391-BD10-3F932C9D3E6F}"/>
    <cellStyle name="Comma 3 2 2 2 2" xfId="332" xr:uid="{033E005C-2C4D-4564-A9E3-13734F594376}"/>
    <cellStyle name="Comma 3 2 2 2 2 2" xfId="568" xr:uid="{4ADCF055-0508-486B-94C6-B63B73429546}"/>
    <cellStyle name="Comma 3 2 2 2 2 2 2" xfId="1040" xr:uid="{B9F65060-25F7-45C1-B33D-0FA64740A7D4}"/>
    <cellStyle name="Comma 3 2 2 2 2 2 2 2" xfId="2929" xr:uid="{6DFF5466-C473-4CCE-B1E2-E50904BC4DBA}"/>
    <cellStyle name="Comma 3 2 2 2 2 2 2 3" xfId="1984" xr:uid="{6833B415-E512-45B7-A700-FF02E3A23012}"/>
    <cellStyle name="Comma 3 2 2 2 2 2 3" xfId="2457" xr:uid="{1A8603A3-1C25-43EB-937E-CD785DEF2AAF}"/>
    <cellStyle name="Comma 3 2 2 2 2 2 4" xfId="1512" xr:uid="{BFEEA493-72A6-4BEF-BE12-DACFBA7767E9}"/>
    <cellStyle name="Comma 3 2 2 2 2 3" xfId="804" xr:uid="{095E9CDD-6144-4E84-90DB-D698C88A5803}"/>
    <cellStyle name="Comma 3 2 2 2 2 3 2" xfId="2693" xr:uid="{355FD194-7EB5-4058-906E-7AE2230B42B1}"/>
    <cellStyle name="Comma 3 2 2 2 2 3 3" xfId="1748" xr:uid="{7F50D0AD-93F7-4E88-AC39-6D1EFF7CA2F0}"/>
    <cellStyle name="Comma 3 2 2 2 2 4" xfId="2221" xr:uid="{1E6E03E1-1078-4079-8947-60D726E5986D}"/>
    <cellStyle name="Comma 3 2 2 2 2 5" xfId="1276" xr:uid="{569105F6-B33B-49BE-99B6-0DE63C8040E1}"/>
    <cellStyle name="Comma 3 2 2 2 3" xfId="450" xr:uid="{398F88E3-91C9-4CDA-A207-9D28E9303AE9}"/>
    <cellStyle name="Comma 3 2 2 2 3 2" xfId="922" xr:uid="{3A15A6CD-621F-4E3C-83AC-812521436784}"/>
    <cellStyle name="Comma 3 2 2 2 3 2 2" xfId="2811" xr:uid="{B3514697-44CC-4537-8A3F-6FB747A7AB24}"/>
    <cellStyle name="Comma 3 2 2 2 3 2 3" xfId="1866" xr:uid="{3022D44C-58DF-4C9A-AF66-5033075A8181}"/>
    <cellStyle name="Comma 3 2 2 2 3 3" xfId="2339" xr:uid="{F6CD981E-1EA0-454C-B95E-8B75F1956D06}"/>
    <cellStyle name="Comma 3 2 2 2 3 4" xfId="1394" xr:uid="{78DCE4C9-AEDA-4A60-B55D-629CC17B875C}"/>
    <cellStyle name="Comma 3 2 2 2 4" xfId="686" xr:uid="{76F9C42C-E9AB-4ED6-BEAE-E87F495FED1E}"/>
    <cellStyle name="Comma 3 2 2 2 4 2" xfId="2575" xr:uid="{F1A8A80B-CEAC-402B-BEE1-0A37F881DF62}"/>
    <cellStyle name="Comma 3 2 2 2 4 3" xfId="1630" xr:uid="{25F7B7B3-04D0-492C-BDF2-7FCD2DF98F9E}"/>
    <cellStyle name="Comma 3 2 2 2 5" xfId="2103" xr:uid="{25E370AD-E51E-4A5E-8054-B8630F18CA83}"/>
    <cellStyle name="Comma 3 2 2 2 6" xfId="1158" xr:uid="{6B6227B2-B5AF-4872-A2B0-413B09A46716}"/>
    <cellStyle name="Comma 3 2 2 3" xfId="273" xr:uid="{9E814EA6-C1D5-4EBB-8216-514A5A29A935}"/>
    <cellStyle name="Comma 3 2 2 3 2" xfId="509" xr:uid="{B45D32AE-A35E-42A0-8060-E35246D2CE13}"/>
    <cellStyle name="Comma 3 2 2 3 2 2" xfId="981" xr:uid="{3A8A740F-0D3A-40D4-B5E7-F2794ABB4B56}"/>
    <cellStyle name="Comma 3 2 2 3 2 2 2" xfId="2870" xr:uid="{1682FB15-E477-4085-B8D0-4D8F1D3D186E}"/>
    <cellStyle name="Comma 3 2 2 3 2 2 3" xfId="1925" xr:uid="{106E1A68-E347-41D4-8CFA-EC6781D8CC70}"/>
    <cellStyle name="Comma 3 2 2 3 2 3" xfId="2398" xr:uid="{A9B4435F-A9A0-4F03-A5AF-00AB617F50EF}"/>
    <cellStyle name="Comma 3 2 2 3 2 4" xfId="1453" xr:uid="{76B03B04-0C5D-4F9A-9F58-5B6B45B5FF7C}"/>
    <cellStyle name="Comma 3 2 2 3 3" xfId="745" xr:uid="{26C8936F-3B91-4ADB-A320-EA8CDD7D792F}"/>
    <cellStyle name="Comma 3 2 2 3 3 2" xfId="2634" xr:uid="{F21ADC8B-55C6-43D9-A2A6-156383C90E70}"/>
    <cellStyle name="Comma 3 2 2 3 3 3" xfId="1689" xr:uid="{ADCAADB9-7346-44F0-9B53-F2A063629664}"/>
    <cellStyle name="Comma 3 2 2 3 4" xfId="2162" xr:uid="{54CE7B98-C829-44C1-B16E-CD94629A2C88}"/>
    <cellStyle name="Comma 3 2 2 3 5" xfId="1217" xr:uid="{24B10B77-A085-4599-AB2B-81DF1A683663}"/>
    <cellStyle name="Comma 3 2 2 4" xfId="391" xr:uid="{9BA716A5-D418-4FA0-BBF9-6E232EC9AAE1}"/>
    <cellStyle name="Comma 3 2 2 4 2" xfId="863" xr:uid="{C394BD40-F4C8-4774-839A-D38ADE4E8AED}"/>
    <cellStyle name="Comma 3 2 2 4 2 2" xfId="2752" xr:uid="{ED8D1D87-0C09-4EB3-8996-6D5067E022C5}"/>
    <cellStyle name="Comma 3 2 2 4 2 3" xfId="1807" xr:uid="{FE1585E2-699E-42CE-BFD1-3EEFE2E55D50}"/>
    <cellStyle name="Comma 3 2 2 4 3" xfId="2280" xr:uid="{61F3AA63-DF31-4BDD-8A98-34C37A4590A6}"/>
    <cellStyle name="Comma 3 2 2 4 4" xfId="1335" xr:uid="{FA8E3894-C8BB-44BF-8342-ADC67FD10D1F}"/>
    <cellStyle name="Comma 3 2 2 5" xfId="627" xr:uid="{ACF88454-1740-431C-88C6-607D80DFD953}"/>
    <cellStyle name="Comma 3 2 2 5 2" xfId="2516" xr:uid="{1FDF5210-534F-4B1A-A9CA-479E13351894}"/>
    <cellStyle name="Comma 3 2 2 5 3" xfId="1571" xr:uid="{75F06A8A-36A3-4B06-B281-1088722407B1}"/>
    <cellStyle name="Comma 3 2 2 6" xfId="2044" xr:uid="{28DE3133-DD18-4353-8E05-731D7E12570A}"/>
    <cellStyle name="Comma 3 2 2 7" xfId="1099" xr:uid="{DA4C5F9C-5A11-41A3-B3D5-6B2D2E21B59F}"/>
    <cellStyle name="Comma 3 2 3" xfId="124" xr:uid="{7C06BC04-7AA6-4ADD-B6D7-3D7B5A40064B}"/>
    <cellStyle name="Comma 3 2 3 2" xfId="186" xr:uid="{A1F82B29-4500-4FEF-A23E-67203A235272}"/>
    <cellStyle name="Comma 3 2 3 2 2" xfId="304" xr:uid="{1A80AD3A-0BB2-4D56-A5A1-B0B58A5F2F89}"/>
    <cellStyle name="Comma 3 2 3 2 2 2" xfId="540" xr:uid="{86186AE9-22CF-47C9-871C-6BF3050C60C0}"/>
    <cellStyle name="Comma 3 2 3 2 2 2 2" xfId="1012" xr:uid="{1D11B7A5-A3F8-47D9-9720-77F52E590AEB}"/>
    <cellStyle name="Comma 3 2 3 2 2 2 2 2" xfId="2901" xr:uid="{73060F4B-8C2F-4AE1-97E2-958E432D248F}"/>
    <cellStyle name="Comma 3 2 3 2 2 2 2 3" xfId="1956" xr:uid="{9EE15B41-89B7-4A5E-869D-F4829AFBC4C1}"/>
    <cellStyle name="Comma 3 2 3 2 2 2 3" xfId="2429" xr:uid="{28ADEDB3-9EAE-4367-9749-FF4FD3C0A0D8}"/>
    <cellStyle name="Comma 3 2 3 2 2 2 4" xfId="1484" xr:uid="{887AD658-95DD-4621-BE8B-E6CAD26C6AD4}"/>
    <cellStyle name="Comma 3 2 3 2 2 3" xfId="776" xr:uid="{505AF424-D132-4EC5-A848-9CEF4CB58599}"/>
    <cellStyle name="Comma 3 2 3 2 2 3 2" xfId="2665" xr:uid="{28FDC548-A637-4350-BF7F-91C87CE6EC71}"/>
    <cellStyle name="Comma 3 2 3 2 2 3 3" xfId="1720" xr:uid="{5550FEE4-BAB6-4130-BB45-BDC8E4A94AE2}"/>
    <cellStyle name="Comma 3 2 3 2 2 4" xfId="2193" xr:uid="{769AFD19-554A-4D3E-B03F-5FAE2BAB56D7}"/>
    <cellStyle name="Comma 3 2 3 2 2 5" xfId="1248" xr:uid="{8AA4F68E-7DD8-459A-BD63-4322BC94F40F}"/>
    <cellStyle name="Comma 3 2 3 2 3" xfId="422" xr:uid="{C1EBF557-B206-4D47-A322-82F7FE984936}"/>
    <cellStyle name="Comma 3 2 3 2 3 2" xfId="894" xr:uid="{352BECA4-BB8F-4DC2-A27E-396A74A5B80B}"/>
    <cellStyle name="Comma 3 2 3 2 3 2 2" xfId="2783" xr:uid="{0CFA2E0D-2C5D-43AE-939A-EB31FE4ACF64}"/>
    <cellStyle name="Comma 3 2 3 2 3 2 3" xfId="1838" xr:uid="{147C4B5C-BB23-46BC-8B1F-5C5028D3DB7E}"/>
    <cellStyle name="Comma 3 2 3 2 3 3" xfId="2311" xr:uid="{12A9DF06-638E-44BD-84BA-12E0C1BC5553}"/>
    <cellStyle name="Comma 3 2 3 2 3 4" xfId="1366" xr:uid="{22AC30BF-DE72-4BF4-ABD5-C31123B71B5B}"/>
    <cellStyle name="Comma 3 2 3 2 4" xfId="658" xr:uid="{FC6208FE-FF8C-47EC-869F-07D9EF320682}"/>
    <cellStyle name="Comma 3 2 3 2 4 2" xfId="2547" xr:uid="{2CF65F9C-5B6E-4877-BD90-D1AF9D55B36A}"/>
    <cellStyle name="Comma 3 2 3 2 4 3" xfId="1602" xr:uid="{4B001F3D-7E3B-4053-97C2-9C648AEE6A85}"/>
    <cellStyle name="Comma 3 2 3 2 5" xfId="2075" xr:uid="{9D985D62-D60B-4257-B03C-3DD6BCB72947}"/>
    <cellStyle name="Comma 3 2 3 2 6" xfId="1130" xr:uid="{26656441-6A02-41EC-83ED-4A449E2D7BBB}"/>
    <cellStyle name="Comma 3 2 3 3" xfId="245" xr:uid="{BAEE83EB-A448-4348-8D58-43C9B3A8894F}"/>
    <cellStyle name="Comma 3 2 3 3 2" xfId="481" xr:uid="{60B994E5-8CE4-406A-B913-D839A181DCE9}"/>
    <cellStyle name="Comma 3 2 3 3 2 2" xfId="953" xr:uid="{80F967A4-1FCB-4F30-B8BC-05CEA6E5A668}"/>
    <cellStyle name="Comma 3 2 3 3 2 2 2" xfId="2842" xr:uid="{124387B4-15E1-4A55-9F7B-5DE1E2D5C637}"/>
    <cellStyle name="Comma 3 2 3 3 2 2 3" xfId="1897" xr:uid="{FBBD64BC-41B4-4094-B555-FC43FA443D20}"/>
    <cellStyle name="Comma 3 2 3 3 2 3" xfId="2370" xr:uid="{9AEA0A1E-8D04-49A1-9722-9A522D037FF6}"/>
    <cellStyle name="Comma 3 2 3 3 2 4" xfId="1425" xr:uid="{3FA85971-B9BE-449F-B80D-3F8A2477F792}"/>
    <cellStyle name="Comma 3 2 3 3 3" xfId="717" xr:uid="{6015E792-D0D7-48BA-B938-9FA1F2EC0B6E}"/>
    <cellStyle name="Comma 3 2 3 3 3 2" xfId="2606" xr:uid="{83AAC2BA-E831-42E9-8914-700EE6E12D04}"/>
    <cellStyle name="Comma 3 2 3 3 3 3" xfId="1661" xr:uid="{F1D9870A-5283-4D5E-BFC4-11A3EFD8368A}"/>
    <cellStyle name="Comma 3 2 3 3 4" xfId="2134" xr:uid="{16441988-1AAE-40EF-8BC8-C02F9FAC6E84}"/>
    <cellStyle name="Comma 3 2 3 3 5" xfId="1189" xr:uid="{ED5DCA69-A366-4EEF-99E6-644614AC4EB2}"/>
    <cellStyle name="Comma 3 2 3 4" xfId="363" xr:uid="{84858E27-223E-47A3-BE76-8E38C15FF202}"/>
    <cellStyle name="Comma 3 2 3 4 2" xfId="835" xr:uid="{5A4FCA70-6C7D-4F8D-B184-C268D85F946A}"/>
    <cellStyle name="Comma 3 2 3 4 2 2" xfId="2724" xr:uid="{3A670221-47E0-47DF-B018-0B072524A11A}"/>
    <cellStyle name="Comma 3 2 3 4 2 3" xfId="1779" xr:uid="{DE5547A6-7362-4A09-A19F-1AE8443268DF}"/>
    <cellStyle name="Comma 3 2 3 4 3" xfId="2252" xr:uid="{5527F623-FAC8-4A34-87DB-022DBC7867CB}"/>
    <cellStyle name="Comma 3 2 3 4 4" xfId="1307" xr:uid="{9A80C33A-CD31-40C0-9CAB-7761EAC7D50B}"/>
    <cellStyle name="Comma 3 2 3 5" xfId="599" xr:uid="{5D111429-C6F2-4905-A4E6-A15F0622AB56}"/>
    <cellStyle name="Comma 3 2 3 5 2" xfId="2488" xr:uid="{EBBE4E88-832D-4BB8-A49F-AC91E42730B6}"/>
    <cellStyle name="Comma 3 2 3 5 3" xfId="1543" xr:uid="{23A5C49A-6A0C-48F0-8947-CA355119D5E7}"/>
    <cellStyle name="Comma 3 2 3 6" xfId="2016" xr:uid="{3161A21E-CB30-4864-9913-0C0C45BFC556}"/>
    <cellStyle name="Comma 3 2 3 7" xfId="1071" xr:uid="{EA6C0A74-72BB-4D4E-A989-02C735F240E4}"/>
    <cellStyle name="Comma 3 2 4" xfId="171" xr:uid="{CE4C4A12-5856-4851-9279-93D825848B70}"/>
    <cellStyle name="Comma 3 2 4 2" xfId="289" xr:uid="{AD82F95B-97C2-4BE9-99A0-5F06D9B09A60}"/>
    <cellStyle name="Comma 3 2 4 2 2" xfId="525" xr:uid="{AC48D4C5-AEC1-4FBB-B158-47364054C23F}"/>
    <cellStyle name="Comma 3 2 4 2 2 2" xfId="997" xr:uid="{13063618-113F-4922-A289-337C85BF884B}"/>
    <cellStyle name="Comma 3 2 4 2 2 2 2" xfId="2886" xr:uid="{64D70C89-FCFD-4143-9F93-B5B637D1AE25}"/>
    <cellStyle name="Comma 3 2 4 2 2 2 3" xfId="1941" xr:uid="{5773435C-DD1D-4F4A-B7FD-07634676BD7B}"/>
    <cellStyle name="Comma 3 2 4 2 2 3" xfId="2414" xr:uid="{B1C6CFD5-E41F-40E4-BB54-18891C6E66AA}"/>
    <cellStyle name="Comma 3 2 4 2 2 4" xfId="1469" xr:uid="{D5B85D9A-3D2B-4607-8B22-79F8FBC1AFDA}"/>
    <cellStyle name="Comma 3 2 4 2 3" xfId="761" xr:uid="{E920FC04-BFAE-4018-A5CD-A69CB80299D2}"/>
    <cellStyle name="Comma 3 2 4 2 3 2" xfId="2650" xr:uid="{8A3BE5BB-CD3B-4DE1-8933-1494AD300A91}"/>
    <cellStyle name="Comma 3 2 4 2 3 3" xfId="1705" xr:uid="{AB779EFC-4729-4F98-A42E-B9B1E4E12285}"/>
    <cellStyle name="Comma 3 2 4 2 4" xfId="2178" xr:uid="{F56CEC12-0F07-4316-A76E-F40BA8191320}"/>
    <cellStyle name="Comma 3 2 4 2 5" xfId="1233" xr:uid="{37587F8D-6F4D-4572-89E1-78022D592E9F}"/>
    <cellStyle name="Comma 3 2 4 3" xfId="407" xr:uid="{34D37CE2-81DE-4B01-BECC-068B204EAAEB}"/>
    <cellStyle name="Comma 3 2 4 3 2" xfId="879" xr:uid="{C3DB9782-9F27-4100-8D8D-86AC639AED90}"/>
    <cellStyle name="Comma 3 2 4 3 2 2" xfId="2768" xr:uid="{B95F2490-3533-4FF0-8026-11BFCE101427}"/>
    <cellStyle name="Comma 3 2 4 3 2 3" xfId="1823" xr:uid="{25A09611-FD75-4C35-A5EB-711F9529A09C}"/>
    <cellStyle name="Comma 3 2 4 3 3" xfId="2296" xr:uid="{E21A928A-419A-4196-8D8B-6BDFF4EF0DE3}"/>
    <cellStyle name="Comma 3 2 4 3 4" xfId="1351" xr:uid="{784EF496-4BAE-4679-8212-298AE2A76F0E}"/>
    <cellStyle name="Comma 3 2 4 4" xfId="643" xr:uid="{A8C86B72-29D6-42D3-8AF2-144A85879024}"/>
    <cellStyle name="Comma 3 2 4 4 2" xfId="2532" xr:uid="{42108E6E-E8DB-43DD-AEF3-F653B48DC95A}"/>
    <cellStyle name="Comma 3 2 4 4 3" xfId="1587" xr:uid="{AF1151B3-24BE-40AA-8A46-3F2BB2689D6F}"/>
    <cellStyle name="Comma 3 2 4 5" xfId="2060" xr:uid="{7CDFC64B-A511-4990-9367-7EC76DB6F825}"/>
    <cellStyle name="Comma 3 2 4 6" xfId="1115" xr:uid="{FBDC6BD5-D70E-43B0-A0F2-44A19B457296}"/>
    <cellStyle name="Comma 3 2 5" xfId="230" xr:uid="{F7FDE32F-8ABB-40E3-9421-B955E3CA5D58}"/>
    <cellStyle name="Comma 3 2 5 2" xfId="466" xr:uid="{36246640-5472-4B1F-B13D-8E29277C0793}"/>
    <cellStyle name="Comma 3 2 5 2 2" xfId="938" xr:uid="{FA3691F7-361A-4530-B1B8-DC0664F0FD04}"/>
    <cellStyle name="Comma 3 2 5 2 2 2" xfId="2827" xr:uid="{E2333E22-0391-4CF1-8E39-E7D3978BA217}"/>
    <cellStyle name="Comma 3 2 5 2 2 3" xfId="1882" xr:uid="{8544543E-1D8D-47A8-BC69-78FEFCFC258F}"/>
    <cellStyle name="Comma 3 2 5 2 3" xfId="2355" xr:uid="{898B7AA9-552B-4950-81CC-5066972C60AE}"/>
    <cellStyle name="Comma 3 2 5 2 4" xfId="1410" xr:uid="{DAC65106-5C61-430C-981E-8F232E8B239B}"/>
    <cellStyle name="Comma 3 2 5 3" xfId="702" xr:uid="{22CF2410-AE1C-419E-9357-28FC2CA16102}"/>
    <cellStyle name="Comma 3 2 5 3 2" xfId="2591" xr:uid="{6F1A259F-131B-4469-B5CE-0D2D970D8A6E}"/>
    <cellStyle name="Comma 3 2 5 3 3" xfId="1646" xr:uid="{CADD09B1-3642-458B-A3AF-F2F084214631}"/>
    <cellStyle name="Comma 3 2 5 4" xfId="2119" xr:uid="{4D70F68F-645D-4F2A-8EC1-93B482449A1F}"/>
    <cellStyle name="Comma 3 2 5 5" xfId="1174" xr:uid="{54D1BA12-2C44-4657-9CD4-135D07947280}"/>
    <cellStyle name="Comma 3 2 6" xfId="348" xr:uid="{8DDC77EA-6481-4DE5-B005-52F711BA55D9}"/>
    <cellStyle name="Comma 3 2 6 2" xfId="820" xr:uid="{75EF2559-E9F7-4EAC-8A7A-95B2E456FCFB}"/>
    <cellStyle name="Comma 3 2 6 2 2" xfId="2709" xr:uid="{28A21CDC-EFF2-4D25-9E59-51C7C7119ABB}"/>
    <cellStyle name="Comma 3 2 6 2 3" xfId="1764" xr:uid="{50803C39-8FDF-4C61-A85E-BB3B59513E5B}"/>
    <cellStyle name="Comma 3 2 6 3" xfId="2237" xr:uid="{A8AEB2B7-4E54-488E-8D4C-DD2E32A4CC8C}"/>
    <cellStyle name="Comma 3 2 6 4" xfId="1292" xr:uid="{512A0B08-0A11-469E-9766-D2B4892A10DC}"/>
    <cellStyle name="Comma 3 2 7" xfId="584" xr:uid="{102D21CA-CC75-40B0-9B7A-2A81CB1DE4D8}"/>
    <cellStyle name="Comma 3 2 7 2" xfId="2473" xr:uid="{E51C7FB4-2A95-43B7-804F-3F9CCC5BD463}"/>
    <cellStyle name="Comma 3 2 7 3" xfId="1528" xr:uid="{E9D4D7CD-0B23-4AC1-8438-F46F3E6BB903}"/>
    <cellStyle name="Comma 3 2 8" xfId="2001" xr:uid="{E0A77E0C-11E7-4A24-ADC8-33094CC06144}"/>
    <cellStyle name="Comma 3 2 9" xfId="1056" xr:uid="{26DDE975-486B-4188-B8C4-CF54395F6DB5}"/>
    <cellStyle name="Comma 3 3" xfId="142" xr:uid="{2E5367B8-A47C-406C-8B5D-EAECEDD4465A}"/>
    <cellStyle name="Comma 3 3 2" xfId="203" xr:uid="{CA911337-B646-4B04-AEA4-0435E85EBD4C}"/>
    <cellStyle name="Comma 3 3 2 2" xfId="321" xr:uid="{AC8CE1E2-1375-42EE-ABB7-4D20DD4501F0}"/>
    <cellStyle name="Comma 3 3 2 2 2" xfId="557" xr:uid="{F0EA3FC8-B44E-4797-95B5-A1734F7288EC}"/>
    <cellStyle name="Comma 3 3 2 2 2 2" xfId="1029" xr:uid="{61499B89-B3FB-4377-B006-D6514BFCF0A3}"/>
    <cellStyle name="Comma 3 3 2 2 2 2 2" xfId="2918" xr:uid="{504EF398-E7CF-47C7-B2C2-06FF0D7BCC24}"/>
    <cellStyle name="Comma 3 3 2 2 2 2 3" xfId="1973" xr:uid="{5BA99AF5-2C90-498A-8146-B13507E54129}"/>
    <cellStyle name="Comma 3 3 2 2 2 3" xfId="2446" xr:uid="{4746DF9E-4FE3-4E11-B11F-D7F0D5652FA8}"/>
    <cellStyle name="Comma 3 3 2 2 2 4" xfId="1501" xr:uid="{15E4C282-FFB6-42C2-8866-3F3B1074AD92}"/>
    <cellStyle name="Comma 3 3 2 2 3" xfId="793" xr:uid="{E6AF0ED9-331F-4970-8356-69C7344189C1}"/>
    <cellStyle name="Comma 3 3 2 2 3 2" xfId="2682" xr:uid="{B472DD38-E562-4C40-A8CC-89B5F76ECE72}"/>
    <cellStyle name="Comma 3 3 2 2 3 3" xfId="1737" xr:uid="{0DCAA701-4C0E-4D0E-8089-D2347684C78D}"/>
    <cellStyle name="Comma 3 3 2 2 4" xfId="2210" xr:uid="{3BE8F105-BCC3-4FAC-AA64-81E76D02C312}"/>
    <cellStyle name="Comma 3 3 2 2 5" xfId="1265" xr:uid="{609CADD8-AE0D-456B-8E49-F82E7716F70B}"/>
    <cellStyle name="Comma 3 3 2 3" xfId="439" xr:uid="{29933B33-7631-4444-A1FC-3A5221E1295B}"/>
    <cellStyle name="Comma 3 3 2 3 2" xfId="911" xr:uid="{E5F40217-C512-41D1-AA21-6AB232F55004}"/>
    <cellStyle name="Comma 3 3 2 3 2 2" xfId="2800" xr:uid="{71CF5C4D-11C3-45CC-8D7C-EEFE0CD6D541}"/>
    <cellStyle name="Comma 3 3 2 3 2 3" xfId="1855" xr:uid="{1816E269-60EC-49C5-B171-5339E3F73E8A}"/>
    <cellStyle name="Comma 3 3 2 3 3" xfId="2328" xr:uid="{048A62A6-F1BE-4493-9997-F86C44DC3A40}"/>
    <cellStyle name="Comma 3 3 2 3 4" xfId="1383" xr:uid="{8FE32AAB-D067-49CE-BAC9-D598F648A989}"/>
    <cellStyle name="Comma 3 3 2 4" xfId="675" xr:uid="{EFFA30D5-2EB7-4E73-8D58-7DF5E095F267}"/>
    <cellStyle name="Comma 3 3 2 4 2" xfId="2564" xr:uid="{2CBEE0B3-1FEE-416D-BE62-1867D0CFA2E7}"/>
    <cellStyle name="Comma 3 3 2 4 3" xfId="1619" xr:uid="{16CC71C4-1DA2-4054-BD5C-B893ED7B6544}"/>
    <cellStyle name="Comma 3 3 2 5" xfId="2092" xr:uid="{1059DBAB-5E5F-40D8-B993-C47DBE7E12FB}"/>
    <cellStyle name="Comma 3 3 2 6" xfId="1147" xr:uid="{250C831C-D77A-43B9-AB50-21E4A38AD8C6}"/>
    <cellStyle name="Comma 3 3 3" xfId="262" xr:uid="{148715B6-7C2C-4C71-AF87-FBF5DB98A7E5}"/>
    <cellStyle name="Comma 3 3 3 2" xfId="498" xr:uid="{F9316F21-9155-4FD5-A513-318CF506477D}"/>
    <cellStyle name="Comma 3 3 3 2 2" xfId="970" xr:uid="{8020C137-6775-414D-B70F-05A55A7716A5}"/>
    <cellStyle name="Comma 3 3 3 2 2 2" xfId="2859" xr:uid="{D667CD49-D86C-4FC9-A038-DCC924DFB664}"/>
    <cellStyle name="Comma 3 3 3 2 2 3" xfId="1914" xr:uid="{BE68AC94-E0A4-4EE2-97EA-B621818611A6}"/>
    <cellStyle name="Comma 3 3 3 2 3" xfId="2387" xr:uid="{8C2DF1E6-844C-4D68-AB88-62DD44263852}"/>
    <cellStyle name="Comma 3 3 3 2 4" xfId="1442" xr:uid="{E6A41D80-75B4-4D69-8480-DD88732AB088}"/>
    <cellStyle name="Comma 3 3 3 3" xfId="734" xr:uid="{4DABCB17-AF03-4E3C-8F16-9E9D20FBDA3E}"/>
    <cellStyle name="Comma 3 3 3 3 2" xfId="2623" xr:uid="{94B3D9AB-59DA-41BC-8632-469F52C1D9BD}"/>
    <cellStyle name="Comma 3 3 3 3 3" xfId="1678" xr:uid="{925408E4-960E-4764-BD9D-534762BF7FE9}"/>
    <cellStyle name="Comma 3 3 3 4" xfId="2151" xr:uid="{B94B3693-3FED-44E3-85BB-2D435FE0BBEB}"/>
    <cellStyle name="Comma 3 3 3 5" xfId="1206" xr:uid="{64051C48-A5B8-40FD-82C1-A0B820CB2D6B}"/>
    <cellStyle name="Comma 3 3 4" xfId="380" xr:uid="{192AA127-1811-4F8A-A3D1-35563DA7F34E}"/>
    <cellStyle name="Comma 3 3 4 2" xfId="852" xr:uid="{D420880D-8683-47BB-B662-657C3670FA54}"/>
    <cellStyle name="Comma 3 3 4 2 2" xfId="2741" xr:uid="{AEAACBC5-ABBF-4C33-95FA-E224C49E6D0D}"/>
    <cellStyle name="Comma 3 3 4 2 3" xfId="1796" xr:uid="{BBBC0133-2697-45A3-A94C-C07428917AF3}"/>
    <cellStyle name="Comma 3 3 4 3" xfId="2269" xr:uid="{C4CD9826-92D6-486C-BAE9-7151A5FBA4A8}"/>
    <cellStyle name="Comma 3 3 4 4" xfId="1324" xr:uid="{A3179425-12E4-45E1-9651-DCFDC97B9E6F}"/>
    <cellStyle name="Comma 3 3 5" xfId="616" xr:uid="{233888D0-58FA-41B5-BC51-8D01178AC097}"/>
    <cellStyle name="Comma 3 3 5 2" xfId="2505" xr:uid="{55121574-D915-40C2-87B7-EAA6C58680B9}"/>
    <cellStyle name="Comma 3 3 5 3" xfId="1560" xr:uid="{4D004355-5DE7-482E-88AB-2A3587A13532}"/>
    <cellStyle name="Comma 3 3 6" xfId="2033" xr:uid="{50BC9B62-0E4C-4176-AEDD-AC35B4145F17}"/>
    <cellStyle name="Comma 3 3 7" xfId="1088" xr:uid="{23CAE65A-085A-46AC-BB72-A47F8142B843}"/>
    <cellStyle name="Comma 4" xfId="94" xr:uid="{00000000-0005-0000-0000-000023000000}"/>
    <cellStyle name="Comma 4 2" xfId="114" xr:uid="{D3CE056F-D517-4DFF-95D0-194984C0EAA3}"/>
    <cellStyle name="Comma 4 2 2" xfId="135" xr:uid="{195A21A7-D19B-46DC-A3B6-948098E6C58A}"/>
    <cellStyle name="Comma 4 2 2 2" xfId="197" xr:uid="{A3016BCE-8B97-4483-B084-C26F97EEB2A7}"/>
    <cellStyle name="Comma 4 2 2 2 2" xfId="315" xr:uid="{1893456A-8315-4AC0-A743-53D13829AF8B}"/>
    <cellStyle name="Comma 4 2 2 2 2 2" xfId="551" xr:uid="{78CB3DFA-D34C-4585-8F10-398CA82BF15E}"/>
    <cellStyle name="Comma 4 2 2 2 2 2 2" xfId="1023" xr:uid="{35676283-64E0-46B7-82FE-9396E3447D37}"/>
    <cellStyle name="Comma 4 2 2 2 2 2 2 2" xfId="2912" xr:uid="{303C8DB3-B12C-42AF-B266-5E47CC7BDD27}"/>
    <cellStyle name="Comma 4 2 2 2 2 2 2 3" xfId="1967" xr:uid="{CBE7A2AE-720D-4018-9BE1-6D54F3B6A99E}"/>
    <cellStyle name="Comma 4 2 2 2 2 2 3" xfId="2440" xr:uid="{99EE4A4A-5BDE-4635-BA76-BB04EB135529}"/>
    <cellStyle name="Comma 4 2 2 2 2 2 4" xfId="1495" xr:uid="{AC69090E-81D4-4658-AEC9-19D559C3BAF7}"/>
    <cellStyle name="Comma 4 2 2 2 2 3" xfId="787" xr:uid="{780A8B17-8FE1-420E-B064-DD2C3A9058F9}"/>
    <cellStyle name="Comma 4 2 2 2 2 3 2" xfId="2676" xr:uid="{BB258E4D-6A7B-4051-8FAF-5E3518EE2BAE}"/>
    <cellStyle name="Comma 4 2 2 2 2 3 3" xfId="1731" xr:uid="{180019C9-6694-4FDB-8B7C-395F29547F88}"/>
    <cellStyle name="Comma 4 2 2 2 2 4" xfId="2204" xr:uid="{4233B519-2BB9-4303-BA79-ECAF3C65797A}"/>
    <cellStyle name="Comma 4 2 2 2 2 5" xfId="1259" xr:uid="{9C8FCF51-6F54-44C0-AEE1-7657BD52C908}"/>
    <cellStyle name="Comma 4 2 2 2 3" xfId="433" xr:uid="{9AD5496E-E133-4379-934C-7FB6FA1D5F7D}"/>
    <cellStyle name="Comma 4 2 2 2 3 2" xfId="905" xr:uid="{9E6EB05D-B197-4092-80C6-CD3B7BB09380}"/>
    <cellStyle name="Comma 4 2 2 2 3 2 2" xfId="2794" xr:uid="{08648D87-7999-4C17-9DD0-74865E61525C}"/>
    <cellStyle name="Comma 4 2 2 2 3 2 3" xfId="1849" xr:uid="{DFF315A0-E508-4C66-ACDA-87129E16C5D0}"/>
    <cellStyle name="Comma 4 2 2 2 3 3" xfId="2322" xr:uid="{7A532018-67E9-4D51-8B63-7F87BACA4ECB}"/>
    <cellStyle name="Comma 4 2 2 2 3 4" xfId="1377" xr:uid="{096FFD28-153F-41D8-9A0C-56B6A4C254D6}"/>
    <cellStyle name="Comma 4 2 2 2 4" xfId="669" xr:uid="{E4EECF0C-B683-4F8A-B4AE-0E9118ED6B54}"/>
    <cellStyle name="Comma 4 2 2 2 4 2" xfId="2558" xr:uid="{C88A8503-7138-4247-9113-96215C9A2F10}"/>
    <cellStyle name="Comma 4 2 2 2 4 3" xfId="1613" xr:uid="{DC8B0A9F-FD24-4578-8FFB-E10103CC94EA}"/>
    <cellStyle name="Comma 4 2 2 2 5" xfId="2086" xr:uid="{90669DEE-E9D0-4F6B-BFD1-088BB118AE97}"/>
    <cellStyle name="Comma 4 2 2 2 6" xfId="1141" xr:uid="{2173E74F-211F-4C29-8D97-22008B37E2E5}"/>
    <cellStyle name="Comma 4 2 2 3" xfId="256" xr:uid="{1CD616AA-CCDD-448E-96FB-FD0A0FA4C968}"/>
    <cellStyle name="Comma 4 2 2 3 2" xfId="492" xr:uid="{9F82BE6A-6FC0-4D3A-91BE-2589C63CD653}"/>
    <cellStyle name="Comma 4 2 2 3 2 2" xfId="964" xr:uid="{B6929C99-8872-4804-AF7D-F1BA987B03BE}"/>
    <cellStyle name="Comma 4 2 2 3 2 2 2" xfId="2853" xr:uid="{7E578694-EC53-4E69-B8AF-1EDA9A4C647D}"/>
    <cellStyle name="Comma 4 2 2 3 2 2 3" xfId="1908" xr:uid="{4D8A1DAF-6D8B-4E36-BC21-E8D8DAB85E95}"/>
    <cellStyle name="Comma 4 2 2 3 2 3" xfId="2381" xr:uid="{2C9DBC05-09AC-4950-8368-572CE5768A9B}"/>
    <cellStyle name="Comma 4 2 2 3 2 4" xfId="1436" xr:uid="{437A1D7D-01B7-4AAC-BEB3-A50653DAFE01}"/>
    <cellStyle name="Comma 4 2 2 3 3" xfId="728" xr:uid="{50DA3070-DE72-45AA-85A9-61B6DB1EF11B}"/>
    <cellStyle name="Comma 4 2 2 3 3 2" xfId="2617" xr:uid="{5A31B912-2796-44A9-A4DD-3C5DA6EA5871}"/>
    <cellStyle name="Comma 4 2 2 3 3 3" xfId="1672" xr:uid="{D192B374-0667-47DB-9625-74905F2F6E5B}"/>
    <cellStyle name="Comma 4 2 2 3 4" xfId="2145" xr:uid="{7DFAA6A8-8B6A-488D-A999-B391A544C746}"/>
    <cellStyle name="Comma 4 2 2 3 5" xfId="1200" xr:uid="{ADCAE756-E1D1-4983-AC02-8C8ED3DDA30B}"/>
    <cellStyle name="Comma 4 2 2 4" xfId="374" xr:uid="{39DCDA10-E91A-4438-B520-89F3CB7C4A24}"/>
    <cellStyle name="Comma 4 2 2 4 2" xfId="846" xr:uid="{4E6074C2-183F-4264-BC41-8F9BB8E69DF9}"/>
    <cellStyle name="Comma 4 2 2 4 2 2" xfId="2735" xr:uid="{D7536A59-5D42-46D6-98C3-AD3CC1696D6F}"/>
    <cellStyle name="Comma 4 2 2 4 2 3" xfId="1790" xr:uid="{B27C43AB-E163-439B-A490-2503FBAEBB04}"/>
    <cellStyle name="Comma 4 2 2 4 3" xfId="2263" xr:uid="{B2C058BC-647B-4E70-BBED-87D1C9CC98C3}"/>
    <cellStyle name="Comma 4 2 2 4 4" xfId="1318" xr:uid="{C70061ED-312E-496D-AEC2-FCCE9AD2E710}"/>
    <cellStyle name="Comma 4 2 2 5" xfId="610" xr:uid="{CC220BBB-68B5-4630-97B6-38553BF8DBED}"/>
    <cellStyle name="Comma 4 2 2 5 2" xfId="2499" xr:uid="{90CC20A2-BD07-4F8E-BE29-DE8F8A2821F1}"/>
    <cellStyle name="Comma 4 2 2 5 3" xfId="1554" xr:uid="{3017CC88-59B5-4847-830A-6E4A6FA38AA4}"/>
    <cellStyle name="Comma 4 2 2 6" xfId="2027" xr:uid="{4BA33DCA-773D-40DE-A354-0FAB4E853814}"/>
    <cellStyle name="Comma 4 2 2 7" xfId="1082" xr:uid="{F895BF2B-86B4-482C-BA82-A3C3D6DBAC4A}"/>
    <cellStyle name="Comma 4 2 3" xfId="129" xr:uid="{F3F6CEAB-13CD-4CF6-B4E6-38533DF8F5BE}"/>
    <cellStyle name="Comma 4 2 3 2" xfId="191" xr:uid="{CD25E768-5A29-415D-8055-C29FF85834FB}"/>
    <cellStyle name="Comma 4 2 3 2 2" xfId="309" xr:uid="{B3F3F8E0-900F-4945-BE39-ABC404354038}"/>
    <cellStyle name="Comma 4 2 3 2 2 2" xfId="545" xr:uid="{9E904422-7CEA-474C-BB63-AB82F0236758}"/>
    <cellStyle name="Comma 4 2 3 2 2 2 2" xfId="1017" xr:uid="{56B705F9-DCDF-4C6D-99B2-F58FC5DF86B7}"/>
    <cellStyle name="Comma 4 2 3 2 2 2 2 2" xfId="2906" xr:uid="{CE25F7A1-E884-48B6-BE60-50E5BD49A7A0}"/>
    <cellStyle name="Comma 4 2 3 2 2 2 2 3" xfId="1961" xr:uid="{5B4652E9-1162-4432-9947-F5F941557FF9}"/>
    <cellStyle name="Comma 4 2 3 2 2 2 3" xfId="2434" xr:uid="{F5232A3D-1DD8-4A68-9F2A-B71DB960C416}"/>
    <cellStyle name="Comma 4 2 3 2 2 2 4" xfId="1489" xr:uid="{9A7FC01F-6D49-440C-9FC8-D8A907A5C26E}"/>
    <cellStyle name="Comma 4 2 3 2 2 3" xfId="781" xr:uid="{A48D0704-5C2C-4310-B7D7-D3909D498CA6}"/>
    <cellStyle name="Comma 4 2 3 2 2 3 2" xfId="2670" xr:uid="{534C42AA-FEF9-4192-B5FF-B18DE8B65A96}"/>
    <cellStyle name="Comma 4 2 3 2 2 3 3" xfId="1725" xr:uid="{D27366B2-6507-4D34-A440-9AAAFA7CEA84}"/>
    <cellStyle name="Comma 4 2 3 2 2 4" xfId="2198" xr:uid="{5C407529-66E1-4E94-838B-D457FCD50F43}"/>
    <cellStyle name="Comma 4 2 3 2 2 5" xfId="1253" xr:uid="{E8A4FE4A-46A4-4D93-97AE-0B2224B964EA}"/>
    <cellStyle name="Comma 4 2 3 2 3" xfId="427" xr:uid="{B2918F2A-175E-4082-8E2A-595651E39E50}"/>
    <cellStyle name="Comma 4 2 3 2 3 2" xfId="899" xr:uid="{ED3ECB14-E45B-4BCE-AD01-BD5097FD9896}"/>
    <cellStyle name="Comma 4 2 3 2 3 2 2" xfId="2788" xr:uid="{D35CF7E6-9736-4301-AB51-726688E04D30}"/>
    <cellStyle name="Comma 4 2 3 2 3 2 3" xfId="1843" xr:uid="{3A8AB988-86D1-451E-A13F-A1509BF4D066}"/>
    <cellStyle name="Comma 4 2 3 2 3 3" xfId="2316" xr:uid="{305B7BB9-03ED-4A18-A346-8EBFA7A9CB7E}"/>
    <cellStyle name="Comma 4 2 3 2 3 4" xfId="1371" xr:uid="{74570C09-C515-4664-9825-F33F1112CABC}"/>
    <cellStyle name="Comma 4 2 3 2 4" xfId="663" xr:uid="{CE5DBCBB-926D-458D-9D0D-75573E12DC8D}"/>
    <cellStyle name="Comma 4 2 3 2 4 2" xfId="2552" xr:uid="{2A107125-8FA6-4862-8118-648653F3E1DB}"/>
    <cellStyle name="Comma 4 2 3 2 4 3" xfId="1607" xr:uid="{43C0FBE2-9E5A-447D-874B-970BA065ACC6}"/>
    <cellStyle name="Comma 4 2 3 2 5" xfId="2080" xr:uid="{328B89F3-E9D7-406B-97BF-26B49736D695}"/>
    <cellStyle name="Comma 4 2 3 2 6" xfId="1135" xr:uid="{AFE62CCD-8E86-465E-85D2-EE2DDC386A08}"/>
    <cellStyle name="Comma 4 2 3 3" xfId="250" xr:uid="{7771B540-CE5B-4591-880A-56FEC17052F5}"/>
    <cellStyle name="Comma 4 2 3 3 2" xfId="486" xr:uid="{027F4743-889A-4B29-BA5D-3F04EA77BFDD}"/>
    <cellStyle name="Comma 4 2 3 3 2 2" xfId="958" xr:uid="{B826A6FE-79DF-46B1-9713-B0378554498E}"/>
    <cellStyle name="Comma 4 2 3 3 2 2 2" xfId="2847" xr:uid="{5D3A76D6-6711-4D15-B3A5-E163EB52D425}"/>
    <cellStyle name="Comma 4 2 3 3 2 2 3" xfId="1902" xr:uid="{E451579F-8D78-4FEB-BC50-BC483BD47AA6}"/>
    <cellStyle name="Comma 4 2 3 3 2 3" xfId="2375" xr:uid="{D9624D8A-EA2E-486E-BFB0-23D38B480DC7}"/>
    <cellStyle name="Comma 4 2 3 3 2 4" xfId="1430" xr:uid="{F389B9C1-29BC-4BFE-9A78-BC5F1220B0CC}"/>
    <cellStyle name="Comma 4 2 3 3 3" xfId="722" xr:uid="{A78C0337-5F95-4A65-84B2-4A3A6256CD44}"/>
    <cellStyle name="Comma 4 2 3 3 3 2" xfId="2611" xr:uid="{B88AD52D-9778-4A71-B988-77789D5E6A25}"/>
    <cellStyle name="Comma 4 2 3 3 3 3" xfId="1666" xr:uid="{DDB33985-3A44-4E31-BF9F-E32A121F7D29}"/>
    <cellStyle name="Comma 4 2 3 3 4" xfId="2139" xr:uid="{72E993A7-B291-4E01-BAB2-E0B57447E090}"/>
    <cellStyle name="Comma 4 2 3 3 5" xfId="1194" xr:uid="{CEEE9A63-845A-469E-BF47-3ACECFB3AD20}"/>
    <cellStyle name="Comma 4 2 3 4" xfId="368" xr:uid="{3A7045D7-6728-4E02-8F68-7D7DC7B5561D}"/>
    <cellStyle name="Comma 4 2 3 4 2" xfId="840" xr:uid="{6E9C7B32-5D99-4FB5-8067-A62664D55D58}"/>
    <cellStyle name="Comma 4 2 3 4 2 2" xfId="2729" xr:uid="{14A639A5-CE38-41E2-BD75-47C1DD1B6804}"/>
    <cellStyle name="Comma 4 2 3 4 2 3" xfId="1784" xr:uid="{47D11942-19A2-439E-A376-591722E3306F}"/>
    <cellStyle name="Comma 4 2 3 4 3" xfId="2257" xr:uid="{D80EDE17-DBAF-4000-9143-BAD14C985816}"/>
    <cellStyle name="Comma 4 2 3 4 4" xfId="1312" xr:uid="{FA7AF8E0-5B76-466B-A6A7-16425D37D985}"/>
    <cellStyle name="Comma 4 2 3 5" xfId="604" xr:uid="{B19C6FE4-55F0-4D7A-B932-42B4017655D4}"/>
    <cellStyle name="Comma 4 2 3 5 2" xfId="2493" xr:uid="{48DE13CA-7EE6-4575-9E64-A35F0807C806}"/>
    <cellStyle name="Comma 4 2 3 5 3" xfId="1548" xr:uid="{5C40D66D-CE20-4C74-B8D3-B384706E3344}"/>
    <cellStyle name="Comma 4 2 3 6" xfId="2021" xr:uid="{D6072E1D-6A45-41C5-85CA-D0904E7A4628}"/>
    <cellStyle name="Comma 4 2 3 7" xfId="1076" xr:uid="{BC77A242-B7AF-4F24-B780-CCB7DFB767F2}"/>
    <cellStyle name="Comma 4 2 4" xfId="176" xr:uid="{C825D1D4-7D19-4959-8C2E-A6DF926EC57D}"/>
    <cellStyle name="Comma 4 2 4 2" xfId="294" xr:uid="{192A11DA-457A-4959-AD58-C3F310A4C321}"/>
    <cellStyle name="Comma 4 2 4 2 2" xfId="530" xr:uid="{4E8026B3-CFB5-4302-9213-D90FC5838CDD}"/>
    <cellStyle name="Comma 4 2 4 2 2 2" xfId="1002" xr:uid="{AA46AF2C-D70D-4AD8-B517-C92CF2E03235}"/>
    <cellStyle name="Comma 4 2 4 2 2 2 2" xfId="2891" xr:uid="{A998DDD3-E789-4050-BD67-7D26858F5470}"/>
    <cellStyle name="Comma 4 2 4 2 2 2 3" xfId="1946" xr:uid="{1494D826-A156-481C-B6EC-B538A3216443}"/>
    <cellStyle name="Comma 4 2 4 2 2 3" xfId="2419" xr:uid="{D7BF022F-5B22-42B1-8943-A7E4FB972932}"/>
    <cellStyle name="Comma 4 2 4 2 2 4" xfId="1474" xr:uid="{EAC96588-A870-4F44-9933-07D7BC6EC8C3}"/>
    <cellStyle name="Comma 4 2 4 2 3" xfId="766" xr:uid="{90750123-7294-4722-8B66-E914FD96EB39}"/>
    <cellStyle name="Comma 4 2 4 2 3 2" xfId="2655" xr:uid="{7CA4C0C2-D0D0-4C30-92F2-7BD8231F634F}"/>
    <cellStyle name="Comma 4 2 4 2 3 3" xfId="1710" xr:uid="{F6159F2E-6CDB-4850-896B-B047E38E1B82}"/>
    <cellStyle name="Comma 4 2 4 2 4" xfId="2183" xr:uid="{19BA1BBC-B64A-47F8-882D-A2729D13CCC3}"/>
    <cellStyle name="Comma 4 2 4 2 5" xfId="1238" xr:uid="{27DE319E-F8DA-416F-873D-D4E17A882738}"/>
    <cellStyle name="Comma 4 2 4 3" xfId="412" xr:uid="{88B5EAE9-D2B3-4477-B9B2-4606C2385F2B}"/>
    <cellStyle name="Comma 4 2 4 3 2" xfId="884" xr:uid="{616AA557-8A86-466A-9235-95E8D4BE6405}"/>
    <cellStyle name="Comma 4 2 4 3 2 2" xfId="2773" xr:uid="{059DC3A1-398C-4908-9657-F2FCB7E334FD}"/>
    <cellStyle name="Comma 4 2 4 3 2 3" xfId="1828" xr:uid="{46FACA65-B406-4800-B8AF-E0CDF6D43139}"/>
    <cellStyle name="Comma 4 2 4 3 3" xfId="2301" xr:uid="{CCC88885-0DCC-40D0-A1A0-AFB2D8D925BE}"/>
    <cellStyle name="Comma 4 2 4 3 4" xfId="1356" xr:uid="{49D23497-05D9-4392-BDDE-436FBAE578C0}"/>
    <cellStyle name="Comma 4 2 4 4" xfId="648" xr:uid="{04BDE334-7095-4CD0-86BF-9CA29DA8593C}"/>
    <cellStyle name="Comma 4 2 4 4 2" xfId="2537" xr:uid="{3E6F2A7D-F045-4FA2-9E2A-25D9937AD116}"/>
    <cellStyle name="Comma 4 2 4 4 3" xfId="1592" xr:uid="{159E0F94-0C64-463A-ADC4-8E72D1971FF2}"/>
    <cellStyle name="Comma 4 2 4 5" xfId="2065" xr:uid="{340BA375-F0DE-46E0-9908-1164BAE6650A}"/>
    <cellStyle name="Comma 4 2 4 6" xfId="1120" xr:uid="{3602C313-B161-4E3F-B3D2-0F8FF584A330}"/>
    <cellStyle name="Comma 4 2 5" xfId="235" xr:uid="{DC994D5A-D78C-4970-AB26-C1D044EA7031}"/>
    <cellStyle name="Comma 4 2 5 2" xfId="471" xr:uid="{C29B1EFD-6B48-417C-B667-BFD6D665B1C0}"/>
    <cellStyle name="Comma 4 2 5 2 2" xfId="943" xr:uid="{7E2FFE44-B502-40A5-9B7B-328E64E9C48B}"/>
    <cellStyle name="Comma 4 2 5 2 2 2" xfId="2832" xr:uid="{9EDAF08D-9F8C-45AF-AAC7-B58036F4C7FB}"/>
    <cellStyle name="Comma 4 2 5 2 2 3" xfId="1887" xr:uid="{0EA85839-29C5-489D-8DC7-9369C1A4B223}"/>
    <cellStyle name="Comma 4 2 5 2 3" xfId="2360" xr:uid="{4E914886-6063-46C9-B697-FEA130F7499B}"/>
    <cellStyle name="Comma 4 2 5 2 4" xfId="1415" xr:uid="{EBBF1C84-F5EF-4B22-A8FF-A156EF4CCC73}"/>
    <cellStyle name="Comma 4 2 5 3" xfId="707" xr:uid="{A7C49DB2-5C05-4FB5-B5F5-F0AFBA07256D}"/>
    <cellStyle name="Comma 4 2 5 3 2" xfId="2596" xr:uid="{07A7644B-8BCD-4CE1-AFF8-2B13DAA6B37C}"/>
    <cellStyle name="Comma 4 2 5 3 3" xfId="1651" xr:uid="{F95EFF38-0538-4C72-99B3-E8723DED138A}"/>
    <cellStyle name="Comma 4 2 5 4" xfId="2124" xr:uid="{820AB95C-4DBA-485D-9D9A-C8D4F74FE6E1}"/>
    <cellStyle name="Comma 4 2 5 5" xfId="1179" xr:uid="{554E882E-2487-43D8-9178-667C2265A2A6}"/>
    <cellStyle name="Comma 4 2 6" xfId="353" xr:uid="{8E52C05C-5963-46E3-ABE3-6263A3E353AC}"/>
    <cellStyle name="Comma 4 2 6 2" xfId="825" xr:uid="{8C5DC636-F39E-458A-970D-0467FE0DC1B9}"/>
    <cellStyle name="Comma 4 2 6 2 2" xfId="2714" xr:uid="{C6F59FD7-6A60-4616-B994-951C96E5C259}"/>
    <cellStyle name="Comma 4 2 6 2 3" xfId="1769" xr:uid="{BE48DC86-0406-4827-B096-43C600CAAD16}"/>
    <cellStyle name="Comma 4 2 6 3" xfId="2242" xr:uid="{CE61B6D9-169B-456B-88DB-3491BFD8BB36}"/>
    <cellStyle name="Comma 4 2 6 4" xfId="1297" xr:uid="{8089B49A-FC73-489C-9C04-780460277DD5}"/>
    <cellStyle name="Comma 4 2 7" xfId="589" xr:uid="{E942D5C8-F7F5-4EC3-AF77-8121A6C7C059}"/>
    <cellStyle name="Comma 4 2 7 2" xfId="2478" xr:uid="{705648B0-7505-4BFC-983C-CEA0973F55CE}"/>
    <cellStyle name="Comma 4 2 7 3" xfId="1533" xr:uid="{86CA0650-797B-453E-80E4-5866E8AA3772}"/>
    <cellStyle name="Comma 4 2 8" xfId="2006" xr:uid="{B22647EB-4366-4CF2-96D6-9C714EB75B97}"/>
    <cellStyle name="Comma 4 2 9" xfId="1061" xr:uid="{6402EA98-C783-437B-A575-44057A44476E}"/>
    <cellStyle name="Comma 4 3" xfId="148" xr:uid="{B80C0EB9-8097-4B72-A9D6-81B8C6EF0683}"/>
    <cellStyle name="Comma 4 3 2" xfId="209" xr:uid="{B1ED054F-40A6-4376-B7F7-B3B239FCE54E}"/>
    <cellStyle name="Comma 4 3 2 2" xfId="327" xr:uid="{AF744937-8AF0-4131-BA86-FD50C6CC9E2D}"/>
    <cellStyle name="Comma 4 3 2 2 2" xfId="563" xr:uid="{52952535-636A-4AD1-B75D-2BAAAD706709}"/>
    <cellStyle name="Comma 4 3 2 2 2 2" xfId="1035" xr:uid="{207A9428-B388-4234-9C82-8217C5854545}"/>
    <cellStyle name="Comma 4 3 2 2 2 2 2" xfId="2924" xr:uid="{797173CF-51D9-4D94-B11F-133A5B6106DE}"/>
    <cellStyle name="Comma 4 3 2 2 2 2 3" xfId="1979" xr:uid="{2FC4BEA8-A480-46DC-BDE2-ADB7FC501EE1}"/>
    <cellStyle name="Comma 4 3 2 2 2 3" xfId="2452" xr:uid="{FDF18AAD-2A85-476E-9E8A-B33D61A44858}"/>
    <cellStyle name="Comma 4 3 2 2 2 4" xfId="1507" xr:uid="{9FE61EF8-5B73-46FE-8450-228F22383335}"/>
    <cellStyle name="Comma 4 3 2 2 3" xfId="799" xr:uid="{3611DE61-601A-454B-B8C7-1FEE870DA148}"/>
    <cellStyle name="Comma 4 3 2 2 3 2" xfId="2688" xr:uid="{9BAF05C7-C31E-4A61-A792-988B2BC98CEC}"/>
    <cellStyle name="Comma 4 3 2 2 3 3" xfId="1743" xr:uid="{96C8BB97-E180-4048-A84C-EB7B26FDD63E}"/>
    <cellStyle name="Comma 4 3 2 2 4" xfId="2216" xr:uid="{DEE2A8E5-B9F2-4622-B0E4-AFA655A6273A}"/>
    <cellStyle name="Comma 4 3 2 2 5" xfId="1271" xr:uid="{5E8B3AA9-14C6-4A4C-B414-6D54E5B9A1BB}"/>
    <cellStyle name="Comma 4 3 2 3" xfId="445" xr:uid="{FEAC361F-1A16-4CDD-9F8B-EF58A45A4D49}"/>
    <cellStyle name="Comma 4 3 2 3 2" xfId="917" xr:uid="{CF57E096-7F37-4296-86EF-A47D5476ACFF}"/>
    <cellStyle name="Comma 4 3 2 3 2 2" xfId="2806" xr:uid="{8473EA19-025E-4428-B102-C25C1913410E}"/>
    <cellStyle name="Comma 4 3 2 3 2 3" xfId="1861" xr:uid="{9E4E086E-55D1-4D54-A188-A34631417C37}"/>
    <cellStyle name="Comma 4 3 2 3 3" xfId="2334" xr:uid="{4C37AF56-0D2A-446A-A3B6-CAAB5920B5AA}"/>
    <cellStyle name="Comma 4 3 2 3 4" xfId="1389" xr:uid="{924C87C1-C056-45A6-ABBE-EC5EA4202269}"/>
    <cellStyle name="Comma 4 3 2 4" xfId="681" xr:uid="{10EA406A-0A67-429A-80A2-64783F919E1F}"/>
    <cellStyle name="Comma 4 3 2 4 2" xfId="2570" xr:uid="{FC72FA08-799D-4C5E-9BDB-B66CDC26CDC4}"/>
    <cellStyle name="Comma 4 3 2 4 3" xfId="1625" xr:uid="{267D9313-D2A4-4FCE-B562-2C3BBE4962A5}"/>
    <cellStyle name="Comma 4 3 2 5" xfId="2098" xr:uid="{E65F4E8B-12E4-44B5-AC0C-12BA1256DC20}"/>
    <cellStyle name="Comma 4 3 2 6" xfId="1153" xr:uid="{E5F5AB05-FB07-44B2-B0BC-B4ECA3D5A25A}"/>
    <cellStyle name="Comma 4 3 3" xfId="268" xr:uid="{DD1D3B07-2EB1-4F45-9384-5690F2DD455C}"/>
    <cellStyle name="Comma 4 3 3 2" xfId="504" xr:uid="{C781868C-B5CA-4336-85DC-632B1913930E}"/>
    <cellStyle name="Comma 4 3 3 2 2" xfId="976" xr:uid="{F0223B16-C43B-4234-9D46-AEC4E96C780B}"/>
    <cellStyle name="Comma 4 3 3 2 2 2" xfId="2865" xr:uid="{AAF86D65-9FE1-42F0-B990-FB59D67C8BE6}"/>
    <cellStyle name="Comma 4 3 3 2 2 3" xfId="1920" xr:uid="{D541F642-3614-4B99-8ABA-FFEDD45B23A8}"/>
    <cellStyle name="Comma 4 3 3 2 3" xfId="2393" xr:uid="{EFFA2162-002B-4326-BAB4-732CBCA63016}"/>
    <cellStyle name="Comma 4 3 3 2 4" xfId="1448" xr:uid="{802D1A0A-7BF3-4639-B650-148CC626D9C8}"/>
    <cellStyle name="Comma 4 3 3 3" xfId="740" xr:uid="{B1F75C43-2859-4158-8B38-C0BE6DE95305}"/>
    <cellStyle name="Comma 4 3 3 3 2" xfId="2629" xr:uid="{F1E7390D-784A-4926-A38D-205C384E3455}"/>
    <cellStyle name="Comma 4 3 3 3 3" xfId="1684" xr:uid="{D9CF111D-46CF-4038-9607-BC9ED4BD46B5}"/>
    <cellStyle name="Comma 4 3 3 4" xfId="2157" xr:uid="{93300DFD-4024-4EAF-92EC-C8E89613980C}"/>
    <cellStyle name="Comma 4 3 3 5" xfId="1212" xr:uid="{FE3E5C01-6E69-4262-A732-41452007A59A}"/>
    <cellStyle name="Comma 4 3 4" xfId="386" xr:uid="{0BFA806F-4748-4F6D-98E4-2790EC0A5980}"/>
    <cellStyle name="Comma 4 3 4 2" xfId="858" xr:uid="{2ED370C3-4B58-4570-9201-0BA671C2713F}"/>
    <cellStyle name="Comma 4 3 4 2 2" xfId="2747" xr:uid="{5872653C-944E-4D0F-946D-4A9F6556F799}"/>
    <cellStyle name="Comma 4 3 4 2 3" xfId="1802" xr:uid="{0433B893-84E8-45E5-86FC-F847DE3A2157}"/>
    <cellStyle name="Comma 4 3 4 3" xfId="2275" xr:uid="{E16D8D5B-8ABC-4CFD-BBC4-C5D080E612B3}"/>
    <cellStyle name="Comma 4 3 4 4" xfId="1330" xr:uid="{99C23848-E87F-44E4-AC01-BD5EF50B8429}"/>
    <cellStyle name="Comma 4 3 5" xfId="622" xr:uid="{A822C11C-3F94-4196-91B9-35CE47BFE30C}"/>
    <cellStyle name="Comma 4 3 5 2" xfId="2511" xr:uid="{4FAE96F5-75E8-46EA-9832-BC8995AB3A92}"/>
    <cellStyle name="Comma 4 3 5 3" xfId="1566" xr:uid="{196D0AF0-D5DE-4BD0-ABE6-7BF1915F32E0}"/>
    <cellStyle name="Comma 4 3 6" xfId="2039" xr:uid="{A4287DE8-1D01-4371-9C7E-22599E6A17C7}"/>
    <cellStyle name="Comma 4 3 7" xfId="1094" xr:uid="{B67563A7-94E0-4798-836E-8D3F1AC390BB}"/>
    <cellStyle name="Comma 5" xfId="101" xr:uid="{6F8C35E1-CFB8-4A6C-82F7-EA024A243AD0}"/>
    <cellStyle name="Comma 5 2" xfId="158" xr:uid="{EBD9D3B8-2433-47EA-874D-4FCA8C87FFA3}"/>
    <cellStyle name="Comma 5 2 2" xfId="217" xr:uid="{2267D3C1-725B-43E1-AA03-4C088E534B9D}"/>
    <cellStyle name="Comma 5 2 2 2" xfId="335" xr:uid="{6B2109D2-9551-4DF6-B0B0-5BF8A8787658}"/>
    <cellStyle name="Comma 5 2 2 2 2" xfId="571" xr:uid="{D3CED81C-A828-443D-AD1A-6E0F68DDC1D2}"/>
    <cellStyle name="Comma 5 2 2 2 2 2" xfId="1043" xr:uid="{CA531F5D-40A6-4CC9-AC7D-2FBB5DFFD660}"/>
    <cellStyle name="Comma 5 2 2 2 2 2 2" xfId="2932" xr:uid="{75B742A9-1201-4227-BCF7-5F3F17A2B24D}"/>
    <cellStyle name="Comma 5 2 2 2 2 2 3" xfId="1987" xr:uid="{08EA6BEA-0038-495C-89A0-DFEC0F0AF0E1}"/>
    <cellStyle name="Comma 5 2 2 2 2 3" xfId="2460" xr:uid="{700F0D97-76DB-4A1F-B342-4523759465E7}"/>
    <cellStyle name="Comma 5 2 2 2 2 4" xfId="1515" xr:uid="{FD692757-BE67-4CAE-AB8D-69386186F299}"/>
    <cellStyle name="Comma 5 2 2 2 3" xfId="807" xr:uid="{F200F69C-7F67-43B8-BD87-31DF492E506F}"/>
    <cellStyle name="Comma 5 2 2 2 3 2" xfId="2696" xr:uid="{D55D5C6F-3398-4096-A22E-BE60003FEBAE}"/>
    <cellStyle name="Comma 5 2 2 2 3 3" xfId="1751" xr:uid="{8AE1FB92-9150-4EAE-B7E3-36759A2C802E}"/>
    <cellStyle name="Comma 5 2 2 2 4" xfId="2224" xr:uid="{9E5C8447-4EAB-455A-B1EC-1A6C50A6C964}"/>
    <cellStyle name="Comma 5 2 2 2 5" xfId="1279" xr:uid="{5D1F5D48-D564-466B-8156-DFCA7F89F66B}"/>
    <cellStyle name="Comma 5 2 2 3" xfId="453" xr:uid="{34499137-B0FF-4CC5-A776-BBBE3B80FF4A}"/>
    <cellStyle name="Comma 5 2 2 3 2" xfId="925" xr:uid="{4D9BA583-EE15-443F-9ABC-8FD91A7E6AB1}"/>
    <cellStyle name="Comma 5 2 2 3 2 2" xfId="2814" xr:uid="{8A05B12C-1869-4D44-9826-A61408D75FB3}"/>
    <cellStyle name="Comma 5 2 2 3 2 3" xfId="1869" xr:uid="{4F5934FA-B1B2-48AE-90E2-A514C9EBE8C7}"/>
    <cellStyle name="Comma 5 2 2 3 3" xfId="2342" xr:uid="{AFC328D4-1DAD-4A8E-9A82-4511FD2ED9FC}"/>
    <cellStyle name="Comma 5 2 2 3 4" xfId="1397" xr:uid="{67C300C1-0875-4552-AD15-3B3BFF2C3BEA}"/>
    <cellStyle name="Comma 5 2 2 4" xfId="689" xr:uid="{E0CC3319-6075-4C87-A6AB-DD2EFDF3900C}"/>
    <cellStyle name="Comma 5 2 2 4 2" xfId="2578" xr:uid="{5C0FC5FA-59E1-4B5D-90CB-88DD1C812F80}"/>
    <cellStyle name="Comma 5 2 2 4 3" xfId="1633" xr:uid="{4DB14076-460B-40AB-BBE8-2BFFE71B53F7}"/>
    <cellStyle name="Comma 5 2 2 5" xfId="2106" xr:uid="{5EAB91F5-29D1-4748-BA49-4CAA39B71074}"/>
    <cellStyle name="Comma 5 2 2 6" xfId="1161" xr:uid="{912504FD-C549-4B37-B16A-F224D0918404}"/>
    <cellStyle name="Comma 5 2 3" xfId="276" xr:uid="{9DA225E0-8AF7-45AA-AF5B-55A410F9C28B}"/>
    <cellStyle name="Comma 5 2 3 2" xfId="512" xr:uid="{A33FBA90-F95A-4DBD-ADFC-ED6CF888E63F}"/>
    <cellStyle name="Comma 5 2 3 2 2" xfId="984" xr:uid="{B81D5CEC-84FC-476E-BE12-9A09534E6D04}"/>
    <cellStyle name="Comma 5 2 3 2 2 2" xfId="2873" xr:uid="{9A8D8197-5A78-4F5C-AC76-9E745EB99366}"/>
    <cellStyle name="Comma 5 2 3 2 2 3" xfId="1928" xr:uid="{EB741B39-5C0B-4897-A41F-9D7154181EF9}"/>
    <cellStyle name="Comma 5 2 3 2 3" xfId="2401" xr:uid="{167B89FD-CC2B-4C3C-BB5C-A9825FC6217A}"/>
    <cellStyle name="Comma 5 2 3 2 4" xfId="1456" xr:uid="{A6FE0831-ED25-4211-9A4E-6648037D54E3}"/>
    <cellStyle name="Comma 5 2 3 3" xfId="748" xr:uid="{CCA66039-0953-4CC0-9076-1FAF7F588C91}"/>
    <cellStyle name="Comma 5 2 3 3 2" xfId="2637" xr:uid="{F62B130A-1108-47B9-BC17-8B7F2DC09A66}"/>
    <cellStyle name="Comma 5 2 3 3 3" xfId="1692" xr:uid="{3D91D1C4-4030-45BD-8FC6-7B5213B45E76}"/>
    <cellStyle name="Comma 5 2 3 4" xfId="2165" xr:uid="{3C3AF98A-C661-4E3D-A380-0889A7827416}"/>
    <cellStyle name="Comma 5 2 3 5" xfId="1220" xr:uid="{C00EAAF1-CF9A-4702-AA93-CED9D6EC9CB4}"/>
    <cellStyle name="Comma 5 2 4" xfId="394" xr:uid="{0777DB60-5A16-44BD-9CBC-6AF222045C80}"/>
    <cellStyle name="Comma 5 2 4 2" xfId="866" xr:uid="{6130A5FD-7C32-4F93-BDF8-0E04C9F05CCD}"/>
    <cellStyle name="Comma 5 2 4 2 2" xfId="2755" xr:uid="{D3FEC93A-C38F-47E1-8A03-6C6056D35294}"/>
    <cellStyle name="Comma 5 2 4 2 3" xfId="1810" xr:uid="{CFDCAAA9-A912-4437-BCC0-B65277D47730}"/>
    <cellStyle name="Comma 5 2 4 3" xfId="2283" xr:uid="{2659888E-3F1B-4BC1-8A48-0838D7F27D9A}"/>
    <cellStyle name="Comma 5 2 4 4" xfId="1338" xr:uid="{257F8E3A-54BF-479C-82B7-8B7697EECB63}"/>
    <cellStyle name="Comma 5 2 5" xfId="630" xr:uid="{10E92B55-BFB1-42C6-8D56-46A3D7A0B99E}"/>
    <cellStyle name="Comma 5 2 5 2" xfId="2519" xr:uid="{83C7F662-F199-44C4-BD64-56FDC01A7F4C}"/>
    <cellStyle name="Comma 5 2 5 3" xfId="1574" xr:uid="{975FDAB6-AABA-4AC8-8360-3AC512D0E4D0}"/>
    <cellStyle name="Comma 5 2 6" xfId="2047" xr:uid="{2A554706-9AF4-489D-9514-93E2E37DEBEC}"/>
    <cellStyle name="Comma 5 2 7" xfId="1102" xr:uid="{93B47C3F-28FB-4DD9-A550-58D23E9E0063}"/>
    <cellStyle name="Comma 5 3" xfId="116" xr:uid="{4684C581-1C96-46EE-85EF-154124F23B5E}"/>
    <cellStyle name="Comma 5 3 2" xfId="178" xr:uid="{BBF42573-2EB1-4E70-8695-C4D2D31A8C14}"/>
    <cellStyle name="Comma 5 3 2 2" xfId="296" xr:uid="{BFB877E1-5788-4DD8-B13B-89E0ADCFDF7A}"/>
    <cellStyle name="Comma 5 3 2 2 2" xfId="532" xr:uid="{83810A32-A1A6-4C38-BD37-D95859AE7649}"/>
    <cellStyle name="Comma 5 3 2 2 2 2" xfId="1004" xr:uid="{2A510C1A-846B-4279-827A-D9331BCCD59C}"/>
    <cellStyle name="Comma 5 3 2 2 2 2 2" xfId="2893" xr:uid="{C82911D8-CB01-4BC0-B110-3F910C5A47BF}"/>
    <cellStyle name="Comma 5 3 2 2 2 2 3" xfId="1948" xr:uid="{4BE5578F-EB64-4273-B63E-74FCE6C84C47}"/>
    <cellStyle name="Comma 5 3 2 2 2 3" xfId="2421" xr:uid="{907A5A0A-B2C7-498F-AD87-2AFF50DCF22D}"/>
    <cellStyle name="Comma 5 3 2 2 2 4" xfId="1476" xr:uid="{E875100A-02DD-47D9-A82E-A823841ECAEE}"/>
    <cellStyle name="Comma 5 3 2 2 3" xfId="768" xr:uid="{CA7E8DF2-BAD4-466F-8E0E-078CF0CF94A4}"/>
    <cellStyle name="Comma 5 3 2 2 3 2" xfId="2657" xr:uid="{779357C1-CAB8-46AD-8E34-52BFE453AF7C}"/>
    <cellStyle name="Comma 5 3 2 2 3 3" xfId="1712" xr:uid="{DC6FEF29-8773-4EEA-BB32-69E1F62E8DA3}"/>
    <cellStyle name="Comma 5 3 2 2 4" xfId="2185" xr:uid="{0A1A684B-EEC8-4C7C-B934-9101EB748103}"/>
    <cellStyle name="Comma 5 3 2 2 5" xfId="1240" xr:uid="{DFAE544F-12F9-412A-9290-A01A1BE8CAB7}"/>
    <cellStyle name="Comma 5 3 2 3" xfId="414" xr:uid="{C5532C7E-87FF-4972-B26D-487BB668F09C}"/>
    <cellStyle name="Comma 5 3 2 3 2" xfId="886" xr:uid="{C327EF6E-C162-427B-A99E-B3C2BF3CB664}"/>
    <cellStyle name="Comma 5 3 2 3 2 2" xfId="2775" xr:uid="{850C707D-525C-4F83-9A14-8AD4ADCAFF64}"/>
    <cellStyle name="Comma 5 3 2 3 2 3" xfId="1830" xr:uid="{7EFA3D32-DE26-464F-B103-5A33C2A2DD02}"/>
    <cellStyle name="Comma 5 3 2 3 3" xfId="2303" xr:uid="{3FDBC116-62E9-4A24-9A83-25532F783A8C}"/>
    <cellStyle name="Comma 5 3 2 3 4" xfId="1358" xr:uid="{EF7B4D43-9AA0-4726-A129-C119D0647D23}"/>
    <cellStyle name="Comma 5 3 2 4" xfId="650" xr:uid="{03EF39A9-57F5-49BC-9EF2-552630FA7B46}"/>
    <cellStyle name="Comma 5 3 2 4 2" xfId="2539" xr:uid="{B24C1318-5564-4E6E-A5E3-E1E84F35763F}"/>
    <cellStyle name="Comma 5 3 2 4 3" xfId="1594" xr:uid="{558301B7-BEF3-4595-8558-8605437C945E}"/>
    <cellStyle name="Comma 5 3 2 5" xfId="2067" xr:uid="{C94AEB96-E029-4E58-BA6A-2AE4F900732A}"/>
    <cellStyle name="Comma 5 3 2 6" xfId="1122" xr:uid="{AA121347-6246-4D26-920A-6405697C1223}"/>
    <cellStyle name="Comma 5 3 3" xfId="237" xr:uid="{956A70D0-5CAE-42F9-A108-9138B5BA0127}"/>
    <cellStyle name="Comma 5 3 3 2" xfId="473" xr:uid="{7C8DBEAD-F886-4A7E-99A5-B96B9CA98D85}"/>
    <cellStyle name="Comma 5 3 3 2 2" xfId="945" xr:uid="{756A5DC6-056E-4B5E-8AC6-9EB41E12161F}"/>
    <cellStyle name="Comma 5 3 3 2 2 2" xfId="2834" xr:uid="{BE9E0103-2DB6-480F-82E2-37AC4FFF796E}"/>
    <cellStyle name="Comma 5 3 3 2 2 3" xfId="1889" xr:uid="{C9595ECF-9F0D-4E6F-BE47-74B08460D2D5}"/>
    <cellStyle name="Comma 5 3 3 2 3" xfId="2362" xr:uid="{B3AA34C6-ABDC-46C9-9CB1-5A9B7828B7B1}"/>
    <cellStyle name="Comma 5 3 3 2 4" xfId="1417" xr:uid="{A2D1853D-BB52-4D35-B788-387616FA57EE}"/>
    <cellStyle name="Comma 5 3 3 3" xfId="709" xr:uid="{5630905D-4FCA-4629-8D29-D7E7827C4AA0}"/>
    <cellStyle name="Comma 5 3 3 3 2" xfId="2598" xr:uid="{4B0BF0F2-6689-4436-B02C-1B71AB2873FE}"/>
    <cellStyle name="Comma 5 3 3 3 3" xfId="1653" xr:uid="{A086A6EC-1874-4AFE-B4EC-B6FCF048E051}"/>
    <cellStyle name="Comma 5 3 3 4" xfId="2126" xr:uid="{B08BBFBE-9318-459B-909D-E0F70E99B8DA}"/>
    <cellStyle name="Comma 5 3 3 5" xfId="1181" xr:uid="{7595D10A-A45A-45BB-A147-F378387CBD75}"/>
    <cellStyle name="Comma 5 3 4" xfId="355" xr:uid="{576AEE65-C0DD-47C7-B69A-6B2A9E5D6F04}"/>
    <cellStyle name="Comma 5 3 4 2" xfId="827" xr:uid="{C5928D80-4F95-40FF-964A-B1B9D1B7C318}"/>
    <cellStyle name="Comma 5 3 4 2 2" xfId="2716" xr:uid="{D2AFDCDB-03A7-43DF-BBF2-3128C22C172E}"/>
    <cellStyle name="Comma 5 3 4 2 3" xfId="1771" xr:uid="{038435B2-8CA1-462D-9D03-42EFB9318D1B}"/>
    <cellStyle name="Comma 5 3 4 3" xfId="2244" xr:uid="{2804AD11-1C67-4B56-AFB5-1F9346BED2E4}"/>
    <cellStyle name="Comma 5 3 4 4" xfId="1299" xr:uid="{C9233F9C-BD41-4F19-B660-5E9394884DDA}"/>
    <cellStyle name="Comma 5 3 5" xfId="591" xr:uid="{A5CD8597-050E-40EA-89B2-9228237003C3}"/>
    <cellStyle name="Comma 5 3 5 2" xfId="2480" xr:uid="{88696C6E-071C-48E4-AF5B-B70D7EB82FF9}"/>
    <cellStyle name="Comma 5 3 5 3" xfId="1535" xr:uid="{1D117F37-4214-4546-85AA-293639B3B746}"/>
    <cellStyle name="Comma 5 3 6" xfId="2008" xr:uid="{EEADE0C2-B366-4072-A113-8E7BFD41009C}"/>
    <cellStyle name="Comma 5 3 7" xfId="1063" xr:uid="{F4AF211D-E7B9-4ABD-83C7-3E165A73661B}"/>
    <cellStyle name="Comma 5 4" xfId="163" xr:uid="{0FEE4997-2FFB-41AE-B1CD-E98B5416E2B6}"/>
    <cellStyle name="Comma 5 4 2" xfId="281" xr:uid="{2895591F-400E-4B19-85BB-A10964DB3789}"/>
    <cellStyle name="Comma 5 4 2 2" xfId="517" xr:uid="{AC2651E1-DBD5-4905-A436-E4337357D8A7}"/>
    <cellStyle name="Comma 5 4 2 2 2" xfId="989" xr:uid="{588E6B3B-0343-43B5-BAEE-2BDFF4C1AB52}"/>
    <cellStyle name="Comma 5 4 2 2 2 2" xfId="2878" xr:uid="{BFBE5CF6-B957-4A9C-97D7-AA07A4B82256}"/>
    <cellStyle name="Comma 5 4 2 2 2 3" xfId="1933" xr:uid="{E9BC7177-D620-431F-857F-EAA87EF2B9BD}"/>
    <cellStyle name="Comma 5 4 2 2 3" xfId="2406" xr:uid="{9C0EF9D3-9557-44E2-BDE2-644D380298A1}"/>
    <cellStyle name="Comma 5 4 2 2 4" xfId="1461" xr:uid="{AE42306C-52CF-44C6-8A0D-28D13DAFE2A3}"/>
    <cellStyle name="Comma 5 4 2 3" xfId="753" xr:uid="{9C9A880B-F378-4D6D-945F-5CB9AAD56F04}"/>
    <cellStyle name="Comma 5 4 2 3 2" xfId="2642" xr:uid="{1D6668A1-D39B-4119-B7E3-78253F3A5A20}"/>
    <cellStyle name="Comma 5 4 2 3 3" xfId="1697" xr:uid="{919760D2-0170-46CC-9325-B12A6ED389B4}"/>
    <cellStyle name="Comma 5 4 2 4" xfId="2170" xr:uid="{24B5DDB8-C095-40F1-A3EC-175BAA1D0D09}"/>
    <cellStyle name="Comma 5 4 2 5" xfId="1225" xr:uid="{3161A63A-ED4C-4F82-A5BE-1981BE7A5830}"/>
    <cellStyle name="Comma 5 4 3" xfId="399" xr:uid="{3EA2A75D-FC07-4582-9E4C-422DD7FC290C}"/>
    <cellStyle name="Comma 5 4 3 2" xfId="871" xr:uid="{4ED1FE32-44B0-489E-BE55-29B4E774160A}"/>
    <cellStyle name="Comma 5 4 3 2 2" xfId="2760" xr:uid="{E4FBD27D-46EB-4C20-B3CC-AA63D1645770}"/>
    <cellStyle name="Comma 5 4 3 2 3" xfId="1815" xr:uid="{F746012E-31CC-4D18-9AFB-F73F90C6D906}"/>
    <cellStyle name="Comma 5 4 3 3" xfId="2288" xr:uid="{4C238DB3-9C0E-42D3-80A5-3B5924506C30}"/>
    <cellStyle name="Comma 5 4 3 4" xfId="1343" xr:uid="{38D8614F-6709-4816-B06C-89A15A191285}"/>
    <cellStyle name="Comma 5 4 4" xfId="635" xr:uid="{873EF30E-5CF8-4339-BE10-439C69D975F9}"/>
    <cellStyle name="Comma 5 4 4 2" xfId="2524" xr:uid="{BA888F59-C0DD-4DF4-8766-6F42E25F009A}"/>
    <cellStyle name="Comma 5 4 4 3" xfId="1579" xr:uid="{6AE2A15A-65FB-49C3-A53E-34664A68AE5A}"/>
    <cellStyle name="Comma 5 4 5" xfId="2052" xr:uid="{DE384A9C-A570-4A3D-BE2E-1C0A8BD87FD4}"/>
    <cellStyle name="Comma 5 4 6" xfId="1107" xr:uid="{E6AF61FD-A268-4F39-A6DA-686B1DC69218}"/>
    <cellStyle name="Comma 5 5" xfId="222" xr:uid="{9B204D18-A4B4-4725-8C5B-B5D82DBBBA53}"/>
    <cellStyle name="Comma 5 5 2" xfId="458" xr:uid="{E8110F41-672E-43B2-A344-20016EEA67F5}"/>
    <cellStyle name="Comma 5 5 2 2" xfId="930" xr:uid="{5457EEC9-6299-41B1-9704-3D634DC20C5A}"/>
    <cellStyle name="Comma 5 5 2 2 2" xfId="2819" xr:uid="{230B32EF-6FD4-4971-8699-F0A4A1EB0854}"/>
    <cellStyle name="Comma 5 5 2 2 3" xfId="1874" xr:uid="{593B9538-7209-4F78-A426-9EC3B11EC1C3}"/>
    <cellStyle name="Comma 5 5 2 3" xfId="2347" xr:uid="{D3FDD5FF-7C4E-4DBF-BB90-B8F4A52592CD}"/>
    <cellStyle name="Comma 5 5 2 4" xfId="1402" xr:uid="{12583D27-DA43-40FF-B6E5-BA56D6E7160D}"/>
    <cellStyle name="Comma 5 5 3" xfId="694" xr:uid="{FDEDE908-F006-496C-93ED-6AFAF6162310}"/>
    <cellStyle name="Comma 5 5 3 2" xfId="2583" xr:uid="{866F3CB3-3C5A-4578-A979-4B9373184D71}"/>
    <cellStyle name="Comma 5 5 3 3" xfId="1638" xr:uid="{543A09AB-9DF6-4C70-9BA9-5EF4E6862166}"/>
    <cellStyle name="Comma 5 5 4" xfId="2111" xr:uid="{00C53EE2-9C99-43E7-91A6-031601F4E6CB}"/>
    <cellStyle name="Comma 5 5 5" xfId="1166" xr:uid="{F0EFE029-0BD1-46C5-AFAF-5F18EEE35EC0}"/>
    <cellStyle name="Comma 5 6" xfId="340" xr:uid="{4D7D870A-4947-4718-B66C-49A87FB0FCEC}"/>
    <cellStyle name="Comma 5 6 2" xfId="812" xr:uid="{7581E67C-58E9-4199-BFCB-99BBC880BC3E}"/>
    <cellStyle name="Comma 5 6 2 2" xfId="2701" xr:uid="{D1E02268-BB0D-48F3-A4E0-EA39768F084B}"/>
    <cellStyle name="Comma 5 6 2 3" xfId="1756" xr:uid="{C3376EF1-0D81-4A8F-AFBF-4A34506185E5}"/>
    <cellStyle name="Comma 5 6 3" xfId="2229" xr:uid="{0511596E-E596-413B-895F-43347903F939}"/>
    <cellStyle name="Comma 5 6 4" xfId="1284" xr:uid="{F3282751-E647-434B-9A11-C8A65E096311}"/>
    <cellStyle name="Comma 5 7" xfId="576" xr:uid="{5FC59CC0-2115-4708-81D5-0C4BF31E762D}"/>
    <cellStyle name="Comma 5 7 2" xfId="2465" xr:uid="{D7CE0985-F13B-45EB-98C5-F1EB0BED88FA}"/>
    <cellStyle name="Comma 5 7 3" xfId="1520" xr:uid="{926EA524-33ED-4522-AFCD-9EC789066FBF}"/>
    <cellStyle name="Comma 5 8" xfId="1993" xr:uid="{DE721F2E-C005-486E-B972-C85F40DFF09A}"/>
    <cellStyle name="Comma 5 9" xfId="1048" xr:uid="{E3ABF666-B1E2-46B5-83A0-536763995A9A}"/>
    <cellStyle name="Comma 6" xfId="97" xr:uid="{00000000-0005-0000-0000-000024000000}"/>
    <cellStyle name="Comma 6 2" xfId="115" xr:uid="{25B92F11-9299-4E27-A114-8586339FAFDC}"/>
    <cellStyle name="Comma 6 2 2" xfId="144" xr:uid="{1F883388-E01F-4221-94C6-E85FCE920D79}"/>
    <cellStyle name="Comma 6 2 2 2" xfId="205" xr:uid="{F47F7F25-F882-4DF8-9A09-1E4BE49E8BFC}"/>
    <cellStyle name="Comma 6 2 2 2 2" xfId="323" xr:uid="{049EFB56-163B-4958-9351-C9DFA2B76914}"/>
    <cellStyle name="Comma 6 2 2 2 2 2" xfId="559" xr:uid="{F34658C5-3C63-4501-B96A-4774D1BBD3E1}"/>
    <cellStyle name="Comma 6 2 2 2 2 2 2" xfId="1031" xr:uid="{BEFB2BF8-D5B8-4AC3-96F1-CD13B7180946}"/>
    <cellStyle name="Comma 6 2 2 2 2 2 2 2" xfId="2920" xr:uid="{ABEB3EFA-D539-4962-A9C6-AC1226FC8CE4}"/>
    <cellStyle name="Comma 6 2 2 2 2 2 2 3" xfId="1975" xr:uid="{5A5B9B1F-50D1-4F58-A27E-6B40B132215D}"/>
    <cellStyle name="Comma 6 2 2 2 2 2 3" xfId="2448" xr:uid="{60DD6FD2-D43C-46E4-928C-F9131512500E}"/>
    <cellStyle name="Comma 6 2 2 2 2 2 4" xfId="1503" xr:uid="{83DF452E-106A-4686-A207-B0EDD407E1BD}"/>
    <cellStyle name="Comma 6 2 2 2 2 3" xfId="795" xr:uid="{4A23A72D-3F41-4335-B5C1-B4F062A5672C}"/>
    <cellStyle name="Comma 6 2 2 2 2 3 2" xfId="2684" xr:uid="{8025D4B6-8AAF-4EAB-9959-A3BF858B6CC8}"/>
    <cellStyle name="Comma 6 2 2 2 2 3 3" xfId="1739" xr:uid="{508C6575-6F9B-41EB-AA41-C3478AC75A57}"/>
    <cellStyle name="Comma 6 2 2 2 2 4" xfId="2212" xr:uid="{73F70F48-5718-4DE9-A8D9-D9BB422940FD}"/>
    <cellStyle name="Comma 6 2 2 2 2 5" xfId="1267" xr:uid="{D273B6C1-B377-4B96-8D8E-B5ADDC594CD9}"/>
    <cellStyle name="Comma 6 2 2 2 3" xfId="441" xr:uid="{4BB4524A-D88D-49FD-ACA2-D1131DE1B6EE}"/>
    <cellStyle name="Comma 6 2 2 2 3 2" xfId="913" xr:uid="{05C70A6C-9E85-47FE-AB34-062785D874F8}"/>
    <cellStyle name="Comma 6 2 2 2 3 2 2" xfId="2802" xr:uid="{9D699121-80F3-4A0C-A546-D500F94A66E2}"/>
    <cellStyle name="Comma 6 2 2 2 3 2 3" xfId="1857" xr:uid="{3407775F-AFF0-42AD-AC36-40B689488D7D}"/>
    <cellStyle name="Comma 6 2 2 2 3 3" xfId="2330" xr:uid="{DA71E960-5B10-4420-A5E2-1A73313D2ABA}"/>
    <cellStyle name="Comma 6 2 2 2 3 4" xfId="1385" xr:uid="{E148BA2B-655D-4878-ADD6-5E57E6829EF2}"/>
    <cellStyle name="Comma 6 2 2 2 4" xfId="677" xr:uid="{FC96E449-127F-4091-9418-6B882B789507}"/>
    <cellStyle name="Comma 6 2 2 2 4 2" xfId="2566" xr:uid="{6A7C2338-625D-4E9B-A8C9-CC868BE36172}"/>
    <cellStyle name="Comma 6 2 2 2 4 3" xfId="1621" xr:uid="{06496069-1937-4A26-91A5-BB620AC8569B}"/>
    <cellStyle name="Comma 6 2 2 2 5" xfId="2094" xr:uid="{D192CB8C-B182-48C7-A2CF-7C41D4CB6181}"/>
    <cellStyle name="Comma 6 2 2 2 6" xfId="1149" xr:uid="{8D4E19CE-AE0B-492F-9EBE-394F8C3FCFDF}"/>
    <cellStyle name="Comma 6 2 2 3" xfId="264" xr:uid="{CD29E6C6-3477-4733-9551-5ED30A512FD2}"/>
    <cellStyle name="Comma 6 2 2 3 2" xfId="500" xr:uid="{D2E14BBE-7B8F-49BA-9785-F475073779F1}"/>
    <cellStyle name="Comma 6 2 2 3 2 2" xfId="972" xr:uid="{E86B1A16-2F5D-4727-99BF-0C24947CDC8B}"/>
    <cellStyle name="Comma 6 2 2 3 2 2 2" xfId="2861" xr:uid="{0C06D65B-5F74-4FF9-80A0-C2A74AAEEC79}"/>
    <cellStyle name="Comma 6 2 2 3 2 2 3" xfId="1916" xr:uid="{1536A776-CF5C-46BE-9722-8AFE33C584D9}"/>
    <cellStyle name="Comma 6 2 2 3 2 3" xfId="2389" xr:uid="{62AFEDC0-46D6-45E7-BF4A-23DB545AE3DA}"/>
    <cellStyle name="Comma 6 2 2 3 2 4" xfId="1444" xr:uid="{09A831AE-F924-4997-B4D6-B7E762F9C26F}"/>
    <cellStyle name="Comma 6 2 2 3 3" xfId="736" xr:uid="{1E3112E7-1BEE-436C-B1F0-1BE2570B4523}"/>
    <cellStyle name="Comma 6 2 2 3 3 2" xfId="2625" xr:uid="{10D4F1C2-DFC6-4AAF-ACC7-B759C7A4CD97}"/>
    <cellStyle name="Comma 6 2 2 3 3 3" xfId="1680" xr:uid="{1E811DA9-0961-4C16-A1AC-A94993DC22E8}"/>
    <cellStyle name="Comma 6 2 2 3 4" xfId="2153" xr:uid="{8E252BA3-6DA1-4B39-8235-EDEF48AC7FD1}"/>
    <cellStyle name="Comma 6 2 2 3 5" xfId="1208" xr:uid="{F2A0DA70-A005-4149-8653-33F2B4EB12A6}"/>
    <cellStyle name="Comma 6 2 2 4" xfId="382" xr:uid="{E443737A-6BF7-44D4-8A26-CE516D8633D0}"/>
    <cellStyle name="Comma 6 2 2 4 2" xfId="854" xr:uid="{0D1C5C53-B4EC-4C72-A392-1AE765668B89}"/>
    <cellStyle name="Comma 6 2 2 4 2 2" xfId="2743" xr:uid="{7C83835C-FDAF-402E-A4B7-F2C5C779AC63}"/>
    <cellStyle name="Comma 6 2 2 4 2 3" xfId="1798" xr:uid="{FE510786-C718-4308-A55F-1DD0EFAEF1C1}"/>
    <cellStyle name="Comma 6 2 2 4 3" xfId="2271" xr:uid="{D4C5DAA7-211F-4B09-9FF6-7DED85E53230}"/>
    <cellStyle name="Comma 6 2 2 4 4" xfId="1326" xr:uid="{58B4427B-253F-426C-A250-A934334D5DC0}"/>
    <cellStyle name="Comma 6 2 2 5" xfId="618" xr:uid="{29B159ED-622E-4129-B2CE-AB0F6B2122F5}"/>
    <cellStyle name="Comma 6 2 2 5 2" xfId="2507" xr:uid="{0FA38FF7-F5C3-4DD6-9338-20EB5F70AF98}"/>
    <cellStyle name="Comma 6 2 2 5 3" xfId="1562" xr:uid="{906322C8-886B-47C3-9A47-52539729856A}"/>
    <cellStyle name="Comma 6 2 2 6" xfId="2035" xr:uid="{C70CBADF-F9C9-4B0D-A648-CE8A3BF20F78}"/>
    <cellStyle name="Comma 6 2 2 7" xfId="1090" xr:uid="{2CC0FDC7-52DE-4359-BAC9-09B7A3C69CF9}"/>
    <cellStyle name="Comma 6 2 3" xfId="130" xr:uid="{5F01E16C-A635-401F-AC7F-96D67A3360B5}"/>
    <cellStyle name="Comma 6 2 3 2" xfId="192" xr:uid="{708189BC-F761-4F0E-BEDA-49EDD9F7C5D1}"/>
    <cellStyle name="Comma 6 2 3 2 2" xfId="310" xr:uid="{1D5D5193-990E-487F-BF04-FCA8D81F5200}"/>
    <cellStyle name="Comma 6 2 3 2 2 2" xfId="546" xr:uid="{B5784D5C-05AE-40C8-BC92-2A0578BD2371}"/>
    <cellStyle name="Comma 6 2 3 2 2 2 2" xfId="1018" xr:uid="{3EF552B5-9C25-420F-B66C-19AD03954375}"/>
    <cellStyle name="Comma 6 2 3 2 2 2 2 2" xfId="2907" xr:uid="{EB9AF066-1B59-4B02-832D-55762637D637}"/>
    <cellStyle name="Comma 6 2 3 2 2 2 2 3" xfId="1962" xr:uid="{F66383C2-3010-4048-ADC6-4DB2A084CA84}"/>
    <cellStyle name="Comma 6 2 3 2 2 2 3" xfId="2435" xr:uid="{2E32F373-FC4C-4A94-AD61-DCAFD653EC6E}"/>
    <cellStyle name="Comma 6 2 3 2 2 2 4" xfId="1490" xr:uid="{8592FABD-3BFA-448C-92D2-17D018951170}"/>
    <cellStyle name="Comma 6 2 3 2 2 3" xfId="782" xr:uid="{E273C2A5-C904-41AF-B13C-C42233D484F6}"/>
    <cellStyle name="Comma 6 2 3 2 2 3 2" xfId="2671" xr:uid="{25BEC87D-9475-4B87-9E24-EF9EE49E7A2A}"/>
    <cellStyle name="Comma 6 2 3 2 2 3 3" xfId="1726" xr:uid="{E2E16411-5947-4B0D-9AC4-B06F947E3FE6}"/>
    <cellStyle name="Comma 6 2 3 2 2 4" xfId="2199" xr:uid="{D8E61EEF-ACFC-436D-A55C-FD0B21C63FC7}"/>
    <cellStyle name="Comma 6 2 3 2 2 5" xfId="1254" xr:uid="{22EBE169-BD29-4CDE-9A7C-5D9A5A27CF82}"/>
    <cellStyle name="Comma 6 2 3 2 3" xfId="428" xr:uid="{07956EDF-2D5B-4E92-A065-284E9CDCB371}"/>
    <cellStyle name="Comma 6 2 3 2 3 2" xfId="900" xr:uid="{28E70398-2731-41A5-8873-5727C7C57C3E}"/>
    <cellStyle name="Comma 6 2 3 2 3 2 2" xfId="2789" xr:uid="{761C2049-2960-48C7-9BBC-78B3BF66996F}"/>
    <cellStyle name="Comma 6 2 3 2 3 2 3" xfId="1844" xr:uid="{AE109ECC-EC73-4C14-8CF9-95B2B1E730F3}"/>
    <cellStyle name="Comma 6 2 3 2 3 3" xfId="2317" xr:uid="{B1B330E7-E3BF-4A9A-AEC7-CFD3D7EE0DC5}"/>
    <cellStyle name="Comma 6 2 3 2 3 4" xfId="1372" xr:uid="{3076DFC9-F508-4F69-8DBD-E81F9E35364C}"/>
    <cellStyle name="Comma 6 2 3 2 4" xfId="664" xr:uid="{F23BC794-31EB-4326-858D-101D338F6342}"/>
    <cellStyle name="Comma 6 2 3 2 4 2" xfId="2553" xr:uid="{E1C8A84B-06CD-4E30-8713-2175591F3CF2}"/>
    <cellStyle name="Comma 6 2 3 2 4 3" xfId="1608" xr:uid="{04CE210A-15E5-41FA-A2BE-FD59F7C2BAE3}"/>
    <cellStyle name="Comma 6 2 3 2 5" xfId="2081" xr:uid="{C45FA16A-E900-4C56-BE24-B146F4A756E1}"/>
    <cellStyle name="Comma 6 2 3 2 6" xfId="1136" xr:uid="{833BE470-9D56-4EDC-A752-CCDBD7FB9574}"/>
    <cellStyle name="Comma 6 2 3 3" xfId="251" xr:uid="{8959A721-A4C4-4484-8810-FF388E3C9950}"/>
    <cellStyle name="Comma 6 2 3 3 2" xfId="487" xr:uid="{0875F6B7-3F85-4E02-BE5E-203DFBEBA4C6}"/>
    <cellStyle name="Comma 6 2 3 3 2 2" xfId="959" xr:uid="{97F278A2-485C-48A9-A210-34CDB500011B}"/>
    <cellStyle name="Comma 6 2 3 3 2 2 2" xfId="2848" xr:uid="{FB8FE3FF-9150-4EC9-9711-5207D75608AC}"/>
    <cellStyle name="Comma 6 2 3 3 2 2 3" xfId="1903" xr:uid="{03DFC5C1-B9DF-4930-A407-68875696779D}"/>
    <cellStyle name="Comma 6 2 3 3 2 3" xfId="2376" xr:uid="{CACEC8C8-FF90-4F51-8B4A-8E9B5B71549D}"/>
    <cellStyle name="Comma 6 2 3 3 2 4" xfId="1431" xr:uid="{54213359-A092-4990-9E82-26DD2B112BE3}"/>
    <cellStyle name="Comma 6 2 3 3 3" xfId="723" xr:uid="{820CA571-9665-4E74-B079-9A4651322A4B}"/>
    <cellStyle name="Comma 6 2 3 3 3 2" xfId="2612" xr:uid="{4E70833A-EBDB-4847-8458-8444CF2EF745}"/>
    <cellStyle name="Comma 6 2 3 3 3 3" xfId="1667" xr:uid="{DBC5216F-2B71-4A94-BC38-A492179B7B09}"/>
    <cellStyle name="Comma 6 2 3 3 4" xfId="2140" xr:uid="{FD4F67B4-2B36-4B66-875C-6A03E93124CA}"/>
    <cellStyle name="Comma 6 2 3 3 5" xfId="1195" xr:uid="{AA435721-F138-4C1F-BE12-140D65170A1C}"/>
    <cellStyle name="Comma 6 2 3 4" xfId="369" xr:uid="{BA41F71C-1F4A-49DE-A717-CEFE9C4F6ABC}"/>
    <cellStyle name="Comma 6 2 3 4 2" xfId="841" xr:uid="{C05B4759-E7C0-45A7-A27D-470F21DCCBDF}"/>
    <cellStyle name="Comma 6 2 3 4 2 2" xfId="2730" xr:uid="{F8A97756-67E6-4C6B-80E3-EE94E2DB58F1}"/>
    <cellStyle name="Comma 6 2 3 4 2 3" xfId="1785" xr:uid="{FC424208-C249-4757-9F6B-5A592C928B29}"/>
    <cellStyle name="Comma 6 2 3 4 3" xfId="2258" xr:uid="{8F0E26CC-C40C-4DB2-8D2D-366BFE748D36}"/>
    <cellStyle name="Comma 6 2 3 4 4" xfId="1313" xr:uid="{0E121261-34D4-46D2-8D5C-1EE3DCE0009D}"/>
    <cellStyle name="Comma 6 2 3 5" xfId="605" xr:uid="{43615DBE-5567-46A1-AA59-3FA75FCF7338}"/>
    <cellStyle name="Comma 6 2 3 5 2" xfId="2494" xr:uid="{C27708D6-ABC8-4D1C-BA0F-9C45BB033D73}"/>
    <cellStyle name="Comma 6 2 3 5 3" xfId="1549" xr:uid="{AC89ECE1-9E6F-49DB-ACC9-7BC03A0C8BCB}"/>
    <cellStyle name="Comma 6 2 3 6" xfId="2022" xr:uid="{E2C3D540-8D82-4703-B80C-C7F393F54E6A}"/>
    <cellStyle name="Comma 6 2 3 7" xfId="1077" xr:uid="{A4F9A48E-8FCB-42CA-BBB3-4B9F0A4BEEFC}"/>
    <cellStyle name="Comma 6 2 4" xfId="177" xr:uid="{B10A82B7-E1A0-4B88-9F96-EB0683EB65A9}"/>
    <cellStyle name="Comma 6 2 4 2" xfId="295" xr:uid="{6C5E8D1A-B8BE-48D1-A79A-2344F857E440}"/>
    <cellStyle name="Comma 6 2 4 2 2" xfId="531" xr:uid="{B29B14A2-8C8C-4BBB-9E29-15C4282E216F}"/>
    <cellStyle name="Comma 6 2 4 2 2 2" xfId="1003" xr:uid="{D4B46E2F-823E-4BC5-A190-2BAC42F2083C}"/>
    <cellStyle name="Comma 6 2 4 2 2 2 2" xfId="2892" xr:uid="{09F618DF-23E1-49D2-9B77-A7E3F297B137}"/>
    <cellStyle name="Comma 6 2 4 2 2 2 3" xfId="1947" xr:uid="{236DE964-09C9-42AB-84E4-4C947A5E01AC}"/>
    <cellStyle name="Comma 6 2 4 2 2 3" xfId="2420" xr:uid="{CDCD73CB-CDF2-4ACD-9ADC-41840F5BDEF7}"/>
    <cellStyle name="Comma 6 2 4 2 2 4" xfId="1475" xr:uid="{614F9A1B-65BC-4E68-BECA-AE75C292B30E}"/>
    <cellStyle name="Comma 6 2 4 2 3" xfId="767" xr:uid="{E33F7DB5-6BF6-4B00-A995-4ED967B81E7A}"/>
    <cellStyle name="Comma 6 2 4 2 3 2" xfId="2656" xr:uid="{A244485E-B528-4437-A929-0BF95B7BF165}"/>
    <cellStyle name="Comma 6 2 4 2 3 3" xfId="1711" xr:uid="{F264C6C7-AF6F-4025-AE2A-B99A8D5AB3D5}"/>
    <cellStyle name="Comma 6 2 4 2 4" xfId="2184" xr:uid="{77E5766C-65F0-41E5-B474-E293AE659F19}"/>
    <cellStyle name="Comma 6 2 4 2 5" xfId="1239" xr:uid="{9654AFDA-7D3A-48E4-A38B-A5CA608618E6}"/>
    <cellStyle name="Comma 6 2 4 3" xfId="413" xr:uid="{E9A76205-09B5-4585-A8E7-9EA62038B8C2}"/>
    <cellStyle name="Comma 6 2 4 3 2" xfId="885" xr:uid="{E6B76A50-CCBE-436B-BBF4-C2247D917597}"/>
    <cellStyle name="Comma 6 2 4 3 2 2" xfId="2774" xr:uid="{2E373E48-890E-4B46-B106-A60116184985}"/>
    <cellStyle name="Comma 6 2 4 3 2 3" xfId="1829" xr:uid="{6C36E7B6-80B6-4B40-B152-5AC661E1D73A}"/>
    <cellStyle name="Comma 6 2 4 3 3" xfId="2302" xr:uid="{BF65CC7E-43AB-4635-82FB-4D58B4FC5C3E}"/>
    <cellStyle name="Comma 6 2 4 3 4" xfId="1357" xr:uid="{FBCACC7A-6F87-42C9-9906-CD4FD865C0F1}"/>
    <cellStyle name="Comma 6 2 4 4" xfId="649" xr:uid="{64F870EC-91D0-4699-A9AC-FCEA65896126}"/>
    <cellStyle name="Comma 6 2 4 4 2" xfId="2538" xr:uid="{0C7317BD-C8EA-402B-A2A7-AE505342C29B}"/>
    <cellStyle name="Comma 6 2 4 4 3" xfId="1593" xr:uid="{C6297D26-5A7C-43ED-9634-C6D2C5360380}"/>
    <cellStyle name="Comma 6 2 4 5" xfId="2066" xr:uid="{169B1BB4-C039-4E6E-93BF-CE69FF3A2040}"/>
    <cellStyle name="Comma 6 2 4 6" xfId="1121" xr:uid="{1EBAF06E-E91D-4968-B258-E9695D22FB83}"/>
    <cellStyle name="Comma 6 2 5" xfId="236" xr:uid="{6C0055A8-BC1A-48E6-84F4-A7772A2516B7}"/>
    <cellStyle name="Comma 6 2 5 2" xfId="472" xr:uid="{7E50D17B-DD70-4417-BE15-95029ABB840B}"/>
    <cellStyle name="Comma 6 2 5 2 2" xfId="944" xr:uid="{7D0C39B9-09E6-477D-9F35-9ED704B9327A}"/>
    <cellStyle name="Comma 6 2 5 2 2 2" xfId="2833" xr:uid="{64E7E633-2657-4714-A72D-2EB69B108E3C}"/>
    <cellStyle name="Comma 6 2 5 2 2 3" xfId="1888" xr:uid="{1EC29F1A-2496-4D4A-BB91-751257BAAE9E}"/>
    <cellStyle name="Comma 6 2 5 2 3" xfId="2361" xr:uid="{7D33E347-F3C4-43F2-90E2-B9140122FAE4}"/>
    <cellStyle name="Comma 6 2 5 2 4" xfId="1416" xr:uid="{74CDF0FA-FE8E-4C25-8E86-928FD4F315E5}"/>
    <cellStyle name="Comma 6 2 5 3" xfId="708" xr:uid="{5384AAB6-CC2C-4E29-97CA-B1512F36A1B5}"/>
    <cellStyle name="Comma 6 2 5 3 2" xfId="2597" xr:uid="{47A64B59-D9FB-46DB-B1D7-C1B4F574A972}"/>
    <cellStyle name="Comma 6 2 5 3 3" xfId="1652" xr:uid="{DBCE1FEB-4779-4D41-BA03-083849E454FF}"/>
    <cellStyle name="Comma 6 2 5 4" xfId="2125" xr:uid="{FB436D15-6CB0-4367-A8D6-C7C430AA7A8B}"/>
    <cellStyle name="Comma 6 2 5 5" xfId="1180" xr:uid="{7C7B7607-6467-4B4F-BC68-1E2A9B948BCA}"/>
    <cellStyle name="Comma 6 2 6" xfId="354" xr:uid="{80D37B22-59A8-4ADA-B94B-FD9F6F4A5A5F}"/>
    <cellStyle name="Comma 6 2 6 2" xfId="826" xr:uid="{6ED6A366-6AA3-4189-9B02-A25A3AFBDDA6}"/>
    <cellStyle name="Comma 6 2 6 2 2" xfId="2715" xr:uid="{E2BB92B0-28CF-4081-AF89-6B68F4CEB528}"/>
    <cellStyle name="Comma 6 2 6 2 3" xfId="1770" xr:uid="{4F18A0AD-ECB1-4EA3-8C0B-90AEEEDAB289}"/>
    <cellStyle name="Comma 6 2 6 3" xfId="2243" xr:uid="{9660890A-18F4-4C3D-AFDE-3B95EED3BB65}"/>
    <cellStyle name="Comma 6 2 6 4" xfId="1298" xr:uid="{B38FD123-591B-44F4-941B-264FB962D904}"/>
    <cellStyle name="Comma 6 2 7" xfId="590" xr:uid="{6308B691-ADC9-4DC9-8605-3052BE18196E}"/>
    <cellStyle name="Comma 6 2 7 2" xfId="2479" xr:uid="{EDE53BE2-D9B5-41D5-AFF9-19F6D2E5001F}"/>
    <cellStyle name="Comma 6 2 7 3" xfId="1534" xr:uid="{2DBE8D62-EEF2-468C-9F18-DCE6B80F93BF}"/>
    <cellStyle name="Comma 6 2 8" xfId="2007" xr:uid="{971006EA-DDA9-47B4-95C3-78C6CE6279FF}"/>
    <cellStyle name="Comma 6 2 9" xfId="1062" xr:uid="{0A3E0059-1DBD-4711-8694-EA5D4F953C32}"/>
    <cellStyle name="Comma 6 3" xfId="156" xr:uid="{9957C316-A7C3-4854-B17D-4EB47EA852B1}"/>
    <cellStyle name="Comma 6 3 2" xfId="215" xr:uid="{6DADC13B-F9D9-4A51-835D-8A740794A6A0}"/>
    <cellStyle name="Comma 6 3 2 2" xfId="333" xr:uid="{B969C866-99E7-4B2C-8DC8-36DE3FEC3ABF}"/>
    <cellStyle name="Comma 6 3 2 2 2" xfId="569" xr:uid="{13022150-9495-4EC8-A3F6-6A02AD8A2504}"/>
    <cellStyle name="Comma 6 3 2 2 2 2" xfId="1041" xr:uid="{111EA736-7076-4714-9A6D-ADA0759BFC84}"/>
    <cellStyle name="Comma 6 3 2 2 2 2 2" xfId="2930" xr:uid="{A2C83873-BA3E-4F2B-989C-7D1F90290331}"/>
    <cellStyle name="Comma 6 3 2 2 2 2 3" xfId="1985" xr:uid="{F60D6A7B-0656-4E03-AC73-6108924F88BE}"/>
    <cellStyle name="Comma 6 3 2 2 2 3" xfId="2458" xr:uid="{4FAC46C5-F6A1-4FB2-948E-28BF9BE53C55}"/>
    <cellStyle name="Comma 6 3 2 2 2 4" xfId="1513" xr:uid="{D5F565B4-55AF-492C-95F1-3B8A2C91A4E8}"/>
    <cellStyle name="Comma 6 3 2 2 3" xfId="805" xr:uid="{716FC656-5698-4D32-ADF8-95668DA93D1F}"/>
    <cellStyle name="Comma 6 3 2 2 3 2" xfId="2694" xr:uid="{68C03E38-1693-47F3-801B-5F4A6B25A67E}"/>
    <cellStyle name="Comma 6 3 2 2 3 3" xfId="1749" xr:uid="{9E292F0C-6FB4-4EC5-B97E-C8C526432306}"/>
    <cellStyle name="Comma 6 3 2 2 4" xfId="2222" xr:uid="{F4A15045-FF3C-4696-A28A-38A4ACB2C2F0}"/>
    <cellStyle name="Comma 6 3 2 2 5" xfId="1277" xr:uid="{A724734A-A6CA-484A-A66F-D1EAD9FE1697}"/>
    <cellStyle name="Comma 6 3 2 3" xfId="451" xr:uid="{B251F79E-86C4-48F6-852A-D11C3D7E7560}"/>
    <cellStyle name="Comma 6 3 2 3 2" xfId="923" xr:uid="{139102B5-3CA1-457F-9FE3-0EE7ED7852B2}"/>
    <cellStyle name="Comma 6 3 2 3 2 2" xfId="2812" xr:uid="{2876FBDE-8C4C-43B0-82DA-4E982D747392}"/>
    <cellStyle name="Comma 6 3 2 3 2 3" xfId="1867" xr:uid="{DB4BD9C7-ECA9-43DE-9D73-D9BE137435A7}"/>
    <cellStyle name="Comma 6 3 2 3 3" xfId="2340" xr:uid="{FB3F8EE0-A5A2-422C-B369-27B050E15824}"/>
    <cellStyle name="Comma 6 3 2 3 4" xfId="1395" xr:uid="{EFE0CA4D-959F-42FD-BF54-5778326E7576}"/>
    <cellStyle name="Comma 6 3 2 4" xfId="687" xr:uid="{74F1D480-CFDD-4FB7-9676-88DE452A6F72}"/>
    <cellStyle name="Comma 6 3 2 4 2" xfId="2576" xr:uid="{48512183-64B6-4382-A66C-FB22C60490FB}"/>
    <cellStyle name="Comma 6 3 2 4 3" xfId="1631" xr:uid="{2E10132C-546B-4FBE-A704-19A28E42661A}"/>
    <cellStyle name="Comma 6 3 2 5" xfId="2104" xr:uid="{2059FE8C-5553-4A0F-9FAC-3EF4DF9B98A1}"/>
    <cellStyle name="Comma 6 3 2 6" xfId="1159" xr:uid="{7C0D6A41-0AE8-41AC-BE5A-4191EA32BBCB}"/>
    <cellStyle name="Comma 6 3 3" xfId="274" xr:uid="{758A838C-C04D-4A8A-B831-A482AE6F22A5}"/>
    <cellStyle name="Comma 6 3 3 2" xfId="510" xr:uid="{F0870757-082C-414E-B5E0-606BE26176F2}"/>
    <cellStyle name="Comma 6 3 3 2 2" xfId="982" xr:uid="{37CA9FF5-F337-4071-9D3D-8FA26AACD88F}"/>
    <cellStyle name="Comma 6 3 3 2 2 2" xfId="2871" xr:uid="{9D9C1552-C370-4331-B5BA-80E22FE36DC9}"/>
    <cellStyle name="Comma 6 3 3 2 2 3" xfId="1926" xr:uid="{D01095F6-7EB3-40B0-86C5-EC4FB0824C7F}"/>
    <cellStyle name="Comma 6 3 3 2 3" xfId="2399" xr:uid="{99BE69F5-44BF-4BA5-83AA-8F679BB3F61B}"/>
    <cellStyle name="Comma 6 3 3 2 4" xfId="1454" xr:uid="{451E95A4-A243-4938-AD3D-1B4702489AF5}"/>
    <cellStyle name="Comma 6 3 3 3" xfId="746" xr:uid="{D38FA853-E197-492F-A28C-3AEC21A68096}"/>
    <cellStyle name="Comma 6 3 3 3 2" xfId="2635" xr:uid="{FB865E10-C0B3-4019-93C2-D7C186C8AF22}"/>
    <cellStyle name="Comma 6 3 3 3 3" xfId="1690" xr:uid="{356C42AF-FBD9-4D39-8788-305DF8026F8F}"/>
    <cellStyle name="Comma 6 3 3 4" xfId="2163" xr:uid="{9066AE6C-19C4-4758-8A31-022FC9F1D70D}"/>
    <cellStyle name="Comma 6 3 3 5" xfId="1218" xr:uid="{2A06F941-9322-4C94-945F-C8E691C110A5}"/>
    <cellStyle name="Comma 6 3 4" xfId="392" xr:uid="{F96B8CFD-30D9-49C0-A2B0-026927E774B3}"/>
    <cellStyle name="Comma 6 3 4 2" xfId="864" xr:uid="{0C2AE601-FD1D-4086-A0C7-37D903DF4D2C}"/>
    <cellStyle name="Comma 6 3 4 2 2" xfId="2753" xr:uid="{B573AE63-265D-4265-ACAC-92EA45703811}"/>
    <cellStyle name="Comma 6 3 4 2 3" xfId="1808" xr:uid="{323C7C0F-142B-488E-AC3A-91459D40D2B7}"/>
    <cellStyle name="Comma 6 3 4 3" xfId="2281" xr:uid="{B950BE95-1D0E-49C8-95AE-FEC382291BBF}"/>
    <cellStyle name="Comma 6 3 4 4" xfId="1336" xr:uid="{C6AA098D-162E-4022-9E80-FCE4F179AB30}"/>
    <cellStyle name="Comma 6 3 5" xfId="628" xr:uid="{79E3CE4B-2398-49D6-81D5-4634AD3513BF}"/>
    <cellStyle name="Comma 6 3 5 2" xfId="2517" xr:uid="{33EFABB5-BDD9-4CC2-894B-0A0451446623}"/>
    <cellStyle name="Comma 6 3 5 3" xfId="1572" xr:uid="{BE0784D8-5993-4EA0-A456-B4DF63B0636B}"/>
    <cellStyle name="Comma 6 3 6" xfId="2045" xr:uid="{647B663B-F82C-4A78-A7B8-A48882C8E520}"/>
    <cellStyle name="Comma 6 3 7" xfId="1100" xr:uid="{8A98A48A-9BF1-46EF-8DD9-D9B2B68918DE}"/>
    <cellStyle name="Currency" xfId="5" builtinId="4" hidden="1"/>
    <cellStyle name="Currency [0]" xfId="6" builtinId="7" hidden="1"/>
    <cellStyle name="Explanatory Text" xfId="22" builtinId="53" hidden="1"/>
    <cellStyle name="FldHeading" xfId="78" xr:uid="{00000000-0005-0000-0000-000028000000}"/>
    <cellStyle name="Good" xfId="12" builtinId="26" hidden="1"/>
    <cellStyle name="Heading 1" xfId="8" builtinId="16" hidden="1"/>
    <cellStyle name="Heading 1" xfId="100" xr:uid="{00000000-0005-0000-0000-00002C000000}"/>
    <cellStyle name="Heading 1 2" xfId="153" xr:uid="{2FDEF9FE-6C84-4EED-BF7C-A22B95B7966F}"/>
    <cellStyle name="Heading 2" xfId="9" builtinId="17" hidden="1"/>
    <cellStyle name="Heading 3" xfId="10" builtinId="18" hidden="1"/>
    <cellStyle name="Heading 4" xfId="11" builtinId="19" hidden="1"/>
    <cellStyle name="Hyperlink" xfId="2" builtinId="8" hidden="1"/>
    <cellStyle name="InCom" xfId="60" xr:uid="{00000000-0005-0000-0000-000032000000}"/>
    <cellStyle name="InDate" xfId="58" xr:uid="{00000000-0005-0000-0000-000033000000}"/>
    <cellStyle name="InDateShort" xfId="59" xr:uid="{00000000-0005-0000-0000-000034000000}"/>
    <cellStyle name="InGen" xfId="51" xr:uid="{00000000-0005-0000-0000-000035000000}"/>
    <cellStyle name="InGenDrop" xfId="52" xr:uid="{00000000-0005-0000-0000-000036000000}"/>
    <cellStyle name="InNum0dp" xfId="53" xr:uid="{00000000-0005-0000-0000-000037000000}"/>
    <cellStyle name="InNum2dp" xfId="54" xr:uid="{00000000-0005-0000-0000-000038000000}"/>
    <cellStyle name="InNum2dp 2" xfId="85" xr:uid="{00000000-0005-0000-0000-000039000000}"/>
    <cellStyle name="InNum2dp 2 2" xfId="90" xr:uid="{00000000-0005-0000-0000-00003A000000}"/>
    <cellStyle name="InNum2dp 2 2 2" xfId="110" xr:uid="{CAAAA401-7C4F-4EE2-8954-25A356F2EBB8}"/>
    <cellStyle name="InNum2dp 2 2 2 2" xfId="137" xr:uid="{9CFE6EDD-84C4-4DA1-8ED5-57CECAD0D5B1}"/>
    <cellStyle name="InNum2dp 2 2 2 2 2" xfId="199" xr:uid="{0278493E-8624-44EC-96B0-F63F9718E3BB}"/>
    <cellStyle name="InNum2dp 2 2 2 2 2 2" xfId="317" xr:uid="{1933B06B-0281-49B8-90F2-B030C03D8813}"/>
    <cellStyle name="InNum2dp 2 2 2 2 2 2 2" xfId="553" xr:uid="{102333B2-A721-4E65-AADB-F4090B8B1CB0}"/>
    <cellStyle name="InNum2dp 2 2 2 2 2 2 2 2" xfId="1025" xr:uid="{A7A14F55-3E0E-41F7-9BD3-478889B2E3B1}"/>
    <cellStyle name="InNum2dp 2 2 2 2 2 2 2 2 2" xfId="2914" xr:uid="{1AC04278-824A-4AE2-AEE9-3F3913C95671}"/>
    <cellStyle name="InNum2dp 2 2 2 2 2 2 2 2 3" xfId="1969" xr:uid="{68185481-F7F4-456F-AE4F-FC657D732FDF}"/>
    <cellStyle name="InNum2dp 2 2 2 2 2 2 2 3" xfId="2442" xr:uid="{96A54D51-E8A1-4A34-BC70-1813DBDA697F}"/>
    <cellStyle name="InNum2dp 2 2 2 2 2 2 2 4" xfId="1497" xr:uid="{7FC409A6-EA1A-4B4E-992B-B698F4E6F460}"/>
    <cellStyle name="InNum2dp 2 2 2 2 2 2 3" xfId="789" xr:uid="{96571D68-5B09-485F-8509-ED142F8DA3F6}"/>
    <cellStyle name="InNum2dp 2 2 2 2 2 2 3 2" xfId="2678" xr:uid="{4DA5C587-94C1-4C16-A098-5853FC7F26F4}"/>
    <cellStyle name="InNum2dp 2 2 2 2 2 2 3 3" xfId="1733" xr:uid="{381D9490-497A-41F4-AD8D-FD13F188064D}"/>
    <cellStyle name="InNum2dp 2 2 2 2 2 2 4" xfId="2206" xr:uid="{7EFBA494-13E2-4DDD-AAA2-19D160FF38FA}"/>
    <cellStyle name="InNum2dp 2 2 2 2 2 2 5" xfId="1261" xr:uid="{75EF1AE7-217D-4119-885F-398E4397FDED}"/>
    <cellStyle name="InNum2dp 2 2 2 2 2 3" xfId="435" xr:uid="{1E8D159F-C6AD-46D6-8C7D-002D40B047E5}"/>
    <cellStyle name="InNum2dp 2 2 2 2 2 3 2" xfId="907" xr:uid="{C87E0466-BB46-4C85-86F4-A895BD8338AC}"/>
    <cellStyle name="InNum2dp 2 2 2 2 2 3 2 2" xfId="2796" xr:uid="{86900FF3-7183-47BB-AD6E-6D6B1B02D0A4}"/>
    <cellStyle name="InNum2dp 2 2 2 2 2 3 2 3" xfId="1851" xr:uid="{24897A67-0E79-4516-AFEE-8AFA0543829A}"/>
    <cellStyle name="InNum2dp 2 2 2 2 2 3 3" xfId="2324" xr:uid="{CB78C6EA-71C8-4600-8407-D54527BAE378}"/>
    <cellStyle name="InNum2dp 2 2 2 2 2 3 4" xfId="1379" xr:uid="{239381A3-4620-4CB1-B069-763B65039261}"/>
    <cellStyle name="InNum2dp 2 2 2 2 2 4" xfId="671" xr:uid="{23C95866-56BF-4DBB-896B-870749851407}"/>
    <cellStyle name="InNum2dp 2 2 2 2 2 4 2" xfId="2560" xr:uid="{976D0301-316C-4AD2-9C51-CD4483A7C82A}"/>
    <cellStyle name="InNum2dp 2 2 2 2 2 4 3" xfId="1615" xr:uid="{3DE4D2C4-E581-4CF4-BE69-7600FD5AD99E}"/>
    <cellStyle name="InNum2dp 2 2 2 2 2 5" xfId="2088" xr:uid="{1C60C67E-4477-4A3A-915A-9D14E8428E54}"/>
    <cellStyle name="InNum2dp 2 2 2 2 2 6" xfId="1143" xr:uid="{E56FABCB-7869-4370-B29A-11AF45F889F9}"/>
    <cellStyle name="InNum2dp 2 2 2 2 3" xfId="258" xr:uid="{A2EA44B0-F7C5-4AA1-90BD-06132721BEE6}"/>
    <cellStyle name="InNum2dp 2 2 2 2 3 2" xfId="494" xr:uid="{82BECA32-CD96-4FF1-9D2C-881CD8D1D60D}"/>
    <cellStyle name="InNum2dp 2 2 2 2 3 2 2" xfId="966" xr:uid="{CF42D129-8F04-4953-9FA1-C3F000FD342C}"/>
    <cellStyle name="InNum2dp 2 2 2 2 3 2 2 2" xfId="2855" xr:uid="{504E90E4-D273-408B-8092-EE4DDA22FA7A}"/>
    <cellStyle name="InNum2dp 2 2 2 2 3 2 2 3" xfId="1910" xr:uid="{D6E8617B-F045-42F7-AE30-54F6B60955F6}"/>
    <cellStyle name="InNum2dp 2 2 2 2 3 2 3" xfId="2383" xr:uid="{0801E02C-97A7-44C2-9108-CEF1EB9C6093}"/>
    <cellStyle name="InNum2dp 2 2 2 2 3 2 4" xfId="1438" xr:uid="{A90322B1-6E6F-440D-A1A2-49C9689FFABE}"/>
    <cellStyle name="InNum2dp 2 2 2 2 3 3" xfId="730" xr:uid="{812F055A-F2E2-4C94-A720-B72B33B8730D}"/>
    <cellStyle name="InNum2dp 2 2 2 2 3 3 2" xfId="2619" xr:uid="{92B112B2-F262-4125-AE19-06FA9B909BB6}"/>
    <cellStyle name="InNum2dp 2 2 2 2 3 3 3" xfId="1674" xr:uid="{CDC3FE98-A629-4202-A08F-097A4EC9FC98}"/>
    <cellStyle name="InNum2dp 2 2 2 2 3 4" xfId="2147" xr:uid="{57350D96-A670-403C-AEB3-4DC9FEC68BBC}"/>
    <cellStyle name="InNum2dp 2 2 2 2 3 5" xfId="1202" xr:uid="{78597379-A2D6-41C3-B5F7-7EB742137E5F}"/>
    <cellStyle name="InNum2dp 2 2 2 2 4" xfId="376" xr:uid="{288DF15C-3694-4DDF-82FB-C876D0F4E2F9}"/>
    <cellStyle name="InNum2dp 2 2 2 2 4 2" xfId="848" xr:uid="{9570CA19-25D3-479D-A03A-2F1B5A83E270}"/>
    <cellStyle name="InNum2dp 2 2 2 2 4 2 2" xfId="2737" xr:uid="{51ED702E-F2DD-4F63-932E-EFF791156F04}"/>
    <cellStyle name="InNum2dp 2 2 2 2 4 2 3" xfId="1792" xr:uid="{FC3B19DC-6236-4725-8301-EC421A4F96B4}"/>
    <cellStyle name="InNum2dp 2 2 2 2 4 3" xfId="2265" xr:uid="{A9F28635-5D26-48B6-ACD3-6265B80CFC0D}"/>
    <cellStyle name="InNum2dp 2 2 2 2 4 4" xfId="1320" xr:uid="{9C2F6280-F188-497D-9494-C5C2EDB7138F}"/>
    <cellStyle name="InNum2dp 2 2 2 2 5" xfId="612" xr:uid="{F28B9E33-EBEE-433D-B2A8-2E1C65C2AA8D}"/>
    <cellStyle name="InNum2dp 2 2 2 2 5 2" xfId="2501" xr:uid="{A26B2B85-B22C-4839-9C99-3FC533DE5A8A}"/>
    <cellStyle name="InNum2dp 2 2 2 2 5 3" xfId="1556" xr:uid="{CA07EAB6-7C9A-4CCE-BC0D-8B1A451A1BA6}"/>
    <cellStyle name="InNum2dp 2 2 2 2 6" xfId="2029" xr:uid="{C7703B2A-78F8-4EC2-869F-AF7DC4B6801E}"/>
    <cellStyle name="InNum2dp 2 2 2 2 7" xfId="1084" xr:uid="{7814A13E-C60D-40E6-BE1F-5CBF1D8EC18B}"/>
    <cellStyle name="InNum2dp 2 2 2 3" xfId="125" xr:uid="{5C6609B3-4022-400B-8998-F5BF8BB1DFB6}"/>
    <cellStyle name="InNum2dp 2 2 2 3 2" xfId="187" xr:uid="{DF754434-D4AB-4346-B137-2F401AA49ABC}"/>
    <cellStyle name="InNum2dp 2 2 2 3 2 2" xfId="305" xr:uid="{A0FA0C00-4FEA-4EC6-AEC3-C8E3EE4A5CA3}"/>
    <cellStyle name="InNum2dp 2 2 2 3 2 2 2" xfId="541" xr:uid="{F4D58F06-A94F-4AA2-B667-044BE2F6FC1B}"/>
    <cellStyle name="InNum2dp 2 2 2 3 2 2 2 2" xfId="1013" xr:uid="{C9D06BEB-EB86-44BC-846A-97DED07013D8}"/>
    <cellStyle name="InNum2dp 2 2 2 3 2 2 2 2 2" xfId="2902" xr:uid="{F25ACBF7-5F37-4DF6-97EA-B98D4CE28D4E}"/>
    <cellStyle name="InNum2dp 2 2 2 3 2 2 2 2 3" xfId="1957" xr:uid="{D33562C6-0365-4DFD-A99D-72614426123B}"/>
    <cellStyle name="InNum2dp 2 2 2 3 2 2 2 3" xfId="2430" xr:uid="{C2FF806C-4560-4C36-8CF8-E23CB64CEC49}"/>
    <cellStyle name="InNum2dp 2 2 2 3 2 2 2 4" xfId="1485" xr:uid="{D9BFFC8B-B539-4F7A-957A-1D41D002A6BE}"/>
    <cellStyle name="InNum2dp 2 2 2 3 2 2 3" xfId="777" xr:uid="{934D67DA-AB5B-4CF2-8E9C-E16CC484B193}"/>
    <cellStyle name="InNum2dp 2 2 2 3 2 2 3 2" xfId="2666" xr:uid="{31B95B8F-05F7-42CF-A2D0-CE60DCEB241F}"/>
    <cellStyle name="InNum2dp 2 2 2 3 2 2 3 3" xfId="1721" xr:uid="{C2081018-9B9C-4786-AC40-58D63F4AA675}"/>
    <cellStyle name="InNum2dp 2 2 2 3 2 2 4" xfId="2194" xr:uid="{17DD0393-1DA9-4CA4-9214-2586872E4875}"/>
    <cellStyle name="InNum2dp 2 2 2 3 2 2 5" xfId="1249" xr:uid="{9FF562FE-D716-4C78-8956-4DFF1C0FE5E8}"/>
    <cellStyle name="InNum2dp 2 2 2 3 2 3" xfId="423" xr:uid="{D913D3DD-A1C6-4AB3-939F-75C7E88DAC1E}"/>
    <cellStyle name="InNum2dp 2 2 2 3 2 3 2" xfId="895" xr:uid="{ED71AA1A-A9DB-4D3C-8A80-3C7346DD4F31}"/>
    <cellStyle name="InNum2dp 2 2 2 3 2 3 2 2" xfId="2784" xr:uid="{3B23781A-28F9-4F3E-8675-000ECC4FC244}"/>
    <cellStyle name="InNum2dp 2 2 2 3 2 3 2 3" xfId="1839" xr:uid="{4A66E6D1-709F-42F4-85C8-C8DF732ECA85}"/>
    <cellStyle name="InNum2dp 2 2 2 3 2 3 3" xfId="2312" xr:uid="{CAC1A966-8CDD-4028-996F-5907405A9AEA}"/>
    <cellStyle name="InNum2dp 2 2 2 3 2 3 4" xfId="1367" xr:uid="{915DDED7-9B56-4065-BEC7-D077AFBBD622}"/>
    <cellStyle name="InNum2dp 2 2 2 3 2 4" xfId="659" xr:uid="{BB32B180-C982-4C37-A1C6-416FB085A855}"/>
    <cellStyle name="InNum2dp 2 2 2 3 2 4 2" xfId="2548" xr:uid="{261F9201-8160-4B5D-A611-FD61EFAB10FF}"/>
    <cellStyle name="InNum2dp 2 2 2 3 2 4 3" xfId="1603" xr:uid="{8B8588D0-E9D2-4946-B35D-5E2E63A7EE69}"/>
    <cellStyle name="InNum2dp 2 2 2 3 2 5" xfId="2076" xr:uid="{9B697488-75C7-4A4B-9227-ED8DAC43AEFE}"/>
    <cellStyle name="InNum2dp 2 2 2 3 2 6" xfId="1131" xr:uid="{B7D55A81-48B5-4B01-88B4-FBAE41782D80}"/>
    <cellStyle name="InNum2dp 2 2 2 3 3" xfId="246" xr:uid="{5A5F746A-A3D2-4FDA-82E4-D5F3AE8853B0}"/>
    <cellStyle name="InNum2dp 2 2 2 3 3 2" xfId="482" xr:uid="{5AAF8E37-93BC-4731-9BE1-A6A03AAB0790}"/>
    <cellStyle name="InNum2dp 2 2 2 3 3 2 2" xfId="954" xr:uid="{A5E536C6-C865-4999-8006-67CBF513C7AB}"/>
    <cellStyle name="InNum2dp 2 2 2 3 3 2 2 2" xfId="2843" xr:uid="{BABC70A0-3598-4E52-BBD2-F9278C3A36B9}"/>
    <cellStyle name="InNum2dp 2 2 2 3 3 2 2 3" xfId="1898" xr:uid="{5C7BDE1A-4F47-4F37-BBDA-3C26C0350D5C}"/>
    <cellStyle name="InNum2dp 2 2 2 3 3 2 3" xfId="2371" xr:uid="{1A265FFF-6FE5-438D-B0B3-99AF1ED300C2}"/>
    <cellStyle name="InNum2dp 2 2 2 3 3 2 4" xfId="1426" xr:uid="{9C5452D8-6F54-4BBF-8293-E0BB1FFD9DB6}"/>
    <cellStyle name="InNum2dp 2 2 2 3 3 3" xfId="718" xr:uid="{1B67BC5B-217A-48C3-96B0-254D7C849B97}"/>
    <cellStyle name="InNum2dp 2 2 2 3 3 3 2" xfId="2607" xr:uid="{95B2600F-943B-40B8-B355-BBA2F50E1517}"/>
    <cellStyle name="InNum2dp 2 2 2 3 3 3 3" xfId="1662" xr:uid="{1FE867F1-34C3-4105-9DD0-216516F482C5}"/>
    <cellStyle name="InNum2dp 2 2 2 3 3 4" xfId="2135" xr:uid="{DAD5D108-A32C-4808-B2D6-DBB1E51036CE}"/>
    <cellStyle name="InNum2dp 2 2 2 3 3 5" xfId="1190" xr:uid="{DFB3E78C-CB8D-4C30-8377-A84E7DE5F852}"/>
    <cellStyle name="InNum2dp 2 2 2 3 4" xfId="364" xr:uid="{2CF758D4-C1FF-408B-B36F-C8D81CBCC16B}"/>
    <cellStyle name="InNum2dp 2 2 2 3 4 2" xfId="836" xr:uid="{46AC506B-3B7A-4EB2-8151-53049C625A4D}"/>
    <cellStyle name="InNum2dp 2 2 2 3 4 2 2" xfId="2725" xr:uid="{1B6EC0E3-86D0-4680-8C4E-DC948D815145}"/>
    <cellStyle name="InNum2dp 2 2 2 3 4 2 3" xfId="1780" xr:uid="{3EADC2ED-A52E-4A88-AC99-7463C3366637}"/>
    <cellStyle name="InNum2dp 2 2 2 3 4 3" xfId="2253" xr:uid="{DF1BEA73-5A6D-4610-802D-C395F43B28A6}"/>
    <cellStyle name="InNum2dp 2 2 2 3 4 4" xfId="1308" xr:uid="{2B7BB2C1-5A17-464F-9759-A2F08BB653DE}"/>
    <cellStyle name="InNum2dp 2 2 2 3 5" xfId="600" xr:uid="{BCAC5808-5627-4598-AB3E-3CE07167EFA4}"/>
    <cellStyle name="InNum2dp 2 2 2 3 5 2" xfId="2489" xr:uid="{6F5EE406-9BCC-4DB3-B41F-540A231B7640}"/>
    <cellStyle name="InNum2dp 2 2 2 3 5 3" xfId="1544" xr:uid="{D1600D00-DFD8-41FA-B921-15E22E5AE9B6}"/>
    <cellStyle name="InNum2dp 2 2 2 3 6" xfId="2017" xr:uid="{F847FF96-8921-4813-BCB6-02E42A0BEB3D}"/>
    <cellStyle name="InNum2dp 2 2 2 3 7" xfId="1072" xr:uid="{21216675-04D4-4D9E-B983-8F16AA6504A8}"/>
    <cellStyle name="InNum2dp 2 2 2 4" xfId="172" xr:uid="{09C2A441-518A-4158-B1E6-41EBC2582D45}"/>
    <cellStyle name="InNum2dp 2 2 2 4 2" xfId="290" xr:uid="{63B138F0-27FD-49EE-BDAC-AA615CF95169}"/>
    <cellStyle name="InNum2dp 2 2 2 4 2 2" xfId="526" xr:uid="{CBA47C95-AC26-4121-8711-60EE841D3BFA}"/>
    <cellStyle name="InNum2dp 2 2 2 4 2 2 2" xfId="998" xr:uid="{07E18543-6C02-4634-BE99-40D8D0B9F3EB}"/>
    <cellStyle name="InNum2dp 2 2 2 4 2 2 2 2" xfId="2887" xr:uid="{B2B4FC6A-EB6F-45B6-A04C-BCC23B080668}"/>
    <cellStyle name="InNum2dp 2 2 2 4 2 2 2 3" xfId="1942" xr:uid="{DACDC824-D08D-48DA-A3D6-52F3851503A3}"/>
    <cellStyle name="InNum2dp 2 2 2 4 2 2 3" xfId="2415" xr:uid="{9E04E8D1-C3A4-45CD-B5CB-B4C57651490B}"/>
    <cellStyle name="InNum2dp 2 2 2 4 2 2 4" xfId="1470" xr:uid="{168ACD53-627C-4457-9360-CD7D4C40C2FD}"/>
    <cellStyle name="InNum2dp 2 2 2 4 2 3" xfId="762" xr:uid="{F7052A7B-265F-4748-8225-B34C2D8BD120}"/>
    <cellStyle name="InNum2dp 2 2 2 4 2 3 2" xfId="2651" xr:uid="{3DA52962-8510-4843-913B-6DBE92BAEC58}"/>
    <cellStyle name="InNum2dp 2 2 2 4 2 3 3" xfId="1706" xr:uid="{F3FE0D2C-E3E0-4F93-A33A-BF529D824ADA}"/>
    <cellStyle name="InNum2dp 2 2 2 4 2 4" xfId="2179" xr:uid="{61A349DB-4664-4A87-9F47-1F5A7B324287}"/>
    <cellStyle name="InNum2dp 2 2 2 4 2 5" xfId="1234" xr:uid="{581A7746-93E2-407F-8A18-3F20854B626C}"/>
    <cellStyle name="InNum2dp 2 2 2 4 3" xfId="408" xr:uid="{227EF8A8-24CC-4450-8BBA-F6962FDF5676}"/>
    <cellStyle name="InNum2dp 2 2 2 4 3 2" xfId="880" xr:uid="{2543807B-4291-49FF-AB6A-8303D95BF387}"/>
    <cellStyle name="InNum2dp 2 2 2 4 3 2 2" xfId="2769" xr:uid="{B9DAB9CD-3EB0-42EB-8F79-E448EA06244C}"/>
    <cellStyle name="InNum2dp 2 2 2 4 3 2 3" xfId="1824" xr:uid="{EE9D5ECE-F46E-4FAB-AA3B-CFD50A3DB9C6}"/>
    <cellStyle name="InNum2dp 2 2 2 4 3 3" xfId="2297" xr:uid="{9D636CEE-C7CE-49D1-BC71-DAE623E129D2}"/>
    <cellStyle name="InNum2dp 2 2 2 4 3 4" xfId="1352" xr:uid="{A6ABC25B-E656-42DA-AB48-AF84F75BAB2A}"/>
    <cellStyle name="InNum2dp 2 2 2 4 4" xfId="644" xr:uid="{19E03EC9-4D0E-4410-ADA6-411C17C58B03}"/>
    <cellStyle name="InNum2dp 2 2 2 4 4 2" xfId="2533" xr:uid="{4C449485-8D6A-4078-9DB7-7C3817DE7C81}"/>
    <cellStyle name="InNum2dp 2 2 2 4 4 3" xfId="1588" xr:uid="{ACF64779-A973-441D-92AF-FBC852D9B378}"/>
    <cellStyle name="InNum2dp 2 2 2 4 5" xfId="2061" xr:uid="{EEABAC6A-6F8C-43AB-AF65-93C469C53120}"/>
    <cellStyle name="InNum2dp 2 2 2 4 6" xfId="1116" xr:uid="{BEEC55C1-245D-479B-BF46-FB044F60C8FC}"/>
    <cellStyle name="InNum2dp 2 2 2 5" xfId="231" xr:uid="{4F598E66-632F-49AB-B36E-EAD304BAF44A}"/>
    <cellStyle name="InNum2dp 2 2 2 5 2" xfId="467" xr:uid="{A8CC8CDB-6263-4257-9EF8-0E13ABC38F28}"/>
    <cellStyle name="InNum2dp 2 2 2 5 2 2" xfId="939" xr:uid="{6A5DD2CA-5191-45BF-B7B2-CE59892A1C5C}"/>
    <cellStyle name="InNum2dp 2 2 2 5 2 2 2" xfId="2828" xr:uid="{B47F35AD-DE3D-4B81-9209-344D290E1B6B}"/>
    <cellStyle name="InNum2dp 2 2 2 5 2 2 3" xfId="1883" xr:uid="{7FBB4F37-4E3D-4412-A98C-F4596D388F6A}"/>
    <cellStyle name="InNum2dp 2 2 2 5 2 3" xfId="2356" xr:uid="{028BF383-5671-45E5-AA10-3BBAB057A3B5}"/>
    <cellStyle name="InNum2dp 2 2 2 5 2 4" xfId="1411" xr:uid="{AAAFCBCD-135C-48F7-BDBA-D678C1DFEF62}"/>
    <cellStyle name="InNum2dp 2 2 2 5 3" xfId="703" xr:uid="{05C01FF9-A267-4396-8609-9F8A79E02AE1}"/>
    <cellStyle name="InNum2dp 2 2 2 5 3 2" xfId="2592" xr:uid="{2EA76574-46FA-427E-8DEF-E4ADF9BEC85C}"/>
    <cellStyle name="InNum2dp 2 2 2 5 3 3" xfId="1647" xr:uid="{E1B51389-9DEE-4BDC-8378-D160FF20057E}"/>
    <cellStyle name="InNum2dp 2 2 2 5 4" xfId="2120" xr:uid="{D63D98AA-76B3-408F-B645-EB04AA00AD30}"/>
    <cellStyle name="InNum2dp 2 2 2 5 5" xfId="1175" xr:uid="{BBF977A3-D731-4B8D-86AC-1CE0A17CE97C}"/>
    <cellStyle name="InNum2dp 2 2 2 6" xfId="349" xr:uid="{E889FA64-F370-43FA-8D7F-C1AA5284F091}"/>
    <cellStyle name="InNum2dp 2 2 2 6 2" xfId="821" xr:uid="{14B73899-A56D-46B5-9B27-6D2B61069EBB}"/>
    <cellStyle name="InNum2dp 2 2 2 6 2 2" xfId="2710" xr:uid="{CBF52369-4608-41E6-A60B-77D31CA1E9D8}"/>
    <cellStyle name="InNum2dp 2 2 2 6 2 3" xfId="1765" xr:uid="{EAC82BF5-82F4-4E06-947A-0065B4484866}"/>
    <cellStyle name="InNum2dp 2 2 2 6 3" xfId="2238" xr:uid="{D0BF0A23-932E-481B-9678-43760133E224}"/>
    <cellStyle name="InNum2dp 2 2 2 6 4" xfId="1293" xr:uid="{D7526D2D-3594-495D-8DD0-03BBA2B295ED}"/>
    <cellStyle name="InNum2dp 2 2 2 7" xfId="585" xr:uid="{8C98D9AE-B432-4BC6-A9E5-7BBF27A3B5CE}"/>
    <cellStyle name="InNum2dp 2 2 2 7 2" xfId="2474" xr:uid="{F394B9A3-922F-414D-AB09-0FF648C1CE07}"/>
    <cellStyle name="InNum2dp 2 2 2 7 3" xfId="1529" xr:uid="{992689AD-A01C-4ED0-8177-87B590318E4B}"/>
    <cellStyle name="InNum2dp 2 2 2 8" xfId="2002" xr:uid="{B7FFB95B-ABA8-46BD-9084-45F56F24D62D}"/>
    <cellStyle name="InNum2dp 2 2 2 9" xfId="1057" xr:uid="{FC7A5465-6295-4EF5-8115-0D0660EE1625}"/>
    <cellStyle name="InNum2dp 2 2 3" xfId="143" xr:uid="{50A95C01-F9CF-4384-B8D8-1B0B39E3E6FB}"/>
    <cellStyle name="InNum2dp 2 2 3 2" xfId="204" xr:uid="{DF379845-7933-4FB4-8787-EE5CAB64D318}"/>
    <cellStyle name="InNum2dp 2 2 3 2 2" xfId="322" xr:uid="{D9BBF251-3062-4A36-BD8A-457D2C500758}"/>
    <cellStyle name="InNum2dp 2 2 3 2 2 2" xfId="558" xr:uid="{874704F1-7F71-473F-B888-26B9F2C4C378}"/>
    <cellStyle name="InNum2dp 2 2 3 2 2 2 2" xfId="1030" xr:uid="{96DE19CE-8571-4C8C-9410-BD297927A5B1}"/>
    <cellStyle name="InNum2dp 2 2 3 2 2 2 2 2" xfId="2919" xr:uid="{4AA61415-1BEE-4B3C-981F-8CDEDE47B95F}"/>
    <cellStyle name="InNum2dp 2 2 3 2 2 2 2 3" xfId="1974" xr:uid="{B616E605-4CA8-4103-B049-1A5530C3A282}"/>
    <cellStyle name="InNum2dp 2 2 3 2 2 2 3" xfId="2447" xr:uid="{4E925594-EB6D-4FFA-8CB6-D65C8ED9295D}"/>
    <cellStyle name="InNum2dp 2 2 3 2 2 2 4" xfId="1502" xr:uid="{E41AD8F5-050E-4FD2-B55F-9B173145C512}"/>
    <cellStyle name="InNum2dp 2 2 3 2 2 3" xfId="794" xr:uid="{DDAD5543-E26B-4C19-8DC5-DC07FD820F20}"/>
    <cellStyle name="InNum2dp 2 2 3 2 2 3 2" xfId="2683" xr:uid="{A4F3CBCF-DEBD-49EF-AB86-804822B1CCDB}"/>
    <cellStyle name="InNum2dp 2 2 3 2 2 3 3" xfId="1738" xr:uid="{A24181CB-90B4-4AC6-9C9E-2ED75A684091}"/>
    <cellStyle name="InNum2dp 2 2 3 2 2 4" xfId="2211" xr:uid="{D6E16849-B0D1-44BC-856C-D0ADB0FE58E1}"/>
    <cellStyle name="InNum2dp 2 2 3 2 2 5" xfId="1266" xr:uid="{B92EBB61-4FCA-4B1A-810E-99C87883B2B2}"/>
    <cellStyle name="InNum2dp 2 2 3 2 3" xfId="440" xr:uid="{D2B9DED8-2682-48F0-BA34-99553DE61CED}"/>
    <cellStyle name="InNum2dp 2 2 3 2 3 2" xfId="912" xr:uid="{087C77B6-EE56-4B31-9735-D9CB12A99D98}"/>
    <cellStyle name="InNum2dp 2 2 3 2 3 2 2" xfId="2801" xr:uid="{2BF6D703-F6CA-48A9-9396-9B8BE0464066}"/>
    <cellStyle name="InNum2dp 2 2 3 2 3 2 3" xfId="1856" xr:uid="{83E4F35F-A3FB-4E2E-9841-A62DDE96641E}"/>
    <cellStyle name="InNum2dp 2 2 3 2 3 3" xfId="2329" xr:uid="{ACC88A95-4F70-49CD-A5EF-B49BF7A93520}"/>
    <cellStyle name="InNum2dp 2 2 3 2 3 4" xfId="1384" xr:uid="{966D00CD-05B0-417D-8AC9-1DB3AF443BA1}"/>
    <cellStyle name="InNum2dp 2 2 3 2 4" xfId="676" xr:uid="{AC799752-061B-4EF1-B1B9-2E6108AD06C1}"/>
    <cellStyle name="InNum2dp 2 2 3 2 4 2" xfId="2565" xr:uid="{A8C09F55-836B-4137-98D0-E8169DF50B20}"/>
    <cellStyle name="InNum2dp 2 2 3 2 4 3" xfId="1620" xr:uid="{E6A4BA20-167A-4808-9B48-B3412F6DC1BF}"/>
    <cellStyle name="InNum2dp 2 2 3 2 5" xfId="2093" xr:uid="{A0FADD8B-3FE3-4838-806D-E65DA5324341}"/>
    <cellStyle name="InNum2dp 2 2 3 2 6" xfId="1148" xr:uid="{EB2AAA8F-9A7A-4E15-BD8A-0B34BF5B21FE}"/>
    <cellStyle name="InNum2dp 2 2 3 3" xfId="263" xr:uid="{A44810B8-FD5A-42AA-93C4-E56D2AEAA007}"/>
    <cellStyle name="InNum2dp 2 2 3 3 2" xfId="499" xr:uid="{7A8021E7-8725-4E93-9BAE-F47C73A987AC}"/>
    <cellStyle name="InNum2dp 2 2 3 3 2 2" xfId="971" xr:uid="{C2567140-63F0-4E43-9CAE-BA77851F368B}"/>
    <cellStyle name="InNum2dp 2 2 3 3 2 2 2" xfId="2860" xr:uid="{2B7B78DA-BFCB-428D-9888-C002E55B9C5D}"/>
    <cellStyle name="InNum2dp 2 2 3 3 2 2 3" xfId="1915" xr:uid="{B453E057-CB2B-451D-9F40-07A87A47D126}"/>
    <cellStyle name="InNum2dp 2 2 3 3 2 3" xfId="2388" xr:uid="{423BB55C-5E6D-4714-94CC-EBC0A4C821D8}"/>
    <cellStyle name="InNum2dp 2 2 3 3 2 4" xfId="1443" xr:uid="{848E20BA-FB66-4C5F-B6C9-3DDE0279ACF6}"/>
    <cellStyle name="InNum2dp 2 2 3 3 3" xfId="735" xr:uid="{58D97A08-7C1D-4BF9-9266-CEE39EAFE16A}"/>
    <cellStyle name="InNum2dp 2 2 3 3 3 2" xfId="2624" xr:uid="{65D7AB4F-8CD7-4B46-B2F6-7EF0D3577A12}"/>
    <cellStyle name="InNum2dp 2 2 3 3 3 3" xfId="1679" xr:uid="{01943378-0627-4730-9159-79BAA96199BE}"/>
    <cellStyle name="InNum2dp 2 2 3 3 4" xfId="2152" xr:uid="{F10F161D-F905-4C9A-BFE4-DCD1BBD8924D}"/>
    <cellStyle name="InNum2dp 2 2 3 3 5" xfId="1207" xr:uid="{C78D0D76-CD4D-4131-A677-E9B259FBC0DE}"/>
    <cellStyle name="InNum2dp 2 2 3 4" xfId="381" xr:uid="{BD028841-7D44-4B1E-BBB9-04B479784262}"/>
    <cellStyle name="InNum2dp 2 2 3 4 2" xfId="853" xr:uid="{BC84DE9B-29AB-4F34-AF46-55BFDDA97147}"/>
    <cellStyle name="InNum2dp 2 2 3 4 2 2" xfId="2742" xr:uid="{6C8EF9A7-58D1-41A4-9004-DCEACE95A366}"/>
    <cellStyle name="InNum2dp 2 2 3 4 2 3" xfId="1797" xr:uid="{98FD4674-A97F-45B4-B117-287D59ED167C}"/>
    <cellStyle name="InNum2dp 2 2 3 4 3" xfId="2270" xr:uid="{0518C240-C9A7-4EA6-ACFC-0B419DE19761}"/>
    <cellStyle name="InNum2dp 2 2 3 4 4" xfId="1325" xr:uid="{E67AA527-3122-4585-A355-B76E55C5ABF5}"/>
    <cellStyle name="InNum2dp 2 2 3 5" xfId="617" xr:uid="{3A74E5D1-C056-4EC5-88C3-D123F32B0973}"/>
    <cellStyle name="InNum2dp 2 2 3 5 2" xfId="2506" xr:uid="{8ADE51A2-4514-4CFF-A23D-0760D3A425DC}"/>
    <cellStyle name="InNum2dp 2 2 3 5 3" xfId="1561" xr:uid="{43A7DC9C-B9BE-421E-95C2-FC307444987A}"/>
    <cellStyle name="InNum2dp 2 2 3 6" xfId="2034" xr:uid="{37EAD17A-66FE-4FFD-89AB-CF3C3D8ECF27}"/>
    <cellStyle name="InNum2dp 2 2 3 7" xfId="1089" xr:uid="{FF3850A3-94AA-4E0B-BA38-0EEF429C232B}"/>
    <cellStyle name="InNum2dp 2 3" xfId="105" xr:uid="{853A89DC-1A6C-484F-A2FC-6D73D849E336}"/>
    <cellStyle name="InNum2dp 2 3 2" xfId="150" xr:uid="{E8B74542-22EE-4F0E-8E0D-33F6D92B321C}"/>
    <cellStyle name="InNum2dp 2 3 2 2" xfId="211" xr:uid="{06D47426-5D92-44CF-8D41-2BE83EFD73A1}"/>
    <cellStyle name="InNum2dp 2 3 2 2 2" xfId="329" xr:uid="{8627D396-4C3B-46D8-B4B2-152C999FFB75}"/>
    <cellStyle name="InNum2dp 2 3 2 2 2 2" xfId="565" xr:uid="{C0290639-24BD-4D7F-B603-455E8FB4DA02}"/>
    <cellStyle name="InNum2dp 2 3 2 2 2 2 2" xfId="1037" xr:uid="{32CBE8BD-4940-4882-B3F2-9B42EDD581A2}"/>
    <cellStyle name="InNum2dp 2 3 2 2 2 2 2 2" xfId="2926" xr:uid="{95DEA1CD-99B4-4F78-B6F8-5F8B9A139A27}"/>
    <cellStyle name="InNum2dp 2 3 2 2 2 2 2 3" xfId="1981" xr:uid="{E1DFA83D-2CF8-4208-9292-BA3D2C756158}"/>
    <cellStyle name="InNum2dp 2 3 2 2 2 2 3" xfId="2454" xr:uid="{10911E25-DE8B-4D49-B15C-6889F889B936}"/>
    <cellStyle name="InNum2dp 2 3 2 2 2 2 4" xfId="1509" xr:uid="{EB16A305-E358-43E2-8418-5CBED85AB018}"/>
    <cellStyle name="InNum2dp 2 3 2 2 2 3" xfId="801" xr:uid="{6DCB318E-EA21-4DEC-A890-C70C1193B53B}"/>
    <cellStyle name="InNum2dp 2 3 2 2 2 3 2" xfId="2690" xr:uid="{C4C53514-927D-4AF3-80C1-4432D0E72095}"/>
    <cellStyle name="InNum2dp 2 3 2 2 2 3 3" xfId="1745" xr:uid="{F55416DF-1104-4920-A19C-3C7D3C085045}"/>
    <cellStyle name="InNum2dp 2 3 2 2 2 4" xfId="2218" xr:uid="{E54356F0-E5F5-4A4A-9728-FD30EF245C81}"/>
    <cellStyle name="InNum2dp 2 3 2 2 2 5" xfId="1273" xr:uid="{F4D96C00-F74A-4825-92F6-CB2DE532C486}"/>
    <cellStyle name="InNum2dp 2 3 2 2 3" xfId="447" xr:uid="{919F45E7-27CD-48A5-8EBB-4473B33CBF96}"/>
    <cellStyle name="InNum2dp 2 3 2 2 3 2" xfId="919" xr:uid="{362BC95F-0CC0-4B23-BE0D-B9084D354E17}"/>
    <cellStyle name="InNum2dp 2 3 2 2 3 2 2" xfId="2808" xr:uid="{C445715A-2AC1-4778-92E5-9C706C79ED81}"/>
    <cellStyle name="InNum2dp 2 3 2 2 3 2 3" xfId="1863" xr:uid="{D8CF6417-57E0-4E4F-B4BD-39A78AE119DD}"/>
    <cellStyle name="InNum2dp 2 3 2 2 3 3" xfId="2336" xr:uid="{5AA44300-1DFB-4F2A-ACDA-8E169750C472}"/>
    <cellStyle name="InNum2dp 2 3 2 2 3 4" xfId="1391" xr:uid="{C413D8C5-CFED-418D-B280-A65A02F2231E}"/>
    <cellStyle name="InNum2dp 2 3 2 2 4" xfId="683" xr:uid="{011A4640-7F1D-4305-99AC-AF92C19D76D2}"/>
    <cellStyle name="InNum2dp 2 3 2 2 4 2" xfId="2572" xr:uid="{B475E423-F8C5-4CF6-9980-5F7F4DB38F33}"/>
    <cellStyle name="InNum2dp 2 3 2 2 4 3" xfId="1627" xr:uid="{DB61B3C1-C31F-4A1F-A67D-57EDE9706361}"/>
    <cellStyle name="InNum2dp 2 3 2 2 5" xfId="2100" xr:uid="{45ACB1B2-ACF1-4D50-83A9-F89FE3AAD700}"/>
    <cellStyle name="InNum2dp 2 3 2 2 6" xfId="1155" xr:uid="{7B5E7BD9-022E-407B-A42C-0018869DC5FA}"/>
    <cellStyle name="InNum2dp 2 3 2 3" xfId="270" xr:uid="{5ABE0635-7717-4513-816C-6F084DCCF30C}"/>
    <cellStyle name="InNum2dp 2 3 2 3 2" xfId="506" xr:uid="{D03D5B60-883F-45BC-A864-EC791CA4DE36}"/>
    <cellStyle name="InNum2dp 2 3 2 3 2 2" xfId="978" xr:uid="{DD2F0B55-3A9A-4EEE-87F9-A9EB82450146}"/>
    <cellStyle name="InNum2dp 2 3 2 3 2 2 2" xfId="2867" xr:uid="{B3C949DD-C358-4010-A38D-A889BED4546C}"/>
    <cellStyle name="InNum2dp 2 3 2 3 2 2 3" xfId="1922" xr:uid="{E328C996-D103-4E1D-86E2-603C54CC3BED}"/>
    <cellStyle name="InNum2dp 2 3 2 3 2 3" xfId="2395" xr:uid="{5FB423D6-F62E-4C7E-A937-3122AC005B3D}"/>
    <cellStyle name="InNum2dp 2 3 2 3 2 4" xfId="1450" xr:uid="{F032008F-AAC1-42BE-AC95-E4F99C4B477B}"/>
    <cellStyle name="InNum2dp 2 3 2 3 3" xfId="742" xr:uid="{98567F7E-EC84-476B-8812-FECAC8E0C300}"/>
    <cellStyle name="InNum2dp 2 3 2 3 3 2" xfId="2631" xr:uid="{521A1E60-0EB0-4155-83AC-A35C439456B8}"/>
    <cellStyle name="InNum2dp 2 3 2 3 3 3" xfId="1686" xr:uid="{380507A4-3784-4EB4-8D91-5D190A69AFE4}"/>
    <cellStyle name="InNum2dp 2 3 2 3 4" xfId="2159" xr:uid="{469F0A6C-988B-4D54-B004-4E413BBE5B12}"/>
    <cellStyle name="InNum2dp 2 3 2 3 5" xfId="1214" xr:uid="{A3A8C9A3-7BE7-479B-8001-64B10FA8064C}"/>
    <cellStyle name="InNum2dp 2 3 2 4" xfId="388" xr:uid="{B52890BB-5A4E-4E7A-A39D-4DAC8F91B720}"/>
    <cellStyle name="InNum2dp 2 3 2 4 2" xfId="860" xr:uid="{59443802-9A2D-4C28-B2F6-289A080E781A}"/>
    <cellStyle name="InNum2dp 2 3 2 4 2 2" xfId="2749" xr:uid="{AD10DD72-B826-48D7-AD96-CB99B684391D}"/>
    <cellStyle name="InNum2dp 2 3 2 4 2 3" xfId="1804" xr:uid="{9D329EAE-6D41-419D-B0C0-0FC68A0A7A07}"/>
    <cellStyle name="InNum2dp 2 3 2 4 3" xfId="2277" xr:uid="{B411D282-9D1E-4930-B9E4-4D0DD214278D}"/>
    <cellStyle name="InNum2dp 2 3 2 4 4" xfId="1332" xr:uid="{F88BE203-0213-466A-B259-91734A82A927}"/>
    <cellStyle name="InNum2dp 2 3 2 5" xfId="624" xr:uid="{8C0C3D56-B80B-4262-BB44-070CA6D8E3DE}"/>
    <cellStyle name="InNum2dp 2 3 2 5 2" xfId="2513" xr:uid="{7329A59F-E945-478F-A9A8-2B8B784B75E9}"/>
    <cellStyle name="InNum2dp 2 3 2 5 3" xfId="1568" xr:uid="{39C27EB3-2C7C-412E-9AD0-BF159F335A18}"/>
    <cellStyle name="InNum2dp 2 3 2 6" xfId="2041" xr:uid="{F7A36FED-92EA-4752-9CC8-6240D0B78FC2}"/>
    <cellStyle name="InNum2dp 2 3 2 7" xfId="1096" xr:uid="{053F1156-408F-41BE-AC9A-006C4FC60154}"/>
    <cellStyle name="InNum2dp 2 3 3" xfId="120" xr:uid="{D586054D-F199-4848-A14E-90E5FC001511}"/>
    <cellStyle name="InNum2dp 2 3 3 2" xfId="182" xr:uid="{CBEA785B-C647-4D28-A49C-3440F66FF374}"/>
    <cellStyle name="InNum2dp 2 3 3 2 2" xfId="300" xr:uid="{E8A7A2E0-D17B-4E61-9957-4975D15FC99A}"/>
    <cellStyle name="InNum2dp 2 3 3 2 2 2" xfId="536" xr:uid="{3FAAFF03-4BAC-40E8-81C9-F0C2D2C9DF83}"/>
    <cellStyle name="InNum2dp 2 3 3 2 2 2 2" xfId="1008" xr:uid="{3AEAF88F-3AA8-49C9-98E4-ABD737FA14CF}"/>
    <cellStyle name="InNum2dp 2 3 3 2 2 2 2 2" xfId="2897" xr:uid="{CCE4A4E9-6862-4FAD-B528-904AD61E2727}"/>
    <cellStyle name="InNum2dp 2 3 3 2 2 2 2 3" xfId="1952" xr:uid="{C22B0D77-99C7-4A8D-9E55-E957FECDFB01}"/>
    <cellStyle name="InNum2dp 2 3 3 2 2 2 3" xfId="2425" xr:uid="{CA8A82F0-9606-4D4B-B1DC-CB5A8C1175E1}"/>
    <cellStyle name="InNum2dp 2 3 3 2 2 2 4" xfId="1480" xr:uid="{62F849D5-191F-4CBF-9072-BD26A5C497B8}"/>
    <cellStyle name="InNum2dp 2 3 3 2 2 3" xfId="772" xr:uid="{DDD5D134-696C-4679-850C-5C9980924541}"/>
    <cellStyle name="InNum2dp 2 3 3 2 2 3 2" xfId="2661" xr:uid="{77E5DE04-0973-44D7-9A1A-94A691DCFE58}"/>
    <cellStyle name="InNum2dp 2 3 3 2 2 3 3" xfId="1716" xr:uid="{662033CC-DBFD-4F97-9E6E-7C8E531A1F0D}"/>
    <cellStyle name="InNum2dp 2 3 3 2 2 4" xfId="2189" xr:uid="{25E2B322-ACCB-48F6-B2E9-E88AEBFD9635}"/>
    <cellStyle name="InNum2dp 2 3 3 2 2 5" xfId="1244" xr:uid="{1179F56A-B21A-4AF3-878A-2EBDDA62053D}"/>
    <cellStyle name="InNum2dp 2 3 3 2 3" xfId="418" xr:uid="{353214F8-3563-4462-9715-F3FFE9F6E2F6}"/>
    <cellStyle name="InNum2dp 2 3 3 2 3 2" xfId="890" xr:uid="{A10D34FD-F33E-48C4-BF42-014C96D3884B}"/>
    <cellStyle name="InNum2dp 2 3 3 2 3 2 2" xfId="2779" xr:uid="{789B94C4-F4DB-428F-925F-69C9568F12EE}"/>
    <cellStyle name="InNum2dp 2 3 3 2 3 2 3" xfId="1834" xr:uid="{9C00FD54-7FDC-46A5-AF88-CF646431A07D}"/>
    <cellStyle name="InNum2dp 2 3 3 2 3 3" xfId="2307" xr:uid="{A4289DB9-1D13-4487-A5CD-47048363B98E}"/>
    <cellStyle name="InNum2dp 2 3 3 2 3 4" xfId="1362" xr:uid="{18F7698D-4EAC-42DF-B139-094BC9CE3982}"/>
    <cellStyle name="InNum2dp 2 3 3 2 4" xfId="654" xr:uid="{18699415-309C-4549-B6D1-E831D8BBB2CB}"/>
    <cellStyle name="InNum2dp 2 3 3 2 4 2" xfId="2543" xr:uid="{672518B5-A997-400A-9464-4115B66107CF}"/>
    <cellStyle name="InNum2dp 2 3 3 2 4 3" xfId="1598" xr:uid="{A997819A-7906-4A72-AA71-4738A3A5A3C4}"/>
    <cellStyle name="InNum2dp 2 3 3 2 5" xfId="2071" xr:uid="{38996F82-EA05-481B-A1CE-AF62135C54AA}"/>
    <cellStyle name="InNum2dp 2 3 3 2 6" xfId="1126" xr:uid="{AF9271CE-69B8-4219-88D7-EEC60DC6EAF3}"/>
    <cellStyle name="InNum2dp 2 3 3 3" xfId="241" xr:uid="{47948144-C924-4ECA-AE6E-92317E812D5A}"/>
    <cellStyle name="InNum2dp 2 3 3 3 2" xfId="477" xr:uid="{0B8774BA-4AB5-4DAC-92B3-7A29446D4BD0}"/>
    <cellStyle name="InNum2dp 2 3 3 3 2 2" xfId="949" xr:uid="{C8678EAB-54C7-443B-BAB7-09DCF66C6876}"/>
    <cellStyle name="InNum2dp 2 3 3 3 2 2 2" xfId="2838" xr:uid="{6453D1D3-F322-4D3C-98F6-051E9A9BD4D0}"/>
    <cellStyle name="InNum2dp 2 3 3 3 2 2 3" xfId="1893" xr:uid="{7F2C266F-59DE-4E86-BD66-7D55E509C8AF}"/>
    <cellStyle name="InNum2dp 2 3 3 3 2 3" xfId="2366" xr:uid="{2B042E3C-7A34-458A-B71F-0E9F373B3135}"/>
    <cellStyle name="InNum2dp 2 3 3 3 2 4" xfId="1421" xr:uid="{E35F5280-6CC1-4C64-8DD7-B57B4682EADA}"/>
    <cellStyle name="InNum2dp 2 3 3 3 3" xfId="713" xr:uid="{6226AE22-2F60-4686-8C4F-CDBC5AA70368}"/>
    <cellStyle name="InNum2dp 2 3 3 3 3 2" xfId="2602" xr:uid="{21CAAC14-45C3-4327-BB41-80ED9B06528C}"/>
    <cellStyle name="InNum2dp 2 3 3 3 3 3" xfId="1657" xr:uid="{7B5E19FF-930C-4A92-85DD-B8FFB9B2D0F8}"/>
    <cellStyle name="InNum2dp 2 3 3 3 4" xfId="2130" xr:uid="{C45C552F-367A-4AFA-A03D-B591EC0C4749}"/>
    <cellStyle name="InNum2dp 2 3 3 3 5" xfId="1185" xr:uid="{04946568-FC39-4390-A963-6E55809117E7}"/>
    <cellStyle name="InNum2dp 2 3 3 4" xfId="359" xr:uid="{5EBF6781-5B8B-4EF0-B5A2-6FF4253E3FAE}"/>
    <cellStyle name="InNum2dp 2 3 3 4 2" xfId="831" xr:uid="{36CEDF40-1313-45B3-BAA1-907704C8B47B}"/>
    <cellStyle name="InNum2dp 2 3 3 4 2 2" xfId="2720" xr:uid="{F69EF019-43E3-4658-977B-D31F4683C06A}"/>
    <cellStyle name="InNum2dp 2 3 3 4 2 3" xfId="1775" xr:uid="{F0A90941-05B3-4B7A-B027-0D5AFCC45B33}"/>
    <cellStyle name="InNum2dp 2 3 3 4 3" xfId="2248" xr:uid="{EA0CACE2-1F2D-4CF2-BB7C-E37FEAA7BBCC}"/>
    <cellStyle name="InNum2dp 2 3 3 4 4" xfId="1303" xr:uid="{69E9E5E4-B30E-4560-B2E9-CD83C04A2C03}"/>
    <cellStyle name="InNum2dp 2 3 3 5" xfId="595" xr:uid="{12628638-8882-4B74-BA89-0AF65DEFED1A}"/>
    <cellStyle name="InNum2dp 2 3 3 5 2" xfId="2484" xr:uid="{03A40B95-9E1A-4943-B7B4-0F16A38625C0}"/>
    <cellStyle name="InNum2dp 2 3 3 5 3" xfId="1539" xr:uid="{88575816-E40C-4995-A32C-BF80B4BDA1D7}"/>
    <cellStyle name="InNum2dp 2 3 3 6" xfId="2012" xr:uid="{90DF881C-94A2-4C9B-8594-360FFDC49D4E}"/>
    <cellStyle name="InNum2dp 2 3 3 7" xfId="1067" xr:uid="{AE177069-E80F-4BBA-ADAF-A88D3027AE3B}"/>
    <cellStyle name="InNum2dp 2 3 4" xfId="167" xr:uid="{69C32214-0C54-4CB3-9656-613A5DFACE4C}"/>
    <cellStyle name="InNum2dp 2 3 4 2" xfId="285" xr:uid="{2F58D0CF-5393-4D1C-9A85-525BBAA1B47A}"/>
    <cellStyle name="InNum2dp 2 3 4 2 2" xfId="521" xr:uid="{E6B97F31-4EE7-4942-9AB4-6168BD198C3A}"/>
    <cellStyle name="InNum2dp 2 3 4 2 2 2" xfId="993" xr:uid="{AA0968E1-F21A-44CF-B610-D910997FDFD0}"/>
    <cellStyle name="InNum2dp 2 3 4 2 2 2 2" xfId="2882" xr:uid="{A91C4BE5-96CD-47DD-9B0E-2045A5D6219F}"/>
    <cellStyle name="InNum2dp 2 3 4 2 2 2 3" xfId="1937" xr:uid="{E2454038-2C66-49BD-AE64-DE1AB6B6CC8A}"/>
    <cellStyle name="InNum2dp 2 3 4 2 2 3" xfId="2410" xr:uid="{065C6958-64FD-4E32-A1B5-8CB5553568D1}"/>
    <cellStyle name="InNum2dp 2 3 4 2 2 4" xfId="1465" xr:uid="{B26B1FC4-682B-49BC-9991-F2872B6CEF62}"/>
    <cellStyle name="InNum2dp 2 3 4 2 3" xfId="757" xr:uid="{C246A1F5-0EA6-4BA6-A26B-F4904EA57F10}"/>
    <cellStyle name="InNum2dp 2 3 4 2 3 2" xfId="2646" xr:uid="{17A68263-A19F-4678-9985-9C1AAE0DF420}"/>
    <cellStyle name="InNum2dp 2 3 4 2 3 3" xfId="1701" xr:uid="{81AADBF1-D8DA-4D63-861D-A9D20EFB4D04}"/>
    <cellStyle name="InNum2dp 2 3 4 2 4" xfId="2174" xr:uid="{5963185C-0DA7-493A-A150-A02BE41990C7}"/>
    <cellStyle name="InNum2dp 2 3 4 2 5" xfId="1229" xr:uid="{07461348-0C8E-44D2-9762-59C912968C71}"/>
    <cellStyle name="InNum2dp 2 3 4 3" xfId="403" xr:uid="{9EBC7EB4-7128-4B03-B40F-97029C3B20AF}"/>
    <cellStyle name="InNum2dp 2 3 4 3 2" xfId="875" xr:uid="{C66D19A5-8208-4610-B451-A0A722EA9F10}"/>
    <cellStyle name="InNum2dp 2 3 4 3 2 2" xfId="2764" xr:uid="{07074A62-8522-421A-A4BB-FBD2E36B4EB3}"/>
    <cellStyle name="InNum2dp 2 3 4 3 2 3" xfId="1819" xr:uid="{F4592810-7E27-4603-A4FB-C7D7A3F1C650}"/>
    <cellStyle name="InNum2dp 2 3 4 3 3" xfId="2292" xr:uid="{46142376-0568-4857-A0BC-C0919FF073BA}"/>
    <cellStyle name="InNum2dp 2 3 4 3 4" xfId="1347" xr:uid="{BD92E924-E60D-491C-9349-1D8468BD1BBF}"/>
    <cellStyle name="InNum2dp 2 3 4 4" xfId="639" xr:uid="{32397D4E-1ACA-426E-A396-E8A17007848B}"/>
    <cellStyle name="InNum2dp 2 3 4 4 2" xfId="2528" xr:uid="{E1F3B298-C306-40F4-B95F-CD91D3F04F56}"/>
    <cellStyle name="InNum2dp 2 3 4 4 3" xfId="1583" xr:uid="{32A6FB1B-A3CE-40E8-9CC7-08AE163340C6}"/>
    <cellStyle name="InNum2dp 2 3 4 5" xfId="2056" xr:uid="{B5FE5189-0450-47B3-8810-4B7225D92DBB}"/>
    <cellStyle name="InNum2dp 2 3 4 6" xfId="1111" xr:uid="{35DCE895-7A51-4FF3-8D4F-903C1FB18E25}"/>
    <cellStyle name="InNum2dp 2 3 5" xfId="226" xr:uid="{AAD18284-C875-4579-8EA1-3B96B6520321}"/>
    <cellStyle name="InNum2dp 2 3 5 2" xfId="462" xr:uid="{112B381F-4910-470C-9798-2440EB788978}"/>
    <cellStyle name="InNum2dp 2 3 5 2 2" xfId="934" xr:uid="{25537E4F-466A-4969-8594-D1588D108B77}"/>
    <cellStyle name="InNum2dp 2 3 5 2 2 2" xfId="2823" xr:uid="{98903EAE-3BCB-4363-A057-F33327D77541}"/>
    <cellStyle name="InNum2dp 2 3 5 2 2 3" xfId="1878" xr:uid="{06606D86-4B22-4A16-9A84-C5D8D3BE0C95}"/>
    <cellStyle name="InNum2dp 2 3 5 2 3" xfId="2351" xr:uid="{8CF95015-6AA1-4BFE-92B0-256AB42954AF}"/>
    <cellStyle name="InNum2dp 2 3 5 2 4" xfId="1406" xr:uid="{4842DE21-8200-42D5-9E22-D9AF199561B2}"/>
    <cellStyle name="InNum2dp 2 3 5 3" xfId="698" xr:uid="{51C5853A-1F00-45FD-8AB1-FA14F7CD0E56}"/>
    <cellStyle name="InNum2dp 2 3 5 3 2" xfId="2587" xr:uid="{254F9DD9-845D-45B3-A4F9-24A9692976C9}"/>
    <cellStyle name="InNum2dp 2 3 5 3 3" xfId="1642" xr:uid="{2D3F473F-E886-4799-9612-43994740806F}"/>
    <cellStyle name="InNum2dp 2 3 5 4" xfId="2115" xr:uid="{D985FDA8-333B-4C56-A0DC-1478534D363E}"/>
    <cellStyle name="InNum2dp 2 3 5 5" xfId="1170" xr:uid="{14AD9498-C4FD-41B4-BE6C-35151868A660}"/>
    <cellStyle name="InNum2dp 2 3 6" xfId="344" xr:uid="{418AB42A-B99B-4CD5-AECD-E6AD0D715893}"/>
    <cellStyle name="InNum2dp 2 3 6 2" xfId="816" xr:uid="{9BFE7EA5-F6CA-4BF6-BF1F-BADF431540FB}"/>
    <cellStyle name="InNum2dp 2 3 6 2 2" xfId="2705" xr:uid="{31BCF4FE-D2FA-4A8A-8AB5-AA9A23AA29DE}"/>
    <cellStyle name="InNum2dp 2 3 6 2 3" xfId="1760" xr:uid="{17F4DF5B-52A5-46F0-A049-419050210270}"/>
    <cellStyle name="InNum2dp 2 3 6 3" xfId="2233" xr:uid="{C8091C0D-4DE9-4834-9EEC-C13C7D20EB47}"/>
    <cellStyle name="InNum2dp 2 3 6 4" xfId="1288" xr:uid="{08808715-1CDF-4D9A-870B-EB4B24ABD8AA}"/>
    <cellStyle name="InNum2dp 2 3 7" xfId="580" xr:uid="{84D41A01-77A1-4A9C-973E-64B0B1E70E38}"/>
    <cellStyle name="InNum2dp 2 3 7 2" xfId="2469" xr:uid="{4B7EAA80-61C6-4005-9050-43BAEC8E654A}"/>
    <cellStyle name="InNum2dp 2 3 7 3" xfId="1524" xr:uid="{2F9158C1-95BC-4EE2-8D0D-E6586874ECD7}"/>
    <cellStyle name="InNum2dp 2 3 8" xfId="1997" xr:uid="{82A8C75D-CC1A-4647-8781-14870E87121E}"/>
    <cellStyle name="InNum2dp 2 3 9" xfId="1052" xr:uid="{9B61355F-4572-425D-943F-D31A3A40EE65}"/>
    <cellStyle name="InNum2dp 2 4" xfId="152" xr:uid="{0C32AF22-6B42-47E2-98E6-49F020FEB47D}"/>
    <cellStyle name="InNum2dp 2 4 2" xfId="213" xr:uid="{99C33A02-64DF-4FA7-9BA9-B74971D78D4E}"/>
    <cellStyle name="InNum2dp 2 4 2 2" xfId="331" xr:uid="{3D438A0B-FD49-4534-865A-EA541597FF69}"/>
    <cellStyle name="InNum2dp 2 4 2 2 2" xfId="567" xr:uid="{2A1EA095-D781-4D07-AD44-3C4101761D40}"/>
    <cellStyle name="InNum2dp 2 4 2 2 2 2" xfId="1039" xr:uid="{D1E6F6D5-27A5-4B5E-88AE-5D01AC943FC0}"/>
    <cellStyle name="InNum2dp 2 4 2 2 2 2 2" xfId="2928" xr:uid="{305DCE37-1903-40A7-AC39-9E76558B1C24}"/>
    <cellStyle name="InNum2dp 2 4 2 2 2 2 3" xfId="1983" xr:uid="{4A06CB23-9E92-46B5-B6C0-B909F01EC1DC}"/>
    <cellStyle name="InNum2dp 2 4 2 2 2 3" xfId="2456" xr:uid="{03363FF1-A985-4E6F-B271-B890BD635F1F}"/>
    <cellStyle name="InNum2dp 2 4 2 2 2 4" xfId="1511" xr:uid="{73029080-6290-40AD-9383-4AA84040130A}"/>
    <cellStyle name="InNum2dp 2 4 2 2 3" xfId="803" xr:uid="{C527ED8C-DC30-4170-B8D0-1C68330C201B}"/>
    <cellStyle name="InNum2dp 2 4 2 2 3 2" xfId="2692" xr:uid="{92C3D1D5-3BE8-4C8E-BD61-718684D16BAE}"/>
    <cellStyle name="InNum2dp 2 4 2 2 3 3" xfId="1747" xr:uid="{E5E9F54A-19A6-40E8-A8E6-F408F79DE6D4}"/>
    <cellStyle name="InNum2dp 2 4 2 2 4" xfId="2220" xr:uid="{94B7EFF9-B9BE-4FDA-BA46-3B8FD2B7E7BE}"/>
    <cellStyle name="InNum2dp 2 4 2 2 5" xfId="1275" xr:uid="{45F638BD-7B55-4147-B51D-BA7484E0B2D8}"/>
    <cellStyle name="InNum2dp 2 4 2 3" xfId="449" xr:uid="{FA060C40-0477-4DCC-80DB-DFF3DF2E4626}"/>
    <cellStyle name="InNum2dp 2 4 2 3 2" xfId="921" xr:uid="{8E13EDC0-B5A1-48C8-89DD-17B6BBB87D81}"/>
    <cellStyle name="InNum2dp 2 4 2 3 2 2" xfId="2810" xr:uid="{DE9828AA-5FE4-44F5-8ADA-FC195C9914CC}"/>
    <cellStyle name="InNum2dp 2 4 2 3 2 3" xfId="1865" xr:uid="{4A51B564-E963-45EC-8FFD-B965832EE989}"/>
    <cellStyle name="InNum2dp 2 4 2 3 3" xfId="2338" xr:uid="{3E0B7604-16B1-4744-9F52-70E6D80FBA25}"/>
    <cellStyle name="InNum2dp 2 4 2 3 4" xfId="1393" xr:uid="{D1F96D68-B2EA-4738-841E-CE5C51EE85A8}"/>
    <cellStyle name="InNum2dp 2 4 2 4" xfId="685" xr:uid="{B47C484E-157D-4EDD-8155-3651F3C2E96A}"/>
    <cellStyle name="InNum2dp 2 4 2 4 2" xfId="2574" xr:uid="{EAD89F4C-01D1-4E7E-A34D-28060B259A17}"/>
    <cellStyle name="InNum2dp 2 4 2 4 3" xfId="1629" xr:uid="{1F87A56E-41F8-4838-925A-D65A7305F961}"/>
    <cellStyle name="InNum2dp 2 4 2 5" xfId="2102" xr:uid="{648A9E97-E288-4D6F-A5BE-E77E6540D310}"/>
    <cellStyle name="InNum2dp 2 4 2 6" xfId="1157" xr:uid="{031F0DAD-DE2B-42CC-9845-601CCE649724}"/>
    <cellStyle name="InNum2dp 2 4 3" xfId="272" xr:uid="{E5E727EA-2D61-421A-91B3-D3EAB8D791A6}"/>
    <cellStyle name="InNum2dp 2 4 3 2" xfId="508" xr:uid="{F8CA7320-8C8F-4200-B59A-6C0CD64B2738}"/>
    <cellStyle name="InNum2dp 2 4 3 2 2" xfId="980" xr:uid="{691065F6-F9B6-41B2-8782-8A3A763607C5}"/>
    <cellStyle name="InNum2dp 2 4 3 2 2 2" xfId="2869" xr:uid="{C388368D-C4EE-459E-B5DF-53F02CE6A6DD}"/>
    <cellStyle name="InNum2dp 2 4 3 2 2 3" xfId="1924" xr:uid="{88B9930F-AE55-4975-BE7E-9D90BF9F6C03}"/>
    <cellStyle name="InNum2dp 2 4 3 2 3" xfId="2397" xr:uid="{D215045D-C5EE-4A0C-B6D7-2A61B2DE1B7C}"/>
    <cellStyle name="InNum2dp 2 4 3 2 4" xfId="1452" xr:uid="{92FBC751-A835-4229-9ADD-1B8F858D1772}"/>
    <cellStyle name="InNum2dp 2 4 3 3" xfId="744" xr:uid="{41212EE7-894D-446A-80C1-5083D256362C}"/>
    <cellStyle name="InNum2dp 2 4 3 3 2" xfId="2633" xr:uid="{50E626C1-FF96-4B0A-9082-07DA5A7F3866}"/>
    <cellStyle name="InNum2dp 2 4 3 3 3" xfId="1688" xr:uid="{21BC605C-DE4A-47A8-A46B-FADCFC289E39}"/>
    <cellStyle name="InNum2dp 2 4 3 4" xfId="2161" xr:uid="{A9A7C37E-9302-4926-BE3F-0736B6B6A2A0}"/>
    <cellStyle name="InNum2dp 2 4 3 5" xfId="1216" xr:uid="{185B6009-6657-4892-91DB-4D93689410B1}"/>
    <cellStyle name="InNum2dp 2 4 4" xfId="390" xr:uid="{5B958363-F624-4D7F-B047-BFAB69836AD2}"/>
    <cellStyle name="InNum2dp 2 4 4 2" xfId="862" xr:uid="{4BA55DDB-0920-450A-833F-11047ACDA10B}"/>
    <cellStyle name="InNum2dp 2 4 4 2 2" xfId="2751" xr:uid="{B78D3174-2B3B-4ED9-AF49-834A451B7F78}"/>
    <cellStyle name="InNum2dp 2 4 4 2 3" xfId="1806" xr:uid="{2394B34A-BB2A-43C0-96D4-F87513E6FAE1}"/>
    <cellStyle name="InNum2dp 2 4 4 3" xfId="2279" xr:uid="{734D7819-3169-44DF-BE6F-7F02DCAACD9A}"/>
    <cellStyle name="InNum2dp 2 4 4 4" xfId="1334" xr:uid="{2DFDC225-27DC-4DF9-B65F-E3E204D60297}"/>
    <cellStyle name="InNum2dp 2 4 5" xfId="626" xr:uid="{3B5FCA14-7AB2-4ECF-91FC-8FC5A626B5D7}"/>
    <cellStyle name="InNum2dp 2 4 5 2" xfId="2515" xr:uid="{4EAA6F57-B458-4E85-BA88-7213A10B6907}"/>
    <cellStyle name="InNum2dp 2 4 5 3" xfId="1570" xr:uid="{A111B64A-C9F0-4A9D-B9D0-8C0F89639EB4}"/>
    <cellStyle name="InNum2dp 2 4 6" xfId="2043" xr:uid="{AB9434B0-2415-4441-9DBB-126461864A87}"/>
    <cellStyle name="InNum2dp 2 4 7" xfId="1098" xr:uid="{B459371A-78BD-40CA-B354-231F24759D3A}"/>
    <cellStyle name="InNum2dp 3" xfId="102" xr:uid="{22BF79F4-DE8F-41CE-9B8F-DD5C8671CCE5}"/>
    <cellStyle name="InNum2dp 3 2" xfId="149" xr:uid="{58D89BCD-7F51-4FA7-A6E8-658CE46B700E}"/>
    <cellStyle name="InNum2dp 3 2 2" xfId="210" xr:uid="{E819B2BB-67C2-41A1-8F01-9268C5C45061}"/>
    <cellStyle name="InNum2dp 3 2 2 2" xfId="328" xr:uid="{CC78F428-D0E5-4115-84EF-59C6286AF7CA}"/>
    <cellStyle name="InNum2dp 3 2 2 2 2" xfId="564" xr:uid="{3713F765-C930-4AFD-A3C7-B3F8F615838F}"/>
    <cellStyle name="InNum2dp 3 2 2 2 2 2" xfId="1036" xr:uid="{76EFD681-100B-4FEB-9F9D-65548DC0C8F0}"/>
    <cellStyle name="InNum2dp 3 2 2 2 2 2 2" xfId="2925" xr:uid="{7496938C-05C2-4927-8815-BE2FB5D9CC1E}"/>
    <cellStyle name="InNum2dp 3 2 2 2 2 2 3" xfId="1980" xr:uid="{1EDC4658-DAE8-4552-B8A0-C5504627C67B}"/>
    <cellStyle name="InNum2dp 3 2 2 2 2 3" xfId="2453" xr:uid="{A750B010-2125-4810-AF1E-D7616AB0A289}"/>
    <cellStyle name="InNum2dp 3 2 2 2 2 4" xfId="1508" xr:uid="{A1235306-78A1-4939-ADD6-74D79C66187D}"/>
    <cellStyle name="InNum2dp 3 2 2 2 3" xfId="800" xr:uid="{5653F160-7A37-465B-BC5A-C53342FEAE60}"/>
    <cellStyle name="InNum2dp 3 2 2 2 3 2" xfId="2689" xr:uid="{7C815707-E78B-4025-94C1-B1BD7E2C13C9}"/>
    <cellStyle name="InNum2dp 3 2 2 2 3 3" xfId="1744" xr:uid="{56B62708-B3FB-4F7A-A420-4EAA2FE9DF92}"/>
    <cellStyle name="InNum2dp 3 2 2 2 4" xfId="2217" xr:uid="{9A891CEA-0061-411A-8D9C-3BC667009FAA}"/>
    <cellStyle name="InNum2dp 3 2 2 2 5" xfId="1272" xr:uid="{E155AC06-D8B7-44D4-8306-D51F684718D4}"/>
    <cellStyle name="InNum2dp 3 2 2 3" xfId="446" xr:uid="{CBEF81F9-EBA2-4161-9968-BB846B9FC79F}"/>
    <cellStyle name="InNum2dp 3 2 2 3 2" xfId="918" xr:uid="{4F67558C-6FC6-43AB-9B5A-9FB34462EBC8}"/>
    <cellStyle name="InNum2dp 3 2 2 3 2 2" xfId="2807" xr:uid="{B3764908-3F64-463F-86ED-94586DFF9516}"/>
    <cellStyle name="InNum2dp 3 2 2 3 2 3" xfId="1862" xr:uid="{136006E0-C014-475E-88AE-1C7803759842}"/>
    <cellStyle name="InNum2dp 3 2 2 3 3" xfId="2335" xr:uid="{8AB48AE9-97CF-43CA-A10A-0B5CA7488C18}"/>
    <cellStyle name="InNum2dp 3 2 2 3 4" xfId="1390" xr:uid="{CDEF14B2-902E-47EE-9D0A-86D88FEA0D04}"/>
    <cellStyle name="InNum2dp 3 2 2 4" xfId="682" xr:uid="{92DF9510-E3DF-4151-98C7-1C0A201521B5}"/>
    <cellStyle name="InNum2dp 3 2 2 4 2" xfId="2571" xr:uid="{4253AC7E-3B64-4B0E-8E01-BC52CD4138F9}"/>
    <cellStyle name="InNum2dp 3 2 2 4 3" xfId="1626" xr:uid="{99CADA74-A047-4718-BA17-53E747B7696A}"/>
    <cellStyle name="InNum2dp 3 2 2 5" xfId="2099" xr:uid="{8F52702B-37C3-4E0A-84D1-4296DB353775}"/>
    <cellStyle name="InNum2dp 3 2 2 6" xfId="1154" xr:uid="{9B14C166-B99E-42B0-8C06-5BF572B2190D}"/>
    <cellStyle name="InNum2dp 3 2 3" xfId="269" xr:uid="{C4CAF7F3-9BFE-4889-970C-0A83A16BA51E}"/>
    <cellStyle name="InNum2dp 3 2 3 2" xfId="505" xr:uid="{20F89C0C-95FB-4391-9432-38990FD4EB67}"/>
    <cellStyle name="InNum2dp 3 2 3 2 2" xfId="977" xr:uid="{AC4AF0B4-AF91-449D-87D2-54A539FAAC1C}"/>
    <cellStyle name="InNum2dp 3 2 3 2 2 2" xfId="2866" xr:uid="{517A8C20-3AEB-4411-BB67-CD5C9236EF5D}"/>
    <cellStyle name="InNum2dp 3 2 3 2 2 3" xfId="1921" xr:uid="{BB1B332E-F0C7-405C-A57D-7F641D30FD9A}"/>
    <cellStyle name="InNum2dp 3 2 3 2 3" xfId="2394" xr:uid="{049E782E-53A1-4FF7-B077-0A9DDD5310AD}"/>
    <cellStyle name="InNum2dp 3 2 3 2 4" xfId="1449" xr:uid="{101772AE-B3DE-4432-A3B2-D9D72592850B}"/>
    <cellStyle name="InNum2dp 3 2 3 3" xfId="741" xr:uid="{C08511F5-CA03-451E-9FC4-1D876102B04C}"/>
    <cellStyle name="InNum2dp 3 2 3 3 2" xfId="2630" xr:uid="{76706650-7512-4E0F-AD84-5E13E819BE06}"/>
    <cellStyle name="InNum2dp 3 2 3 3 3" xfId="1685" xr:uid="{BFB95833-502C-43D1-B78B-3EF897097D2B}"/>
    <cellStyle name="InNum2dp 3 2 3 4" xfId="2158" xr:uid="{EA554A56-EEE0-4D3A-B1B8-2BF07E30BD79}"/>
    <cellStyle name="InNum2dp 3 2 3 5" xfId="1213" xr:uid="{1A72F4E7-E59B-489C-AFF7-9E05CFB82E60}"/>
    <cellStyle name="InNum2dp 3 2 4" xfId="387" xr:uid="{B2FECBE2-5C36-4817-A4D7-8C2F0A15DEF0}"/>
    <cellStyle name="InNum2dp 3 2 4 2" xfId="859" xr:uid="{61BC11B6-2CFB-46BE-A2D7-A176EC8857D1}"/>
    <cellStyle name="InNum2dp 3 2 4 2 2" xfId="2748" xr:uid="{125532A9-7D65-4F23-9C07-4A4ABE339773}"/>
    <cellStyle name="InNum2dp 3 2 4 2 3" xfId="1803" xr:uid="{ED2C0E7B-4B6A-4DAA-AE3C-EDFA3FFAB40A}"/>
    <cellStyle name="InNum2dp 3 2 4 3" xfId="2276" xr:uid="{1DC0F6A9-E489-4239-9183-4D03AA1EF5D2}"/>
    <cellStyle name="InNum2dp 3 2 4 4" xfId="1331" xr:uid="{85D1F10C-609F-4C07-8860-F55EE3141B1F}"/>
    <cellStyle name="InNum2dp 3 2 5" xfId="623" xr:uid="{FB906AE0-9DC2-42E2-BCB9-C769A09A5D8F}"/>
    <cellStyle name="InNum2dp 3 2 5 2" xfId="2512" xr:uid="{6096FDCD-7527-416C-A8FB-4E85199E62F3}"/>
    <cellStyle name="InNum2dp 3 2 5 3" xfId="1567" xr:uid="{E6F6EDDB-AB32-4622-A5A7-7DA95A04D94A}"/>
    <cellStyle name="InNum2dp 3 2 6" xfId="2040" xr:uid="{CC8A36FB-45D8-40D1-AFF9-0D0DF45A783E}"/>
    <cellStyle name="InNum2dp 3 2 7" xfId="1095" xr:uid="{3045D974-FB23-4439-8B71-8ACED046BD4E}"/>
    <cellStyle name="InNum2dp 3 3" xfId="117" xr:uid="{60696B32-53A9-4F65-96B3-F867AE78EBFB}"/>
    <cellStyle name="InNum2dp 3 3 2" xfId="179" xr:uid="{DF167B57-521C-4B19-B8E9-060C8CB1F23D}"/>
    <cellStyle name="InNum2dp 3 3 2 2" xfId="297" xr:uid="{F5DAF4D6-1DC3-4508-B9B3-93A807156786}"/>
    <cellStyle name="InNum2dp 3 3 2 2 2" xfId="533" xr:uid="{7F3355B0-D39B-46F3-B231-470112D7ECBE}"/>
    <cellStyle name="InNum2dp 3 3 2 2 2 2" xfId="1005" xr:uid="{8BBC5AA5-C3D4-4129-A495-3815EA06A723}"/>
    <cellStyle name="InNum2dp 3 3 2 2 2 2 2" xfId="2894" xr:uid="{6D7B22C8-8E29-4DE0-8971-CFB99A1A5F34}"/>
    <cellStyle name="InNum2dp 3 3 2 2 2 2 3" xfId="1949" xr:uid="{7A67663F-A162-48AC-A43B-7090A3AD9F14}"/>
    <cellStyle name="InNum2dp 3 3 2 2 2 3" xfId="2422" xr:uid="{C2822F14-A9AB-4F89-8CF6-0108779A3E35}"/>
    <cellStyle name="InNum2dp 3 3 2 2 2 4" xfId="1477" xr:uid="{C2EB6334-F088-44E0-AD0F-0A0AB0DD0B2A}"/>
    <cellStyle name="InNum2dp 3 3 2 2 3" xfId="769" xr:uid="{EC7777DB-6B6C-4BA1-8D14-456D53EF8D6A}"/>
    <cellStyle name="InNum2dp 3 3 2 2 3 2" xfId="2658" xr:uid="{B4F329B7-010E-4F92-BC76-10EC74502051}"/>
    <cellStyle name="InNum2dp 3 3 2 2 3 3" xfId="1713" xr:uid="{45868654-A51D-430C-B736-D4D1ADFEBA13}"/>
    <cellStyle name="InNum2dp 3 3 2 2 4" xfId="2186" xr:uid="{062B99DF-9A07-47A7-A3CE-4C6655E740ED}"/>
    <cellStyle name="InNum2dp 3 3 2 2 5" xfId="1241" xr:uid="{9E186C91-6EF6-4ED5-A5CC-154FF0D862FF}"/>
    <cellStyle name="InNum2dp 3 3 2 3" xfId="415" xr:uid="{2FFA1ED3-7E21-46BD-8879-462322E7CFD2}"/>
    <cellStyle name="InNum2dp 3 3 2 3 2" xfId="887" xr:uid="{E4DF0736-8FDE-4FA7-B42B-921765542314}"/>
    <cellStyle name="InNum2dp 3 3 2 3 2 2" xfId="2776" xr:uid="{5B870DE0-5052-4574-B960-E16921F2F315}"/>
    <cellStyle name="InNum2dp 3 3 2 3 2 3" xfId="1831" xr:uid="{A54C2790-DCF0-4069-A358-5B887B714281}"/>
    <cellStyle name="InNum2dp 3 3 2 3 3" xfId="2304" xr:uid="{07EBD892-FA2E-47CA-8954-E2F1DFA62B67}"/>
    <cellStyle name="InNum2dp 3 3 2 3 4" xfId="1359" xr:uid="{5F0108BB-2B7C-4A06-B8B1-2090BCF6ECA3}"/>
    <cellStyle name="InNum2dp 3 3 2 4" xfId="651" xr:uid="{FA47D014-7759-4860-B053-1345BA662313}"/>
    <cellStyle name="InNum2dp 3 3 2 4 2" xfId="2540" xr:uid="{3C946D12-A1B6-45AB-A48B-2E481052B020}"/>
    <cellStyle name="InNum2dp 3 3 2 4 3" xfId="1595" xr:uid="{E98984FE-729A-4700-86F8-007E3C3B27C2}"/>
    <cellStyle name="InNum2dp 3 3 2 5" xfId="2068" xr:uid="{6B21EC52-45C4-4A7D-BAFD-1930EDD33D1E}"/>
    <cellStyle name="InNum2dp 3 3 2 6" xfId="1123" xr:uid="{D27D10A2-0718-4DBE-A7EB-2892E1B93B3C}"/>
    <cellStyle name="InNum2dp 3 3 3" xfId="238" xr:uid="{85D68D5A-758E-4CFB-9CCC-B5B5BE91298F}"/>
    <cellStyle name="InNum2dp 3 3 3 2" xfId="474" xr:uid="{20A8F5F8-82A1-4CF1-8F3B-1AE4D39FBB5A}"/>
    <cellStyle name="InNum2dp 3 3 3 2 2" xfId="946" xr:uid="{46B4B91B-881C-4540-A311-E38816B0AC99}"/>
    <cellStyle name="InNum2dp 3 3 3 2 2 2" xfId="2835" xr:uid="{EF84B199-234D-4D1F-8173-155F4641A22F}"/>
    <cellStyle name="InNum2dp 3 3 3 2 2 3" xfId="1890" xr:uid="{A061A14E-5E2B-4A30-A5F6-0EAC37FDA5AB}"/>
    <cellStyle name="InNum2dp 3 3 3 2 3" xfId="2363" xr:uid="{2DFAFA10-6AED-46AD-9E64-3C0C1D07EE9B}"/>
    <cellStyle name="InNum2dp 3 3 3 2 4" xfId="1418" xr:uid="{B5588394-B245-4F24-9B8F-C993DB508DEB}"/>
    <cellStyle name="InNum2dp 3 3 3 3" xfId="710" xr:uid="{D7FE665E-DC27-4192-BE93-1D05428ECECA}"/>
    <cellStyle name="InNum2dp 3 3 3 3 2" xfId="2599" xr:uid="{6741A76E-8430-4B64-AD63-A89D8505DB27}"/>
    <cellStyle name="InNum2dp 3 3 3 3 3" xfId="1654" xr:uid="{F8918013-D393-4E5A-8C01-BD64C202D92C}"/>
    <cellStyle name="InNum2dp 3 3 3 4" xfId="2127" xr:uid="{8D7EE670-D833-4123-B60D-7900AB62D289}"/>
    <cellStyle name="InNum2dp 3 3 3 5" xfId="1182" xr:uid="{67491CA6-4AD1-4DC5-9E84-579FE92E5D06}"/>
    <cellStyle name="InNum2dp 3 3 4" xfId="356" xr:uid="{E70C3153-D758-4F95-9C77-DFF33E8728AA}"/>
    <cellStyle name="InNum2dp 3 3 4 2" xfId="828" xr:uid="{B31D1444-770F-4DE1-A123-D37691AB9375}"/>
    <cellStyle name="InNum2dp 3 3 4 2 2" xfId="2717" xr:uid="{9B0A2323-29E0-4A42-A714-FBDA857BDB35}"/>
    <cellStyle name="InNum2dp 3 3 4 2 3" xfId="1772" xr:uid="{A93DB29B-22D2-4511-8B8F-312C0CB99F73}"/>
    <cellStyle name="InNum2dp 3 3 4 3" xfId="2245" xr:uid="{A8C13E13-F7CD-4D91-9112-C9B88D7087DE}"/>
    <cellStyle name="InNum2dp 3 3 4 4" xfId="1300" xr:uid="{F1521694-E5CD-4EC9-B3CA-A38EEF65B7D4}"/>
    <cellStyle name="InNum2dp 3 3 5" xfId="592" xr:uid="{5692A0F7-323D-48F5-BBF5-0CCDFBE68820}"/>
    <cellStyle name="InNum2dp 3 3 5 2" xfId="2481" xr:uid="{D5461076-DDDB-4CA6-918D-A6053984791B}"/>
    <cellStyle name="InNum2dp 3 3 5 3" xfId="1536" xr:uid="{A8EEFEC9-F353-4653-A73F-A175493FB992}"/>
    <cellStyle name="InNum2dp 3 3 6" xfId="2009" xr:uid="{75579A92-4178-47B0-91B8-C774FD99A40C}"/>
    <cellStyle name="InNum2dp 3 3 7" xfId="1064" xr:uid="{19D3B788-3C7D-4776-8CB0-C3B8C089328A}"/>
    <cellStyle name="InNum2dp 3 4" xfId="164" xr:uid="{BDE03DEF-02C1-4710-82F3-BF06584C80C9}"/>
    <cellStyle name="InNum2dp 3 4 2" xfId="282" xr:uid="{0ABF66D6-C4A1-4317-B783-12CD7FCB5C30}"/>
    <cellStyle name="InNum2dp 3 4 2 2" xfId="518" xr:uid="{89DA1B9E-1B39-48E2-B347-5D5A90E91962}"/>
    <cellStyle name="InNum2dp 3 4 2 2 2" xfId="990" xr:uid="{97E10525-0B85-429D-9159-1813AC7C688E}"/>
    <cellStyle name="InNum2dp 3 4 2 2 2 2" xfId="2879" xr:uid="{09E3E8D9-AB73-41DB-9677-6ABE396E6604}"/>
    <cellStyle name="InNum2dp 3 4 2 2 2 3" xfId="1934" xr:uid="{E2084564-BC9B-4F5B-8C7A-FD5F509942A9}"/>
    <cellStyle name="InNum2dp 3 4 2 2 3" xfId="2407" xr:uid="{BEE3936A-861D-446C-A79A-33C150871D63}"/>
    <cellStyle name="InNum2dp 3 4 2 2 4" xfId="1462" xr:uid="{98C2360A-7F2D-4AFF-92C9-DD824CB79489}"/>
    <cellStyle name="InNum2dp 3 4 2 3" xfId="754" xr:uid="{DF2370E6-D362-402D-9A7B-F99822BD476F}"/>
    <cellStyle name="InNum2dp 3 4 2 3 2" xfId="2643" xr:uid="{E82E4A18-50B4-432E-B699-882EBDE5D524}"/>
    <cellStyle name="InNum2dp 3 4 2 3 3" xfId="1698" xr:uid="{58772F68-CD1C-4D37-A5C4-B1C75CE6F1A4}"/>
    <cellStyle name="InNum2dp 3 4 2 4" xfId="2171" xr:uid="{10C24306-2718-4542-ADA5-0A70A4795EC7}"/>
    <cellStyle name="InNum2dp 3 4 2 5" xfId="1226" xr:uid="{5168DB06-3C1A-4FA4-B2FA-981197340F89}"/>
    <cellStyle name="InNum2dp 3 4 3" xfId="400" xr:uid="{DFD1996F-6FFA-4E23-929C-20D17BF4287B}"/>
    <cellStyle name="InNum2dp 3 4 3 2" xfId="872" xr:uid="{68FF0BF3-6764-44EE-A5CF-F38BB3637832}"/>
    <cellStyle name="InNum2dp 3 4 3 2 2" xfId="2761" xr:uid="{A66BF830-1204-489C-A5A6-B5C48E6FB941}"/>
    <cellStyle name="InNum2dp 3 4 3 2 3" xfId="1816" xr:uid="{863F37B5-F70D-4622-B370-E1D6A76056AA}"/>
    <cellStyle name="InNum2dp 3 4 3 3" xfId="2289" xr:uid="{D3B24277-148C-4628-BC42-C9DC564C0591}"/>
    <cellStyle name="InNum2dp 3 4 3 4" xfId="1344" xr:uid="{9C4E57CC-C645-4C6B-AAE2-8C6CF76E528F}"/>
    <cellStyle name="InNum2dp 3 4 4" xfId="636" xr:uid="{44E91C06-4AD5-42A8-B143-BC6B16385CAA}"/>
    <cellStyle name="InNum2dp 3 4 4 2" xfId="2525" xr:uid="{ECFD5E96-662D-4140-9143-C3E6A88C8E81}"/>
    <cellStyle name="InNum2dp 3 4 4 3" xfId="1580" xr:uid="{21BA197F-BFBC-4E0F-AC94-DE2A3ED1A5B3}"/>
    <cellStyle name="InNum2dp 3 4 5" xfId="2053" xr:uid="{0E0DD50B-032E-4C1F-AED7-4D8CB1EDAF6E}"/>
    <cellStyle name="InNum2dp 3 4 6" xfId="1108" xr:uid="{01C3727D-2A9E-43A7-93B5-BF9DD3693D50}"/>
    <cellStyle name="InNum2dp 3 5" xfId="223" xr:uid="{75574D0D-B0B1-4C23-85C0-1E3158824B46}"/>
    <cellStyle name="InNum2dp 3 5 2" xfId="459" xr:uid="{635F073A-417B-43B1-8C9C-D1EE91D85235}"/>
    <cellStyle name="InNum2dp 3 5 2 2" xfId="931" xr:uid="{2BD91AA6-16B1-4515-A1F5-B6FFD107B5A2}"/>
    <cellStyle name="InNum2dp 3 5 2 2 2" xfId="2820" xr:uid="{0EAC70F0-E069-4F22-8DC2-A4C3FE6A987B}"/>
    <cellStyle name="InNum2dp 3 5 2 2 3" xfId="1875" xr:uid="{1D877157-F7B2-4770-873D-81097F6CAF30}"/>
    <cellStyle name="InNum2dp 3 5 2 3" xfId="2348" xr:uid="{EE835B8F-0BFD-47CF-B144-4835AD27259B}"/>
    <cellStyle name="InNum2dp 3 5 2 4" xfId="1403" xr:uid="{8C476D32-FC9F-4AD9-BAAE-14BB17CC9D0D}"/>
    <cellStyle name="InNum2dp 3 5 3" xfId="695" xr:uid="{FA2B3413-DF9C-437E-A1B6-237CA86FE97C}"/>
    <cellStyle name="InNum2dp 3 5 3 2" xfId="2584" xr:uid="{0FCC6F94-5D76-4E00-8B73-2574C09A4DAF}"/>
    <cellStyle name="InNum2dp 3 5 3 3" xfId="1639" xr:uid="{2C9D9DE7-2A14-42B6-BFA0-D02982255E6D}"/>
    <cellStyle name="InNum2dp 3 5 4" xfId="2112" xr:uid="{661EE3BF-9D9F-447E-B65F-7AB5B8ECE124}"/>
    <cellStyle name="InNum2dp 3 5 5" xfId="1167" xr:uid="{BE7320C0-A36E-4788-A62F-EA28E242D19B}"/>
    <cellStyle name="InNum2dp 3 6" xfId="341" xr:uid="{721D81EA-6F32-43B3-BA25-346B69795337}"/>
    <cellStyle name="InNum2dp 3 6 2" xfId="813" xr:uid="{EFE0A9D3-0F2E-4979-9AC5-72C00778981F}"/>
    <cellStyle name="InNum2dp 3 6 2 2" xfId="2702" xr:uid="{85184F7F-343F-49B0-B71F-6D7C21643DCB}"/>
    <cellStyle name="InNum2dp 3 6 2 3" xfId="1757" xr:uid="{B4506B9D-A819-423F-B104-610B01C156F0}"/>
    <cellStyle name="InNum2dp 3 6 3" xfId="2230" xr:uid="{7708DF41-F027-42F0-A7AB-DB4125D0A29C}"/>
    <cellStyle name="InNum2dp 3 6 4" xfId="1285" xr:uid="{2F898863-57A0-4677-A297-246BDF29CA43}"/>
    <cellStyle name="InNum2dp 3 7" xfId="577" xr:uid="{2D5C9CDE-0DBE-41EC-8AEC-05F81801681D}"/>
    <cellStyle name="InNum2dp 3 7 2" xfId="2466" xr:uid="{CCB9836B-7A60-4A57-82A4-95595091B973}"/>
    <cellStyle name="InNum2dp 3 7 3" xfId="1521" xr:uid="{CC11F147-071C-4092-A031-8857B60DD09B}"/>
    <cellStyle name="InNum2dp 3 8" xfId="1994" xr:uid="{53B0A747-3865-4E30-B13D-2EC0E3F3DB09}"/>
    <cellStyle name="InNum2dp 3 9" xfId="1049" xr:uid="{0EFCCEF5-9381-42E4-A352-2AEE719CB884}"/>
    <cellStyle name="InNum2dp 4" xfId="132" xr:uid="{8E4F2296-5CCA-441F-9A46-AC5AD7E8BE9D}"/>
    <cellStyle name="InNum2dp 4 2" xfId="194" xr:uid="{27BAD639-EC4F-4755-BCCC-BFF3DB361963}"/>
    <cellStyle name="InNum2dp 4 2 2" xfId="312" xr:uid="{67031BFB-4CA9-4D1E-A4CC-2628E7419927}"/>
    <cellStyle name="InNum2dp 4 2 2 2" xfId="548" xr:uid="{E7BA9E5F-ADC0-42C4-83E3-CEDF56D1EE20}"/>
    <cellStyle name="InNum2dp 4 2 2 2 2" xfId="1020" xr:uid="{E80F284C-93FA-4237-92BA-1C0AA3E69249}"/>
    <cellStyle name="InNum2dp 4 2 2 2 2 2" xfId="2909" xr:uid="{3A63DA83-E3A4-4192-B4B4-808240A6173C}"/>
    <cellStyle name="InNum2dp 4 2 2 2 2 3" xfId="1964" xr:uid="{A7916106-0071-498A-A614-80EAD670036D}"/>
    <cellStyle name="InNum2dp 4 2 2 2 3" xfId="2437" xr:uid="{912DF9A8-6A5C-42E4-A3F1-2ACBFE14104A}"/>
    <cellStyle name="InNum2dp 4 2 2 2 4" xfId="1492" xr:uid="{BCB3CCC2-FBB2-4EE9-9253-2A51C175152D}"/>
    <cellStyle name="InNum2dp 4 2 2 3" xfId="784" xr:uid="{0D3F02BD-03C1-421E-8F48-A83F93606FE4}"/>
    <cellStyle name="InNum2dp 4 2 2 3 2" xfId="2673" xr:uid="{045E8AF2-41DE-44B2-9B14-A6FC47D1F2F4}"/>
    <cellStyle name="InNum2dp 4 2 2 3 3" xfId="1728" xr:uid="{EA5D394D-C2CB-45E7-AA1C-DCB3BF2A2F7F}"/>
    <cellStyle name="InNum2dp 4 2 2 4" xfId="2201" xr:uid="{34125414-049A-46DC-844E-75A1E66C8B03}"/>
    <cellStyle name="InNum2dp 4 2 2 5" xfId="1256" xr:uid="{E6201362-764F-47F5-A420-590183CEE66A}"/>
    <cellStyle name="InNum2dp 4 2 3" xfId="430" xr:uid="{2A604F4E-616E-4773-80C0-D66C06715381}"/>
    <cellStyle name="InNum2dp 4 2 3 2" xfId="902" xr:uid="{F0F754F6-5123-4427-99B4-A34DB38813C8}"/>
    <cellStyle name="InNum2dp 4 2 3 2 2" xfId="2791" xr:uid="{9852C7F3-0887-45C5-BA5B-54F72BF6070E}"/>
    <cellStyle name="InNum2dp 4 2 3 2 3" xfId="1846" xr:uid="{F8470B19-8391-4807-BC59-A5B884783E48}"/>
    <cellStyle name="InNum2dp 4 2 3 3" xfId="2319" xr:uid="{F0C2B1ED-9FB5-414E-9ED6-D9233A211A63}"/>
    <cellStyle name="InNum2dp 4 2 3 4" xfId="1374" xr:uid="{1A1C92FA-8575-4AFE-8E2D-F162A6B254C6}"/>
    <cellStyle name="InNum2dp 4 2 4" xfId="666" xr:uid="{E135735E-7E2B-4D4E-B843-1D13BA26FA4F}"/>
    <cellStyle name="InNum2dp 4 2 4 2" xfId="2555" xr:uid="{52382D90-39D6-48EB-B52D-49B9B5089BD3}"/>
    <cellStyle name="InNum2dp 4 2 4 3" xfId="1610" xr:uid="{2B510A00-0A65-4AEB-9108-37213D4ABABC}"/>
    <cellStyle name="InNum2dp 4 2 5" xfId="2083" xr:uid="{173D15CD-94FC-4913-8882-50DAFF74DBD5}"/>
    <cellStyle name="InNum2dp 4 2 6" xfId="1138" xr:uid="{A66BCC86-205B-4B0F-A3DF-6F2832CE3400}"/>
    <cellStyle name="InNum2dp 4 3" xfId="253" xr:uid="{BEAE014B-858C-4746-B77E-5C380D4B2BD2}"/>
    <cellStyle name="InNum2dp 4 3 2" xfId="489" xr:uid="{9EC2FF9C-61E6-4418-9DE6-5DF0931F1CA4}"/>
    <cellStyle name="InNum2dp 4 3 2 2" xfId="961" xr:uid="{1251C542-2B6A-41AC-BFC9-CDEB69DF4275}"/>
    <cellStyle name="InNum2dp 4 3 2 2 2" xfId="2850" xr:uid="{76402A77-BDC0-4941-8898-00E7A4E814CB}"/>
    <cellStyle name="InNum2dp 4 3 2 2 3" xfId="1905" xr:uid="{4469195B-99ED-4652-8359-080EAC6DE8E0}"/>
    <cellStyle name="InNum2dp 4 3 2 3" xfId="2378" xr:uid="{7765178A-B057-425D-8913-88CEA29D94B8}"/>
    <cellStyle name="InNum2dp 4 3 2 4" xfId="1433" xr:uid="{9089A57C-777A-4113-ABFF-18C490BB99AD}"/>
    <cellStyle name="InNum2dp 4 3 3" xfId="725" xr:uid="{DFB4B2B9-0660-40B3-A1A1-2E5C1DC23DDA}"/>
    <cellStyle name="InNum2dp 4 3 3 2" xfId="2614" xr:uid="{803DB482-FC88-4169-A725-FBE0B05302C9}"/>
    <cellStyle name="InNum2dp 4 3 3 3" xfId="1669" xr:uid="{83643987-9C21-41B2-90B0-2C95ECBBBF88}"/>
    <cellStyle name="InNum2dp 4 3 4" xfId="2142" xr:uid="{577AFFA9-FF16-411F-8A3E-E109037C9560}"/>
    <cellStyle name="InNum2dp 4 3 5" xfId="1197" xr:uid="{F9F1730B-8B8E-4DC4-BEEA-6B78C2B5FBFF}"/>
    <cellStyle name="InNum2dp 4 4" xfId="371" xr:uid="{03692607-EAA3-489B-BA0D-19B7034E5BD0}"/>
    <cellStyle name="InNum2dp 4 4 2" xfId="843" xr:uid="{5E7D254D-FB74-4CC4-92C8-8F1741D87A4F}"/>
    <cellStyle name="InNum2dp 4 4 2 2" xfId="2732" xr:uid="{AD5830B2-E6DA-410C-B8FE-018EB3B00A1A}"/>
    <cellStyle name="InNum2dp 4 4 2 3" xfId="1787" xr:uid="{6C6317C4-201F-452A-80B3-D6D2E2BA8FEA}"/>
    <cellStyle name="InNum2dp 4 4 3" xfId="2260" xr:uid="{069136BA-6BA4-43F2-8E6A-329531E190C2}"/>
    <cellStyle name="InNum2dp 4 4 4" xfId="1315" xr:uid="{507B1086-4375-4FC8-B3C9-D7D44D6B5519}"/>
    <cellStyle name="InNum2dp 4 5" xfId="607" xr:uid="{1F7D561D-4074-44F8-819C-1C9A8E6314BA}"/>
    <cellStyle name="InNum2dp 4 5 2" xfId="2496" xr:uid="{14585CE1-8B26-46A7-960C-EF785A58DCA4}"/>
    <cellStyle name="InNum2dp 4 5 3" xfId="1551" xr:uid="{595033FD-D92E-48B7-95CC-6FDF1F9E35AD}"/>
    <cellStyle name="InNum2dp 4 6" xfId="2024" xr:uid="{3CB423D8-13B1-4B00-8595-8F43719F74E1}"/>
    <cellStyle name="InNum2dp 4 7" xfId="1079" xr:uid="{525D1B27-5C4E-4F89-8A19-37AE50CB2587}"/>
    <cellStyle name="InPerc0dp" xfId="55" xr:uid="{00000000-0005-0000-0000-00003B000000}"/>
    <cellStyle name="InPerc1dp" xfId="56" xr:uid="{00000000-0005-0000-0000-00003C000000}"/>
    <cellStyle name="InPerc2dp" xfId="57" xr:uid="{00000000-0005-0000-0000-00003D000000}"/>
    <cellStyle name="Input" xfId="15" builtinId="20" hidden="1"/>
    <cellStyle name="Linked Cell" xfId="18" builtinId="24" hidden="1"/>
    <cellStyle name="MyCaption" xfId="81" xr:uid="{00000000-0005-0000-0000-000040000000}"/>
    <cellStyle name="MyCaption 2" xfId="84" xr:uid="{00000000-0005-0000-0000-000041000000}"/>
    <cellStyle name="Neutral" xfId="14" builtinId="28" hidden="1"/>
    <cellStyle name="Neutral 2" xfId="141" xr:uid="{CF98F5A7-5BED-4558-9BF9-4A67604131FD}"/>
    <cellStyle name="Normal" xfId="0" builtinId="0"/>
    <cellStyle name="Normal 2 3" xfId="1992" xr:uid="{F305326D-6A00-47CA-B4C0-21EFCD00D0D8}"/>
    <cellStyle name="Normal 6" xfId="95" xr:uid="{00000000-0005-0000-0000-000045000000}"/>
    <cellStyle name="Normal 7" xfId="98" xr:uid="{00000000-0005-0000-0000-000046000000}"/>
    <cellStyle name="Normal 8" xfId="96" xr:uid="{00000000-0005-0000-0000-000047000000}"/>
    <cellStyle name="Note" xfId="21" builtinId="10" hidden="1"/>
    <cellStyle name="OutDate" xfId="67" xr:uid="{00000000-0005-0000-0000-000049000000}"/>
    <cellStyle name="OutDateShort" xfId="68" xr:uid="{00000000-0005-0000-0000-00004A000000}"/>
    <cellStyle name="OutGen" xfId="61" xr:uid="{00000000-0005-0000-0000-00004B000000}"/>
    <cellStyle name="OutNum0dp" xfId="62" xr:uid="{00000000-0005-0000-0000-00004C000000}"/>
    <cellStyle name="OutNum2dp" xfId="63" xr:uid="{00000000-0005-0000-0000-00004D000000}"/>
    <cellStyle name="OutNum2dp 2" xfId="86" xr:uid="{00000000-0005-0000-0000-00004E000000}"/>
    <cellStyle name="OutNum2dp 2 2" xfId="91" xr:uid="{00000000-0005-0000-0000-00004F000000}"/>
    <cellStyle name="OutNum2dp 2 2 2" xfId="111" xr:uid="{E7A71310-CC47-4E3F-AF32-3A9B37E238C5}"/>
    <cellStyle name="OutNum2dp 2 2 2 2" xfId="147" xr:uid="{BF5AC612-304F-48E0-B7A7-EB31FFD5E51A}"/>
    <cellStyle name="OutNum2dp 2 2 2 2 2" xfId="208" xr:uid="{E54161FD-41BA-4FC7-9C62-74F0FA1E0A2C}"/>
    <cellStyle name="OutNum2dp 2 2 2 2 2 2" xfId="326" xr:uid="{EC42AE15-9CA4-4634-856B-C91E45FA0BDF}"/>
    <cellStyle name="OutNum2dp 2 2 2 2 2 2 2" xfId="562" xr:uid="{C75B8164-6AB3-4AD4-AF1A-23D120AD3EA9}"/>
    <cellStyle name="OutNum2dp 2 2 2 2 2 2 2 2" xfId="1034" xr:uid="{0A96B993-BFF2-4F9A-A447-7FC26104D612}"/>
    <cellStyle name="OutNum2dp 2 2 2 2 2 2 2 2 2" xfId="2923" xr:uid="{D9DA6387-E2AA-42E6-A621-A592F122D26E}"/>
    <cellStyle name="OutNum2dp 2 2 2 2 2 2 2 2 3" xfId="1978" xr:uid="{387472D6-21CA-4DC9-BE7A-51FFC4CD9E84}"/>
    <cellStyle name="OutNum2dp 2 2 2 2 2 2 2 3" xfId="2451" xr:uid="{3A2371E4-34AE-4639-8DE8-F66F3B423464}"/>
    <cellStyle name="OutNum2dp 2 2 2 2 2 2 2 4" xfId="1506" xr:uid="{AF9F9D0B-6D9C-45DC-A501-466CD64F0713}"/>
    <cellStyle name="OutNum2dp 2 2 2 2 2 2 3" xfId="798" xr:uid="{7312003B-C0CC-4CB3-BC01-80C882E31A45}"/>
    <cellStyle name="OutNum2dp 2 2 2 2 2 2 3 2" xfId="2687" xr:uid="{52E78099-8957-4438-AC41-C7BDF9200E9F}"/>
    <cellStyle name="OutNum2dp 2 2 2 2 2 2 3 3" xfId="1742" xr:uid="{999C9034-14B6-4888-BF35-A6BF9DBBC726}"/>
    <cellStyle name="OutNum2dp 2 2 2 2 2 2 4" xfId="2215" xr:uid="{FAA199F6-649E-4347-A3CC-7F82E737325F}"/>
    <cellStyle name="OutNum2dp 2 2 2 2 2 2 5" xfId="1270" xr:uid="{2A00C0DA-B193-4A41-907C-745828EB3D1B}"/>
    <cellStyle name="OutNum2dp 2 2 2 2 2 3" xfId="444" xr:uid="{38AB3E55-57CE-4ADA-90EA-73E1BF1346A8}"/>
    <cellStyle name="OutNum2dp 2 2 2 2 2 3 2" xfId="916" xr:uid="{7BDFA560-A952-4730-B270-4B4446265BC0}"/>
    <cellStyle name="OutNum2dp 2 2 2 2 2 3 2 2" xfId="2805" xr:uid="{4732E425-CCB3-4430-8F32-C3737E3F2C6F}"/>
    <cellStyle name="OutNum2dp 2 2 2 2 2 3 2 3" xfId="1860" xr:uid="{6DBBDF4F-2B7C-41DC-9BBC-3DA08E3E1B4D}"/>
    <cellStyle name="OutNum2dp 2 2 2 2 2 3 3" xfId="2333" xr:uid="{DFA9B280-75D3-4578-BDF5-31C6615353D1}"/>
    <cellStyle name="OutNum2dp 2 2 2 2 2 3 4" xfId="1388" xr:uid="{424C994C-F5F4-4F36-9296-23E40C7BC17B}"/>
    <cellStyle name="OutNum2dp 2 2 2 2 2 4" xfId="680" xr:uid="{ED7F3C5A-2F45-49A9-97C1-8D964A94B514}"/>
    <cellStyle name="OutNum2dp 2 2 2 2 2 4 2" xfId="2569" xr:uid="{D06CA3BA-0B3F-409B-B781-80F064A43ADF}"/>
    <cellStyle name="OutNum2dp 2 2 2 2 2 4 3" xfId="1624" xr:uid="{C19EDA57-CC21-4123-B051-1D2B9E34D4B6}"/>
    <cellStyle name="OutNum2dp 2 2 2 2 2 5" xfId="2097" xr:uid="{FB0BE5F3-A1DE-43E5-A26D-1C1FC9EE283C}"/>
    <cellStyle name="OutNum2dp 2 2 2 2 2 6" xfId="1152" xr:uid="{4E52AA0F-1134-4216-8E13-B59469A8E1E4}"/>
    <cellStyle name="OutNum2dp 2 2 2 2 3" xfId="267" xr:uid="{430FDE1A-CD6A-4C09-AA67-16E370E7EC9A}"/>
    <cellStyle name="OutNum2dp 2 2 2 2 3 2" xfId="503" xr:uid="{2F29F4FD-4E80-4118-B9FE-7148B707883F}"/>
    <cellStyle name="OutNum2dp 2 2 2 2 3 2 2" xfId="975" xr:uid="{DC942A2A-43BA-4EAD-89DA-9CA2CC400776}"/>
    <cellStyle name="OutNum2dp 2 2 2 2 3 2 2 2" xfId="2864" xr:uid="{5B8294FB-42DB-4754-9F3A-10CBB5962F43}"/>
    <cellStyle name="OutNum2dp 2 2 2 2 3 2 2 3" xfId="1919" xr:uid="{70100D15-ABD5-4573-902C-F1FBADDADD64}"/>
    <cellStyle name="OutNum2dp 2 2 2 2 3 2 3" xfId="2392" xr:uid="{0950F387-6725-4EDD-B246-C41B44E49A8B}"/>
    <cellStyle name="OutNum2dp 2 2 2 2 3 2 4" xfId="1447" xr:uid="{574423F5-A6F8-404C-80E1-BBE3F4668F92}"/>
    <cellStyle name="OutNum2dp 2 2 2 2 3 3" xfId="739" xr:uid="{AAF57C30-0F57-4BF6-8E3B-7775F9BB258B}"/>
    <cellStyle name="OutNum2dp 2 2 2 2 3 3 2" xfId="2628" xr:uid="{CF91A3FC-8C2B-4458-B0DA-1DD80AEA4324}"/>
    <cellStyle name="OutNum2dp 2 2 2 2 3 3 3" xfId="1683" xr:uid="{825AD434-2D0D-4B9C-952B-3BE6638F2451}"/>
    <cellStyle name="OutNum2dp 2 2 2 2 3 4" xfId="2156" xr:uid="{D6EF7B70-BB30-46E3-A3AA-DDC7B251481D}"/>
    <cellStyle name="OutNum2dp 2 2 2 2 3 5" xfId="1211" xr:uid="{62851816-360B-40D8-B01C-C12394EE8766}"/>
    <cellStyle name="OutNum2dp 2 2 2 2 4" xfId="385" xr:uid="{1358A47E-9A68-4855-B3F9-782799DDDC06}"/>
    <cellStyle name="OutNum2dp 2 2 2 2 4 2" xfId="857" xr:uid="{2AD36CED-6FCF-4034-A7C6-5D643CAC811E}"/>
    <cellStyle name="OutNum2dp 2 2 2 2 4 2 2" xfId="2746" xr:uid="{A615E68C-DC35-4112-9613-5B1927FE3AB1}"/>
    <cellStyle name="OutNum2dp 2 2 2 2 4 2 3" xfId="1801" xr:uid="{F9692772-026D-4725-BE5B-323E22E04003}"/>
    <cellStyle name="OutNum2dp 2 2 2 2 4 3" xfId="2274" xr:uid="{66FDEA08-37EC-4351-B482-D22C3CA20D33}"/>
    <cellStyle name="OutNum2dp 2 2 2 2 4 4" xfId="1329" xr:uid="{AB864A93-FD00-400E-861D-FFDA6BC024F6}"/>
    <cellStyle name="OutNum2dp 2 2 2 2 5" xfId="621" xr:uid="{5C33CCFC-E05F-47EA-AB58-F1386D7608D1}"/>
    <cellStyle name="OutNum2dp 2 2 2 2 5 2" xfId="2510" xr:uid="{2106CC5E-01AB-4358-AB35-551B854163BF}"/>
    <cellStyle name="OutNum2dp 2 2 2 2 5 3" xfId="1565" xr:uid="{1B2EC8C5-3FAB-4191-8F99-31513BCA5FEC}"/>
    <cellStyle name="OutNum2dp 2 2 2 2 6" xfId="2038" xr:uid="{DECB6723-1969-4447-BB65-A51CC7D67B2B}"/>
    <cellStyle name="OutNum2dp 2 2 2 2 7" xfId="1093" xr:uid="{7F661E21-8E7E-4E61-B7F0-0DAB85258E1C}"/>
    <cellStyle name="OutNum2dp 2 2 2 3" xfId="126" xr:uid="{AE6CEE80-43CB-45AA-9AAE-9B52B1B4A879}"/>
    <cellStyle name="OutNum2dp 2 2 2 3 2" xfId="188" xr:uid="{F64784F5-112B-4BB9-A619-962D4E4B2EE2}"/>
    <cellStyle name="OutNum2dp 2 2 2 3 2 2" xfId="306" xr:uid="{1BA07664-A9D5-4E0A-8CA1-C01128D0CCBB}"/>
    <cellStyle name="OutNum2dp 2 2 2 3 2 2 2" xfId="542" xr:uid="{81D209DB-DCAE-478A-AF83-B8F6557E5E16}"/>
    <cellStyle name="OutNum2dp 2 2 2 3 2 2 2 2" xfId="1014" xr:uid="{D8C7F8FA-97C0-40BE-A7F9-2EAF9043B079}"/>
    <cellStyle name="OutNum2dp 2 2 2 3 2 2 2 2 2" xfId="2903" xr:uid="{19DDC6BC-7261-481C-9B71-781DE4E60CA8}"/>
    <cellStyle name="OutNum2dp 2 2 2 3 2 2 2 2 3" xfId="1958" xr:uid="{511D8FB9-E59B-4467-B595-4882E3CD68CF}"/>
    <cellStyle name="OutNum2dp 2 2 2 3 2 2 2 3" xfId="2431" xr:uid="{F53D0DF0-B00D-42FC-B0B6-62ECEB36B7CF}"/>
    <cellStyle name="OutNum2dp 2 2 2 3 2 2 2 4" xfId="1486" xr:uid="{02F49FEA-A571-4355-80AE-3D598BA30EDA}"/>
    <cellStyle name="OutNum2dp 2 2 2 3 2 2 3" xfId="778" xr:uid="{5966FA17-857E-45D4-B86F-77260EF0CC18}"/>
    <cellStyle name="OutNum2dp 2 2 2 3 2 2 3 2" xfId="2667" xr:uid="{9E0B3AC7-776F-484D-B4A2-7C0FB3406A40}"/>
    <cellStyle name="OutNum2dp 2 2 2 3 2 2 3 3" xfId="1722" xr:uid="{4EFCBF1A-9007-4F1A-9EAE-AF837080DC05}"/>
    <cellStyle name="OutNum2dp 2 2 2 3 2 2 4" xfId="2195" xr:uid="{539F9347-A382-44BC-ADC6-4CD01B21E219}"/>
    <cellStyle name="OutNum2dp 2 2 2 3 2 2 5" xfId="1250" xr:uid="{27D937A8-3DAE-459C-809E-62121ADAF6BE}"/>
    <cellStyle name="OutNum2dp 2 2 2 3 2 3" xfId="424" xr:uid="{E219D842-FB7E-4235-88F4-AECFACBDC89C}"/>
    <cellStyle name="OutNum2dp 2 2 2 3 2 3 2" xfId="896" xr:uid="{9043BC7A-1C5E-4B92-8BDE-D6B289E2E948}"/>
    <cellStyle name="OutNum2dp 2 2 2 3 2 3 2 2" xfId="2785" xr:uid="{4F5BACCC-80C5-4776-AD82-50CB075A6EDE}"/>
    <cellStyle name="OutNum2dp 2 2 2 3 2 3 2 3" xfId="1840" xr:uid="{0BB8971A-E548-420A-A020-AD374BF97541}"/>
    <cellStyle name="OutNum2dp 2 2 2 3 2 3 3" xfId="2313" xr:uid="{2DEFC37B-8162-41F2-90B1-B9FD62C96B79}"/>
    <cellStyle name="OutNum2dp 2 2 2 3 2 3 4" xfId="1368" xr:uid="{120F4A9F-5E95-49D2-903B-F227A7AC1074}"/>
    <cellStyle name="OutNum2dp 2 2 2 3 2 4" xfId="660" xr:uid="{84779E42-B679-4945-8EBC-D7A27A0AF6AA}"/>
    <cellStyle name="OutNum2dp 2 2 2 3 2 4 2" xfId="2549" xr:uid="{32F23797-82E5-4E1A-AB6B-297C2F67A0F1}"/>
    <cellStyle name="OutNum2dp 2 2 2 3 2 4 3" xfId="1604" xr:uid="{A750D931-0A27-452D-B987-7653F590BF71}"/>
    <cellStyle name="OutNum2dp 2 2 2 3 2 5" xfId="2077" xr:uid="{EA5092D0-ABC2-4781-85E1-83E054C5305B}"/>
    <cellStyle name="OutNum2dp 2 2 2 3 2 6" xfId="1132" xr:uid="{AE235D58-7B55-444D-A0E7-3387567D0B73}"/>
    <cellStyle name="OutNum2dp 2 2 2 3 3" xfId="247" xr:uid="{26D79546-C0B4-4DDD-A58B-30BAADBC92B7}"/>
    <cellStyle name="OutNum2dp 2 2 2 3 3 2" xfId="483" xr:uid="{282D3314-438C-485D-BC27-00CF9F9EAD04}"/>
    <cellStyle name="OutNum2dp 2 2 2 3 3 2 2" xfId="955" xr:uid="{45A26AF1-CECB-4594-8506-080D3EB5D8DE}"/>
    <cellStyle name="OutNum2dp 2 2 2 3 3 2 2 2" xfId="2844" xr:uid="{BAACF2C0-B850-4929-BA28-4F8A873417C3}"/>
    <cellStyle name="OutNum2dp 2 2 2 3 3 2 2 3" xfId="1899" xr:uid="{DEDBAE7F-5043-4829-96F3-331776C1611E}"/>
    <cellStyle name="OutNum2dp 2 2 2 3 3 2 3" xfId="2372" xr:uid="{513CBA1C-2104-4670-A85E-7B8467310ECC}"/>
    <cellStyle name="OutNum2dp 2 2 2 3 3 2 4" xfId="1427" xr:uid="{CCCCE031-FE75-43D0-86A1-661FB941BAA8}"/>
    <cellStyle name="OutNum2dp 2 2 2 3 3 3" xfId="719" xr:uid="{1FF7113B-CE2C-4AB9-8816-FB28EB0FD488}"/>
    <cellStyle name="OutNum2dp 2 2 2 3 3 3 2" xfId="2608" xr:uid="{7B94E391-B5A7-4B94-BDC2-E45577EBC087}"/>
    <cellStyle name="OutNum2dp 2 2 2 3 3 3 3" xfId="1663" xr:uid="{F31E1830-EACA-4C01-8896-A3B432AF3D8E}"/>
    <cellStyle name="OutNum2dp 2 2 2 3 3 4" xfId="2136" xr:uid="{40C9A88F-0F95-4809-B977-322250B289E9}"/>
    <cellStyle name="OutNum2dp 2 2 2 3 3 5" xfId="1191" xr:uid="{34145CDB-1AEA-4E64-80C3-C2CC0B1CD8FC}"/>
    <cellStyle name="OutNum2dp 2 2 2 3 4" xfId="365" xr:uid="{88B02EC9-8D39-434B-B9E2-052353EA26B8}"/>
    <cellStyle name="OutNum2dp 2 2 2 3 4 2" xfId="837" xr:uid="{2C370F23-8C81-460D-9612-3C6E39C29C0A}"/>
    <cellStyle name="OutNum2dp 2 2 2 3 4 2 2" xfId="2726" xr:uid="{3E7AF04C-C67A-487D-BDB0-90464A602AC6}"/>
    <cellStyle name="OutNum2dp 2 2 2 3 4 2 3" xfId="1781" xr:uid="{90C23503-A5CD-4AE6-B070-9AA1535DF900}"/>
    <cellStyle name="OutNum2dp 2 2 2 3 4 3" xfId="2254" xr:uid="{5E95181D-5904-4DCC-800D-08354059C321}"/>
    <cellStyle name="OutNum2dp 2 2 2 3 4 4" xfId="1309" xr:uid="{01CA8B66-96DC-4D51-94E3-3C32C694169D}"/>
    <cellStyle name="OutNum2dp 2 2 2 3 5" xfId="601" xr:uid="{896E5237-532C-44A0-BC1A-9EF475C544FF}"/>
    <cellStyle name="OutNum2dp 2 2 2 3 5 2" xfId="2490" xr:uid="{03FCCFB4-CE06-4E79-9320-86DBD184E563}"/>
    <cellStyle name="OutNum2dp 2 2 2 3 5 3" xfId="1545" xr:uid="{8CB47065-0B89-4439-8FFB-FBF865C439FD}"/>
    <cellStyle name="OutNum2dp 2 2 2 3 6" xfId="2018" xr:uid="{23CF63A9-02D2-4BD8-A1BE-C4663277A7C1}"/>
    <cellStyle name="OutNum2dp 2 2 2 3 7" xfId="1073" xr:uid="{802DE716-7F34-4026-888A-287D805FADE4}"/>
    <cellStyle name="OutNum2dp 2 2 2 4" xfId="173" xr:uid="{A81EF96B-8277-4202-AA4E-891963F881FC}"/>
    <cellStyle name="OutNum2dp 2 2 2 4 2" xfId="291" xr:uid="{6D940938-A2EA-4D03-9DDA-B31E29B6C8ED}"/>
    <cellStyle name="OutNum2dp 2 2 2 4 2 2" xfId="527" xr:uid="{DB0DD3FD-C128-431A-A211-5A202FD6C804}"/>
    <cellStyle name="OutNum2dp 2 2 2 4 2 2 2" xfId="999" xr:uid="{FD14C8ED-F201-41A2-A36F-B23C7D8827F7}"/>
    <cellStyle name="OutNum2dp 2 2 2 4 2 2 2 2" xfId="2888" xr:uid="{3410088F-E1CE-496D-8C89-98FFA504D834}"/>
    <cellStyle name="OutNum2dp 2 2 2 4 2 2 2 3" xfId="1943" xr:uid="{264E907F-640D-4FD7-8D73-44BDDE5CFEFC}"/>
    <cellStyle name="OutNum2dp 2 2 2 4 2 2 3" xfId="2416" xr:uid="{B43A68AB-BEFA-4FB6-B53F-55EFB26CAF7A}"/>
    <cellStyle name="OutNum2dp 2 2 2 4 2 2 4" xfId="1471" xr:uid="{B36C02B1-69C0-45BC-A609-FF70BDD35334}"/>
    <cellStyle name="OutNum2dp 2 2 2 4 2 3" xfId="763" xr:uid="{F506C3C4-9B11-4E53-B9CF-86BF218EE0C1}"/>
    <cellStyle name="OutNum2dp 2 2 2 4 2 3 2" xfId="2652" xr:uid="{B1347E75-112A-4F12-82C9-1E3EF123E223}"/>
    <cellStyle name="OutNum2dp 2 2 2 4 2 3 3" xfId="1707" xr:uid="{A345D26E-1392-4999-ACFD-9A6BB3149657}"/>
    <cellStyle name="OutNum2dp 2 2 2 4 2 4" xfId="2180" xr:uid="{9A70B29E-BDE1-4F5F-A442-3B5B2EBC9DA0}"/>
    <cellStyle name="OutNum2dp 2 2 2 4 2 5" xfId="1235" xr:uid="{40B2A246-DE74-4535-949E-AC383685B455}"/>
    <cellStyle name="OutNum2dp 2 2 2 4 3" xfId="409" xr:uid="{1B06DE45-06C1-48D4-BD91-83476F7E2731}"/>
    <cellStyle name="OutNum2dp 2 2 2 4 3 2" xfId="881" xr:uid="{1ECA6678-10E3-4E2D-AC91-B5DCB4BDAE2B}"/>
    <cellStyle name="OutNum2dp 2 2 2 4 3 2 2" xfId="2770" xr:uid="{A3B67515-6678-4797-A501-B23052F32250}"/>
    <cellStyle name="OutNum2dp 2 2 2 4 3 2 3" xfId="1825" xr:uid="{1FF95BB0-FDCB-4A50-9EAE-821DE208FE63}"/>
    <cellStyle name="OutNum2dp 2 2 2 4 3 3" xfId="2298" xr:uid="{259EBC1D-A0F5-4073-989D-DF086F034FA4}"/>
    <cellStyle name="OutNum2dp 2 2 2 4 3 4" xfId="1353" xr:uid="{43B962BB-C60D-4415-8058-6CE384D8ACC5}"/>
    <cellStyle name="OutNum2dp 2 2 2 4 4" xfId="645" xr:uid="{D5B6D5DA-9857-4DEA-B6E0-1693E6909A97}"/>
    <cellStyle name="OutNum2dp 2 2 2 4 4 2" xfId="2534" xr:uid="{01FD70B5-A4F1-4445-9C6D-E8EFED19E46D}"/>
    <cellStyle name="OutNum2dp 2 2 2 4 4 3" xfId="1589" xr:uid="{C2F520A2-3CCB-4EBA-9ADB-A23DC59B6FA0}"/>
    <cellStyle name="OutNum2dp 2 2 2 4 5" xfId="2062" xr:uid="{D1E0A1D4-A1DF-4EB9-8C16-5F5BDA978C40}"/>
    <cellStyle name="OutNum2dp 2 2 2 4 6" xfId="1117" xr:uid="{014874B3-9043-4AB6-99F9-5118F2B5745F}"/>
    <cellStyle name="OutNum2dp 2 2 2 5" xfId="232" xr:uid="{922BFC17-5B83-4D23-BAD6-4039AFEB2D73}"/>
    <cellStyle name="OutNum2dp 2 2 2 5 2" xfId="468" xr:uid="{6C7B2CF7-D0C1-42A7-B5B8-F103205FD4E0}"/>
    <cellStyle name="OutNum2dp 2 2 2 5 2 2" xfId="940" xr:uid="{0433BB6A-0DC2-41FB-9A9E-56A10AA711B6}"/>
    <cellStyle name="OutNum2dp 2 2 2 5 2 2 2" xfId="2829" xr:uid="{9959C7EC-908C-434E-9A0B-B1256AE83488}"/>
    <cellStyle name="OutNum2dp 2 2 2 5 2 2 3" xfId="1884" xr:uid="{21E478D5-A500-4F46-A574-34FDDBB88693}"/>
    <cellStyle name="OutNum2dp 2 2 2 5 2 3" xfId="2357" xr:uid="{8C764255-72A8-4287-9B39-BB35E74CEC4A}"/>
    <cellStyle name="OutNum2dp 2 2 2 5 2 4" xfId="1412" xr:uid="{A9035583-1968-4E80-BD9A-3638212D3ED6}"/>
    <cellStyle name="OutNum2dp 2 2 2 5 3" xfId="704" xr:uid="{4C3733A6-126C-4B74-AD7A-3B7A0DD17C07}"/>
    <cellStyle name="OutNum2dp 2 2 2 5 3 2" xfId="2593" xr:uid="{6114A131-9CE0-4DA1-BD42-489BF9F21E6B}"/>
    <cellStyle name="OutNum2dp 2 2 2 5 3 3" xfId="1648" xr:uid="{A2E0EAF0-EF45-4DC8-BACA-10B4DF60573D}"/>
    <cellStyle name="OutNum2dp 2 2 2 5 4" xfId="2121" xr:uid="{2BE01FDB-8BBB-4BE7-AB99-75C831F9030A}"/>
    <cellStyle name="OutNum2dp 2 2 2 5 5" xfId="1176" xr:uid="{84BA34E0-C92E-444A-BC00-0E7F8333E10F}"/>
    <cellStyle name="OutNum2dp 2 2 2 6" xfId="350" xr:uid="{9CB50962-38D7-45E1-A18F-98521E2ED4DB}"/>
    <cellStyle name="OutNum2dp 2 2 2 6 2" xfId="822" xr:uid="{C46CE5AA-095C-4775-AECF-EB1CF99F5EE3}"/>
    <cellStyle name="OutNum2dp 2 2 2 6 2 2" xfId="2711" xr:uid="{6FF96A5E-3390-4FFF-A82E-32418DC2F996}"/>
    <cellStyle name="OutNum2dp 2 2 2 6 2 3" xfId="1766" xr:uid="{1BDF4A5B-47D8-4E11-BCCA-86CD7FD9610D}"/>
    <cellStyle name="OutNum2dp 2 2 2 6 3" xfId="2239" xr:uid="{9D7A4DA2-C114-47CE-8D0A-645479964CAD}"/>
    <cellStyle name="OutNum2dp 2 2 2 6 4" xfId="1294" xr:uid="{954054A3-1B3D-46CE-B07A-01C3730EA4AE}"/>
    <cellStyle name="OutNum2dp 2 2 2 7" xfId="586" xr:uid="{6995066C-D254-4A55-8089-423630162E56}"/>
    <cellStyle name="OutNum2dp 2 2 2 7 2" xfId="2475" xr:uid="{B9332D05-E135-4C15-ACD1-AA1DF1E6C1F0}"/>
    <cellStyle name="OutNum2dp 2 2 2 7 3" xfId="1530" xr:uid="{ACF26079-EB98-4334-80C3-01C7F5DF4FC7}"/>
    <cellStyle name="OutNum2dp 2 2 2 8" xfId="2003" xr:uid="{2E1284DE-B3BF-4EE5-95F2-627467BC9F0A}"/>
    <cellStyle name="OutNum2dp 2 2 2 9" xfId="1058" xr:uid="{C3556F65-182C-485D-8C0E-A768D0BD4B67}"/>
    <cellStyle name="OutNum2dp 2 2 3" xfId="151" xr:uid="{6C374E8A-290A-4FA1-BCFB-1D1BC033709D}"/>
    <cellStyle name="OutNum2dp 2 2 3 2" xfId="212" xr:uid="{604B0617-7881-4B61-89B3-B237BA1FC62A}"/>
    <cellStyle name="OutNum2dp 2 2 3 2 2" xfId="330" xr:uid="{821F93E3-2B0B-41C1-94E7-01A9C635FCA6}"/>
    <cellStyle name="OutNum2dp 2 2 3 2 2 2" xfId="566" xr:uid="{336C5F5A-465F-4647-BC87-E8232B0B1916}"/>
    <cellStyle name="OutNum2dp 2 2 3 2 2 2 2" xfId="1038" xr:uid="{3D23E62E-BC25-468E-9B94-1B0E8CEEE6A0}"/>
    <cellStyle name="OutNum2dp 2 2 3 2 2 2 2 2" xfId="2927" xr:uid="{1575E7E3-7ECC-4BDA-ABC1-3EED0F8AC4AB}"/>
    <cellStyle name="OutNum2dp 2 2 3 2 2 2 2 3" xfId="1982" xr:uid="{D74DEDDD-8BC6-47A7-AA1F-CA870C356FE4}"/>
    <cellStyle name="OutNum2dp 2 2 3 2 2 2 3" xfId="2455" xr:uid="{493A99AA-A8AA-4782-8DE1-42DB10E31092}"/>
    <cellStyle name="OutNum2dp 2 2 3 2 2 2 4" xfId="1510" xr:uid="{0E53949E-5DB8-469F-B125-AC3CA64A26C7}"/>
    <cellStyle name="OutNum2dp 2 2 3 2 2 3" xfId="802" xr:uid="{0A14BE9A-838C-4C67-A260-A62FDC1A3AAF}"/>
    <cellStyle name="OutNum2dp 2 2 3 2 2 3 2" xfId="2691" xr:uid="{EBCCEAEA-6DA9-4D18-80DD-09483BAB9353}"/>
    <cellStyle name="OutNum2dp 2 2 3 2 2 3 3" xfId="1746" xr:uid="{046DFD16-E002-436C-A817-F60C377791EF}"/>
    <cellStyle name="OutNum2dp 2 2 3 2 2 4" xfId="2219" xr:uid="{D9BE83D2-435A-4728-B1BF-E9CEAF586187}"/>
    <cellStyle name="OutNum2dp 2 2 3 2 2 5" xfId="1274" xr:uid="{F5C1E0A5-0E5A-4803-B34E-7316D219E3B5}"/>
    <cellStyle name="OutNum2dp 2 2 3 2 3" xfId="448" xr:uid="{7B7250B0-4C61-4324-8523-7CFA47C5110C}"/>
    <cellStyle name="OutNum2dp 2 2 3 2 3 2" xfId="920" xr:uid="{00663B62-DEC1-4ED6-BF0D-D9819A0F8648}"/>
    <cellStyle name="OutNum2dp 2 2 3 2 3 2 2" xfId="2809" xr:uid="{25DC460A-505C-4ECC-980D-C7CDD28ACCB3}"/>
    <cellStyle name="OutNum2dp 2 2 3 2 3 2 3" xfId="1864" xr:uid="{A0C77609-0496-4D4F-9976-AD4A1DAD3805}"/>
    <cellStyle name="OutNum2dp 2 2 3 2 3 3" xfId="2337" xr:uid="{3F14E40F-264C-4DD7-902A-68504337306E}"/>
    <cellStyle name="OutNum2dp 2 2 3 2 3 4" xfId="1392" xr:uid="{4608BD88-3536-4730-9708-49259FE7F2F6}"/>
    <cellStyle name="OutNum2dp 2 2 3 2 4" xfId="684" xr:uid="{F44769DD-91B6-4466-9938-00017A95368D}"/>
    <cellStyle name="OutNum2dp 2 2 3 2 4 2" xfId="2573" xr:uid="{F718F928-9501-47A9-979C-897FF5300864}"/>
    <cellStyle name="OutNum2dp 2 2 3 2 4 3" xfId="1628" xr:uid="{B048B13C-27D6-4CD5-89B3-67DF52B89930}"/>
    <cellStyle name="OutNum2dp 2 2 3 2 5" xfId="2101" xr:uid="{2424790F-C864-4C36-8F3C-E639DADAE54F}"/>
    <cellStyle name="OutNum2dp 2 2 3 2 6" xfId="1156" xr:uid="{036BEEBD-3E14-48C7-A05D-2C506E4B98A9}"/>
    <cellStyle name="OutNum2dp 2 2 3 3" xfId="271" xr:uid="{1B11CCFA-2E4E-4BE5-8662-583AA7D3E0AB}"/>
    <cellStyle name="OutNum2dp 2 2 3 3 2" xfId="507" xr:uid="{C47C6EF5-0264-45B7-8574-90E9E485DA7F}"/>
    <cellStyle name="OutNum2dp 2 2 3 3 2 2" xfId="979" xr:uid="{CB1002BC-72B8-4B22-B5EA-3CE777C9A501}"/>
    <cellStyle name="OutNum2dp 2 2 3 3 2 2 2" xfId="2868" xr:uid="{B0025DF1-7147-41E3-917E-AF90E8ED3000}"/>
    <cellStyle name="OutNum2dp 2 2 3 3 2 2 3" xfId="1923" xr:uid="{79290A5C-C681-4A99-8FF1-97406E535EC7}"/>
    <cellStyle name="OutNum2dp 2 2 3 3 2 3" xfId="2396" xr:uid="{867B2848-49F2-45E8-A96A-01F879B02165}"/>
    <cellStyle name="OutNum2dp 2 2 3 3 2 4" xfId="1451" xr:uid="{D338E48A-4B9E-4C9C-9592-808CF74A8247}"/>
    <cellStyle name="OutNum2dp 2 2 3 3 3" xfId="743" xr:uid="{6195EF43-5E7F-49AB-B9C7-7DC7D114FCB3}"/>
    <cellStyle name="OutNum2dp 2 2 3 3 3 2" xfId="2632" xr:uid="{83E90B45-5517-4FBB-9AE3-42D8260C6619}"/>
    <cellStyle name="OutNum2dp 2 2 3 3 3 3" xfId="1687" xr:uid="{F7275A7C-6B5D-4068-ACD9-273B41840575}"/>
    <cellStyle name="OutNum2dp 2 2 3 3 4" xfId="2160" xr:uid="{400B101F-1AE5-42FC-8BEC-60C7DFD8C46C}"/>
    <cellStyle name="OutNum2dp 2 2 3 3 5" xfId="1215" xr:uid="{D8A8E312-2854-4140-9D34-76891726C7E4}"/>
    <cellStyle name="OutNum2dp 2 2 3 4" xfId="389" xr:uid="{26E5D2D4-0C21-4A09-9780-2BA7C495CBA1}"/>
    <cellStyle name="OutNum2dp 2 2 3 4 2" xfId="861" xr:uid="{A737C3E4-A16D-466C-8130-296944BB078E}"/>
    <cellStyle name="OutNum2dp 2 2 3 4 2 2" xfId="2750" xr:uid="{3332B167-47D1-426E-871C-BB186F751F66}"/>
    <cellStyle name="OutNum2dp 2 2 3 4 2 3" xfId="1805" xr:uid="{E51AA335-29AE-465F-9118-E9691A0755C3}"/>
    <cellStyle name="OutNum2dp 2 2 3 4 3" xfId="2278" xr:uid="{364BF79C-C2CC-405D-953D-44F64B5E1677}"/>
    <cellStyle name="OutNum2dp 2 2 3 4 4" xfId="1333" xr:uid="{C17398B2-6D4C-4757-825E-BBD0FBECB667}"/>
    <cellStyle name="OutNum2dp 2 2 3 5" xfId="625" xr:uid="{15723878-A7FF-4B51-984E-C92D9A787332}"/>
    <cellStyle name="OutNum2dp 2 2 3 5 2" xfId="2514" xr:uid="{E049558A-0BEB-40B5-ADDC-5F74262D3783}"/>
    <cellStyle name="OutNum2dp 2 2 3 5 3" xfId="1569" xr:uid="{82AB86AC-94F4-46C4-9D84-EF4770A7F344}"/>
    <cellStyle name="OutNum2dp 2 2 3 6" xfId="2042" xr:uid="{68D15248-CFAB-4D31-80C5-92827EE9F842}"/>
    <cellStyle name="OutNum2dp 2 2 3 7" xfId="1097" xr:uid="{D4141301-DA1A-4C2F-9740-971DE04DF5CB}"/>
    <cellStyle name="OutNum2dp 2 3" xfId="106" xr:uid="{F9F74D58-4418-44C4-B8CD-E55970694BB9}"/>
    <cellStyle name="OutNum2dp 2 3 2" xfId="157" xr:uid="{D3CFB738-8044-4CFC-8AB1-9E5108D88B44}"/>
    <cellStyle name="OutNum2dp 2 3 2 2" xfId="216" xr:uid="{2DE224E7-BA17-4535-80CE-07A1971286CC}"/>
    <cellStyle name="OutNum2dp 2 3 2 2 2" xfId="334" xr:uid="{CD19252C-3BE1-46C3-9572-5D48B0D4768B}"/>
    <cellStyle name="OutNum2dp 2 3 2 2 2 2" xfId="570" xr:uid="{942C3D50-E5AD-4A29-B3C6-207C0D3AF7F4}"/>
    <cellStyle name="OutNum2dp 2 3 2 2 2 2 2" xfId="1042" xr:uid="{B23C359A-04DB-429B-88D6-CEBEB993D653}"/>
    <cellStyle name="OutNum2dp 2 3 2 2 2 2 2 2" xfId="2931" xr:uid="{74FFC04B-15D3-4CA9-9829-349F4DAC6FE8}"/>
    <cellStyle name="OutNum2dp 2 3 2 2 2 2 2 3" xfId="1986" xr:uid="{3198A462-B02D-46BC-B6B2-68EA7D480AC8}"/>
    <cellStyle name="OutNum2dp 2 3 2 2 2 2 3" xfId="2459" xr:uid="{0ADCDA0A-726E-41AA-8141-0E7ACEFA9371}"/>
    <cellStyle name="OutNum2dp 2 3 2 2 2 2 4" xfId="1514" xr:uid="{66A8B067-8F02-437A-A1CB-BD0E952A3339}"/>
    <cellStyle name="OutNum2dp 2 3 2 2 2 3" xfId="806" xr:uid="{A7463D87-B8B2-4E6F-903B-B29C07893A53}"/>
    <cellStyle name="OutNum2dp 2 3 2 2 2 3 2" xfId="2695" xr:uid="{AF4FE201-EC5B-424C-AF64-B578FFB967B8}"/>
    <cellStyle name="OutNum2dp 2 3 2 2 2 3 3" xfId="1750" xr:uid="{F48E6B4B-BDD7-4C56-8081-395F843215D6}"/>
    <cellStyle name="OutNum2dp 2 3 2 2 2 4" xfId="2223" xr:uid="{9A88B026-3B61-48C7-A5A6-741B3372CAF0}"/>
    <cellStyle name="OutNum2dp 2 3 2 2 2 5" xfId="1278" xr:uid="{2DD84D9E-4FBC-44EB-820B-4BA6B776A911}"/>
    <cellStyle name="OutNum2dp 2 3 2 2 3" xfId="452" xr:uid="{C418F439-9982-4ED4-981F-22E9FC35F561}"/>
    <cellStyle name="OutNum2dp 2 3 2 2 3 2" xfId="924" xr:uid="{C2BDA38E-12B8-44CC-9483-F103B4AB0CF6}"/>
    <cellStyle name="OutNum2dp 2 3 2 2 3 2 2" xfId="2813" xr:uid="{D507F819-34ED-4CB0-B57F-16ADFF921560}"/>
    <cellStyle name="OutNum2dp 2 3 2 2 3 2 3" xfId="1868" xr:uid="{8208F4BB-28F3-4946-A192-9B605E7A8A92}"/>
    <cellStyle name="OutNum2dp 2 3 2 2 3 3" xfId="2341" xr:uid="{0D09439A-B7F4-42EC-A801-2B9B0523E882}"/>
    <cellStyle name="OutNum2dp 2 3 2 2 3 4" xfId="1396" xr:uid="{4F2E0E4B-35E0-4B70-92A4-FE8D33C81B4C}"/>
    <cellStyle name="OutNum2dp 2 3 2 2 4" xfId="688" xr:uid="{DDA7769D-7AA7-4230-A44C-D24EBD8FC6B1}"/>
    <cellStyle name="OutNum2dp 2 3 2 2 4 2" xfId="2577" xr:uid="{1C1CE115-EC96-4975-B151-53858672C585}"/>
    <cellStyle name="OutNum2dp 2 3 2 2 4 3" xfId="1632" xr:uid="{43349AF0-CE23-4514-93C5-5A405AD646EB}"/>
    <cellStyle name="OutNum2dp 2 3 2 2 5" xfId="2105" xr:uid="{01A3900C-E744-43BF-8523-00630ECD6DB4}"/>
    <cellStyle name="OutNum2dp 2 3 2 2 6" xfId="1160" xr:uid="{45095E67-B005-49FB-AF6B-17ECE747A547}"/>
    <cellStyle name="OutNum2dp 2 3 2 3" xfId="275" xr:uid="{05BB2A8C-B994-4913-B261-A6F84AAB27F2}"/>
    <cellStyle name="OutNum2dp 2 3 2 3 2" xfId="511" xr:uid="{8BA602DF-C66F-408D-8791-0215C7F21D6F}"/>
    <cellStyle name="OutNum2dp 2 3 2 3 2 2" xfId="983" xr:uid="{10B7C16A-AD80-4887-818A-D2D742EF9DC7}"/>
    <cellStyle name="OutNum2dp 2 3 2 3 2 2 2" xfId="2872" xr:uid="{5EA0B173-147D-414E-A455-A53F3AD1F2C1}"/>
    <cellStyle name="OutNum2dp 2 3 2 3 2 2 3" xfId="1927" xr:uid="{7AC408B0-08CD-4F3F-AAB7-EB23EA7E737B}"/>
    <cellStyle name="OutNum2dp 2 3 2 3 2 3" xfId="2400" xr:uid="{25A0B632-9962-413E-A60D-EB55DC63169D}"/>
    <cellStyle name="OutNum2dp 2 3 2 3 2 4" xfId="1455" xr:uid="{827AAB0F-4417-4835-A284-2062EE8D2636}"/>
    <cellStyle name="OutNum2dp 2 3 2 3 3" xfId="747" xr:uid="{7A78EEE0-5397-4FF6-B92D-F37123648551}"/>
    <cellStyle name="OutNum2dp 2 3 2 3 3 2" xfId="2636" xr:uid="{C4AE789E-8EFE-450D-B335-88708EAA1822}"/>
    <cellStyle name="OutNum2dp 2 3 2 3 3 3" xfId="1691" xr:uid="{121F4262-5B04-49D4-AF20-69E4426C9C10}"/>
    <cellStyle name="OutNum2dp 2 3 2 3 4" xfId="2164" xr:uid="{82196E3D-C3DC-4161-A796-F11B801D990B}"/>
    <cellStyle name="OutNum2dp 2 3 2 3 5" xfId="1219" xr:uid="{3CD83E5D-0644-4348-A21D-70673BFBC9ED}"/>
    <cellStyle name="OutNum2dp 2 3 2 4" xfId="393" xr:uid="{7A83C6D9-2309-4F03-8C8D-9A04C313105E}"/>
    <cellStyle name="OutNum2dp 2 3 2 4 2" xfId="865" xr:uid="{D7B13B4F-4E79-4271-93B6-83D78B37FE67}"/>
    <cellStyle name="OutNum2dp 2 3 2 4 2 2" xfId="2754" xr:uid="{8521C04F-006D-4298-8325-76F5575358EA}"/>
    <cellStyle name="OutNum2dp 2 3 2 4 2 3" xfId="1809" xr:uid="{3475EA4E-D7B5-4C73-9949-4A1513C0B013}"/>
    <cellStyle name="OutNum2dp 2 3 2 4 3" xfId="2282" xr:uid="{2635C1FB-F68B-4B07-826E-12789664F32F}"/>
    <cellStyle name="OutNum2dp 2 3 2 4 4" xfId="1337" xr:uid="{F4917EB4-9C1C-42FB-98EB-C1EE6DDFE146}"/>
    <cellStyle name="OutNum2dp 2 3 2 5" xfId="629" xr:uid="{0EC7723A-48F5-47F1-AA4E-10530A9458C9}"/>
    <cellStyle name="OutNum2dp 2 3 2 5 2" xfId="2518" xr:uid="{B76171FC-8296-4DA7-B4CE-2E2590416014}"/>
    <cellStyle name="OutNum2dp 2 3 2 5 3" xfId="1573" xr:uid="{3E0B98FA-54DC-4291-929A-36AEDB1021E7}"/>
    <cellStyle name="OutNum2dp 2 3 2 6" xfId="2046" xr:uid="{6E5BB092-22D9-45CA-BD39-D1F22B6F26FC}"/>
    <cellStyle name="OutNum2dp 2 3 2 7" xfId="1101" xr:uid="{7892B98E-EF7B-4B71-A0AD-E4C05BA177E7}"/>
    <cellStyle name="OutNum2dp 2 3 3" xfId="121" xr:uid="{5C99D98C-B6AC-44E8-BD6B-405793AA1685}"/>
    <cellStyle name="OutNum2dp 2 3 3 2" xfId="183" xr:uid="{E21D8142-9040-4B16-A642-BD7783D304E3}"/>
    <cellStyle name="OutNum2dp 2 3 3 2 2" xfId="301" xr:uid="{4868667D-300D-4704-A969-99D0AE219F39}"/>
    <cellStyle name="OutNum2dp 2 3 3 2 2 2" xfId="537" xr:uid="{EED20B02-AAC5-45E4-84BE-823DE744DA1B}"/>
    <cellStyle name="OutNum2dp 2 3 3 2 2 2 2" xfId="1009" xr:uid="{2EA6F718-A987-43A3-BFE3-29C807F5B0E6}"/>
    <cellStyle name="OutNum2dp 2 3 3 2 2 2 2 2" xfId="2898" xr:uid="{830524E2-AF8E-4450-9BCA-99766EBC72B4}"/>
    <cellStyle name="OutNum2dp 2 3 3 2 2 2 2 3" xfId="1953" xr:uid="{8E1B19DC-8ABC-4C25-B245-C7C11B87A775}"/>
    <cellStyle name="OutNum2dp 2 3 3 2 2 2 3" xfId="2426" xr:uid="{C4151B49-13EF-4DCB-8CB2-03E04EE959C0}"/>
    <cellStyle name="OutNum2dp 2 3 3 2 2 2 4" xfId="1481" xr:uid="{4C9B8501-3308-47B1-80A6-FBB4030EF8D5}"/>
    <cellStyle name="OutNum2dp 2 3 3 2 2 3" xfId="773" xr:uid="{3ACC8C96-FB63-4DBB-A675-B2FCB40A6E00}"/>
    <cellStyle name="OutNum2dp 2 3 3 2 2 3 2" xfId="2662" xr:uid="{2302844B-E9E7-498D-868A-50C632E10C1A}"/>
    <cellStyle name="OutNum2dp 2 3 3 2 2 3 3" xfId="1717" xr:uid="{75EBEFDE-ABD9-4FDB-BAF9-D176CC3B34D0}"/>
    <cellStyle name="OutNum2dp 2 3 3 2 2 4" xfId="2190" xr:uid="{74117ADC-7E43-44CF-8F25-42F1F0534569}"/>
    <cellStyle name="OutNum2dp 2 3 3 2 2 5" xfId="1245" xr:uid="{AE942D24-6620-4A15-9190-5D5B153E7D49}"/>
    <cellStyle name="OutNum2dp 2 3 3 2 3" xfId="419" xr:uid="{195805D7-6558-4082-9BD0-7819F54E24D4}"/>
    <cellStyle name="OutNum2dp 2 3 3 2 3 2" xfId="891" xr:uid="{F9173794-A1A1-4DE6-93E7-A40B75C8702A}"/>
    <cellStyle name="OutNum2dp 2 3 3 2 3 2 2" xfId="2780" xr:uid="{61D1C993-5DAF-4F53-8262-D1653A84F381}"/>
    <cellStyle name="OutNum2dp 2 3 3 2 3 2 3" xfId="1835" xr:uid="{FDE378A9-4DA5-4559-963F-C2E85449F014}"/>
    <cellStyle name="OutNum2dp 2 3 3 2 3 3" xfId="2308" xr:uid="{8BB8D34B-4850-4C2C-A1AF-C3DB464BA34C}"/>
    <cellStyle name="OutNum2dp 2 3 3 2 3 4" xfId="1363" xr:uid="{6163AA14-7432-4A4A-8A53-7D680FB2B86E}"/>
    <cellStyle name="OutNum2dp 2 3 3 2 4" xfId="655" xr:uid="{94F59F96-4D0D-41A5-8286-822BED87F9C3}"/>
    <cellStyle name="OutNum2dp 2 3 3 2 4 2" xfId="2544" xr:uid="{330E9D0C-F1AA-4604-8852-8A814C35E13B}"/>
    <cellStyle name="OutNum2dp 2 3 3 2 4 3" xfId="1599" xr:uid="{FEE77E31-E302-4B77-AD8E-DB7FC3CB8F3B}"/>
    <cellStyle name="OutNum2dp 2 3 3 2 5" xfId="2072" xr:uid="{A59D134C-6FE3-4CB7-8F89-AA5A0430C7D0}"/>
    <cellStyle name="OutNum2dp 2 3 3 2 6" xfId="1127" xr:uid="{D2313FAA-627E-4898-8712-EB5662A300AA}"/>
    <cellStyle name="OutNum2dp 2 3 3 3" xfId="242" xr:uid="{5C150511-1AEC-4423-BCD0-55DAA352CF95}"/>
    <cellStyle name="OutNum2dp 2 3 3 3 2" xfId="478" xr:uid="{0DB7F7AD-371E-4650-85A9-05D18055E6BA}"/>
    <cellStyle name="OutNum2dp 2 3 3 3 2 2" xfId="950" xr:uid="{9E5913B9-56DF-455C-ADC4-62624E9676F0}"/>
    <cellStyle name="OutNum2dp 2 3 3 3 2 2 2" xfId="2839" xr:uid="{F314E0FA-A401-4752-B579-297447A117CB}"/>
    <cellStyle name="OutNum2dp 2 3 3 3 2 2 3" xfId="1894" xr:uid="{7E5384B7-927E-49CE-B0A0-EDF67E8AAA9A}"/>
    <cellStyle name="OutNum2dp 2 3 3 3 2 3" xfId="2367" xr:uid="{AA2C38FE-1E14-4156-98C9-6CD3355C14BA}"/>
    <cellStyle name="OutNum2dp 2 3 3 3 2 4" xfId="1422" xr:uid="{10E1A305-217C-4726-9189-7394CEFA873F}"/>
    <cellStyle name="OutNum2dp 2 3 3 3 3" xfId="714" xr:uid="{6DD70496-9503-4CBA-8F46-42F003F653B1}"/>
    <cellStyle name="OutNum2dp 2 3 3 3 3 2" xfId="2603" xr:uid="{7D610148-F662-4F46-8D15-6A0E8762ACAD}"/>
    <cellStyle name="OutNum2dp 2 3 3 3 3 3" xfId="1658" xr:uid="{C9C4DAD8-B0D1-4C8E-9EEB-513D0527AA4A}"/>
    <cellStyle name="OutNum2dp 2 3 3 3 4" xfId="2131" xr:uid="{0761F327-871B-4BC0-ADE5-A2B02391CC7A}"/>
    <cellStyle name="OutNum2dp 2 3 3 3 5" xfId="1186" xr:uid="{FA433F43-70CB-49C6-B999-ACAA58A86855}"/>
    <cellStyle name="OutNum2dp 2 3 3 4" xfId="360" xr:uid="{07C00CCF-EAAB-448D-988F-89B528628BC6}"/>
    <cellStyle name="OutNum2dp 2 3 3 4 2" xfId="832" xr:uid="{B259C828-4E73-4D05-8905-76CD181CC372}"/>
    <cellStyle name="OutNum2dp 2 3 3 4 2 2" xfId="2721" xr:uid="{40EC883D-2FB4-4A05-8EF2-45A104971357}"/>
    <cellStyle name="OutNum2dp 2 3 3 4 2 3" xfId="1776" xr:uid="{BE800ADC-43DE-4710-9FD6-3DE408F0AF32}"/>
    <cellStyle name="OutNum2dp 2 3 3 4 3" xfId="2249" xr:uid="{E0DBC2B3-08DD-44DC-AA76-B0AC8CB4FD92}"/>
    <cellStyle name="OutNum2dp 2 3 3 4 4" xfId="1304" xr:uid="{FAC7B348-C342-4250-B3DD-457ED0B3E542}"/>
    <cellStyle name="OutNum2dp 2 3 3 5" xfId="596" xr:uid="{1B991B64-1728-4D49-AFB7-CCC789451B8C}"/>
    <cellStyle name="OutNum2dp 2 3 3 5 2" xfId="2485" xr:uid="{8F087AEB-7D3D-4143-88AA-E50ACA444A52}"/>
    <cellStyle name="OutNum2dp 2 3 3 5 3" xfId="1540" xr:uid="{0C0864C3-0A73-4C47-AE5A-756CB4855DC0}"/>
    <cellStyle name="OutNum2dp 2 3 3 6" xfId="2013" xr:uid="{F55B253C-980E-453A-ADAD-904C7CD937DB}"/>
    <cellStyle name="OutNum2dp 2 3 3 7" xfId="1068" xr:uid="{9C02E64E-23D8-4C20-AB16-E6C4F8C45580}"/>
    <cellStyle name="OutNum2dp 2 3 4" xfId="168" xr:uid="{E1C3DFB5-83A5-4A0E-A1D8-24E51F0B410C}"/>
    <cellStyle name="OutNum2dp 2 3 4 2" xfId="286" xr:uid="{7683B770-AF86-45B6-BBD8-F4B09243828C}"/>
    <cellStyle name="OutNum2dp 2 3 4 2 2" xfId="522" xr:uid="{6E4155A4-9E14-469B-A02B-ABCC624879CE}"/>
    <cellStyle name="OutNum2dp 2 3 4 2 2 2" xfId="994" xr:uid="{7F3C700D-ACB9-4B8B-B40C-EBF97344BE8D}"/>
    <cellStyle name="OutNum2dp 2 3 4 2 2 2 2" xfId="2883" xr:uid="{FCA78ED3-0B1C-4D0C-B50C-0D6083B02732}"/>
    <cellStyle name="OutNum2dp 2 3 4 2 2 2 3" xfId="1938" xr:uid="{BACBE321-B32C-482E-B6AE-8AD37FBFF44A}"/>
    <cellStyle name="OutNum2dp 2 3 4 2 2 3" xfId="2411" xr:uid="{DF75F806-D83D-4CAF-93B7-D61D16AB8D56}"/>
    <cellStyle name="OutNum2dp 2 3 4 2 2 4" xfId="1466" xr:uid="{A3928D73-813E-4F4E-BB60-481779F3EABF}"/>
    <cellStyle name="OutNum2dp 2 3 4 2 3" xfId="758" xr:uid="{A33660E7-57C5-44DF-97CD-536266D8F21E}"/>
    <cellStyle name="OutNum2dp 2 3 4 2 3 2" xfId="2647" xr:uid="{F002C119-6046-456D-8036-49A25B86A74F}"/>
    <cellStyle name="OutNum2dp 2 3 4 2 3 3" xfId="1702" xr:uid="{29747112-892E-4E9C-B108-77FA326CF86A}"/>
    <cellStyle name="OutNum2dp 2 3 4 2 4" xfId="2175" xr:uid="{75C44726-2DBD-4F56-8F14-F1C31A69F66E}"/>
    <cellStyle name="OutNum2dp 2 3 4 2 5" xfId="1230" xr:uid="{254185F0-7B23-45BD-84A3-5DDD29265530}"/>
    <cellStyle name="OutNum2dp 2 3 4 3" xfId="404" xr:uid="{01BF6129-5A06-4A6D-99DF-CF0952CA06E7}"/>
    <cellStyle name="OutNum2dp 2 3 4 3 2" xfId="876" xr:uid="{63B2C4EF-EBEE-42AA-8A27-29888D6236E6}"/>
    <cellStyle name="OutNum2dp 2 3 4 3 2 2" xfId="2765" xr:uid="{8F25582F-FB5C-4353-8BAC-8C944FBECF9B}"/>
    <cellStyle name="OutNum2dp 2 3 4 3 2 3" xfId="1820" xr:uid="{ECC908AB-24BE-42F4-B31E-4850CD5A2035}"/>
    <cellStyle name="OutNum2dp 2 3 4 3 3" xfId="2293" xr:uid="{97C38610-A5C3-47D0-9F95-27CD9D3F31D4}"/>
    <cellStyle name="OutNum2dp 2 3 4 3 4" xfId="1348" xr:uid="{6EDBE1BB-4F96-4912-A1AD-026B22BB77D2}"/>
    <cellStyle name="OutNum2dp 2 3 4 4" xfId="640" xr:uid="{23C6D6C6-6F2A-4215-A575-39713ED59745}"/>
    <cellStyle name="OutNum2dp 2 3 4 4 2" xfId="2529" xr:uid="{F4175AD2-6EFE-4B2E-A160-B045E12A862D}"/>
    <cellStyle name="OutNum2dp 2 3 4 4 3" xfId="1584" xr:uid="{8867F18A-C1BD-4C71-8D61-69093C7BA10B}"/>
    <cellStyle name="OutNum2dp 2 3 4 5" xfId="2057" xr:uid="{A4176FA7-A35A-4062-8C5D-796F333B7C2C}"/>
    <cellStyle name="OutNum2dp 2 3 4 6" xfId="1112" xr:uid="{DCF55791-344C-4586-997D-6649E90A5EBC}"/>
    <cellStyle name="OutNum2dp 2 3 5" xfId="227" xr:uid="{0A270389-571A-4611-BF60-C856F33E95E0}"/>
    <cellStyle name="OutNum2dp 2 3 5 2" xfId="463" xr:uid="{4B99E5C7-662F-4D4E-A400-1912E04669F3}"/>
    <cellStyle name="OutNum2dp 2 3 5 2 2" xfId="935" xr:uid="{72B52634-E682-4A21-9598-4FBB9F8C141B}"/>
    <cellStyle name="OutNum2dp 2 3 5 2 2 2" xfId="2824" xr:uid="{46EA512C-CA53-4059-AC71-80D93BA17660}"/>
    <cellStyle name="OutNum2dp 2 3 5 2 2 3" xfId="1879" xr:uid="{17739340-60B7-4194-B25B-191AD9E1D20C}"/>
    <cellStyle name="OutNum2dp 2 3 5 2 3" xfId="2352" xr:uid="{59BC6E27-37E6-47C7-8C9E-41E2762018AE}"/>
    <cellStyle name="OutNum2dp 2 3 5 2 4" xfId="1407" xr:uid="{BC961031-EDD5-4C5E-9B5B-28379609D0DF}"/>
    <cellStyle name="OutNum2dp 2 3 5 3" xfId="699" xr:uid="{D5D59E68-1E0C-4C60-8AEF-9FBDF9F88B00}"/>
    <cellStyle name="OutNum2dp 2 3 5 3 2" xfId="2588" xr:uid="{700F0D4C-65BF-4170-ACFA-19A2A97E611B}"/>
    <cellStyle name="OutNum2dp 2 3 5 3 3" xfId="1643" xr:uid="{2C0FA1CC-F3E3-485C-9300-A420B3EA5484}"/>
    <cellStyle name="OutNum2dp 2 3 5 4" xfId="2116" xr:uid="{F382832B-E5BD-4293-A329-D9025BAE419E}"/>
    <cellStyle name="OutNum2dp 2 3 5 5" xfId="1171" xr:uid="{AA010687-0D6F-4685-9B7C-0E657E5D6131}"/>
    <cellStyle name="OutNum2dp 2 3 6" xfId="345" xr:uid="{46568F0E-F486-4521-A7AE-A97F88B9F014}"/>
    <cellStyle name="OutNum2dp 2 3 6 2" xfId="817" xr:uid="{A7C416B7-1B63-4715-8AE9-62CDDEC066C2}"/>
    <cellStyle name="OutNum2dp 2 3 6 2 2" xfId="2706" xr:uid="{455F9D16-1347-4527-A228-6C0D9031432E}"/>
    <cellStyle name="OutNum2dp 2 3 6 2 3" xfId="1761" xr:uid="{A53EADF8-A143-47D3-85B8-969B64212E06}"/>
    <cellStyle name="OutNum2dp 2 3 6 3" xfId="2234" xr:uid="{B967F854-77EF-4904-AD62-390CE67CB556}"/>
    <cellStyle name="OutNum2dp 2 3 6 4" xfId="1289" xr:uid="{E480B575-79B4-4297-BA68-E1204D8AD4E9}"/>
    <cellStyle name="OutNum2dp 2 3 7" xfId="581" xr:uid="{E6272B38-F169-44EE-BD5E-DAB7DC9A2336}"/>
    <cellStyle name="OutNum2dp 2 3 7 2" xfId="2470" xr:uid="{10B1F9E9-F663-480E-A3EE-68245307937F}"/>
    <cellStyle name="OutNum2dp 2 3 7 3" xfId="1525" xr:uid="{62AB54F1-2376-4EB4-BE23-90D8721F6208}"/>
    <cellStyle name="OutNum2dp 2 3 8" xfId="1998" xr:uid="{14103BBA-EE73-451A-BC4F-07B49A67D09E}"/>
    <cellStyle name="OutNum2dp 2 3 9" xfId="1053" xr:uid="{6E26AF6A-007B-43C8-9FCA-18E875566CD8}"/>
    <cellStyle name="OutNum2dp 2 4" xfId="161" xr:uid="{C2CCF0E9-6394-420F-BA1E-35E31EA07863}"/>
    <cellStyle name="OutNum2dp 2 4 2" xfId="220" xr:uid="{E0938F26-CF29-4CAC-BD75-54D1F37214AB}"/>
    <cellStyle name="OutNum2dp 2 4 2 2" xfId="338" xr:uid="{FEAE9C79-1FD9-4F92-9D8D-7729E9AFBDFC}"/>
    <cellStyle name="OutNum2dp 2 4 2 2 2" xfId="574" xr:uid="{62EE6DB5-991E-401E-B4BA-B26BBC6E24F5}"/>
    <cellStyle name="OutNum2dp 2 4 2 2 2 2" xfId="1046" xr:uid="{AC3CED8C-4063-49AE-AF96-ADEC067ECFDE}"/>
    <cellStyle name="OutNum2dp 2 4 2 2 2 2 2" xfId="2935" xr:uid="{0BA683C4-FEBE-4AE7-BB07-D2224DA2320F}"/>
    <cellStyle name="OutNum2dp 2 4 2 2 2 2 3" xfId="1990" xr:uid="{C67743AF-470C-483F-823A-51E14A582382}"/>
    <cellStyle name="OutNum2dp 2 4 2 2 2 3" xfId="2463" xr:uid="{A634CB8E-04A8-4A5B-90A5-F3A38A99C199}"/>
    <cellStyle name="OutNum2dp 2 4 2 2 2 4" xfId="1518" xr:uid="{B649B69B-EC21-4D01-BFD1-0404EF373B64}"/>
    <cellStyle name="OutNum2dp 2 4 2 2 3" xfId="810" xr:uid="{7F9CA5D3-E8F2-4BBF-8F93-479AD54EA5E1}"/>
    <cellStyle name="OutNum2dp 2 4 2 2 3 2" xfId="2699" xr:uid="{D92D3EC9-0557-4999-9D54-D91A0D03CBB6}"/>
    <cellStyle name="OutNum2dp 2 4 2 2 3 3" xfId="1754" xr:uid="{C086FE8C-6E26-4EC6-805D-C8810C84782F}"/>
    <cellStyle name="OutNum2dp 2 4 2 2 4" xfId="2227" xr:uid="{23DED5AB-F5A7-41EF-B815-C66AD638373D}"/>
    <cellStyle name="OutNum2dp 2 4 2 2 5" xfId="1282" xr:uid="{31EFEAC4-E484-4B2B-9811-CF58FC26FE70}"/>
    <cellStyle name="OutNum2dp 2 4 2 3" xfId="456" xr:uid="{5F1AB0DB-721F-47E9-9D74-832DE4686E61}"/>
    <cellStyle name="OutNum2dp 2 4 2 3 2" xfId="928" xr:uid="{4A589817-E00D-4E0C-BE52-FD61671A65E6}"/>
    <cellStyle name="OutNum2dp 2 4 2 3 2 2" xfId="2817" xr:uid="{79DCE968-7D3B-41C8-8F00-61F5E0A0A6BE}"/>
    <cellStyle name="OutNum2dp 2 4 2 3 2 3" xfId="1872" xr:uid="{399A84DB-7E4E-4FC6-92F9-A8EB29C7D684}"/>
    <cellStyle name="OutNum2dp 2 4 2 3 3" xfId="2345" xr:uid="{174CCB43-F8B9-4E4F-B3AC-22F252EF4301}"/>
    <cellStyle name="OutNum2dp 2 4 2 3 4" xfId="1400" xr:uid="{8DE22E6C-79FF-4A11-8679-3F2998CAA114}"/>
    <cellStyle name="OutNum2dp 2 4 2 4" xfId="692" xr:uid="{71472FBB-7C58-47EA-A913-4AA6867F3EE5}"/>
    <cellStyle name="OutNum2dp 2 4 2 4 2" xfId="2581" xr:uid="{06977C9F-040F-43A4-B71F-AC963C36784A}"/>
    <cellStyle name="OutNum2dp 2 4 2 4 3" xfId="1636" xr:uid="{6A94AC04-7476-48A1-B865-2AACB085DD26}"/>
    <cellStyle name="OutNum2dp 2 4 2 5" xfId="2109" xr:uid="{2ED44734-83D2-4653-9700-41FD2E88F846}"/>
    <cellStyle name="OutNum2dp 2 4 2 6" xfId="1164" xr:uid="{279C637A-EA36-4307-9EEF-738F11AE2F7C}"/>
    <cellStyle name="OutNum2dp 2 4 3" xfId="279" xr:uid="{ACA6AC60-DA43-4610-9884-183D02609E33}"/>
    <cellStyle name="OutNum2dp 2 4 3 2" xfId="515" xr:uid="{E87BFF53-BCF1-4306-8224-E15DBAE5681F}"/>
    <cellStyle name="OutNum2dp 2 4 3 2 2" xfId="987" xr:uid="{1E9E13A4-12A0-497F-9227-C008B32E3A12}"/>
    <cellStyle name="OutNum2dp 2 4 3 2 2 2" xfId="2876" xr:uid="{22D08E22-C6BD-495F-AB13-010F73601843}"/>
    <cellStyle name="OutNum2dp 2 4 3 2 2 3" xfId="1931" xr:uid="{94285D8D-0275-423A-82C1-3D4768BD304D}"/>
    <cellStyle name="OutNum2dp 2 4 3 2 3" xfId="2404" xr:uid="{D0BBC468-3035-4BA0-AF5B-13D3AA036F98}"/>
    <cellStyle name="OutNum2dp 2 4 3 2 4" xfId="1459" xr:uid="{902BEE5E-7AFF-44FB-A5FF-475231463E8E}"/>
    <cellStyle name="OutNum2dp 2 4 3 3" xfId="751" xr:uid="{B1CB7E66-B429-44BD-8A2E-718289D42E3C}"/>
    <cellStyle name="OutNum2dp 2 4 3 3 2" xfId="2640" xr:uid="{C40508A9-09CA-4E98-9481-649485630385}"/>
    <cellStyle name="OutNum2dp 2 4 3 3 3" xfId="1695" xr:uid="{35C04C95-EAE9-43A8-AD76-B54EFB63C771}"/>
    <cellStyle name="OutNum2dp 2 4 3 4" xfId="2168" xr:uid="{186D65F6-E438-4F77-BC7A-09F15C98A0AF}"/>
    <cellStyle name="OutNum2dp 2 4 3 5" xfId="1223" xr:uid="{55E60D4F-A677-4F27-9F07-DB5F61479399}"/>
    <cellStyle name="OutNum2dp 2 4 4" xfId="397" xr:uid="{762914A4-7393-4AFA-BFC4-B09FEE8BB6A2}"/>
    <cellStyle name="OutNum2dp 2 4 4 2" xfId="869" xr:uid="{0F205860-6667-49D3-83CB-64597DD726AF}"/>
    <cellStyle name="OutNum2dp 2 4 4 2 2" xfId="2758" xr:uid="{F5880CBB-FE64-4422-A19A-2D48F2279667}"/>
    <cellStyle name="OutNum2dp 2 4 4 2 3" xfId="1813" xr:uid="{70BEAB25-A72B-4FA6-90C4-2DC7A5D401CD}"/>
    <cellStyle name="OutNum2dp 2 4 4 3" xfId="2286" xr:uid="{2A60EC09-58A6-4888-9B71-39517EC40853}"/>
    <cellStyle name="OutNum2dp 2 4 4 4" xfId="1341" xr:uid="{2CE2FB41-4893-4A96-917D-E4A4C868DF39}"/>
    <cellStyle name="OutNum2dp 2 4 5" xfId="633" xr:uid="{8400D864-42CE-4B36-AE9A-666537E31CB4}"/>
    <cellStyle name="OutNum2dp 2 4 5 2" xfId="2522" xr:uid="{FDFC3A41-3FB7-4FF4-A2CD-D6CD1DFD7E5D}"/>
    <cellStyle name="OutNum2dp 2 4 5 3" xfId="1577" xr:uid="{8C7E0844-97CC-4876-9168-86D4B0ABE99A}"/>
    <cellStyle name="OutNum2dp 2 4 6" xfId="2050" xr:uid="{702C7C97-8FD8-432E-AAA3-AC88D1E8B434}"/>
    <cellStyle name="OutNum2dp 2 4 7" xfId="1105" xr:uid="{B5DD10F7-C3E3-46AB-AF96-D80E3DFCFE88}"/>
    <cellStyle name="OutNum2dp 3" xfId="103" xr:uid="{9C9B5CC6-DC2F-4643-8E28-D766318F8492}"/>
    <cellStyle name="OutNum2dp 3 2" xfId="138" xr:uid="{5FD2C4B4-E60A-4DB8-8C0F-90378667A7E2}"/>
    <cellStyle name="OutNum2dp 3 2 2" xfId="200" xr:uid="{F6325981-0EBA-4280-92C2-EF1DDA36B9FA}"/>
    <cellStyle name="OutNum2dp 3 2 2 2" xfId="318" xr:uid="{6CB83DFF-98B3-452C-BD64-5908F192FD71}"/>
    <cellStyle name="OutNum2dp 3 2 2 2 2" xfId="554" xr:uid="{B791E065-EA1B-44FD-9B34-7E6192151D14}"/>
    <cellStyle name="OutNum2dp 3 2 2 2 2 2" xfId="1026" xr:uid="{395F3B32-F4CF-4685-8038-A3A7A5765D99}"/>
    <cellStyle name="OutNum2dp 3 2 2 2 2 2 2" xfId="2915" xr:uid="{D7083FA1-1C25-4AF3-BF81-F3C01F0E24B5}"/>
    <cellStyle name="OutNum2dp 3 2 2 2 2 2 3" xfId="1970" xr:uid="{9D3496A4-576B-4FD6-A23F-355711E7331A}"/>
    <cellStyle name="OutNum2dp 3 2 2 2 2 3" xfId="2443" xr:uid="{9F6FC2F2-E4C5-4253-BB0A-FEE63D5F64AF}"/>
    <cellStyle name="OutNum2dp 3 2 2 2 2 4" xfId="1498" xr:uid="{BD48D055-3D6C-4D74-BC7D-217FB819182C}"/>
    <cellStyle name="OutNum2dp 3 2 2 2 3" xfId="790" xr:uid="{9E3881F2-0060-45FD-8597-3E9049039617}"/>
    <cellStyle name="OutNum2dp 3 2 2 2 3 2" xfId="2679" xr:uid="{FB623ECF-D1B5-44A2-A552-E5B6C1437B13}"/>
    <cellStyle name="OutNum2dp 3 2 2 2 3 3" xfId="1734" xr:uid="{899EF93C-BA23-457A-BD0F-BB83CEA3D38D}"/>
    <cellStyle name="OutNum2dp 3 2 2 2 4" xfId="2207" xr:uid="{1206C5AA-75AB-4190-A765-CE4ABE54E3A2}"/>
    <cellStyle name="OutNum2dp 3 2 2 2 5" xfId="1262" xr:uid="{E0A9C73C-D80E-4994-9F4A-C4756825D418}"/>
    <cellStyle name="OutNum2dp 3 2 2 3" xfId="436" xr:uid="{2C1AB77D-107D-418B-A827-53A70DD14C64}"/>
    <cellStyle name="OutNum2dp 3 2 2 3 2" xfId="908" xr:uid="{2E965479-1906-41A2-9A0B-FFBA1105C456}"/>
    <cellStyle name="OutNum2dp 3 2 2 3 2 2" xfId="2797" xr:uid="{21866057-C6AA-45FD-85D7-7E22BF7CD65B}"/>
    <cellStyle name="OutNum2dp 3 2 2 3 2 3" xfId="1852" xr:uid="{0912F306-B3FC-499D-871E-48E9645CC253}"/>
    <cellStyle name="OutNum2dp 3 2 2 3 3" xfId="2325" xr:uid="{2503EC5F-3D3A-4DD9-B397-535ED3F21A6E}"/>
    <cellStyle name="OutNum2dp 3 2 2 3 4" xfId="1380" xr:uid="{1B310282-9FBC-458A-AE26-333D5B6237A6}"/>
    <cellStyle name="OutNum2dp 3 2 2 4" xfId="672" xr:uid="{884064B7-F0D6-401B-8211-D33C5B941343}"/>
    <cellStyle name="OutNum2dp 3 2 2 4 2" xfId="2561" xr:uid="{FF4259B6-54B6-47B0-A8DB-D876C3DD60B8}"/>
    <cellStyle name="OutNum2dp 3 2 2 4 3" xfId="1616" xr:uid="{3BC854B7-4535-4345-8779-22491B3AE7A5}"/>
    <cellStyle name="OutNum2dp 3 2 2 5" xfId="2089" xr:uid="{A7371199-9DA5-4556-BE24-9DDBC8A06FA1}"/>
    <cellStyle name="OutNum2dp 3 2 2 6" xfId="1144" xr:uid="{B6F7E5B9-1601-417D-9152-CD654208A781}"/>
    <cellStyle name="OutNum2dp 3 2 3" xfId="259" xr:uid="{7CA38C7A-C7DA-451E-9B19-9129E5232E6D}"/>
    <cellStyle name="OutNum2dp 3 2 3 2" xfId="495" xr:uid="{FEDE1FA0-F96F-45F6-8D3A-511EB4C481DE}"/>
    <cellStyle name="OutNum2dp 3 2 3 2 2" xfId="967" xr:uid="{F31D52FE-70F8-4AA9-BBD7-948779EBF426}"/>
    <cellStyle name="OutNum2dp 3 2 3 2 2 2" xfId="2856" xr:uid="{FF123852-7828-4BDE-9A5B-102DE700F5E3}"/>
    <cellStyle name="OutNum2dp 3 2 3 2 2 3" xfId="1911" xr:uid="{39C0E5D8-A144-46CB-935C-083F0D708B7D}"/>
    <cellStyle name="OutNum2dp 3 2 3 2 3" xfId="2384" xr:uid="{036D1EE8-096C-40D7-BAEF-4105AA076EDD}"/>
    <cellStyle name="OutNum2dp 3 2 3 2 4" xfId="1439" xr:uid="{6494DC24-D7F4-4D4E-A4E7-250D6BE3DEEB}"/>
    <cellStyle name="OutNum2dp 3 2 3 3" xfId="731" xr:uid="{07F248FC-5D7F-4398-B705-20C3CF11338F}"/>
    <cellStyle name="OutNum2dp 3 2 3 3 2" xfId="2620" xr:uid="{5AF3B573-A774-4069-BED5-AC826620C5BF}"/>
    <cellStyle name="OutNum2dp 3 2 3 3 3" xfId="1675" xr:uid="{6F3943A1-77D3-41E8-A594-FC7DD4CE43DF}"/>
    <cellStyle name="OutNum2dp 3 2 3 4" xfId="2148" xr:uid="{E9966F13-60DD-4D8B-9691-049B5125B63C}"/>
    <cellStyle name="OutNum2dp 3 2 3 5" xfId="1203" xr:uid="{FEF43D5A-F1C7-4CF1-B6C0-C83D6AFF9C6E}"/>
    <cellStyle name="OutNum2dp 3 2 4" xfId="377" xr:uid="{0C288FC0-1528-479A-A832-58C8443B9571}"/>
    <cellStyle name="OutNum2dp 3 2 4 2" xfId="849" xr:uid="{9C48725A-AA06-4963-8C01-2D3A6EACD3CA}"/>
    <cellStyle name="OutNum2dp 3 2 4 2 2" xfId="2738" xr:uid="{F34D1EBD-B8E3-4DFD-A059-4356FCC1EA69}"/>
    <cellStyle name="OutNum2dp 3 2 4 2 3" xfId="1793" xr:uid="{50979861-D201-4BE7-BFAC-DDC50D5A91A9}"/>
    <cellStyle name="OutNum2dp 3 2 4 3" xfId="2266" xr:uid="{D01B7281-6857-447D-BF2B-E07DC16985DF}"/>
    <cellStyle name="OutNum2dp 3 2 4 4" xfId="1321" xr:uid="{07B02CAB-D424-40B2-9516-EC399E77258F}"/>
    <cellStyle name="OutNum2dp 3 2 5" xfId="613" xr:uid="{041E31B3-F041-47F6-AA53-D9A76D2AF14B}"/>
    <cellStyle name="OutNum2dp 3 2 5 2" xfId="2502" xr:uid="{9B0FEF26-B2C1-42CD-A0F1-C060A82EAB52}"/>
    <cellStyle name="OutNum2dp 3 2 5 3" xfId="1557" xr:uid="{D61A5261-5712-40D6-B23A-8C669F76D5D4}"/>
    <cellStyle name="OutNum2dp 3 2 6" xfId="2030" xr:uid="{91F88AEC-8B85-487E-B719-196E7C310AE5}"/>
    <cellStyle name="OutNum2dp 3 2 7" xfId="1085" xr:uid="{22A82193-FFF7-4572-92E5-5FBD78DDED78}"/>
    <cellStyle name="OutNum2dp 3 3" xfId="118" xr:uid="{627E91A8-3AA3-4A27-B3FF-D08165D2691E}"/>
    <cellStyle name="OutNum2dp 3 3 2" xfId="180" xr:uid="{5D2E1EB2-393D-493E-B64E-D2065F68FCDD}"/>
    <cellStyle name="OutNum2dp 3 3 2 2" xfId="298" xr:uid="{6545CB49-E701-42E8-B679-E94552E296FE}"/>
    <cellStyle name="OutNum2dp 3 3 2 2 2" xfId="534" xr:uid="{D4A3A12C-1F2C-4A38-A67E-2C34BAFD5742}"/>
    <cellStyle name="OutNum2dp 3 3 2 2 2 2" xfId="1006" xr:uid="{0779C023-EF86-4BBB-B2EC-EA2DF9F577F8}"/>
    <cellStyle name="OutNum2dp 3 3 2 2 2 2 2" xfId="2895" xr:uid="{544D1E34-734D-4F6A-A7CD-722173266F40}"/>
    <cellStyle name="OutNum2dp 3 3 2 2 2 2 3" xfId="1950" xr:uid="{9627A0FC-D36A-439A-B53B-7B54672C558C}"/>
    <cellStyle name="OutNum2dp 3 3 2 2 2 3" xfId="2423" xr:uid="{0DFED3EA-C1ED-46B3-B1A7-E770778B0601}"/>
    <cellStyle name="OutNum2dp 3 3 2 2 2 4" xfId="1478" xr:uid="{6967936F-7409-4767-90F1-2C35C2A4ED1C}"/>
    <cellStyle name="OutNum2dp 3 3 2 2 3" xfId="770" xr:uid="{8473D8BD-B5E2-4404-9ED6-A7F0AE467C23}"/>
    <cellStyle name="OutNum2dp 3 3 2 2 3 2" xfId="2659" xr:uid="{DFE3CBD2-0497-456A-8015-30151DB47E54}"/>
    <cellStyle name="OutNum2dp 3 3 2 2 3 3" xfId="1714" xr:uid="{29247374-5E50-4AD5-8665-FB4027D45DE6}"/>
    <cellStyle name="OutNum2dp 3 3 2 2 4" xfId="2187" xr:uid="{3BA9E1FA-E1DE-4563-A650-FBCB515F0298}"/>
    <cellStyle name="OutNum2dp 3 3 2 2 5" xfId="1242" xr:uid="{7FB5D24B-DAC8-496C-BF31-93EA0134A0D9}"/>
    <cellStyle name="OutNum2dp 3 3 2 3" xfId="416" xr:uid="{243436D7-7687-48DB-86DA-33EC0B1E518A}"/>
    <cellStyle name="OutNum2dp 3 3 2 3 2" xfId="888" xr:uid="{DA0FF1EA-EA1A-441B-9F3E-AB7323580903}"/>
    <cellStyle name="OutNum2dp 3 3 2 3 2 2" xfId="2777" xr:uid="{559931B0-8EE3-4A17-BC63-EB03062E21BA}"/>
    <cellStyle name="OutNum2dp 3 3 2 3 2 3" xfId="1832" xr:uid="{F661D887-0004-4CFC-96F5-9901864629B8}"/>
    <cellStyle name="OutNum2dp 3 3 2 3 3" xfId="2305" xr:uid="{C8A74F5F-0165-4E58-9DE1-BD512A14B1E3}"/>
    <cellStyle name="OutNum2dp 3 3 2 3 4" xfId="1360" xr:uid="{914F95C5-3B8C-48E7-97E0-A32D4C96BEF9}"/>
    <cellStyle name="OutNum2dp 3 3 2 4" xfId="652" xr:uid="{7A466D75-BEF9-44BF-AC0C-471ED9C51353}"/>
    <cellStyle name="OutNum2dp 3 3 2 4 2" xfId="2541" xr:uid="{B374707A-33DB-452B-88D3-9986569D10EA}"/>
    <cellStyle name="OutNum2dp 3 3 2 4 3" xfId="1596" xr:uid="{DAD363D5-306C-4590-A330-163640D43B0E}"/>
    <cellStyle name="OutNum2dp 3 3 2 5" xfId="2069" xr:uid="{55387A39-410B-42C9-B48B-20410C9B6308}"/>
    <cellStyle name="OutNum2dp 3 3 2 6" xfId="1124" xr:uid="{DC919006-870B-4573-B2A1-D4A27EAA6007}"/>
    <cellStyle name="OutNum2dp 3 3 3" xfId="239" xr:uid="{89D3D7B8-BF54-4BB8-85D1-DD6344F6876C}"/>
    <cellStyle name="OutNum2dp 3 3 3 2" xfId="475" xr:uid="{694FDB26-A0C1-4412-9C11-DB351B62A5A5}"/>
    <cellStyle name="OutNum2dp 3 3 3 2 2" xfId="947" xr:uid="{D37F4F59-F809-460D-A2C7-4FBF3CD0D0D7}"/>
    <cellStyle name="OutNum2dp 3 3 3 2 2 2" xfId="2836" xr:uid="{7A8F1C9E-0511-466B-B343-F236576EC154}"/>
    <cellStyle name="OutNum2dp 3 3 3 2 2 3" xfId="1891" xr:uid="{5797C7AF-3500-4CB9-8B7C-8F37403086B5}"/>
    <cellStyle name="OutNum2dp 3 3 3 2 3" xfId="2364" xr:uid="{9987AB3C-29DD-4BB4-AC68-B16B1F6EDBF2}"/>
    <cellStyle name="OutNum2dp 3 3 3 2 4" xfId="1419" xr:uid="{3DCB66BC-FCA9-474C-B286-350EBB5545CC}"/>
    <cellStyle name="OutNum2dp 3 3 3 3" xfId="711" xr:uid="{6EC73A8E-DC81-4E1C-991A-EE3036C72679}"/>
    <cellStyle name="OutNum2dp 3 3 3 3 2" xfId="2600" xr:uid="{3105DC91-FB81-4A1A-9F83-2D994F233CA8}"/>
    <cellStyle name="OutNum2dp 3 3 3 3 3" xfId="1655" xr:uid="{BB67E534-3436-437E-9692-820D70790C41}"/>
    <cellStyle name="OutNum2dp 3 3 3 4" xfId="2128" xr:uid="{DDF9903F-C4CB-4765-9984-5FF1327A83ED}"/>
    <cellStyle name="OutNum2dp 3 3 3 5" xfId="1183" xr:uid="{AE652095-7633-44FE-ACDE-BB5A7B19977B}"/>
    <cellStyle name="OutNum2dp 3 3 4" xfId="357" xr:uid="{602B7774-0706-467B-ABCC-FF90B017AD60}"/>
    <cellStyle name="OutNum2dp 3 3 4 2" xfId="829" xr:uid="{648218D5-3E24-42FE-8073-BD26BC750A2D}"/>
    <cellStyle name="OutNum2dp 3 3 4 2 2" xfId="2718" xr:uid="{C0DD5F26-2869-4A3B-8942-FCFBD75497DF}"/>
    <cellStyle name="OutNum2dp 3 3 4 2 3" xfId="1773" xr:uid="{3F4C2301-F69C-448E-8224-F84B94FFF2BA}"/>
    <cellStyle name="OutNum2dp 3 3 4 3" xfId="2246" xr:uid="{2036981E-CA80-4129-8A44-BEBD95324871}"/>
    <cellStyle name="OutNum2dp 3 3 4 4" xfId="1301" xr:uid="{E6172F4F-5A98-4919-B55F-81A69A841A33}"/>
    <cellStyle name="OutNum2dp 3 3 5" xfId="593" xr:uid="{3A46327E-6647-4737-9619-F42D29A82D8D}"/>
    <cellStyle name="OutNum2dp 3 3 5 2" xfId="2482" xr:uid="{45A0300D-5475-4EC4-985B-004069F5917D}"/>
    <cellStyle name="OutNum2dp 3 3 5 3" xfId="1537" xr:uid="{86C064FE-3CED-474C-B49F-A845924DEC2F}"/>
    <cellStyle name="OutNum2dp 3 3 6" xfId="2010" xr:uid="{CB69EA61-11BD-4298-8E8B-905A3071F962}"/>
    <cellStyle name="OutNum2dp 3 3 7" xfId="1065" xr:uid="{0DF61C45-5523-46E1-82B6-B7D77008D529}"/>
    <cellStyle name="OutNum2dp 3 4" xfId="165" xr:uid="{69DBAC29-5D9B-45C0-9DFD-8CD0CC510EF1}"/>
    <cellStyle name="OutNum2dp 3 4 2" xfId="283" xr:uid="{72B98BBE-20E2-4E6A-925D-C037C5D71207}"/>
    <cellStyle name="OutNum2dp 3 4 2 2" xfId="519" xr:uid="{EE4CBB4B-6867-4FC8-BAFA-741198F70873}"/>
    <cellStyle name="OutNum2dp 3 4 2 2 2" xfId="991" xr:uid="{AD717E45-5A8C-4EDB-967D-D207C6BDAB6A}"/>
    <cellStyle name="OutNum2dp 3 4 2 2 2 2" xfId="2880" xr:uid="{4D7C35E0-63CC-4941-AC33-7625BFE5CB9A}"/>
    <cellStyle name="OutNum2dp 3 4 2 2 2 3" xfId="1935" xr:uid="{7672E57E-1816-44E2-A5CA-BA932CA0C942}"/>
    <cellStyle name="OutNum2dp 3 4 2 2 3" xfId="2408" xr:uid="{0B6228B5-B9FF-4ECF-804C-4B9BAA031DF3}"/>
    <cellStyle name="OutNum2dp 3 4 2 2 4" xfId="1463" xr:uid="{E22FCE98-010C-4848-A689-1FF99F182927}"/>
    <cellStyle name="OutNum2dp 3 4 2 3" xfId="755" xr:uid="{55468A30-5F6F-4C56-942C-95AD9E8B78A7}"/>
    <cellStyle name="OutNum2dp 3 4 2 3 2" xfId="2644" xr:uid="{4E5DA56C-BBE6-48D5-A321-21949FE64F49}"/>
    <cellStyle name="OutNum2dp 3 4 2 3 3" xfId="1699" xr:uid="{BBE9FFBA-D69C-42EB-9CD9-23841E57A3E6}"/>
    <cellStyle name="OutNum2dp 3 4 2 4" xfId="2172" xr:uid="{12600BFC-076A-4B2C-B07C-6A70360AD5E5}"/>
    <cellStyle name="OutNum2dp 3 4 2 5" xfId="1227" xr:uid="{3DB49CB8-8863-426C-9300-9454B0B5CF9D}"/>
    <cellStyle name="OutNum2dp 3 4 3" xfId="401" xr:uid="{C88483DC-C86C-4773-8095-45833896D1D7}"/>
    <cellStyle name="OutNum2dp 3 4 3 2" xfId="873" xr:uid="{ED5F35C0-5BDD-4D8F-B9B9-A4B5C5E0EE24}"/>
    <cellStyle name="OutNum2dp 3 4 3 2 2" xfId="2762" xr:uid="{1351AC3D-1DEA-4B2A-9232-4A8FEAD60F88}"/>
    <cellStyle name="OutNum2dp 3 4 3 2 3" xfId="1817" xr:uid="{A796F279-BAF6-42BD-B074-A9725471041C}"/>
    <cellStyle name="OutNum2dp 3 4 3 3" xfId="2290" xr:uid="{EECED372-A8A4-4AF4-A112-EE5DAC4B2044}"/>
    <cellStyle name="OutNum2dp 3 4 3 4" xfId="1345" xr:uid="{02536BEA-0ED6-4D99-B994-66F4A582AE5B}"/>
    <cellStyle name="OutNum2dp 3 4 4" xfId="637" xr:uid="{0E428531-A962-4B32-B5F0-39DF749EC9C9}"/>
    <cellStyle name="OutNum2dp 3 4 4 2" xfId="2526" xr:uid="{2C23ED72-2906-4CA9-81AD-F449A9111959}"/>
    <cellStyle name="OutNum2dp 3 4 4 3" xfId="1581" xr:uid="{DC9494BA-70D6-407C-8F88-BF1BBA934245}"/>
    <cellStyle name="OutNum2dp 3 4 5" xfId="2054" xr:uid="{CB933C83-C139-45C4-BC63-79898D352D17}"/>
    <cellStyle name="OutNum2dp 3 4 6" xfId="1109" xr:uid="{DADCFA27-CB5B-4A4D-94A0-1852D5F137A2}"/>
    <cellStyle name="OutNum2dp 3 5" xfId="224" xr:uid="{2EED4CB2-D8F5-402D-92B5-61D8EB8FA37B}"/>
    <cellStyle name="OutNum2dp 3 5 2" xfId="460" xr:uid="{75D3E085-D782-460E-A304-B867E37B8005}"/>
    <cellStyle name="OutNum2dp 3 5 2 2" xfId="932" xr:uid="{A487D88D-D48A-40B3-AB06-C6318A949F09}"/>
    <cellStyle name="OutNum2dp 3 5 2 2 2" xfId="2821" xr:uid="{88FFC2B5-6B27-483A-9EB4-256F786177B9}"/>
    <cellStyle name="OutNum2dp 3 5 2 2 3" xfId="1876" xr:uid="{24A7CAEC-EF98-4996-80FA-1F0FBAAD7544}"/>
    <cellStyle name="OutNum2dp 3 5 2 3" xfId="2349" xr:uid="{84E3F450-7BF2-49EC-B527-993B2C1835E0}"/>
    <cellStyle name="OutNum2dp 3 5 2 4" xfId="1404" xr:uid="{2C86778D-4948-44CA-B6C0-1775301A2AE5}"/>
    <cellStyle name="OutNum2dp 3 5 3" xfId="696" xr:uid="{0950F8B4-DA74-49E6-B848-F630708D3CBC}"/>
    <cellStyle name="OutNum2dp 3 5 3 2" xfId="2585" xr:uid="{540E131F-FB8A-45BC-A330-917894243EAC}"/>
    <cellStyle name="OutNum2dp 3 5 3 3" xfId="1640" xr:uid="{CD1A23A5-A043-4BFA-B716-D7B3CA8555A6}"/>
    <cellStyle name="OutNum2dp 3 5 4" xfId="2113" xr:uid="{225B826B-7D99-4380-830B-0EF78067019E}"/>
    <cellStyle name="OutNum2dp 3 5 5" xfId="1168" xr:uid="{F257F7C6-EBD2-4671-98B2-BEBEF3611E5C}"/>
    <cellStyle name="OutNum2dp 3 6" xfId="342" xr:uid="{94E1768D-FBE5-4BC7-A8CC-C9CBABB88F96}"/>
    <cellStyle name="OutNum2dp 3 6 2" xfId="814" xr:uid="{4874F8B4-59A5-4C0A-9A04-802B37311029}"/>
    <cellStyle name="OutNum2dp 3 6 2 2" xfId="2703" xr:uid="{DF4D2531-9D29-4050-89F1-BB79BCAC8A8C}"/>
    <cellStyle name="OutNum2dp 3 6 2 3" xfId="1758" xr:uid="{9A65C198-48D7-41C6-AC61-EA478AE0A7C8}"/>
    <cellStyle name="OutNum2dp 3 6 3" xfId="2231" xr:uid="{035ECFD8-F8FA-4641-93D4-0D39F93EF0F1}"/>
    <cellStyle name="OutNum2dp 3 6 4" xfId="1286" xr:uid="{41AD9DC0-2178-484B-BD2A-D0C343FD2336}"/>
    <cellStyle name="OutNum2dp 3 7" xfId="578" xr:uid="{43AFEDC0-1578-40D2-97AD-C0AA64D03DE0}"/>
    <cellStyle name="OutNum2dp 3 7 2" xfId="2467" xr:uid="{F0723637-EB7C-47A9-A2FF-1263ECC26B1E}"/>
    <cellStyle name="OutNum2dp 3 7 3" xfId="1522" xr:uid="{B235ED21-ACB1-4272-A7F0-85108D10EE14}"/>
    <cellStyle name="OutNum2dp 3 8" xfId="1995" xr:uid="{5335221B-23CA-4879-ABC1-7571C32ADE5B}"/>
    <cellStyle name="OutNum2dp 3 9" xfId="1050" xr:uid="{8CF9515D-F54F-4DB5-BEFD-5016719E22BB}"/>
    <cellStyle name="OutNum2dp 4" xfId="131" xr:uid="{F8CE0CFE-E07D-43EC-9674-F5BF93D70774}"/>
    <cellStyle name="OutNum2dp 4 2" xfId="193" xr:uid="{21C24C46-2A5F-4B8B-9732-5A0ABFB90545}"/>
    <cellStyle name="OutNum2dp 4 2 2" xfId="311" xr:uid="{B2914EAE-3923-47CD-8AF4-EE802119E8F7}"/>
    <cellStyle name="OutNum2dp 4 2 2 2" xfId="547" xr:uid="{C165430B-F4E7-4958-AEF5-60289DF3258C}"/>
    <cellStyle name="OutNum2dp 4 2 2 2 2" xfId="1019" xr:uid="{48FB41FE-B84F-41CC-94E5-4CFE06769C4A}"/>
    <cellStyle name="OutNum2dp 4 2 2 2 2 2" xfId="2908" xr:uid="{16DC74E7-A47B-47E5-9BC1-BE070E4CD83A}"/>
    <cellStyle name="OutNum2dp 4 2 2 2 2 3" xfId="1963" xr:uid="{2216C35B-02DD-4C9B-A3BE-9C1EF6519671}"/>
    <cellStyle name="OutNum2dp 4 2 2 2 3" xfId="2436" xr:uid="{C9EBA0A6-8253-459A-8D95-9AFEFAEF2D0A}"/>
    <cellStyle name="OutNum2dp 4 2 2 2 4" xfId="1491" xr:uid="{D84ACA40-8A7D-4086-83DB-AF6AAEC787E7}"/>
    <cellStyle name="OutNum2dp 4 2 2 3" xfId="783" xr:uid="{B2303DE9-613B-493A-B633-70B45FDDA71F}"/>
    <cellStyle name="OutNum2dp 4 2 2 3 2" xfId="2672" xr:uid="{0A9EF5C1-A1A9-44D3-B67A-5A8A57135D1D}"/>
    <cellStyle name="OutNum2dp 4 2 2 3 3" xfId="1727" xr:uid="{99ABC326-C5A0-490D-B614-02ED7FDFFB25}"/>
    <cellStyle name="OutNum2dp 4 2 2 4" xfId="2200" xr:uid="{D096ABE5-D500-4AC7-8849-3ADCE0E65664}"/>
    <cellStyle name="OutNum2dp 4 2 2 5" xfId="1255" xr:uid="{7C4B67A2-AC92-4682-B4C5-A6A960D508C2}"/>
    <cellStyle name="OutNum2dp 4 2 3" xfId="429" xr:uid="{290B68A4-E404-477E-B6C6-41E6A3E87BBD}"/>
    <cellStyle name="OutNum2dp 4 2 3 2" xfId="901" xr:uid="{7C03CD96-D32D-4F38-AFC2-8470DCE3B58E}"/>
    <cellStyle name="OutNum2dp 4 2 3 2 2" xfId="2790" xr:uid="{2297AE17-F630-4C90-9C58-626EB24238ED}"/>
    <cellStyle name="OutNum2dp 4 2 3 2 3" xfId="1845" xr:uid="{9818D8F5-BCB4-4933-8205-4AAF42149478}"/>
    <cellStyle name="OutNum2dp 4 2 3 3" xfId="2318" xr:uid="{34F35680-DA33-47A7-9ADB-A4FE85C245A0}"/>
    <cellStyle name="OutNum2dp 4 2 3 4" xfId="1373" xr:uid="{D61D94A2-A62D-4423-BA60-E52C5A2AF045}"/>
    <cellStyle name="OutNum2dp 4 2 4" xfId="665" xr:uid="{14DDE5B9-B527-4686-96CF-DFCD228761C7}"/>
    <cellStyle name="OutNum2dp 4 2 4 2" xfId="2554" xr:uid="{41C5B63E-B4B7-4B55-865B-51E6EDE545BC}"/>
    <cellStyle name="OutNum2dp 4 2 4 3" xfId="1609" xr:uid="{D8514B71-DCB9-4B4D-8E2B-7CB4DE941AA0}"/>
    <cellStyle name="OutNum2dp 4 2 5" xfId="2082" xr:uid="{BD9E6324-27BD-4722-9654-3DB648CEC6A0}"/>
    <cellStyle name="OutNum2dp 4 2 6" xfId="1137" xr:uid="{7ED403E5-5C8F-497F-859B-26DF155F841A}"/>
    <cellStyle name="OutNum2dp 4 3" xfId="252" xr:uid="{497592A4-C1FF-4B6D-8F4F-85B78DBB3885}"/>
    <cellStyle name="OutNum2dp 4 3 2" xfId="488" xr:uid="{6FD5AB49-45A8-4EC9-8526-C047E03DA942}"/>
    <cellStyle name="OutNum2dp 4 3 2 2" xfId="960" xr:uid="{4DC5E7B3-A4DA-44AE-90A8-DD1A62942C62}"/>
    <cellStyle name="OutNum2dp 4 3 2 2 2" xfId="2849" xr:uid="{F50DCFCA-BC19-4FEC-86AD-DA189EA58EA6}"/>
    <cellStyle name="OutNum2dp 4 3 2 2 3" xfId="1904" xr:uid="{11EA280E-366D-43F2-97A9-63FC8246325D}"/>
    <cellStyle name="OutNum2dp 4 3 2 3" xfId="2377" xr:uid="{F41E4E97-5512-4BF9-B54D-8F89F82E2148}"/>
    <cellStyle name="OutNum2dp 4 3 2 4" xfId="1432" xr:uid="{12D95319-8BBA-43EA-BDE8-1F3B05629191}"/>
    <cellStyle name="OutNum2dp 4 3 3" xfId="724" xr:uid="{DA9FDE5B-DCC0-4003-B3C0-2F935BA03337}"/>
    <cellStyle name="OutNum2dp 4 3 3 2" xfId="2613" xr:uid="{E64AE9B7-163F-4012-A020-B24482D5D889}"/>
    <cellStyle name="OutNum2dp 4 3 3 3" xfId="1668" xr:uid="{C97DFB72-5EC6-41C1-BB40-1568D2C74947}"/>
    <cellStyle name="OutNum2dp 4 3 4" xfId="2141" xr:uid="{CA690E08-5284-4BDA-90BF-2EF4594CCEEA}"/>
    <cellStyle name="OutNum2dp 4 3 5" xfId="1196" xr:uid="{54B8CD5D-A12D-4D1C-A3D8-7B85F6ACE5A6}"/>
    <cellStyle name="OutNum2dp 4 4" xfId="370" xr:uid="{96DADA86-DED8-4043-8619-4E61E15970B2}"/>
    <cellStyle name="OutNum2dp 4 4 2" xfId="842" xr:uid="{F709A645-8913-4000-99CF-956AFF40F5D7}"/>
    <cellStyle name="OutNum2dp 4 4 2 2" xfId="2731" xr:uid="{68BBE03D-4E06-4445-84E0-00BC24230266}"/>
    <cellStyle name="OutNum2dp 4 4 2 3" xfId="1786" xr:uid="{54AE84CC-C021-42DB-B46A-223CC81C6DD0}"/>
    <cellStyle name="OutNum2dp 4 4 3" xfId="2259" xr:uid="{E372CB2A-2A1F-4ACF-85D6-CA7FD057778B}"/>
    <cellStyle name="OutNum2dp 4 4 4" xfId="1314" xr:uid="{397098C4-21EC-4BB6-BACB-82A37F5A033F}"/>
    <cellStyle name="OutNum2dp 4 5" xfId="606" xr:uid="{FC6EC57B-033A-43E9-B513-282D8AD3313E}"/>
    <cellStyle name="OutNum2dp 4 5 2" xfId="2495" xr:uid="{921A0FD6-4FE3-49B2-B49A-B62365AAC0D6}"/>
    <cellStyle name="OutNum2dp 4 5 3" xfId="1550" xr:uid="{636B4F6F-CD97-46F8-882B-4158B752AF1F}"/>
    <cellStyle name="OutNum2dp 4 6" xfId="2023" xr:uid="{2CBE6CF5-4F10-4978-AB77-A564EE156FA8}"/>
    <cellStyle name="OutNum2dp 4 7" xfId="1078" xr:uid="{65B0AE81-4B23-49D8-BDF3-3CE5EBE7333A}"/>
    <cellStyle name="OutPerc0dp" xfId="64" xr:uid="{00000000-0005-0000-0000-000050000000}"/>
    <cellStyle name="OutPerc1dp" xfId="65" xr:uid="{00000000-0005-0000-0000-000051000000}"/>
    <cellStyle name="OutPerc2dp" xfId="66" xr:uid="{00000000-0005-0000-0000-000052000000}"/>
    <cellStyle name="Output" xfId="16" builtinId="21" hidden="1"/>
    <cellStyle name="Percent" xfId="3" builtinId="5" hidden="1"/>
    <cellStyle name="Percent" xfId="80" builtinId="5" hidden="1"/>
    <cellStyle name="Percent" xfId="83" builtinId="5"/>
    <cellStyle name="RDate" xfId="75" xr:uid="{00000000-0005-0000-0000-000057000000}"/>
    <cellStyle name="RDateShort" xfId="76" xr:uid="{00000000-0005-0000-0000-000058000000}"/>
    <cellStyle name="RGen" xfId="69" xr:uid="{00000000-0005-0000-0000-000059000000}"/>
    <cellStyle name="RNum0dp" xfId="70" xr:uid="{00000000-0005-0000-0000-00005A000000}"/>
    <cellStyle name="RNum2dp" xfId="71" xr:uid="{00000000-0005-0000-0000-00005B000000}"/>
    <cellStyle name="RNum2dp 2" xfId="87" xr:uid="{00000000-0005-0000-0000-00005C000000}"/>
    <cellStyle name="RNum2dp 2 2" xfId="92" xr:uid="{00000000-0005-0000-0000-00005D000000}"/>
    <cellStyle name="RNum2dp 2 2 2" xfId="112" xr:uid="{803A2ABB-22AA-4ECD-AECC-3F24E97EC120}"/>
    <cellStyle name="RNum2dp 2 2 2 2" xfId="134" xr:uid="{71B20891-E35B-479E-8BA3-821A961C4E12}"/>
    <cellStyle name="RNum2dp 2 2 2 2 2" xfId="196" xr:uid="{0D76AA6D-2C93-47EA-A0BF-F236BC9C918F}"/>
    <cellStyle name="RNum2dp 2 2 2 2 2 2" xfId="314" xr:uid="{21EEFD53-0D71-4118-87F3-4A63A9B777AB}"/>
    <cellStyle name="RNum2dp 2 2 2 2 2 2 2" xfId="550" xr:uid="{7935F6BB-DB24-4793-B62F-941C297FC983}"/>
    <cellStyle name="RNum2dp 2 2 2 2 2 2 2 2" xfId="1022" xr:uid="{DB0A4B08-E8A9-4420-8B71-44C0284F28F9}"/>
    <cellStyle name="RNum2dp 2 2 2 2 2 2 2 2 2" xfId="2911" xr:uid="{6CF319DD-B85B-4DDB-A001-08A10E5EDDB0}"/>
    <cellStyle name="RNum2dp 2 2 2 2 2 2 2 2 3" xfId="1966" xr:uid="{C3C3AAD9-8835-45C0-A613-A6A8AC2CA11F}"/>
    <cellStyle name="RNum2dp 2 2 2 2 2 2 2 3" xfId="2439" xr:uid="{A35267C8-EDD8-450D-92E8-AD880F32A108}"/>
    <cellStyle name="RNum2dp 2 2 2 2 2 2 2 4" xfId="1494" xr:uid="{181D38DD-9087-4204-A1A6-F8FFA78B4538}"/>
    <cellStyle name="RNum2dp 2 2 2 2 2 2 3" xfId="786" xr:uid="{61BED110-BA20-4C8C-BCDB-6A7752FD5BC8}"/>
    <cellStyle name="RNum2dp 2 2 2 2 2 2 3 2" xfId="2675" xr:uid="{1D284D40-D04D-46A1-8050-45B9BD05BD1F}"/>
    <cellStyle name="RNum2dp 2 2 2 2 2 2 3 3" xfId="1730" xr:uid="{230B54C2-BCA4-4E51-A6F1-F811B877AE24}"/>
    <cellStyle name="RNum2dp 2 2 2 2 2 2 4" xfId="2203" xr:uid="{C768920D-ED12-4AC7-AA1C-7673C8BEBC50}"/>
    <cellStyle name="RNum2dp 2 2 2 2 2 2 5" xfId="1258" xr:uid="{64CA5394-8488-4C3E-884C-AAC9D902F091}"/>
    <cellStyle name="RNum2dp 2 2 2 2 2 3" xfId="432" xr:uid="{61E4C81E-4CD9-4CD3-B45D-125F1A94ADB3}"/>
    <cellStyle name="RNum2dp 2 2 2 2 2 3 2" xfId="904" xr:uid="{4CB5E944-A952-42FC-9519-95B5EEAA99BD}"/>
    <cellStyle name="RNum2dp 2 2 2 2 2 3 2 2" xfId="2793" xr:uid="{F52ABEB5-50A5-4F24-B33A-C0EBEFF5FF8A}"/>
    <cellStyle name="RNum2dp 2 2 2 2 2 3 2 3" xfId="1848" xr:uid="{04154618-193C-4ED8-83D9-21CCC7BB8007}"/>
    <cellStyle name="RNum2dp 2 2 2 2 2 3 3" xfId="2321" xr:uid="{A143925F-292E-4AF3-8214-32F773CC6ECB}"/>
    <cellStyle name="RNum2dp 2 2 2 2 2 3 4" xfId="1376" xr:uid="{A082E7A2-1149-4F2E-B8E9-812313B79300}"/>
    <cellStyle name="RNum2dp 2 2 2 2 2 4" xfId="668" xr:uid="{AD319C06-4FDB-4805-9392-7823E08984EC}"/>
    <cellStyle name="RNum2dp 2 2 2 2 2 4 2" xfId="2557" xr:uid="{C663540C-8A48-4C41-B292-B1382DC8E912}"/>
    <cellStyle name="RNum2dp 2 2 2 2 2 4 3" xfId="1612" xr:uid="{0E9A2403-DC7B-49AE-A994-57957202ED6C}"/>
    <cellStyle name="RNum2dp 2 2 2 2 2 5" xfId="2085" xr:uid="{B25D9323-1D91-4F65-AA66-2AB6AF031DAA}"/>
    <cellStyle name="RNum2dp 2 2 2 2 2 6" xfId="1140" xr:uid="{7E0CB492-37E9-46DE-A195-83BED1162991}"/>
    <cellStyle name="RNum2dp 2 2 2 2 3" xfId="255" xr:uid="{3B006618-7F85-4935-922B-59F7D542CC7B}"/>
    <cellStyle name="RNum2dp 2 2 2 2 3 2" xfId="491" xr:uid="{3F34A80D-1712-42E7-8A7A-B8FB647D8268}"/>
    <cellStyle name="RNum2dp 2 2 2 2 3 2 2" xfId="963" xr:uid="{B4BC6D56-A8E7-42CB-810C-DBD1E8EAC5C7}"/>
    <cellStyle name="RNum2dp 2 2 2 2 3 2 2 2" xfId="2852" xr:uid="{1419E570-6306-4A3F-A420-509A6DD3D7B3}"/>
    <cellStyle name="RNum2dp 2 2 2 2 3 2 2 3" xfId="1907" xr:uid="{B763E773-55DD-4948-B1A7-5B5E4F2C6D2A}"/>
    <cellStyle name="RNum2dp 2 2 2 2 3 2 3" xfId="2380" xr:uid="{C1F6D3CE-E1A9-4C2D-81BA-985DACD2B315}"/>
    <cellStyle name="RNum2dp 2 2 2 2 3 2 4" xfId="1435" xr:uid="{33F75E52-AB5E-40EC-92C7-09B81A5D7AC0}"/>
    <cellStyle name="RNum2dp 2 2 2 2 3 3" xfId="727" xr:uid="{F0B52154-4FDB-4376-9931-68F28232A05B}"/>
    <cellStyle name="RNum2dp 2 2 2 2 3 3 2" xfId="2616" xr:uid="{D2605852-505F-494F-8F70-79F3B581C4EE}"/>
    <cellStyle name="RNum2dp 2 2 2 2 3 3 3" xfId="1671" xr:uid="{8AECDB4C-CD59-41A5-90B2-3E085004E77E}"/>
    <cellStyle name="RNum2dp 2 2 2 2 3 4" xfId="2144" xr:uid="{69BA8A1E-B646-46BA-A7D0-8B63A335D715}"/>
    <cellStyle name="RNum2dp 2 2 2 2 3 5" xfId="1199" xr:uid="{E76DACBB-EB6F-442C-A99E-11CABAF0326A}"/>
    <cellStyle name="RNum2dp 2 2 2 2 4" xfId="373" xr:uid="{CC392C3D-1422-4E7D-BBCC-31D0AC1D54DE}"/>
    <cellStyle name="RNum2dp 2 2 2 2 4 2" xfId="845" xr:uid="{0779AF94-FDF5-45A7-BFED-7032A4532DCA}"/>
    <cellStyle name="RNum2dp 2 2 2 2 4 2 2" xfId="2734" xr:uid="{89B80AAE-E705-4C3B-BCAB-8CAA33941DCE}"/>
    <cellStyle name="RNum2dp 2 2 2 2 4 2 3" xfId="1789" xr:uid="{080134E6-DDDD-4C5A-B956-35499D1E2D88}"/>
    <cellStyle name="RNum2dp 2 2 2 2 4 3" xfId="2262" xr:uid="{70B61801-F980-4FD0-8AC2-599856C48E14}"/>
    <cellStyle name="RNum2dp 2 2 2 2 4 4" xfId="1317" xr:uid="{303B4920-A15F-4A6A-B481-11E7724F5764}"/>
    <cellStyle name="RNum2dp 2 2 2 2 5" xfId="609" xr:uid="{DBD55AAC-6DD2-4EDB-95A2-8368C02CECDB}"/>
    <cellStyle name="RNum2dp 2 2 2 2 5 2" xfId="2498" xr:uid="{F60B7788-CAFC-4093-819B-E8E8BB5573C2}"/>
    <cellStyle name="RNum2dp 2 2 2 2 5 3" xfId="1553" xr:uid="{2B4BBD1A-86BF-41E4-B273-4C3A0B4C697D}"/>
    <cellStyle name="RNum2dp 2 2 2 2 6" xfId="2026" xr:uid="{D0387AAC-C910-4DC4-B836-8E5B5442EBB9}"/>
    <cellStyle name="RNum2dp 2 2 2 2 7" xfId="1081" xr:uid="{3B4EE576-3C2D-4598-AD4C-C87EBCD51729}"/>
    <cellStyle name="RNum2dp 2 2 2 3" xfId="127" xr:uid="{2517177D-C551-44EE-8742-53DCEFB09D02}"/>
    <cellStyle name="RNum2dp 2 2 2 3 2" xfId="189" xr:uid="{1535B265-2F62-4982-94F9-F8AA1B1938AD}"/>
    <cellStyle name="RNum2dp 2 2 2 3 2 2" xfId="307" xr:uid="{C648A216-4B60-4EC5-A1A2-46DEC23452FF}"/>
    <cellStyle name="RNum2dp 2 2 2 3 2 2 2" xfId="543" xr:uid="{AAF30E94-F7B6-426E-82EC-1C41D1E8B87B}"/>
    <cellStyle name="RNum2dp 2 2 2 3 2 2 2 2" xfId="1015" xr:uid="{9329600B-F424-4F30-91DD-FA13BA4309FB}"/>
    <cellStyle name="RNum2dp 2 2 2 3 2 2 2 2 2" xfId="2904" xr:uid="{9EA5676D-15F7-4132-9001-EF217DFC815E}"/>
    <cellStyle name="RNum2dp 2 2 2 3 2 2 2 2 3" xfId="1959" xr:uid="{B5CB3516-44B0-4D8E-A4EA-325B77053EFB}"/>
    <cellStyle name="RNum2dp 2 2 2 3 2 2 2 3" xfId="2432" xr:uid="{88E635FA-2D57-4621-AB14-E398AB394CFA}"/>
    <cellStyle name="RNum2dp 2 2 2 3 2 2 2 4" xfId="1487" xr:uid="{A2F029BF-086C-4462-9AD6-0B7E49DBB56C}"/>
    <cellStyle name="RNum2dp 2 2 2 3 2 2 3" xfId="779" xr:uid="{92331A47-8041-4EE0-AB12-16EDE2BC2834}"/>
    <cellStyle name="RNum2dp 2 2 2 3 2 2 3 2" xfId="2668" xr:uid="{364CDF74-3FE2-47BC-89B6-6982ADCC3795}"/>
    <cellStyle name="RNum2dp 2 2 2 3 2 2 3 3" xfId="1723" xr:uid="{302E59FE-B458-4B0D-AB31-DAB232B913D4}"/>
    <cellStyle name="RNum2dp 2 2 2 3 2 2 4" xfId="2196" xr:uid="{AE3BC8BC-FE74-4B5D-A779-13049E4C0639}"/>
    <cellStyle name="RNum2dp 2 2 2 3 2 2 5" xfId="1251" xr:uid="{392D219B-B471-453B-AE59-F55CFF8EF9EA}"/>
    <cellStyle name="RNum2dp 2 2 2 3 2 3" xfId="425" xr:uid="{F445B193-1291-431F-9D4B-98E72AD36ADC}"/>
    <cellStyle name="RNum2dp 2 2 2 3 2 3 2" xfId="897" xr:uid="{1343270D-8D3B-4D92-BE84-D9952D707457}"/>
    <cellStyle name="RNum2dp 2 2 2 3 2 3 2 2" xfId="2786" xr:uid="{E50B5555-8A21-463F-90D4-C6BB7E7E3466}"/>
    <cellStyle name="RNum2dp 2 2 2 3 2 3 2 3" xfId="1841" xr:uid="{389E35F7-94FF-4556-9366-1C18A0C6F77D}"/>
    <cellStyle name="RNum2dp 2 2 2 3 2 3 3" xfId="2314" xr:uid="{702FE7E8-FEBA-4A25-85B0-8CA4AA38478E}"/>
    <cellStyle name="RNum2dp 2 2 2 3 2 3 4" xfId="1369" xr:uid="{EE10DD56-A075-4590-90D0-2F9C0E63C79E}"/>
    <cellStyle name="RNum2dp 2 2 2 3 2 4" xfId="661" xr:uid="{66F5D0B7-26C6-4DAD-85C5-D756EDAFB6E0}"/>
    <cellStyle name="RNum2dp 2 2 2 3 2 4 2" xfId="2550" xr:uid="{C67040BF-3A0D-4A5E-A980-7B5DD9E7A40C}"/>
    <cellStyle name="RNum2dp 2 2 2 3 2 4 3" xfId="1605" xr:uid="{4BF939F3-5ED0-496C-9B0F-14222BBA2DB5}"/>
    <cellStyle name="RNum2dp 2 2 2 3 2 5" xfId="2078" xr:uid="{22E3BC5F-8C28-4CF8-9FBE-DEED43237916}"/>
    <cellStyle name="RNum2dp 2 2 2 3 2 6" xfId="1133" xr:uid="{574523A7-651C-4771-A30F-29009117B02D}"/>
    <cellStyle name="RNum2dp 2 2 2 3 3" xfId="248" xr:uid="{72EB5CB0-7D70-4008-9EE3-8C6B9517E005}"/>
    <cellStyle name="RNum2dp 2 2 2 3 3 2" xfId="484" xr:uid="{23499986-D947-4B1D-B8B9-4CB124C3655D}"/>
    <cellStyle name="RNum2dp 2 2 2 3 3 2 2" xfId="956" xr:uid="{F783C3EF-180B-4FC4-BAA6-E69DFFE4C447}"/>
    <cellStyle name="RNum2dp 2 2 2 3 3 2 2 2" xfId="2845" xr:uid="{E2E8EF53-9E35-47F0-BFDE-18EA539D024D}"/>
    <cellStyle name="RNum2dp 2 2 2 3 3 2 2 3" xfId="1900" xr:uid="{08A83001-8FDF-4F89-86AC-32EBBF412F51}"/>
    <cellStyle name="RNum2dp 2 2 2 3 3 2 3" xfId="2373" xr:uid="{E6A10918-D391-4AF1-8637-983F10F815E4}"/>
    <cellStyle name="RNum2dp 2 2 2 3 3 2 4" xfId="1428" xr:uid="{B5995573-3687-4937-889F-01CD6C16B70B}"/>
    <cellStyle name="RNum2dp 2 2 2 3 3 3" xfId="720" xr:uid="{5C89A233-7610-415C-92A8-1F5D687C23C9}"/>
    <cellStyle name="RNum2dp 2 2 2 3 3 3 2" xfId="2609" xr:uid="{F45399B2-65F5-4F4B-943A-19C13B3DA369}"/>
    <cellStyle name="RNum2dp 2 2 2 3 3 3 3" xfId="1664" xr:uid="{A3CA2470-EEFA-482C-872C-C5DC9A1E5BFC}"/>
    <cellStyle name="RNum2dp 2 2 2 3 3 4" xfId="2137" xr:uid="{51C392C9-33FA-4B35-B1BD-FB1B4E67E0AD}"/>
    <cellStyle name="RNum2dp 2 2 2 3 3 5" xfId="1192" xr:uid="{0A003962-1B95-49F6-8E9D-E60861FDACFF}"/>
    <cellStyle name="RNum2dp 2 2 2 3 4" xfId="366" xr:uid="{766B87A2-8428-4E79-AC5A-802A924BB262}"/>
    <cellStyle name="RNum2dp 2 2 2 3 4 2" xfId="838" xr:uid="{601EBC01-5E6D-43B4-AA14-3786C1633660}"/>
    <cellStyle name="RNum2dp 2 2 2 3 4 2 2" xfId="2727" xr:uid="{8D89239D-1994-4370-920B-10BAFF814810}"/>
    <cellStyle name="RNum2dp 2 2 2 3 4 2 3" xfId="1782" xr:uid="{35994F43-86A6-431D-BEBC-F5AC7D6EDC33}"/>
    <cellStyle name="RNum2dp 2 2 2 3 4 3" xfId="2255" xr:uid="{D788BC20-907C-4295-B15E-1E1418F9CD34}"/>
    <cellStyle name="RNum2dp 2 2 2 3 4 4" xfId="1310" xr:uid="{261C7D31-DD8E-49A6-B5D4-46B99F2F7EC0}"/>
    <cellStyle name="RNum2dp 2 2 2 3 5" xfId="602" xr:uid="{A4F3990D-4A1F-45D8-A9F3-85C051AEF1C0}"/>
    <cellStyle name="RNum2dp 2 2 2 3 5 2" xfId="2491" xr:uid="{0733A8CC-4B24-497C-A0E7-0BEAF1BEFB59}"/>
    <cellStyle name="RNum2dp 2 2 2 3 5 3" xfId="1546" xr:uid="{B98B27FE-7CF1-43BC-B598-816692DDD436}"/>
    <cellStyle name="RNum2dp 2 2 2 3 6" xfId="2019" xr:uid="{9685CDDE-7736-45C2-8187-325617BAB0F0}"/>
    <cellStyle name="RNum2dp 2 2 2 3 7" xfId="1074" xr:uid="{635B1B86-BC5E-427E-9B18-90D9D684C716}"/>
    <cellStyle name="RNum2dp 2 2 2 4" xfId="174" xr:uid="{585A286D-17F3-4FB0-A6A7-AC77DE525EAF}"/>
    <cellStyle name="RNum2dp 2 2 2 4 2" xfId="292" xr:uid="{A1620840-8C13-4C01-A151-A0F4A22B2A37}"/>
    <cellStyle name="RNum2dp 2 2 2 4 2 2" xfId="528" xr:uid="{F97685C3-127D-439E-9946-77CFC8407D0B}"/>
    <cellStyle name="RNum2dp 2 2 2 4 2 2 2" xfId="1000" xr:uid="{DAE5D656-4A1B-4543-A56C-1B409C7FF10B}"/>
    <cellStyle name="RNum2dp 2 2 2 4 2 2 2 2" xfId="2889" xr:uid="{0B1E203E-D5C2-430E-B41F-9FD1941F396E}"/>
    <cellStyle name="RNum2dp 2 2 2 4 2 2 2 3" xfId="1944" xr:uid="{9B914D3A-A1DB-4BE1-8E8E-80951152DC49}"/>
    <cellStyle name="RNum2dp 2 2 2 4 2 2 3" xfId="2417" xr:uid="{F705F605-DA5B-4A83-B316-F8902103B017}"/>
    <cellStyle name="RNum2dp 2 2 2 4 2 2 4" xfId="1472" xr:uid="{EFA12225-2B51-4541-8387-02D665D17B0F}"/>
    <cellStyle name="RNum2dp 2 2 2 4 2 3" xfId="764" xr:uid="{358E71F4-0A26-4775-91E2-6D8D32AD309D}"/>
    <cellStyle name="RNum2dp 2 2 2 4 2 3 2" xfId="2653" xr:uid="{BB234903-84BD-4465-BDC7-88538E1FFC30}"/>
    <cellStyle name="RNum2dp 2 2 2 4 2 3 3" xfId="1708" xr:uid="{5B65740A-FB98-4913-9244-97F7AE08ECAA}"/>
    <cellStyle name="RNum2dp 2 2 2 4 2 4" xfId="2181" xr:uid="{9647DEC1-4DD8-48FC-BE7E-6C9AEC1A2358}"/>
    <cellStyle name="RNum2dp 2 2 2 4 2 5" xfId="1236" xr:uid="{211D6B4D-C1D9-4F30-BD2D-522635A55E30}"/>
    <cellStyle name="RNum2dp 2 2 2 4 3" xfId="410" xr:uid="{DBF6CD53-66C3-421C-98E4-31DD7956A3AE}"/>
    <cellStyle name="RNum2dp 2 2 2 4 3 2" xfId="882" xr:uid="{FD3D2558-B4A6-43A4-AD21-FBD82E7B5840}"/>
    <cellStyle name="RNum2dp 2 2 2 4 3 2 2" xfId="2771" xr:uid="{BEA57E98-16C1-4BEA-9753-123E70DCE3EF}"/>
    <cellStyle name="RNum2dp 2 2 2 4 3 2 3" xfId="1826" xr:uid="{5A2C498B-4EAE-472E-A194-FC7866B40BAF}"/>
    <cellStyle name="RNum2dp 2 2 2 4 3 3" xfId="2299" xr:uid="{00C6B2C1-9CA8-4C60-8584-C3F1346FB684}"/>
    <cellStyle name="RNum2dp 2 2 2 4 3 4" xfId="1354" xr:uid="{FC6325CD-EBCA-42C4-8B02-A56174167770}"/>
    <cellStyle name="RNum2dp 2 2 2 4 4" xfId="646" xr:uid="{83FA9F1C-BE74-4185-A8B8-08F9CA658135}"/>
    <cellStyle name="RNum2dp 2 2 2 4 4 2" xfId="2535" xr:uid="{9F261ACA-3DC7-4C93-AD40-FA7B49E9B3E4}"/>
    <cellStyle name="RNum2dp 2 2 2 4 4 3" xfId="1590" xr:uid="{5B16AEA4-EB2E-4FD8-985F-58B329625CC5}"/>
    <cellStyle name="RNum2dp 2 2 2 4 5" xfId="2063" xr:uid="{F3C49DA7-19DF-49B2-9BE2-19ABD0B18DFD}"/>
    <cellStyle name="RNum2dp 2 2 2 4 6" xfId="1118" xr:uid="{EEB66D2B-8AA8-4452-B257-FE1BF022CE9F}"/>
    <cellStyle name="RNum2dp 2 2 2 5" xfId="233" xr:uid="{100911D6-AC96-4DC9-8B42-BF277B9C25C3}"/>
    <cellStyle name="RNum2dp 2 2 2 5 2" xfId="469" xr:uid="{6513BE36-5ECB-435F-8BA8-7585416DA9A7}"/>
    <cellStyle name="RNum2dp 2 2 2 5 2 2" xfId="941" xr:uid="{0FCF4B2F-C27B-4403-B836-13A0A5FCF0DA}"/>
    <cellStyle name="RNum2dp 2 2 2 5 2 2 2" xfId="2830" xr:uid="{4DFF78C6-2751-4F79-A7C6-C4AF242A0A7B}"/>
    <cellStyle name="RNum2dp 2 2 2 5 2 2 3" xfId="1885" xr:uid="{D61776E7-6AC9-4864-98E1-22DFB25651E1}"/>
    <cellStyle name="RNum2dp 2 2 2 5 2 3" xfId="2358" xr:uid="{B8D35CCD-FE55-45F2-98D3-CD394D744E6A}"/>
    <cellStyle name="RNum2dp 2 2 2 5 2 4" xfId="1413" xr:uid="{B88D2BBE-9A3D-4C97-862D-8EAB847347C6}"/>
    <cellStyle name="RNum2dp 2 2 2 5 3" xfId="705" xr:uid="{D4BA5089-663B-418C-8BAC-3B45FBEAD0A0}"/>
    <cellStyle name="RNum2dp 2 2 2 5 3 2" xfId="2594" xr:uid="{C15FEA9E-8967-4074-9F3C-51B1A6310064}"/>
    <cellStyle name="RNum2dp 2 2 2 5 3 3" xfId="1649" xr:uid="{A0D7B62F-D95B-4959-B79C-6A81124F485F}"/>
    <cellStyle name="RNum2dp 2 2 2 5 4" xfId="2122" xr:uid="{C85A8A6B-8143-4EE4-96DC-73F374456561}"/>
    <cellStyle name="RNum2dp 2 2 2 5 5" xfId="1177" xr:uid="{9F059655-8162-45BC-AB6F-634CAE07794B}"/>
    <cellStyle name="RNum2dp 2 2 2 6" xfId="351" xr:uid="{CB5B8EB8-4F0D-4B37-B433-368FBE1DB6D1}"/>
    <cellStyle name="RNum2dp 2 2 2 6 2" xfId="823" xr:uid="{5CD47FF0-18DD-4A7A-A07E-1F3D4860D94C}"/>
    <cellStyle name="RNum2dp 2 2 2 6 2 2" xfId="2712" xr:uid="{EF93500C-97A2-47D0-B41B-FE0945D969B4}"/>
    <cellStyle name="RNum2dp 2 2 2 6 2 3" xfId="1767" xr:uid="{11DCDB64-2186-421C-B878-FACC9EAA4C19}"/>
    <cellStyle name="RNum2dp 2 2 2 6 3" xfId="2240" xr:uid="{D834EC6D-97EF-40E8-8B45-3119959DE4E4}"/>
    <cellStyle name="RNum2dp 2 2 2 6 4" xfId="1295" xr:uid="{64E41EF5-E360-4863-B05A-6C45DF10D4F9}"/>
    <cellStyle name="RNum2dp 2 2 2 7" xfId="587" xr:uid="{D4EDE102-549A-4C89-86BB-AC12D171B1BB}"/>
    <cellStyle name="RNum2dp 2 2 2 7 2" xfId="2476" xr:uid="{F7CDBA0D-9BFC-4049-A2A6-2EDB807F6C90}"/>
    <cellStyle name="RNum2dp 2 2 2 7 3" xfId="1531" xr:uid="{3B07E943-66EF-4C7E-8F91-1288434563D0}"/>
    <cellStyle name="RNum2dp 2 2 2 8" xfId="2004" xr:uid="{7B02EE8E-5B27-4D6A-B76B-BD5984CD8E5B}"/>
    <cellStyle name="RNum2dp 2 2 2 9" xfId="1059" xr:uid="{6CADAD69-34EB-486F-9C70-38E5BA6C4D15}"/>
    <cellStyle name="RNum2dp 2 2 3" xfId="162" xr:uid="{F2972556-606D-452A-A320-E912FEE91993}"/>
    <cellStyle name="RNum2dp 2 2 3 2" xfId="221" xr:uid="{653C73CC-299F-40F1-906A-66075BFDFE5A}"/>
    <cellStyle name="RNum2dp 2 2 3 2 2" xfId="339" xr:uid="{8AB6E210-E870-462B-8EF9-06D13D94F1BB}"/>
    <cellStyle name="RNum2dp 2 2 3 2 2 2" xfId="575" xr:uid="{EE74E948-A845-4447-A17C-EF4D412DFE73}"/>
    <cellStyle name="RNum2dp 2 2 3 2 2 2 2" xfId="1047" xr:uid="{57714405-5F94-4C92-81C0-1B4B3776D6A8}"/>
    <cellStyle name="RNum2dp 2 2 3 2 2 2 2 2" xfId="2936" xr:uid="{0AA82C97-39E8-4DDD-8C5B-CDDEFF3CE966}"/>
    <cellStyle name="RNum2dp 2 2 3 2 2 2 2 3" xfId="1991" xr:uid="{379E1FA1-8C3D-4D11-A072-5ABEBA6A7D05}"/>
    <cellStyle name="RNum2dp 2 2 3 2 2 2 3" xfId="2464" xr:uid="{C93CB27B-8140-480D-9A53-8DB033F471E6}"/>
    <cellStyle name="RNum2dp 2 2 3 2 2 2 4" xfId="1519" xr:uid="{2B2F5A90-F664-48ED-8A46-6862666C64E5}"/>
    <cellStyle name="RNum2dp 2 2 3 2 2 3" xfId="811" xr:uid="{DAF9B128-B647-4509-A57F-FB661A641EED}"/>
    <cellStyle name="RNum2dp 2 2 3 2 2 3 2" xfId="2700" xr:uid="{36A2A239-EE0F-4895-92A1-F2A98C6837BA}"/>
    <cellStyle name="RNum2dp 2 2 3 2 2 3 3" xfId="1755" xr:uid="{D9B9467E-FE26-4B4E-9786-12E19AC04258}"/>
    <cellStyle name="RNum2dp 2 2 3 2 2 4" xfId="2228" xr:uid="{4C92491B-90EC-4CA6-8792-8E9CE59B726F}"/>
    <cellStyle name="RNum2dp 2 2 3 2 2 5" xfId="1283" xr:uid="{5036200A-8A14-4175-B194-6AF19C9972AB}"/>
    <cellStyle name="RNum2dp 2 2 3 2 3" xfId="457" xr:uid="{FE53AFB2-63F6-4BBE-83C0-8F697F42A76C}"/>
    <cellStyle name="RNum2dp 2 2 3 2 3 2" xfId="929" xr:uid="{7E022B3A-2AE8-4C7C-BC26-820AEE74E652}"/>
    <cellStyle name="RNum2dp 2 2 3 2 3 2 2" xfId="2818" xr:uid="{ECFE10FC-A989-40FA-8507-670E66966DFB}"/>
    <cellStyle name="RNum2dp 2 2 3 2 3 2 3" xfId="1873" xr:uid="{60812845-1D93-48BD-A8A9-101EEACD4371}"/>
    <cellStyle name="RNum2dp 2 2 3 2 3 3" xfId="2346" xr:uid="{79463402-000A-4F33-AEC2-C9E0C469C869}"/>
    <cellStyle name="RNum2dp 2 2 3 2 3 4" xfId="1401" xr:uid="{617ADB24-9B48-41DE-A584-57497A76992D}"/>
    <cellStyle name="RNum2dp 2 2 3 2 4" xfId="693" xr:uid="{07E1CA3F-6214-4E26-BE16-6F80AC491273}"/>
    <cellStyle name="RNum2dp 2 2 3 2 4 2" xfId="2582" xr:uid="{3DE05FE6-5CAD-4C61-87BB-4E950EC7B0D3}"/>
    <cellStyle name="RNum2dp 2 2 3 2 4 3" xfId="1637" xr:uid="{210944CE-D658-4B09-9A94-EA8F4CFDA34C}"/>
    <cellStyle name="RNum2dp 2 2 3 2 5" xfId="2110" xr:uid="{0978A74C-3C29-4047-88A8-3B6622C85083}"/>
    <cellStyle name="RNum2dp 2 2 3 2 6" xfId="1165" xr:uid="{EDCB5EBC-150E-4FE8-9D78-FD2BF3F7F0FF}"/>
    <cellStyle name="RNum2dp 2 2 3 3" xfId="280" xr:uid="{D51BFCE8-5773-4DE8-B808-5BA0D5E8AE88}"/>
    <cellStyle name="RNum2dp 2 2 3 3 2" xfId="516" xr:uid="{155D36AD-B2F2-40A9-9ED6-AC7857A3DC7F}"/>
    <cellStyle name="RNum2dp 2 2 3 3 2 2" xfId="988" xr:uid="{28FA3FEB-EF50-4F59-B5B4-63E44BD73CDB}"/>
    <cellStyle name="RNum2dp 2 2 3 3 2 2 2" xfId="2877" xr:uid="{8027E370-6894-400B-9E2A-AC5D95AB7F64}"/>
    <cellStyle name="RNum2dp 2 2 3 3 2 2 3" xfId="1932" xr:uid="{167AFD71-AB89-44A1-9448-74AB86C9D5C4}"/>
    <cellStyle name="RNum2dp 2 2 3 3 2 3" xfId="2405" xr:uid="{7EE5BAE9-7806-4179-A9E6-9E93431C2D93}"/>
    <cellStyle name="RNum2dp 2 2 3 3 2 4" xfId="1460" xr:uid="{1FE67F37-5D20-4047-B52D-5970AC859E7B}"/>
    <cellStyle name="RNum2dp 2 2 3 3 3" xfId="752" xr:uid="{C2BC061F-F3EB-4D1E-AB07-BFD5697D6959}"/>
    <cellStyle name="RNum2dp 2 2 3 3 3 2" xfId="2641" xr:uid="{9474FE68-D809-4396-97E7-9FF1BDECF3EB}"/>
    <cellStyle name="RNum2dp 2 2 3 3 3 3" xfId="1696" xr:uid="{BD68FF27-ADD7-40D4-A09F-A7C3CABBEFBC}"/>
    <cellStyle name="RNum2dp 2 2 3 3 4" xfId="2169" xr:uid="{B79AD81E-E092-4C35-82FA-21B4F6F22547}"/>
    <cellStyle name="RNum2dp 2 2 3 3 5" xfId="1224" xr:uid="{486BC68A-B57C-47F6-AE32-64AF2096BA98}"/>
    <cellStyle name="RNum2dp 2 2 3 4" xfId="398" xr:uid="{911EE4FA-9534-46FD-A766-6A25B85E5E72}"/>
    <cellStyle name="RNum2dp 2 2 3 4 2" xfId="870" xr:uid="{34C17006-9743-4286-84D8-DA46B7CF4005}"/>
    <cellStyle name="RNum2dp 2 2 3 4 2 2" xfId="2759" xr:uid="{2B00374A-6C20-41B4-AFF6-EF0FBF97C48E}"/>
    <cellStyle name="RNum2dp 2 2 3 4 2 3" xfId="1814" xr:uid="{DEBF9B55-6A1D-44BB-AFA9-552340814950}"/>
    <cellStyle name="RNum2dp 2 2 3 4 3" xfId="2287" xr:uid="{3D7FC8FE-105C-4A85-9939-E8B52F8ADFEF}"/>
    <cellStyle name="RNum2dp 2 2 3 4 4" xfId="1342" xr:uid="{322C6824-209D-420F-A0C9-375F256056A1}"/>
    <cellStyle name="RNum2dp 2 2 3 5" xfId="634" xr:uid="{A3F6652D-1EF9-4F18-B929-DB386A49DE35}"/>
    <cellStyle name="RNum2dp 2 2 3 5 2" xfId="2523" xr:uid="{D9F03B7F-0A88-45DF-8F9D-3AE44043EFD1}"/>
    <cellStyle name="RNum2dp 2 2 3 5 3" xfId="1578" xr:uid="{58BE71C4-595F-405E-992A-8510093B92FC}"/>
    <cellStyle name="RNum2dp 2 2 3 6" xfId="2051" xr:uid="{9D82700C-AA56-43FF-9602-7A75E8206C37}"/>
    <cellStyle name="RNum2dp 2 2 3 7" xfId="1106" xr:uid="{F834C91D-9B84-4685-9E85-0A8F67BF1B56}"/>
    <cellStyle name="RNum2dp 2 3" xfId="107" xr:uid="{12C19BE9-1F0F-471D-A5FF-83D560CDDBBA}"/>
    <cellStyle name="RNum2dp 2 3 2" xfId="145" xr:uid="{EDDB783A-E924-45CE-AB04-FBBF6E33E64F}"/>
    <cellStyle name="RNum2dp 2 3 2 2" xfId="206" xr:uid="{FC7ADEE7-B60F-4F1B-B066-D71130E3D15B}"/>
    <cellStyle name="RNum2dp 2 3 2 2 2" xfId="324" xr:uid="{07CADFD8-00AB-4FA1-BED1-8D79D82A128C}"/>
    <cellStyle name="RNum2dp 2 3 2 2 2 2" xfId="560" xr:uid="{D4734882-7558-463E-915D-537A3066A7F9}"/>
    <cellStyle name="RNum2dp 2 3 2 2 2 2 2" xfId="1032" xr:uid="{904D60A8-AFFE-4C44-A435-F76849A82779}"/>
    <cellStyle name="RNum2dp 2 3 2 2 2 2 2 2" xfId="2921" xr:uid="{8D0B45B0-BD6E-41B4-BC85-B68E18A45C92}"/>
    <cellStyle name="RNum2dp 2 3 2 2 2 2 2 3" xfId="1976" xr:uid="{2DFE86F1-2F70-4CCA-B96E-4178F9761687}"/>
    <cellStyle name="RNum2dp 2 3 2 2 2 2 3" xfId="2449" xr:uid="{572F7E49-F46B-4C26-B045-2CBEE9F5DD4F}"/>
    <cellStyle name="RNum2dp 2 3 2 2 2 2 4" xfId="1504" xr:uid="{8EB29DEE-24EF-4B03-B54B-EEBE0A55FF6F}"/>
    <cellStyle name="RNum2dp 2 3 2 2 2 3" xfId="796" xr:uid="{0A6877F6-8023-40BF-A302-52209442F14B}"/>
    <cellStyle name="RNum2dp 2 3 2 2 2 3 2" xfId="2685" xr:uid="{046FA00D-8D91-42F1-A1B6-56FA0B5E8AD4}"/>
    <cellStyle name="RNum2dp 2 3 2 2 2 3 3" xfId="1740" xr:uid="{5DADD3CB-167E-4A2D-839F-DE756F6D505C}"/>
    <cellStyle name="RNum2dp 2 3 2 2 2 4" xfId="2213" xr:uid="{4B2D5EAD-5619-4841-A3BF-9E6FBD550226}"/>
    <cellStyle name="RNum2dp 2 3 2 2 2 5" xfId="1268" xr:uid="{FA2FD0E6-C71E-4FDD-B312-053D0FE9C24B}"/>
    <cellStyle name="RNum2dp 2 3 2 2 3" xfId="442" xr:uid="{3B39E39C-CEDC-482C-8923-E8D2C8069A77}"/>
    <cellStyle name="RNum2dp 2 3 2 2 3 2" xfId="914" xr:uid="{A820B6DB-3C39-4BB0-8287-95269284CA9F}"/>
    <cellStyle name="RNum2dp 2 3 2 2 3 2 2" xfId="2803" xr:uid="{57910ECD-D454-4912-B7F8-35B766C735AF}"/>
    <cellStyle name="RNum2dp 2 3 2 2 3 2 3" xfId="1858" xr:uid="{9BA10D2E-0F5B-4BF1-B549-74BCB081DEE5}"/>
    <cellStyle name="RNum2dp 2 3 2 2 3 3" xfId="2331" xr:uid="{261D048B-F728-4822-9A1A-D1AEF49901AC}"/>
    <cellStyle name="RNum2dp 2 3 2 2 3 4" xfId="1386" xr:uid="{BD39D886-985B-4BD2-9AEA-60A3563D9AAF}"/>
    <cellStyle name="RNum2dp 2 3 2 2 4" xfId="678" xr:uid="{138B9D58-D745-415A-995C-39EE2B8DD40E}"/>
    <cellStyle name="RNum2dp 2 3 2 2 4 2" xfId="2567" xr:uid="{886D001B-EFAE-4ABE-9DE0-1AE40BD28D42}"/>
    <cellStyle name="RNum2dp 2 3 2 2 4 3" xfId="1622" xr:uid="{6BCBEC7D-602F-4521-A6DC-C83C4B1B546B}"/>
    <cellStyle name="RNum2dp 2 3 2 2 5" xfId="2095" xr:uid="{6F44E46B-8EBB-445B-A2D7-FBCFBF2FBFED}"/>
    <cellStyle name="RNum2dp 2 3 2 2 6" xfId="1150" xr:uid="{59338EF9-FF59-4186-A0CA-D0FF391F35FE}"/>
    <cellStyle name="RNum2dp 2 3 2 3" xfId="265" xr:uid="{E621FF51-EA99-4F45-8663-2D513683E7B4}"/>
    <cellStyle name="RNum2dp 2 3 2 3 2" xfId="501" xr:uid="{5C482203-6522-44AD-B715-C6658D3E7ACB}"/>
    <cellStyle name="RNum2dp 2 3 2 3 2 2" xfId="973" xr:uid="{7A4178A8-5744-463F-918B-69124C1A782A}"/>
    <cellStyle name="RNum2dp 2 3 2 3 2 2 2" xfId="2862" xr:uid="{5E5E396D-7BCC-4302-B2CA-ABECE57087D8}"/>
    <cellStyle name="RNum2dp 2 3 2 3 2 2 3" xfId="1917" xr:uid="{7B425574-2605-49F3-94A2-8026C58146AB}"/>
    <cellStyle name="RNum2dp 2 3 2 3 2 3" xfId="2390" xr:uid="{17C8A20C-5901-4101-823D-475B3255509F}"/>
    <cellStyle name="RNum2dp 2 3 2 3 2 4" xfId="1445" xr:uid="{84024AF4-0F4A-4898-9EBE-AE5D52CC721C}"/>
    <cellStyle name="RNum2dp 2 3 2 3 3" xfId="737" xr:uid="{991A2FDB-B462-43B4-902A-30468E104EED}"/>
    <cellStyle name="RNum2dp 2 3 2 3 3 2" xfId="2626" xr:uid="{BDA9D169-0FE4-46C8-8C6F-F4A17F54BFA1}"/>
    <cellStyle name="RNum2dp 2 3 2 3 3 3" xfId="1681" xr:uid="{8AD2461C-93B0-41F8-8FE4-0A92CFD51806}"/>
    <cellStyle name="RNum2dp 2 3 2 3 4" xfId="2154" xr:uid="{84363846-656D-4425-9A93-C72BD0FD8AE1}"/>
    <cellStyle name="RNum2dp 2 3 2 3 5" xfId="1209" xr:uid="{418C8417-2BD2-4740-8376-002B54603F55}"/>
    <cellStyle name="RNum2dp 2 3 2 4" xfId="383" xr:uid="{213C1B78-F9F6-41F5-B7B1-D70948CAD321}"/>
    <cellStyle name="RNum2dp 2 3 2 4 2" xfId="855" xr:uid="{3E96CE3C-8905-4167-98B0-8CE21D357B4C}"/>
    <cellStyle name="RNum2dp 2 3 2 4 2 2" xfId="2744" xr:uid="{070F5E7B-6055-4C4E-86BD-1510D41E1D2B}"/>
    <cellStyle name="RNum2dp 2 3 2 4 2 3" xfId="1799" xr:uid="{DF0A5FFF-CF39-4DA1-876F-91070B440A8A}"/>
    <cellStyle name="RNum2dp 2 3 2 4 3" xfId="2272" xr:uid="{7B4A584D-2F22-4C80-80B0-BBC266B75D49}"/>
    <cellStyle name="RNum2dp 2 3 2 4 4" xfId="1327" xr:uid="{27556274-2214-4CE2-8C3B-3B06458E0DF6}"/>
    <cellStyle name="RNum2dp 2 3 2 5" xfId="619" xr:uid="{BD6811DC-625E-4341-9AE9-734018F0670D}"/>
    <cellStyle name="RNum2dp 2 3 2 5 2" xfId="2508" xr:uid="{90026579-E443-4E4F-9FCE-686CCC761A8B}"/>
    <cellStyle name="RNum2dp 2 3 2 5 3" xfId="1563" xr:uid="{A69D103F-AB45-4BAB-B57A-BBDAE8786823}"/>
    <cellStyle name="RNum2dp 2 3 2 6" xfId="2036" xr:uid="{6873FBF9-CAF0-468D-9E93-21437FCF2AAC}"/>
    <cellStyle name="RNum2dp 2 3 2 7" xfId="1091" xr:uid="{8E360D2C-92A0-4A1B-9F80-BC960998C4F6}"/>
    <cellStyle name="RNum2dp 2 3 3" xfId="122" xr:uid="{70AF10ED-851C-41F7-8118-D342C232DD19}"/>
    <cellStyle name="RNum2dp 2 3 3 2" xfId="184" xr:uid="{19798186-632B-44C4-AC71-96FC6266ADA7}"/>
    <cellStyle name="RNum2dp 2 3 3 2 2" xfId="302" xr:uid="{0E73E56F-46BD-4A5A-9EFC-F6C312E606A3}"/>
    <cellStyle name="RNum2dp 2 3 3 2 2 2" xfId="538" xr:uid="{6433E655-1947-4C66-8FCB-A0C4D336FB3B}"/>
    <cellStyle name="RNum2dp 2 3 3 2 2 2 2" xfId="1010" xr:uid="{470F1208-366D-4A1A-A29E-7072A01E3809}"/>
    <cellStyle name="RNum2dp 2 3 3 2 2 2 2 2" xfId="2899" xr:uid="{AE01B3B7-6D62-4948-B3E2-39A2CA459840}"/>
    <cellStyle name="RNum2dp 2 3 3 2 2 2 2 3" xfId="1954" xr:uid="{D49DA54D-D783-4A08-B4DE-E45F7FC3A1DA}"/>
    <cellStyle name="RNum2dp 2 3 3 2 2 2 3" xfId="2427" xr:uid="{4B9321C5-15F6-45C4-8786-BFB4482027C0}"/>
    <cellStyle name="RNum2dp 2 3 3 2 2 2 4" xfId="1482" xr:uid="{C836ACAA-438B-4889-92D3-8441DD2BB825}"/>
    <cellStyle name="RNum2dp 2 3 3 2 2 3" xfId="774" xr:uid="{086D2934-F0C2-43C5-B366-D6DA2AE70ED9}"/>
    <cellStyle name="RNum2dp 2 3 3 2 2 3 2" xfId="2663" xr:uid="{E6C8DE55-75C1-4552-93DC-EA3D4148ABEB}"/>
    <cellStyle name="RNum2dp 2 3 3 2 2 3 3" xfId="1718" xr:uid="{C6502FA8-7C31-4E43-8C81-5B883EEB0B4D}"/>
    <cellStyle name="RNum2dp 2 3 3 2 2 4" xfId="2191" xr:uid="{AD517EC2-1232-42D7-B448-6F24C5776B85}"/>
    <cellStyle name="RNum2dp 2 3 3 2 2 5" xfId="1246" xr:uid="{EB72DFD2-FC8E-4018-B45B-60883427BE6F}"/>
    <cellStyle name="RNum2dp 2 3 3 2 3" xfId="420" xr:uid="{8C0005DC-6572-4A93-8C4A-D2C1C56744ED}"/>
    <cellStyle name="RNum2dp 2 3 3 2 3 2" xfId="892" xr:uid="{1055FD3C-7176-4660-BFD9-9FA4D77A5B81}"/>
    <cellStyle name="RNum2dp 2 3 3 2 3 2 2" xfId="2781" xr:uid="{171CF39E-FC04-4329-AB4C-F7A288C530CE}"/>
    <cellStyle name="RNum2dp 2 3 3 2 3 2 3" xfId="1836" xr:uid="{40B76B3B-1851-487B-AB07-72E9D2F88FD5}"/>
    <cellStyle name="RNum2dp 2 3 3 2 3 3" xfId="2309" xr:uid="{FE4CF8E6-657D-42AB-BCED-2A28A542EFDF}"/>
    <cellStyle name="RNum2dp 2 3 3 2 3 4" xfId="1364" xr:uid="{DAADF093-6A14-42AA-BD40-51F7407717B0}"/>
    <cellStyle name="RNum2dp 2 3 3 2 4" xfId="656" xr:uid="{B51B4DED-D89F-43D5-B7D8-5B5DAD5060FC}"/>
    <cellStyle name="RNum2dp 2 3 3 2 4 2" xfId="2545" xr:uid="{FE0C2DD9-00E1-463F-A4C0-3BE37BD316BE}"/>
    <cellStyle name="RNum2dp 2 3 3 2 4 3" xfId="1600" xr:uid="{E0BA7938-FD65-496F-BF9E-18DB762664D6}"/>
    <cellStyle name="RNum2dp 2 3 3 2 5" xfId="2073" xr:uid="{CA454CDF-778B-48D6-B0B8-E0E4F9606D1D}"/>
    <cellStyle name="RNum2dp 2 3 3 2 6" xfId="1128" xr:uid="{79987742-E741-4843-8280-5D6A77BFB54A}"/>
    <cellStyle name="RNum2dp 2 3 3 3" xfId="243" xr:uid="{F3C74DAC-4E72-4218-8479-E9B0AA30AF0C}"/>
    <cellStyle name="RNum2dp 2 3 3 3 2" xfId="479" xr:uid="{058D2748-3EA3-4D4E-8952-E7EBFF354A70}"/>
    <cellStyle name="RNum2dp 2 3 3 3 2 2" xfId="951" xr:uid="{F6D83DB4-8D93-402A-AC5F-D4061AB607AC}"/>
    <cellStyle name="RNum2dp 2 3 3 3 2 2 2" xfId="2840" xr:uid="{2B2B09F8-3EBC-420A-8310-A0EE9F85EBB2}"/>
    <cellStyle name="RNum2dp 2 3 3 3 2 2 3" xfId="1895" xr:uid="{86AA0B6C-E275-4669-8F93-1A2581948453}"/>
    <cellStyle name="RNum2dp 2 3 3 3 2 3" xfId="2368" xr:uid="{AB188EA3-DB18-459F-BE13-3B1C76D4DE25}"/>
    <cellStyle name="RNum2dp 2 3 3 3 2 4" xfId="1423" xr:uid="{D06B88D7-C0C7-472F-A07E-D0AAC2562795}"/>
    <cellStyle name="RNum2dp 2 3 3 3 3" xfId="715" xr:uid="{422F3A15-BB4D-4DAA-BDDD-3601AFD3B8C1}"/>
    <cellStyle name="RNum2dp 2 3 3 3 3 2" xfId="2604" xr:uid="{3DD092EF-48E1-4E18-AF14-97E2D62013BD}"/>
    <cellStyle name="RNum2dp 2 3 3 3 3 3" xfId="1659" xr:uid="{0B7DD489-0B4D-4F4F-8925-320C59AA3170}"/>
    <cellStyle name="RNum2dp 2 3 3 3 4" xfId="2132" xr:uid="{9DAFC8C1-BF58-4C95-8E2C-53F81AC34001}"/>
    <cellStyle name="RNum2dp 2 3 3 3 5" xfId="1187" xr:uid="{E86A766E-8C0B-4943-8092-0F7D1E2FDCFC}"/>
    <cellStyle name="RNum2dp 2 3 3 4" xfId="361" xr:uid="{B766342E-918C-4138-B87D-AEEDD2BED6CD}"/>
    <cellStyle name="RNum2dp 2 3 3 4 2" xfId="833" xr:uid="{42FE046A-9F75-43DE-A65B-39CD713EB9B9}"/>
    <cellStyle name="RNum2dp 2 3 3 4 2 2" xfId="2722" xr:uid="{AAD5C719-0541-420F-ABDF-AAE5548F8739}"/>
    <cellStyle name="RNum2dp 2 3 3 4 2 3" xfId="1777" xr:uid="{F35BDAA7-2BD3-4949-9C2D-4206645EB522}"/>
    <cellStyle name="RNum2dp 2 3 3 4 3" xfId="2250" xr:uid="{2271A327-74D8-46A5-BD9D-65BD5FE20415}"/>
    <cellStyle name="RNum2dp 2 3 3 4 4" xfId="1305" xr:uid="{39F93530-CE9C-48A1-BD3D-A9131EFD976F}"/>
    <cellStyle name="RNum2dp 2 3 3 5" xfId="597" xr:uid="{003FE2D3-69C1-4216-81B8-C57F16119131}"/>
    <cellStyle name="RNum2dp 2 3 3 5 2" xfId="2486" xr:uid="{75FCCBAD-659B-49E6-8C7C-495C4849D635}"/>
    <cellStyle name="RNum2dp 2 3 3 5 3" xfId="1541" xr:uid="{12759846-4B30-48D4-8BA5-06BC5C974C08}"/>
    <cellStyle name="RNum2dp 2 3 3 6" xfId="2014" xr:uid="{F42CF23B-EEA0-4DA6-A2E6-D4A9F25E54E6}"/>
    <cellStyle name="RNum2dp 2 3 3 7" xfId="1069" xr:uid="{B034FBD2-BB5E-41BF-AD53-55A27ED35711}"/>
    <cellStyle name="RNum2dp 2 3 4" xfId="169" xr:uid="{CD531C57-FF1A-496B-ABAA-1057318106C5}"/>
    <cellStyle name="RNum2dp 2 3 4 2" xfId="287" xr:uid="{460017E1-C0CF-4DD6-A2ED-23B80A1A6D98}"/>
    <cellStyle name="RNum2dp 2 3 4 2 2" xfId="523" xr:uid="{C0C1A5AD-FD7B-4360-A49D-7A3FCE3057AB}"/>
    <cellStyle name="RNum2dp 2 3 4 2 2 2" xfId="995" xr:uid="{079598A3-9B85-4F62-B853-BFEAC9424B35}"/>
    <cellStyle name="RNum2dp 2 3 4 2 2 2 2" xfId="2884" xr:uid="{7F0108AA-574C-4365-B47C-9D32063D2F76}"/>
    <cellStyle name="RNum2dp 2 3 4 2 2 2 3" xfId="1939" xr:uid="{5BB0E0B6-F67B-4758-BA1C-DF3132F87104}"/>
    <cellStyle name="RNum2dp 2 3 4 2 2 3" xfId="2412" xr:uid="{6E6D816C-395F-4870-809C-720EF291DF13}"/>
    <cellStyle name="RNum2dp 2 3 4 2 2 4" xfId="1467" xr:uid="{06A8614A-40E1-4D0B-A0FB-4105E3E7654F}"/>
    <cellStyle name="RNum2dp 2 3 4 2 3" xfId="759" xr:uid="{19B1489B-8143-468F-B30E-7188B26FBCED}"/>
    <cellStyle name="RNum2dp 2 3 4 2 3 2" xfId="2648" xr:uid="{5156DC91-7763-4602-9873-E727FF70A85E}"/>
    <cellStyle name="RNum2dp 2 3 4 2 3 3" xfId="1703" xr:uid="{D3AE5EE6-40F4-4335-ADEB-CC73A54E01B9}"/>
    <cellStyle name="RNum2dp 2 3 4 2 4" xfId="2176" xr:uid="{B2FAF4EC-5AB7-4FBB-B5C6-0A6E5F7710F3}"/>
    <cellStyle name="RNum2dp 2 3 4 2 5" xfId="1231" xr:uid="{6A8950B4-9BE2-47AF-89B8-AB022718536B}"/>
    <cellStyle name="RNum2dp 2 3 4 3" xfId="405" xr:uid="{1CE51488-C3A3-4811-922F-83BB95BE10D8}"/>
    <cellStyle name="RNum2dp 2 3 4 3 2" xfId="877" xr:uid="{BAFC9326-FDB1-47DE-AF68-DF4644816F36}"/>
    <cellStyle name="RNum2dp 2 3 4 3 2 2" xfId="2766" xr:uid="{9589E8F7-47DE-473D-BEDE-CE7D4021596B}"/>
    <cellStyle name="RNum2dp 2 3 4 3 2 3" xfId="1821" xr:uid="{66768F84-1ED1-4C58-B2A4-66F8787D273A}"/>
    <cellStyle name="RNum2dp 2 3 4 3 3" xfId="2294" xr:uid="{495A45AA-19B5-4D88-AF66-E0D6E449B372}"/>
    <cellStyle name="RNum2dp 2 3 4 3 4" xfId="1349" xr:uid="{F0C8E905-1D63-4A56-A3C5-6CC9269897BD}"/>
    <cellStyle name="RNum2dp 2 3 4 4" xfId="641" xr:uid="{4A141C61-9208-4312-8484-2D78F961080A}"/>
    <cellStyle name="RNum2dp 2 3 4 4 2" xfId="2530" xr:uid="{5527E4C9-B19E-4E9E-AA91-04248E3DD9EA}"/>
    <cellStyle name="RNum2dp 2 3 4 4 3" xfId="1585" xr:uid="{15E09C71-4BE1-4284-BC0C-0B856D059236}"/>
    <cellStyle name="RNum2dp 2 3 4 5" xfId="2058" xr:uid="{1D6F80EF-1B57-48DE-A43B-E57C7923D62D}"/>
    <cellStyle name="RNum2dp 2 3 4 6" xfId="1113" xr:uid="{5AA529AA-3DB1-4594-89D0-DF3CF5CB01C5}"/>
    <cellStyle name="RNum2dp 2 3 5" xfId="228" xr:uid="{8387F749-8860-4490-88C2-D055ADEA45F2}"/>
    <cellStyle name="RNum2dp 2 3 5 2" xfId="464" xr:uid="{2363EB52-639F-4790-BDBE-D2E8B582CC40}"/>
    <cellStyle name="RNum2dp 2 3 5 2 2" xfId="936" xr:uid="{271D2A88-F96F-4838-AB95-88E2BF74810F}"/>
    <cellStyle name="RNum2dp 2 3 5 2 2 2" xfId="2825" xr:uid="{8F2DC544-C4F4-4391-96F2-D945425C3175}"/>
    <cellStyle name="RNum2dp 2 3 5 2 2 3" xfId="1880" xr:uid="{DD2BDAAD-C650-483E-BC69-624ADFA560EE}"/>
    <cellStyle name="RNum2dp 2 3 5 2 3" xfId="2353" xr:uid="{07A97656-FBC8-4033-BF2E-45BB47FE58EA}"/>
    <cellStyle name="RNum2dp 2 3 5 2 4" xfId="1408" xr:uid="{FF1E0CD9-D6AB-4174-9962-6A0F07634D63}"/>
    <cellStyle name="RNum2dp 2 3 5 3" xfId="700" xr:uid="{B7DD281A-192C-4EAA-B14B-C897F4D979CA}"/>
    <cellStyle name="RNum2dp 2 3 5 3 2" xfId="2589" xr:uid="{B251808F-5E68-4495-A5BF-6773269DA901}"/>
    <cellStyle name="RNum2dp 2 3 5 3 3" xfId="1644" xr:uid="{84A73198-870F-4092-A918-4CD96C2F772C}"/>
    <cellStyle name="RNum2dp 2 3 5 4" xfId="2117" xr:uid="{13F5720A-522A-457B-A949-4A74097EE3EF}"/>
    <cellStyle name="RNum2dp 2 3 5 5" xfId="1172" xr:uid="{2ADB5CE8-124E-434B-BEF1-FA416D979415}"/>
    <cellStyle name="RNum2dp 2 3 6" xfId="346" xr:uid="{DEF004B9-2A65-4704-914B-29D16F51252C}"/>
    <cellStyle name="RNum2dp 2 3 6 2" xfId="818" xr:uid="{344887B6-B111-457D-868C-6646FCD6FF63}"/>
    <cellStyle name="RNum2dp 2 3 6 2 2" xfId="2707" xr:uid="{EF5DFCB2-CCBB-485A-B853-D8433B42778A}"/>
    <cellStyle name="RNum2dp 2 3 6 2 3" xfId="1762" xr:uid="{1036DB12-726D-46C8-A8AC-E2407F35E256}"/>
    <cellStyle name="RNum2dp 2 3 6 3" xfId="2235" xr:uid="{D49EBBC5-3635-49C5-8877-18339C7D142A}"/>
    <cellStyle name="RNum2dp 2 3 6 4" xfId="1290" xr:uid="{1250A949-0DB2-44CD-913D-D400BC62F8AF}"/>
    <cellStyle name="RNum2dp 2 3 7" xfId="582" xr:uid="{1B95CA2C-4E55-422D-AC5C-F47CE4C4081F}"/>
    <cellStyle name="RNum2dp 2 3 7 2" xfId="2471" xr:uid="{BC69985D-3385-4D48-9E2B-CE8A9F89F2B4}"/>
    <cellStyle name="RNum2dp 2 3 7 3" xfId="1526" xr:uid="{047835C9-C959-448D-8DCC-077FDEE5431B}"/>
    <cellStyle name="RNum2dp 2 3 8" xfId="1999" xr:uid="{CF2E41A4-D355-422A-AB90-F068786D5B14}"/>
    <cellStyle name="RNum2dp 2 3 9" xfId="1054" xr:uid="{E3A6AF60-7158-4454-9474-087484739493}"/>
    <cellStyle name="RNum2dp 2 4" xfId="160" xr:uid="{B28D5B85-9A8D-4AFD-B8F7-C8A7B4298831}"/>
    <cellStyle name="RNum2dp 2 4 2" xfId="219" xr:uid="{552B9723-1BD5-41E0-8CE3-66C332FA6C7E}"/>
    <cellStyle name="RNum2dp 2 4 2 2" xfId="337" xr:uid="{4CFA8FEE-1B59-45E5-BC56-33F48C7F46EB}"/>
    <cellStyle name="RNum2dp 2 4 2 2 2" xfId="573" xr:uid="{DB94DBA2-C8E4-4A4A-90E5-A725A0AAC012}"/>
    <cellStyle name="RNum2dp 2 4 2 2 2 2" xfId="1045" xr:uid="{F2C613BA-2980-4EAC-903C-1E39B0E7438B}"/>
    <cellStyle name="RNum2dp 2 4 2 2 2 2 2" xfId="2934" xr:uid="{6258FF82-2594-49DF-B840-451555484990}"/>
    <cellStyle name="RNum2dp 2 4 2 2 2 2 3" xfId="1989" xr:uid="{B351FA24-73B1-4CA5-8893-ED5566CB63F2}"/>
    <cellStyle name="RNum2dp 2 4 2 2 2 3" xfId="2462" xr:uid="{FA09F786-B119-4A6A-9174-3EF3B6229640}"/>
    <cellStyle name="RNum2dp 2 4 2 2 2 4" xfId="1517" xr:uid="{AE76187E-77F0-4440-B186-66639DEDEFA6}"/>
    <cellStyle name="RNum2dp 2 4 2 2 3" xfId="809" xr:uid="{71608533-D738-4941-BC3D-9EB6C4FDA668}"/>
    <cellStyle name="RNum2dp 2 4 2 2 3 2" xfId="2698" xr:uid="{3AFE546C-136B-41C4-B2A4-997D575101CB}"/>
    <cellStyle name="RNum2dp 2 4 2 2 3 3" xfId="1753" xr:uid="{9696141A-F409-47C0-AF59-D0836583D946}"/>
    <cellStyle name="RNum2dp 2 4 2 2 4" xfId="2226" xr:uid="{9E850ECE-D3BA-478B-825E-96BAA98432B3}"/>
    <cellStyle name="RNum2dp 2 4 2 2 5" xfId="1281" xr:uid="{6858E4E6-2A43-4875-B2A9-48393AC888DD}"/>
    <cellStyle name="RNum2dp 2 4 2 3" xfId="455" xr:uid="{678438BC-95AE-4D4B-8D72-AC0BE4FEA3B7}"/>
    <cellStyle name="RNum2dp 2 4 2 3 2" xfId="927" xr:uid="{02C4FF49-C025-406E-9BA0-D0AD47B763CC}"/>
    <cellStyle name="RNum2dp 2 4 2 3 2 2" xfId="2816" xr:uid="{A5B1C694-8C68-444A-BCD7-E37EFA392EAD}"/>
    <cellStyle name="RNum2dp 2 4 2 3 2 3" xfId="1871" xr:uid="{88613321-188E-4CD1-BE71-C5CA758238E1}"/>
    <cellStyle name="RNum2dp 2 4 2 3 3" xfId="2344" xr:uid="{4DC4D4C2-E311-486D-A889-31BB800D0042}"/>
    <cellStyle name="RNum2dp 2 4 2 3 4" xfId="1399" xr:uid="{24BD63AE-6864-4066-A262-D0E996DDC52E}"/>
    <cellStyle name="RNum2dp 2 4 2 4" xfId="691" xr:uid="{1A607663-8447-4B2B-AF48-573C34DF90AF}"/>
    <cellStyle name="RNum2dp 2 4 2 4 2" xfId="2580" xr:uid="{785F7BCD-AE92-4E67-B2EF-045D89F5ECFF}"/>
    <cellStyle name="RNum2dp 2 4 2 4 3" xfId="1635" xr:uid="{366459B1-F93E-451C-A576-5C8C9E4D6252}"/>
    <cellStyle name="RNum2dp 2 4 2 5" xfId="2108" xr:uid="{48933B96-0A2D-49BF-987D-B70DC636B972}"/>
    <cellStyle name="RNum2dp 2 4 2 6" xfId="1163" xr:uid="{0F199E14-A26B-4AF2-9EF3-4D85A9413C14}"/>
    <cellStyle name="RNum2dp 2 4 3" xfId="278" xr:uid="{98CA6B72-0A48-495A-81C0-C095B5BC37E4}"/>
    <cellStyle name="RNum2dp 2 4 3 2" xfId="514" xr:uid="{AE50FFD7-23BE-41AE-B93A-8F95F003651C}"/>
    <cellStyle name="RNum2dp 2 4 3 2 2" xfId="986" xr:uid="{434B6984-BE86-45B4-89DB-09E6486EDC64}"/>
    <cellStyle name="RNum2dp 2 4 3 2 2 2" xfId="2875" xr:uid="{2E4CB842-42D1-4D39-A3C7-89B93C6C8B26}"/>
    <cellStyle name="RNum2dp 2 4 3 2 2 3" xfId="1930" xr:uid="{0E3D8A9C-3066-4A61-A679-628351148E50}"/>
    <cellStyle name="RNum2dp 2 4 3 2 3" xfId="2403" xr:uid="{D80FD6E3-4D36-4C8B-A0E1-053E1B356F02}"/>
    <cellStyle name="RNum2dp 2 4 3 2 4" xfId="1458" xr:uid="{22558F80-5BE1-4E86-92A8-28A64A97CC0B}"/>
    <cellStyle name="RNum2dp 2 4 3 3" xfId="750" xr:uid="{5C58CB99-FC7F-4DE0-9879-552D3A0980EA}"/>
    <cellStyle name="RNum2dp 2 4 3 3 2" xfId="2639" xr:uid="{756776E1-4BFA-42B7-8799-CBFADBF3B701}"/>
    <cellStyle name="RNum2dp 2 4 3 3 3" xfId="1694" xr:uid="{5971E734-F5E0-4F3E-8E39-21041E93AADC}"/>
    <cellStyle name="RNum2dp 2 4 3 4" xfId="2167" xr:uid="{BCD026FE-C2DE-48BB-AD65-E00769EB5884}"/>
    <cellStyle name="RNum2dp 2 4 3 5" xfId="1222" xr:uid="{387A604E-8AB5-4E35-ACFB-850643440A91}"/>
    <cellStyle name="RNum2dp 2 4 4" xfId="396" xr:uid="{CE8DFBE9-B5BC-493E-8604-EA91A638BDF8}"/>
    <cellStyle name="RNum2dp 2 4 4 2" xfId="868" xr:uid="{B5176585-0762-4862-9ECB-89800D4E84CC}"/>
    <cellStyle name="RNum2dp 2 4 4 2 2" xfId="2757" xr:uid="{92513AF7-0C20-416B-9728-48F961F6E7EE}"/>
    <cellStyle name="RNum2dp 2 4 4 2 3" xfId="1812" xr:uid="{CFB4BAC0-72B1-4B34-B4F5-D5F3BE34BE42}"/>
    <cellStyle name="RNum2dp 2 4 4 3" xfId="2285" xr:uid="{060EB0AB-0B12-42AC-BDF1-5A02F39B36F2}"/>
    <cellStyle name="RNum2dp 2 4 4 4" xfId="1340" xr:uid="{4C9A0B8E-4E3C-4817-ADF9-5D5CB0794744}"/>
    <cellStyle name="RNum2dp 2 4 5" xfId="632" xr:uid="{A26F125A-8495-47B9-B2F5-41C842D49B26}"/>
    <cellStyle name="RNum2dp 2 4 5 2" xfId="2521" xr:uid="{83CA0D56-6C8C-45B2-8620-DF0953C9FD84}"/>
    <cellStyle name="RNum2dp 2 4 5 3" xfId="1576" xr:uid="{658B179E-F0A8-4F9D-8D7A-DE16B0E2C224}"/>
    <cellStyle name="RNum2dp 2 4 6" xfId="2049" xr:uid="{B0BF073A-F853-4D5E-BA07-D8B5E993BF4D}"/>
    <cellStyle name="RNum2dp 2 4 7" xfId="1104" xr:uid="{21470FED-40E9-4D23-9FD0-9FA536368F4A}"/>
    <cellStyle name="RNum2dp 3" xfId="104" xr:uid="{7C2E4EE6-63D8-4C7F-A210-309354D25075}"/>
    <cellStyle name="RNum2dp 3 2" xfId="139" xr:uid="{D45CD0A4-2DEB-42CF-9198-E81430EAB9A5}"/>
    <cellStyle name="RNum2dp 3 2 2" xfId="201" xr:uid="{D5EA9F41-E976-4A7E-B21B-4C50B43A017B}"/>
    <cellStyle name="RNum2dp 3 2 2 2" xfId="319" xr:uid="{3B064572-C5B6-4070-9EF2-4AA9540D40DC}"/>
    <cellStyle name="RNum2dp 3 2 2 2 2" xfId="555" xr:uid="{7BED7F6E-6B11-4BB4-8C09-A7A176C7D203}"/>
    <cellStyle name="RNum2dp 3 2 2 2 2 2" xfId="1027" xr:uid="{0540BA05-8D03-49F6-A4C3-0F9C09FC184B}"/>
    <cellStyle name="RNum2dp 3 2 2 2 2 2 2" xfId="2916" xr:uid="{FD716BCE-D94F-439D-BC04-F7FB5F8EA186}"/>
    <cellStyle name="RNum2dp 3 2 2 2 2 2 3" xfId="1971" xr:uid="{EC20CD17-4BDF-4206-B0C3-A5B3C0AB9CAA}"/>
    <cellStyle name="RNum2dp 3 2 2 2 2 3" xfId="2444" xr:uid="{F5574D3F-5E39-44C0-9A54-0A8773EFCA05}"/>
    <cellStyle name="RNum2dp 3 2 2 2 2 4" xfId="1499" xr:uid="{57D12760-DF48-4394-A1CD-59A7A27E23D8}"/>
    <cellStyle name="RNum2dp 3 2 2 2 3" xfId="791" xr:uid="{5D1CB69A-2530-491F-A8E7-743AABB82CE7}"/>
    <cellStyle name="RNum2dp 3 2 2 2 3 2" xfId="2680" xr:uid="{3AB61753-A754-4F3A-B31E-1163348548B9}"/>
    <cellStyle name="RNum2dp 3 2 2 2 3 3" xfId="1735" xr:uid="{5EC577B3-D295-4DDB-A455-FB06E14045DC}"/>
    <cellStyle name="RNum2dp 3 2 2 2 4" xfId="2208" xr:uid="{FFA0885B-54A8-4D6B-B083-2B69DBD8A331}"/>
    <cellStyle name="RNum2dp 3 2 2 2 5" xfId="1263" xr:uid="{025D2C52-A2F1-4316-BD6D-4AAAA9708E45}"/>
    <cellStyle name="RNum2dp 3 2 2 3" xfId="437" xr:uid="{FB76C970-49DD-45B2-AD46-D5B3D63403F3}"/>
    <cellStyle name="RNum2dp 3 2 2 3 2" xfId="909" xr:uid="{7623F12A-D8B6-430F-85FD-4EA0AB423C3D}"/>
    <cellStyle name="RNum2dp 3 2 2 3 2 2" xfId="2798" xr:uid="{11928EB6-50F5-4C0A-A1C1-4CC18CF811C1}"/>
    <cellStyle name="RNum2dp 3 2 2 3 2 3" xfId="1853" xr:uid="{5C664ABC-B6F9-4088-B0A6-30CF1F5B2D94}"/>
    <cellStyle name="RNum2dp 3 2 2 3 3" xfId="2326" xr:uid="{C6D159FD-2069-4C74-BA9F-67258DBD70A4}"/>
    <cellStyle name="RNum2dp 3 2 2 3 4" xfId="1381" xr:uid="{19029030-8B2A-4FE3-ABC3-67B3CA3BEDFF}"/>
    <cellStyle name="RNum2dp 3 2 2 4" xfId="673" xr:uid="{A7108601-1940-4702-B383-DDBC32195ACB}"/>
    <cellStyle name="RNum2dp 3 2 2 4 2" xfId="2562" xr:uid="{03F0BFDB-7CEC-4FF7-9721-7DA4C81E5DC5}"/>
    <cellStyle name="RNum2dp 3 2 2 4 3" xfId="1617" xr:uid="{9725204C-EB9F-4094-801A-C500B38AF499}"/>
    <cellStyle name="RNum2dp 3 2 2 5" xfId="2090" xr:uid="{6925326B-7F8B-417A-8AEB-2A45756030C2}"/>
    <cellStyle name="RNum2dp 3 2 2 6" xfId="1145" xr:uid="{37E971B1-2E53-444E-8D2B-5D65A194157C}"/>
    <cellStyle name="RNum2dp 3 2 3" xfId="260" xr:uid="{6BDB8C84-1666-4A77-8E67-4EE9DDCB7F06}"/>
    <cellStyle name="RNum2dp 3 2 3 2" xfId="496" xr:uid="{282E584A-5FBE-46EE-BA14-C45377EA04E4}"/>
    <cellStyle name="RNum2dp 3 2 3 2 2" xfId="968" xr:uid="{F8C6B6B2-5B76-4534-966F-E2DA7A6AF506}"/>
    <cellStyle name="RNum2dp 3 2 3 2 2 2" xfId="2857" xr:uid="{31859613-4382-4BED-82EF-3FA5EADE7951}"/>
    <cellStyle name="RNum2dp 3 2 3 2 2 3" xfId="1912" xr:uid="{CEEF9DB9-14E7-4F47-8760-6585A029D5AD}"/>
    <cellStyle name="RNum2dp 3 2 3 2 3" xfId="2385" xr:uid="{A5FF304A-38B9-4DD1-BB5C-45AE0A61F310}"/>
    <cellStyle name="RNum2dp 3 2 3 2 4" xfId="1440" xr:uid="{431E4704-BF95-402A-AFFD-233D15D4CB31}"/>
    <cellStyle name="RNum2dp 3 2 3 3" xfId="732" xr:uid="{8C16A329-27F3-47C6-9154-BFB9CF41F35F}"/>
    <cellStyle name="RNum2dp 3 2 3 3 2" xfId="2621" xr:uid="{D26A66FB-DA73-481C-8932-5F905D9DFE87}"/>
    <cellStyle name="RNum2dp 3 2 3 3 3" xfId="1676" xr:uid="{22887EEA-402A-4568-A0D8-E749B03134B4}"/>
    <cellStyle name="RNum2dp 3 2 3 4" xfId="2149" xr:uid="{39D79DCA-7F63-4FFF-AAD1-5F6F50B612DF}"/>
    <cellStyle name="RNum2dp 3 2 3 5" xfId="1204" xr:uid="{108C8D50-2180-48DF-B3A7-2508B255CF82}"/>
    <cellStyle name="RNum2dp 3 2 4" xfId="378" xr:uid="{F37D2BE5-2391-4A77-9624-4657A66C72A5}"/>
    <cellStyle name="RNum2dp 3 2 4 2" xfId="850" xr:uid="{145E6A29-228F-4D3C-A943-9D421E1E3D56}"/>
    <cellStyle name="RNum2dp 3 2 4 2 2" xfId="2739" xr:uid="{AE126B11-CE0D-4083-A191-3F2FF45C0504}"/>
    <cellStyle name="RNum2dp 3 2 4 2 3" xfId="1794" xr:uid="{8D044AD6-0007-40C0-B314-A8F9668D8852}"/>
    <cellStyle name="RNum2dp 3 2 4 3" xfId="2267" xr:uid="{90989899-2C52-4970-B826-7BF8A6113EF5}"/>
    <cellStyle name="RNum2dp 3 2 4 4" xfId="1322" xr:uid="{C8189F61-F5BB-44C6-93EF-7E46118725F4}"/>
    <cellStyle name="RNum2dp 3 2 5" xfId="614" xr:uid="{31458B65-832A-48E3-AFA8-8B73B4E9E725}"/>
    <cellStyle name="RNum2dp 3 2 5 2" xfId="2503" xr:uid="{24A80ECC-17A5-4F9D-BB9F-0E772D5EBF55}"/>
    <cellStyle name="RNum2dp 3 2 5 3" xfId="1558" xr:uid="{EC237A3C-0772-40CA-BE66-5DA1A37C06D9}"/>
    <cellStyle name="RNum2dp 3 2 6" xfId="2031" xr:uid="{29640925-3FC7-440A-BC4D-4B4524A37F80}"/>
    <cellStyle name="RNum2dp 3 2 7" xfId="1086" xr:uid="{CCD9CDA7-72F5-45A8-8B70-E49C8BEE93A3}"/>
    <cellStyle name="RNum2dp 3 3" xfId="119" xr:uid="{FC78BB4D-D7A0-4D8C-A0FA-BC3725B3B693}"/>
    <cellStyle name="RNum2dp 3 3 2" xfId="181" xr:uid="{8DD2B367-B968-4DBF-B4C7-D08D89AFF12E}"/>
    <cellStyle name="RNum2dp 3 3 2 2" xfId="299" xr:uid="{B3874D8F-59D2-4A7E-B212-78B071803C4A}"/>
    <cellStyle name="RNum2dp 3 3 2 2 2" xfId="535" xr:uid="{DFE45887-53BA-4187-A2EF-C7E142FC364A}"/>
    <cellStyle name="RNum2dp 3 3 2 2 2 2" xfId="1007" xr:uid="{5F8609C9-25FB-4F66-9CE3-E3594169C422}"/>
    <cellStyle name="RNum2dp 3 3 2 2 2 2 2" xfId="2896" xr:uid="{37173E7C-9AA1-4725-ADB1-8157F1340AE7}"/>
    <cellStyle name="RNum2dp 3 3 2 2 2 2 3" xfId="1951" xr:uid="{5EB69A29-BEB5-4F04-8939-4911E32D560A}"/>
    <cellStyle name="RNum2dp 3 3 2 2 2 3" xfId="2424" xr:uid="{3F12D6AE-9EE1-4BC1-85EF-4D56F869B286}"/>
    <cellStyle name="RNum2dp 3 3 2 2 2 4" xfId="1479" xr:uid="{13B64B63-85BA-4530-B9BD-1D2968C20B24}"/>
    <cellStyle name="RNum2dp 3 3 2 2 3" xfId="771" xr:uid="{42880122-CFDF-410C-A272-E7F0111F5B90}"/>
    <cellStyle name="RNum2dp 3 3 2 2 3 2" xfId="2660" xr:uid="{EEC7DEFF-10D7-4236-9058-D24037D40784}"/>
    <cellStyle name="RNum2dp 3 3 2 2 3 3" xfId="1715" xr:uid="{E441F1E1-7CE9-4239-904D-5D91632AF87F}"/>
    <cellStyle name="RNum2dp 3 3 2 2 4" xfId="2188" xr:uid="{207DC02A-5683-4344-BD07-D0B7CF6ED431}"/>
    <cellStyle name="RNum2dp 3 3 2 2 5" xfId="1243" xr:uid="{43B11FA8-F398-471A-B4FD-14189CAD6208}"/>
    <cellStyle name="RNum2dp 3 3 2 3" xfId="417" xr:uid="{73BD1F11-58A9-4F65-9989-CDF4C343B45C}"/>
    <cellStyle name="RNum2dp 3 3 2 3 2" xfId="889" xr:uid="{A5430F49-7D40-4F37-9E29-6ADB087EBF65}"/>
    <cellStyle name="RNum2dp 3 3 2 3 2 2" xfId="2778" xr:uid="{926604BA-F8E4-468E-AABA-F0C6C5ECA0C1}"/>
    <cellStyle name="RNum2dp 3 3 2 3 2 3" xfId="1833" xr:uid="{0BF17F18-BE44-49D5-A3FE-BD4CDD9C3313}"/>
    <cellStyle name="RNum2dp 3 3 2 3 3" xfId="2306" xr:uid="{D60087CD-9EB3-45B6-9DD4-CE058F104E5A}"/>
    <cellStyle name="RNum2dp 3 3 2 3 4" xfId="1361" xr:uid="{342A7759-1BBF-4DEB-A12E-0FA06C655421}"/>
    <cellStyle name="RNum2dp 3 3 2 4" xfId="653" xr:uid="{8C9ECAD3-A7C4-4F2E-ABCD-0C664B6A43A4}"/>
    <cellStyle name="RNum2dp 3 3 2 4 2" xfId="2542" xr:uid="{7369D7FC-451A-4945-A22E-F4511B494082}"/>
    <cellStyle name="RNum2dp 3 3 2 4 3" xfId="1597" xr:uid="{8D037734-1CDF-4A14-BB40-7490C7987778}"/>
    <cellStyle name="RNum2dp 3 3 2 5" xfId="2070" xr:uid="{199BED6A-DCB2-44E7-8CAA-F7AE871E2C89}"/>
    <cellStyle name="RNum2dp 3 3 2 6" xfId="1125" xr:uid="{49414005-887B-4DC0-A25B-857D4532A609}"/>
    <cellStyle name="RNum2dp 3 3 3" xfId="240" xr:uid="{0F4E60D0-55E0-456E-8A18-DD9BC33C0871}"/>
    <cellStyle name="RNum2dp 3 3 3 2" xfId="476" xr:uid="{FEAA830C-F521-48D3-9FB5-1799A0B120D3}"/>
    <cellStyle name="RNum2dp 3 3 3 2 2" xfId="948" xr:uid="{4409EB10-BD26-46A8-BD2B-3CF35218A142}"/>
    <cellStyle name="RNum2dp 3 3 3 2 2 2" xfId="2837" xr:uid="{78C3DBD0-869C-49CC-8B57-993ED18CF4BD}"/>
    <cellStyle name="RNum2dp 3 3 3 2 2 3" xfId="1892" xr:uid="{AEB5BA50-AD17-440A-80B2-62C095C93073}"/>
    <cellStyle name="RNum2dp 3 3 3 2 3" xfId="2365" xr:uid="{16B4351A-77B2-4591-8E19-67ACFDDA69AC}"/>
    <cellStyle name="RNum2dp 3 3 3 2 4" xfId="1420" xr:uid="{6853BCE9-4CCB-4353-B8F2-8E8AA056C8CF}"/>
    <cellStyle name="RNum2dp 3 3 3 3" xfId="712" xr:uid="{B9B7FEBE-7366-4247-948D-A919EB693149}"/>
    <cellStyle name="RNum2dp 3 3 3 3 2" xfId="2601" xr:uid="{EAFCB5CF-C7A4-4639-B927-DD4BA4234BE4}"/>
    <cellStyle name="RNum2dp 3 3 3 3 3" xfId="1656" xr:uid="{32716BE4-E2C1-4A33-AA33-C8BE9F41DF1B}"/>
    <cellStyle name="RNum2dp 3 3 3 4" xfId="2129" xr:uid="{A575E25F-3AAD-4F7C-8F23-60F7F305B8FF}"/>
    <cellStyle name="RNum2dp 3 3 3 5" xfId="1184" xr:uid="{891ABB44-7D95-4DD7-8F88-8EF9A28ADE80}"/>
    <cellStyle name="RNum2dp 3 3 4" xfId="358" xr:uid="{B72FD051-4057-4B52-B24E-48CCAC1C0D57}"/>
    <cellStyle name="RNum2dp 3 3 4 2" xfId="830" xr:uid="{05CC17F5-E1A2-4145-B265-43B32DDFAAE0}"/>
    <cellStyle name="RNum2dp 3 3 4 2 2" xfId="2719" xr:uid="{5396DCAB-27E0-42D0-B249-D6E2CEEA57BC}"/>
    <cellStyle name="RNum2dp 3 3 4 2 3" xfId="1774" xr:uid="{4FB30C8C-DAFB-468C-BE13-63DABE426FB3}"/>
    <cellStyle name="RNum2dp 3 3 4 3" xfId="2247" xr:uid="{03DA1AD5-8977-4EFE-9860-0166AD58398D}"/>
    <cellStyle name="RNum2dp 3 3 4 4" xfId="1302" xr:uid="{399ED5E6-57CD-4D0F-8DE6-DE25DFC7A71D}"/>
    <cellStyle name="RNum2dp 3 3 5" xfId="594" xr:uid="{0C117E4E-1CD1-49EB-9EFC-6759C5D8519D}"/>
    <cellStyle name="RNum2dp 3 3 5 2" xfId="2483" xr:uid="{87A0F64E-A5E7-457D-B290-8B961576FBE4}"/>
    <cellStyle name="RNum2dp 3 3 5 3" xfId="1538" xr:uid="{85E18EBE-5FED-4F3A-9C2C-785CC4B4EED1}"/>
    <cellStyle name="RNum2dp 3 3 6" xfId="2011" xr:uid="{11572BA3-4A29-48FE-BB50-31AAE060DA48}"/>
    <cellStyle name="RNum2dp 3 3 7" xfId="1066" xr:uid="{8D681419-D4C6-41D5-A613-C58941455327}"/>
    <cellStyle name="RNum2dp 3 4" xfId="166" xr:uid="{BDE9217A-9C5D-4843-8200-1141F8B0EFAF}"/>
    <cellStyle name="RNum2dp 3 4 2" xfId="284" xr:uid="{D7BE408B-A4BD-4353-9A15-A709B6887C47}"/>
    <cellStyle name="RNum2dp 3 4 2 2" xfId="520" xr:uid="{2EACB53A-C4C3-4117-A955-C0462929E8EA}"/>
    <cellStyle name="RNum2dp 3 4 2 2 2" xfId="992" xr:uid="{E63F280C-BBDF-450B-AB50-5175D74CB821}"/>
    <cellStyle name="RNum2dp 3 4 2 2 2 2" xfId="2881" xr:uid="{6BD720B1-DF45-4FF1-AFD7-A4D7614FF3AC}"/>
    <cellStyle name="RNum2dp 3 4 2 2 2 3" xfId="1936" xr:uid="{003E3F7F-DDD8-476D-9F3D-BFA343A29A2A}"/>
    <cellStyle name="RNum2dp 3 4 2 2 3" xfId="2409" xr:uid="{FEFC914F-C32D-41A2-8FCA-EBABEEC7D510}"/>
    <cellStyle name="RNum2dp 3 4 2 2 4" xfId="1464" xr:uid="{324330E4-04C1-4255-9B53-768DA27B6673}"/>
    <cellStyle name="RNum2dp 3 4 2 3" xfId="756" xr:uid="{98ADC065-90F4-45F3-BBF4-95083952D18F}"/>
    <cellStyle name="RNum2dp 3 4 2 3 2" xfId="2645" xr:uid="{ADA97790-BDB8-47F6-92AF-77D704B39DF4}"/>
    <cellStyle name="RNum2dp 3 4 2 3 3" xfId="1700" xr:uid="{DBE716FA-8E2D-4F01-853F-8BAFC287EB5C}"/>
    <cellStyle name="RNum2dp 3 4 2 4" xfId="2173" xr:uid="{F60612BF-74C6-49B6-A13B-6FFDE9AA29A9}"/>
    <cellStyle name="RNum2dp 3 4 2 5" xfId="1228" xr:uid="{FB58143E-4E14-436E-9931-A159619614D5}"/>
    <cellStyle name="RNum2dp 3 4 3" xfId="402" xr:uid="{FA47A98F-09AC-4DC3-A3C5-034B539AAC10}"/>
    <cellStyle name="RNum2dp 3 4 3 2" xfId="874" xr:uid="{A59BC3C4-0C90-4728-9A6E-AF27E0852068}"/>
    <cellStyle name="RNum2dp 3 4 3 2 2" xfId="2763" xr:uid="{B64E8E85-1A82-4F79-8D7C-01C617DA2F36}"/>
    <cellStyle name="RNum2dp 3 4 3 2 3" xfId="1818" xr:uid="{01125E76-2BFB-43D0-B0F5-2532DF1E7B78}"/>
    <cellStyle name="RNum2dp 3 4 3 3" xfId="2291" xr:uid="{42F14DE1-CAE7-4422-A1B4-ADFC26DC6CB2}"/>
    <cellStyle name="RNum2dp 3 4 3 4" xfId="1346" xr:uid="{E9097199-48DB-4F92-8CC1-2A8502DC82D2}"/>
    <cellStyle name="RNum2dp 3 4 4" xfId="638" xr:uid="{26CC5951-C37D-4C99-A86B-8445D219A8AB}"/>
    <cellStyle name="RNum2dp 3 4 4 2" xfId="2527" xr:uid="{12AFEE61-E0EF-4C95-9DC4-16DF3AFECEC3}"/>
    <cellStyle name="RNum2dp 3 4 4 3" xfId="1582" xr:uid="{4F32BA5A-FE13-4413-9D5A-462BC9725BE7}"/>
    <cellStyle name="RNum2dp 3 4 5" xfId="2055" xr:uid="{82794C4C-9E9B-491E-A7D7-5216EB21B14F}"/>
    <cellStyle name="RNum2dp 3 4 6" xfId="1110" xr:uid="{99D52EA4-7D48-481A-A5A4-26FA112EBCB0}"/>
    <cellStyle name="RNum2dp 3 5" xfId="225" xr:uid="{18C2D41B-3B8E-4F79-B7C2-2DF1D83D1793}"/>
    <cellStyle name="RNum2dp 3 5 2" xfId="461" xr:uid="{9F42B0B6-D11C-4C84-8269-A8AEF755E573}"/>
    <cellStyle name="RNum2dp 3 5 2 2" xfId="933" xr:uid="{B7F2E908-909B-4322-A96F-431D4EE08739}"/>
    <cellStyle name="RNum2dp 3 5 2 2 2" xfId="2822" xr:uid="{8D903F97-34AB-4C91-8979-33DA8A2DDAAD}"/>
    <cellStyle name="RNum2dp 3 5 2 2 3" xfId="1877" xr:uid="{B80171FB-3DFD-4F47-9BBF-9844002A4AB0}"/>
    <cellStyle name="RNum2dp 3 5 2 3" xfId="2350" xr:uid="{E66EA9DA-E9CB-4083-B69C-74B204E11839}"/>
    <cellStyle name="RNum2dp 3 5 2 4" xfId="1405" xr:uid="{654FAEBB-5840-47AC-9F39-2414132F19C1}"/>
    <cellStyle name="RNum2dp 3 5 3" xfId="697" xr:uid="{7391790C-7E90-4EA5-B31D-A1A875C04E56}"/>
    <cellStyle name="RNum2dp 3 5 3 2" xfId="2586" xr:uid="{B7D86F9C-81D0-4EE9-994D-AD8EA5F14482}"/>
    <cellStyle name="RNum2dp 3 5 3 3" xfId="1641" xr:uid="{213A8304-A599-4A64-9299-DDFD785DC854}"/>
    <cellStyle name="RNum2dp 3 5 4" xfId="2114" xr:uid="{CDE04158-A930-4132-AB77-8D4D8F62D2DA}"/>
    <cellStyle name="RNum2dp 3 5 5" xfId="1169" xr:uid="{313CB0F0-20D7-44F4-BE5F-928A112090A5}"/>
    <cellStyle name="RNum2dp 3 6" xfId="343" xr:uid="{0C01B1E8-D20B-4D9E-AC95-57F70D069237}"/>
    <cellStyle name="RNum2dp 3 6 2" xfId="815" xr:uid="{BABD4DAA-BCC3-41E4-B470-BB12C3CC4300}"/>
    <cellStyle name="RNum2dp 3 6 2 2" xfId="2704" xr:uid="{C9808B5F-43FF-4FE7-B409-274FE7C7CAA0}"/>
    <cellStyle name="RNum2dp 3 6 2 3" xfId="1759" xr:uid="{E5A87FB1-7ED1-4403-9AB1-EA921E9226A3}"/>
    <cellStyle name="RNum2dp 3 6 3" xfId="2232" xr:uid="{689718D2-CD9F-4497-9F1C-798FB883F45D}"/>
    <cellStyle name="RNum2dp 3 6 4" xfId="1287" xr:uid="{28F56995-324A-49EB-809B-17ABA44236E4}"/>
    <cellStyle name="RNum2dp 3 7" xfId="579" xr:uid="{DB5208C9-7692-462C-80D3-CC5D155C8DF6}"/>
    <cellStyle name="RNum2dp 3 7 2" xfId="2468" xr:uid="{93D01490-5E80-4E89-8992-F97E77AF3FD4}"/>
    <cellStyle name="RNum2dp 3 7 3" xfId="1523" xr:uid="{3621AC31-6E6D-4398-9F08-48D07D2BCF25}"/>
    <cellStyle name="RNum2dp 3 8" xfId="1996" xr:uid="{8F93E4F8-7A40-47AB-BE39-F5DF4A775A3E}"/>
    <cellStyle name="RNum2dp 3 9" xfId="1051" xr:uid="{C7522148-1C5F-4127-B56D-F92FDDA2F828}"/>
    <cellStyle name="RNum2dp 4" xfId="159" xr:uid="{C0D41561-8412-4D00-A602-CC29F290FF5A}"/>
    <cellStyle name="RNum2dp 4 2" xfId="218" xr:uid="{EC265E42-F392-4242-A727-A367909FBD5B}"/>
    <cellStyle name="RNum2dp 4 2 2" xfId="336" xr:uid="{6546E1FF-8B59-447D-8CE7-7D844F3A73B4}"/>
    <cellStyle name="RNum2dp 4 2 2 2" xfId="572" xr:uid="{60D65624-0B08-4960-8CFA-A3613EB08DB0}"/>
    <cellStyle name="RNum2dp 4 2 2 2 2" xfId="1044" xr:uid="{9BE768B5-C933-49D6-AA71-3E8251F081E8}"/>
    <cellStyle name="RNum2dp 4 2 2 2 2 2" xfId="2933" xr:uid="{86468AA6-E2FC-4E10-8A7F-40B2F60BD380}"/>
    <cellStyle name="RNum2dp 4 2 2 2 2 3" xfId="1988" xr:uid="{64293C24-409C-4BA0-8D54-E39298AB3AB4}"/>
    <cellStyle name="RNum2dp 4 2 2 2 3" xfId="2461" xr:uid="{A2264A1D-F522-4F65-8C8F-B173ECC96FA9}"/>
    <cellStyle name="RNum2dp 4 2 2 2 4" xfId="1516" xr:uid="{ED9D3360-F51E-414B-9EBE-CEC5EEB5CDD7}"/>
    <cellStyle name="RNum2dp 4 2 2 3" xfId="808" xr:uid="{F5BF3812-B7BF-423B-9060-B3DF050A56FA}"/>
    <cellStyle name="RNum2dp 4 2 2 3 2" xfId="2697" xr:uid="{409DD5F0-E13D-41F6-9A55-10D8D1D8A510}"/>
    <cellStyle name="RNum2dp 4 2 2 3 3" xfId="1752" xr:uid="{8A8E8BA1-2CD9-49A5-9031-7A34BED1229E}"/>
    <cellStyle name="RNum2dp 4 2 2 4" xfId="2225" xr:uid="{C285C04D-51F0-4018-915C-FBBABC117CC3}"/>
    <cellStyle name="RNum2dp 4 2 2 5" xfId="1280" xr:uid="{E3AF45DE-EAB4-48EA-AA7D-751F94CE1220}"/>
    <cellStyle name="RNum2dp 4 2 3" xfId="454" xr:uid="{DC48CFF2-B529-4A4E-9F4A-C584531E378D}"/>
    <cellStyle name="RNum2dp 4 2 3 2" xfId="926" xr:uid="{5AFC6056-1E96-466D-97FF-FE6724683DFA}"/>
    <cellStyle name="RNum2dp 4 2 3 2 2" xfId="2815" xr:uid="{3A46E628-6DD6-42DE-80AD-B24E1FAF02BA}"/>
    <cellStyle name="RNum2dp 4 2 3 2 3" xfId="1870" xr:uid="{F9971B87-2364-4BCE-A626-4B9C7A6C43DE}"/>
    <cellStyle name="RNum2dp 4 2 3 3" xfId="2343" xr:uid="{DC83C231-6898-4BA5-A7B5-3FEA20D4F673}"/>
    <cellStyle name="RNum2dp 4 2 3 4" xfId="1398" xr:uid="{A6F33BFD-65D9-469E-93D1-0A579E4473FA}"/>
    <cellStyle name="RNum2dp 4 2 4" xfId="690" xr:uid="{237E72DF-FEAD-4786-842B-7EDFA7517542}"/>
    <cellStyle name="RNum2dp 4 2 4 2" xfId="2579" xr:uid="{E68430E4-AA69-4D65-97F3-7DC973D882A3}"/>
    <cellStyle name="RNum2dp 4 2 4 3" xfId="1634" xr:uid="{19E533EF-46F7-4364-8938-3C60536E4270}"/>
    <cellStyle name="RNum2dp 4 2 5" xfId="2107" xr:uid="{AC727906-06C4-4228-847A-40730ACB18D2}"/>
    <cellStyle name="RNum2dp 4 2 6" xfId="1162" xr:uid="{005F5757-9E5E-4BB1-A1D6-C877CD0581BC}"/>
    <cellStyle name="RNum2dp 4 3" xfId="277" xr:uid="{1606D285-1D45-40EF-B6A9-34FCE3FFF9ED}"/>
    <cellStyle name="RNum2dp 4 3 2" xfId="513" xr:uid="{A319FBC7-5A84-44E6-AB9F-064D37960800}"/>
    <cellStyle name="RNum2dp 4 3 2 2" xfId="985" xr:uid="{7DF40E65-984E-4562-912A-D76786ED8E95}"/>
    <cellStyle name="RNum2dp 4 3 2 2 2" xfId="2874" xr:uid="{CF19B358-3FDC-4BDB-895D-332C7BFA38FE}"/>
    <cellStyle name="RNum2dp 4 3 2 2 3" xfId="1929" xr:uid="{A0CDA11C-6482-4BE0-8DAD-37D665742D6B}"/>
    <cellStyle name="RNum2dp 4 3 2 3" xfId="2402" xr:uid="{5D898E3A-5F9B-42DC-931F-ED2C8E7A02B7}"/>
    <cellStyle name="RNum2dp 4 3 2 4" xfId="1457" xr:uid="{057C285C-96C2-412F-9F88-978200E6BB3F}"/>
    <cellStyle name="RNum2dp 4 3 3" xfId="749" xr:uid="{73263FDE-9B35-41E5-B047-12D4BBF6ADC8}"/>
    <cellStyle name="RNum2dp 4 3 3 2" xfId="2638" xr:uid="{520416F2-3BC0-4030-87B3-C7735399B56A}"/>
    <cellStyle name="RNum2dp 4 3 3 3" xfId="1693" xr:uid="{9864F518-5167-474B-AE23-8C19E6EAE857}"/>
    <cellStyle name="RNum2dp 4 3 4" xfId="2166" xr:uid="{EDF45F77-EEC5-4A6A-A210-A19B4D2D2417}"/>
    <cellStyle name="RNum2dp 4 3 5" xfId="1221" xr:uid="{FB8F1895-F192-4E4D-B237-FA1B6E6C0863}"/>
    <cellStyle name="RNum2dp 4 4" xfId="395" xr:uid="{181D7E2F-40ED-4EAC-A777-DFDC29EB8EFD}"/>
    <cellStyle name="RNum2dp 4 4 2" xfId="867" xr:uid="{AC723369-5B07-4031-9BBF-F35822890455}"/>
    <cellStyle name="RNum2dp 4 4 2 2" xfId="2756" xr:uid="{2E5635BA-6D5B-4D87-A2C2-73B3DD64097D}"/>
    <cellStyle name="RNum2dp 4 4 2 3" xfId="1811" xr:uid="{4C2DDB60-B01D-4E4E-B608-DE16EF9F2499}"/>
    <cellStyle name="RNum2dp 4 4 3" xfId="2284" xr:uid="{9E27BD5E-4F77-4412-B03C-87E57396E195}"/>
    <cellStyle name="RNum2dp 4 4 4" xfId="1339" xr:uid="{CC474ABB-2620-4E72-AC45-B37A816A7313}"/>
    <cellStyle name="RNum2dp 4 5" xfId="631" xr:uid="{DD93E720-E524-4DDB-80F5-49CADFBA8449}"/>
    <cellStyle name="RNum2dp 4 5 2" xfId="2520" xr:uid="{255D85DB-1DC8-43B4-99A2-8214F60195C7}"/>
    <cellStyle name="RNum2dp 4 5 3" xfId="1575" xr:uid="{8B5150E9-6ADE-42E7-9582-CD945F358D67}"/>
    <cellStyle name="RNum2dp 4 6" xfId="2048" xr:uid="{C279AF81-E711-45EA-AB61-35D367F0D6A3}"/>
    <cellStyle name="RNum2dp 4 7" xfId="1103" xr:uid="{FEAF585F-E875-4304-9295-884CE3C89A91}"/>
    <cellStyle name="RPerc0dp" xfId="72" xr:uid="{00000000-0005-0000-0000-00005E000000}"/>
    <cellStyle name="RPerc1dp" xfId="73" xr:uid="{00000000-0005-0000-0000-00005F000000}"/>
    <cellStyle name="RPerc2dp" xfId="74" xr:uid="{00000000-0005-0000-0000-000060000000}"/>
    <cellStyle name="SecHeading" xfId="49" xr:uid="{00000000-0005-0000-0000-000061000000}"/>
    <cellStyle name="ShtBack" xfId="48" xr:uid="{00000000-0005-0000-0000-000062000000}"/>
    <cellStyle name="ShtHeading" xfId="50" xr:uid="{00000000-0005-0000-0000-000063000000}"/>
    <cellStyle name="TblHeading" xfId="77" xr:uid="{00000000-0005-0000-0000-000064000000}"/>
    <cellStyle name="Title" xfId="7" builtinId="15" hidden="1"/>
    <cellStyle name="Title" xfId="99" xr:uid="{00000000-0005-0000-0000-000066000000}"/>
    <cellStyle name="Title 2" xfId="155" xr:uid="{AECAED19-71ED-4AB2-B434-7D5204FE1F45}"/>
    <cellStyle name="Total" xfId="23" builtinId="25" hidden="1"/>
    <cellStyle name="Warning Text" xfId="20" builtinId="11" hidden="1"/>
  </cellStyles>
  <dxfs count="13">
    <dxf>
      <fill>
        <patternFill>
          <bgColor theme="0" tint="-4.9989318521683403E-2"/>
        </patternFill>
      </fill>
    </dxf>
    <dxf>
      <numFmt numFmtId="174" formatCode="[&lt;1000000000]\ 0.0,,&quot; m&quot;;\ 0.0,,,&quot; bn&quot;"/>
    </dxf>
    <dxf>
      <numFmt numFmtId="14" formatCode="0.00%"/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theme="1" tint="0.34998626667073579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theme="1" tint="0.34998626667073579"/>
      </font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EBEBEB"/>
      <color rgb="FFFCD8EF"/>
      <color rgb="FFFF3399"/>
      <color rgb="FF993366"/>
      <color rgb="FFFF66FF"/>
      <color rgb="FFFABEE5"/>
      <color rgb="FFC0C0C0"/>
      <color rgb="FF2F2FFD"/>
      <color rgb="FF5F54EE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247651</xdr:colOff>
      <xdr:row>2</xdr:row>
      <xdr:rowOff>57150</xdr:rowOff>
    </xdr:from>
    <xdr:to>
      <xdr:col>11</xdr:col>
      <xdr:colOff>762000</xdr:colOff>
      <xdr:row>2</xdr:row>
      <xdr:rowOff>352426</xdr:rowOff>
    </xdr:to>
    <xdr:sp macro="[0]!ThisWorkbook.SaveRationaleComments_for_BoundIDs" textlink="">
      <xdr:nvSpPr>
        <xdr:cNvPr id="2" name="btn.Rationale.Save" hidden="1">
          <a:extLst>
            <a:ext uri="{FF2B5EF4-FFF2-40B4-BE49-F238E27FC236}">
              <a16:creationId xmlns:a16="http://schemas.microsoft.com/office/drawing/2014/main" id="{DCE31F41-9FD8-405D-BC1D-38CC5D6AC3D5}"/>
            </a:ext>
          </a:extLst>
        </xdr:cNvPr>
        <xdr:cNvSpPr/>
      </xdr:nvSpPr>
      <xdr:spPr>
        <a:xfrm>
          <a:off x="8491539" y="428625"/>
          <a:ext cx="1414461" cy="295276"/>
        </a:xfrm>
        <a:prstGeom prst="rect">
          <a:avLst/>
        </a:prstGeom>
        <a:solidFill>
          <a:srgbClr val="FCD8EF"/>
        </a:solidFill>
        <a:ln>
          <a:solidFill>
            <a:srgbClr val="FF339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500" b="1">
              <a:solidFill>
                <a:sysClr val="windowText" lastClr="000000"/>
              </a:solidFill>
            </a:rPr>
            <a:t>Save Rationale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pp">
    <pageSetUpPr autoPageBreaks="0" fitToPage="1"/>
  </sheetPr>
  <dimension ref="A1:M49"/>
  <sheetViews>
    <sheetView tabSelected="1" zoomScale="85" zoomScaleNormal="85" workbookViewId="0">
      <pane ySplit="2" topLeftCell="A3" activePane="bottomLeft" state="frozen"/>
      <selection activeCell="I2" sqref="I2:I114"/>
      <selection pane="bottomLeft" sqref="A1:M2"/>
    </sheetView>
  </sheetViews>
  <sheetFormatPr defaultColWidth="0" defaultRowHeight="13.15" customHeight="1" zeroHeight="1" x14ac:dyDescent="0.25"/>
  <cols>
    <col min="1" max="1" width="7.7109375" customWidth="1"/>
    <col min="2" max="2" width="9.28515625" customWidth="1"/>
    <col min="3" max="3" width="14.28515625" customWidth="1"/>
    <col min="4" max="4" width="11.7109375" customWidth="1"/>
    <col min="5" max="5" width="6.7109375" customWidth="1"/>
    <col min="6" max="6" width="11.28515625" customWidth="1"/>
    <col min="7" max="7" width="6.28515625" customWidth="1"/>
    <col min="8" max="8" width="6.7109375" customWidth="1"/>
    <col min="9" max="9" width="16" customWidth="1"/>
    <col min="10" max="10" width="0.7109375" customWidth="1"/>
    <col min="11" max="11" width="9.7109375" customWidth="1"/>
    <col min="12" max="12" width="6.28515625" customWidth="1"/>
    <col min="13" max="13" width="7.28515625" customWidth="1"/>
    <col min="14" max="16384" width="9.28515625" hidden="1"/>
  </cols>
  <sheetData>
    <row r="1" spans="1:13" ht="15" customHeight="1" x14ac:dyDescent="0.25">
      <c r="A1" s="206" t="s">
        <v>260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</row>
    <row r="2" spans="1:13" ht="15" customHeight="1" x14ac:dyDescent="0.25">
      <c r="A2" s="206"/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</row>
    <row r="3" spans="1:13" ht="3.7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15" x14ac:dyDescent="0.25">
      <c r="A4" s="1"/>
      <c r="B4" s="2" t="s">
        <v>90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3.7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15" customHeight="1" x14ac:dyDescent="0.25">
      <c r="A6" s="1"/>
      <c r="B6" s="1"/>
      <c r="C6" s="3" t="s">
        <v>252</v>
      </c>
      <c r="D6" s="207"/>
      <c r="E6" s="208"/>
      <c r="F6" s="208"/>
      <c r="G6" s="209"/>
      <c r="H6" s="1"/>
      <c r="I6" s="1"/>
      <c r="J6" s="1"/>
      <c r="K6" s="1"/>
      <c r="L6" s="1"/>
      <c r="M6" s="1"/>
    </row>
    <row r="7" spans="1:13" ht="15" customHeight="1" x14ac:dyDescent="0.25">
      <c r="A7" s="1"/>
      <c r="B7" s="1"/>
      <c r="C7" s="3" t="s">
        <v>6</v>
      </c>
      <c r="D7" s="210"/>
      <c r="E7" s="211"/>
      <c r="F7" s="211"/>
      <c r="G7" s="212"/>
      <c r="H7" s="1"/>
      <c r="I7" s="1"/>
      <c r="J7" s="1"/>
      <c r="K7" s="1"/>
      <c r="L7" s="1"/>
      <c r="M7" s="1"/>
    </row>
    <row r="8" spans="1:13" ht="9" customHeigh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ht="15" x14ac:dyDescent="0.25">
      <c r="A9" s="1"/>
      <c r="B9" s="1"/>
      <c r="C9" s="3" t="s">
        <v>7</v>
      </c>
      <c r="D9" s="213"/>
      <c r="E9" s="214"/>
      <c r="F9" s="214"/>
      <c r="G9" s="214"/>
      <c r="H9" s="214"/>
      <c r="I9" s="214"/>
      <c r="J9" s="214"/>
      <c r="K9" s="214"/>
      <c r="L9" s="215"/>
      <c r="M9" s="5"/>
    </row>
    <row r="10" spans="1:13" ht="15" x14ac:dyDescent="0.25">
      <c r="A10" s="1"/>
      <c r="B10" s="1"/>
      <c r="C10" s="3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ht="9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ht="15" x14ac:dyDescent="0.25">
      <c r="A12" s="1"/>
      <c r="B12" s="1"/>
      <c r="C12" s="3" t="s">
        <v>88</v>
      </c>
      <c r="D12" s="216"/>
      <c r="E12" s="217"/>
      <c r="F12" s="217"/>
      <c r="G12" s="218"/>
      <c r="H12" s="5"/>
      <c r="I12" s="1"/>
      <c r="J12" s="1"/>
      <c r="K12" s="1"/>
      <c r="L12" s="1"/>
      <c r="M12" s="1"/>
    </row>
    <row r="13" spans="1:13" ht="15" x14ac:dyDescent="0.25">
      <c r="A13" s="1"/>
      <c r="B13" s="1"/>
      <c r="C13" s="3" t="s">
        <v>89</v>
      </c>
      <c r="D13" s="216"/>
      <c r="E13" s="217"/>
      <c r="F13" s="217"/>
      <c r="G13" s="218"/>
      <c r="H13" s="5"/>
      <c r="I13" s="146" t="s">
        <v>8</v>
      </c>
      <c r="J13" s="1"/>
      <c r="K13" s="1"/>
      <c r="L13" s="1"/>
      <c r="M13" s="1"/>
    </row>
    <row r="14" spans="1:13" ht="9" customHeight="1" x14ac:dyDescent="0.25">
      <c r="A14" s="1"/>
      <c r="B14" s="1"/>
      <c r="C14" s="1"/>
      <c r="D14" s="204"/>
      <c r="E14" s="204"/>
      <c r="F14" s="204"/>
      <c r="G14" s="204"/>
      <c r="H14" s="1"/>
      <c r="I14" s="1"/>
      <c r="J14" s="1"/>
      <c r="K14" s="1"/>
      <c r="L14" s="1"/>
      <c r="M14" s="1"/>
    </row>
    <row r="15" spans="1:13" ht="15" x14ac:dyDescent="0.25">
      <c r="A15" s="1"/>
      <c r="B15" s="1"/>
      <c r="C15" s="1"/>
      <c r="D15" s="204"/>
      <c r="E15" s="204"/>
      <c r="F15" s="204"/>
      <c r="G15" s="204"/>
      <c r="H15" s="1"/>
      <c r="I15" s="1"/>
      <c r="J15" s="1"/>
      <c r="K15" s="1"/>
      <c r="L15" s="1"/>
      <c r="M15" s="1"/>
    </row>
    <row r="16" spans="1:13" ht="15" x14ac:dyDescent="0.25">
      <c r="A16" s="1"/>
      <c r="B16" s="1"/>
      <c r="C16" s="3" t="s">
        <v>94</v>
      </c>
      <c r="D16" s="216"/>
      <c r="E16" s="217"/>
      <c r="F16" s="217"/>
      <c r="G16" s="218"/>
      <c r="H16" s="5"/>
      <c r="I16" s="1"/>
      <c r="J16" s="1"/>
      <c r="K16" s="1"/>
      <c r="L16" s="1"/>
      <c r="M16" s="1"/>
    </row>
    <row r="17" spans="1:13" ht="15" x14ac:dyDescent="0.25">
      <c r="A17" s="1"/>
      <c r="B17" s="1"/>
      <c r="C17" s="3" t="s">
        <v>95</v>
      </c>
      <c r="D17" s="216"/>
      <c r="E17" s="217"/>
      <c r="F17" s="217"/>
      <c r="G17" s="218"/>
      <c r="H17" s="5"/>
      <c r="I17" s="62" t="s">
        <v>8</v>
      </c>
      <c r="J17" s="1"/>
      <c r="K17" s="1"/>
      <c r="L17" s="1"/>
      <c r="M17" s="1"/>
    </row>
    <row r="18" spans="1:13" ht="15" x14ac:dyDescent="0.25">
      <c r="A18" s="1"/>
      <c r="B18" s="1"/>
      <c r="C18" s="3" t="s">
        <v>14</v>
      </c>
      <c r="D18" s="216"/>
      <c r="E18" s="217"/>
      <c r="F18" s="217"/>
      <c r="G18" s="218"/>
      <c r="H18" s="5"/>
      <c r="I18" s="1"/>
      <c r="J18" s="1"/>
      <c r="K18" s="1"/>
      <c r="L18" s="1"/>
      <c r="M18" s="1"/>
    </row>
    <row r="19" spans="1:13" ht="15" x14ac:dyDescent="0.25">
      <c r="A19" s="1"/>
      <c r="B19" s="1"/>
      <c r="C19" s="3" t="s">
        <v>96</v>
      </c>
      <c r="D19" s="216"/>
      <c r="E19" s="217"/>
      <c r="F19" s="217"/>
      <c r="G19" s="218"/>
      <c r="H19" s="5"/>
      <c r="I19" s="1"/>
      <c r="J19" s="1"/>
      <c r="K19" s="1"/>
      <c r="L19" s="1"/>
      <c r="M19" s="1"/>
    </row>
    <row r="20" spans="1:13" ht="15" x14ac:dyDescent="0.25">
      <c r="A20" s="1"/>
      <c r="B20" s="1"/>
      <c r="C20" s="3" t="s">
        <v>97</v>
      </c>
      <c r="D20" s="216"/>
      <c r="E20" s="217"/>
      <c r="F20" s="217"/>
      <c r="G20" s="218"/>
      <c r="H20" s="5"/>
      <c r="I20" s="1"/>
      <c r="J20" s="1"/>
      <c r="K20" s="1"/>
      <c r="L20" s="1"/>
      <c r="M20" s="1"/>
    </row>
    <row r="21" spans="1:13" ht="14.25" hidden="1" customHeight="1" x14ac:dyDescent="0.25">
      <c r="A21" s="1"/>
      <c r="B21" s="1"/>
      <c r="C21" s="3" t="s">
        <v>217</v>
      </c>
      <c r="D21" s="199" t="s">
        <v>1</v>
      </c>
      <c r="E21" s="200"/>
      <c r="F21" s="200"/>
      <c r="G21" s="201"/>
      <c r="H21" s="5"/>
      <c r="I21" s="1"/>
      <c r="J21" s="1"/>
      <c r="K21" s="1"/>
      <c r="L21" s="1"/>
      <c r="M21" s="1"/>
    </row>
    <row r="22" spans="1:13" ht="3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ht="15" x14ac:dyDescent="0.25">
      <c r="A23" s="1"/>
      <c r="B23" s="2" t="s">
        <v>99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ht="3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ht="15" x14ac:dyDescent="0.25">
      <c r="A25" s="1"/>
      <c r="B25" s="1"/>
      <c r="C25" s="3" t="s">
        <v>100</v>
      </c>
      <c r="D25" s="28" t="str">
        <f>IF(DB.RiskInfo.CoverCrime=TRUE,"Yes","No")</f>
        <v>No</v>
      </c>
      <c r="E25" s="5"/>
      <c r="F25" s="203"/>
      <c r="G25" s="1"/>
      <c r="H25" s="1"/>
      <c r="I25" s="1"/>
      <c r="J25" s="1"/>
      <c r="K25" s="1"/>
      <c r="L25" s="1"/>
      <c r="M25" s="1"/>
    </row>
    <row r="26" spans="1:13" ht="15" x14ac:dyDescent="0.25">
      <c r="A26" s="1"/>
      <c r="B26" s="1"/>
      <c r="C26" s="3" t="s">
        <v>101</v>
      </c>
      <c r="D26" s="28" t="str">
        <f>IF(DB.RiskInfo.CoverPI=TRUE,"Yes","No")</f>
        <v>No</v>
      </c>
      <c r="E26" s="5"/>
      <c r="F26" s="203"/>
      <c r="G26" s="1"/>
      <c r="H26" s="1"/>
      <c r="I26" s="1"/>
      <c r="J26" s="1"/>
      <c r="K26" s="1"/>
      <c r="L26" s="1"/>
      <c r="M26" s="1"/>
    </row>
    <row r="27" spans="1:13" ht="15" x14ac:dyDescent="0.25">
      <c r="A27" s="1"/>
      <c r="B27" s="1"/>
      <c r="C27" s="3" t="s">
        <v>102</v>
      </c>
      <c r="D27" s="28" t="str">
        <f>IF(DB.RiskInfo.CoverDandO=TRUE,"Yes","No")</f>
        <v>No</v>
      </c>
      <c r="E27" s="5"/>
      <c r="F27" s="203"/>
      <c r="G27" s="1"/>
      <c r="H27" s="1"/>
      <c r="I27" s="1"/>
      <c r="J27" s="1"/>
      <c r="K27" s="1"/>
      <c r="L27" s="1"/>
      <c r="M27" s="1"/>
    </row>
    <row r="28" spans="1:13" ht="3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ht="15" x14ac:dyDescent="0.25">
      <c r="A29" s="1"/>
      <c r="B29" s="2" t="s">
        <v>93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ht="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ht="15" x14ac:dyDescent="0.25">
      <c r="A31" s="1"/>
      <c r="B31" s="1"/>
      <c r="C31" s="3" t="s">
        <v>91</v>
      </c>
      <c r="D31" s="216"/>
      <c r="E31" s="217"/>
      <c r="F31" s="217"/>
      <c r="G31" s="218"/>
      <c r="H31" s="5"/>
      <c r="I31" s="1"/>
      <c r="J31" s="1"/>
      <c r="K31" s="1"/>
      <c r="L31" s="1"/>
      <c r="M31" s="1"/>
    </row>
    <row r="32" spans="1:13" ht="15" x14ac:dyDescent="0.25">
      <c r="A32" s="1"/>
      <c r="B32" s="1"/>
      <c r="C32" s="3" t="s">
        <v>92</v>
      </c>
      <c r="D32" s="216"/>
      <c r="E32" s="217"/>
      <c r="F32" s="217"/>
      <c r="G32" s="218"/>
      <c r="H32" s="5"/>
      <c r="I32" s="1"/>
      <c r="J32" s="1"/>
      <c r="K32" s="1"/>
      <c r="L32" s="1"/>
      <c r="M32" s="1"/>
    </row>
    <row r="33" spans="1:13" ht="3.75" customHeight="1" x14ac:dyDescent="0.25">
      <c r="A33" s="1"/>
      <c r="B33" s="1"/>
      <c r="C33" s="1"/>
      <c r="D33" s="204"/>
      <c r="E33" s="204"/>
      <c r="F33" s="204"/>
      <c r="G33" s="204"/>
      <c r="H33" s="1"/>
      <c r="I33" s="1"/>
      <c r="J33" s="1"/>
      <c r="K33" s="1"/>
      <c r="L33" s="1"/>
      <c r="M33" s="1"/>
    </row>
    <row r="34" spans="1:13" ht="15" x14ac:dyDescent="0.25">
      <c r="A34" s="1"/>
      <c r="B34" s="2" t="s">
        <v>98</v>
      </c>
      <c r="C34" s="1"/>
      <c r="D34" s="204"/>
      <c r="E34" s="204"/>
      <c r="F34" s="204"/>
      <c r="G34" s="204"/>
      <c r="H34" s="1"/>
      <c r="I34" s="1"/>
      <c r="J34" s="1"/>
      <c r="K34" s="1"/>
      <c r="L34" s="1"/>
      <c r="M34" s="1"/>
    </row>
    <row r="35" spans="1:13" ht="3.6" customHeight="1" x14ac:dyDescent="0.25">
      <c r="A35" s="1"/>
      <c r="B35" s="1"/>
      <c r="C35" s="1"/>
      <c r="D35" s="204"/>
      <c r="E35" s="204"/>
      <c r="F35" s="204"/>
      <c r="G35" s="204"/>
      <c r="H35" s="1"/>
      <c r="I35" s="1"/>
      <c r="J35" s="1"/>
      <c r="K35" s="1"/>
      <c r="L35" s="1"/>
      <c r="M35" s="1"/>
    </row>
    <row r="36" spans="1:13" ht="15" customHeight="1" x14ac:dyDescent="0.25">
      <c r="A36" s="1"/>
      <c r="B36" s="1"/>
      <c r="C36" s="3" t="s">
        <v>103</v>
      </c>
      <c r="D36" s="216"/>
      <c r="E36" s="217"/>
      <c r="F36" s="217"/>
      <c r="G36" s="218"/>
      <c r="H36" s="5"/>
      <c r="I36" s="1"/>
      <c r="J36" s="1"/>
      <c r="K36" s="1"/>
      <c r="L36" s="1"/>
      <c r="M36" s="1"/>
    </row>
    <row r="37" spans="1:13" ht="15" customHeight="1" x14ac:dyDescent="0.25">
      <c r="A37" s="1"/>
      <c r="B37" s="1"/>
      <c r="C37" s="3" t="s">
        <v>222</v>
      </c>
      <c r="D37" s="216"/>
      <c r="E37" s="217"/>
      <c r="F37" s="217"/>
      <c r="G37" s="218"/>
      <c r="H37" s="5"/>
      <c r="I37" s="1"/>
      <c r="J37" s="1"/>
      <c r="K37" s="1"/>
      <c r="L37" s="1"/>
      <c r="M37" s="1"/>
    </row>
    <row r="38" spans="1:13" ht="15" x14ac:dyDescent="0.25">
      <c r="A38" s="1"/>
      <c r="B38" s="1"/>
      <c r="C38" s="3" t="s">
        <v>9</v>
      </c>
      <c r="D38" s="216"/>
      <c r="E38" s="217"/>
      <c r="F38" s="217"/>
      <c r="G38" s="218"/>
      <c r="H38" s="5"/>
      <c r="I38" s="1"/>
      <c r="J38" s="1"/>
      <c r="K38" s="1"/>
      <c r="L38" s="1"/>
      <c r="M38" s="1"/>
    </row>
    <row r="39" spans="1:13" ht="14.25" hidden="1" customHeight="1" x14ac:dyDescent="0.25">
      <c r="A39" s="1"/>
      <c r="B39" s="1"/>
      <c r="C39" s="3" t="s">
        <v>190</v>
      </c>
      <c r="D39" s="67"/>
      <c r="E39" s="143"/>
      <c r="F39" s="143"/>
      <c r="G39" s="143"/>
      <c r="H39" s="1"/>
      <c r="I39" s="1"/>
      <c r="J39" s="1"/>
      <c r="K39" s="1"/>
      <c r="L39" s="1"/>
      <c r="M39" s="1"/>
    </row>
    <row r="40" spans="1:13" ht="14.25" hidden="1" customHeight="1" x14ac:dyDescent="0.25">
      <c r="A40" s="1"/>
      <c r="B40" s="1"/>
      <c r="C40" s="3" t="s">
        <v>191</v>
      </c>
      <c r="D40" s="68"/>
      <c r="E40" s="143"/>
      <c r="F40" s="143"/>
      <c r="G40" s="143"/>
      <c r="H40" s="1"/>
      <c r="I40" s="1"/>
      <c r="J40" s="1"/>
      <c r="K40" s="1"/>
      <c r="L40" s="1"/>
      <c r="M40" s="1"/>
    </row>
    <row r="41" spans="1:13" ht="15" x14ac:dyDescent="0.25">
      <c r="A41" s="1"/>
      <c r="B41" s="1"/>
      <c r="C41" s="3" t="s">
        <v>104</v>
      </c>
      <c r="D41" s="216"/>
      <c r="E41" s="217"/>
      <c r="F41" s="217"/>
      <c r="G41" s="218"/>
      <c r="H41" s="5"/>
      <c r="I41" s="1"/>
      <c r="J41" s="1"/>
      <c r="K41" s="1"/>
      <c r="L41" s="1"/>
      <c r="M41" s="1"/>
    </row>
    <row r="42" spans="1:13" ht="15" x14ac:dyDescent="0.25">
      <c r="A42" s="1"/>
      <c r="B42" s="1"/>
      <c r="C42" s="3" t="s">
        <v>196</v>
      </c>
      <c r="D42" s="216"/>
      <c r="E42" s="217"/>
      <c r="F42" s="217"/>
      <c r="G42" s="218"/>
      <c r="H42" s="5"/>
      <c r="I42" s="1"/>
      <c r="J42" s="1"/>
      <c r="K42" s="1"/>
      <c r="L42" s="1"/>
      <c r="M42" s="1"/>
    </row>
    <row r="43" spans="1:13" ht="19.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ht="17.25" customHeight="1" x14ac:dyDescent="0.25">
      <c r="A44" s="1"/>
      <c r="B44" s="188" t="s">
        <v>105</v>
      </c>
      <c r="C44" s="189"/>
      <c r="D44" s="189"/>
      <c r="E44" s="189"/>
      <c r="F44" s="189"/>
      <c r="G44" s="189"/>
      <c r="H44" s="189"/>
      <c r="I44" s="41"/>
      <c r="J44" s="1"/>
      <c r="K44" s="1"/>
      <c r="L44" s="189"/>
      <c r="M44" s="1"/>
    </row>
    <row r="45" spans="1:13" ht="15" x14ac:dyDescent="0.25">
      <c r="A45" s="1"/>
      <c r="B45" s="219"/>
      <c r="C45" s="220"/>
      <c r="D45" s="220"/>
      <c r="E45" s="220"/>
      <c r="F45" s="220"/>
      <c r="G45" s="220"/>
      <c r="H45" s="220"/>
      <c r="I45" s="220"/>
      <c r="J45" s="220"/>
      <c r="K45" s="220"/>
      <c r="L45" s="221"/>
      <c r="M45" s="1"/>
    </row>
    <row r="46" spans="1:13" ht="15" x14ac:dyDescent="0.25">
      <c r="A46" s="1"/>
      <c r="B46" s="222"/>
      <c r="C46" s="223"/>
      <c r="D46" s="223"/>
      <c r="E46" s="223"/>
      <c r="F46" s="223"/>
      <c r="G46" s="223"/>
      <c r="H46" s="223"/>
      <c r="I46" s="223"/>
      <c r="J46" s="223"/>
      <c r="K46" s="223"/>
      <c r="L46" s="224"/>
      <c r="M46" s="1"/>
    </row>
    <row r="47" spans="1:13" ht="15" x14ac:dyDescent="0.25">
      <c r="A47" s="1"/>
      <c r="B47" s="222"/>
      <c r="C47" s="223"/>
      <c r="D47" s="223"/>
      <c r="E47" s="223"/>
      <c r="F47" s="223"/>
      <c r="G47" s="223"/>
      <c r="H47" s="223"/>
      <c r="I47" s="223"/>
      <c r="J47" s="223"/>
      <c r="K47" s="223"/>
      <c r="L47" s="224"/>
      <c r="M47" s="1"/>
    </row>
    <row r="48" spans="1:13" ht="15" x14ac:dyDescent="0.25">
      <c r="A48" s="1"/>
      <c r="B48" s="225"/>
      <c r="C48" s="226"/>
      <c r="D48" s="226"/>
      <c r="E48" s="226"/>
      <c r="F48" s="226"/>
      <c r="G48" s="226"/>
      <c r="H48" s="226"/>
      <c r="I48" s="226"/>
      <c r="J48" s="226"/>
      <c r="K48" s="226"/>
      <c r="L48" s="227"/>
      <c r="M48" s="1"/>
    </row>
    <row r="49" spans="1:13" ht="14.2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</sheetData>
  <sheetProtection formatCells="0"/>
  <mergeCells count="19">
    <mergeCell ref="D38:G38"/>
    <mergeCell ref="D41:G41"/>
    <mergeCell ref="D42:G42"/>
    <mergeCell ref="B45:L48"/>
    <mergeCell ref="D20:G20"/>
    <mergeCell ref="D31:G31"/>
    <mergeCell ref="D32:G32"/>
    <mergeCell ref="D36:G36"/>
    <mergeCell ref="D37:G37"/>
    <mergeCell ref="D13:G13"/>
    <mergeCell ref="D16:G16"/>
    <mergeCell ref="D17:G17"/>
    <mergeCell ref="D18:G18"/>
    <mergeCell ref="D19:G19"/>
    <mergeCell ref="A1:M2"/>
    <mergeCell ref="D6:G6"/>
    <mergeCell ref="D7:G7"/>
    <mergeCell ref="D9:L9"/>
    <mergeCell ref="D12:G12"/>
  </mergeCells>
  <conditionalFormatting sqref="I44">
    <cfRule type="expression" dxfId="12" priority="96">
      <formula>$I$44&gt;8000</formula>
    </cfRule>
  </conditionalFormatting>
  <dataValidations count="2">
    <dataValidation type="date" operator="greaterThan" allowBlank="1" showInputMessage="1" showErrorMessage="1" sqref="D13" xr:uid="{AEA3DA10-7490-4211-89E7-18DE8463ECF6}">
      <formula1>D12</formula1>
    </dataValidation>
    <dataValidation type="list" allowBlank="1" showInputMessage="1" showErrorMessage="1" sqref="D21:G21" xr:uid="{A05256CE-6D57-4708-95C7-9B0F7614E609}">
      <formula1>"No,Yes"</formula1>
    </dataValidation>
  </dataValidations>
  <pageMargins left="0.7" right="0.7" top="0.75" bottom="0.75" header="0.3" footer="0.3"/>
  <pageSetup paperSize="9" scale="78" orientation="landscape" r:id="rId1"/>
  <ignoredErrors>
    <ignoredError sqref="D25:D27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ExposureDetails">
    <pageSetUpPr fitToPage="1"/>
  </sheetPr>
  <dimension ref="A1:AD114"/>
  <sheetViews>
    <sheetView zoomScale="85" zoomScaleNormal="85" workbookViewId="0">
      <pane ySplit="2" topLeftCell="A3" activePane="bottomLeft" state="frozen"/>
      <selection activeCell="I22" sqref="I22"/>
      <selection pane="bottomLeft" sqref="A1:M2"/>
    </sheetView>
  </sheetViews>
  <sheetFormatPr defaultColWidth="0" defaultRowHeight="15" zeroHeight="1" x14ac:dyDescent="0.25"/>
  <cols>
    <col min="1" max="1" width="2.85546875" bestFit="1" customWidth="1"/>
    <col min="2" max="2" width="33.140625" bestFit="1" customWidth="1"/>
    <col min="3" max="5" width="26" customWidth="1"/>
    <col min="6" max="6" width="21" customWidth="1"/>
    <col min="7" max="7" width="23.7109375" customWidth="1"/>
    <col min="8" max="8" width="36.7109375" hidden="1" customWidth="1"/>
    <col min="9" max="9" width="2" hidden="1" customWidth="1"/>
    <col min="10" max="10" width="12.7109375" hidden="1" customWidth="1"/>
    <col min="11" max="11" width="21.140625" hidden="1" customWidth="1"/>
    <col min="12" max="12" width="33" hidden="1" customWidth="1"/>
    <col min="13" max="13" width="21.28515625" hidden="1" customWidth="1"/>
    <col min="14" max="14" width="5.7109375" hidden="1" customWidth="1"/>
    <col min="15" max="15" width="9.28515625" hidden="1" customWidth="1"/>
    <col min="16" max="16" width="6" hidden="1" customWidth="1"/>
    <col min="17" max="17" width="2.7109375" hidden="1" customWidth="1"/>
    <col min="18" max="18" width="4.7109375" hidden="1" customWidth="1"/>
    <col min="19" max="19" width="9.28515625" hidden="1" customWidth="1"/>
    <col min="20" max="20" width="4.85546875" hidden="1" customWidth="1"/>
    <col min="21" max="21" width="5.7109375" hidden="1" customWidth="1"/>
    <col min="22" max="22" width="19.7109375" hidden="1" customWidth="1"/>
    <col min="23" max="23" width="9.28515625" hidden="1" customWidth="1"/>
    <col min="24" max="24" width="82" hidden="1" customWidth="1"/>
    <col min="25" max="26" width="4.28515625" hidden="1" customWidth="1"/>
    <col min="27" max="28" width="9.28515625" hidden="1" customWidth="1"/>
    <col min="29" max="29" width="17.7109375" hidden="1" customWidth="1"/>
    <col min="30" max="30" width="2" hidden="1" customWidth="1"/>
    <col min="31" max="16384" width="9.28515625" hidden="1"/>
  </cols>
  <sheetData>
    <row r="1" spans="1:13" ht="14.25" customHeight="1" x14ac:dyDescent="0.25">
      <c r="A1" s="206" t="s">
        <v>260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</row>
    <row r="2" spans="1:13" ht="14.25" customHeight="1" x14ac:dyDescent="0.25">
      <c r="A2" s="206"/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</row>
    <row r="3" spans="1:13" x14ac:dyDescent="0.25">
      <c r="A3" s="144"/>
      <c r="B3" s="4"/>
      <c r="C3" s="4"/>
      <c r="D3" s="4"/>
      <c r="E3" s="4"/>
      <c r="F3" s="4"/>
      <c r="G3" s="4"/>
    </row>
    <row r="4" spans="1:13" x14ac:dyDescent="0.25">
      <c r="A4" s="144"/>
      <c r="B4" s="9" t="s">
        <v>113</v>
      </c>
      <c r="C4" s="11"/>
      <c r="D4" s="6"/>
      <c r="E4" s="4"/>
      <c r="F4" s="4"/>
      <c r="G4" s="4"/>
    </row>
    <row r="5" spans="1:13" x14ac:dyDescent="0.25">
      <c r="A5" s="144"/>
      <c r="B5" s="9" t="s">
        <v>162</v>
      </c>
      <c r="C5" s="38"/>
      <c r="D5" s="6"/>
      <c r="E5" s="4"/>
      <c r="F5" s="4"/>
      <c r="G5" s="4"/>
    </row>
    <row r="6" spans="1:13" x14ac:dyDescent="0.25">
      <c r="A6" s="144"/>
      <c r="B6" s="3"/>
      <c r="C6" s="3"/>
      <c r="D6" s="4"/>
      <c r="E6" s="4"/>
      <c r="F6" s="4"/>
      <c r="G6" s="4"/>
    </row>
    <row r="7" spans="1:13" x14ac:dyDescent="0.25">
      <c r="A7" s="144"/>
      <c r="B7" s="9" t="s">
        <v>19</v>
      </c>
      <c r="C7" s="11"/>
      <c r="D7" s="6"/>
      <c r="E7" s="61"/>
      <c r="F7" s="4"/>
      <c r="G7" s="4"/>
    </row>
    <row r="8" spans="1:13" x14ac:dyDescent="0.25">
      <c r="A8" s="144"/>
      <c r="B8" s="9" t="s">
        <v>20</v>
      </c>
      <c r="C8" s="43"/>
      <c r="D8" s="6"/>
      <c r="E8" s="4"/>
      <c r="F8" s="4"/>
      <c r="G8" s="4"/>
    </row>
    <row r="9" spans="1:13" x14ac:dyDescent="0.25">
      <c r="A9" s="144"/>
      <c r="B9" s="9" t="s">
        <v>21</v>
      </c>
      <c r="C9" s="12"/>
      <c r="D9" s="6"/>
      <c r="E9" s="4"/>
      <c r="F9" s="4"/>
      <c r="G9" s="4"/>
    </row>
    <row r="10" spans="1:13" x14ac:dyDescent="0.25">
      <c r="A10" s="144"/>
      <c r="B10" s="9" t="s">
        <v>139</v>
      </c>
      <c r="C10" s="11"/>
      <c r="D10" s="6"/>
      <c r="E10" s="4"/>
      <c r="F10" s="4"/>
      <c r="G10" s="4"/>
    </row>
    <row r="11" spans="1:13" x14ac:dyDescent="0.25">
      <c r="A11" s="144"/>
      <c r="B11" s="9" t="s">
        <v>22</v>
      </c>
      <c r="C11" s="81" t="s">
        <v>8</v>
      </c>
      <c r="D11" s="6"/>
      <c r="E11" s="4"/>
      <c r="F11" s="4"/>
      <c r="G11" s="4"/>
    </row>
    <row r="12" spans="1:13" x14ac:dyDescent="0.25">
      <c r="A12" s="144"/>
      <c r="B12" s="4"/>
      <c r="C12" s="4"/>
      <c r="D12" s="4"/>
      <c r="E12" s="4"/>
      <c r="F12" s="4"/>
      <c r="G12" s="4"/>
    </row>
    <row r="13" spans="1:13" x14ac:dyDescent="0.25">
      <c r="A13" s="144"/>
      <c r="B13" s="5"/>
      <c r="C13" s="5"/>
      <c r="D13" s="5"/>
      <c r="E13" s="5"/>
      <c r="F13" s="5"/>
      <c r="G13" s="4"/>
    </row>
    <row r="14" spans="1:13" x14ac:dyDescent="0.25">
      <c r="A14" s="144"/>
      <c r="B14" s="5"/>
      <c r="C14" s="10" t="s">
        <v>23</v>
      </c>
      <c r="D14" s="185" t="s">
        <v>199</v>
      </c>
      <c r="E14" s="42" t="s">
        <v>87</v>
      </c>
      <c r="F14" s="42" t="s">
        <v>186</v>
      </c>
      <c r="G14" s="4"/>
    </row>
    <row r="15" spans="1:13" x14ac:dyDescent="0.25">
      <c r="A15" s="144"/>
      <c r="B15" s="9" t="s">
        <v>24</v>
      </c>
      <c r="C15" s="11"/>
      <c r="D15" s="12"/>
      <c r="E15" s="12"/>
      <c r="F15" s="12"/>
      <c r="G15" s="4"/>
    </row>
    <row r="16" spans="1:13" x14ac:dyDescent="0.25">
      <c r="A16" s="144"/>
      <c r="B16" s="5"/>
      <c r="C16" s="5"/>
      <c r="D16" s="147"/>
      <c r="E16" s="147"/>
      <c r="F16" s="29"/>
      <c r="G16" s="4"/>
    </row>
    <row r="17" spans="1:7" x14ac:dyDescent="0.25">
      <c r="A17" s="144"/>
      <c r="B17" s="9" t="s">
        <v>169</v>
      </c>
      <c r="C17" s="11"/>
      <c r="D17" s="11"/>
      <c r="E17" s="11"/>
      <c r="F17" s="29"/>
      <c r="G17" s="4"/>
    </row>
    <row r="18" spans="1:7" x14ac:dyDescent="0.25">
      <c r="A18" s="144"/>
      <c r="B18" s="5"/>
      <c r="C18" s="29"/>
      <c r="D18" s="29"/>
      <c r="E18" s="29"/>
      <c r="F18" s="29"/>
      <c r="G18" s="4"/>
    </row>
    <row r="19" spans="1:7" x14ac:dyDescent="0.25">
      <c r="A19" s="144"/>
      <c r="B19" s="10" t="s">
        <v>79</v>
      </c>
      <c r="C19" s="254"/>
      <c r="D19" s="254"/>
      <c r="E19" s="254"/>
      <c r="F19" s="29"/>
      <c r="G19" s="4"/>
    </row>
    <row r="20" spans="1:7" x14ac:dyDescent="0.25">
      <c r="A20" s="144"/>
      <c r="B20" s="10" t="s">
        <v>80</v>
      </c>
      <c r="C20" s="254"/>
      <c r="D20" s="254"/>
      <c r="E20" s="254"/>
      <c r="F20" s="29"/>
      <c r="G20" s="4"/>
    </row>
    <row r="21" spans="1:7" x14ac:dyDescent="0.25">
      <c r="A21" s="144"/>
      <c r="B21" s="10" t="s">
        <v>81</v>
      </c>
      <c r="C21" s="254"/>
      <c r="D21" s="254"/>
      <c r="E21" s="254"/>
      <c r="F21" s="29"/>
      <c r="G21" s="4"/>
    </row>
    <row r="22" spans="1:7" x14ac:dyDescent="0.25">
      <c r="A22" s="144"/>
      <c r="B22" s="10" t="s">
        <v>82</v>
      </c>
      <c r="C22" s="254"/>
      <c r="D22" s="254"/>
      <c r="E22" s="254"/>
      <c r="F22" s="29"/>
      <c r="G22" s="4"/>
    </row>
    <row r="23" spans="1:7" x14ac:dyDescent="0.25">
      <c r="A23" s="144"/>
      <c r="B23" s="10" t="s">
        <v>15</v>
      </c>
      <c r="C23" s="254"/>
      <c r="D23" s="254"/>
      <c r="E23" s="254"/>
      <c r="F23" s="29"/>
      <c r="G23" s="4"/>
    </row>
    <row r="24" spans="1:7" x14ac:dyDescent="0.25">
      <c r="A24" s="144"/>
      <c r="B24" s="10" t="s">
        <v>83</v>
      </c>
      <c r="C24" s="254"/>
      <c r="D24" s="254"/>
      <c r="E24" s="254"/>
      <c r="F24" s="29"/>
      <c r="G24" s="4"/>
    </row>
    <row r="25" spans="1:7" x14ac:dyDescent="0.25">
      <c r="A25" s="144"/>
      <c r="B25" s="10" t="s">
        <v>84</v>
      </c>
      <c r="C25" s="254"/>
      <c r="D25" s="254"/>
      <c r="E25" s="254"/>
      <c r="F25" s="29"/>
      <c r="G25" s="4"/>
    </row>
    <row r="26" spans="1:7" x14ac:dyDescent="0.25">
      <c r="A26" s="144"/>
      <c r="B26" s="10" t="s">
        <v>12</v>
      </c>
      <c r="C26" s="254"/>
      <c r="D26" s="254"/>
      <c r="E26" s="254"/>
      <c r="F26" s="29"/>
      <c r="G26" s="4"/>
    </row>
    <row r="27" spans="1:7" x14ac:dyDescent="0.25">
      <c r="A27" s="144"/>
      <c r="B27" s="10" t="s">
        <v>85</v>
      </c>
      <c r="C27" s="254"/>
      <c r="D27" s="254"/>
      <c r="E27" s="254"/>
      <c r="F27" s="29"/>
      <c r="G27" s="4"/>
    </row>
    <row r="28" spans="1:7" x14ac:dyDescent="0.25">
      <c r="A28" s="144"/>
      <c r="B28" s="10" t="s">
        <v>86</v>
      </c>
      <c r="C28" s="254"/>
      <c r="D28" s="254"/>
      <c r="E28" s="254"/>
      <c r="F28" s="29"/>
      <c r="G28" s="4"/>
    </row>
    <row r="29" spans="1:7" x14ac:dyDescent="0.25">
      <c r="A29" s="144"/>
      <c r="B29" s="10" t="s">
        <v>106</v>
      </c>
      <c r="C29" s="254"/>
      <c r="D29" s="254"/>
      <c r="E29" s="254"/>
      <c r="F29" s="29"/>
      <c r="G29" s="4"/>
    </row>
    <row r="30" spans="1:7" x14ac:dyDescent="0.25">
      <c r="A30" s="144"/>
      <c r="B30" s="9" t="s">
        <v>25</v>
      </c>
      <c r="C30" s="205" t="s">
        <v>8</v>
      </c>
      <c r="D30" s="205" t="s">
        <v>8</v>
      </c>
      <c r="E30" s="205" t="s">
        <v>8</v>
      </c>
      <c r="F30" s="29"/>
      <c r="G30" s="4"/>
    </row>
    <row r="31" spans="1:7" x14ac:dyDescent="0.25">
      <c r="A31" s="144"/>
      <c r="B31" s="37"/>
      <c r="C31" s="88"/>
      <c r="D31" s="88"/>
      <c r="E31" s="88"/>
      <c r="F31" s="6"/>
      <c r="G31" s="4"/>
    </row>
    <row r="32" spans="1:7" x14ac:dyDescent="0.25">
      <c r="A32" s="5"/>
      <c r="B32" s="9" t="s">
        <v>127</v>
      </c>
      <c r="C32" s="12"/>
      <c r="D32" s="6"/>
      <c r="E32" s="6"/>
      <c r="F32" s="6"/>
      <c r="G32" s="4"/>
    </row>
    <row r="33" spans="1:7" x14ac:dyDescent="0.25">
      <c r="A33" s="5"/>
      <c r="B33" s="9" t="s">
        <v>128</v>
      </c>
      <c r="C33" s="202"/>
      <c r="D33" s="6"/>
      <c r="E33" s="6"/>
      <c r="F33" s="6"/>
      <c r="G33" s="4"/>
    </row>
    <row r="34" spans="1:7" x14ac:dyDescent="0.25">
      <c r="A34" s="5"/>
      <c r="B34" s="6"/>
      <c r="C34" s="6"/>
      <c r="D34" s="6"/>
      <c r="E34" s="6"/>
      <c r="F34" s="6"/>
      <c r="G34" s="4"/>
    </row>
    <row r="35" spans="1:7" x14ac:dyDescent="0.25">
      <c r="A35" s="5"/>
      <c r="B35" s="9" t="s">
        <v>129</v>
      </c>
      <c r="C35" s="36"/>
      <c r="D35" s="6"/>
      <c r="E35" s="6"/>
      <c r="F35" s="6"/>
      <c r="G35" s="4"/>
    </row>
    <row r="36" spans="1:7" x14ac:dyDescent="0.25">
      <c r="A36" s="5"/>
      <c r="B36" s="6"/>
      <c r="C36" s="6"/>
      <c r="D36" s="6"/>
      <c r="E36" s="6"/>
      <c r="F36" s="6"/>
      <c r="G36" s="4"/>
    </row>
    <row r="37" spans="1:7" x14ac:dyDescent="0.25">
      <c r="A37" s="5"/>
      <c r="B37" s="8" t="s">
        <v>167</v>
      </c>
      <c r="C37" s="8" t="s">
        <v>166</v>
      </c>
      <c r="D37" s="6"/>
      <c r="E37" s="40" t="s">
        <v>168</v>
      </c>
      <c r="F37" s="8" t="s">
        <v>166</v>
      </c>
      <c r="G37" s="4"/>
    </row>
    <row r="38" spans="1:7" x14ac:dyDescent="0.25">
      <c r="A38" s="5"/>
      <c r="B38" s="9" t="s">
        <v>164</v>
      </c>
      <c r="C38" s="13"/>
      <c r="D38" s="6"/>
      <c r="E38" s="14"/>
      <c r="F38" s="13"/>
      <c r="G38" s="4"/>
    </row>
    <row r="39" spans="1:7" x14ac:dyDescent="0.25">
      <c r="A39" s="5"/>
      <c r="B39" s="9" t="s">
        <v>10</v>
      </c>
      <c r="C39" s="13"/>
      <c r="D39" s="6"/>
      <c r="E39" s="14"/>
      <c r="F39" s="13"/>
      <c r="G39" s="4"/>
    </row>
    <row r="40" spans="1:7" x14ac:dyDescent="0.25">
      <c r="A40" s="5"/>
      <c r="B40" s="9" t="s">
        <v>3</v>
      </c>
      <c r="C40" s="13"/>
      <c r="D40" s="6"/>
      <c r="E40" s="14"/>
      <c r="F40" s="13"/>
      <c r="G40" s="4"/>
    </row>
    <row r="41" spans="1:7" x14ac:dyDescent="0.25">
      <c r="A41" s="5"/>
      <c r="B41" s="9" t="s">
        <v>28</v>
      </c>
      <c r="C41" s="44">
        <v>0</v>
      </c>
      <c r="D41" s="6"/>
      <c r="E41" s="9" t="s">
        <v>28</v>
      </c>
      <c r="F41" s="44">
        <v>0</v>
      </c>
      <c r="G41" s="6"/>
    </row>
    <row r="42" spans="1:7" x14ac:dyDescent="0.25">
      <c r="A42" s="5"/>
      <c r="B42" s="5"/>
      <c r="C42" s="5"/>
      <c r="D42" s="5"/>
      <c r="E42" s="5"/>
      <c r="F42" s="4"/>
      <c r="G42" s="6"/>
    </row>
    <row r="43" spans="1:7" x14ac:dyDescent="0.25">
      <c r="A43" s="144"/>
      <c r="B43" s="8" t="s">
        <v>29</v>
      </c>
      <c r="C43" s="8"/>
      <c r="D43" s="6"/>
      <c r="E43" s="4"/>
      <c r="F43" s="4"/>
      <c r="G43" s="4"/>
    </row>
    <row r="44" spans="1:7" x14ac:dyDescent="0.25">
      <c r="A44" s="144"/>
      <c r="B44" s="9" t="s">
        <v>30</v>
      </c>
      <c r="C44" s="13"/>
      <c r="D44" s="6"/>
      <c r="E44" s="4"/>
      <c r="F44" s="4"/>
      <c r="G44" s="4"/>
    </row>
    <row r="45" spans="1:7" x14ac:dyDescent="0.25">
      <c r="A45" s="144"/>
      <c r="B45" s="9" t="s">
        <v>31</v>
      </c>
      <c r="C45" s="13"/>
      <c r="D45" s="6"/>
      <c r="E45" s="4"/>
      <c r="F45" s="4"/>
      <c r="G45" s="4"/>
    </row>
    <row r="46" spans="1:7" x14ac:dyDescent="0.25">
      <c r="A46" s="144"/>
      <c r="B46" s="9" t="s">
        <v>32</v>
      </c>
      <c r="C46" s="13"/>
      <c r="D46" s="6"/>
      <c r="E46" s="4"/>
      <c r="F46" s="4"/>
      <c r="G46" s="4"/>
    </row>
    <row r="47" spans="1:7" x14ac:dyDescent="0.25">
      <c r="A47" s="144"/>
      <c r="B47" s="6"/>
      <c r="C47" s="6"/>
      <c r="D47" s="6"/>
      <c r="E47" s="4"/>
      <c r="F47" s="4"/>
      <c r="G47" s="4"/>
    </row>
    <row r="48" spans="1:7" x14ac:dyDescent="0.25">
      <c r="A48" s="5"/>
      <c r="B48" s="9" t="s">
        <v>132</v>
      </c>
      <c r="C48" s="36"/>
      <c r="D48" s="6"/>
      <c r="E48" s="4"/>
      <c r="F48" s="4"/>
      <c r="G48" s="4"/>
    </row>
    <row r="49" spans="1:7" x14ac:dyDescent="0.25">
      <c r="A49" s="5"/>
      <c r="B49" s="6"/>
      <c r="C49" s="6"/>
      <c r="D49" s="6"/>
      <c r="E49" s="4"/>
      <c r="F49" s="4"/>
      <c r="G49" s="4"/>
    </row>
    <row r="50" spans="1:7" x14ac:dyDescent="0.25">
      <c r="A50" s="5"/>
      <c r="B50" s="8" t="s">
        <v>114</v>
      </c>
      <c r="C50" s="8" t="s">
        <v>26</v>
      </c>
      <c r="D50" s="8" t="s">
        <v>27</v>
      </c>
      <c r="E50" s="4"/>
      <c r="F50" s="4"/>
      <c r="G50" s="4"/>
    </row>
    <row r="51" spans="1:7" x14ac:dyDescent="0.25">
      <c r="A51" s="5"/>
      <c r="B51" s="9" t="s">
        <v>133</v>
      </c>
      <c r="C51" s="12"/>
      <c r="D51" s="15" t="s">
        <v>8</v>
      </c>
      <c r="E51" s="4"/>
      <c r="F51" s="4"/>
      <c r="G51" s="4"/>
    </row>
    <row r="52" spans="1:7" x14ac:dyDescent="0.25">
      <c r="A52" s="5"/>
      <c r="B52" s="9" t="s">
        <v>134</v>
      </c>
      <c r="C52" s="12"/>
      <c r="D52" s="15" t="s">
        <v>8</v>
      </c>
      <c r="E52" s="4"/>
      <c r="F52" s="4"/>
      <c r="G52" s="4"/>
    </row>
    <row r="53" spans="1:7" x14ac:dyDescent="0.25">
      <c r="A53" s="5"/>
      <c r="B53" s="9" t="s">
        <v>135</v>
      </c>
      <c r="C53" s="12"/>
      <c r="D53" s="15" t="s">
        <v>8</v>
      </c>
      <c r="E53" s="4"/>
      <c r="F53" s="4"/>
      <c r="G53" s="4"/>
    </row>
    <row r="54" spans="1:7" x14ac:dyDescent="0.25">
      <c r="A54" s="5"/>
      <c r="B54" s="9" t="s">
        <v>136</v>
      </c>
      <c r="C54" s="12"/>
      <c r="D54" s="15" t="s">
        <v>8</v>
      </c>
      <c r="E54" s="4"/>
      <c r="F54" s="4"/>
      <c r="G54" s="4"/>
    </row>
    <row r="55" spans="1:7" x14ac:dyDescent="0.25">
      <c r="A55" s="5"/>
      <c r="B55" s="9" t="s">
        <v>137</v>
      </c>
      <c r="C55" s="12"/>
      <c r="D55" s="15"/>
      <c r="E55" s="4"/>
      <c r="F55" s="4"/>
      <c r="G55" s="4"/>
    </row>
    <row r="56" spans="1:7" x14ac:dyDescent="0.25">
      <c r="A56" s="5"/>
      <c r="B56" s="9" t="s">
        <v>138</v>
      </c>
      <c r="C56" s="12"/>
      <c r="D56" s="15" t="s">
        <v>8</v>
      </c>
      <c r="E56" s="4"/>
      <c r="F56" s="4"/>
      <c r="G56" s="4"/>
    </row>
    <row r="57" spans="1:7" x14ac:dyDescent="0.25">
      <c r="A57" s="5"/>
      <c r="B57" s="9" t="s">
        <v>3</v>
      </c>
      <c r="C57" s="12"/>
      <c r="D57" s="15" t="s">
        <v>8</v>
      </c>
      <c r="E57" s="4"/>
      <c r="F57" s="4"/>
      <c r="G57" s="4"/>
    </row>
    <row r="58" spans="1:7" x14ac:dyDescent="0.25">
      <c r="A58" s="5"/>
      <c r="B58" s="9" t="s">
        <v>28</v>
      </c>
      <c r="C58" s="33">
        <v>0</v>
      </c>
      <c r="D58" s="17">
        <v>0</v>
      </c>
      <c r="E58" s="4"/>
      <c r="F58" s="4"/>
      <c r="G58" s="4"/>
    </row>
    <row r="59" spans="1:7" x14ac:dyDescent="0.25">
      <c r="A59" s="5"/>
      <c r="B59" s="4"/>
      <c r="C59" s="4"/>
      <c r="D59" s="4"/>
      <c r="E59" s="4"/>
      <c r="F59" s="4"/>
      <c r="G59" s="4"/>
    </row>
    <row r="60" spans="1:7" x14ac:dyDescent="0.25">
      <c r="A60" s="144"/>
      <c r="B60" s="8" t="s">
        <v>114</v>
      </c>
      <c r="C60" s="8" t="s">
        <v>26</v>
      </c>
      <c r="D60" s="8" t="s">
        <v>27</v>
      </c>
      <c r="E60" s="4"/>
      <c r="F60" s="4"/>
      <c r="G60" s="4"/>
    </row>
    <row r="61" spans="1:7" x14ac:dyDescent="0.25">
      <c r="A61" s="144"/>
      <c r="B61" s="9" t="s">
        <v>33</v>
      </c>
      <c r="C61" s="12"/>
      <c r="D61" s="15" t="s">
        <v>8</v>
      </c>
      <c r="E61" s="4"/>
      <c r="F61" s="4"/>
      <c r="G61" s="4"/>
    </row>
    <row r="62" spans="1:7" x14ac:dyDescent="0.25">
      <c r="A62" s="144"/>
      <c r="B62" s="9" t="s">
        <v>34</v>
      </c>
      <c r="C62" s="12"/>
      <c r="D62" s="15" t="s">
        <v>8</v>
      </c>
      <c r="E62" s="4"/>
      <c r="F62" s="4"/>
      <c r="G62" s="4"/>
    </row>
    <row r="63" spans="1:7" x14ac:dyDescent="0.25">
      <c r="A63" s="144"/>
      <c r="B63" s="9" t="s">
        <v>35</v>
      </c>
      <c r="C63" s="12"/>
      <c r="D63" s="15" t="s">
        <v>8</v>
      </c>
      <c r="E63" s="4"/>
      <c r="F63" s="4"/>
      <c r="G63" s="4"/>
    </row>
    <row r="64" spans="1:7" x14ac:dyDescent="0.25">
      <c r="A64" s="144"/>
      <c r="B64" s="9" t="s">
        <v>36</v>
      </c>
      <c r="C64" s="12"/>
      <c r="D64" s="15" t="s">
        <v>8</v>
      </c>
      <c r="E64" s="4"/>
      <c r="F64" s="4"/>
      <c r="G64" s="4"/>
    </row>
    <row r="65" spans="1:7" x14ac:dyDescent="0.25">
      <c r="A65" s="144"/>
      <c r="B65" s="9" t="s">
        <v>28</v>
      </c>
      <c r="C65" s="33">
        <v>0</v>
      </c>
      <c r="D65" s="17">
        <v>0</v>
      </c>
      <c r="E65" s="4"/>
      <c r="F65" s="4"/>
      <c r="G65" s="4"/>
    </row>
    <row r="66" spans="1:7" x14ac:dyDescent="0.25">
      <c r="A66" s="144"/>
      <c r="B66" s="5"/>
      <c r="C66" s="5"/>
      <c r="D66" s="5"/>
      <c r="E66" s="4"/>
      <c r="F66" s="4"/>
      <c r="G66" s="4"/>
    </row>
    <row r="67" spans="1:7" x14ac:dyDescent="0.25">
      <c r="A67" s="5"/>
      <c r="B67" s="8" t="s">
        <v>115</v>
      </c>
      <c r="C67" s="8" t="s">
        <v>26</v>
      </c>
      <c r="D67" s="8" t="s">
        <v>27</v>
      </c>
      <c r="E67" s="4"/>
      <c r="F67" s="4"/>
      <c r="G67" s="4"/>
    </row>
    <row r="68" spans="1:7" x14ac:dyDescent="0.25">
      <c r="A68" s="5"/>
      <c r="B68" s="9" t="s">
        <v>37</v>
      </c>
      <c r="C68" s="12"/>
      <c r="D68" s="15" t="s">
        <v>8</v>
      </c>
      <c r="E68" s="4"/>
      <c r="F68" s="4"/>
      <c r="G68" s="4"/>
    </row>
    <row r="69" spans="1:7" x14ac:dyDescent="0.25">
      <c r="A69" s="5"/>
      <c r="B69" s="9" t="s">
        <v>38</v>
      </c>
      <c r="C69" s="12"/>
      <c r="D69" s="15" t="s">
        <v>8</v>
      </c>
      <c r="E69" s="4"/>
      <c r="F69" s="4"/>
      <c r="G69" s="4"/>
    </row>
    <row r="70" spans="1:7" x14ac:dyDescent="0.25">
      <c r="A70" s="5"/>
      <c r="B70" s="9" t="s">
        <v>39</v>
      </c>
      <c r="C70" s="12"/>
      <c r="D70" s="15" t="s">
        <v>8</v>
      </c>
      <c r="E70" s="4"/>
      <c r="F70" s="4"/>
      <c r="G70" s="4"/>
    </row>
    <row r="71" spans="1:7" x14ac:dyDescent="0.25">
      <c r="A71" s="5"/>
      <c r="B71" s="9" t="s">
        <v>40</v>
      </c>
      <c r="C71" s="12"/>
      <c r="D71" s="15" t="s">
        <v>8</v>
      </c>
      <c r="E71" s="4"/>
      <c r="F71" s="4"/>
      <c r="G71" s="4"/>
    </row>
    <row r="72" spans="1:7" x14ac:dyDescent="0.25">
      <c r="A72" s="5"/>
      <c r="B72" s="9" t="s">
        <v>41</v>
      </c>
      <c r="C72" s="12"/>
      <c r="D72" s="15" t="s">
        <v>8</v>
      </c>
      <c r="E72" s="4"/>
      <c r="F72" s="4"/>
      <c r="G72" s="4"/>
    </row>
    <row r="73" spans="1:7" x14ac:dyDescent="0.25">
      <c r="A73" s="5"/>
      <c r="B73" s="9" t="s">
        <v>108</v>
      </c>
      <c r="C73" s="12"/>
      <c r="D73" s="15" t="s">
        <v>8</v>
      </c>
      <c r="E73" s="4"/>
      <c r="F73" s="4"/>
      <c r="G73" s="4"/>
    </row>
    <row r="74" spans="1:7" x14ac:dyDescent="0.25">
      <c r="A74" s="5"/>
      <c r="B74" s="9" t="s">
        <v>3</v>
      </c>
      <c r="C74" s="12"/>
      <c r="D74" s="15" t="s">
        <v>8</v>
      </c>
      <c r="E74" s="4"/>
      <c r="F74" s="4"/>
      <c r="G74" s="4"/>
    </row>
    <row r="75" spans="1:7" x14ac:dyDescent="0.25">
      <c r="A75" s="5"/>
      <c r="B75" s="9" t="s">
        <v>28</v>
      </c>
      <c r="C75" s="33">
        <v>0</v>
      </c>
      <c r="D75" s="17">
        <v>0</v>
      </c>
      <c r="E75" s="4"/>
      <c r="F75" s="4"/>
      <c r="G75" s="4"/>
    </row>
    <row r="76" spans="1:7" x14ac:dyDescent="0.25">
      <c r="A76" s="5"/>
      <c r="B76" s="5"/>
      <c r="C76" s="5"/>
      <c r="D76" s="5"/>
      <c r="E76" s="5"/>
      <c r="F76" s="4"/>
      <c r="G76" s="4"/>
    </row>
    <row r="77" spans="1:7" x14ac:dyDescent="0.25">
      <c r="A77" s="5"/>
      <c r="B77" s="9" t="s">
        <v>126</v>
      </c>
      <c r="C77" s="13"/>
      <c r="D77" s="6"/>
      <c r="E77" s="5"/>
      <c r="F77" s="4"/>
      <c r="G77" s="4"/>
    </row>
    <row r="78" spans="1:7" x14ac:dyDescent="0.25">
      <c r="A78" s="5"/>
      <c r="B78" s="9" t="s">
        <v>42</v>
      </c>
      <c r="C78" s="13"/>
      <c r="D78" s="6"/>
      <c r="E78" s="4"/>
      <c r="F78" s="4"/>
      <c r="G78" s="4"/>
    </row>
    <row r="79" spans="1:7" x14ac:dyDescent="0.25">
      <c r="A79" s="5"/>
      <c r="B79" s="9" t="s">
        <v>43</v>
      </c>
      <c r="C79" s="13"/>
      <c r="D79" s="6"/>
      <c r="E79" s="4"/>
      <c r="F79" s="4"/>
      <c r="G79" s="4"/>
    </row>
    <row r="80" spans="1:7" x14ac:dyDescent="0.25">
      <c r="A80" s="5"/>
      <c r="B80" s="9" t="s">
        <v>116</v>
      </c>
      <c r="C80" s="13"/>
      <c r="D80" s="6"/>
      <c r="E80" s="4"/>
      <c r="F80" s="4"/>
      <c r="G80" s="4"/>
    </row>
    <row r="81" spans="1:7" x14ac:dyDescent="0.25">
      <c r="A81" s="5"/>
      <c r="B81" s="5"/>
      <c r="C81" s="5"/>
      <c r="D81" s="5"/>
      <c r="E81" s="5"/>
      <c r="F81" s="4"/>
      <c r="G81" s="4"/>
    </row>
    <row r="82" spans="1:7" x14ac:dyDescent="0.25">
      <c r="A82" s="5"/>
      <c r="B82" s="8" t="s">
        <v>114</v>
      </c>
      <c r="C82" s="8" t="s">
        <v>26</v>
      </c>
      <c r="D82" s="8" t="s">
        <v>27</v>
      </c>
      <c r="E82" s="4"/>
      <c r="F82" s="4"/>
      <c r="G82" s="4"/>
    </row>
    <row r="83" spans="1:7" x14ac:dyDescent="0.25">
      <c r="A83" s="5"/>
      <c r="B83" s="9" t="s">
        <v>44</v>
      </c>
      <c r="C83" s="12"/>
      <c r="D83" s="15" t="s">
        <v>8</v>
      </c>
      <c r="E83" s="4"/>
      <c r="F83" s="4"/>
      <c r="G83" s="4"/>
    </row>
    <row r="84" spans="1:7" x14ac:dyDescent="0.25">
      <c r="A84" s="5"/>
      <c r="B84" s="9" t="s">
        <v>45</v>
      </c>
      <c r="C84" s="12"/>
      <c r="D84" s="15" t="s">
        <v>8</v>
      </c>
      <c r="E84" s="4"/>
      <c r="F84" s="4"/>
      <c r="G84" s="4"/>
    </row>
    <row r="85" spans="1:7" x14ac:dyDescent="0.25">
      <c r="A85" s="5"/>
      <c r="B85" s="9" t="s">
        <v>46</v>
      </c>
      <c r="C85" s="12"/>
      <c r="D85" s="15" t="s">
        <v>8</v>
      </c>
      <c r="E85" s="4"/>
      <c r="F85" s="4"/>
      <c r="G85" s="4"/>
    </row>
    <row r="86" spans="1:7" x14ac:dyDescent="0.25">
      <c r="A86" s="5"/>
      <c r="B86" s="9" t="s">
        <v>47</v>
      </c>
      <c r="C86" s="12"/>
      <c r="D86" s="15" t="s">
        <v>8</v>
      </c>
      <c r="E86" s="4"/>
      <c r="F86" s="4"/>
      <c r="G86" s="4"/>
    </row>
    <row r="87" spans="1:7" x14ac:dyDescent="0.25">
      <c r="A87" s="5"/>
      <c r="B87" s="9" t="s">
        <v>48</v>
      </c>
      <c r="C87" s="12"/>
      <c r="D87" s="15" t="s">
        <v>8</v>
      </c>
      <c r="E87" s="4"/>
      <c r="F87" s="4"/>
      <c r="G87" s="4"/>
    </row>
    <row r="88" spans="1:7" x14ac:dyDescent="0.25">
      <c r="A88" s="5"/>
      <c r="B88" s="9" t="s">
        <v>3</v>
      </c>
      <c r="C88" s="12"/>
      <c r="D88" s="15" t="s">
        <v>8</v>
      </c>
      <c r="E88" s="4"/>
      <c r="F88" s="4"/>
      <c r="G88" s="4"/>
    </row>
    <row r="89" spans="1:7" x14ac:dyDescent="0.25">
      <c r="A89" s="5"/>
      <c r="B89" s="9" t="s">
        <v>28</v>
      </c>
      <c r="C89" s="33">
        <v>0</v>
      </c>
      <c r="D89" s="17">
        <v>0</v>
      </c>
      <c r="E89" s="4"/>
      <c r="F89" s="4"/>
      <c r="G89" s="4"/>
    </row>
    <row r="90" spans="1:7" x14ac:dyDescent="0.25">
      <c r="A90" s="5"/>
      <c r="B90" s="5"/>
      <c r="C90" s="5"/>
      <c r="D90" s="5"/>
      <c r="E90" s="4"/>
      <c r="F90" s="4"/>
      <c r="G90" s="4"/>
    </row>
    <row r="91" spans="1:7" x14ac:dyDescent="0.25">
      <c r="A91" s="5"/>
      <c r="B91" s="9" t="s">
        <v>130</v>
      </c>
      <c r="C91" s="16"/>
      <c r="D91" s="5"/>
      <c r="E91" s="4"/>
      <c r="F91" s="4"/>
      <c r="G91" s="4"/>
    </row>
    <row r="92" spans="1:7" x14ac:dyDescent="0.25">
      <c r="A92" s="5"/>
      <c r="B92" s="9" t="s">
        <v>131</v>
      </c>
      <c r="C92" s="16"/>
      <c r="D92" s="5"/>
      <c r="E92" s="4"/>
      <c r="F92" s="4"/>
      <c r="G92" s="4"/>
    </row>
    <row r="93" spans="1:7" x14ac:dyDescent="0.25">
      <c r="A93" s="5"/>
      <c r="B93" s="5"/>
      <c r="C93" s="5"/>
      <c r="D93" s="5"/>
      <c r="E93" s="5"/>
      <c r="F93" s="4"/>
      <c r="G93" s="4"/>
    </row>
    <row r="94" spans="1:7" x14ac:dyDescent="0.25">
      <c r="A94" s="5"/>
      <c r="B94" s="8" t="s">
        <v>114</v>
      </c>
      <c r="C94" s="8" t="s">
        <v>26</v>
      </c>
      <c r="D94" s="8" t="s">
        <v>27</v>
      </c>
      <c r="E94" s="4"/>
      <c r="F94" s="4"/>
      <c r="G94" s="4"/>
    </row>
    <row r="95" spans="1:7" x14ac:dyDescent="0.25">
      <c r="A95" s="5"/>
      <c r="B95" s="9" t="s">
        <v>49</v>
      </c>
      <c r="C95" s="12"/>
      <c r="D95" s="15" t="s">
        <v>8</v>
      </c>
      <c r="E95" s="4"/>
      <c r="F95" s="4"/>
      <c r="G95" s="4"/>
    </row>
    <row r="96" spans="1:7" x14ac:dyDescent="0.25">
      <c r="A96" s="5"/>
      <c r="B96" s="9" t="s">
        <v>50</v>
      </c>
      <c r="C96" s="12"/>
      <c r="D96" s="15" t="s">
        <v>8</v>
      </c>
      <c r="E96" s="4"/>
      <c r="F96" s="4"/>
      <c r="G96" s="4"/>
    </row>
    <row r="97" spans="1:7" x14ac:dyDescent="0.25">
      <c r="A97" s="5"/>
      <c r="B97" s="9" t="s">
        <v>51</v>
      </c>
      <c r="C97" s="12"/>
      <c r="D97" s="15" t="s">
        <v>8</v>
      </c>
      <c r="E97" s="4"/>
      <c r="F97" s="4"/>
      <c r="G97" s="4"/>
    </row>
    <row r="98" spans="1:7" x14ac:dyDescent="0.25">
      <c r="A98" s="5"/>
      <c r="B98" s="9" t="s">
        <v>52</v>
      </c>
      <c r="C98" s="12"/>
      <c r="D98" s="15" t="s">
        <v>8</v>
      </c>
      <c r="E98" s="4"/>
      <c r="F98" s="4"/>
      <c r="G98" s="4"/>
    </row>
    <row r="99" spans="1:7" x14ac:dyDescent="0.25">
      <c r="A99" s="5"/>
      <c r="B99" s="9" t="s">
        <v>3</v>
      </c>
      <c r="C99" s="12"/>
      <c r="D99" s="15" t="s">
        <v>8</v>
      </c>
      <c r="E99" s="4"/>
      <c r="F99" s="4"/>
      <c r="G99" s="4"/>
    </row>
    <row r="100" spans="1:7" x14ac:dyDescent="0.25">
      <c r="A100" s="5"/>
      <c r="B100" s="9" t="s">
        <v>28</v>
      </c>
      <c r="C100" s="33">
        <v>0</v>
      </c>
      <c r="D100" s="17">
        <v>0</v>
      </c>
      <c r="E100" s="4"/>
      <c r="F100" s="4"/>
      <c r="G100" s="4"/>
    </row>
    <row r="101" spans="1:7" x14ac:dyDescent="0.25">
      <c r="A101" s="5"/>
      <c r="B101" s="8"/>
      <c r="C101" s="8"/>
      <c r="D101" s="8"/>
      <c r="E101" s="4"/>
      <c r="F101" s="4"/>
      <c r="G101" s="4"/>
    </row>
    <row r="102" spans="1:7" x14ac:dyDescent="0.25">
      <c r="A102" s="5"/>
      <c r="B102" s="8" t="s">
        <v>114</v>
      </c>
      <c r="C102" s="8" t="s">
        <v>26</v>
      </c>
      <c r="D102" s="8" t="s">
        <v>27</v>
      </c>
      <c r="E102" s="4"/>
      <c r="F102" s="4"/>
      <c r="G102" s="4"/>
    </row>
    <row r="103" spans="1:7" x14ac:dyDescent="0.25">
      <c r="A103" s="5"/>
      <c r="B103" s="9" t="s">
        <v>224</v>
      </c>
      <c r="C103" s="12"/>
      <c r="D103" s="15" t="s">
        <v>8</v>
      </c>
      <c r="E103" s="4"/>
      <c r="F103" s="4"/>
      <c r="G103" s="4"/>
    </row>
    <row r="104" spans="1:7" x14ac:dyDescent="0.25">
      <c r="A104" s="5"/>
      <c r="B104" s="9" t="s">
        <v>225</v>
      </c>
      <c r="C104" s="12"/>
      <c r="D104" s="15" t="s">
        <v>8</v>
      </c>
      <c r="E104" s="4"/>
      <c r="F104" s="4"/>
      <c r="G104" s="4"/>
    </row>
    <row r="105" spans="1:7" x14ac:dyDescent="0.25">
      <c r="A105" s="5"/>
      <c r="B105" s="9" t="s">
        <v>226</v>
      </c>
      <c r="C105" s="12"/>
      <c r="D105" s="15" t="s">
        <v>8</v>
      </c>
      <c r="E105" s="4"/>
      <c r="F105" s="4"/>
      <c r="G105" s="4"/>
    </row>
    <row r="106" spans="1:7" x14ac:dyDescent="0.25">
      <c r="A106" s="5"/>
      <c r="B106" s="9" t="s">
        <v>227</v>
      </c>
      <c r="C106" s="12"/>
      <c r="D106" s="15" t="s">
        <v>8</v>
      </c>
      <c r="E106" s="4"/>
      <c r="F106" s="4"/>
      <c r="G106" s="4"/>
    </row>
    <row r="107" spans="1:7" x14ac:dyDescent="0.25">
      <c r="A107" s="5"/>
      <c r="B107" s="9" t="s">
        <v>36</v>
      </c>
      <c r="C107" s="12"/>
      <c r="D107" s="15" t="s">
        <v>8</v>
      </c>
      <c r="E107" s="4"/>
      <c r="F107" s="4"/>
      <c r="G107" s="4"/>
    </row>
    <row r="108" spans="1:7" x14ac:dyDescent="0.25">
      <c r="A108" s="5"/>
      <c r="B108" s="9" t="s">
        <v>28</v>
      </c>
      <c r="C108" s="33">
        <v>0</v>
      </c>
      <c r="D108" s="17">
        <v>0</v>
      </c>
      <c r="E108" s="4"/>
      <c r="F108" s="4"/>
      <c r="G108" s="4"/>
    </row>
    <row r="109" spans="1:7" x14ac:dyDescent="0.25">
      <c r="A109" s="5"/>
      <c r="B109" s="8"/>
      <c r="C109" s="8"/>
      <c r="D109" s="8"/>
      <c r="E109" s="4"/>
      <c r="F109" s="4"/>
      <c r="G109" s="4"/>
    </row>
    <row r="110" spans="1:7" x14ac:dyDescent="0.25">
      <c r="A110" s="144"/>
      <c r="B110" s="8"/>
      <c r="C110" s="8"/>
      <c r="D110" s="8"/>
      <c r="E110" s="4"/>
      <c r="F110" s="4"/>
      <c r="G110" s="4"/>
    </row>
    <row r="111" spans="1:7" x14ac:dyDescent="0.25">
      <c r="A111" s="144"/>
      <c r="B111" s="8"/>
      <c r="C111" s="8"/>
      <c r="D111" s="8"/>
      <c r="E111" s="4"/>
      <c r="F111" s="4"/>
      <c r="G111" s="4"/>
    </row>
    <row r="112" spans="1:7" x14ac:dyDescent="0.25">
      <c r="A112" s="144"/>
      <c r="B112" s="4"/>
      <c r="C112" s="4"/>
      <c r="D112" s="4"/>
      <c r="E112" s="4"/>
      <c r="F112" s="4"/>
      <c r="G112" s="4"/>
    </row>
    <row r="113" spans="1:7" x14ac:dyDescent="0.25">
      <c r="A113" s="144"/>
      <c r="B113" s="4"/>
      <c r="C113" s="4"/>
      <c r="D113" s="4"/>
      <c r="E113" s="4"/>
      <c r="F113" s="4"/>
      <c r="G113" s="4"/>
    </row>
    <row r="114" spans="1:7" x14ac:dyDescent="0.25">
      <c r="A114" s="5"/>
      <c r="B114" s="4"/>
      <c r="C114" s="4"/>
      <c r="D114" s="4"/>
      <c r="E114" s="4"/>
      <c r="F114" s="4"/>
      <c r="G114" s="4"/>
    </row>
  </sheetData>
  <sheetProtection formatCells="0"/>
  <mergeCells count="1">
    <mergeCell ref="A1:M2"/>
  </mergeCells>
  <conditionalFormatting sqref="C19:E29">
    <cfRule type="expression" dxfId="2" priority="1">
      <formula>C$17="Percentage"</formula>
    </cfRule>
    <cfRule type="expression" dxfId="3" priority="2">
      <formula>C$13=""</formula>
    </cfRule>
  </conditionalFormatting>
  <dataValidations count="5">
    <dataValidation type="whole" allowBlank="1" showInputMessage="1" showErrorMessage="1" sqref="C15:F15 F17:F30 C18:E18" xr:uid="{690CB90B-91E8-4197-B458-55B49D10A7FF}">
      <formula1>0</formula1>
      <formula2>9E+99</formula2>
    </dataValidation>
    <dataValidation type="list" allowBlank="1" showInputMessage="1" showErrorMessage="1" sqref="C46" xr:uid="{FD93267E-61AE-46AC-ADAB-65C703C1C938}">
      <formula1>DB.Reference.cr.fitch</formula1>
    </dataValidation>
    <dataValidation type="list" allowBlank="1" showInputMessage="1" showErrorMessage="1" sqref="C45" xr:uid="{399F54EF-31E6-4CB9-AD9F-7608A10B37C5}">
      <formula1>DB.Reference.cr.moodys</formula1>
    </dataValidation>
    <dataValidation type="list" allowBlank="1" showInputMessage="1" showErrorMessage="1" sqref="C44" xr:uid="{ECD512F1-216C-4C71-88D5-97DD26B78805}">
      <formula1>DB.Reference.cr.sp</formula1>
    </dataValidation>
    <dataValidation type="whole" operator="greaterThanOrEqual" allowBlank="1" showInputMessage="1" showErrorMessage="1" sqref="C9" xr:uid="{9AD28022-DC7D-47D6-BDC8-941672534A3D}">
      <formula1>0</formula1>
    </dataValidation>
  </dataValidations>
  <pageMargins left="0.7" right="0.7" top="0.75" bottom="0.75" header="0.3" footer="0.3"/>
  <pageSetup scale="3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coverdetails">
    <pageSetUpPr fitToPage="1"/>
  </sheetPr>
  <dimension ref="A1:W39"/>
  <sheetViews>
    <sheetView showGridLines="0" topLeftCell="A2" zoomScaleNormal="100" workbookViewId="0">
      <pane ySplit="2" topLeftCell="A4" activePane="bottomLeft" state="frozen"/>
      <selection activeCell="I22" sqref="I22"/>
      <selection pane="bottomLeft" activeCell="A2" sqref="A2:M3"/>
    </sheetView>
  </sheetViews>
  <sheetFormatPr defaultColWidth="0" defaultRowHeight="31.5" customHeight="1" zeroHeight="1" x14ac:dyDescent="0.25"/>
  <cols>
    <col min="1" max="1" width="1.28515625" customWidth="1"/>
    <col min="2" max="2" width="3.28515625" customWidth="1"/>
    <col min="3" max="3" width="15.28515625" customWidth="1"/>
    <col min="4" max="4" width="12.7109375" customWidth="1"/>
    <col min="5" max="6" width="13" customWidth="1"/>
    <col min="7" max="7" width="1.7109375" customWidth="1"/>
    <col min="8" max="8" width="7.28515625" customWidth="1"/>
    <col min="9" max="10" width="21" customWidth="1"/>
    <col min="11" max="11" width="18.28515625" customWidth="1"/>
    <col min="12" max="12" width="8.7109375" hidden="1" customWidth="1"/>
    <col min="13" max="13" width="28.28515625" hidden="1" customWidth="1"/>
    <col min="14" max="15" width="11" hidden="1" customWidth="1"/>
    <col min="16" max="16" width="5.28515625" hidden="1" customWidth="1"/>
    <col min="17" max="17" width="11.7109375" hidden="1" customWidth="1"/>
    <col min="18" max="18" width="10.7109375" hidden="1" customWidth="1"/>
    <col min="19" max="22" width="8" hidden="1" customWidth="1"/>
    <col min="23" max="23" width="2" hidden="1" customWidth="1"/>
    <col min="24" max="16384" width="11" hidden="1"/>
  </cols>
  <sheetData>
    <row r="1" spans="1:13" ht="15" hidden="1" x14ac:dyDescent="0.25">
      <c r="A1" s="58">
        <v>1</v>
      </c>
      <c r="B1" s="58">
        <v>1</v>
      </c>
      <c r="C1" s="58">
        <v>1</v>
      </c>
      <c r="D1" s="58"/>
      <c r="E1" s="58">
        <v>1</v>
      </c>
      <c r="F1" s="80">
        <f>IF(DB.Exposure.Industry="Investment Managers",1,0)</f>
        <v>0</v>
      </c>
      <c r="G1" s="58">
        <v>1</v>
      </c>
      <c r="H1" s="58">
        <v>1</v>
      </c>
      <c r="I1" s="58">
        <v>1</v>
      </c>
      <c r="J1" s="59">
        <f>IF(DB.Exposure.Industry="Investment Managers",1,0)</f>
        <v>0</v>
      </c>
      <c r="K1" s="58">
        <v>1</v>
      </c>
    </row>
    <row r="2" spans="1:13" ht="14.25" customHeight="1" x14ac:dyDescent="0.25">
      <c r="A2" s="206" t="s">
        <v>260</v>
      </c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</row>
    <row r="3" spans="1:13" ht="14.25" customHeight="1" x14ac:dyDescent="0.25">
      <c r="A3" s="206"/>
      <c r="B3" s="206"/>
      <c r="C3" s="206"/>
      <c r="D3" s="206"/>
      <c r="E3" s="206"/>
      <c r="F3" s="206"/>
      <c r="G3" s="206"/>
      <c r="H3" s="206"/>
      <c r="I3" s="206"/>
      <c r="J3" s="206"/>
      <c r="K3" s="206"/>
      <c r="L3" s="206"/>
      <c r="M3" s="206"/>
    </row>
    <row r="4" spans="1:13" ht="30" customHeight="1" x14ac:dyDescent="0.25">
      <c r="A4" s="4"/>
      <c r="B4" s="145"/>
      <c r="C4" s="37" t="s">
        <v>8</v>
      </c>
      <c r="D4" s="4"/>
      <c r="E4" s="4"/>
      <c r="F4" s="4"/>
      <c r="G4" s="4"/>
      <c r="H4" s="4"/>
      <c r="I4" s="4"/>
      <c r="J4" s="4"/>
      <c r="K4" s="6"/>
    </row>
    <row r="5" spans="1:13" ht="15" x14ac:dyDescent="0.25">
      <c r="A5" s="5"/>
      <c r="B5" s="144"/>
      <c r="C5" s="66" t="s">
        <v>187</v>
      </c>
      <c r="D5" s="18"/>
      <c r="E5" s="7">
        <f>IF(DB.Exposure.Industry="Investment managers","Manager",DB.Exposure.Industry)</f>
        <v>0</v>
      </c>
      <c r="F5" s="7" t="str">
        <f>IF(DB.Exposure.Industry="Investment managers","Funds","")</f>
        <v/>
      </c>
      <c r="G5" s="6"/>
      <c r="H5" s="6"/>
      <c r="I5" s="7" t="str">
        <f>IF(DB.Exposure.Industry="Investment managers","SIR - Manager ("&amp;DB.CoverDetails.CCY.Cover&amp;")","SIR ("&amp;DB.CoverDetails.CCY.Cover&amp;")")</f>
        <v>SIR ()</v>
      </c>
      <c r="J5" s="7" t="str">
        <f>IF(DB.Exposure.Industry="Investment Managers","SIR - Funds ("&amp;DB.CoverDetails.CCY.Cover&amp;")","")</f>
        <v/>
      </c>
      <c r="K5" s="6"/>
    </row>
    <row r="6" spans="1:13" ht="15" x14ac:dyDescent="0.25">
      <c r="A6" s="5"/>
      <c r="B6" s="144"/>
      <c r="C6" s="228" t="s">
        <v>16</v>
      </c>
      <c r="D6" s="229"/>
      <c r="E6" s="20"/>
      <c r="F6" s="20"/>
      <c r="G6" s="6"/>
      <c r="H6" s="6"/>
      <c r="I6" s="149"/>
      <c r="J6" s="149"/>
      <c r="K6" s="6"/>
    </row>
    <row r="7" spans="1:13" ht="15" x14ac:dyDescent="0.25">
      <c r="A7" s="5"/>
      <c r="B7" s="144"/>
      <c r="C7" s="228" t="s">
        <v>17</v>
      </c>
      <c r="D7" s="229"/>
      <c r="E7" s="20"/>
      <c r="F7" s="20"/>
      <c r="G7" s="6"/>
      <c r="H7" s="6"/>
      <c r="I7" s="149"/>
      <c r="J7" s="149"/>
      <c r="K7" s="6"/>
    </row>
    <row r="8" spans="1:13" ht="15" x14ac:dyDescent="0.25">
      <c r="A8" s="5"/>
      <c r="B8" s="144"/>
      <c r="C8" s="9" t="s">
        <v>18</v>
      </c>
      <c r="D8" s="20"/>
      <c r="E8" s="20"/>
      <c r="F8" s="20"/>
      <c r="G8" s="6"/>
      <c r="H8" s="86" t="str">
        <f>IF(DB.CoverDetails.DandoType="A","",IF(OR(DB.CoverDetails.DandoType="ABC",DB.CoverDetails.DandoType="AB"),"Side B",""))</f>
        <v/>
      </c>
      <c r="I8" s="149"/>
      <c r="J8" s="149"/>
      <c r="K8" s="6"/>
    </row>
    <row r="9" spans="1:13" ht="15" x14ac:dyDescent="0.25">
      <c r="A9" s="5"/>
      <c r="B9" s="5"/>
      <c r="C9" s="5"/>
      <c r="D9" s="5"/>
      <c r="E9" s="4"/>
      <c r="F9" s="4"/>
      <c r="G9" s="85"/>
      <c r="H9" s="86" t="str">
        <f>IF(DB.CoverDetails.DandoType="ABC","Side C","")</f>
        <v/>
      </c>
      <c r="I9" s="149" t="s">
        <v>8</v>
      </c>
      <c r="J9" s="149" t="s">
        <v>8</v>
      </c>
      <c r="K9" s="57"/>
    </row>
    <row r="10" spans="1:13" ht="15" x14ac:dyDescent="0.25">
      <c r="A10" s="5"/>
      <c r="B10" s="144"/>
      <c r="C10" s="18" t="s">
        <v>59</v>
      </c>
      <c r="D10" s="18"/>
      <c r="E10" s="4"/>
      <c r="F10" s="6"/>
      <c r="G10" s="6"/>
      <c r="H10" s="6"/>
      <c r="I10" s="6"/>
      <c r="J10" s="6"/>
      <c r="K10" s="6"/>
    </row>
    <row r="11" spans="1:13" ht="15" x14ac:dyDescent="0.25">
      <c r="A11" s="5"/>
      <c r="B11" s="144"/>
      <c r="C11" s="9" t="s">
        <v>147</v>
      </c>
      <c r="D11" s="9"/>
      <c r="E11" s="20"/>
      <c r="F11" s="6"/>
      <c r="G11" s="6"/>
      <c r="H11" s="6"/>
      <c r="I11" s="6"/>
      <c r="J11" s="6"/>
      <c r="K11" s="6"/>
    </row>
    <row r="12" spans="1:13" ht="15" x14ac:dyDescent="0.25">
      <c r="A12" s="5"/>
      <c r="B12" s="144"/>
      <c r="C12" s="9" t="s">
        <v>60</v>
      </c>
      <c r="D12" s="9"/>
      <c r="E12" s="20"/>
      <c r="F12" s="6"/>
      <c r="G12" s="6"/>
      <c r="H12" s="6"/>
      <c r="I12" s="6"/>
      <c r="J12" s="6"/>
      <c r="K12" s="6"/>
    </row>
    <row r="13" spans="1:13" ht="15" x14ac:dyDescent="0.25">
      <c r="A13" s="5"/>
      <c r="B13" s="144"/>
      <c r="C13" s="9" t="s">
        <v>156</v>
      </c>
      <c r="D13" s="9"/>
      <c r="E13" s="20" t="str">
        <f>IF(DB.CoverDetails.SubLimitsRequired=TRUE,"Yes","No")</f>
        <v>No</v>
      </c>
      <c r="F13" s="203"/>
      <c r="G13" s="6"/>
      <c r="H13" s="6"/>
      <c r="I13" s="6"/>
      <c r="J13" s="6"/>
      <c r="K13" s="6"/>
    </row>
    <row r="14" spans="1:13" ht="15" x14ac:dyDescent="0.25">
      <c r="A14" s="5"/>
      <c r="B14" s="144"/>
      <c r="C14" s="9" t="s">
        <v>110</v>
      </c>
      <c r="D14" s="9"/>
      <c r="E14" s="55"/>
      <c r="F14" s="4"/>
      <c r="G14" s="4"/>
      <c r="H14" s="4"/>
      <c r="I14" s="4"/>
      <c r="J14" s="4"/>
      <c r="K14" s="6"/>
    </row>
    <row r="15" spans="1:13" ht="15" x14ac:dyDescent="0.25">
      <c r="A15" s="5"/>
      <c r="B15" s="144"/>
      <c r="C15" s="9" t="s">
        <v>111</v>
      </c>
      <c r="D15" s="9"/>
      <c r="E15" s="55"/>
      <c r="F15" s="4"/>
      <c r="G15" s="4"/>
      <c r="H15" s="4"/>
      <c r="I15" s="4"/>
      <c r="J15" s="4"/>
      <c r="K15" s="6"/>
    </row>
    <row r="16" spans="1:13" ht="15" x14ac:dyDescent="0.25">
      <c r="A16" s="5"/>
      <c r="B16" s="144"/>
      <c r="C16" s="9" t="s">
        <v>109</v>
      </c>
      <c r="D16" s="9"/>
      <c r="E16" s="55"/>
      <c r="F16" s="4"/>
      <c r="G16" s="4"/>
      <c r="H16" s="4"/>
      <c r="I16" s="6"/>
      <c r="J16" s="4"/>
      <c r="K16" s="6"/>
    </row>
    <row r="17" spans="1:11" ht="15" x14ac:dyDescent="0.25">
      <c r="A17" s="5"/>
      <c r="B17" s="144"/>
      <c r="C17" s="4"/>
      <c r="D17" s="4"/>
      <c r="E17" s="4"/>
      <c r="F17" s="4"/>
      <c r="G17" s="4"/>
      <c r="H17" s="4"/>
      <c r="I17" s="4"/>
      <c r="J17" s="4"/>
      <c r="K17" s="6"/>
    </row>
    <row r="18" spans="1:11" ht="15" x14ac:dyDescent="0.25">
      <c r="A18" s="5"/>
      <c r="B18" s="144"/>
      <c r="C18" s="230" t="s">
        <v>61</v>
      </c>
      <c r="D18" s="230"/>
      <c r="E18" s="20"/>
      <c r="F18" s="6"/>
      <c r="G18" s="6"/>
      <c r="H18" s="6"/>
      <c r="I18" s="6"/>
      <c r="J18" s="6"/>
      <c r="K18" s="6"/>
    </row>
    <row r="19" spans="1:11" ht="20.25" customHeight="1" x14ac:dyDescent="0.25">
      <c r="A19" s="5"/>
      <c r="B19" s="144"/>
      <c r="C19" s="18" t="s">
        <v>189</v>
      </c>
      <c r="D19" s="4"/>
      <c r="E19" s="6"/>
      <c r="F19" s="6"/>
      <c r="G19" s="6"/>
      <c r="H19" s="6"/>
      <c r="I19" s="6"/>
      <c r="J19" s="6"/>
      <c r="K19" s="6"/>
    </row>
    <row r="20" spans="1:11" ht="15" x14ac:dyDescent="0.25">
      <c r="A20" s="5"/>
      <c r="B20" s="144"/>
      <c r="C20" s="230" t="s">
        <v>157</v>
      </c>
      <c r="D20" s="230"/>
      <c r="E20" s="20"/>
      <c r="F20" s="6"/>
      <c r="G20" s="4"/>
      <c r="H20" s="6"/>
      <c r="I20" s="6"/>
      <c r="J20" s="6"/>
      <c r="K20" s="6"/>
    </row>
    <row r="21" spans="1:11" ht="15" x14ac:dyDescent="0.25">
      <c r="A21" s="5"/>
      <c r="B21" s="144"/>
      <c r="C21" s="230" t="s">
        <v>161</v>
      </c>
      <c r="D21" s="230"/>
      <c r="E21" s="20"/>
      <c r="F21" s="6"/>
      <c r="G21" s="4"/>
      <c r="H21" s="6"/>
      <c r="I21" s="6"/>
      <c r="J21" s="6"/>
      <c r="K21" s="6"/>
    </row>
    <row r="22" spans="1:11" ht="15" x14ac:dyDescent="0.25">
      <c r="A22" s="5"/>
      <c r="B22" s="144"/>
      <c r="C22" s="4"/>
      <c r="D22" s="4"/>
      <c r="E22" s="4"/>
      <c r="F22" s="4"/>
      <c r="G22" s="4"/>
      <c r="H22" s="4"/>
      <c r="I22" s="4"/>
      <c r="J22" s="4"/>
      <c r="K22" s="6"/>
    </row>
    <row r="23" spans="1:11" ht="15" x14ac:dyDescent="0.25">
      <c r="A23" s="5"/>
      <c r="B23" s="144"/>
      <c r="C23" s="4"/>
      <c r="D23" s="4"/>
      <c r="E23" s="4"/>
      <c r="F23" s="4"/>
      <c r="G23" s="4"/>
      <c r="H23" s="24"/>
      <c r="I23" s="4"/>
      <c r="J23" s="4"/>
      <c r="K23" s="6"/>
    </row>
    <row r="24" spans="1:11" ht="15" x14ac:dyDescent="0.25">
      <c r="A24" s="5"/>
      <c r="B24" s="144"/>
      <c r="C24" s="18" t="s">
        <v>189</v>
      </c>
      <c r="D24" s="18"/>
      <c r="E24" s="4"/>
      <c r="F24" s="4"/>
      <c r="G24" s="4"/>
      <c r="H24" s="4"/>
      <c r="I24" s="4"/>
      <c r="J24" s="4"/>
      <c r="K24" s="6"/>
    </row>
    <row r="25" spans="1:11" ht="15" x14ac:dyDescent="0.25">
      <c r="A25" s="5"/>
      <c r="B25" s="144"/>
      <c r="C25" s="6" t="s">
        <v>62</v>
      </c>
      <c r="D25" s="6"/>
      <c r="E25" s="4"/>
      <c r="F25" s="4"/>
      <c r="G25" s="4"/>
      <c r="H25" s="4"/>
      <c r="I25" s="4"/>
      <c r="J25" s="4"/>
      <c r="K25" s="6"/>
    </row>
    <row r="26" spans="1:11" ht="15" x14ac:dyDescent="0.25">
      <c r="A26" s="5"/>
      <c r="B26" s="144"/>
      <c r="C26" s="228" t="s">
        <v>158</v>
      </c>
      <c r="D26" s="229"/>
      <c r="E26" s="56"/>
      <c r="F26" s="4"/>
      <c r="G26" s="4"/>
      <c r="H26" s="4"/>
      <c r="I26" s="4"/>
      <c r="J26" s="4"/>
      <c r="K26" s="6"/>
    </row>
    <row r="27" spans="1:11" ht="15" x14ac:dyDescent="0.25">
      <c r="A27" s="5"/>
      <c r="B27" s="144"/>
      <c r="C27" s="228" t="s">
        <v>159</v>
      </c>
      <c r="D27" s="229"/>
      <c r="E27" s="56"/>
      <c r="F27" s="4"/>
      <c r="G27" s="4"/>
      <c r="H27" s="4"/>
      <c r="I27" s="4"/>
      <c r="J27" s="4"/>
      <c r="K27" s="6"/>
    </row>
    <row r="28" spans="1:11" ht="15" x14ac:dyDescent="0.25">
      <c r="A28" s="5"/>
      <c r="B28" s="144"/>
      <c r="C28" s="228" t="s">
        <v>160</v>
      </c>
      <c r="D28" s="229"/>
      <c r="E28" s="56"/>
      <c r="F28" s="4"/>
      <c r="G28" s="4"/>
      <c r="H28" s="4"/>
      <c r="I28" s="4"/>
      <c r="J28" s="4"/>
      <c r="K28" s="6"/>
    </row>
    <row r="29" spans="1:11" ht="15" x14ac:dyDescent="0.25">
      <c r="A29" s="5"/>
      <c r="B29" s="144"/>
      <c r="C29" s="4"/>
      <c r="D29" s="4"/>
      <c r="E29" s="4"/>
      <c r="F29" s="4"/>
      <c r="G29" s="4"/>
      <c r="H29" s="4"/>
      <c r="I29" s="4"/>
      <c r="J29" s="4"/>
      <c r="K29" s="6"/>
    </row>
    <row r="30" spans="1:11" ht="15" x14ac:dyDescent="0.25">
      <c r="A30" s="5"/>
      <c r="B30" s="144"/>
      <c r="C30" s="6" t="s">
        <v>63</v>
      </c>
      <c r="D30" s="6"/>
      <c r="E30" s="5"/>
      <c r="F30" s="4"/>
      <c r="G30" s="4"/>
      <c r="H30" s="4"/>
      <c r="I30" s="4"/>
      <c r="J30" s="4"/>
      <c r="K30" s="6"/>
    </row>
    <row r="31" spans="1:11" ht="15" x14ac:dyDescent="0.25">
      <c r="A31" s="5"/>
      <c r="B31" s="5"/>
      <c r="C31" s="63" t="s">
        <v>188</v>
      </c>
      <c r="D31" s="64"/>
      <c r="E31" s="56"/>
      <c r="F31" s="4"/>
      <c r="G31" s="4"/>
      <c r="H31" s="4"/>
      <c r="I31" s="4"/>
      <c r="J31" s="4"/>
      <c r="K31" s="6"/>
    </row>
    <row r="32" spans="1:11" ht="15" x14ac:dyDescent="0.25">
      <c r="A32" s="5"/>
      <c r="B32" s="5"/>
      <c r="C32" s="63" t="s">
        <v>197</v>
      </c>
      <c r="D32" s="64"/>
      <c r="E32" s="87"/>
      <c r="F32" s="4"/>
      <c r="G32" s="4"/>
      <c r="H32" s="4"/>
      <c r="I32" s="4"/>
      <c r="J32" s="4"/>
      <c r="K32" s="6"/>
    </row>
    <row r="33" spans="1:11" ht="15" x14ac:dyDescent="0.25">
      <c r="A33" s="5"/>
      <c r="B33" s="144"/>
      <c r="C33" s="228" t="s">
        <v>16</v>
      </c>
      <c r="D33" s="229"/>
      <c r="E33" s="56"/>
      <c r="F33" s="4"/>
      <c r="G33" s="4"/>
      <c r="H33" s="4"/>
      <c r="I33" s="4"/>
      <c r="J33" s="4"/>
      <c r="K33" s="6"/>
    </row>
    <row r="34" spans="1:11" ht="15" x14ac:dyDescent="0.25">
      <c r="A34" s="5"/>
      <c r="B34" s="144"/>
      <c r="C34" s="228" t="s">
        <v>17</v>
      </c>
      <c r="D34" s="229"/>
      <c r="E34" s="56"/>
      <c r="F34" s="4"/>
      <c r="G34" s="4"/>
      <c r="H34" s="4"/>
      <c r="I34" s="4"/>
      <c r="J34" s="4"/>
      <c r="K34" s="6"/>
    </row>
    <row r="35" spans="1:11" ht="15" x14ac:dyDescent="0.25">
      <c r="A35" s="5"/>
      <c r="B35" s="144"/>
      <c r="C35" s="228" t="s">
        <v>18</v>
      </c>
      <c r="D35" s="229"/>
      <c r="E35" s="56"/>
      <c r="F35" s="4"/>
      <c r="G35" s="4"/>
      <c r="H35" s="4"/>
      <c r="I35" s="4"/>
      <c r="J35" s="4"/>
      <c r="K35" s="6"/>
    </row>
    <row r="36" spans="1:11" ht="15" x14ac:dyDescent="0.25">
      <c r="A36" s="4"/>
      <c r="B36" s="145"/>
      <c r="C36" s="37"/>
      <c r="D36" s="4"/>
      <c r="E36" s="84"/>
      <c r="F36" s="4"/>
      <c r="G36" s="4"/>
      <c r="H36" s="4"/>
      <c r="I36" s="4"/>
      <c r="J36" s="4"/>
      <c r="K36" s="6"/>
    </row>
    <row r="37" spans="1:11" ht="15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</row>
    <row r="38" spans="1:11" ht="15" hidden="1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</row>
    <row r="39" spans="1:11" ht="15" hidden="1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</row>
  </sheetData>
  <sheetProtection formatCells="0"/>
  <mergeCells count="12">
    <mergeCell ref="C21:D21"/>
    <mergeCell ref="C33:D33"/>
    <mergeCell ref="C34:D34"/>
    <mergeCell ref="C35:D35"/>
    <mergeCell ref="C26:D26"/>
    <mergeCell ref="C27:D27"/>
    <mergeCell ref="C28:D28"/>
    <mergeCell ref="C6:D6"/>
    <mergeCell ref="C7:D7"/>
    <mergeCell ref="C18:D18"/>
    <mergeCell ref="C20:D20"/>
    <mergeCell ref="A2:M3"/>
  </mergeCells>
  <pageMargins left="0.7" right="0.7" top="0.75" bottom="0.75" header="0.3" footer="0.3"/>
  <pageSetup orientation="landscape" r:id="rId1"/>
  <ignoredErrors>
    <ignoredError sqref="E13" unlocked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RiskAssessment">
    <pageSetUpPr fitToPage="1"/>
  </sheetPr>
  <dimension ref="A1:U28"/>
  <sheetViews>
    <sheetView zoomScale="90" zoomScaleNormal="90" workbookViewId="0">
      <pane ySplit="2" topLeftCell="A3" activePane="bottomLeft" state="frozen"/>
      <selection pane="bottomLeft" sqref="A1:M2"/>
    </sheetView>
  </sheetViews>
  <sheetFormatPr defaultColWidth="0" defaultRowHeight="15" zeroHeight="1" x14ac:dyDescent="0.25"/>
  <cols>
    <col min="1" max="1" width="4" customWidth="1"/>
    <col min="2" max="2" width="44" bestFit="1" customWidth="1"/>
    <col min="3" max="3" width="29.28515625" bestFit="1" customWidth="1"/>
    <col min="4" max="4" width="66.28515625" bestFit="1" customWidth="1"/>
    <col min="5" max="5" width="9.28515625" customWidth="1"/>
    <col min="6" max="6" width="12" hidden="1" customWidth="1"/>
    <col min="7" max="7" width="4.28515625" hidden="1" customWidth="1"/>
    <col min="8" max="8" width="6.7109375" hidden="1" customWidth="1"/>
    <col min="9" max="9" width="10.7109375" hidden="1" customWidth="1"/>
    <col min="10" max="10" width="12.28515625" hidden="1" customWidth="1"/>
    <col min="11" max="11" width="11.28515625" hidden="1" customWidth="1"/>
    <col min="12" max="12" width="6.28515625" hidden="1" customWidth="1"/>
    <col min="13" max="13" width="18.7109375" hidden="1" customWidth="1"/>
    <col min="14" max="14" width="6.28515625" hidden="1" customWidth="1"/>
    <col min="15" max="15" width="2.7109375" hidden="1" customWidth="1"/>
    <col min="16" max="17" width="5.28515625" hidden="1" customWidth="1"/>
    <col min="18" max="18" width="5.7109375" hidden="1" customWidth="1"/>
    <col min="19" max="19" width="9.28515625" hidden="1" customWidth="1"/>
    <col min="20" max="21" width="13.28515625" hidden="1" customWidth="1"/>
    <col min="22" max="16384" width="8.7109375" hidden="1"/>
  </cols>
  <sheetData>
    <row r="1" spans="1:13" ht="15" customHeight="1" x14ac:dyDescent="0.25">
      <c r="A1" s="206" t="s">
        <v>260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</row>
    <row r="2" spans="1:13" ht="15" customHeight="1" x14ac:dyDescent="0.25">
      <c r="A2" s="206"/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</row>
    <row r="3" spans="1:13" x14ac:dyDescent="0.25">
      <c r="A3" s="4"/>
      <c r="B3" s="4"/>
      <c r="C3" s="4"/>
      <c r="D3" s="4"/>
      <c r="E3" s="4"/>
    </row>
    <row r="4" spans="1:13" x14ac:dyDescent="0.25">
      <c r="A4" s="30"/>
      <c r="B4" s="31" t="s">
        <v>53</v>
      </c>
      <c r="C4" s="31" t="s">
        <v>54</v>
      </c>
      <c r="D4" s="31" t="s">
        <v>11</v>
      </c>
      <c r="E4" s="30"/>
    </row>
    <row r="5" spans="1:13" x14ac:dyDescent="0.25">
      <c r="A5" s="4"/>
      <c r="B5" s="9" t="s">
        <v>58</v>
      </c>
      <c r="C5" s="19"/>
      <c r="D5" s="19"/>
      <c r="E5" s="4"/>
    </row>
    <row r="6" spans="1:13" x14ac:dyDescent="0.25">
      <c r="A6" s="4"/>
      <c r="B6" s="9" t="s">
        <v>154</v>
      </c>
      <c r="C6" s="19"/>
      <c r="D6" s="19"/>
      <c r="E6" s="4"/>
    </row>
    <row r="7" spans="1:13" x14ac:dyDescent="0.25">
      <c r="A7" s="4"/>
      <c r="B7" s="9" t="s">
        <v>155</v>
      </c>
      <c r="C7" s="19"/>
      <c r="D7" s="79"/>
      <c r="E7" s="4"/>
    </row>
    <row r="8" spans="1:13" x14ac:dyDescent="0.25">
      <c r="A8" s="4"/>
      <c r="B8" s="9" t="s">
        <v>125</v>
      </c>
      <c r="C8" s="19"/>
      <c r="D8" s="19"/>
      <c r="E8" s="4"/>
    </row>
    <row r="9" spans="1:13" x14ac:dyDescent="0.25">
      <c r="A9" s="4"/>
      <c r="B9" s="9" t="s">
        <v>55</v>
      </c>
      <c r="C9" s="19"/>
      <c r="D9" s="19"/>
      <c r="E9" s="4"/>
    </row>
    <row r="10" spans="1:13" x14ac:dyDescent="0.25">
      <c r="A10" s="4"/>
      <c r="B10" s="9" t="s">
        <v>56</v>
      </c>
      <c r="C10" s="19"/>
      <c r="D10" s="19"/>
      <c r="E10" s="4"/>
    </row>
    <row r="11" spans="1:13" x14ac:dyDescent="0.25">
      <c r="A11" s="4"/>
      <c r="B11" s="9" t="s">
        <v>119</v>
      </c>
      <c r="C11" s="19"/>
      <c r="D11" s="19"/>
      <c r="E11" s="4"/>
    </row>
    <row r="12" spans="1:13" x14ac:dyDescent="0.25">
      <c r="A12" s="4"/>
      <c r="B12" s="9" t="s">
        <v>140</v>
      </c>
      <c r="C12" s="19"/>
      <c r="D12" s="19"/>
      <c r="E12" s="4"/>
    </row>
    <row r="13" spans="1:13" x14ac:dyDescent="0.25">
      <c r="A13" s="4"/>
      <c r="B13" s="9" t="s">
        <v>120</v>
      </c>
      <c r="C13" s="19"/>
      <c r="D13" s="79"/>
      <c r="E13" s="4"/>
    </row>
    <row r="14" spans="1:13" x14ac:dyDescent="0.25">
      <c r="A14" s="4"/>
      <c r="B14" s="9" t="s">
        <v>57</v>
      </c>
      <c r="C14" s="19"/>
      <c r="D14" s="19"/>
      <c r="E14" s="4"/>
    </row>
    <row r="15" spans="1:13" x14ac:dyDescent="0.25">
      <c r="A15" s="4"/>
      <c r="B15" s="9" t="s">
        <v>121</v>
      </c>
      <c r="C15" s="19"/>
      <c r="D15" s="19"/>
      <c r="E15" s="4"/>
    </row>
    <row r="16" spans="1:13" x14ac:dyDescent="0.25">
      <c r="A16" s="4"/>
      <c r="B16" s="9" t="s">
        <v>122</v>
      </c>
      <c r="C16" s="19"/>
      <c r="D16" s="19"/>
      <c r="E16" s="4"/>
    </row>
    <row r="17" spans="1:5" x14ac:dyDescent="0.25">
      <c r="A17" s="4"/>
      <c r="B17" s="9" t="s">
        <v>141</v>
      </c>
      <c r="C17" s="19"/>
      <c r="D17" s="19"/>
      <c r="E17" s="4"/>
    </row>
    <row r="18" spans="1:5" x14ac:dyDescent="0.25">
      <c r="A18" s="4"/>
      <c r="B18" s="9" t="s">
        <v>163</v>
      </c>
      <c r="C18" s="19"/>
      <c r="D18" s="79"/>
      <c r="E18" s="4"/>
    </row>
    <row r="19" spans="1:5" x14ac:dyDescent="0.25">
      <c r="A19" s="4"/>
      <c r="B19" s="9" t="s">
        <v>123</v>
      </c>
      <c r="C19" s="19"/>
      <c r="D19" s="19"/>
      <c r="E19" s="4"/>
    </row>
    <row r="20" spans="1:5" x14ac:dyDescent="0.25">
      <c r="A20" s="4"/>
      <c r="B20" s="9" t="s">
        <v>124</v>
      </c>
      <c r="C20" s="19"/>
      <c r="D20" s="19"/>
      <c r="E20" s="4"/>
    </row>
    <row r="21" spans="1:5" x14ac:dyDescent="0.25">
      <c r="A21" s="4"/>
      <c r="B21" s="9" t="s">
        <v>143</v>
      </c>
      <c r="C21" s="19"/>
      <c r="D21" s="19"/>
      <c r="E21" s="4"/>
    </row>
    <row r="22" spans="1:5" x14ac:dyDescent="0.25">
      <c r="A22" s="4"/>
      <c r="B22" s="9" t="s">
        <v>142</v>
      </c>
      <c r="C22" s="19"/>
      <c r="D22" s="19"/>
      <c r="E22" s="4"/>
    </row>
    <row r="23" spans="1:5" x14ac:dyDescent="0.25">
      <c r="A23" s="4"/>
      <c r="B23" s="9" t="s">
        <v>144</v>
      </c>
      <c r="C23" s="19"/>
      <c r="D23" s="19"/>
      <c r="E23" s="4"/>
    </row>
    <row r="24" spans="1:5" x14ac:dyDescent="0.25">
      <c r="A24" s="4"/>
      <c r="B24" s="9" t="s">
        <v>145</v>
      </c>
      <c r="C24" s="19"/>
      <c r="D24" s="19"/>
      <c r="E24" s="4"/>
    </row>
    <row r="25" spans="1:5" x14ac:dyDescent="0.25">
      <c r="A25" s="4"/>
      <c r="B25" s="9" t="s">
        <v>146</v>
      </c>
      <c r="C25" s="19"/>
      <c r="D25" s="19"/>
      <c r="E25" s="4"/>
    </row>
    <row r="26" spans="1:5" x14ac:dyDescent="0.25">
      <c r="A26" s="4"/>
      <c r="B26" s="9" t="s">
        <v>219</v>
      </c>
      <c r="C26" s="19"/>
      <c r="D26" s="19"/>
      <c r="E26" s="4"/>
    </row>
    <row r="27" spans="1:5" x14ac:dyDescent="0.25">
      <c r="A27" s="4"/>
      <c r="B27" s="9" t="s">
        <v>165</v>
      </c>
      <c r="C27" s="39"/>
      <c r="D27" s="79"/>
      <c r="E27" s="4"/>
    </row>
    <row r="28" spans="1:5" x14ac:dyDescent="0.25">
      <c r="A28" s="4"/>
      <c r="B28" s="4"/>
      <c r="C28" s="4"/>
      <c r="D28" s="4"/>
      <c r="E28" s="4"/>
    </row>
  </sheetData>
  <sheetProtection formatCells="0"/>
  <mergeCells count="1">
    <mergeCell ref="A1:M2"/>
  </mergeCells>
  <pageMargins left="0.7" right="0.7" top="0.75" bottom="0.75" header="0.3" footer="0.3"/>
  <pageSetup paperSize="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RatingSummary">
    <pageSetUpPr fitToPage="1"/>
  </sheetPr>
  <dimension ref="A1:XFC46"/>
  <sheetViews>
    <sheetView zoomScaleNormal="100" workbookViewId="0">
      <pane ySplit="2" topLeftCell="A13" activePane="bottomLeft" state="frozen"/>
      <selection pane="bottomLeft" activeCell="X30" sqref="X30"/>
    </sheetView>
  </sheetViews>
  <sheetFormatPr defaultColWidth="0" defaultRowHeight="15" zeroHeight="1" x14ac:dyDescent="0.25"/>
  <cols>
    <col min="1" max="1" width="1.7109375" customWidth="1"/>
    <col min="2" max="2" width="3.28515625" bestFit="1" customWidth="1"/>
    <col min="3" max="3" width="16.7109375" customWidth="1"/>
    <col min="4" max="9" width="14.85546875" customWidth="1"/>
    <col min="10" max="10" width="1.28515625" customWidth="1"/>
    <col min="11" max="11" width="2.28515625" customWidth="1"/>
    <col min="12" max="12" width="7.7109375" customWidth="1"/>
    <col min="13" max="13" width="7.28515625" customWidth="1"/>
    <col min="14" max="17" width="6.28515625" customWidth="1"/>
    <col min="18" max="18" width="1.28515625" customWidth="1"/>
    <col min="19" max="19" width="11" customWidth="1"/>
    <col min="20" max="20" width="7.28515625" customWidth="1"/>
    <col min="21" max="23" width="6.28515625" customWidth="1"/>
    <col min="24" max="24" width="8" customWidth="1"/>
    <col min="25" max="25" width="8.7109375" customWidth="1"/>
    <col min="26" max="31" width="9.28515625" customWidth="1"/>
    <col min="32" max="32" width="2.28515625" customWidth="1"/>
    <col min="33" max="38" width="9.28515625" customWidth="1"/>
    <col min="39" max="39" width="1.7109375" customWidth="1"/>
    <col min="40" max="45" width="9.28515625" customWidth="1"/>
    <col min="46" max="46" width="1" customWidth="1"/>
    <col min="47" max="47" width="9.28515625" customWidth="1"/>
    <col min="48" max="50" width="11.7109375" customWidth="1"/>
    <col min="51" max="51" width="8" customWidth="1"/>
    <col min="52" max="52" width="8.7109375" customWidth="1"/>
    <col min="53" max="54" width="7" customWidth="1"/>
    <col min="55" max="55" width="1.28515625" customWidth="1"/>
    <col min="56" max="56" width="9" customWidth="1"/>
    <col min="57" max="58" width="8.7109375" customWidth="1"/>
    <col min="59" max="61" width="7.7109375" customWidth="1"/>
    <col min="62" max="62" width="0.7109375" customWidth="1"/>
    <col min="63" max="63" width="7.7109375" customWidth="1"/>
    <col min="64" max="64" width="1.7109375" customWidth="1"/>
    <col min="65" max="65" width="8.28515625" bestFit="1" customWidth="1"/>
    <col min="66" max="66" width="8.28515625" customWidth="1"/>
    <col min="67" max="67" width="9.7109375" customWidth="1"/>
    <col min="68" max="68" width="8.7109375" customWidth="1"/>
    <col min="69" max="69" width="1.7109375" customWidth="1"/>
    <col min="70" max="70" width="10.28515625" customWidth="1"/>
    <col min="71" max="72" width="10.28515625" bestFit="1" customWidth="1"/>
    <col min="73" max="74" width="8.7109375" customWidth="1"/>
    <col min="75" max="75" width="7.28515625" bestFit="1" customWidth="1"/>
    <col min="76" max="76" width="1.7109375" customWidth="1"/>
    <col min="77" max="77" width="10.28515625" customWidth="1"/>
    <col min="78" max="79" width="15.7109375" customWidth="1"/>
    <col min="80" max="80" width="14.28515625" customWidth="1"/>
    <col min="81" max="82" width="12.7109375" customWidth="1"/>
    <col min="83" max="83" width="14.28515625" customWidth="1"/>
    <col min="84" max="84" width="12.28515625" customWidth="1"/>
    <col min="85" max="85" width="9" customWidth="1"/>
    <col min="86" max="87" width="2.28515625" hidden="1"/>
    <col min="88" max="88" width="3.28515625" hidden="1"/>
    <col min="89" max="89" width="15.28515625" hidden="1"/>
    <col min="90" max="90" width="26.7109375" hidden="1"/>
    <col min="91" max="91" width="4.7109375" hidden="1"/>
    <col min="92" max="92" width="13.7109375" hidden="1"/>
    <col min="93" max="93" width="2.7109375" hidden="1"/>
    <col min="94" max="94" width="4.7109375" hidden="1"/>
    <col min="95" max="96" width="10.28515625" hidden="1"/>
    <col min="97" max="97" width="4.7109375" hidden="1"/>
    <col min="98" max="103" width="2.28515625" hidden="1"/>
    <col min="104" max="104" width="11.7109375" hidden="1"/>
    <col min="105" max="105" width="9.28515625" hidden="1"/>
    <col min="106" max="107" width="12.7109375" hidden="1"/>
    <col min="108" max="110" width="9.28515625" hidden="1"/>
    <col min="111" max="115" width="18.28515625" hidden="1"/>
    <col min="116" max="123" width="17.28515625" hidden="1"/>
    <col min="124" max="219" width="9.28515625" hidden="1"/>
    <col min="220" max="233" width="0.7109375" hidden="1"/>
    <col min="234" max="16383" width="9.28515625" hidden="1"/>
    <col min="16384" max="16384" width="4.7109375" hidden="1"/>
  </cols>
  <sheetData>
    <row r="1" spans="1:85" ht="18" customHeight="1" x14ac:dyDescent="0.25">
      <c r="A1" s="239" t="s">
        <v>260</v>
      </c>
      <c r="B1" s="239"/>
      <c r="C1" s="239"/>
      <c r="D1" s="239"/>
      <c r="E1" s="239"/>
      <c r="F1" s="239"/>
      <c r="G1" s="239"/>
      <c r="H1" s="239"/>
      <c r="I1" s="239"/>
      <c r="J1" s="239"/>
      <c r="K1" s="239"/>
      <c r="L1" s="239"/>
      <c r="M1" s="239"/>
      <c r="N1" s="239"/>
      <c r="O1" s="239"/>
      <c r="P1" s="239"/>
      <c r="Q1" s="239"/>
      <c r="R1" s="239"/>
      <c r="S1" s="239"/>
      <c r="T1" s="239"/>
      <c r="U1" s="239"/>
      <c r="V1" s="239"/>
      <c r="W1" s="239"/>
      <c r="X1" s="239"/>
      <c r="Y1" s="239"/>
      <c r="Z1" s="239"/>
      <c r="AA1" s="239"/>
      <c r="AB1" s="239"/>
      <c r="AC1" s="239"/>
      <c r="AD1" s="239"/>
      <c r="AE1" s="239"/>
      <c r="AF1" s="239"/>
      <c r="AG1" s="239"/>
      <c r="AH1" s="239"/>
      <c r="AI1" s="239"/>
      <c r="AJ1" s="239"/>
      <c r="AK1" s="239"/>
      <c r="AL1" s="239"/>
      <c r="AM1" s="239"/>
      <c r="AN1" s="239"/>
      <c r="AO1" s="239"/>
      <c r="AP1" s="239"/>
      <c r="AQ1" s="239"/>
      <c r="AR1" s="239"/>
      <c r="AS1" s="239"/>
      <c r="AT1" s="239"/>
      <c r="AU1" s="239"/>
      <c r="AV1" s="239"/>
      <c r="AW1" s="239"/>
      <c r="AX1" s="239"/>
      <c r="AY1" s="239"/>
      <c r="AZ1" s="239"/>
      <c r="BA1" s="239"/>
      <c r="BB1" s="239"/>
      <c r="BC1" s="239"/>
      <c r="BD1" s="239"/>
      <c r="BE1" s="239"/>
      <c r="BF1" s="239"/>
      <c r="BG1" s="239"/>
      <c r="BH1" s="239"/>
      <c r="BI1" s="239"/>
      <c r="BJ1" s="239"/>
      <c r="BK1" s="239"/>
      <c r="BL1" s="239"/>
      <c r="BM1" s="239"/>
      <c r="BN1" s="239"/>
      <c r="BO1" s="239"/>
      <c r="BP1" s="239"/>
      <c r="BQ1" s="239"/>
      <c r="BR1" s="239"/>
      <c r="BS1" s="239"/>
      <c r="BT1" s="239"/>
      <c r="BU1" s="239"/>
      <c r="BV1" s="239"/>
      <c r="BW1" s="239"/>
      <c r="BX1" s="239"/>
      <c r="BY1" s="239"/>
      <c r="BZ1" s="239"/>
      <c r="CA1" s="239"/>
      <c r="CB1" s="239"/>
      <c r="CC1" s="239"/>
      <c r="CD1" s="239"/>
      <c r="CE1" s="239"/>
      <c r="CF1" s="239"/>
      <c r="CG1" s="239"/>
    </row>
    <row r="2" spans="1:85" ht="18" customHeight="1" x14ac:dyDescent="0.25">
      <c r="A2" s="239"/>
      <c r="B2" s="239"/>
      <c r="C2" s="239"/>
      <c r="D2" s="239"/>
      <c r="E2" s="239"/>
      <c r="F2" s="239"/>
      <c r="G2" s="239"/>
      <c r="H2" s="239"/>
      <c r="I2" s="239"/>
      <c r="J2" s="239"/>
      <c r="K2" s="239"/>
      <c r="L2" s="239"/>
      <c r="M2" s="239"/>
      <c r="N2" s="239"/>
      <c r="O2" s="239"/>
      <c r="P2" s="239"/>
      <c r="Q2" s="239"/>
      <c r="R2" s="239"/>
      <c r="S2" s="239"/>
      <c r="T2" s="239"/>
      <c r="U2" s="239"/>
      <c r="V2" s="239"/>
      <c r="W2" s="239"/>
      <c r="X2" s="239"/>
      <c r="Y2" s="239"/>
      <c r="Z2" s="239"/>
      <c r="AA2" s="239"/>
      <c r="AB2" s="239"/>
      <c r="AC2" s="239"/>
      <c r="AD2" s="239"/>
      <c r="AE2" s="239"/>
      <c r="AF2" s="239"/>
      <c r="AG2" s="239"/>
      <c r="AH2" s="239"/>
      <c r="AI2" s="239"/>
      <c r="AJ2" s="239"/>
      <c r="AK2" s="239"/>
      <c r="AL2" s="239"/>
      <c r="AM2" s="239"/>
      <c r="AN2" s="239"/>
      <c r="AO2" s="239"/>
      <c r="AP2" s="239"/>
      <c r="AQ2" s="239"/>
      <c r="AR2" s="239"/>
      <c r="AS2" s="239"/>
      <c r="AT2" s="239"/>
      <c r="AU2" s="239"/>
      <c r="AV2" s="239"/>
      <c r="AW2" s="239"/>
      <c r="AX2" s="239"/>
      <c r="AY2" s="239"/>
      <c r="AZ2" s="239"/>
      <c r="BA2" s="239"/>
      <c r="BB2" s="239"/>
      <c r="BC2" s="239"/>
      <c r="BD2" s="239"/>
      <c r="BE2" s="239"/>
      <c r="BF2" s="239"/>
      <c r="BG2" s="239"/>
      <c r="BH2" s="239"/>
      <c r="BI2" s="239"/>
      <c r="BJ2" s="239"/>
      <c r="BK2" s="239"/>
      <c r="BL2" s="239"/>
      <c r="BM2" s="239"/>
      <c r="BN2" s="239"/>
      <c r="BO2" s="239"/>
      <c r="BP2" s="239"/>
      <c r="BQ2" s="239"/>
      <c r="BR2" s="239"/>
      <c r="BS2" s="239"/>
      <c r="BT2" s="239"/>
      <c r="BU2" s="239"/>
      <c r="BV2" s="239"/>
      <c r="BW2" s="239"/>
      <c r="BX2" s="239"/>
      <c r="BY2" s="239"/>
      <c r="BZ2" s="239"/>
      <c r="CA2" s="239"/>
      <c r="CB2" s="239"/>
      <c r="CC2" s="239"/>
      <c r="CD2" s="239"/>
      <c r="CE2" s="239"/>
      <c r="CF2" s="239"/>
      <c r="CG2" s="239"/>
    </row>
    <row r="3" spans="1:85" x14ac:dyDescent="0.25">
      <c r="A3" s="21"/>
      <c r="B3" s="21"/>
      <c r="C3" s="138" t="s">
        <v>8</v>
      </c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5"/>
      <c r="AP3" s="78"/>
      <c r="AQ3" s="25"/>
      <c r="AR3" s="25"/>
      <c r="AS3" s="25"/>
      <c r="AT3" s="21"/>
      <c r="AU3" s="24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2"/>
      <c r="BR3" s="139"/>
      <c r="BS3" s="139"/>
      <c r="BT3" s="21"/>
      <c r="BU3" s="21"/>
      <c r="BV3" s="21"/>
      <c r="BW3" s="21"/>
      <c r="BX3" s="21"/>
      <c r="BY3" s="32"/>
      <c r="BZ3" s="21"/>
      <c r="CA3" s="21"/>
      <c r="CB3" s="21"/>
      <c r="CC3" s="21"/>
      <c r="CD3" s="21"/>
      <c r="CE3" s="21"/>
      <c r="CF3" s="21"/>
      <c r="CG3" s="21"/>
    </row>
    <row r="4" spans="1:85" x14ac:dyDescent="0.25">
      <c r="A4" s="21"/>
      <c r="B4" s="21"/>
      <c r="C4" s="25" t="str">
        <f>"Program Structure - values in "&amp;DB.CoverDetails.CCY.Cover</f>
        <v xml:space="preserve">Program Structure - values in </v>
      </c>
      <c r="D4" s="25"/>
      <c r="E4" s="25"/>
      <c r="F4" s="25"/>
      <c r="G4" s="25"/>
      <c r="H4" s="25"/>
      <c r="I4" s="25"/>
      <c r="J4" s="21"/>
      <c r="K4" s="21"/>
      <c r="L4" s="138" t="s">
        <v>8</v>
      </c>
      <c r="M4" s="21"/>
      <c r="N4" s="21"/>
      <c r="O4" s="21"/>
      <c r="P4" s="21"/>
      <c r="Q4" s="21"/>
      <c r="R4" s="21"/>
      <c r="S4" s="60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5" t="s">
        <v>8</v>
      </c>
      <c r="AO4" s="27" t="s">
        <v>8</v>
      </c>
      <c r="AP4" s="27" t="s">
        <v>8</v>
      </c>
      <c r="AQ4" s="27" t="s">
        <v>8</v>
      </c>
      <c r="AR4" s="27" t="s">
        <v>8</v>
      </c>
      <c r="AS4" s="27" t="s">
        <v>8</v>
      </c>
      <c r="AT4" s="21"/>
      <c r="AU4" s="24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139"/>
      <c r="BS4" s="21"/>
      <c r="BT4" s="21"/>
      <c r="BU4" s="21"/>
      <c r="BV4" s="21"/>
      <c r="BW4" s="21"/>
      <c r="BX4" s="21"/>
      <c r="BY4" s="32"/>
      <c r="BZ4" s="21"/>
      <c r="CA4" s="21"/>
      <c r="CB4" s="21"/>
      <c r="CC4" s="21"/>
      <c r="CD4" s="21"/>
      <c r="CE4" s="21"/>
      <c r="CF4" s="21"/>
      <c r="CG4" s="21"/>
    </row>
    <row r="5" spans="1:85" ht="51" x14ac:dyDescent="0.25">
      <c r="A5" s="114"/>
      <c r="B5" s="238"/>
      <c r="C5" s="238"/>
      <c r="D5" s="115" t="s">
        <v>212</v>
      </c>
      <c r="E5" s="114" t="s">
        <v>8</v>
      </c>
      <c r="F5" s="114" t="s">
        <v>8</v>
      </c>
      <c r="G5" s="114" t="s">
        <v>8</v>
      </c>
      <c r="H5" s="114" t="s">
        <v>8</v>
      </c>
      <c r="I5" s="114" t="s">
        <v>8</v>
      </c>
      <c r="J5" s="114"/>
      <c r="K5" s="114"/>
      <c r="L5" s="115" t="s">
        <v>0</v>
      </c>
      <c r="M5" s="114" t="s">
        <v>8</v>
      </c>
      <c r="N5" s="114" t="s">
        <v>8</v>
      </c>
      <c r="O5" s="114" t="s">
        <v>8</v>
      </c>
      <c r="P5" s="114" t="s">
        <v>8</v>
      </c>
      <c r="Q5" s="114" t="s">
        <v>8</v>
      </c>
      <c r="R5" s="116"/>
      <c r="S5" s="115" t="s">
        <v>254</v>
      </c>
      <c r="T5" s="114" t="s">
        <v>8</v>
      </c>
      <c r="U5" s="114" t="s">
        <v>8</v>
      </c>
      <c r="V5" s="114" t="s">
        <v>8</v>
      </c>
      <c r="W5" s="114" t="s">
        <v>8</v>
      </c>
      <c r="X5" s="114" t="s">
        <v>8</v>
      </c>
      <c r="Y5" s="114"/>
      <c r="Z5" s="115" t="s">
        <v>256</v>
      </c>
      <c r="AA5" s="114" t="s">
        <v>8</v>
      </c>
      <c r="AB5" s="114" t="s">
        <v>8</v>
      </c>
      <c r="AC5" s="114" t="s">
        <v>8</v>
      </c>
      <c r="AD5" s="114" t="s">
        <v>8</v>
      </c>
      <c r="AE5" s="114" t="s">
        <v>8</v>
      </c>
      <c r="AF5" s="114"/>
      <c r="AG5" s="115" t="s">
        <v>257</v>
      </c>
      <c r="AH5" s="114" t="s">
        <v>8</v>
      </c>
      <c r="AI5" s="114" t="s">
        <v>8</v>
      </c>
      <c r="AJ5" s="114" t="s">
        <v>8</v>
      </c>
      <c r="AK5" s="114" t="s">
        <v>8</v>
      </c>
      <c r="AL5" s="114" t="s">
        <v>8</v>
      </c>
      <c r="AM5" s="114"/>
      <c r="AN5" s="234" t="s">
        <v>213</v>
      </c>
      <c r="AO5" s="235"/>
      <c r="AP5" s="235"/>
      <c r="AQ5" s="235"/>
      <c r="AR5" s="235"/>
      <c r="AS5" s="236"/>
      <c r="AT5" s="114"/>
      <c r="AU5" s="115"/>
      <c r="AV5" s="237" t="s">
        <v>258</v>
      </c>
      <c r="AW5" s="237"/>
      <c r="AX5" s="237"/>
      <c r="AY5" s="118"/>
      <c r="AZ5" s="117" t="s">
        <v>63</v>
      </c>
      <c r="BA5" s="117" t="s">
        <v>8</v>
      </c>
      <c r="BB5" s="117" t="s">
        <v>8</v>
      </c>
      <c r="BC5" s="119"/>
      <c r="BD5" s="117" t="s">
        <v>255</v>
      </c>
      <c r="BE5" s="117" t="s">
        <v>8</v>
      </c>
      <c r="BF5" s="117" t="s">
        <v>8</v>
      </c>
      <c r="BG5" s="117" t="s">
        <v>8</v>
      </c>
      <c r="BH5" s="117" t="s">
        <v>8</v>
      </c>
      <c r="BI5" s="117" t="s">
        <v>8</v>
      </c>
      <c r="BJ5" s="114"/>
      <c r="BK5" s="114"/>
      <c r="BL5" s="114"/>
      <c r="BM5" s="120"/>
      <c r="BN5" s="120"/>
      <c r="BO5" s="114"/>
      <c r="BP5" s="114"/>
      <c r="BQ5" s="114"/>
      <c r="BR5" s="140"/>
      <c r="BS5" s="114"/>
      <c r="BT5" s="121"/>
      <c r="BU5" s="114"/>
      <c r="BV5" s="114"/>
      <c r="BW5" s="114"/>
      <c r="BX5" s="114"/>
      <c r="BY5" s="122"/>
      <c r="BZ5" s="123" t="s">
        <v>4</v>
      </c>
      <c r="CA5" s="124" t="s">
        <v>8</v>
      </c>
      <c r="CB5" s="125" t="s">
        <v>8</v>
      </c>
      <c r="CC5" s="231" t="s">
        <v>253</v>
      </c>
      <c r="CD5" s="232"/>
      <c r="CE5" s="233"/>
      <c r="CF5" s="126"/>
      <c r="CG5" s="114"/>
    </row>
    <row r="6" spans="1:85" ht="89.25" x14ac:dyDescent="0.25">
      <c r="A6" s="71"/>
      <c r="B6" s="71"/>
      <c r="C6" s="127" t="s">
        <v>64</v>
      </c>
      <c r="D6" s="128" t="s">
        <v>148</v>
      </c>
      <c r="E6" s="128" t="s">
        <v>149</v>
      </c>
      <c r="F6" s="128" t="s">
        <v>150</v>
      </c>
      <c r="G6" s="128" t="s">
        <v>151</v>
      </c>
      <c r="H6" s="128" t="s">
        <v>152</v>
      </c>
      <c r="I6" s="128" t="s">
        <v>153</v>
      </c>
      <c r="J6" s="71"/>
      <c r="K6" s="71"/>
      <c r="L6" s="128" t="s">
        <v>148</v>
      </c>
      <c r="M6" s="128" t="s">
        <v>149</v>
      </c>
      <c r="N6" s="128" t="s">
        <v>150</v>
      </c>
      <c r="O6" s="128" t="s">
        <v>151</v>
      </c>
      <c r="P6" s="128" t="s">
        <v>152</v>
      </c>
      <c r="Q6" s="128" t="s">
        <v>153</v>
      </c>
      <c r="R6" s="71"/>
      <c r="S6" s="128" t="s">
        <v>148</v>
      </c>
      <c r="T6" s="128" t="s">
        <v>149</v>
      </c>
      <c r="U6" s="128" t="s">
        <v>150</v>
      </c>
      <c r="V6" s="128" t="s">
        <v>151</v>
      </c>
      <c r="W6" s="128" t="s">
        <v>152</v>
      </c>
      <c r="X6" s="128" t="s">
        <v>153</v>
      </c>
      <c r="Y6" s="71"/>
      <c r="Z6" s="128" t="s">
        <v>148</v>
      </c>
      <c r="AA6" s="128" t="s">
        <v>149</v>
      </c>
      <c r="AB6" s="128" t="s">
        <v>150</v>
      </c>
      <c r="AC6" s="128" t="s">
        <v>151</v>
      </c>
      <c r="AD6" s="128" t="s">
        <v>152</v>
      </c>
      <c r="AE6" s="128" t="s">
        <v>153</v>
      </c>
      <c r="AF6" s="71"/>
      <c r="AG6" s="128" t="s">
        <v>148</v>
      </c>
      <c r="AH6" s="128" t="s">
        <v>149</v>
      </c>
      <c r="AI6" s="128" t="s">
        <v>150</v>
      </c>
      <c r="AJ6" s="128" t="s">
        <v>151</v>
      </c>
      <c r="AK6" s="128" t="s">
        <v>152</v>
      </c>
      <c r="AL6" s="128" t="s">
        <v>153</v>
      </c>
      <c r="AM6" s="71"/>
      <c r="AN6" s="128" t="s">
        <v>249</v>
      </c>
      <c r="AO6" s="128" t="s">
        <v>250</v>
      </c>
      <c r="AP6" s="128" t="s">
        <v>251</v>
      </c>
      <c r="AQ6" s="128" t="s">
        <v>180</v>
      </c>
      <c r="AR6" s="128" t="s">
        <v>181</v>
      </c>
      <c r="AS6" s="128" t="s">
        <v>182</v>
      </c>
      <c r="AT6" s="71"/>
      <c r="AU6" s="129" t="s">
        <v>261</v>
      </c>
      <c r="AV6" s="127" t="s">
        <v>65</v>
      </c>
      <c r="AW6" s="127" t="s">
        <v>66</v>
      </c>
      <c r="AX6" s="127" t="s">
        <v>67</v>
      </c>
      <c r="AY6" s="127" t="s">
        <v>262</v>
      </c>
      <c r="AZ6" s="127" t="s">
        <v>16</v>
      </c>
      <c r="BA6" s="127" t="s">
        <v>17</v>
      </c>
      <c r="BB6" s="127" t="s">
        <v>18</v>
      </c>
      <c r="BC6" s="73"/>
      <c r="BD6" s="128" t="s">
        <v>148</v>
      </c>
      <c r="BE6" s="128" t="s">
        <v>149</v>
      </c>
      <c r="BF6" s="128" t="s">
        <v>150</v>
      </c>
      <c r="BG6" s="128" t="s">
        <v>151</v>
      </c>
      <c r="BH6" s="128" t="s">
        <v>152</v>
      </c>
      <c r="BI6" s="128" t="s">
        <v>153</v>
      </c>
      <c r="BJ6" s="74"/>
      <c r="BK6" s="127" t="s">
        <v>228</v>
      </c>
      <c r="BL6" s="74"/>
      <c r="BM6" s="127" t="s">
        <v>259</v>
      </c>
      <c r="BN6" s="127" t="s">
        <v>185</v>
      </c>
      <c r="BO6" s="154" t="s">
        <v>117</v>
      </c>
      <c r="BP6" s="127" t="s">
        <v>118</v>
      </c>
      <c r="BQ6" s="71"/>
      <c r="BR6" s="128" t="s">
        <v>2</v>
      </c>
      <c r="BS6" s="130" t="s">
        <v>192</v>
      </c>
      <c r="BT6" s="127" t="s">
        <v>193</v>
      </c>
      <c r="BU6" s="128" t="s">
        <v>214</v>
      </c>
      <c r="BV6" s="127" t="s">
        <v>220</v>
      </c>
      <c r="BW6" s="127" t="s">
        <v>221</v>
      </c>
      <c r="BX6" s="71"/>
      <c r="BY6" s="127" t="s">
        <v>5</v>
      </c>
      <c r="BZ6" s="127" t="s">
        <v>16</v>
      </c>
      <c r="CA6" s="127" t="s">
        <v>17</v>
      </c>
      <c r="CB6" s="127" t="s">
        <v>18</v>
      </c>
      <c r="CC6" s="127" t="s">
        <v>16</v>
      </c>
      <c r="CD6" s="127" t="s">
        <v>17</v>
      </c>
      <c r="CE6" s="127" t="s">
        <v>18</v>
      </c>
      <c r="CF6" s="127" t="s">
        <v>107</v>
      </c>
      <c r="CG6" s="71"/>
    </row>
    <row r="7" spans="1:85" x14ac:dyDescent="0.25">
      <c r="A7" s="21"/>
      <c r="B7" s="21">
        <v>1</v>
      </c>
      <c r="C7" s="69" t="s">
        <v>13</v>
      </c>
      <c r="D7" s="89" t="s">
        <v>8</v>
      </c>
      <c r="E7" s="89" t="s">
        <v>8</v>
      </c>
      <c r="F7" s="89" t="s">
        <v>8</v>
      </c>
      <c r="G7" s="89" t="s">
        <v>8</v>
      </c>
      <c r="H7" s="89" t="s">
        <v>8</v>
      </c>
      <c r="I7" s="89" t="s">
        <v>8</v>
      </c>
      <c r="J7" s="90"/>
      <c r="K7" s="90"/>
      <c r="L7" s="91"/>
      <c r="M7" s="92"/>
      <c r="N7" s="91"/>
      <c r="O7" s="92"/>
      <c r="P7" s="92"/>
      <c r="Q7" s="91"/>
      <c r="R7" s="90"/>
      <c r="S7" s="94" t="s">
        <v>8</v>
      </c>
      <c r="T7" s="94" t="s">
        <v>8</v>
      </c>
      <c r="U7" s="94" t="s">
        <v>8</v>
      </c>
      <c r="V7" s="94" t="s">
        <v>8</v>
      </c>
      <c r="W7" s="94" t="s">
        <v>8</v>
      </c>
      <c r="X7" s="94" t="s">
        <v>8</v>
      </c>
      <c r="Y7" s="90"/>
      <c r="Z7" s="53"/>
      <c r="AA7" s="53"/>
      <c r="AB7" s="53"/>
      <c r="AC7" s="76"/>
      <c r="AD7" s="76"/>
      <c r="AE7" s="76"/>
      <c r="AF7" s="90"/>
      <c r="AG7" s="76"/>
      <c r="AH7" s="76"/>
      <c r="AI7" s="76"/>
      <c r="AJ7" s="76"/>
      <c r="AK7" s="76"/>
      <c r="AL7" s="76"/>
      <c r="AM7" s="90"/>
      <c r="AN7" s="76"/>
      <c r="AO7" s="82"/>
      <c r="AP7" s="82"/>
      <c r="AQ7" s="76"/>
      <c r="AR7" s="76"/>
      <c r="AS7" s="76"/>
      <c r="AT7" s="90"/>
      <c r="AU7" s="91"/>
      <c r="AV7" s="83"/>
      <c r="AW7" s="83"/>
      <c r="AX7" s="83"/>
      <c r="AY7" s="187" t="s">
        <v>8</v>
      </c>
      <c r="AZ7" s="96"/>
      <c r="BA7" s="96"/>
      <c r="BB7" s="96"/>
      <c r="BC7" s="97"/>
      <c r="BD7" s="194"/>
      <c r="BE7" s="194"/>
      <c r="BF7" s="186"/>
      <c r="BG7" s="186"/>
      <c r="BH7" s="186"/>
      <c r="BI7" s="186"/>
      <c r="BJ7" s="99"/>
      <c r="BK7" s="105"/>
      <c r="BL7" s="97"/>
      <c r="BM7" s="100">
        <v>0</v>
      </c>
      <c r="BN7" s="100">
        <v>0</v>
      </c>
      <c r="BO7" s="101" t="s">
        <v>8</v>
      </c>
      <c r="BP7" s="102" t="s">
        <v>8</v>
      </c>
      <c r="BQ7" s="90"/>
      <c r="BR7" s="141" t="s">
        <v>8</v>
      </c>
      <c r="BS7" s="103" t="s">
        <v>8</v>
      </c>
      <c r="BT7" s="103" t="s">
        <v>8</v>
      </c>
      <c r="BU7" s="141" t="s">
        <v>8</v>
      </c>
      <c r="BV7" s="153"/>
      <c r="BW7" s="153" t="s">
        <v>8</v>
      </c>
      <c r="BX7" s="90"/>
      <c r="BY7" s="104" t="s">
        <v>8</v>
      </c>
      <c r="BZ7" s="105"/>
      <c r="CA7" s="105"/>
      <c r="CB7" s="105"/>
      <c r="CC7" s="105" t="s">
        <v>8</v>
      </c>
      <c r="CD7" s="105" t="s">
        <v>8</v>
      </c>
      <c r="CE7" s="105" t="s">
        <v>8</v>
      </c>
      <c r="CF7" s="104"/>
      <c r="CG7" s="21"/>
    </row>
    <row r="8" spans="1:85" x14ac:dyDescent="0.25">
      <c r="A8" s="21"/>
      <c r="B8" s="21">
        <v>2</v>
      </c>
      <c r="C8" s="69" t="s">
        <v>68</v>
      </c>
      <c r="D8" s="93" t="s">
        <v>8</v>
      </c>
      <c r="E8" s="93" t="s">
        <v>8</v>
      </c>
      <c r="F8" s="93" t="s">
        <v>8</v>
      </c>
      <c r="G8" s="93" t="s">
        <v>8</v>
      </c>
      <c r="H8" s="93" t="s">
        <v>8</v>
      </c>
      <c r="I8" s="93" t="s">
        <v>8</v>
      </c>
      <c r="J8" s="90"/>
      <c r="K8" s="90"/>
      <c r="L8" s="91"/>
      <c r="M8" s="92"/>
      <c r="N8" s="91"/>
      <c r="O8" s="92"/>
      <c r="P8" s="92"/>
      <c r="Q8" s="91"/>
      <c r="R8" s="90"/>
      <c r="S8" s="94">
        <v>0</v>
      </c>
      <c r="T8" s="94">
        <v>0</v>
      </c>
      <c r="U8" s="94">
        <v>0</v>
      </c>
      <c r="V8" s="94">
        <v>0</v>
      </c>
      <c r="W8" s="94">
        <v>0</v>
      </c>
      <c r="X8" s="94">
        <v>0</v>
      </c>
      <c r="Y8" s="90"/>
      <c r="Z8" s="53"/>
      <c r="AA8" s="53"/>
      <c r="AB8" s="53"/>
      <c r="AC8" s="76"/>
      <c r="AD8" s="76"/>
      <c r="AE8" s="76"/>
      <c r="AF8" s="90"/>
      <c r="AG8" s="76"/>
      <c r="AH8" s="76"/>
      <c r="AI8" s="76"/>
      <c r="AJ8" s="76"/>
      <c r="AK8" s="76"/>
      <c r="AL8" s="76"/>
      <c r="AM8" s="90"/>
      <c r="AN8" s="76"/>
      <c r="AO8" s="82"/>
      <c r="AP8" s="82"/>
      <c r="AQ8" s="76"/>
      <c r="AR8" s="76"/>
      <c r="AS8" s="76"/>
      <c r="AT8" s="90"/>
      <c r="AU8" s="91"/>
      <c r="AV8" s="77"/>
      <c r="AW8" s="77"/>
      <c r="AX8" s="77"/>
      <c r="AY8" s="187" t="s">
        <v>8</v>
      </c>
      <c r="AZ8" s="96"/>
      <c r="BA8" s="96"/>
      <c r="BB8" s="96"/>
      <c r="BC8" s="97"/>
      <c r="BD8" s="194"/>
      <c r="BE8" s="194"/>
      <c r="BF8" s="186"/>
      <c r="BG8" s="186"/>
      <c r="BH8" s="186"/>
      <c r="BI8" s="186"/>
      <c r="BJ8" s="99"/>
      <c r="BK8" s="105"/>
      <c r="BL8" s="97"/>
      <c r="BM8" s="100">
        <v>0</v>
      </c>
      <c r="BN8" s="100">
        <v>0</v>
      </c>
      <c r="BO8" s="101" t="s">
        <v>8</v>
      </c>
      <c r="BP8" s="102" t="s">
        <v>8</v>
      </c>
      <c r="BQ8" s="90"/>
      <c r="BR8" s="141" t="s">
        <v>8</v>
      </c>
      <c r="BS8" s="103" t="s">
        <v>8</v>
      </c>
      <c r="BT8" s="103" t="s">
        <v>8</v>
      </c>
      <c r="BU8" s="141" t="s">
        <v>8</v>
      </c>
      <c r="BV8" s="153" t="s">
        <v>8</v>
      </c>
      <c r="BW8" s="153" t="s">
        <v>8</v>
      </c>
      <c r="BX8" s="90"/>
      <c r="BY8" s="104" t="s">
        <v>8</v>
      </c>
      <c r="BZ8" s="105"/>
      <c r="CA8" s="105"/>
      <c r="CB8" s="105"/>
      <c r="CC8" s="105" t="s">
        <v>8</v>
      </c>
      <c r="CD8" s="105" t="s">
        <v>8</v>
      </c>
      <c r="CE8" s="105" t="s">
        <v>8</v>
      </c>
      <c r="CF8" s="104"/>
      <c r="CG8" s="21"/>
    </row>
    <row r="9" spans="1:85" x14ac:dyDescent="0.25">
      <c r="A9" s="21"/>
      <c r="B9" s="21">
        <v>3</v>
      </c>
      <c r="C9" s="69" t="s">
        <v>69</v>
      </c>
      <c r="D9" s="93" t="s">
        <v>8</v>
      </c>
      <c r="E9" s="93" t="s">
        <v>8</v>
      </c>
      <c r="F9" s="93" t="s">
        <v>8</v>
      </c>
      <c r="G9" s="93" t="s">
        <v>8</v>
      </c>
      <c r="H9" s="93" t="s">
        <v>8</v>
      </c>
      <c r="I9" s="93" t="s">
        <v>8</v>
      </c>
      <c r="J9" s="90"/>
      <c r="K9" s="90"/>
      <c r="L9" s="91"/>
      <c r="M9" s="92"/>
      <c r="N9" s="92"/>
      <c r="O9" s="92"/>
      <c r="P9" s="92"/>
      <c r="Q9" s="92"/>
      <c r="R9" s="90"/>
      <c r="S9" s="94">
        <v>0</v>
      </c>
      <c r="T9" s="94">
        <v>0</v>
      </c>
      <c r="U9" s="94">
        <v>0</v>
      </c>
      <c r="V9" s="94">
        <v>0</v>
      </c>
      <c r="W9" s="94">
        <v>0</v>
      </c>
      <c r="X9" s="94">
        <v>0</v>
      </c>
      <c r="Y9" s="90"/>
      <c r="Z9" s="53"/>
      <c r="AA9" s="53"/>
      <c r="AB9" s="53"/>
      <c r="AC9" s="76"/>
      <c r="AD9" s="76"/>
      <c r="AE9" s="76"/>
      <c r="AF9" s="90"/>
      <c r="AG9" s="76"/>
      <c r="AH9" s="76"/>
      <c r="AI9" s="76"/>
      <c r="AJ9" s="76"/>
      <c r="AK9" s="76"/>
      <c r="AL9" s="76"/>
      <c r="AM9" s="90"/>
      <c r="AN9" s="76"/>
      <c r="AO9" s="82"/>
      <c r="AP9" s="82"/>
      <c r="AQ9" s="76"/>
      <c r="AR9" s="76"/>
      <c r="AS9" s="76"/>
      <c r="AT9" s="90"/>
      <c r="AU9" s="91"/>
      <c r="AV9" s="77"/>
      <c r="AW9" s="77"/>
      <c r="AX9" s="77"/>
      <c r="AY9" s="187" t="s">
        <v>8</v>
      </c>
      <c r="AZ9" s="98"/>
      <c r="BA9" s="96"/>
      <c r="BB9" s="96"/>
      <c r="BC9" s="97"/>
      <c r="BD9" s="194"/>
      <c r="BE9" s="194"/>
      <c r="BF9" s="186"/>
      <c r="BG9" s="186"/>
      <c r="BH9" s="186"/>
      <c r="BI9" s="186"/>
      <c r="BJ9" s="99"/>
      <c r="BK9" s="105"/>
      <c r="BL9" s="97"/>
      <c r="BM9" s="100">
        <v>0</v>
      </c>
      <c r="BN9" s="100">
        <v>0</v>
      </c>
      <c r="BO9" s="101" t="s">
        <v>8</v>
      </c>
      <c r="BP9" s="102" t="s">
        <v>8</v>
      </c>
      <c r="BQ9" s="90"/>
      <c r="BR9" s="141" t="s">
        <v>8</v>
      </c>
      <c r="BS9" s="103" t="s">
        <v>8</v>
      </c>
      <c r="BT9" s="103" t="s">
        <v>8</v>
      </c>
      <c r="BU9" s="141" t="s">
        <v>8</v>
      </c>
      <c r="BV9" s="153" t="s">
        <v>8</v>
      </c>
      <c r="BW9" s="153" t="s">
        <v>8</v>
      </c>
      <c r="BX9" s="90"/>
      <c r="BY9" s="104" t="s">
        <v>8</v>
      </c>
      <c r="BZ9" s="105"/>
      <c r="CA9" s="105"/>
      <c r="CB9" s="105"/>
      <c r="CC9" s="105" t="s">
        <v>8</v>
      </c>
      <c r="CD9" s="105" t="s">
        <v>8</v>
      </c>
      <c r="CE9" s="105" t="s">
        <v>8</v>
      </c>
      <c r="CF9" s="104"/>
      <c r="CG9" s="21"/>
    </row>
    <row r="10" spans="1:85" x14ac:dyDescent="0.25">
      <c r="A10" s="21"/>
      <c r="B10" s="21">
        <v>4</v>
      </c>
      <c r="C10" s="69" t="s">
        <v>70</v>
      </c>
      <c r="D10" s="93" t="s">
        <v>8</v>
      </c>
      <c r="E10" s="93" t="s">
        <v>8</v>
      </c>
      <c r="F10" s="93" t="s">
        <v>8</v>
      </c>
      <c r="G10" s="93" t="s">
        <v>8</v>
      </c>
      <c r="H10" s="93" t="s">
        <v>8</v>
      </c>
      <c r="I10" s="93" t="s">
        <v>8</v>
      </c>
      <c r="J10" s="90"/>
      <c r="K10" s="90"/>
      <c r="L10" s="91"/>
      <c r="M10" s="92"/>
      <c r="N10" s="92"/>
      <c r="O10" s="92"/>
      <c r="P10" s="92"/>
      <c r="Q10" s="92"/>
      <c r="R10" s="90"/>
      <c r="S10" s="94">
        <v>0</v>
      </c>
      <c r="T10" s="94">
        <v>0</v>
      </c>
      <c r="U10" s="94">
        <v>0</v>
      </c>
      <c r="V10" s="94">
        <v>0</v>
      </c>
      <c r="W10" s="94">
        <v>0</v>
      </c>
      <c r="X10" s="94">
        <v>0</v>
      </c>
      <c r="Y10" s="90"/>
      <c r="Z10" s="53"/>
      <c r="AA10" s="53"/>
      <c r="AB10" s="53"/>
      <c r="AC10" s="76"/>
      <c r="AD10" s="76"/>
      <c r="AE10" s="76"/>
      <c r="AF10" s="90"/>
      <c r="AG10" s="76"/>
      <c r="AH10" s="76"/>
      <c r="AI10" s="76"/>
      <c r="AJ10" s="76"/>
      <c r="AK10" s="76"/>
      <c r="AL10" s="76"/>
      <c r="AM10" s="90"/>
      <c r="AN10" s="76"/>
      <c r="AO10" s="82"/>
      <c r="AP10" s="82"/>
      <c r="AQ10" s="76"/>
      <c r="AR10" s="76"/>
      <c r="AS10" s="76"/>
      <c r="AT10" s="90"/>
      <c r="AU10" s="91"/>
      <c r="AV10" s="77"/>
      <c r="AW10" s="77"/>
      <c r="AX10" s="77"/>
      <c r="AY10" s="187" t="s">
        <v>8</v>
      </c>
      <c r="AZ10" s="98"/>
      <c r="BA10" s="96"/>
      <c r="BB10" s="96"/>
      <c r="BC10" s="97"/>
      <c r="BD10" s="194"/>
      <c r="BE10" s="194"/>
      <c r="BF10" s="186"/>
      <c r="BG10" s="186"/>
      <c r="BH10" s="186"/>
      <c r="BI10" s="186"/>
      <c r="BJ10" s="99"/>
      <c r="BK10" s="105"/>
      <c r="BL10" s="97"/>
      <c r="BM10" s="100">
        <v>0</v>
      </c>
      <c r="BN10" s="100">
        <v>0</v>
      </c>
      <c r="BO10" s="101" t="s">
        <v>8</v>
      </c>
      <c r="BP10" s="102" t="s">
        <v>8</v>
      </c>
      <c r="BQ10" s="90"/>
      <c r="BR10" s="141" t="s">
        <v>8</v>
      </c>
      <c r="BS10" s="103" t="s">
        <v>8</v>
      </c>
      <c r="BT10" s="103" t="s">
        <v>8</v>
      </c>
      <c r="BU10" s="141" t="s">
        <v>8</v>
      </c>
      <c r="BV10" s="153" t="s">
        <v>8</v>
      </c>
      <c r="BW10" s="153" t="s">
        <v>8</v>
      </c>
      <c r="BX10" s="90"/>
      <c r="BY10" s="104" t="s">
        <v>8</v>
      </c>
      <c r="BZ10" s="105"/>
      <c r="CA10" s="105"/>
      <c r="CB10" s="105"/>
      <c r="CC10" s="105" t="s">
        <v>8</v>
      </c>
      <c r="CD10" s="105" t="s">
        <v>8</v>
      </c>
      <c r="CE10" s="105" t="s">
        <v>8</v>
      </c>
      <c r="CF10" s="104"/>
      <c r="CG10" s="21"/>
    </row>
    <row r="11" spans="1:85" x14ac:dyDescent="0.25">
      <c r="A11" s="21"/>
      <c r="B11" s="21">
        <v>5</v>
      </c>
      <c r="C11" s="69" t="s">
        <v>71</v>
      </c>
      <c r="D11" s="93" t="s">
        <v>8</v>
      </c>
      <c r="E11" s="93" t="s">
        <v>8</v>
      </c>
      <c r="F11" s="93" t="s">
        <v>8</v>
      </c>
      <c r="G11" s="93" t="s">
        <v>8</v>
      </c>
      <c r="H11" s="93" t="s">
        <v>8</v>
      </c>
      <c r="I11" s="93" t="s">
        <v>8</v>
      </c>
      <c r="J11" s="90"/>
      <c r="K11" s="90"/>
      <c r="L11" s="91"/>
      <c r="M11" s="92"/>
      <c r="N11" s="92"/>
      <c r="O11" s="92"/>
      <c r="P11" s="92"/>
      <c r="Q11" s="92"/>
      <c r="R11" s="90"/>
      <c r="S11" s="94">
        <v>0</v>
      </c>
      <c r="T11" s="94">
        <v>0</v>
      </c>
      <c r="U11" s="94">
        <v>0</v>
      </c>
      <c r="V11" s="94">
        <v>0</v>
      </c>
      <c r="W11" s="94">
        <v>0</v>
      </c>
      <c r="X11" s="94">
        <v>0</v>
      </c>
      <c r="Y11" s="90"/>
      <c r="Z11" s="53"/>
      <c r="AA11" s="53"/>
      <c r="AB11" s="53"/>
      <c r="AC11" s="76"/>
      <c r="AD11" s="76"/>
      <c r="AE11" s="76"/>
      <c r="AF11" s="90"/>
      <c r="AG11" s="76"/>
      <c r="AH11" s="76"/>
      <c r="AI11" s="76"/>
      <c r="AJ11" s="76"/>
      <c r="AK11" s="76"/>
      <c r="AL11" s="76"/>
      <c r="AM11" s="90"/>
      <c r="AN11" s="76"/>
      <c r="AO11" s="76"/>
      <c r="AP11" s="76"/>
      <c r="AQ11" s="76"/>
      <c r="AR11" s="76"/>
      <c r="AS11" s="76"/>
      <c r="AT11" s="90"/>
      <c r="AU11" s="91"/>
      <c r="AV11" s="77"/>
      <c r="AW11" s="77"/>
      <c r="AX11" s="77"/>
      <c r="AY11" s="187" t="s">
        <v>8</v>
      </c>
      <c r="AZ11" s="98"/>
      <c r="BA11" s="96"/>
      <c r="BB11" s="96"/>
      <c r="BC11" s="97"/>
      <c r="BD11" s="194"/>
      <c r="BE11" s="194"/>
      <c r="BF11" s="186"/>
      <c r="BG11" s="186"/>
      <c r="BH11" s="186"/>
      <c r="BI11" s="186"/>
      <c r="BJ11" s="99"/>
      <c r="BK11" s="105"/>
      <c r="BL11" s="97"/>
      <c r="BM11" s="100">
        <v>0</v>
      </c>
      <c r="BN11" s="100">
        <v>0</v>
      </c>
      <c r="BO11" s="101" t="s">
        <v>8</v>
      </c>
      <c r="BP11" s="102" t="s">
        <v>8</v>
      </c>
      <c r="BQ11" s="90"/>
      <c r="BR11" s="141" t="s">
        <v>8</v>
      </c>
      <c r="BS11" s="103" t="s">
        <v>8</v>
      </c>
      <c r="BT11" s="103" t="s">
        <v>8</v>
      </c>
      <c r="BU11" s="141" t="s">
        <v>8</v>
      </c>
      <c r="BV11" s="153" t="s">
        <v>8</v>
      </c>
      <c r="BW11" s="153" t="s">
        <v>8</v>
      </c>
      <c r="BX11" s="90"/>
      <c r="BY11" s="104" t="s">
        <v>8</v>
      </c>
      <c r="BZ11" s="105"/>
      <c r="CA11" s="105"/>
      <c r="CB11" s="105"/>
      <c r="CC11" s="105" t="s">
        <v>8</v>
      </c>
      <c r="CD11" s="105" t="s">
        <v>8</v>
      </c>
      <c r="CE11" s="105" t="s">
        <v>8</v>
      </c>
      <c r="CF11" s="104"/>
      <c r="CG11" s="21"/>
    </row>
    <row r="12" spans="1:85" x14ac:dyDescent="0.25">
      <c r="A12" s="21"/>
      <c r="B12" s="21">
        <v>6</v>
      </c>
      <c r="C12" s="69" t="s">
        <v>72</v>
      </c>
      <c r="D12" s="93" t="s">
        <v>8</v>
      </c>
      <c r="E12" s="93" t="s">
        <v>8</v>
      </c>
      <c r="F12" s="93" t="s">
        <v>8</v>
      </c>
      <c r="G12" s="93" t="s">
        <v>8</v>
      </c>
      <c r="H12" s="93" t="s">
        <v>8</v>
      </c>
      <c r="I12" s="93" t="s">
        <v>8</v>
      </c>
      <c r="J12" s="90"/>
      <c r="K12" s="90"/>
      <c r="L12" s="91"/>
      <c r="M12" s="92"/>
      <c r="N12" s="92"/>
      <c r="O12" s="92"/>
      <c r="P12" s="92"/>
      <c r="Q12" s="92"/>
      <c r="R12" s="90"/>
      <c r="S12" s="94">
        <v>0</v>
      </c>
      <c r="T12" s="94">
        <v>0</v>
      </c>
      <c r="U12" s="94">
        <v>0</v>
      </c>
      <c r="V12" s="94">
        <v>0</v>
      </c>
      <c r="W12" s="94">
        <v>0</v>
      </c>
      <c r="X12" s="94">
        <v>0</v>
      </c>
      <c r="Y12" s="90"/>
      <c r="Z12" s="53"/>
      <c r="AA12" s="53"/>
      <c r="AB12" s="53"/>
      <c r="AC12" s="76"/>
      <c r="AD12" s="76"/>
      <c r="AE12" s="76"/>
      <c r="AF12" s="90"/>
      <c r="AG12" s="76"/>
      <c r="AH12" s="76"/>
      <c r="AI12" s="76"/>
      <c r="AJ12" s="76"/>
      <c r="AK12" s="76"/>
      <c r="AL12" s="76"/>
      <c r="AM12" s="90"/>
      <c r="AN12" s="76"/>
      <c r="AO12" s="76"/>
      <c r="AP12" s="76"/>
      <c r="AQ12" s="76"/>
      <c r="AR12" s="76"/>
      <c r="AS12" s="76"/>
      <c r="AT12" s="90"/>
      <c r="AU12" s="91"/>
      <c r="AV12" s="77"/>
      <c r="AW12" s="77"/>
      <c r="AX12" s="77"/>
      <c r="AY12" s="187" t="s">
        <v>8</v>
      </c>
      <c r="AZ12" s="98"/>
      <c r="BA12" s="96"/>
      <c r="BB12" s="96"/>
      <c r="BC12" s="97"/>
      <c r="BD12" s="186"/>
      <c r="BE12" s="186"/>
      <c r="BF12" s="186"/>
      <c r="BG12" s="186"/>
      <c r="BH12" s="186"/>
      <c r="BI12" s="186"/>
      <c r="BJ12" s="99"/>
      <c r="BK12" s="105"/>
      <c r="BL12" s="97"/>
      <c r="BM12" s="100">
        <v>0</v>
      </c>
      <c r="BN12" s="100">
        <v>0</v>
      </c>
      <c r="BO12" s="101" t="s">
        <v>8</v>
      </c>
      <c r="BP12" s="102" t="s">
        <v>8</v>
      </c>
      <c r="BQ12" s="90"/>
      <c r="BR12" s="141" t="s">
        <v>8</v>
      </c>
      <c r="BS12" s="103" t="s">
        <v>8</v>
      </c>
      <c r="BT12" s="103" t="s">
        <v>8</v>
      </c>
      <c r="BU12" s="141" t="s">
        <v>8</v>
      </c>
      <c r="BV12" s="153" t="s">
        <v>8</v>
      </c>
      <c r="BW12" s="153" t="s">
        <v>8</v>
      </c>
      <c r="BX12" s="90"/>
      <c r="BY12" s="104" t="s">
        <v>8</v>
      </c>
      <c r="BZ12" s="105"/>
      <c r="CA12" s="105"/>
      <c r="CB12" s="105"/>
      <c r="CC12" s="105" t="s">
        <v>8</v>
      </c>
      <c r="CD12" s="105" t="s">
        <v>8</v>
      </c>
      <c r="CE12" s="105" t="s">
        <v>8</v>
      </c>
      <c r="CF12" s="104"/>
      <c r="CG12" s="21"/>
    </row>
    <row r="13" spans="1:85" x14ac:dyDescent="0.25">
      <c r="A13" s="21"/>
      <c r="B13" s="21">
        <v>7</v>
      </c>
      <c r="C13" s="69" t="s">
        <v>73</v>
      </c>
      <c r="D13" s="93" t="s">
        <v>8</v>
      </c>
      <c r="E13" s="93" t="s">
        <v>8</v>
      </c>
      <c r="F13" s="93" t="s">
        <v>8</v>
      </c>
      <c r="G13" s="93" t="s">
        <v>8</v>
      </c>
      <c r="H13" s="93" t="s">
        <v>8</v>
      </c>
      <c r="I13" s="93" t="s">
        <v>8</v>
      </c>
      <c r="J13" s="90"/>
      <c r="K13" s="90"/>
      <c r="L13" s="91"/>
      <c r="M13" s="92"/>
      <c r="N13" s="92"/>
      <c r="O13" s="92"/>
      <c r="P13" s="92"/>
      <c r="Q13" s="92"/>
      <c r="R13" s="90"/>
      <c r="S13" s="94">
        <v>0</v>
      </c>
      <c r="T13" s="94">
        <v>0</v>
      </c>
      <c r="U13" s="94">
        <v>0</v>
      </c>
      <c r="V13" s="94">
        <v>0</v>
      </c>
      <c r="W13" s="94">
        <v>0</v>
      </c>
      <c r="X13" s="94">
        <v>0</v>
      </c>
      <c r="Y13" s="90"/>
      <c r="Z13" s="53"/>
      <c r="AA13" s="53"/>
      <c r="AB13" s="53"/>
      <c r="AC13" s="76"/>
      <c r="AD13" s="76"/>
      <c r="AE13" s="76"/>
      <c r="AF13" s="90"/>
      <c r="AG13" s="76"/>
      <c r="AH13" s="76"/>
      <c r="AI13" s="76"/>
      <c r="AJ13" s="76"/>
      <c r="AK13" s="76"/>
      <c r="AL13" s="76"/>
      <c r="AM13" s="90"/>
      <c r="AN13" s="76"/>
      <c r="AO13" s="76"/>
      <c r="AP13" s="76"/>
      <c r="AQ13" s="76"/>
      <c r="AR13" s="76"/>
      <c r="AS13" s="76"/>
      <c r="AT13" s="90"/>
      <c r="AU13" s="91"/>
      <c r="AV13" s="77"/>
      <c r="AW13" s="77"/>
      <c r="AX13" s="77"/>
      <c r="AY13" s="187" t="s">
        <v>8</v>
      </c>
      <c r="AZ13" s="98"/>
      <c r="BA13" s="96"/>
      <c r="BB13" s="96"/>
      <c r="BC13" s="97"/>
      <c r="BD13" s="186"/>
      <c r="BE13" s="186"/>
      <c r="BF13" s="186"/>
      <c r="BG13" s="186"/>
      <c r="BH13" s="186"/>
      <c r="BI13" s="186"/>
      <c r="BJ13" s="99"/>
      <c r="BK13" s="105"/>
      <c r="BL13" s="97"/>
      <c r="BM13" s="100">
        <v>0</v>
      </c>
      <c r="BN13" s="100">
        <v>0</v>
      </c>
      <c r="BO13" s="101" t="s">
        <v>8</v>
      </c>
      <c r="BP13" s="102" t="s">
        <v>8</v>
      </c>
      <c r="BQ13" s="90"/>
      <c r="BR13" s="141" t="s">
        <v>8</v>
      </c>
      <c r="BS13" s="103" t="s">
        <v>8</v>
      </c>
      <c r="BT13" s="103" t="s">
        <v>8</v>
      </c>
      <c r="BU13" s="141" t="s">
        <v>8</v>
      </c>
      <c r="BV13" s="153" t="s">
        <v>8</v>
      </c>
      <c r="BW13" s="153" t="s">
        <v>8</v>
      </c>
      <c r="BX13" s="90"/>
      <c r="BY13" s="104" t="s">
        <v>8</v>
      </c>
      <c r="BZ13" s="105"/>
      <c r="CA13" s="105"/>
      <c r="CB13" s="105"/>
      <c r="CC13" s="105" t="s">
        <v>8</v>
      </c>
      <c r="CD13" s="105" t="s">
        <v>8</v>
      </c>
      <c r="CE13" s="105" t="s">
        <v>8</v>
      </c>
      <c r="CF13" s="104"/>
      <c r="CG13" s="21"/>
    </row>
    <row r="14" spans="1:85" x14ac:dyDescent="0.25">
      <c r="A14" s="21"/>
      <c r="B14" s="21">
        <v>8</v>
      </c>
      <c r="C14" s="69" t="s">
        <v>74</v>
      </c>
      <c r="D14" s="93" t="s">
        <v>8</v>
      </c>
      <c r="E14" s="93" t="s">
        <v>8</v>
      </c>
      <c r="F14" s="93" t="s">
        <v>8</v>
      </c>
      <c r="G14" s="93" t="s">
        <v>8</v>
      </c>
      <c r="H14" s="93" t="s">
        <v>8</v>
      </c>
      <c r="I14" s="93" t="s">
        <v>8</v>
      </c>
      <c r="J14" s="90"/>
      <c r="K14" s="90"/>
      <c r="L14" s="91"/>
      <c r="M14" s="92"/>
      <c r="N14" s="92"/>
      <c r="O14" s="92"/>
      <c r="P14" s="92"/>
      <c r="Q14" s="92"/>
      <c r="R14" s="90"/>
      <c r="S14" s="94">
        <v>0</v>
      </c>
      <c r="T14" s="94">
        <v>0</v>
      </c>
      <c r="U14" s="94">
        <v>0</v>
      </c>
      <c r="V14" s="94">
        <v>0</v>
      </c>
      <c r="W14" s="94">
        <v>0</v>
      </c>
      <c r="X14" s="94">
        <v>0</v>
      </c>
      <c r="Y14" s="90"/>
      <c r="Z14" s="53"/>
      <c r="AA14" s="53"/>
      <c r="AB14" s="53"/>
      <c r="AC14" s="76"/>
      <c r="AD14" s="76"/>
      <c r="AE14" s="76"/>
      <c r="AF14" s="90"/>
      <c r="AG14" s="76"/>
      <c r="AH14" s="76"/>
      <c r="AI14" s="76"/>
      <c r="AJ14" s="76"/>
      <c r="AK14" s="76"/>
      <c r="AL14" s="76"/>
      <c r="AM14" s="90"/>
      <c r="AN14" s="76"/>
      <c r="AO14" s="76"/>
      <c r="AP14" s="76"/>
      <c r="AQ14" s="76"/>
      <c r="AR14" s="76"/>
      <c r="AS14" s="76"/>
      <c r="AT14" s="90"/>
      <c r="AU14" s="91"/>
      <c r="AV14" s="77"/>
      <c r="AW14" s="77"/>
      <c r="AX14" s="77"/>
      <c r="AY14" s="187" t="s">
        <v>8</v>
      </c>
      <c r="AZ14" s="98"/>
      <c r="BA14" s="96"/>
      <c r="BB14" s="96"/>
      <c r="BC14" s="97"/>
      <c r="BD14" s="186"/>
      <c r="BE14" s="186"/>
      <c r="BF14" s="186"/>
      <c r="BG14" s="186"/>
      <c r="BH14" s="186"/>
      <c r="BI14" s="186"/>
      <c r="BJ14" s="99"/>
      <c r="BK14" s="105"/>
      <c r="BL14" s="97"/>
      <c r="BM14" s="100">
        <v>0</v>
      </c>
      <c r="BN14" s="100">
        <v>0</v>
      </c>
      <c r="BO14" s="101" t="s">
        <v>8</v>
      </c>
      <c r="BP14" s="102" t="s">
        <v>8</v>
      </c>
      <c r="BQ14" s="90"/>
      <c r="BR14" s="141" t="s">
        <v>8</v>
      </c>
      <c r="BS14" s="103" t="s">
        <v>8</v>
      </c>
      <c r="BT14" s="103" t="s">
        <v>8</v>
      </c>
      <c r="BU14" s="141" t="s">
        <v>8</v>
      </c>
      <c r="BV14" s="153" t="s">
        <v>8</v>
      </c>
      <c r="BW14" s="153" t="s">
        <v>8</v>
      </c>
      <c r="BX14" s="90"/>
      <c r="BY14" s="104" t="s">
        <v>8</v>
      </c>
      <c r="BZ14" s="105"/>
      <c r="CA14" s="105"/>
      <c r="CB14" s="105"/>
      <c r="CC14" s="105" t="s">
        <v>8</v>
      </c>
      <c r="CD14" s="105" t="s">
        <v>8</v>
      </c>
      <c r="CE14" s="105" t="s">
        <v>8</v>
      </c>
      <c r="CF14" s="104"/>
      <c r="CG14" s="21"/>
    </row>
    <row r="15" spans="1:85" x14ac:dyDescent="0.25">
      <c r="A15" s="21"/>
      <c r="B15" s="21">
        <v>9</v>
      </c>
      <c r="C15" s="69" t="s">
        <v>75</v>
      </c>
      <c r="D15" s="93" t="s">
        <v>8</v>
      </c>
      <c r="E15" s="93" t="s">
        <v>8</v>
      </c>
      <c r="F15" s="93" t="s">
        <v>8</v>
      </c>
      <c r="G15" s="93" t="s">
        <v>8</v>
      </c>
      <c r="H15" s="93" t="s">
        <v>8</v>
      </c>
      <c r="I15" s="93" t="s">
        <v>8</v>
      </c>
      <c r="J15" s="90"/>
      <c r="K15" s="90"/>
      <c r="L15" s="91"/>
      <c r="M15" s="92"/>
      <c r="N15" s="92"/>
      <c r="O15" s="92"/>
      <c r="P15" s="92"/>
      <c r="Q15" s="92"/>
      <c r="R15" s="90"/>
      <c r="S15" s="94">
        <v>0</v>
      </c>
      <c r="T15" s="94">
        <v>0</v>
      </c>
      <c r="U15" s="94">
        <v>0</v>
      </c>
      <c r="V15" s="94">
        <v>0</v>
      </c>
      <c r="W15" s="94">
        <v>0</v>
      </c>
      <c r="X15" s="94">
        <v>0</v>
      </c>
      <c r="Y15" s="90"/>
      <c r="Z15" s="53"/>
      <c r="AA15" s="53"/>
      <c r="AB15" s="53"/>
      <c r="AC15" s="76"/>
      <c r="AD15" s="76"/>
      <c r="AE15" s="76"/>
      <c r="AF15" s="90"/>
      <c r="AG15" s="76"/>
      <c r="AH15" s="76"/>
      <c r="AI15" s="76"/>
      <c r="AJ15" s="76"/>
      <c r="AK15" s="76"/>
      <c r="AL15" s="76"/>
      <c r="AM15" s="90"/>
      <c r="AN15" s="76"/>
      <c r="AO15" s="76"/>
      <c r="AP15" s="76"/>
      <c r="AQ15" s="76"/>
      <c r="AR15" s="76"/>
      <c r="AS15" s="76"/>
      <c r="AT15" s="90"/>
      <c r="AU15" s="91"/>
      <c r="AV15" s="77"/>
      <c r="AW15" s="77"/>
      <c r="AX15" s="77"/>
      <c r="AY15" s="187" t="s">
        <v>8</v>
      </c>
      <c r="AZ15" s="98"/>
      <c r="BA15" s="96"/>
      <c r="BB15" s="96"/>
      <c r="BC15" s="97"/>
      <c r="BD15" s="186"/>
      <c r="BE15" s="186"/>
      <c r="BF15" s="186"/>
      <c r="BG15" s="186"/>
      <c r="BH15" s="186"/>
      <c r="BI15" s="186"/>
      <c r="BJ15" s="99"/>
      <c r="BK15" s="105"/>
      <c r="BL15" s="97"/>
      <c r="BM15" s="100">
        <v>0</v>
      </c>
      <c r="BN15" s="100">
        <v>0</v>
      </c>
      <c r="BO15" s="101" t="s">
        <v>8</v>
      </c>
      <c r="BP15" s="102" t="s">
        <v>8</v>
      </c>
      <c r="BQ15" s="90"/>
      <c r="BR15" s="141" t="s">
        <v>8</v>
      </c>
      <c r="BS15" s="103" t="s">
        <v>8</v>
      </c>
      <c r="BT15" s="103" t="s">
        <v>8</v>
      </c>
      <c r="BU15" s="141" t="s">
        <v>8</v>
      </c>
      <c r="BV15" s="153" t="s">
        <v>8</v>
      </c>
      <c r="BW15" s="153" t="s">
        <v>8</v>
      </c>
      <c r="BX15" s="90"/>
      <c r="BY15" s="104" t="s">
        <v>8</v>
      </c>
      <c r="BZ15" s="105"/>
      <c r="CA15" s="105"/>
      <c r="CB15" s="105"/>
      <c r="CC15" s="105" t="s">
        <v>8</v>
      </c>
      <c r="CD15" s="105" t="s">
        <v>8</v>
      </c>
      <c r="CE15" s="105" t="s">
        <v>8</v>
      </c>
      <c r="CF15" s="104"/>
      <c r="CG15" s="21"/>
    </row>
    <row r="16" spans="1:85" x14ac:dyDescent="0.25">
      <c r="A16" s="21"/>
      <c r="B16" s="21">
        <v>10</v>
      </c>
      <c r="C16" s="69" t="s">
        <v>76</v>
      </c>
      <c r="D16" s="93" t="s">
        <v>8</v>
      </c>
      <c r="E16" s="93" t="s">
        <v>8</v>
      </c>
      <c r="F16" s="93" t="s">
        <v>8</v>
      </c>
      <c r="G16" s="93" t="s">
        <v>8</v>
      </c>
      <c r="H16" s="93" t="s">
        <v>8</v>
      </c>
      <c r="I16" s="93" t="s">
        <v>8</v>
      </c>
      <c r="J16" s="90"/>
      <c r="K16" s="90"/>
      <c r="L16" s="91"/>
      <c r="M16" s="92"/>
      <c r="N16" s="92"/>
      <c r="O16" s="92"/>
      <c r="P16" s="92"/>
      <c r="Q16" s="92"/>
      <c r="R16" s="90"/>
      <c r="S16" s="94">
        <v>0</v>
      </c>
      <c r="T16" s="94">
        <v>0</v>
      </c>
      <c r="U16" s="94">
        <v>0</v>
      </c>
      <c r="V16" s="94">
        <v>0</v>
      </c>
      <c r="W16" s="94">
        <v>0</v>
      </c>
      <c r="X16" s="94">
        <v>0</v>
      </c>
      <c r="Y16" s="90"/>
      <c r="Z16" s="53"/>
      <c r="AA16" s="53"/>
      <c r="AB16" s="53"/>
      <c r="AC16" s="76"/>
      <c r="AD16" s="76"/>
      <c r="AE16" s="76"/>
      <c r="AF16" s="90"/>
      <c r="AG16" s="76"/>
      <c r="AH16" s="76"/>
      <c r="AI16" s="76"/>
      <c r="AJ16" s="76"/>
      <c r="AK16" s="76"/>
      <c r="AL16" s="76"/>
      <c r="AM16" s="90"/>
      <c r="AN16" s="76"/>
      <c r="AO16" s="76"/>
      <c r="AP16" s="76"/>
      <c r="AQ16" s="76"/>
      <c r="AR16" s="76"/>
      <c r="AS16" s="76"/>
      <c r="AT16" s="90"/>
      <c r="AU16" s="91"/>
      <c r="AV16" s="77"/>
      <c r="AW16" s="77"/>
      <c r="AX16" s="77"/>
      <c r="AY16" s="187" t="s">
        <v>8</v>
      </c>
      <c r="AZ16" s="98"/>
      <c r="BA16" s="96"/>
      <c r="BB16" s="96"/>
      <c r="BC16" s="97"/>
      <c r="BD16" s="186"/>
      <c r="BE16" s="186"/>
      <c r="BF16" s="186"/>
      <c r="BG16" s="186"/>
      <c r="BH16" s="186"/>
      <c r="BI16" s="186"/>
      <c r="BJ16" s="99"/>
      <c r="BK16" s="105"/>
      <c r="BL16" s="97"/>
      <c r="BM16" s="100">
        <v>0</v>
      </c>
      <c r="BN16" s="100">
        <v>0</v>
      </c>
      <c r="BO16" s="101" t="s">
        <v>8</v>
      </c>
      <c r="BP16" s="102" t="s">
        <v>8</v>
      </c>
      <c r="BQ16" s="90"/>
      <c r="BR16" s="141" t="s">
        <v>8</v>
      </c>
      <c r="BS16" s="103" t="s">
        <v>8</v>
      </c>
      <c r="BT16" s="103" t="s">
        <v>8</v>
      </c>
      <c r="BU16" s="141" t="s">
        <v>8</v>
      </c>
      <c r="BV16" s="153" t="s">
        <v>8</v>
      </c>
      <c r="BW16" s="153" t="s">
        <v>8</v>
      </c>
      <c r="BX16" s="90"/>
      <c r="BY16" s="104" t="s">
        <v>8</v>
      </c>
      <c r="BZ16" s="105"/>
      <c r="CA16" s="105"/>
      <c r="CB16" s="105"/>
      <c r="CC16" s="105" t="s">
        <v>8</v>
      </c>
      <c r="CD16" s="105" t="s">
        <v>8</v>
      </c>
      <c r="CE16" s="105" t="s">
        <v>8</v>
      </c>
      <c r="CF16" s="104"/>
      <c r="CG16" s="21"/>
    </row>
    <row r="17" spans="1:85" x14ac:dyDescent="0.25">
      <c r="A17" s="21"/>
      <c r="B17" s="21">
        <v>11</v>
      </c>
      <c r="C17" s="69" t="s">
        <v>77</v>
      </c>
      <c r="D17" s="93" t="s">
        <v>8</v>
      </c>
      <c r="E17" s="93" t="s">
        <v>8</v>
      </c>
      <c r="F17" s="93" t="s">
        <v>8</v>
      </c>
      <c r="G17" s="93" t="s">
        <v>8</v>
      </c>
      <c r="H17" s="93" t="s">
        <v>8</v>
      </c>
      <c r="I17" s="93" t="s">
        <v>8</v>
      </c>
      <c r="J17" s="90"/>
      <c r="K17" s="90"/>
      <c r="L17" s="91"/>
      <c r="M17" s="92"/>
      <c r="N17" s="92"/>
      <c r="O17" s="92"/>
      <c r="P17" s="92"/>
      <c r="Q17" s="92"/>
      <c r="R17" s="90"/>
      <c r="S17" s="94">
        <v>0</v>
      </c>
      <c r="T17" s="94">
        <v>0</v>
      </c>
      <c r="U17" s="94">
        <v>0</v>
      </c>
      <c r="V17" s="94">
        <v>0</v>
      </c>
      <c r="W17" s="94">
        <v>0</v>
      </c>
      <c r="X17" s="94">
        <v>0</v>
      </c>
      <c r="Y17" s="90"/>
      <c r="Z17" s="53"/>
      <c r="AA17" s="53"/>
      <c r="AB17" s="53"/>
      <c r="AC17" s="76"/>
      <c r="AD17" s="76"/>
      <c r="AE17" s="76"/>
      <c r="AF17" s="90"/>
      <c r="AG17" s="76"/>
      <c r="AH17" s="76"/>
      <c r="AI17" s="76"/>
      <c r="AJ17" s="76"/>
      <c r="AK17" s="76"/>
      <c r="AL17" s="76"/>
      <c r="AM17" s="90"/>
      <c r="AN17" s="76"/>
      <c r="AO17" s="76"/>
      <c r="AP17" s="76"/>
      <c r="AQ17" s="76"/>
      <c r="AR17" s="76"/>
      <c r="AS17" s="76"/>
      <c r="AT17" s="90"/>
      <c r="AU17" s="91"/>
      <c r="AV17" s="77"/>
      <c r="AW17" s="77"/>
      <c r="AX17" s="77"/>
      <c r="AY17" s="187" t="s">
        <v>8</v>
      </c>
      <c r="AZ17" s="98"/>
      <c r="BA17" s="96"/>
      <c r="BB17" s="98"/>
      <c r="BC17" s="97"/>
      <c r="BD17" s="186"/>
      <c r="BE17" s="186"/>
      <c r="BF17" s="186"/>
      <c r="BG17" s="186"/>
      <c r="BH17" s="186"/>
      <c r="BI17" s="186"/>
      <c r="BJ17" s="99"/>
      <c r="BK17" s="105"/>
      <c r="BL17" s="97"/>
      <c r="BM17" s="100">
        <v>0</v>
      </c>
      <c r="BN17" s="100">
        <v>0</v>
      </c>
      <c r="BO17" s="101" t="s">
        <v>8</v>
      </c>
      <c r="BP17" s="102" t="s">
        <v>8</v>
      </c>
      <c r="BQ17" s="90"/>
      <c r="BR17" s="141" t="s">
        <v>8</v>
      </c>
      <c r="BS17" s="103" t="s">
        <v>8</v>
      </c>
      <c r="BT17" s="103" t="s">
        <v>8</v>
      </c>
      <c r="BU17" s="141" t="s">
        <v>8</v>
      </c>
      <c r="BV17" s="153" t="s">
        <v>8</v>
      </c>
      <c r="BW17" s="153" t="s">
        <v>8</v>
      </c>
      <c r="BX17" s="90"/>
      <c r="BY17" s="104" t="s">
        <v>8</v>
      </c>
      <c r="BZ17" s="105"/>
      <c r="CA17" s="105"/>
      <c r="CB17" s="105"/>
      <c r="CC17" s="105" t="s">
        <v>8</v>
      </c>
      <c r="CD17" s="105" t="s">
        <v>8</v>
      </c>
      <c r="CE17" s="105" t="s">
        <v>8</v>
      </c>
      <c r="CF17" s="104"/>
      <c r="CG17" s="21"/>
    </row>
    <row r="18" spans="1:85" x14ac:dyDescent="0.25">
      <c r="A18" s="21"/>
      <c r="B18" s="21">
        <v>12</v>
      </c>
      <c r="C18" s="69" t="s">
        <v>175</v>
      </c>
      <c r="D18" s="93" t="s">
        <v>8</v>
      </c>
      <c r="E18" s="93" t="s">
        <v>8</v>
      </c>
      <c r="F18" s="93" t="s">
        <v>8</v>
      </c>
      <c r="G18" s="93" t="s">
        <v>8</v>
      </c>
      <c r="H18" s="93" t="s">
        <v>8</v>
      </c>
      <c r="I18" s="93" t="s">
        <v>8</v>
      </c>
      <c r="J18" s="90"/>
      <c r="K18" s="90"/>
      <c r="L18" s="91"/>
      <c r="M18" s="92"/>
      <c r="N18" s="92"/>
      <c r="O18" s="92"/>
      <c r="P18" s="92"/>
      <c r="Q18" s="92"/>
      <c r="R18" s="90"/>
      <c r="S18" s="94">
        <v>0</v>
      </c>
      <c r="T18" s="94">
        <v>0</v>
      </c>
      <c r="U18" s="94">
        <v>0</v>
      </c>
      <c r="V18" s="94">
        <v>0</v>
      </c>
      <c r="W18" s="94">
        <v>0</v>
      </c>
      <c r="X18" s="94">
        <v>0</v>
      </c>
      <c r="Y18" s="90"/>
      <c r="Z18" s="53"/>
      <c r="AA18" s="53"/>
      <c r="AB18" s="53"/>
      <c r="AC18" s="76"/>
      <c r="AD18" s="76"/>
      <c r="AE18" s="76"/>
      <c r="AF18" s="90"/>
      <c r="AG18" s="76"/>
      <c r="AH18" s="76"/>
      <c r="AI18" s="76"/>
      <c r="AJ18" s="76"/>
      <c r="AK18" s="76"/>
      <c r="AL18" s="76"/>
      <c r="AM18" s="90"/>
      <c r="AN18" s="76"/>
      <c r="AO18" s="76"/>
      <c r="AP18" s="76"/>
      <c r="AQ18" s="76"/>
      <c r="AR18" s="76"/>
      <c r="AS18" s="76"/>
      <c r="AT18" s="90"/>
      <c r="AU18" s="91"/>
      <c r="AV18" s="77"/>
      <c r="AW18" s="77"/>
      <c r="AX18" s="77"/>
      <c r="AY18" s="187" t="s">
        <v>8</v>
      </c>
      <c r="AZ18" s="98"/>
      <c r="BA18" s="96"/>
      <c r="BB18" s="98"/>
      <c r="BC18" s="97"/>
      <c r="BD18" s="186"/>
      <c r="BE18" s="186"/>
      <c r="BF18" s="186"/>
      <c r="BG18" s="186"/>
      <c r="BH18" s="186"/>
      <c r="BI18" s="186"/>
      <c r="BJ18" s="99"/>
      <c r="BK18" s="105"/>
      <c r="BL18" s="97"/>
      <c r="BM18" s="100">
        <v>0</v>
      </c>
      <c r="BN18" s="100">
        <v>0</v>
      </c>
      <c r="BO18" s="101" t="s">
        <v>8</v>
      </c>
      <c r="BP18" s="102" t="s">
        <v>8</v>
      </c>
      <c r="BQ18" s="90"/>
      <c r="BR18" s="141" t="s">
        <v>8</v>
      </c>
      <c r="BS18" s="103" t="s">
        <v>8</v>
      </c>
      <c r="BT18" s="103" t="s">
        <v>8</v>
      </c>
      <c r="BU18" s="141" t="s">
        <v>8</v>
      </c>
      <c r="BV18" s="153" t="s">
        <v>8</v>
      </c>
      <c r="BW18" s="153" t="s">
        <v>8</v>
      </c>
      <c r="BX18" s="90"/>
      <c r="BY18" s="104" t="s">
        <v>8</v>
      </c>
      <c r="BZ18" s="105"/>
      <c r="CA18" s="105"/>
      <c r="CB18" s="105"/>
      <c r="CC18" s="105" t="s">
        <v>8</v>
      </c>
      <c r="CD18" s="105" t="s">
        <v>8</v>
      </c>
      <c r="CE18" s="105" t="s">
        <v>8</v>
      </c>
      <c r="CF18" s="104"/>
      <c r="CG18" s="21"/>
    </row>
    <row r="19" spans="1:85" x14ac:dyDescent="0.25">
      <c r="A19" s="21"/>
      <c r="B19" s="21">
        <v>13</v>
      </c>
      <c r="C19" s="69" t="s">
        <v>176</v>
      </c>
      <c r="D19" s="93" t="s">
        <v>8</v>
      </c>
      <c r="E19" s="93" t="s">
        <v>8</v>
      </c>
      <c r="F19" s="93" t="s">
        <v>8</v>
      </c>
      <c r="G19" s="93" t="s">
        <v>8</v>
      </c>
      <c r="H19" s="93" t="s">
        <v>8</v>
      </c>
      <c r="I19" s="93" t="s">
        <v>8</v>
      </c>
      <c r="J19" s="90"/>
      <c r="K19" s="90"/>
      <c r="L19" s="91"/>
      <c r="M19" s="92"/>
      <c r="N19" s="92"/>
      <c r="O19" s="92"/>
      <c r="P19" s="92"/>
      <c r="Q19" s="92"/>
      <c r="R19" s="90"/>
      <c r="S19" s="94">
        <v>0</v>
      </c>
      <c r="T19" s="94">
        <v>0</v>
      </c>
      <c r="U19" s="94">
        <v>0</v>
      </c>
      <c r="V19" s="94">
        <v>0</v>
      </c>
      <c r="W19" s="94">
        <v>0</v>
      </c>
      <c r="X19" s="94">
        <v>0</v>
      </c>
      <c r="Y19" s="90"/>
      <c r="Z19" s="53"/>
      <c r="AA19" s="53"/>
      <c r="AB19" s="53"/>
      <c r="AC19" s="76"/>
      <c r="AD19" s="76"/>
      <c r="AE19" s="76"/>
      <c r="AF19" s="90"/>
      <c r="AG19" s="76"/>
      <c r="AH19" s="76"/>
      <c r="AI19" s="76"/>
      <c r="AJ19" s="76"/>
      <c r="AK19" s="76"/>
      <c r="AL19" s="76"/>
      <c r="AM19" s="90"/>
      <c r="AN19" s="76"/>
      <c r="AO19" s="76"/>
      <c r="AP19" s="76"/>
      <c r="AQ19" s="76"/>
      <c r="AR19" s="76"/>
      <c r="AS19" s="76"/>
      <c r="AT19" s="90"/>
      <c r="AU19" s="91"/>
      <c r="AV19" s="77"/>
      <c r="AW19" s="77"/>
      <c r="AX19" s="77"/>
      <c r="AY19" s="187" t="s">
        <v>8</v>
      </c>
      <c r="AZ19" s="98"/>
      <c r="BA19" s="96"/>
      <c r="BB19" s="98"/>
      <c r="BC19" s="97"/>
      <c r="BD19" s="186"/>
      <c r="BE19" s="186"/>
      <c r="BF19" s="186"/>
      <c r="BG19" s="186"/>
      <c r="BH19" s="186"/>
      <c r="BI19" s="186"/>
      <c r="BJ19" s="99"/>
      <c r="BK19" s="105"/>
      <c r="BL19" s="97"/>
      <c r="BM19" s="100">
        <v>0</v>
      </c>
      <c r="BN19" s="100">
        <v>0</v>
      </c>
      <c r="BO19" s="101" t="s">
        <v>8</v>
      </c>
      <c r="BP19" s="102" t="s">
        <v>8</v>
      </c>
      <c r="BQ19" s="90"/>
      <c r="BR19" s="141" t="s">
        <v>8</v>
      </c>
      <c r="BS19" s="103" t="s">
        <v>8</v>
      </c>
      <c r="BT19" s="103" t="s">
        <v>8</v>
      </c>
      <c r="BU19" s="141" t="s">
        <v>8</v>
      </c>
      <c r="BV19" s="153" t="s">
        <v>8</v>
      </c>
      <c r="BW19" s="153" t="s">
        <v>8</v>
      </c>
      <c r="BX19" s="90"/>
      <c r="BY19" s="104" t="s">
        <v>8</v>
      </c>
      <c r="BZ19" s="105"/>
      <c r="CA19" s="105"/>
      <c r="CB19" s="105"/>
      <c r="CC19" s="105" t="s">
        <v>8</v>
      </c>
      <c r="CD19" s="105" t="s">
        <v>8</v>
      </c>
      <c r="CE19" s="105" t="s">
        <v>8</v>
      </c>
      <c r="CF19" s="104"/>
      <c r="CG19" s="21"/>
    </row>
    <row r="20" spans="1:85" x14ac:dyDescent="0.25">
      <c r="A20" s="21"/>
      <c r="B20" s="21">
        <v>14</v>
      </c>
      <c r="C20" s="69" t="s">
        <v>177</v>
      </c>
      <c r="D20" s="93" t="s">
        <v>8</v>
      </c>
      <c r="E20" s="93" t="s">
        <v>8</v>
      </c>
      <c r="F20" s="93" t="s">
        <v>8</v>
      </c>
      <c r="G20" s="93" t="s">
        <v>8</v>
      </c>
      <c r="H20" s="93" t="s">
        <v>8</v>
      </c>
      <c r="I20" s="93" t="s">
        <v>8</v>
      </c>
      <c r="J20" s="90"/>
      <c r="K20" s="90"/>
      <c r="L20" s="91"/>
      <c r="M20" s="92"/>
      <c r="N20" s="92"/>
      <c r="O20" s="92"/>
      <c r="P20" s="92"/>
      <c r="Q20" s="92"/>
      <c r="R20" s="90"/>
      <c r="S20" s="94">
        <v>0</v>
      </c>
      <c r="T20" s="94">
        <v>0</v>
      </c>
      <c r="U20" s="94">
        <v>0</v>
      </c>
      <c r="V20" s="94">
        <v>0</v>
      </c>
      <c r="W20" s="94">
        <v>0</v>
      </c>
      <c r="X20" s="94">
        <v>0</v>
      </c>
      <c r="Y20" s="90"/>
      <c r="Z20" s="53"/>
      <c r="AA20" s="53"/>
      <c r="AB20" s="53"/>
      <c r="AC20" s="76"/>
      <c r="AD20" s="76"/>
      <c r="AE20" s="76"/>
      <c r="AF20" s="90"/>
      <c r="AG20" s="76"/>
      <c r="AH20" s="76"/>
      <c r="AI20" s="76"/>
      <c r="AJ20" s="76"/>
      <c r="AK20" s="76"/>
      <c r="AL20" s="76"/>
      <c r="AM20" s="90"/>
      <c r="AN20" s="76"/>
      <c r="AO20" s="76"/>
      <c r="AP20" s="76"/>
      <c r="AQ20" s="76"/>
      <c r="AR20" s="76"/>
      <c r="AS20" s="76"/>
      <c r="AT20" s="90"/>
      <c r="AU20" s="91"/>
      <c r="AV20" s="77"/>
      <c r="AW20" s="77"/>
      <c r="AX20" s="77"/>
      <c r="AY20" s="187" t="s">
        <v>8</v>
      </c>
      <c r="AZ20" s="98"/>
      <c r="BA20" s="96"/>
      <c r="BB20" s="98"/>
      <c r="BC20" s="97"/>
      <c r="BD20" s="186"/>
      <c r="BE20" s="186"/>
      <c r="BF20" s="186"/>
      <c r="BG20" s="186"/>
      <c r="BH20" s="186"/>
      <c r="BI20" s="186"/>
      <c r="BJ20" s="99"/>
      <c r="BK20" s="105"/>
      <c r="BL20" s="97"/>
      <c r="BM20" s="100">
        <v>0</v>
      </c>
      <c r="BN20" s="100">
        <v>0</v>
      </c>
      <c r="BO20" s="101" t="s">
        <v>8</v>
      </c>
      <c r="BP20" s="102" t="s">
        <v>8</v>
      </c>
      <c r="BQ20" s="90"/>
      <c r="BR20" s="141" t="s">
        <v>8</v>
      </c>
      <c r="BS20" s="103" t="s">
        <v>8</v>
      </c>
      <c r="BT20" s="103" t="s">
        <v>8</v>
      </c>
      <c r="BU20" s="141" t="s">
        <v>8</v>
      </c>
      <c r="BV20" s="153" t="s">
        <v>8</v>
      </c>
      <c r="BW20" s="153" t="s">
        <v>8</v>
      </c>
      <c r="BX20" s="90"/>
      <c r="BY20" s="104" t="s">
        <v>8</v>
      </c>
      <c r="BZ20" s="105"/>
      <c r="CA20" s="105"/>
      <c r="CB20" s="105"/>
      <c r="CC20" s="105" t="s">
        <v>8</v>
      </c>
      <c r="CD20" s="105" t="s">
        <v>8</v>
      </c>
      <c r="CE20" s="105" t="s">
        <v>8</v>
      </c>
      <c r="CF20" s="104"/>
      <c r="CG20" s="21"/>
    </row>
    <row r="21" spans="1:85" x14ac:dyDescent="0.25">
      <c r="A21" s="21"/>
      <c r="B21" s="21">
        <v>15</v>
      </c>
      <c r="C21" s="69" t="s">
        <v>178</v>
      </c>
      <c r="D21" s="93" t="s">
        <v>8</v>
      </c>
      <c r="E21" s="93" t="s">
        <v>8</v>
      </c>
      <c r="F21" s="93" t="s">
        <v>8</v>
      </c>
      <c r="G21" s="93" t="s">
        <v>8</v>
      </c>
      <c r="H21" s="93" t="s">
        <v>8</v>
      </c>
      <c r="I21" s="93" t="s">
        <v>8</v>
      </c>
      <c r="J21" s="90"/>
      <c r="K21" s="90"/>
      <c r="L21" s="91"/>
      <c r="M21" s="92"/>
      <c r="N21" s="92"/>
      <c r="O21" s="92"/>
      <c r="P21" s="92"/>
      <c r="Q21" s="92"/>
      <c r="R21" s="90"/>
      <c r="S21" s="94">
        <v>0</v>
      </c>
      <c r="T21" s="94">
        <v>0</v>
      </c>
      <c r="U21" s="94">
        <v>0</v>
      </c>
      <c r="V21" s="94">
        <v>0</v>
      </c>
      <c r="W21" s="94">
        <v>0</v>
      </c>
      <c r="X21" s="94">
        <v>0</v>
      </c>
      <c r="Y21" s="90"/>
      <c r="Z21" s="53"/>
      <c r="AA21" s="53"/>
      <c r="AB21" s="53"/>
      <c r="AC21" s="76"/>
      <c r="AD21" s="76"/>
      <c r="AE21" s="76"/>
      <c r="AF21" s="90"/>
      <c r="AG21" s="76"/>
      <c r="AH21" s="76"/>
      <c r="AI21" s="76"/>
      <c r="AJ21" s="76"/>
      <c r="AK21" s="76"/>
      <c r="AL21" s="76"/>
      <c r="AM21" s="90"/>
      <c r="AN21" s="76"/>
      <c r="AO21" s="76"/>
      <c r="AP21" s="76"/>
      <c r="AQ21" s="76"/>
      <c r="AR21" s="76"/>
      <c r="AS21" s="76"/>
      <c r="AT21" s="90"/>
      <c r="AU21" s="91"/>
      <c r="AV21" s="77"/>
      <c r="AW21" s="77"/>
      <c r="AX21" s="77"/>
      <c r="AY21" s="187" t="s">
        <v>8</v>
      </c>
      <c r="AZ21" s="98"/>
      <c r="BA21" s="96"/>
      <c r="BB21" s="98"/>
      <c r="BC21" s="97"/>
      <c r="BD21" s="186"/>
      <c r="BE21" s="186"/>
      <c r="BF21" s="186"/>
      <c r="BG21" s="186"/>
      <c r="BH21" s="186"/>
      <c r="BI21" s="186"/>
      <c r="BJ21" s="99"/>
      <c r="BK21" s="105"/>
      <c r="BL21" s="97"/>
      <c r="BM21" s="100">
        <v>0</v>
      </c>
      <c r="BN21" s="100">
        <v>0</v>
      </c>
      <c r="BO21" s="101" t="s">
        <v>8</v>
      </c>
      <c r="BP21" s="102" t="s">
        <v>8</v>
      </c>
      <c r="BQ21" s="90"/>
      <c r="BR21" s="141" t="s">
        <v>8</v>
      </c>
      <c r="BS21" s="103" t="s">
        <v>8</v>
      </c>
      <c r="BT21" s="103" t="s">
        <v>8</v>
      </c>
      <c r="BU21" s="141" t="s">
        <v>8</v>
      </c>
      <c r="BV21" s="153" t="s">
        <v>8</v>
      </c>
      <c r="BW21" s="153" t="s">
        <v>8</v>
      </c>
      <c r="BX21" s="90"/>
      <c r="BY21" s="104" t="s">
        <v>8</v>
      </c>
      <c r="BZ21" s="105"/>
      <c r="CA21" s="105"/>
      <c r="CB21" s="105"/>
      <c r="CC21" s="105" t="s">
        <v>8</v>
      </c>
      <c r="CD21" s="105" t="s">
        <v>8</v>
      </c>
      <c r="CE21" s="105" t="s">
        <v>8</v>
      </c>
      <c r="CF21" s="104"/>
      <c r="CG21" s="21"/>
    </row>
    <row r="22" spans="1:85" x14ac:dyDescent="0.25">
      <c r="A22" s="71"/>
      <c r="B22" s="71">
        <v>16</v>
      </c>
      <c r="C22" s="69" t="s">
        <v>179</v>
      </c>
      <c r="D22" s="93" t="s">
        <v>8</v>
      </c>
      <c r="E22" s="93" t="s">
        <v>8</v>
      </c>
      <c r="F22" s="93" t="s">
        <v>8</v>
      </c>
      <c r="G22" s="93" t="s">
        <v>8</v>
      </c>
      <c r="H22" s="93" t="s">
        <v>8</v>
      </c>
      <c r="I22" s="93" t="s">
        <v>8</v>
      </c>
      <c r="J22" s="90"/>
      <c r="K22" s="90"/>
      <c r="L22" s="91"/>
      <c r="M22" s="92"/>
      <c r="N22" s="92"/>
      <c r="O22" s="92"/>
      <c r="P22" s="92"/>
      <c r="Q22" s="92"/>
      <c r="R22" s="90"/>
      <c r="S22" s="94">
        <v>0</v>
      </c>
      <c r="T22" s="94">
        <v>0</v>
      </c>
      <c r="U22" s="94">
        <v>0</v>
      </c>
      <c r="V22" s="94">
        <v>0</v>
      </c>
      <c r="W22" s="94">
        <v>0</v>
      </c>
      <c r="X22" s="94">
        <v>0</v>
      </c>
      <c r="Y22" s="90"/>
      <c r="Z22" s="53"/>
      <c r="AA22" s="53"/>
      <c r="AB22" s="53"/>
      <c r="AC22" s="76"/>
      <c r="AD22" s="76"/>
      <c r="AE22" s="76"/>
      <c r="AF22" s="90"/>
      <c r="AG22" s="51"/>
      <c r="AH22" s="51"/>
      <c r="AI22" s="51"/>
      <c r="AJ22" s="76"/>
      <c r="AK22" s="76"/>
      <c r="AL22" s="76"/>
      <c r="AM22" s="90"/>
      <c r="AN22" s="76"/>
      <c r="AO22" s="76"/>
      <c r="AP22" s="76"/>
      <c r="AQ22" s="76"/>
      <c r="AR22" s="76"/>
      <c r="AS22" s="76"/>
      <c r="AT22" s="90"/>
      <c r="AU22" s="91"/>
      <c r="AV22" s="77"/>
      <c r="AW22" s="77"/>
      <c r="AX22" s="77"/>
      <c r="AY22" s="187" t="s">
        <v>8</v>
      </c>
      <c r="AZ22" s="98"/>
      <c r="BA22" s="98"/>
      <c r="BB22" s="98"/>
      <c r="BC22" s="97"/>
      <c r="BD22" s="186"/>
      <c r="BE22" s="186"/>
      <c r="BF22" s="186"/>
      <c r="BG22" s="186"/>
      <c r="BH22" s="186"/>
      <c r="BI22" s="186"/>
      <c r="BJ22" s="99"/>
      <c r="BK22" s="105"/>
      <c r="BL22" s="97"/>
      <c r="BM22" s="100">
        <v>0</v>
      </c>
      <c r="BN22" s="100">
        <v>0</v>
      </c>
      <c r="BO22" s="101" t="s">
        <v>8</v>
      </c>
      <c r="BP22" s="102" t="s">
        <v>8</v>
      </c>
      <c r="BQ22" s="90"/>
      <c r="BR22" s="141" t="s">
        <v>8</v>
      </c>
      <c r="BS22" s="103" t="s">
        <v>8</v>
      </c>
      <c r="BT22" s="103" t="s">
        <v>8</v>
      </c>
      <c r="BU22" s="141" t="s">
        <v>8</v>
      </c>
      <c r="BV22" s="153" t="s">
        <v>8</v>
      </c>
      <c r="BW22" s="153" t="s">
        <v>8</v>
      </c>
      <c r="BX22" s="90"/>
      <c r="BY22" s="104" t="s">
        <v>8</v>
      </c>
      <c r="BZ22" s="105"/>
      <c r="CA22" s="105"/>
      <c r="CB22" s="105"/>
      <c r="CC22" s="105" t="s">
        <v>8</v>
      </c>
      <c r="CD22" s="105" t="s">
        <v>8</v>
      </c>
      <c r="CE22" s="105" t="s">
        <v>8</v>
      </c>
      <c r="CF22" s="104"/>
      <c r="CG22" s="71"/>
    </row>
    <row r="23" spans="1:85" x14ac:dyDescent="0.25">
      <c r="A23" s="21"/>
      <c r="B23" s="21"/>
      <c r="C23" s="25"/>
      <c r="D23" s="95"/>
      <c r="E23" s="95"/>
      <c r="F23" s="95"/>
      <c r="G23" s="95"/>
      <c r="H23" s="95"/>
      <c r="I23" s="95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21"/>
      <c r="AA23" s="21"/>
      <c r="AB23" s="21"/>
      <c r="AC23" s="21"/>
      <c r="AD23" s="21"/>
      <c r="AE23" s="21"/>
      <c r="AF23" s="90"/>
      <c r="AG23" s="21"/>
      <c r="AH23" s="21"/>
      <c r="AI23" s="21"/>
      <c r="AJ23" s="21"/>
      <c r="AK23" s="21"/>
      <c r="AL23" s="21"/>
      <c r="AM23" s="90"/>
      <c r="AN23" s="24"/>
      <c r="AO23" s="24"/>
      <c r="AP23" s="24"/>
      <c r="AQ23" s="24"/>
      <c r="AR23" s="24"/>
      <c r="AS23" s="24"/>
      <c r="AT23" s="90"/>
      <c r="AU23" s="90"/>
      <c r="AV23" s="21"/>
      <c r="AW23" s="21"/>
      <c r="AX23" s="21"/>
      <c r="AY23" s="90"/>
      <c r="AZ23" s="90"/>
      <c r="BA23" s="90"/>
      <c r="BB23" s="90"/>
      <c r="BC23" s="97"/>
      <c r="BD23" s="106"/>
      <c r="BE23" s="148"/>
      <c r="BF23" s="106"/>
      <c r="BG23" s="106"/>
      <c r="BH23" s="106"/>
      <c r="BI23" s="106"/>
      <c r="BJ23" s="99"/>
      <c r="BK23" s="99"/>
      <c r="BL23" s="99"/>
      <c r="BM23" s="90"/>
      <c r="BN23" s="90"/>
      <c r="BO23" s="90"/>
      <c r="BP23" s="90"/>
      <c r="BQ23" s="90"/>
      <c r="BR23" s="90"/>
      <c r="BS23" s="90"/>
      <c r="BT23" s="107"/>
      <c r="BU23" s="90"/>
      <c r="BV23" s="90"/>
      <c r="BW23" s="90"/>
      <c r="BX23" s="90"/>
      <c r="BY23" s="90"/>
      <c r="BZ23" s="90"/>
      <c r="CA23" s="90"/>
      <c r="CB23" s="90"/>
      <c r="CC23" s="21"/>
      <c r="CD23" s="21"/>
      <c r="CE23" s="21"/>
      <c r="CF23" s="90"/>
      <c r="CG23" s="21"/>
    </row>
    <row r="24" spans="1:85" x14ac:dyDescent="0.25">
      <c r="A24" s="21"/>
      <c r="B24" s="21"/>
      <c r="C24" s="25" t="s">
        <v>78</v>
      </c>
      <c r="D24" s="21"/>
      <c r="E24" s="24"/>
      <c r="F24" s="21"/>
      <c r="G24" s="21"/>
      <c r="H24" s="21"/>
      <c r="I24" s="21"/>
      <c r="J24" s="21"/>
      <c r="K24" s="21"/>
      <c r="L24" s="21"/>
      <c r="M24" s="35"/>
      <c r="N24" s="35"/>
      <c r="O24" s="35"/>
      <c r="P24" s="35"/>
      <c r="Q24" s="35"/>
      <c r="R24" s="24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4"/>
      <c r="AO24" s="24"/>
      <c r="AP24" s="24"/>
      <c r="AQ24" s="24"/>
      <c r="AR24" s="24"/>
      <c r="AS24" s="24"/>
      <c r="AT24" s="21"/>
      <c r="AU24" s="21"/>
      <c r="AV24" s="21"/>
      <c r="AW24" s="21"/>
      <c r="AX24" s="21"/>
      <c r="AY24" s="21"/>
      <c r="AZ24" s="21"/>
      <c r="BA24" s="21"/>
      <c r="BB24" s="21"/>
      <c r="BC24" s="26"/>
      <c r="BD24" s="23"/>
      <c r="BE24" s="23"/>
      <c r="BF24" s="23"/>
      <c r="BG24" s="23"/>
      <c r="BH24" s="23"/>
      <c r="BI24" s="23"/>
      <c r="BJ24" s="34"/>
      <c r="BK24" s="34"/>
      <c r="BL24" s="34"/>
      <c r="BM24" s="21"/>
      <c r="BN24" s="21"/>
      <c r="BO24" s="21"/>
      <c r="BP24" s="21"/>
      <c r="BQ24" s="21"/>
      <c r="BR24" s="21"/>
      <c r="BS24" s="21"/>
      <c r="BT24" s="65"/>
      <c r="BU24" s="21"/>
      <c r="BV24" s="21"/>
      <c r="BW24" s="21"/>
      <c r="BX24" s="21"/>
      <c r="BY24" s="21"/>
      <c r="BZ24" s="90"/>
      <c r="CA24" s="21"/>
      <c r="CB24" s="21"/>
      <c r="CC24" s="21"/>
      <c r="CD24" s="21"/>
      <c r="CE24" s="21"/>
      <c r="CF24" s="32"/>
      <c r="CG24" s="21"/>
    </row>
    <row r="25" spans="1:85" x14ac:dyDescent="0.25">
      <c r="A25" s="71"/>
      <c r="B25" s="71"/>
      <c r="C25" s="133"/>
      <c r="D25" s="21"/>
      <c r="E25" s="24"/>
      <c r="F25" s="21"/>
      <c r="G25" s="21"/>
      <c r="H25" s="21"/>
      <c r="I25" s="21"/>
      <c r="J25" s="71"/>
      <c r="K25" s="21"/>
      <c r="L25" s="135"/>
      <c r="M25" s="71"/>
      <c r="N25" s="71"/>
      <c r="O25" s="71"/>
      <c r="P25" s="71"/>
      <c r="Q25" s="71"/>
      <c r="R25" s="131"/>
      <c r="S25" s="71"/>
      <c r="T25" s="71"/>
      <c r="U25" s="71"/>
      <c r="V25" s="71"/>
      <c r="W25" s="71"/>
      <c r="X25" s="71"/>
      <c r="Y25" s="71"/>
      <c r="Z25" s="21"/>
      <c r="AA25" s="21"/>
      <c r="AB25" s="21"/>
      <c r="AC25" s="21"/>
      <c r="AD25" s="21"/>
      <c r="AE25" s="21"/>
      <c r="AF25" s="71"/>
      <c r="AG25" s="21"/>
      <c r="AH25" s="21"/>
      <c r="AI25" s="21"/>
      <c r="AJ25" s="21"/>
      <c r="AK25" s="21"/>
      <c r="AL25" s="21"/>
      <c r="AM25" s="71"/>
      <c r="AN25" s="24"/>
      <c r="AO25" s="24"/>
      <c r="AP25" s="24"/>
      <c r="AQ25" s="24"/>
      <c r="AR25" s="24"/>
      <c r="AS25" s="24"/>
      <c r="AT25" s="71"/>
      <c r="AU25" s="71"/>
      <c r="AV25" s="21"/>
      <c r="AW25" s="21"/>
      <c r="AX25" s="21"/>
      <c r="AY25" s="71"/>
      <c r="AZ25" s="71"/>
      <c r="BA25" s="71"/>
      <c r="BB25" s="71"/>
      <c r="BC25" s="73"/>
      <c r="BD25" s="132"/>
      <c r="BE25" s="132"/>
      <c r="BF25" s="132"/>
      <c r="BG25" s="132"/>
      <c r="BH25" s="132"/>
      <c r="BI25" s="132"/>
      <c r="BJ25" s="74"/>
      <c r="BK25" s="74"/>
      <c r="BL25" s="74"/>
      <c r="BM25" s="71"/>
      <c r="BN25" s="71"/>
      <c r="BO25" s="71"/>
      <c r="BP25" s="71"/>
      <c r="BQ25" s="71"/>
      <c r="BR25" s="71"/>
      <c r="BS25" s="71"/>
      <c r="BT25" s="137"/>
      <c r="BU25" s="71"/>
      <c r="BV25" s="71"/>
      <c r="BW25" s="71"/>
      <c r="BX25" s="71"/>
      <c r="BY25" s="71"/>
      <c r="BZ25" s="71"/>
      <c r="CA25" s="71"/>
      <c r="CB25" s="71"/>
      <c r="CC25" s="21"/>
      <c r="CD25" s="21"/>
      <c r="CE25" s="21"/>
      <c r="CF25" s="71"/>
      <c r="CG25" s="71"/>
    </row>
    <row r="26" spans="1:85" x14ac:dyDescent="0.25">
      <c r="A26" s="71"/>
      <c r="B26" s="71"/>
      <c r="C26" s="134"/>
      <c r="D26" s="21"/>
      <c r="E26" s="24"/>
      <c r="F26" s="21"/>
      <c r="G26" s="21"/>
      <c r="H26" s="21"/>
      <c r="I26" s="21"/>
      <c r="J26" s="71"/>
      <c r="K26" s="21"/>
      <c r="L26" s="71"/>
      <c r="M26" s="71"/>
      <c r="N26" s="71"/>
      <c r="O26" s="71"/>
      <c r="P26" s="71"/>
      <c r="Q26" s="71"/>
      <c r="R26" s="131"/>
      <c r="S26" s="71"/>
      <c r="T26" s="136"/>
      <c r="U26" s="71"/>
      <c r="V26" s="71"/>
      <c r="W26" s="71"/>
      <c r="X26" s="71"/>
      <c r="Y26" s="71"/>
      <c r="Z26" s="21"/>
      <c r="AA26" s="21"/>
      <c r="AB26" s="21"/>
      <c r="AC26" s="21"/>
      <c r="AD26" s="21"/>
      <c r="AE26" s="21"/>
      <c r="AF26" s="71"/>
      <c r="AG26" s="21"/>
      <c r="AH26" s="21"/>
      <c r="AI26" s="21"/>
      <c r="AJ26" s="21"/>
      <c r="AK26" s="21"/>
      <c r="AL26" s="21"/>
      <c r="AM26" s="71"/>
      <c r="AN26" s="24"/>
      <c r="AO26" s="24"/>
      <c r="AP26" s="24"/>
      <c r="AQ26" s="24"/>
      <c r="AR26" s="24"/>
      <c r="AS26" s="24"/>
      <c r="AT26" s="71"/>
      <c r="AU26" s="71"/>
      <c r="AV26" s="21"/>
      <c r="AW26" s="21"/>
      <c r="AX26" s="21"/>
      <c r="AY26" s="71"/>
      <c r="AZ26" s="71"/>
      <c r="BA26" s="71"/>
      <c r="BB26" s="71"/>
      <c r="BC26" s="73"/>
      <c r="BD26" s="132"/>
      <c r="BE26" s="132"/>
      <c r="BF26" s="132"/>
      <c r="BG26" s="132"/>
      <c r="BH26" s="132"/>
      <c r="BI26" s="132"/>
      <c r="BJ26" s="74"/>
      <c r="BK26" s="74"/>
      <c r="BL26" s="74"/>
      <c r="BM26" s="71"/>
      <c r="BN26" s="71"/>
      <c r="BO26" s="71"/>
      <c r="BP26" s="71"/>
      <c r="BQ26" s="71"/>
      <c r="BR26" s="71"/>
      <c r="BS26" s="71"/>
      <c r="BT26" s="137"/>
      <c r="BU26" s="71"/>
      <c r="BV26" s="71"/>
      <c r="BW26" s="71"/>
      <c r="BX26" s="71"/>
      <c r="BY26" s="71"/>
      <c r="BZ26" s="71"/>
      <c r="CA26" s="71"/>
      <c r="CB26" s="71"/>
      <c r="CC26" s="21"/>
      <c r="CD26" s="21"/>
      <c r="CE26" s="21"/>
      <c r="CF26" s="71"/>
      <c r="CG26" s="71"/>
    </row>
    <row r="27" spans="1:85" x14ac:dyDescent="0.25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4"/>
      <c r="AO27" s="24"/>
      <c r="AP27" s="24"/>
      <c r="AQ27" s="24"/>
      <c r="AR27" s="24"/>
      <c r="AS27" s="24"/>
      <c r="AT27" s="21"/>
      <c r="AU27" s="21"/>
      <c r="AV27" s="21"/>
      <c r="AW27" s="21"/>
      <c r="AX27" s="21"/>
      <c r="AY27" s="21"/>
      <c r="AZ27" s="21"/>
      <c r="BA27" s="21"/>
      <c r="BB27" s="21"/>
      <c r="BC27" s="26"/>
      <c r="BD27" s="23"/>
      <c r="BE27" s="23"/>
      <c r="BF27" s="23"/>
      <c r="BG27" s="23"/>
      <c r="BH27" s="23"/>
      <c r="BI27" s="23"/>
      <c r="BJ27" s="34"/>
      <c r="BK27" s="34"/>
      <c r="BL27" s="34"/>
      <c r="BM27" s="21"/>
      <c r="BN27" s="21"/>
      <c r="BO27" s="21"/>
      <c r="BP27" s="21"/>
      <c r="BQ27" s="21"/>
      <c r="BR27" s="21"/>
      <c r="BS27" s="21"/>
      <c r="BT27" s="65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</row>
    <row r="28" spans="1:85" ht="25.5" x14ac:dyDescent="0.25">
      <c r="A28" s="121"/>
      <c r="B28" s="121"/>
      <c r="C28" s="121"/>
      <c r="D28" s="121" t="s">
        <v>8</v>
      </c>
      <c r="E28" s="184"/>
      <c r="F28" s="184"/>
      <c r="G28" s="121"/>
      <c r="H28" s="121"/>
      <c r="I28" s="121"/>
      <c r="J28" s="184"/>
      <c r="K28" s="121"/>
      <c r="L28" s="121"/>
      <c r="M28" s="184"/>
      <c r="N28" s="184"/>
      <c r="O28" s="121"/>
      <c r="P28" s="121"/>
      <c r="Q28" s="121"/>
      <c r="R28" s="184"/>
      <c r="S28" s="121" t="s">
        <v>8</v>
      </c>
      <c r="T28" s="184" t="s">
        <v>8</v>
      </c>
      <c r="U28" s="184" t="s">
        <v>8</v>
      </c>
      <c r="V28" s="121" t="s">
        <v>8</v>
      </c>
      <c r="W28" s="121" t="s">
        <v>8</v>
      </c>
      <c r="X28" s="121" t="s">
        <v>8</v>
      </c>
      <c r="Y28" s="184"/>
      <c r="Z28" s="115" t="s">
        <v>8</v>
      </c>
      <c r="AA28" s="115" t="s">
        <v>8</v>
      </c>
      <c r="AB28" s="115" t="s">
        <v>8</v>
      </c>
      <c r="AC28" s="115" t="s">
        <v>8</v>
      </c>
      <c r="AD28" s="115" t="s">
        <v>8</v>
      </c>
      <c r="AE28" s="115" t="s">
        <v>8</v>
      </c>
      <c r="AF28" s="114"/>
      <c r="AG28" s="121" t="s">
        <v>8</v>
      </c>
      <c r="AH28" s="121" t="s">
        <v>8</v>
      </c>
      <c r="AI28" s="121" t="s">
        <v>8</v>
      </c>
      <c r="AJ28" s="121" t="s">
        <v>8</v>
      </c>
      <c r="AK28" s="121" t="s">
        <v>8</v>
      </c>
      <c r="AL28" s="121" t="s">
        <v>8</v>
      </c>
      <c r="AM28" s="184"/>
      <c r="AN28" s="121"/>
      <c r="AO28" s="121"/>
      <c r="AP28" s="121"/>
      <c r="AQ28" s="121"/>
      <c r="AR28" s="121"/>
      <c r="AS28" s="121"/>
      <c r="AT28" s="184"/>
      <c r="AU28" s="184"/>
      <c r="AV28" s="117" t="s">
        <v>8</v>
      </c>
      <c r="AW28" s="117" t="s">
        <v>8</v>
      </c>
      <c r="AX28" s="117" t="s">
        <v>8</v>
      </c>
      <c r="AY28" s="117"/>
      <c r="AZ28" s="155" t="s">
        <v>63</v>
      </c>
      <c r="BA28" s="117" t="s">
        <v>8</v>
      </c>
      <c r="BB28" s="117" t="s">
        <v>8</v>
      </c>
      <c r="BC28" s="117"/>
      <c r="BD28" s="117" t="s">
        <v>8</v>
      </c>
      <c r="BE28" s="117" t="s">
        <v>8</v>
      </c>
      <c r="BF28" s="117" t="s">
        <v>8</v>
      </c>
      <c r="BG28" s="117" t="s">
        <v>8</v>
      </c>
      <c r="BH28" s="117" t="s">
        <v>8</v>
      </c>
      <c r="BI28" s="117" t="s">
        <v>8</v>
      </c>
      <c r="BJ28" s="184"/>
      <c r="BK28" s="184"/>
      <c r="BL28" s="184"/>
      <c r="BM28" s="184"/>
      <c r="BN28" s="184"/>
      <c r="BO28" s="184"/>
      <c r="BP28" s="184"/>
      <c r="BQ28" s="184"/>
      <c r="BR28" s="184"/>
      <c r="BS28" s="184"/>
      <c r="BT28" s="184"/>
      <c r="BU28" s="184"/>
      <c r="BV28" s="184"/>
      <c r="BW28" s="184"/>
      <c r="BX28" s="184"/>
      <c r="BY28" s="184"/>
      <c r="BZ28" s="117" t="s">
        <v>4</v>
      </c>
      <c r="CA28" s="117" t="s">
        <v>8</v>
      </c>
      <c r="CB28" s="117" t="s">
        <v>8</v>
      </c>
      <c r="CC28" s="117" t="s">
        <v>8</v>
      </c>
      <c r="CD28" s="117" t="s">
        <v>8</v>
      </c>
      <c r="CE28" s="117" t="s">
        <v>8</v>
      </c>
      <c r="CF28" s="121"/>
      <c r="CG28" s="121"/>
    </row>
    <row r="29" spans="1:85" ht="102" x14ac:dyDescent="0.25">
      <c r="A29" s="71"/>
      <c r="B29" s="71"/>
      <c r="C29" s="127" t="s">
        <v>64</v>
      </c>
      <c r="D29" s="128" t="s">
        <v>148</v>
      </c>
      <c r="E29" s="128" t="s">
        <v>149</v>
      </c>
      <c r="F29" s="128" t="s">
        <v>150</v>
      </c>
      <c r="G29" s="128" t="s">
        <v>151</v>
      </c>
      <c r="H29" s="128" t="s">
        <v>152</v>
      </c>
      <c r="I29" s="128" t="s">
        <v>153</v>
      </c>
      <c r="J29" s="71"/>
      <c r="K29" s="71"/>
      <c r="L29" s="128" t="s">
        <v>148</v>
      </c>
      <c r="M29" s="128" t="s">
        <v>149</v>
      </c>
      <c r="N29" s="128" t="s">
        <v>150</v>
      </c>
      <c r="O29" s="128" t="s">
        <v>151</v>
      </c>
      <c r="P29" s="128" t="s">
        <v>152</v>
      </c>
      <c r="Q29" s="128" t="s">
        <v>153</v>
      </c>
      <c r="R29" s="71"/>
      <c r="S29" s="128" t="s">
        <v>148</v>
      </c>
      <c r="T29" s="128" t="s">
        <v>149</v>
      </c>
      <c r="U29" s="128" t="s">
        <v>150</v>
      </c>
      <c r="V29" s="128" t="s">
        <v>151</v>
      </c>
      <c r="W29" s="128" t="s">
        <v>152</v>
      </c>
      <c r="X29" s="128" t="s">
        <v>153</v>
      </c>
      <c r="Y29" s="71"/>
      <c r="Z29" s="128" t="s">
        <v>148</v>
      </c>
      <c r="AA29" s="128" t="s">
        <v>149</v>
      </c>
      <c r="AB29" s="128" t="s">
        <v>150</v>
      </c>
      <c r="AC29" s="128" t="s">
        <v>151</v>
      </c>
      <c r="AD29" s="128" t="s">
        <v>152</v>
      </c>
      <c r="AE29" s="128" t="s">
        <v>153</v>
      </c>
      <c r="AF29" s="71"/>
      <c r="AG29" s="128" t="s">
        <v>148</v>
      </c>
      <c r="AH29" s="128" t="s">
        <v>149</v>
      </c>
      <c r="AI29" s="128" t="s">
        <v>150</v>
      </c>
      <c r="AJ29" s="128" t="s">
        <v>151</v>
      </c>
      <c r="AK29" s="128" t="s">
        <v>152</v>
      </c>
      <c r="AL29" s="128" t="s">
        <v>153</v>
      </c>
      <c r="AM29" s="71"/>
      <c r="AN29" s="127" t="s">
        <v>249</v>
      </c>
      <c r="AO29" s="127" t="s">
        <v>250</v>
      </c>
      <c r="AP29" s="127" t="s">
        <v>251</v>
      </c>
      <c r="AQ29" s="127" t="s">
        <v>180</v>
      </c>
      <c r="AR29" s="127" t="s">
        <v>181</v>
      </c>
      <c r="AS29" s="127" t="s">
        <v>182</v>
      </c>
      <c r="AT29" s="71"/>
      <c r="AU29" s="127" t="s">
        <v>183</v>
      </c>
      <c r="AV29" s="127" t="s">
        <v>65</v>
      </c>
      <c r="AW29" s="127" t="s">
        <v>66</v>
      </c>
      <c r="AX29" s="127" t="s">
        <v>67</v>
      </c>
      <c r="AY29" s="127" t="s">
        <v>184</v>
      </c>
      <c r="AZ29" s="127" t="s">
        <v>16</v>
      </c>
      <c r="BA29" s="127" t="s">
        <v>17</v>
      </c>
      <c r="BB29" s="127" t="s">
        <v>18</v>
      </c>
      <c r="BC29" s="73"/>
      <c r="BD29" s="128" t="s">
        <v>148</v>
      </c>
      <c r="BE29" s="128" t="s">
        <v>149</v>
      </c>
      <c r="BF29" s="128" t="s">
        <v>150</v>
      </c>
      <c r="BG29" s="128" t="s">
        <v>151</v>
      </c>
      <c r="BH29" s="128" t="s">
        <v>152</v>
      </c>
      <c r="BI29" s="128" t="s">
        <v>153</v>
      </c>
      <c r="BJ29" s="74"/>
      <c r="BK29" s="127" t="s">
        <v>228</v>
      </c>
      <c r="BL29" s="74"/>
      <c r="BM29" s="127" t="s">
        <v>195</v>
      </c>
      <c r="BN29" s="127" t="s">
        <v>194</v>
      </c>
      <c r="BO29" s="127" t="s">
        <v>117</v>
      </c>
      <c r="BP29" s="127" t="s">
        <v>118</v>
      </c>
      <c r="BQ29" s="71"/>
      <c r="BR29" s="128" t="s">
        <v>2</v>
      </c>
      <c r="BS29" s="130" t="s">
        <v>192</v>
      </c>
      <c r="BT29" s="127" t="s">
        <v>193</v>
      </c>
      <c r="BU29" s="127" t="s">
        <v>214</v>
      </c>
      <c r="BV29" s="127" t="s">
        <v>215</v>
      </c>
      <c r="BW29" s="127" t="s">
        <v>216</v>
      </c>
      <c r="BX29" s="71"/>
      <c r="BY29" s="127" t="s">
        <v>5</v>
      </c>
      <c r="BZ29" s="127" t="s">
        <v>16</v>
      </c>
      <c r="CA29" s="127" t="s">
        <v>17</v>
      </c>
      <c r="CB29" s="127" t="s">
        <v>18</v>
      </c>
      <c r="CC29" s="127" t="s">
        <v>16</v>
      </c>
      <c r="CD29" s="127" t="s">
        <v>17</v>
      </c>
      <c r="CE29" s="127" t="s">
        <v>18</v>
      </c>
      <c r="CF29" s="127" t="s">
        <v>107</v>
      </c>
      <c r="CG29" s="71"/>
    </row>
    <row r="30" spans="1:85" x14ac:dyDescent="0.25">
      <c r="A30" s="21"/>
      <c r="B30" s="21"/>
      <c r="C30" s="69" t="s">
        <v>13</v>
      </c>
      <c r="D30" s="108">
        <v>0</v>
      </c>
      <c r="E30" s="108">
        <v>0</v>
      </c>
      <c r="F30" s="108">
        <v>0</v>
      </c>
      <c r="G30" s="108">
        <v>0</v>
      </c>
      <c r="H30" s="108">
        <v>0</v>
      </c>
      <c r="I30" s="108">
        <v>0</v>
      </c>
      <c r="J30" s="90"/>
      <c r="K30" s="90"/>
      <c r="L30" s="108">
        <v>0</v>
      </c>
      <c r="M30" s="108">
        <v>0</v>
      </c>
      <c r="N30" s="108">
        <v>0</v>
      </c>
      <c r="O30" s="108">
        <v>0</v>
      </c>
      <c r="P30" s="108">
        <v>0</v>
      </c>
      <c r="Q30" s="108">
        <v>0</v>
      </c>
      <c r="R30" s="90"/>
      <c r="S30" s="109" t="s">
        <v>8</v>
      </c>
      <c r="T30" s="109" t="s">
        <v>8</v>
      </c>
      <c r="U30" s="109" t="s">
        <v>8</v>
      </c>
      <c r="V30" s="109" t="s">
        <v>8</v>
      </c>
      <c r="W30" s="109" t="s">
        <v>8</v>
      </c>
      <c r="X30" s="109" t="s">
        <v>8</v>
      </c>
      <c r="Y30" s="90"/>
      <c r="Z30" s="54" t="s">
        <v>8</v>
      </c>
      <c r="AA30" s="54" t="s">
        <v>8</v>
      </c>
      <c r="AB30" s="54" t="s">
        <v>8</v>
      </c>
      <c r="AC30" s="54" t="s">
        <v>8</v>
      </c>
      <c r="AD30" s="54" t="s">
        <v>8</v>
      </c>
      <c r="AE30" s="54" t="s">
        <v>8</v>
      </c>
      <c r="AF30" s="90"/>
      <c r="AG30" s="70">
        <v>0</v>
      </c>
      <c r="AH30" s="70">
        <v>0</v>
      </c>
      <c r="AI30" s="70">
        <v>0</v>
      </c>
      <c r="AJ30" s="70">
        <v>0</v>
      </c>
      <c r="AK30" s="70">
        <v>0</v>
      </c>
      <c r="AL30" s="70">
        <v>0</v>
      </c>
      <c r="AM30" s="90"/>
      <c r="AN30" s="70">
        <v>0</v>
      </c>
      <c r="AO30" s="70">
        <v>0</v>
      </c>
      <c r="AP30" s="70">
        <v>0</v>
      </c>
      <c r="AQ30" s="70">
        <v>0</v>
      </c>
      <c r="AR30" s="70">
        <v>0</v>
      </c>
      <c r="AS30" s="70">
        <v>0</v>
      </c>
      <c r="AT30" s="90"/>
      <c r="AU30" s="108" t="s">
        <v>8</v>
      </c>
      <c r="AV30" s="72" t="s">
        <v>8</v>
      </c>
      <c r="AW30" s="72" t="s">
        <v>8</v>
      </c>
      <c r="AX30" s="72" t="s">
        <v>8</v>
      </c>
      <c r="AY30" s="108" t="s">
        <v>8</v>
      </c>
      <c r="AZ30" s="110" t="s">
        <v>8</v>
      </c>
      <c r="BA30" s="110" t="s">
        <v>8</v>
      </c>
      <c r="BB30" s="110" t="s">
        <v>8</v>
      </c>
      <c r="BC30" s="97"/>
      <c r="BD30" s="111" t="s">
        <v>8</v>
      </c>
      <c r="BE30" s="111" t="s">
        <v>8</v>
      </c>
      <c r="BF30" s="111" t="s">
        <v>8</v>
      </c>
      <c r="BG30" s="111" t="s">
        <v>8</v>
      </c>
      <c r="BH30" s="111" t="s">
        <v>8</v>
      </c>
      <c r="BI30" s="111" t="s">
        <v>8</v>
      </c>
      <c r="BJ30" s="99"/>
      <c r="BK30" s="110"/>
      <c r="BL30" s="99"/>
      <c r="BM30" s="108">
        <v>0</v>
      </c>
      <c r="BN30" s="108">
        <v>0</v>
      </c>
      <c r="BO30" s="112" t="s">
        <v>8</v>
      </c>
      <c r="BP30" s="110" t="s">
        <v>8</v>
      </c>
      <c r="BQ30" s="90"/>
      <c r="BR30" s="110" t="s">
        <v>8</v>
      </c>
      <c r="BS30" s="108" t="s">
        <v>8</v>
      </c>
      <c r="BT30" s="108" t="s">
        <v>8</v>
      </c>
      <c r="BU30" s="110" t="s">
        <v>8</v>
      </c>
      <c r="BV30" s="108" t="s">
        <v>8</v>
      </c>
      <c r="BW30" s="108" t="s">
        <v>8</v>
      </c>
      <c r="BX30" s="90"/>
      <c r="BY30" s="113" t="s">
        <v>8</v>
      </c>
      <c r="BZ30" s="113" t="s">
        <v>8</v>
      </c>
      <c r="CA30" s="113" t="s">
        <v>8</v>
      </c>
      <c r="CB30" s="113" t="s">
        <v>8</v>
      </c>
      <c r="CC30" s="75" t="s">
        <v>8</v>
      </c>
      <c r="CD30" s="75" t="s">
        <v>8</v>
      </c>
      <c r="CE30" s="75" t="s">
        <v>8</v>
      </c>
      <c r="CF30" s="113" t="s">
        <v>8</v>
      </c>
      <c r="CG30" s="90"/>
    </row>
    <row r="31" spans="1:85" x14ac:dyDescent="0.25">
      <c r="A31" s="21"/>
      <c r="B31" s="21"/>
      <c r="C31" s="69" t="s">
        <v>68</v>
      </c>
      <c r="D31" s="108">
        <v>0</v>
      </c>
      <c r="E31" s="108">
        <v>0</v>
      </c>
      <c r="F31" s="108">
        <v>0</v>
      </c>
      <c r="G31" s="108">
        <v>0</v>
      </c>
      <c r="H31" s="108">
        <v>0</v>
      </c>
      <c r="I31" s="108">
        <v>0</v>
      </c>
      <c r="J31" s="90"/>
      <c r="K31" s="90"/>
      <c r="L31" s="108">
        <v>0</v>
      </c>
      <c r="M31" s="108">
        <v>0</v>
      </c>
      <c r="N31" s="108">
        <v>0</v>
      </c>
      <c r="O31" s="108">
        <v>0</v>
      </c>
      <c r="P31" s="108">
        <v>0</v>
      </c>
      <c r="Q31" s="108">
        <v>0</v>
      </c>
      <c r="R31" s="90"/>
      <c r="S31" s="108">
        <v>0</v>
      </c>
      <c r="T31" s="108">
        <v>0</v>
      </c>
      <c r="U31" s="108">
        <v>0</v>
      </c>
      <c r="V31" s="108">
        <v>0</v>
      </c>
      <c r="W31" s="108">
        <v>0</v>
      </c>
      <c r="X31" s="108">
        <v>0</v>
      </c>
      <c r="Y31" s="90"/>
      <c r="Z31" s="54" t="s">
        <v>8</v>
      </c>
      <c r="AA31" s="54" t="s">
        <v>8</v>
      </c>
      <c r="AB31" s="54" t="s">
        <v>8</v>
      </c>
      <c r="AC31" s="54" t="s">
        <v>8</v>
      </c>
      <c r="AD31" s="54" t="s">
        <v>8</v>
      </c>
      <c r="AE31" s="54" t="s">
        <v>8</v>
      </c>
      <c r="AF31" s="90"/>
      <c r="AG31" s="70">
        <v>0</v>
      </c>
      <c r="AH31" s="70">
        <v>0</v>
      </c>
      <c r="AI31" s="70">
        <v>0</v>
      </c>
      <c r="AJ31" s="70">
        <v>0</v>
      </c>
      <c r="AK31" s="70">
        <v>0</v>
      </c>
      <c r="AL31" s="70">
        <v>0</v>
      </c>
      <c r="AM31" s="90"/>
      <c r="AN31" s="70">
        <v>0</v>
      </c>
      <c r="AO31" s="70">
        <v>0</v>
      </c>
      <c r="AP31" s="70">
        <v>0</v>
      </c>
      <c r="AQ31" s="70">
        <v>0</v>
      </c>
      <c r="AR31" s="70">
        <v>0</v>
      </c>
      <c r="AS31" s="70">
        <v>0</v>
      </c>
      <c r="AT31" s="90"/>
      <c r="AU31" s="108" t="s">
        <v>8</v>
      </c>
      <c r="AV31" s="72" t="s">
        <v>8</v>
      </c>
      <c r="AW31" s="72" t="s">
        <v>8</v>
      </c>
      <c r="AX31" s="72" t="s">
        <v>8</v>
      </c>
      <c r="AY31" s="108" t="s">
        <v>8</v>
      </c>
      <c r="AZ31" s="110" t="s">
        <v>8</v>
      </c>
      <c r="BA31" s="110" t="s">
        <v>8</v>
      </c>
      <c r="BB31" s="110" t="s">
        <v>8</v>
      </c>
      <c r="BC31" s="97"/>
      <c r="BD31" s="111" t="s">
        <v>8</v>
      </c>
      <c r="BE31" s="111" t="s">
        <v>8</v>
      </c>
      <c r="BF31" s="111" t="s">
        <v>8</v>
      </c>
      <c r="BG31" s="111" t="s">
        <v>8</v>
      </c>
      <c r="BH31" s="111" t="s">
        <v>8</v>
      </c>
      <c r="BI31" s="111" t="s">
        <v>8</v>
      </c>
      <c r="BJ31" s="99"/>
      <c r="BK31" s="110"/>
      <c r="BL31" s="99"/>
      <c r="BM31" s="108">
        <v>0</v>
      </c>
      <c r="BN31" s="108">
        <v>0</v>
      </c>
      <c r="BO31" s="112" t="s">
        <v>8</v>
      </c>
      <c r="BP31" s="110" t="s">
        <v>8</v>
      </c>
      <c r="BQ31" s="90"/>
      <c r="BR31" s="110" t="s">
        <v>8</v>
      </c>
      <c r="BS31" s="108" t="s">
        <v>8</v>
      </c>
      <c r="BT31" s="108" t="s">
        <v>8</v>
      </c>
      <c r="BU31" s="110" t="s">
        <v>8</v>
      </c>
      <c r="BV31" s="108" t="s">
        <v>8</v>
      </c>
      <c r="BW31" s="108" t="s">
        <v>8</v>
      </c>
      <c r="BX31" s="90"/>
      <c r="BY31" s="113" t="s">
        <v>8</v>
      </c>
      <c r="BZ31" s="113" t="s">
        <v>8</v>
      </c>
      <c r="CA31" s="113" t="s">
        <v>8</v>
      </c>
      <c r="CB31" s="113" t="s">
        <v>8</v>
      </c>
      <c r="CC31" s="75" t="s">
        <v>8</v>
      </c>
      <c r="CD31" s="75" t="s">
        <v>8</v>
      </c>
      <c r="CE31" s="75"/>
      <c r="CF31" s="113" t="s">
        <v>8</v>
      </c>
      <c r="CG31" s="90"/>
    </row>
    <row r="32" spans="1:85" x14ac:dyDescent="0.25">
      <c r="A32" s="21"/>
      <c r="B32" s="21"/>
      <c r="C32" s="69" t="s">
        <v>69</v>
      </c>
      <c r="D32" s="108">
        <v>0</v>
      </c>
      <c r="E32" s="108">
        <v>0</v>
      </c>
      <c r="F32" s="108">
        <v>0</v>
      </c>
      <c r="G32" s="108">
        <v>0</v>
      </c>
      <c r="H32" s="108">
        <v>0</v>
      </c>
      <c r="I32" s="108">
        <v>0</v>
      </c>
      <c r="J32" s="90"/>
      <c r="K32" s="90"/>
      <c r="L32" s="108">
        <v>0</v>
      </c>
      <c r="M32" s="108">
        <v>0</v>
      </c>
      <c r="N32" s="108">
        <v>0</v>
      </c>
      <c r="O32" s="108">
        <v>0</v>
      </c>
      <c r="P32" s="108">
        <v>0</v>
      </c>
      <c r="Q32" s="108">
        <v>0</v>
      </c>
      <c r="R32" s="90"/>
      <c r="S32" s="108">
        <v>0</v>
      </c>
      <c r="T32" s="108">
        <v>0</v>
      </c>
      <c r="U32" s="108">
        <v>0</v>
      </c>
      <c r="V32" s="108">
        <v>0</v>
      </c>
      <c r="W32" s="108">
        <v>0</v>
      </c>
      <c r="X32" s="108">
        <v>0</v>
      </c>
      <c r="Y32" s="90"/>
      <c r="Z32" s="54" t="s">
        <v>8</v>
      </c>
      <c r="AA32" s="54" t="s">
        <v>8</v>
      </c>
      <c r="AB32" s="54" t="s">
        <v>8</v>
      </c>
      <c r="AC32" s="54" t="s">
        <v>8</v>
      </c>
      <c r="AD32" s="54" t="s">
        <v>8</v>
      </c>
      <c r="AE32" s="54" t="s">
        <v>8</v>
      </c>
      <c r="AF32" s="90"/>
      <c r="AG32" s="70">
        <v>0</v>
      </c>
      <c r="AH32" s="70">
        <v>0</v>
      </c>
      <c r="AI32" s="70">
        <v>0</v>
      </c>
      <c r="AJ32" s="70">
        <v>0</v>
      </c>
      <c r="AK32" s="70">
        <v>0</v>
      </c>
      <c r="AL32" s="70">
        <v>0</v>
      </c>
      <c r="AM32" s="90"/>
      <c r="AN32" s="70">
        <v>0</v>
      </c>
      <c r="AO32" s="70">
        <v>0</v>
      </c>
      <c r="AP32" s="70">
        <v>0</v>
      </c>
      <c r="AQ32" s="70">
        <v>0</v>
      </c>
      <c r="AR32" s="70">
        <v>0</v>
      </c>
      <c r="AS32" s="70">
        <v>0</v>
      </c>
      <c r="AT32" s="90"/>
      <c r="AU32" s="108" t="s">
        <v>8</v>
      </c>
      <c r="AV32" s="72" t="s">
        <v>8</v>
      </c>
      <c r="AW32" s="72" t="s">
        <v>8</v>
      </c>
      <c r="AX32" s="72" t="s">
        <v>8</v>
      </c>
      <c r="AY32" s="108" t="s">
        <v>8</v>
      </c>
      <c r="AZ32" s="110" t="s">
        <v>8</v>
      </c>
      <c r="BA32" s="110" t="s">
        <v>8</v>
      </c>
      <c r="BB32" s="110" t="s">
        <v>8</v>
      </c>
      <c r="BC32" s="97"/>
      <c r="BD32" s="111" t="s">
        <v>8</v>
      </c>
      <c r="BE32" s="111" t="s">
        <v>8</v>
      </c>
      <c r="BF32" s="111" t="s">
        <v>8</v>
      </c>
      <c r="BG32" s="111" t="s">
        <v>8</v>
      </c>
      <c r="BH32" s="111" t="s">
        <v>8</v>
      </c>
      <c r="BI32" s="111" t="s">
        <v>8</v>
      </c>
      <c r="BJ32" s="99"/>
      <c r="BK32" s="110"/>
      <c r="BL32" s="99"/>
      <c r="BM32" s="108">
        <v>0</v>
      </c>
      <c r="BN32" s="108">
        <v>0</v>
      </c>
      <c r="BO32" s="112" t="s">
        <v>8</v>
      </c>
      <c r="BP32" s="110" t="s">
        <v>8</v>
      </c>
      <c r="BQ32" s="90"/>
      <c r="BR32" s="110" t="s">
        <v>8</v>
      </c>
      <c r="BS32" s="108" t="s">
        <v>8</v>
      </c>
      <c r="BT32" s="108" t="s">
        <v>8</v>
      </c>
      <c r="BU32" s="110" t="s">
        <v>8</v>
      </c>
      <c r="BV32" s="108" t="s">
        <v>8</v>
      </c>
      <c r="BW32" s="108" t="s">
        <v>8</v>
      </c>
      <c r="BX32" s="90"/>
      <c r="BY32" s="113" t="s">
        <v>8</v>
      </c>
      <c r="BZ32" s="113" t="s">
        <v>8</v>
      </c>
      <c r="CA32" s="113" t="s">
        <v>8</v>
      </c>
      <c r="CB32" s="113" t="s">
        <v>8</v>
      </c>
      <c r="CC32" s="75" t="s">
        <v>8</v>
      </c>
      <c r="CD32" s="75" t="s">
        <v>8</v>
      </c>
      <c r="CE32" s="75" t="s">
        <v>8</v>
      </c>
      <c r="CF32" s="113" t="s">
        <v>8</v>
      </c>
      <c r="CG32" s="90"/>
    </row>
    <row r="33" spans="1:85" x14ac:dyDescent="0.25">
      <c r="A33" s="21"/>
      <c r="B33" s="21"/>
      <c r="C33" s="69" t="s">
        <v>70</v>
      </c>
      <c r="D33" s="108">
        <v>0</v>
      </c>
      <c r="E33" s="108">
        <v>0</v>
      </c>
      <c r="F33" s="108">
        <v>0</v>
      </c>
      <c r="G33" s="108">
        <v>0</v>
      </c>
      <c r="H33" s="108">
        <v>0</v>
      </c>
      <c r="I33" s="108">
        <v>0</v>
      </c>
      <c r="J33" s="90"/>
      <c r="K33" s="90"/>
      <c r="L33" s="108">
        <v>0</v>
      </c>
      <c r="M33" s="108">
        <v>0</v>
      </c>
      <c r="N33" s="108">
        <v>0</v>
      </c>
      <c r="O33" s="108">
        <v>0</v>
      </c>
      <c r="P33" s="108">
        <v>0</v>
      </c>
      <c r="Q33" s="108">
        <v>0</v>
      </c>
      <c r="R33" s="90"/>
      <c r="S33" s="108">
        <v>0</v>
      </c>
      <c r="T33" s="108">
        <v>0</v>
      </c>
      <c r="U33" s="108">
        <v>0</v>
      </c>
      <c r="V33" s="108">
        <v>0</v>
      </c>
      <c r="W33" s="108">
        <v>0</v>
      </c>
      <c r="X33" s="108">
        <v>0</v>
      </c>
      <c r="Y33" s="90"/>
      <c r="Z33" s="54" t="s">
        <v>8</v>
      </c>
      <c r="AA33" s="54" t="s">
        <v>8</v>
      </c>
      <c r="AB33" s="54" t="s">
        <v>8</v>
      </c>
      <c r="AC33" s="54" t="s">
        <v>8</v>
      </c>
      <c r="AD33" s="54" t="s">
        <v>8</v>
      </c>
      <c r="AE33" s="54" t="s">
        <v>8</v>
      </c>
      <c r="AF33" s="90"/>
      <c r="AG33" s="70">
        <v>0</v>
      </c>
      <c r="AH33" s="70">
        <v>0</v>
      </c>
      <c r="AI33" s="70">
        <v>0</v>
      </c>
      <c r="AJ33" s="70">
        <v>0</v>
      </c>
      <c r="AK33" s="70">
        <v>0</v>
      </c>
      <c r="AL33" s="70">
        <v>0</v>
      </c>
      <c r="AM33" s="90"/>
      <c r="AN33" s="70">
        <v>0</v>
      </c>
      <c r="AO33" s="70">
        <v>0</v>
      </c>
      <c r="AP33" s="70">
        <v>0</v>
      </c>
      <c r="AQ33" s="70">
        <v>0</v>
      </c>
      <c r="AR33" s="70">
        <v>0</v>
      </c>
      <c r="AS33" s="70">
        <v>0</v>
      </c>
      <c r="AT33" s="90"/>
      <c r="AU33" s="108" t="s">
        <v>8</v>
      </c>
      <c r="AV33" s="72" t="s">
        <v>8</v>
      </c>
      <c r="AW33" s="72" t="s">
        <v>8</v>
      </c>
      <c r="AX33" s="72" t="s">
        <v>8</v>
      </c>
      <c r="AY33" s="108" t="s">
        <v>8</v>
      </c>
      <c r="AZ33" s="110" t="s">
        <v>8</v>
      </c>
      <c r="BA33" s="110" t="s">
        <v>8</v>
      </c>
      <c r="BB33" s="110" t="s">
        <v>8</v>
      </c>
      <c r="BC33" s="97"/>
      <c r="BD33" s="111" t="s">
        <v>8</v>
      </c>
      <c r="BE33" s="111" t="s">
        <v>8</v>
      </c>
      <c r="BF33" s="111" t="s">
        <v>8</v>
      </c>
      <c r="BG33" s="111" t="s">
        <v>8</v>
      </c>
      <c r="BH33" s="111" t="s">
        <v>8</v>
      </c>
      <c r="BI33" s="111" t="s">
        <v>8</v>
      </c>
      <c r="BJ33" s="99"/>
      <c r="BK33" s="110"/>
      <c r="BL33" s="99"/>
      <c r="BM33" s="108">
        <v>0</v>
      </c>
      <c r="BN33" s="108">
        <v>0</v>
      </c>
      <c r="BO33" s="112" t="s">
        <v>8</v>
      </c>
      <c r="BP33" s="110" t="s">
        <v>8</v>
      </c>
      <c r="BQ33" s="90"/>
      <c r="BR33" s="110" t="s">
        <v>8</v>
      </c>
      <c r="BS33" s="108" t="s">
        <v>8</v>
      </c>
      <c r="BT33" s="108" t="s">
        <v>8</v>
      </c>
      <c r="BU33" s="110" t="s">
        <v>8</v>
      </c>
      <c r="BV33" s="108" t="s">
        <v>8</v>
      </c>
      <c r="BW33" s="108" t="s">
        <v>8</v>
      </c>
      <c r="BX33" s="90"/>
      <c r="BY33" s="113" t="s">
        <v>8</v>
      </c>
      <c r="BZ33" s="113" t="s">
        <v>8</v>
      </c>
      <c r="CA33" s="113" t="s">
        <v>8</v>
      </c>
      <c r="CB33" s="113" t="s">
        <v>8</v>
      </c>
      <c r="CC33" s="75" t="s">
        <v>8</v>
      </c>
      <c r="CD33" s="75" t="s">
        <v>8</v>
      </c>
      <c r="CE33" s="75" t="s">
        <v>8</v>
      </c>
      <c r="CF33" s="113" t="s">
        <v>8</v>
      </c>
      <c r="CG33" s="90"/>
    </row>
    <row r="34" spans="1:85" x14ac:dyDescent="0.25">
      <c r="A34" s="21"/>
      <c r="B34" s="21"/>
      <c r="C34" s="69" t="s">
        <v>71</v>
      </c>
      <c r="D34" s="108">
        <v>0</v>
      </c>
      <c r="E34" s="108">
        <v>0</v>
      </c>
      <c r="F34" s="108">
        <v>0</v>
      </c>
      <c r="G34" s="108">
        <v>0</v>
      </c>
      <c r="H34" s="108">
        <v>0</v>
      </c>
      <c r="I34" s="108">
        <v>0</v>
      </c>
      <c r="J34" s="90"/>
      <c r="K34" s="90"/>
      <c r="L34" s="108">
        <v>0</v>
      </c>
      <c r="M34" s="108">
        <v>0</v>
      </c>
      <c r="N34" s="108">
        <v>0</v>
      </c>
      <c r="O34" s="108">
        <v>0</v>
      </c>
      <c r="P34" s="108">
        <v>0</v>
      </c>
      <c r="Q34" s="108">
        <v>0</v>
      </c>
      <c r="R34" s="90"/>
      <c r="S34" s="108">
        <v>0</v>
      </c>
      <c r="T34" s="108">
        <v>0</v>
      </c>
      <c r="U34" s="108">
        <v>0</v>
      </c>
      <c r="V34" s="108">
        <v>0</v>
      </c>
      <c r="W34" s="108">
        <v>0</v>
      </c>
      <c r="X34" s="108">
        <v>0</v>
      </c>
      <c r="Y34" s="90"/>
      <c r="Z34" s="54" t="s">
        <v>8</v>
      </c>
      <c r="AA34" s="54" t="s">
        <v>8</v>
      </c>
      <c r="AB34" s="54" t="s">
        <v>8</v>
      </c>
      <c r="AC34" s="54" t="s">
        <v>8</v>
      </c>
      <c r="AD34" s="54" t="s">
        <v>8</v>
      </c>
      <c r="AE34" s="54" t="s">
        <v>8</v>
      </c>
      <c r="AF34" s="90"/>
      <c r="AG34" s="70">
        <v>0</v>
      </c>
      <c r="AH34" s="70">
        <v>0</v>
      </c>
      <c r="AI34" s="70">
        <v>0</v>
      </c>
      <c r="AJ34" s="70">
        <v>0</v>
      </c>
      <c r="AK34" s="70">
        <v>0</v>
      </c>
      <c r="AL34" s="70">
        <v>0</v>
      </c>
      <c r="AM34" s="90"/>
      <c r="AN34" s="70">
        <v>0</v>
      </c>
      <c r="AO34" s="70">
        <v>0</v>
      </c>
      <c r="AP34" s="70">
        <v>0</v>
      </c>
      <c r="AQ34" s="70">
        <v>0</v>
      </c>
      <c r="AR34" s="70">
        <v>0</v>
      </c>
      <c r="AS34" s="70">
        <v>0</v>
      </c>
      <c r="AT34" s="90"/>
      <c r="AU34" s="108" t="s">
        <v>8</v>
      </c>
      <c r="AV34" s="72" t="s">
        <v>8</v>
      </c>
      <c r="AW34" s="72" t="s">
        <v>8</v>
      </c>
      <c r="AX34" s="72" t="s">
        <v>8</v>
      </c>
      <c r="AY34" s="108" t="s">
        <v>8</v>
      </c>
      <c r="AZ34" s="110" t="s">
        <v>8</v>
      </c>
      <c r="BA34" s="110" t="s">
        <v>8</v>
      </c>
      <c r="BB34" s="110" t="s">
        <v>8</v>
      </c>
      <c r="BC34" s="97"/>
      <c r="BD34" s="111" t="s">
        <v>8</v>
      </c>
      <c r="BE34" s="111" t="s">
        <v>8</v>
      </c>
      <c r="BF34" s="111" t="s">
        <v>8</v>
      </c>
      <c r="BG34" s="111" t="s">
        <v>8</v>
      </c>
      <c r="BH34" s="111" t="s">
        <v>8</v>
      </c>
      <c r="BI34" s="111" t="s">
        <v>8</v>
      </c>
      <c r="BJ34" s="99"/>
      <c r="BK34" s="110"/>
      <c r="BL34" s="99"/>
      <c r="BM34" s="108">
        <v>0</v>
      </c>
      <c r="BN34" s="108">
        <v>0</v>
      </c>
      <c r="BO34" s="112" t="s">
        <v>8</v>
      </c>
      <c r="BP34" s="110" t="s">
        <v>8</v>
      </c>
      <c r="BQ34" s="90"/>
      <c r="BR34" s="110" t="s">
        <v>8</v>
      </c>
      <c r="BS34" s="108" t="s">
        <v>8</v>
      </c>
      <c r="BT34" s="108" t="s">
        <v>8</v>
      </c>
      <c r="BU34" s="110" t="s">
        <v>8</v>
      </c>
      <c r="BV34" s="108" t="s">
        <v>8</v>
      </c>
      <c r="BW34" s="108" t="s">
        <v>8</v>
      </c>
      <c r="BX34" s="90"/>
      <c r="BY34" s="113" t="s">
        <v>8</v>
      </c>
      <c r="BZ34" s="113" t="s">
        <v>8</v>
      </c>
      <c r="CA34" s="113" t="s">
        <v>8</v>
      </c>
      <c r="CB34" s="113" t="s">
        <v>8</v>
      </c>
      <c r="CC34" s="75" t="s">
        <v>8</v>
      </c>
      <c r="CD34" s="75" t="s">
        <v>8</v>
      </c>
      <c r="CE34" s="75" t="s">
        <v>8</v>
      </c>
      <c r="CF34" s="113" t="s">
        <v>8</v>
      </c>
      <c r="CG34" s="90"/>
    </row>
    <row r="35" spans="1:85" x14ac:dyDescent="0.25">
      <c r="A35" s="21"/>
      <c r="B35" s="21"/>
      <c r="C35" s="69" t="s">
        <v>72</v>
      </c>
      <c r="D35" s="108">
        <v>0</v>
      </c>
      <c r="E35" s="108">
        <v>0</v>
      </c>
      <c r="F35" s="108">
        <v>0</v>
      </c>
      <c r="G35" s="108">
        <v>0</v>
      </c>
      <c r="H35" s="108">
        <v>0</v>
      </c>
      <c r="I35" s="108">
        <v>0</v>
      </c>
      <c r="J35" s="90"/>
      <c r="K35" s="90"/>
      <c r="L35" s="108">
        <v>0</v>
      </c>
      <c r="M35" s="108">
        <v>0</v>
      </c>
      <c r="N35" s="108">
        <v>0</v>
      </c>
      <c r="O35" s="108">
        <v>0</v>
      </c>
      <c r="P35" s="108">
        <v>0</v>
      </c>
      <c r="Q35" s="108">
        <v>0</v>
      </c>
      <c r="R35" s="90"/>
      <c r="S35" s="108">
        <v>0</v>
      </c>
      <c r="T35" s="108">
        <v>0</v>
      </c>
      <c r="U35" s="108">
        <v>0</v>
      </c>
      <c r="V35" s="108">
        <v>0</v>
      </c>
      <c r="W35" s="108">
        <v>0</v>
      </c>
      <c r="X35" s="108">
        <v>0</v>
      </c>
      <c r="Y35" s="90"/>
      <c r="Z35" s="54" t="s">
        <v>8</v>
      </c>
      <c r="AA35" s="54" t="s">
        <v>8</v>
      </c>
      <c r="AB35" s="54" t="s">
        <v>8</v>
      </c>
      <c r="AC35" s="54" t="s">
        <v>8</v>
      </c>
      <c r="AD35" s="54" t="s">
        <v>8</v>
      </c>
      <c r="AE35" s="54" t="s">
        <v>8</v>
      </c>
      <c r="AF35" s="90"/>
      <c r="AG35" s="70">
        <v>0</v>
      </c>
      <c r="AH35" s="70">
        <v>0</v>
      </c>
      <c r="AI35" s="70">
        <v>0</v>
      </c>
      <c r="AJ35" s="70">
        <v>0</v>
      </c>
      <c r="AK35" s="70">
        <v>0</v>
      </c>
      <c r="AL35" s="70">
        <v>0</v>
      </c>
      <c r="AM35" s="90"/>
      <c r="AN35" s="70">
        <v>0</v>
      </c>
      <c r="AO35" s="70">
        <v>0</v>
      </c>
      <c r="AP35" s="70">
        <v>0</v>
      </c>
      <c r="AQ35" s="70">
        <v>0</v>
      </c>
      <c r="AR35" s="70">
        <v>0</v>
      </c>
      <c r="AS35" s="70">
        <v>0</v>
      </c>
      <c r="AT35" s="90"/>
      <c r="AU35" s="108" t="s">
        <v>8</v>
      </c>
      <c r="AV35" s="72" t="s">
        <v>8</v>
      </c>
      <c r="AW35" s="72" t="s">
        <v>8</v>
      </c>
      <c r="AX35" s="72" t="s">
        <v>8</v>
      </c>
      <c r="AY35" s="108" t="s">
        <v>8</v>
      </c>
      <c r="AZ35" s="110" t="s">
        <v>8</v>
      </c>
      <c r="BA35" s="110" t="s">
        <v>8</v>
      </c>
      <c r="BB35" s="110" t="s">
        <v>8</v>
      </c>
      <c r="BC35" s="97"/>
      <c r="BD35" s="111" t="s">
        <v>8</v>
      </c>
      <c r="BE35" s="111" t="s">
        <v>8</v>
      </c>
      <c r="BF35" s="111" t="s">
        <v>8</v>
      </c>
      <c r="BG35" s="111" t="s">
        <v>8</v>
      </c>
      <c r="BH35" s="111" t="s">
        <v>8</v>
      </c>
      <c r="BI35" s="111" t="s">
        <v>8</v>
      </c>
      <c r="BJ35" s="99"/>
      <c r="BK35" s="110"/>
      <c r="BL35" s="99"/>
      <c r="BM35" s="108">
        <v>0</v>
      </c>
      <c r="BN35" s="108">
        <v>0</v>
      </c>
      <c r="BO35" s="112" t="s">
        <v>8</v>
      </c>
      <c r="BP35" s="110" t="s">
        <v>8</v>
      </c>
      <c r="BQ35" s="90"/>
      <c r="BR35" s="110" t="s">
        <v>8</v>
      </c>
      <c r="BS35" s="108" t="s">
        <v>8</v>
      </c>
      <c r="BT35" s="108" t="s">
        <v>8</v>
      </c>
      <c r="BU35" s="110" t="s">
        <v>8</v>
      </c>
      <c r="BV35" s="108" t="s">
        <v>8</v>
      </c>
      <c r="BW35" s="108" t="s">
        <v>8</v>
      </c>
      <c r="BX35" s="90"/>
      <c r="BY35" s="113" t="s">
        <v>8</v>
      </c>
      <c r="BZ35" s="113" t="s">
        <v>8</v>
      </c>
      <c r="CA35" s="113" t="s">
        <v>8</v>
      </c>
      <c r="CB35" s="113" t="s">
        <v>8</v>
      </c>
      <c r="CC35" s="75" t="s">
        <v>8</v>
      </c>
      <c r="CD35" s="75" t="s">
        <v>8</v>
      </c>
      <c r="CE35" s="75" t="s">
        <v>8</v>
      </c>
      <c r="CF35" s="113" t="s">
        <v>8</v>
      </c>
      <c r="CG35" s="90"/>
    </row>
    <row r="36" spans="1:85" x14ac:dyDescent="0.25">
      <c r="A36" s="21"/>
      <c r="B36" s="21"/>
      <c r="C36" s="69" t="s">
        <v>73</v>
      </c>
      <c r="D36" s="108">
        <v>0</v>
      </c>
      <c r="E36" s="108">
        <v>0</v>
      </c>
      <c r="F36" s="108">
        <v>0</v>
      </c>
      <c r="G36" s="108">
        <v>0</v>
      </c>
      <c r="H36" s="108">
        <v>0</v>
      </c>
      <c r="I36" s="108">
        <v>0</v>
      </c>
      <c r="J36" s="90"/>
      <c r="K36" s="90"/>
      <c r="L36" s="108">
        <v>0</v>
      </c>
      <c r="M36" s="108">
        <v>0</v>
      </c>
      <c r="N36" s="108">
        <v>0</v>
      </c>
      <c r="O36" s="108">
        <v>0</v>
      </c>
      <c r="P36" s="108">
        <v>0</v>
      </c>
      <c r="Q36" s="108">
        <v>0</v>
      </c>
      <c r="R36" s="90"/>
      <c r="S36" s="108">
        <v>0</v>
      </c>
      <c r="T36" s="108">
        <v>0</v>
      </c>
      <c r="U36" s="108">
        <v>0</v>
      </c>
      <c r="V36" s="108">
        <v>0</v>
      </c>
      <c r="W36" s="108">
        <v>0</v>
      </c>
      <c r="X36" s="108">
        <v>0</v>
      </c>
      <c r="Y36" s="90"/>
      <c r="Z36" s="54" t="s">
        <v>8</v>
      </c>
      <c r="AA36" s="54" t="s">
        <v>8</v>
      </c>
      <c r="AB36" s="54" t="s">
        <v>8</v>
      </c>
      <c r="AC36" s="54" t="s">
        <v>8</v>
      </c>
      <c r="AD36" s="54" t="s">
        <v>8</v>
      </c>
      <c r="AE36" s="54" t="s">
        <v>8</v>
      </c>
      <c r="AF36" s="90"/>
      <c r="AG36" s="70">
        <v>0</v>
      </c>
      <c r="AH36" s="70">
        <v>0</v>
      </c>
      <c r="AI36" s="70">
        <v>0</v>
      </c>
      <c r="AJ36" s="70">
        <v>0</v>
      </c>
      <c r="AK36" s="70">
        <v>0</v>
      </c>
      <c r="AL36" s="70">
        <v>0</v>
      </c>
      <c r="AM36" s="90"/>
      <c r="AN36" s="70">
        <v>0</v>
      </c>
      <c r="AO36" s="70">
        <v>0</v>
      </c>
      <c r="AP36" s="70">
        <v>0</v>
      </c>
      <c r="AQ36" s="70">
        <v>0</v>
      </c>
      <c r="AR36" s="70">
        <v>0</v>
      </c>
      <c r="AS36" s="70">
        <v>0</v>
      </c>
      <c r="AT36" s="90"/>
      <c r="AU36" s="108" t="s">
        <v>8</v>
      </c>
      <c r="AV36" s="72" t="s">
        <v>8</v>
      </c>
      <c r="AW36" s="72" t="s">
        <v>8</v>
      </c>
      <c r="AX36" s="72" t="s">
        <v>8</v>
      </c>
      <c r="AY36" s="108" t="s">
        <v>8</v>
      </c>
      <c r="AZ36" s="110" t="s">
        <v>8</v>
      </c>
      <c r="BA36" s="110" t="s">
        <v>8</v>
      </c>
      <c r="BB36" s="110" t="s">
        <v>8</v>
      </c>
      <c r="BC36" s="97"/>
      <c r="BD36" s="111" t="s">
        <v>8</v>
      </c>
      <c r="BE36" s="111" t="s">
        <v>8</v>
      </c>
      <c r="BF36" s="111" t="s">
        <v>8</v>
      </c>
      <c r="BG36" s="111" t="s">
        <v>8</v>
      </c>
      <c r="BH36" s="111" t="s">
        <v>8</v>
      </c>
      <c r="BI36" s="111" t="s">
        <v>8</v>
      </c>
      <c r="BJ36" s="99"/>
      <c r="BK36" s="110"/>
      <c r="BL36" s="99"/>
      <c r="BM36" s="108">
        <v>0</v>
      </c>
      <c r="BN36" s="108">
        <v>0</v>
      </c>
      <c r="BO36" s="112" t="s">
        <v>8</v>
      </c>
      <c r="BP36" s="110" t="s">
        <v>8</v>
      </c>
      <c r="BQ36" s="90"/>
      <c r="BR36" s="110" t="s">
        <v>8</v>
      </c>
      <c r="BS36" s="108" t="s">
        <v>8</v>
      </c>
      <c r="BT36" s="108" t="s">
        <v>8</v>
      </c>
      <c r="BU36" s="110" t="s">
        <v>8</v>
      </c>
      <c r="BV36" s="108" t="s">
        <v>8</v>
      </c>
      <c r="BW36" s="108" t="s">
        <v>8</v>
      </c>
      <c r="BX36" s="90"/>
      <c r="BY36" s="113" t="s">
        <v>8</v>
      </c>
      <c r="BZ36" s="113" t="s">
        <v>8</v>
      </c>
      <c r="CA36" s="113" t="s">
        <v>8</v>
      </c>
      <c r="CB36" s="113" t="s">
        <v>8</v>
      </c>
      <c r="CC36" s="75" t="s">
        <v>8</v>
      </c>
      <c r="CD36" s="75" t="s">
        <v>8</v>
      </c>
      <c r="CE36" s="75" t="s">
        <v>8</v>
      </c>
      <c r="CF36" s="113" t="s">
        <v>8</v>
      </c>
      <c r="CG36" s="90"/>
    </row>
    <row r="37" spans="1:85" x14ac:dyDescent="0.25">
      <c r="A37" s="21"/>
      <c r="B37" s="21"/>
      <c r="C37" s="69" t="s">
        <v>74</v>
      </c>
      <c r="D37" s="108">
        <v>0</v>
      </c>
      <c r="E37" s="108">
        <v>0</v>
      </c>
      <c r="F37" s="108">
        <v>0</v>
      </c>
      <c r="G37" s="108">
        <v>0</v>
      </c>
      <c r="H37" s="108">
        <v>0</v>
      </c>
      <c r="I37" s="108">
        <v>0</v>
      </c>
      <c r="J37" s="90"/>
      <c r="K37" s="90"/>
      <c r="L37" s="108">
        <v>0</v>
      </c>
      <c r="M37" s="108">
        <v>0</v>
      </c>
      <c r="N37" s="108">
        <v>0</v>
      </c>
      <c r="O37" s="108">
        <v>0</v>
      </c>
      <c r="P37" s="108">
        <v>0</v>
      </c>
      <c r="Q37" s="108">
        <v>0</v>
      </c>
      <c r="R37" s="90"/>
      <c r="S37" s="108">
        <v>0</v>
      </c>
      <c r="T37" s="108">
        <v>0</v>
      </c>
      <c r="U37" s="108">
        <v>0</v>
      </c>
      <c r="V37" s="108">
        <v>0</v>
      </c>
      <c r="W37" s="108">
        <v>0</v>
      </c>
      <c r="X37" s="108">
        <v>0</v>
      </c>
      <c r="Y37" s="90"/>
      <c r="Z37" s="54" t="s">
        <v>8</v>
      </c>
      <c r="AA37" s="54" t="s">
        <v>8</v>
      </c>
      <c r="AB37" s="54" t="s">
        <v>8</v>
      </c>
      <c r="AC37" s="54" t="s">
        <v>8</v>
      </c>
      <c r="AD37" s="54" t="s">
        <v>8</v>
      </c>
      <c r="AE37" s="54" t="s">
        <v>8</v>
      </c>
      <c r="AF37" s="90"/>
      <c r="AG37" s="70">
        <v>0</v>
      </c>
      <c r="AH37" s="70">
        <v>0</v>
      </c>
      <c r="AI37" s="70">
        <v>0</v>
      </c>
      <c r="AJ37" s="70">
        <v>0</v>
      </c>
      <c r="AK37" s="70">
        <v>0</v>
      </c>
      <c r="AL37" s="70">
        <v>0</v>
      </c>
      <c r="AM37" s="90"/>
      <c r="AN37" s="70">
        <v>0</v>
      </c>
      <c r="AO37" s="70">
        <v>0</v>
      </c>
      <c r="AP37" s="70">
        <v>0</v>
      </c>
      <c r="AQ37" s="70">
        <v>0</v>
      </c>
      <c r="AR37" s="70">
        <v>0</v>
      </c>
      <c r="AS37" s="70">
        <v>0</v>
      </c>
      <c r="AT37" s="90"/>
      <c r="AU37" s="108" t="s">
        <v>8</v>
      </c>
      <c r="AV37" s="72" t="s">
        <v>8</v>
      </c>
      <c r="AW37" s="72" t="s">
        <v>8</v>
      </c>
      <c r="AX37" s="72" t="s">
        <v>8</v>
      </c>
      <c r="AY37" s="108" t="s">
        <v>8</v>
      </c>
      <c r="AZ37" s="110" t="s">
        <v>8</v>
      </c>
      <c r="BA37" s="110" t="s">
        <v>8</v>
      </c>
      <c r="BB37" s="110" t="s">
        <v>8</v>
      </c>
      <c r="BC37" s="97"/>
      <c r="BD37" s="111" t="s">
        <v>8</v>
      </c>
      <c r="BE37" s="111" t="s">
        <v>8</v>
      </c>
      <c r="BF37" s="111" t="s">
        <v>8</v>
      </c>
      <c r="BG37" s="111" t="s">
        <v>8</v>
      </c>
      <c r="BH37" s="111" t="s">
        <v>8</v>
      </c>
      <c r="BI37" s="111" t="s">
        <v>8</v>
      </c>
      <c r="BJ37" s="99"/>
      <c r="BK37" s="110"/>
      <c r="BL37" s="99"/>
      <c r="BM37" s="108">
        <v>0</v>
      </c>
      <c r="BN37" s="108">
        <v>0</v>
      </c>
      <c r="BO37" s="112" t="s">
        <v>8</v>
      </c>
      <c r="BP37" s="110" t="s">
        <v>8</v>
      </c>
      <c r="BQ37" s="90"/>
      <c r="BR37" s="110" t="s">
        <v>8</v>
      </c>
      <c r="BS37" s="108" t="s">
        <v>8</v>
      </c>
      <c r="BT37" s="108" t="s">
        <v>8</v>
      </c>
      <c r="BU37" s="110" t="s">
        <v>8</v>
      </c>
      <c r="BV37" s="108" t="s">
        <v>8</v>
      </c>
      <c r="BW37" s="108" t="s">
        <v>8</v>
      </c>
      <c r="BX37" s="90"/>
      <c r="BY37" s="113" t="s">
        <v>8</v>
      </c>
      <c r="BZ37" s="113" t="s">
        <v>8</v>
      </c>
      <c r="CA37" s="113" t="s">
        <v>8</v>
      </c>
      <c r="CB37" s="113" t="s">
        <v>8</v>
      </c>
      <c r="CC37" s="75" t="s">
        <v>8</v>
      </c>
      <c r="CD37" s="75" t="s">
        <v>8</v>
      </c>
      <c r="CE37" s="75" t="s">
        <v>8</v>
      </c>
      <c r="CF37" s="113" t="s">
        <v>8</v>
      </c>
      <c r="CG37" s="90"/>
    </row>
    <row r="38" spans="1:85" x14ac:dyDescent="0.25">
      <c r="A38" s="21"/>
      <c r="B38" s="21"/>
      <c r="C38" s="69" t="s">
        <v>75</v>
      </c>
      <c r="D38" s="108">
        <v>0</v>
      </c>
      <c r="E38" s="108">
        <v>0</v>
      </c>
      <c r="F38" s="108">
        <v>0</v>
      </c>
      <c r="G38" s="108">
        <v>0</v>
      </c>
      <c r="H38" s="108">
        <v>0</v>
      </c>
      <c r="I38" s="108">
        <v>0</v>
      </c>
      <c r="J38" s="90"/>
      <c r="K38" s="90"/>
      <c r="L38" s="108">
        <v>0</v>
      </c>
      <c r="M38" s="108">
        <v>0</v>
      </c>
      <c r="N38" s="108">
        <v>0</v>
      </c>
      <c r="O38" s="108">
        <v>0</v>
      </c>
      <c r="P38" s="108">
        <v>0</v>
      </c>
      <c r="Q38" s="108">
        <v>0</v>
      </c>
      <c r="R38" s="90"/>
      <c r="S38" s="108">
        <v>0</v>
      </c>
      <c r="T38" s="108">
        <v>0</v>
      </c>
      <c r="U38" s="108">
        <v>0</v>
      </c>
      <c r="V38" s="108">
        <v>0</v>
      </c>
      <c r="W38" s="108">
        <v>0</v>
      </c>
      <c r="X38" s="108">
        <v>0</v>
      </c>
      <c r="Y38" s="90"/>
      <c r="Z38" s="54" t="s">
        <v>8</v>
      </c>
      <c r="AA38" s="54" t="s">
        <v>8</v>
      </c>
      <c r="AB38" s="54" t="s">
        <v>8</v>
      </c>
      <c r="AC38" s="54" t="s">
        <v>8</v>
      </c>
      <c r="AD38" s="54" t="s">
        <v>8</v>
      </c>
      <c r="AE38" s="54" t="s">
        <v>8</v>
      </c>
      <c r="AF38" s="90"/>
      <c r="AG38" s="70">
        <v>0</v>
      </c>
      <c r="AH38" s="70">
        <v>0</v>
      </c>
      <c r="AI38" s="70">
        <v>0</v>
      </c>
      <c r="AJ38" s="70">
        <v>0</v>
      </c>
      <c r="AK38" s="70">
        <v>0</v>
      </c>
      <c r="AL38" s="70">
        <v>0</v>
      </c>
      <c r="AM38" s="90"/>
      <c r="AN38" s="70">
        <v>0</v>
      </c>
      <c r="AO38" s="70">
        <v>0</v>
      </c>
      <c r="AP38" s="70">
        <v>0</v>
      </c>
      <c r="AQ38" s="70">
        <v>0</v>
      </c>
      <c r="AR38" s="70">
        <v>0</v>
      </c>
      <c r="AS38" s="70">
        <v>0</v>
      </c>
      <c r="AT38" s="90"/>
      <c r="AU38" s="108" t="s">
        <v>8</v>
      </c>
      <c r="AV38" s="72" t="s">
        <v>8</v>
      </c>
      <c r="AW38" s="72" t="s">
        <v>8</v>
      </c>
      <c r="AX38" s="72" t="s">
        <v>8</v>
      </c>
      <c r="AY38" s="108" t="s">
        <v>8</v>
      </c>
      <c r="AZ38" s="110" t="s">
        <v>8</v>
      </c>
      <c r="BA38" s="110" t="s">
        <v>8</v>
      </c>
      <c r="BB38" s="110" t="s">
        <v>8</v>
      </c>
      <c r="BC38" s="97"/>
      <c r="BD38" s="111" t="s">
        <v>8</v>
      </c>
      <c r="BE38" s="111" t="s">
        <v>8</v>
      </c>
      <c r="BF38" s="111" t="s">
        <v>8</v>
      </c>
      <c r="BG38" s="111" t="s">
        <v>8</v>
      </c>
      <c r="BH38" s="111" t="s">
        <v>8</v>
      </c>
      <c r="BI38" s="111" t="s">
        <v>8</v>
      </c>
      <c r="BJ38" s="99"/>
      <c r="BK38" s="110"/>
      <c r="BL38" s="99"/>
      <c r="BM38" s="108">
        <v>0</v>
      </c>
      <c r="BN38" s="108">
        <v>0</v>
      </c>
      <c r="BO38" s="112" t="s">
        <v>8</v>
      </c>
      <c r="BP38" s="110" t="s">
        <v>8</v>
      </c>
      <c r="BQ38" s="90"/>
      <c r="BR38" s="110" t="s">
        <v>8</v>
      </c>
      <c r="BS38" s="108" t="s">
        <v>8</v>
      </c>
      <c r="BT38" s="108" t="s">
        <v>8</v>
      </c>
      <c r="BU38" s="110" t="s">
        <v>8</v>
      </c>
      <c r="BV38" s="108" t="s">
        <v>8</v>
      </c>
      <c r="BW38" s="108" t="s">
        <v>8</v>
      </c>
      <c r="BX38" s="90"/>
      <c r="BY38" s="113" t="s">
        <v>8</v>
      </c>
      <c r="BZ38" s="113" t="s">
        <v>8</v>
      </c>
      <c r="CA38" s="113" t="s">
        <v>8</v>
      </c>
      <c r="CB38" s="113" t="s">
        <v>8</v>
      </c>
      <c r="CC38" s="75" t="s">
        <v>8</v>
      </c>
      <c r="CD38" s="75" t="s">
        <v>8</v>
      </c>
      <c r="CE38" s="75" t="s">
        <v>8</v>
      </c>
      <c r="CF38" s="113" t="s">
        <v>8</v>
      </c>
      <c r="CG38" s="90"/>
    </row>
    <row r="39" spans="1:85" x14ac:dyDescent="0.25">
      <c r="A39" s="21"/>
      <c r="B39" s="21"/>
      <c r="C39" s="69" t="s">
        <v>76</v>
      </c>
      <c r="D39" s="108">
        <v>0</v>
      </c>
      <c r="E39" s="108">
        <v>0</v>
      </c>
      <c r="F39" s="108">
        <v>0</v>
      </c>
      <c r="G39" s="108">
        <v>0</v>
      </c>
      <c r="H39" s="108">
        <v>0</v>
      </c>
      <c r="I39" s="108">
        <v>0</v>
      </c>
      <c r="J39" s="90"/>
      <c r="K39" s="90"/>
      <c r="L39" s="108">
        <v>0</v>
      </c>
      <c r="M39" s="108">
        <v>0</v>
      </c>
      <c r="N39" s="108">
        <v>0</v>
      </c>
      <c r="O39" s="108">
        <v>0</v>
      </c>
      <c r="P39" s="108">
        <v>0</v>
      </c>
      <c r="Q39" s="108">
        <v>0</v>
      </c>
      <c r="R39" s="90"/>
      <c r="S39" s="108">
        <v>0</v>
      </c>
      <c r="T39" s="108">
        <v>0</v>
      </c>
      <c r="U39" s="108">
        <v>0</v>
      </c>
      <c r="V39" s="108">
        <v>0</v>
      </c>
      <c r="W39" s="108">
        <v>0</v>
      </c>
      <c r="X39" s="108">
        <v>0</v>
      </c>
      <c r="Y39" s="90"/>
      <c r="Z39" s="54" t="s">
        <v>8</v>
      </c>
      <c r="AA39" s="54" t="s">
        <v>8</v>
      </c>
      <c r="AB39" s="54" t="s">
        <v>8</v>
      </c>
      <c r="AC39" s="54" t="s">
        <v>8</v>
      </c>
      <c r="AD39" s="54" t="s">
        <v>8</v>
      </c>
      <c r="AE39" s="54" t="s">
        <v>8</v>
      </c>
      <c r="AF39" s="90"/>
      <c r="AG39" s="70">
        <v>0</v>
      </c>
      <c r="AH39" s="70">
        <v>0</v>
      </c>
      <c r="AI39" s="70">
        <v>0</v>
      </c>
      <c r="AJ39" s="70">
        <v>0</v>
      </c>
      <c r="AK39" s="70">
        <v>0</v>
      </c>
      <c r="AL39" s="70">
        <v>0</v>
      </c>
      <c r="AM39" s="90"/>
      <c r="AN39" s="70">
        <v>0</v>
      </c>
      <c r="AO39" s="70">
        <v>0</v>
      </c>
      <c r="AP39" s="70">
        <v>0</v>
      </c>
      <c r="AQ39" s="70">
        <v>0</v>
      </c>
      <c r="AR39" s="70">
        <v>0</v>
      </c>
      <c r="AS39" s="70">
        <v>0</v>
      </c>
      <c r="AT39" s="90"/>
      <c r="AU39" s="108" t="s">
        <v>8</v>
      </c>
      <c r="AV39" s="72" t="s">
        <v>8</v>
      </c>
      <c r="AW39" s="72" t="s">
        <v>8</v>
      </c>
      <c r="AX39" s="72" t="s">
        <v>8</v>
      </c>
      <c r="AY39" s="108" t="s">
        <v>8</v>
      </c>
      <c r="AZ39" s="110" t="s">
        <v>8</v>
      </c>
      <c r="BA39" s="110" t="s">
        <v>8</v>
      </c>
      <c r="BB39" s="110" t="s">
        <v>8</v>
      </c>
      <c r="BC39" s="97"/>
      <c r="BD39" s="111" t="s">
        <v>8</v>
      </c>
      <c r="BE39" s="111" t="s">
        <v>8</v>
      </c>
      <c r="BF39" s="111" t="s">
        <v>8</v>
      </c>
      <c r="BG39" s="111" t="s">
        <v>8</v>
      </c>
      <c r="BH39" s="111" t="s">
        <v>8</v>
      </c>
      <c r="BI39" s="111" t="s">
        <v>8</v>
      </c>
      <c r="BJ39" s="99"/>
      <c r="BK39" s="110"/>
      <c r="BL39" s="99"/>
      <c r="BM39" s="108">
        <v>0</v>
      </c>
      <c r="BN39" s="108">
        <v>0</v>
      </c>
      <c r="BO39" s="112" t="s">
        <v>8</v>
      </c>
      <c r="BP39" s="110" t="s">
        <v>8</v>
      </c>
      <c r="BQ39" s="90"/>
      <c r="BR39" s="110" t="s">
        <v>8</v>
      </c>
      <c r="BS39" s="108" t="s">
        <v>8</v>
      </c>
      <c r="BT39" s="108" t="s">
        <v>8</v>
      </c>
      <c r="BU39" s="110" t="s">
        <v>8</v>
      </c>
      <c r="BV39" s="108" t="s">
        <v>8</v>
      </c>
      <c r="BW39" s="108" t="s">
        <v>8</v>
      </c>
      <c r="BX39" s="90"/>
      <c r="BY39" s="113" t="s">
        <v>8</v>
      </c>
      <c r="BZ39" s="113" t="s">
        <v>8</v>
      </c>
      <c r="CA39" s="113" t="s">
        <v>8</v>
      </c>
      <c r="CB39" s="113" t="s">
        <v>8</v>
      </c>
      <c r="CC39" s="75" t="s">
        <v>8</v>
      </c>
      <c r="CD39" s="75" t="s">
        <v>8</v>
      </c>
      <c r="CE39" s="75" t="s">
        <v>8</v>
      </c>
      <c r="CF39" s="113" t="s">
        <v>8</v>
      </c>
      <c r="CG39" s="90"/>
    </row>
    <row r="40" spans="1:85" x14ac:dyDescent="0.25">
      <c r="A40" s="21"/>
      <c r="B40" s="21"/>
      <c r="C40" s="69" t="s">
        <v>77</v>
      </c>
      <c r="D40" s="108">
        <v>0</v>
      </c>
      <c r="E40" s="108">
        <v>0</v>
      </c>
      <c r="F40" s="108">
        <v>0</v>
      </c>
      <c r="G40" s="108">
        <v>0</v>
      </c>
      <c r="H40" s="108">
        <v>0</v>
      </c>
      <c r="I40" s="108">
        <v>0</v>
      </c>
      <c r="J40" s="90"/>
      <c r="K40" s="90"/>
      <c r="L40" s="108">
        <v>0</v>
      </c>
      <c r="M40" s="108">
        <v>0</v>
      </c>
      <c r="N40" s="108">
        <v>0</v>
      </c>
      <c r="O40" s="108">
        <v>0</v>
      </c>
      <c r="P40" s="108">
        <v>0</v>
      </c>
      <c r="Q40" s="108">
        <v>0</v>
      </c>
      <c r="R40" s="90"/>
      <c r="S40" s="108">
        <v>0</v>
      </c>
      <c r="T40" s="108">
        <v>0</v>
      </c>
      <c r="U40" s="108">
        <v>0</v>
      </c>
      <c r="V40" s="108">
        <v>0</v>
      </c>
      <c r="W40" s="108">
        <v>0</v>
      </c>
      <c r="X40" s="108">
        <v>0</v>
      </c>
      <c r="Y40" s="90"/>
      <c r="Z40" s="54" t="s">
        <v>8</v>
      </c>
      <c r="AA40" s="54" t="s">
        <v>8</v>
      </c>
      <c r="AB40" s="54" t="s">
        <v>8</v>
      </c>
      <c r="AC40" s="54" t="s">
        <v>8</v>
      </c>
      <c r="AD40" s="54" t="s">
        <v>8</v>
      </c>
      <c r="AE40" s="54" t="s">
        <v>8</v>
      </c>
      <c r="AF40" s="90"/>
      <c r="AG40" s="70">
        <v>0</v>
      </c>
      <c r="AH40" s="70">
        <v>0</v>
      </c>
      <c r="AI40" s="70">
        <v>0</v>
      </c>
      <c r="AJ40" s="70">
        <v>0</v>
      </c>
      <c r="AK40" s="70">
        <v>0</v>
      </c>
      <c r="AL40" s="70">
        <v>0</v>
      </c>
      <c r="AM40" s="90"/>
      <c r="AN40" s="70">
        <v>0</v>
      </c>
      <c r="AO40" s="70">
        <v>0</v>
      </c>
      <c r="AP40" s="70">
        <v>0</v>
      </c>
      <c r="AQ40" s="70">
        <v>0</v>
      </c>
      <c r="AR40" s="70">
        <v>0</v>
      </c>
      <c r="AS40" s="70">
        <v>0</v>
      </c>
      <c r="AT40" s="90"/>
      <c r="AU40" s="108" t="s">
        <v>8</v>
      </c>
      <c r="AV40" s="72" t="s">
        <v>8</v>
      </c>
      <c r="AW40" s="72" t="s">
        <v>8</v>
      </c>
      <c r="AX40" s="72" t="s">
        <v>8</v>
      </c>
      <c r="AY40" s="108" t="s">
        <v>8</v>
      </c>
      <c r="AZ40" s="110" t="s">
        <v>8</v>
      </c>
      <c r="BA40" s="110" t="s">
        <v>8</v>
      </c>
      <c r="BB40" s="110" t="s">
        <v>8</v>
      </c>
      <c r="BC40" s="97"/>
      <c r="BD40" s="111" t="s">
        <v>8</v>
      </c>
      <c r="BE40" s="111" t="s">
        <v>8</v>
      </c>
      <c r="BF40" s="111" t="s">
        <v>8</v>
      </c>
      <c r="BG40" s="111" t="s">
        <v>8</v>
      </c>
      <c r="BH40" s="111" t="s">
        <v>8</v>
      </c>
      <c r="BI40" s="111" t="s">
        <v>8</v>
      </c>
      <c r="BJ40" s="99"/>
      <c r="BK40" s="110"/>
      <c r="BL40" s="99"/>
      <c r="BM40" s="108">
        <v>0</v>
      </c>
      <c r="BN40" s="108">
        <v>0</v>
      </c>
      <c r="BO40" s="112" t="s">
        <v>8</v>
      </c>
      <c r="BP40" s="110" t="s">
        <v>8</v>
      </c>
      <c r="BQ40" s="90"/>
      <c r="BR40" s="110" t="s">
        <v>8</v>
      </c>
      <c r="BS40" s="108" t="s">
        <v>8</v>
      </c>
      <c r="BT40" s="108" t="s">
        <v>8</v>
      </c>
      <c r="BU40" s="110" t="s">
        <v>8</v>
      </c>
      <c r="BV40" s="108" t="s">
        <v>8</v>
      </c>
      <c r="BW40" s="108" t="s">
        <v>8</v>
      </c>
      <c r="BX40" s="90"/>
      <c r="BY40" s="113" t="s">
        <v>8</v>
      </c>
      <c r="BZ40" s="113" t="s">
        <v>8</v>
      </c>
      <c r="CA40" s="113" t="s">
        <v>8</v>
      </c>
      <c r="CB40" s="113" t="s">
        <v>8</v>
      </c>
      <c r="CC40" s="75" t="s">
        <v>8</v>
      </c>
      <c r="CD40" s="75" t="s">
        <v>8</v>
      </c>
      <c r="CE40" s="75" t="s">
        <v>8</v>
      </c>
      <c r="CF40" s="113" t="s">
        <v>8</v>
      </c>
      <c r="CG40" s="90"/>
    </row>
    <row r="41" spans="1:85" x14ac:dyDescent="0.25">
      <c r="A41" s="21"/>
      <c r="B41" s="21"/>
      <c r="C41" s="69" t="s">
        <v>175</v>
      </c>
      <c r="D41" s="108">
        <v>0</v>
      </c>
      <c r="E41" s="108">
        <v>0</v>
      </c>
      <c r="F41" s="108">
        <v>0</v>
      </c>
      <c r="G41" s="108">
        <v>0</v>
      </c>
      <c r="H41" s="108">
        <v>0</v>
      </c>
      <c r="I41" s="108">
        <v>0</v>
      </c>
      <c r="J41" s="90"/>
      <c r="K41" s="90"/>
      <c r="L41" s="108">
        <v>0</v>
      </c>
      <c r="M41" s="108">
        <v>0</v>
      </c>
      <c r="N41" s="108">
        <v>0</v>
      </c>
      <c r="O41" s="108">
        <v>0</v>
      </c>
      <c r="P41" s="108">
        <v>0</v>
      </c>
      <c r="Q41" s="108">
        <v>0</v>
      </c>
      <c r="R41" s="90"/>
      <c r="S41" s="108">
        <v>0</v>
      </c>
      <c r="T41" s="108">
        <v>0</v>
      </c>
      <c r="U41" s="108">
        <v>0</v>
      </c>
      <c r="V41" s="108">
        <v>0</v>
      </c>
      <c r="W41" s="108">
        <v>0</v>
      </c>
      <c r="X41" s="108">
        <v>0</v>
      </c>
      <c r="Y41" s="90"/>
      <c r="Z41" s="54" t="s">
        <v>8</v>
      </c>
      <c r="AA41" s="54" t="s">
        <v>8</v>
      </c>
      <c r="AB41" s="54" t="s">
        <v>8</v>
      </c>
      <c r="AC41" s="54" t="s">
        <v>8</v>
      </c>
      <c r="AD41" s="54" t="s">
        <v>8</v>
      </c>
      <c r="AE41" s="54" t="s">
        <v>8</v>
      </c>
      <c r="AF41" s="90"/>
      <c r="AG41" s="70">
        <v>0</v>
      </c>
      <c r="AH41" s="70">
        <v>0</v>
      </c>
      <c r="AI41" s="70">
        <v>0</v>
      </c>
      <c r="AJ41" s="70">
        <v>0</v>
      </c>
      <c r="AK41" s="70">
        <v>0</v>
      </c>
      <c r="AL41" s="70">
        <v>0</v>
      </c>
      <c r="AM41" s="90"/>
      <c r="AN41" s="70">
        <v>0</v>
      </c>
      <c r="AO41" s="70">
        <v>0</v>
      </c>
      <c r="AP41" s="70">
        <v>0</v>
      </c>
      <c r="AQ41" s="70">
        <v>0</v>
      </c>
      <c r="AR41" s="70">
        <v>0</v>
      </c>
      <c r="AS41" s="70">
        <v>0</v>
      </c>
      <c r="AT41" s="90"/>
      <c r="AU41" s="108" t="s">
        <v>8</v>
      </c>
      <c r="AV41" s="72" t="s">
        <v>8</v>
      </c>
      <c r="AW41" s="72" t="s">
        <v>8</v>
      </c>
      <c r="AX41" s="72" t="s">
        <v>8</v>
      </c>
      <c r="AY41" s="108" t="s">
        <v>8</v>
      </c>
      <c r="AZ41" s="110" t="s">
        <v>8</v>
      </c>
      <c r="BA41" s="110" t="s">
        <v>8</v>
      </c>
      <c r="BB41" s="110" t="s">
        <v>8</v>
      </c>
      <c r="BC41" s="97"/>
      <c r="BD41" s="111" t="s">
        <v>8</v>
      </c>
      <c r="BE41" s="111" t="s">
        <v>8</v>
      </c>
      <c r="BF41" s="111" t="s">
        <v>8</v>
      </c>
      <c r="BG41" s="111" t="s">
        <v>8</v>
      </c>
      <c r="BH41" s="111" t="s">
        <v>8</v>
      </c>
      <c r="BI41" s="111" t="s">
        <v>8</v>
      </c>
      <c r="BJ41" s="99"/>
      <c r="BK41" s="110"/>
      <c r="BL41" s="99"/>
      <c r="BM41" s="108">
        <v>0</v>
      </c>
      <c r="BN41" s="108">
        <v>0</v>
      </c>
      <c r="BO41" s="112" t="s">
        <v>8</v>
      </c>
      <c r="BP41" s="110" t="s">
        <v>8</v>
      </c>
      <c r="BQ41" s="90"/>
      <c r="BR41" s="110" t="s">
        <v>8</v>
      </c>
      <c r="BS41" s="108" t="s">
        <v>8</v>
      </c>
      <c r="BT41" s="108" t="s">
        <v>8</v>
      </c>
      <c r="BU41" s="110" t="s">
        <v>8</v>
      </c>
      <c r="BV41" s="108" t="s">
        <v>8</v>
      </c>
      <c r="BW41" s="108" t="s">
        <v>8</v>
      </c>
      <c r="BX41" s="90"/>
      <c r="BY41" s="113" t="s">
        <v>8</v>
      </c>
      <c r="BZ41" s="113" t="s">
        <v>8</v>
      </c>
      <c r="CA41" s="113" t="s">
        <v>8</v>
      </c>
      <c r="CB41" s="113" t="s">
        <v>8</v>
      </c>
      <c r="CC41" s="75" t="s">
        <v>8</v>
      </c>
      <c r="CD41" s="75" t="s">
        <v>8</v>
      </c>
      <c r="CE41" s="75" t="s">
        <v>8</v>
      </c>
      <c r="CF41" s="113" t="s">
        <v>8</v>
      </c>
      <c r="CG41" s="90"/>
    </row>
    <row r="42" spans="1:85" x14ac:dyDescent="0.25">
      <c r="A42" s="21"/>
      <c r="B42" s="21"/>
      <c r="C42" s="69" t="s">
        <v>176</v>
      </c>
      <c r="D42" s="108">
        <v>0</v>
      </c>
      <c r="E42" s="108">
        <v>0</v>
      </c>
      <c r="F42" s="108">
        <v>0</v>
      </c>
      <c r="G42" s="108">
        <v>0</v>
      </c>
      <c r="H42" s="108">
        <v>0</v>
      </c>
      <c r="I42" s="108">
        <v>0</v>
      </c>
      <c r="J42" s="90"/>
      <c r="K42" s="90"/>
      <c r="L42" s="108">
        <v>0</v>
      </c>
      <c r="M42" s="108">
        <v>0</v>
      </c>
      <c r="N42" s="108">
        <v>0</v>
      </c>
      <c r="O42" s="108">
        <v>0</v>
      </c>
      <c r="P42" s="108">
        <v>0</v>
      </c>
      <c r="Q42" s="108">
        <v>0</v>
      </c>
      <c r="R42" s="90"/>
      <c r="S42" s="108">
        <v>0</v>
      </c>
      <c r="T42" s="108">
        <v>0</v>
      </c>
      <c r="U42" s="108">
        <v>0</v>
      </c>
      <c r="V42" s="108">
        <v>0</v>
      </c>
      <c r="W42" s="108">
        <v>0</v>
      </c>
      <c r="X42" s="108">
        <v>0</v>
      </c>
      <c r="Y42" s="90"/>
      <c r="Z42" s="54" t="s">
        <v>8</v>
      </c>
      <c r="AA42" s="54" t="s">
        <v>8</v>
      </c>
      <c r="AB42" s="54" t="s">
        <v>8</v>
      </c>
      <c r="AC42" s="54" t="s">
        <v>8</v>
      </c>
      <c r="AD42" s="54" t="s">
        <v>8</v>
      </c>
      <c r="AE42" s="54" t="s">
        <v>8</v>
      </c>
      <c r="AF42" s="90"/>
      <c r="AG42" s="70">
        <v>0</v>
      </c>
      <c r="AH42" s="70">
        <v>0</v>
      </c>
      <c r="AI42" s="70">
        <v>0</v>
      </c>
      <c r="AJ42" s="70">
        <v>0</v>
      </c>
      <c r="AK42" s="70">
        <v>0</v>
      </c>
      <c r="AL42" s="70">
        <v>0</v>
      </c>
      <c r="AM42" s="90"/>
      <c r="AN42" s="70">
        <v>0</v>
      </c>
      <c r="AO42" s="70">
        <v>0</v>
      </c>
      <c r="AP42" s="70">
        <v>0</v>
      </c>
      <c r="AQ42" s="70">
        <v>0</v>
      </c>
      <c r="AR42" s="70">
        <v>0</v>
      </c>
      <c r="AS42" s="70">
        <v>0</v>
      </c>
      <c r="AT42" s="90"/>
      <c r="AU42" s="108" t="s">
        <v>8</v>
      </c>
      <c r="AV42" s="72" t="s">
        <v>8</v>
      </c>
      <c r="AW42" s="72" t="s">
        <v>8</v>
      </c>
      <c r="AX42" s="72" t="s">
        <v>8</v>
      </c>
      <c r="AY42" s="108" t="s">
        <v>8</v>
      </c>
      <c r="AZ42" s="110" t="s">
        <v>8</v>
      </c>
      <c r="BA42" s="110" t="s">
        <v>8</v>
      </c>
      <c r="BB42" s="110" t="s">
        <v>8</v>
      </c>
      <c r="BC42" s="97"/>
      <c r="BD42" s="111" t="s">
        <v>8</v>
      </c>
      <c r="BE42" s="111" t="s">
        <v>8</v>
      </c>
      <c r="BF42" s="111" t="s">
        <v>8</v>
      </c>
      <c r="BG42" s="111" t="s">
        <v>8</v>
      </c>
      <c r="BH42" s="111" t="s">
        <v>8</v>
      </c>
      <c r="BI42" s="111" t="s">
        <v>8</v>
      </c>
      <c r="BJ42" s="99"/>
      <c r="BK42" s="110"/>
      <c r="BL42" s="99"/>
      <c r="BM42" s="108">
        <v>0</v>
      </c>
      <c r="BN42" s="108">
        <v>0</v>
      </c>
      <c r="BO42" s="112" t="s">
        <v>8</v>
      </c>
      <c r="BP42" s="110" t="s">
        <v>8</v>
      </c>
      <c r="BQ42" s="90"/>
      <c r="BR42" s="110" t="s">
        <v>8</v>
      </c>
      <c r="BS42" s="108" t="s">
        <v>8</v>
      </c>
      <c r="BT42" s="108" t="s">
        <v>8</v>
      </c>
      <c r="BU42" s="110" t="s">
        <v>8</v>
      </c>
      <c r="BV42" s="108" t="s">
        <v>8</v>
      </c>
      <c r="BW42" s="108" t="s">
        <v>8</v>
      </c>
      <c r="BX42" s="90"/>
      <c r="BY42" s="113" t="s">
        <v>8</v>
      </c>
      <c r="BZ42" s="113" t="s">
        <v>8</v>
      </c>
      <c r="CA42" s="113" t="s">
        <v>8</v>
      </c>
      <c r="CB42" s="113" t="s">
        <v>8</v>
      </c>
      <c r="CC42" s="75" t="s">
        <v>8</v>
      </c>
      <c r="CD42" s="75" t="s">
        <v>8</v>
      </c>
      <c r="CE42" s="75" t="s">
        <v>8</v>
      </c>
      <c r="CF42" s="113" t="s">
        <v>8</v>
      </c>
      <c r="CG42" s="90"/>
    </row>
    <row r="43" spans="1:85" x14ac:dyDescent="0.25">
      <c r="A43" s="21"/>
      <c r="B43" s="21"/>
      <c r="C43" s="69" t="s">
        <v>177</v>
      </c>
      <c r="D43" s="108">
        <v>0</v>
      </c>
      <c r="E43" s="108">
        <v>0</v>
      </c>
      <c r="F43" s="108">
        <v>0</v>
      </c>
      <c r="G43" s="108">
        <v>0</v>
      </c>
      <c r="H43" s="108">
        <v>0</v>
      </c>
      <c r="I43" s="108">
        <v>0</v>
      </c>
      <c r="J43" s="90"/>
      <c r="K43" s="90"/>
      <c r="L43" s="108">
        <v>0</v>
      </c>
      <c r="M43" s="108">
        <v>0</v>
      </c>
      <c r="N43" s="108">
        <v>0</v>
      </c>
      <c r="O43" s="108">
        <v>0</v>
      </c>
      <c r="P43" s="108">
        <v>0</v>
      </c>
      <c r="Q43" s="108">
        <v>0</v>
      </c>
      <c r="R43" s="90"/>
      <c r="S43" s="108">
        <v>0</v>
      </c>
      <c r="T43" s="108">
        <v>0</v>
      </c>
      <c r="U43" s="108">
        <v>0</v>
      </c>
      <c r="V43" s="108">
        <v>0</v>
      </c>
      <c r="W43" s="108">
        <v>0</v>
      </c>
      <c r="X43" s="108">
        <v>0</v>
      </c>
      <c r="Y43" s="90"/>
      <c r="Z43" s="54" t="s">
        <v>8</v>
      </c>
      <c r="AA43" s="54" t="s">
        <v>8</v>
      </c>
      <c r="AB43" s="54" t="s">
        <v>8</v>
      </c>
      <c r="AC43" s="54" t="s">
        <v>8</v>
      </c>
      <c r="AD43" s="54" t="s">
        <v>8</v>
      </c>
      <c r="AE43" s="54" t="s">
        <v>8</v>
      </c>
      <c r="AF43" s="90"/>
      <c r="AG43" s="70">
        <v>0</v>
      </c>
      <c r="AH43" s="70">
        <v>0</v>
      </c>
      <c r="AI43" s="70">
        <v>0</v>
      </c>
      <c r="AJ43" s="70">
        <v>0</v>
      </c>
      <c r="AK43" s="70">
        <v>0</v>
      </c>
      <c r="AL43" s="70">
        <v>0</v>
      </c>
      <c r="AM43" s="90"/>
      <c r="AN43" s="70">
        <v>0</v>
      </c>
      <c r="AO43" s="70">
        <v>0</v>
      </c>
      <c r="AP43" s="70">
        <v>0</v>
      </c>
      <c r="AQ43" s="70">
        <v>0</v>
      </c>
      <c r="AR43" s="70">
        <v>0</v>
      </c>
      <c r="AS43" s="70">
        <v>0</v>
      </c>
      <c r="AT43" s="90"/>
      <c r="AU43" s="108" t="s">
        <v>8</v>
      </c>
      <c r="AV43" s="72" t="s">
        <v>8</v>
      </c>
      <c r="AW43" s="72" t="s">
        <v>8</v>
      </c>
      <c r="AX43" s="72" t="s">
        <v>8</v>
      </c>
      <c r="AY43" s="108" t="s">
        <v>8</v>
      </c>
      <c r="AZ43" s="110" t="s">
        <v>8</v>
      </c>
      <c r="BA43" s="110" t="s">
        <v>8</v>
      </c>
      <c r="BB43" s="110" t="s">
        <v>8</v>
      </c>
      <c r="BC43" s="97"/>
      <c r="BD43" s="111" t="s">
        <v>8</v>
      </c>
      <c r="BE43" s="111" t="s">
        <v>8</v>
      </c>
      <c r="BF43" s="111" t="s">
        <v>8</v>
      </c>
      <c r="BG43" s="111" t="s">
        <v>8</v>
      </c>
      <c r="BH43" s="111" t="s">
        <v>8</v>
      </c>
      <c r="BI43" s="111" t="s">
        <v>8</v>
      </c>
      <c r="BJ43" s="99"/>
      <c r="BK43" s="110"/>
      <c r="BL43" s="99"/>
      <c r="BM43" s="108">
        <v>0</v>
      </c>
      <c r="BN43" s="108">
        <v>0</v>
      </c>
      <c r="BO43" s="112" t="s">
        <v>8</v>
      </c>
      <c r="BP43" s="110" t="s">
        <v>8</v>
      </c>
      <c r="BQ43" s="90"/>
      <c r="BR43" s="110" t="s">
        <v>8</v>
      </c>
      <c r="BS43" s="108" t="s">
        <v>8</v>
      </c>
      <c r="BT43" s="108" t="s">
        <v>8</v>
      </c>
      <c r="BU43" s="110" t="s">
        <v>8</v>
      </c>
      <c r="BV43" s="108" t="s">
        <v>8</v>
      </c>
      <c r="BW43" s="108" t="s">
        <v>8</v>
      </c>
      <c r="BX43" s="90"/>
      <c r="BY43" s="113" t="s">
        <v>8</v>
      </c>
      <c r="BZ43" s="113" t="s">
        <v>8</v>
      </c>
      <c r="CA43" s="113" t="s">
        <v>8</v>
      </c>
      <c r="CB43" s="113" t="s">
        <v>8</v>
      </c>
      <c r="CC43" s="75" t="s">
        <v>8</v>
      </c>
      <c r="CD43" s="75" t="s">
        <v>8</v>
      </c>
      <c r="CE43" s="75" t="s">
        <v>8</v>
      </c>
      <c r="CF43" s="113" t="s">
        <v>8</v>
      </c>
      <c r="CG43" s="90"/>
    </row>
    <row r="44" spans="1:85" x14ac:dyDescent="0.25">
      <c r="A44" s="21"/>
      <c r="B44" s="21"/>
      <c r="C44" s="69" t="s">
        <v>178</v>
      </c>
      <c r="D44" s="108">
        <v>0</v>
      </c>
      <c r="E44" s="108">
        <v>0</v>
      </c>
      <c r="F44" s="108">
        <v>0</v>
      </c>
      <c r="G44" s="108">
        <v>0</v>
      </c>
      <c r="H44" s="108">
        <v>0</v>
      </c>
      <c r="I44" s="108">
        <v>0</v>
      </c>
      <c r="J44" s="90"/>
      <c r="K44" s="90"/>
      <c r="L44" s="108">
        <v>0</v>
      </c>
      <c r="M44" s="108">
        <v>0</v>
      </c>
      <c r="N44" s="108">
        <v>0</v>
      </c>
      <c r="O44" s="108">
        <v>0</v>
      </c>
      <c r="P44" s="108">
        <v>0</v>
      </c>
      <c r="Q44" s="108">
        <v>0</v>
      </c>
      <c r="R44" s="90"/>
      <c r="S44" s="108">
        <v>0</v>
      </c>
      <c r="T44" s="108">
        <v>0</v>
      </c>
      <c r="U44" s="108">
        <v>0</v>
      </c>
      <c r="V44" s="108">
        <v>0</v>
      </c>
      <c r="W44" s="108">
        <v>0</v>
      </c>
      <c r="X44" s="108">
        <v>0</v>
      </c>
      <c r="Y44" s="90"/>
      <c r="Z44" s="54" t="s">
        <v>8</v>
      </c>
      <c r="AA44" s="54" t="s">
        <v>8</v>
      </c>
      <c r="AB44" s="54" t="s">
        <v>8</v>
      </c>
      <c r="AC44" s="54" t="s">
        <v>8</v>
      </c>
      <c r="AD44" s="54" t="s">
        <v>8</v>
      </c>
      <c r="AE44" s="54" t="s">
        <v>8</v>
      </c>
      <c r="AF44" s="90"/>
      <c r="AG44" s="70">
        <v>0</v>
      </c>
      <c r="AH44" s="70">
        <v>0</v>
      </c>
      <c r="AI44" s="70">
        <v>0</v>
      </c>
      <c r="AJ44" s="70">
        <v>0</v>
      </c>
      <c r="AK44" s="70">
        <v>0</v>
      </c>
      <c r="AL44" s="70">
        <v>0</v>
      </c>
      <c r="AM44" s="90"/>
      <c r="AN44" s="70">
        <v>0</v>
      </c>
      <c r="AO44" s="70">
        <v>0</v>
      </c>
      <c r="AP44" s="70">
        <v>0</v>
      </c>
      <c r="AQ44" s="70">
        <v>0</v>
      </c>
      <c r="AR44" s="70">
        <v>0</v>
      </c>
      <c r="AS44" s="70">
        <v>0</v>
      </c>
      <c r="AT44" s="90"/>
      <c r="AU44" s="108" t="s">
        <v>8</v>
      </c>
      <c r="AV44" s="72" t="s">
        <v>8</v>
      </c>
      <c r="AW44" s="72" t="s">
        <v>8</v>
      </c>
      <c r="AX44" s="72" t="s">
        <v>8</v>
      </c>
      <c r="AY44" s="108" t="s">
        <v>8</v>
      </c>
      <c r="AZ44" s="110" t="s">
        <v>8</v>
      </c>
      <c r="BA44" s="110" t="s">
        <v>8</v>
      </c>
      <c r="BB44" s="110" t="s">
        <v>8</v>
      </c>
      <c r="BC44" s="97"/>
      <c r="BD44" s="111" t="s">
        <v>8</v>
      </c>
      <c r="BE44" s="111" t="s">
        <v>8</v>
      </c>
      <c r="BF44" s="111" t="s">
        <v>8</v>
      </c>
      <c r="BG44" s="111" t="s">
        <v>8</v>
      </c>
      <c r="BH44" s="111" t="s">
        <v>8</v>
      </c>
      <c r="BI44" s="111" t="s">
        <v>8</v>
      </c>
      <c r="BJ44" s="99"/>
      <c r="BK44" s="110"/>
      <c r="BL44" s="99"/>
      <c r="BM44" s="108">
        <v>0</v>
      </c>
      <c r="BN44" s="108">
        <v>0</v>
      </c>
      <c r="BO44" s="112" t="s">
        <v>8</v>
      </c>
      <c r="BP44" s="110" t="s">
        <v>8</v>
      </c>
      <c r="BQ44" s="90"/>
      <c r="BR44" s="110" t="s">
        <v>8</v>
      </c>
      <c r="BS44" s="108" t="s">
        <v>8</v>
      </c>
      <c r="BT44" s="108" t="s">
        <v>8</v>
      </c>
      <c r="BU44" s="110" t="s">
        <v>8</v>
      </c>
      <c r="BV44" s="108" t="s">
        <v>8</v>
      </c>
      <c r="BW44" s="108" t="s">
        <v>8</v>
      </c>
      <c r="BX44" s="90"/>
      <c r="BY44" s="113" t="s">
        <v>8</v>
      </c>
      <c r="BZ44" s="113" t="s">
        <v>8</v>
      </c>
      <c r="CA44" s="113" t="s">
        <v>8</v>
      </c>
      <c r="CB44" s="113" t="s">
        <v>8</v>
      </c>
      <c r="CC44" s="75" t="s">
        <v>8</v>
      </c>
      <c r="CD44" s="75" t="s">
        <v>8</v>
      </c>
      <c r="CE44" s="75" t="s">
        <v>8</v>
      </c>
      <c r="CF44" s="113" t="s">
        <v>8</v>
      </c>
      <c r="CG44" s="90"/>
    </row>
    <row r="45" spans="1:85" x14ac:dyDescent="0.25">
      <c r="A45" s="71"/>
      <c r="B45" s="71"/>
      <c r="C45" s="69" t="s">
        <v>179</v>
      </c>
      <c r="D45" s="108">
        <v>0</v>
      </c>
      <c r="E45" s="108">
        <v>0</v>
      </c>
      <c r="F45" s="108">
        <v>0</v>
      </c>
      <c r="G45" s="108">
        <v>0</v>
      </c>
      <c r="H45" s="108">
        <v>0</v>
      </c>
      <c r="I45" s="108">
        <v>0</v>
      </c>
      <c r="J45" s="90"/>
      <c r="K45" s="90"/>
      <c r="L45" s="108">
        <v>0</v>
      </c>
      <c r="M45" s="108">
        <v>0</v>
      </c>
      <c r="N45" s="108">
        <v>0</v>
      </c>
      <c r="O45" s="108">
        <v>0</v>
      </c>
      <c r="P45" s="108">
        <v>0</v>
      </c>
      <c r="Q45" s="108">
        <v>0</v>
      </c>
      <c r="R45" s="90"/>
      <c r="S45" s="108">
        <v>0</v>
      </c>
      <c r="T45" s="108">
        <v>0</v>
      </c>
      <c r="U45" s="108">
        <v>0</v>
      </c>
      <c r="V45" s="108">
        <v>0</v>
      </c>
      <c r="W45" s="108">
        <v>0</v>
      </c>
      <c r="X45" s="108">
        <v>0</v>
      </c>
      <c r="Y45" s="90"/>
      <c r="Z45" s="54" t="s">
        <v>8</v>
      </c>
      <c r="AA45" s="54" t="s">
        <v>8</v>
      </c>
      <c r="AB45" s="54" t="s">
        <v>8</v>
      </c>
      <c r="AC45" s="54" t="s">
        <v>8</v>
      </c>
      <c r="AD45" s="54" t="s">
        <v>8</v>
      </c>
      <c r="AE45" s="54" t="s">
        <v>8</v>
      </c>
      <c r="AF45" s="90"/>
      <c r="AG45" s="52">
        <v>0</v>
      </c>
      <c r="AH45" s="52">
        <v>0</v>
      </c>
      <c r="AI45" s="52">
        <v>0</v>
      </c>
      <c r="AJ45" s="52">
        <v>0</v>
      </c>
      <c r="AK45" s="52">
        <v>0</v>
      </c>
      <c r="AL45" s="52">
        <v>0</v>
      </c>
      <c r="AM45" s="90"/>
      <c r="AN45" s="70">
        <v>0</v>
      </c>
      <c r="AO45" s="70">
        <v>0</v>
      </c>
      <c r="AP45" s="70">
        <v>0</v>
      </c>
      <c r="AQ45" s="70">
        <v>0</v>
      </c>
      <c r="AR45" s="70">
        <v>0</v>
      </c>
      <c r="AS45" s="70">
        <v>0</v>
      </c>
      <c r="AT45" s="90"/>
      <c r="AU45" s="108" t="s">
        <v>8</v>
      </c>
      <c r="AV45" s="72" t="s">
        <v>8</v>
      </c>
      <c r="AW45" s="72" t="s">
        <v>8</v>
      </c>
      <c r="AX45" s="72" t="s">
        <v>8</v>
      </c>
      <c r="AY45" s="108" t="s">
        <v>8</v>
      </c>
      <c r="AZ45" s="110" t="s">
        <v>8</v>
      </c>
      <c r="BA45" s="110" t="s">
        <v>8</v>
      </c>
      <c r="BB45" s="110" t="s">
        <v>8</v>
      </c>
      <c r="BC45" s="97"/>
      <c r="BD45" s="111" t="s">
        <v>8</v>
      </c>
      <c r="BE45" s="111" t="s">
        <v>8</v>
      </c>
      <c r="BF45" s="111" t="s">
        <v>8</v>
      </c>
      <c r="BG45" s="111" t="s">
        <v>8</v>
      </c>
      <c r="BH45" s="111" t="s">
        <v>8</v>
      </c>
      <c r="BI45" s="111" t="s">
        <v>8</v>
      </c>
      <c r="BJ45" s="99"/>
      <c r="BK45" s="110"/>
      <c r="BL45" s="99"/>
      <c r="BM45" s="108">
        <v>0</v>
      </c>
      <c r="BN45" s="108">
        <v>0</v>
      </c>
      <c r="BO45" s="112" t="s">
        <v>8</v>
      </c>
      <c r="BP45" s="110" t="s">
        <v>8</v>
      </c>
      <c r="BQ45" s="90"/>
      <c r="BR45" s="110" t="s">
        <v>8</v>
      </c>
      <c r="BS45" s="108" t="s">
        <v>8</v>
      </c>
      <c r="BT45" s="108" t="s">
        <v>8</v>
      </c>
      <c r="BU45" s="110" t="s">
        <v>8</v>
      </c>
      <c r="BV45" s="108" t="s">
        <v>8</v>
      </c>
      <c r="BW45" s="108" t="s">
        <v>8</v>
      </c>
      <c r="BX45" s="90"/>
      <c r="BY45" s="113" t="s">
        <v>8</v>
      </c>
      <c r="BZ45" s="113" t="s">
        <v>8</v>
      </c>
      <c r="CA45" s="113" t="s">
        <v>8</v>
      </c>
      <c r="CB45" s="113" t="s">
        <v>8</v>
      </c>
      <c r="CC45" s="75" t="s">
        <v>8</v>
      </c>
      <c r="CD45" s="75" t="s">
        <v>8</v>
      </c>
      <c r="CE45" s="75" t="s">
        <v>8</v>
      </c>
      <c r="CF45" s="113" t="s">
        <v>8</v>
      </c>
      <c r="CG45" s="90"/>
    </row>
    <row r="46" spans="1:85" x14ac:dyDescent="0.25">
      <c r="A46" s="21"/>
      <c r="B46" s="21"/>
      <c r="C46" s="71"/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21"/>
      <c r="AA46" s="21"/>
      <c r="AB46" s="21"/>
      <c r="AC46" s="21"/>
      <c r="AD46" s="21"/>
      <c r="AE46" s="21"/>
      <c r="AF46" s="90"/>
      <c r="AG46" s="71"/>
      <c r="AH46" s="71"/>
      <c r="AI46" s="71"/>
      <c r="AJ46" s="71"/>
      <c r="AK46" s="71"/>
      <c r="AL46" s="71"/>
      <c r="AM46" s="90"/>
      <c r="AN46" s="71"/>
      <c r="AO46" s="71"/>
      <c r="AP46" s="71"/>
      <c r="AQ46" s="71"/>
      <c r="AR46" s="71"/>
      <c r="AS46" s="71"/>
      <c r="AT46" s="90"/>
      <c r="AU46" s="90"/>
      <c r="AV46" s="71"/>
      <c r="AW46" s="71"/>
      <c r="AX46" s="71"/>
      <c r="AY46" s="90"/>
      <c r="AZ46" s="90"/>
      <c r="BA46" s="90"/>
      <c r="BB46" s="90"/>
      <c r="BC46" s="90"/>
      <c r="BD46" s="90"/>
      <c r="BE46" s="90"/>
      <c r="BF46" s="90"/>
      <c r="BG46" s="90"/>
      <c r="BH46" s="90"/>
      <c r="BI46" s="90"/>
      <c r="BJ46" s="90"/>
      <c r="BK46" s="90"/>
      <c r="BL46" s="90"/>
      <c r="BM46" s="90"/>
      <c r="BN46" s="90"/>
      <c r="BO46" s="90"/>
      <c r="BP46" s="90"/>
      <c r="BQ46" s="90"/>
      <c r="BR46" s="142"/>
      <c r="BS46" s="90"/>
      <c r="BT46" s="90"/>
      <c r="BU46" s="90"/>
      <c r="BV46" s="90"/>
      <c r="BW46" s="90"/>
      <c r="BX46" s="90"/>
      <c r="BY46" s="90"/>
      <c r="BZ46" s="90"/>
      <c r="CA46" s="90"/>
      <c r="CB46" s="90"/>
      <c r="CC46" s="71"/>
      <c r="CD46" s="71"/>
      <c r="CE46" s="71"/>
      <c r="CF46" s="90"/>
      <c r="CG46" s="90"/>
    </row>
  </sheetData>
  <sheetProtection formatCells="0"/>
  <mergeCells count="5">
    <mergeCell ref="CC5:CE5"/>
    <mergeCell ref="AN5:AS5"/>
    <mergeCell ref="AV5:AX5"/>
    <mergeCell ref="B5:C5"/>
    <mergeCell ref="A1:CG2"/>
  </mergeCells>
  <phoneticPr fontId="54" type="noConversion"/>
  <pageMargins left="0.7" right="0.7" top="0.75" bottom="0.75" header="0.3" footer="0.3"/>
  <pageSetup scale="37" orientation="landscape" r:id="rId1"/>
  <cellWatches>
    <cellWatch r="BR9"/>
  </cellWatche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6B37E-69CE-42C2-88A9-B5BC6EE69DAF}">
  <dimension ref="A1:M49"/>
  <sheetViews>
    <sheetView workbookViewId="0">
      <selection sqref="A1:M2"/>
    </sheetView>
  </sheetViews>
  <sheetFormatPr defaultColWidth="0" defaultRowHeight="15" zeroHeight="1" x14ac:dyDescent="0.25"/>
  <cols>
    <col min="1" max="13" width="9" customWidth="1"/>
    <col min="14" max="16384" width="9" hidden="1"/>
  </cols>
  <sheetData>
    <row r="1" spans="1:13" x14ac:dyDescent="0.25">
      <c r="A1" s="206" t="s">
        <v>260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</row>
    <row r="2" spans="1:13" x14ac:dyDescent="0.25">
      <c r="A2" s="206"/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</row>
    <row r="3" spans="1:13" x14ac:dyDescent="0.25">
      <c r="A3" s="45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6"/>
    </row>
    <row r="4" spans="1:13" x14ac:dyDescent="0.25">
      <c r="A4" s="47"/>
      <c r="B4" s="192" t="s">
        <v>172</v>
      </c>
      <c r="C4" s="47"/>
      <c r="D4" s="47"/>
      <c r="E4" s="47"/>
      <c r="F4" s="47"/>
      <c r="G4" s="47"/>
      <c r="H4" s="47"/>
      <c r="I4" s="47"/>
      <c r="J4" s="47"/>
      <c r="K4" s="47"/>
      <c r="L4" s="47"/>
      <c r="M4" s="48"/>
    </row>
    <row r="5" spans="1:13" x14ac:dyDescent="0.25">
      <c r="A5" s="48"/>
      <c r="B5" s="240"/>
      <c r="C5" s="241"/>
      <c r="D5" s="241"/>
      <c r="E5" s="241"/>
      <c r="F5" s="241"/>
      <c r="G5" s="241"/>
      <c r="H5" s="241"/>
      <c r="I5" s="241"/>
      <c r="J5" s="241"/>
      <c r="K5" s="241"/>
      <c r="L5" s="242"/>
      <c r="M5" s="48"/>
    </row>
    <row r="6" spans="1:13" x14ac:dyDescent="0.25">
      <c r="A6" s="47"/>
      <c r="B6" s="243"/>
      <c r="C6" s="244"/>
      <c r="D6" s="244"/>
      <c r="E6" s="244"/>
      <c r="F6" s="244"/>
      <c r="G6" s="244"/>
      <c r="H6" s="244"/>
      <c r="I6" s="244"/>
      <c r="J6" s="244"/>
      <c r="K6" s="244"/>
      <c r="L6" s="245"/>
      <c r="M6" s="48"/>
    </row>
    <row r="7" spans="1:13" x14ac:dyDescent="0.25">
      <c r="A7" s="47"/>
      <c r="B7" s="243"/>
      <c r="C7" s="244"/>
      <c r="D7" s="244"/>
      <c r="E7" s="244"/>
      <c r="F7" s="244"/>
      <c r="G7" s="244"/>
      <c r="H7" s="244"/>
      <c r="I7" s="244"/>
      <c r="J7" s="244"/>
      <c r="K7" s="244"/>
      <c r="L7" s="245"/>
      <c r="M7" s="48"/>
    </row>
    <row r="8" spans="1:13" x14ac:dyDescent="0.25">
      <c r="A8" s="47"/>
      <c r="B8" s="243"/>
      <c r="C8" s="244"/>
      <c r="D8" s="244"/>
      <c r="E8" s="244"/>
      <c r="F8" s="244"/>
      <c r="G8" s="244"/>
      <c r="H8" s="244"/>
      <c r="I8" s="244"/>
      <c r="J8" s="244"/>
      <c r="K8" s="244"/>
      <c r="L8" s="245"/>
      <c r="M8" s="48"/>
    </row>
    <row r="9" spans="1:13" x14ac:dyDescent="0.25">
      <c r="A9" s="47"/>
      <c r="B9" s="246"/>
      <c r="C9" s="247"/>
      <c r="D9" s="247"/>
      <c r="E9" s="247"/>
      <c r="F9" s="247"/>
      <c r="G9" s="247"/>
      <c r="H9" s="247"/>
      <c r="I9" s="247"/>
      <c r="J9" s="247"/>
      <c r="K9" s="247"/>
      <c r="L9" s="248"/>
      <c r="M9" s="48"/>
    </row>
    <row r="10" spans="1:13" x14ac:dyDescent="0.25">
      <c r="A10" s="47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8"/>
    </row>
    <row r="11" spans="1:13" x14ac:dyDescent="0.25">
      <c r="A11" s="47"/>
      <c r="B11" s="47" t="s">
        <v>173</v>
      </c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8"/>
    </row>
    <row r="12" spans="1:13" x14ac:dyDescent="0.25">
      <c r="A12" s="47"/>
      <c r="B12" s="240"/>
      <c r="C12" s="241"/>
      <c r="D12" s="241"/>
      <c r="E12" s="241"/>
      <c r="F12" s="241"/>
      <c r="G12" s="241"/>
      <c r="H12" s="241"/>
      <c r="I12" s="241"/>
      <c r="J12" s="241"/>
      <c r="K12" s="241"/>
      <c r="L12" s="242"/>
      <c r="M12" s="48"/>
    </row>
    <row r="13" spans="1:13" x14ac:dyDescent="0.25">
      <c r="A13" s="47"/>
      <c r="B13" s="243"/>
      <c r="C13" s="244"/>
      <c r="D13" s="244"/>
      <c r="E13" s="244"/>
      <c r="F13" s="244"/>
      <c r="G13" s="244"/>
      <c r="H13" s="244"/>
      <c r="I13" s="244"/>
      <c r="J13" s="244"/>
      <c r="K13" s="244"/>
      <c r="L13" s="245"/>
      <c r="M13" s="48"/>
    </row>
    <row r="14" spans="1:13" x14ac:dyDescent="0.25">
      <c r="A14" s="47"/>
      <c r="B14" s="243"/>
      <c r="C14" s="244"/>
      <c r="D14" s="244"/>
      <c r="E14" s="244"/>
      <c r="F14" s="244"/>
      <c r="G14" s="244"/>
      <c r="H14" s="244"/>
      <c r="I14" s="244"/>
      <c r="J14" s="244"/>
      <c r="K14" s="244"/>
      <c r="L14" s="245"/>
      <c r="M14" s="48"/>
    </row>
    <row r="15" spans="1:13" x14ac:dyDescent="0.25">
      <c r="A15" s="47"/>
      <c r="B15" s="243"/>
      <c r="C15" s="244"/>
      <c r="D15" s="244"/>
      <c r="E15" s="244"/>
      <c r="F15" s="244"/>
      <c r="G15" s="244"/>
      <c r="H15" s="244"/>
      <c r="I15" s="244"/>
      <c r="J15" s="244"/>
      <c r="K15" s="244"/>
      <c r="L15" s="245"/>
      <c r="M15" s="48"/>
    </row>
    <row r="16" spans="1:13" x14ac:dyDescent="0.25">
      <c r="A16" s="47"/>
      <c r="B16" s="246"/>
      <c r="C16" s="247"/>
      <c r="D16" s="247"/>
      <c r="E16" s="247"/>
      <c r="F16" s="247"/>
      <c r="G16" s="247"/>
      <c r="H16" s="247"/>
      <c r="I16" s="247"/>
      <c r="J16" s="247"/>
      <c r="K16" s="247"/>
      <c r="L16" s="248"/>
      <c r="M16" s="48"/>
    </row>
    <row r="17" spans="1:13" x14ac:dyDescent="0.25">
      <c r="A17" s="47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8"/>
    </row>
    <row r="18" spans="1:13" x14ac:dyDescent="0.25">
      <c r="A18" s="47"/>
      <c r="B18" s="47" t="s">
        <v>174</v>
      </c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8"/>
    </row>
    <row r="19" spans="1:13" x14ac:dyDescent="0.25">
      <c r="A19" s="47"/>
      <c r="B19" s="240"/>
      <c r="C19" s="241"/>
      <c r="D19" s="241"/>
      <c r="E19" s="241"/>
      <c r="F19" s="241"/>
      <c r="G19" s="241"/>
      <c r="H19" s="241"/>
      <c r="I19" s="241"/>
      <c r="J19" s="241"/>
      <c r="K19" s="241"/>
      <c r="L19" s="242"/>
      <c r="M19" s="48"/>
    </row>
    <row r="20" spans="1:13" x14ac:dyDescent="0.25">
      <c r="A20" s="47"/>
      <c r="B20" s="243"/>
      <c r="C20" s="244"/>
      <c r="D20" s="244"/>
      <c r="E20" s="244"/>
      <c r="F20" s="244"/>
      <c r="G20" s="244"/>
      <c r="H20" s="244"/>
      <c r="I20" s="244"/>
      <c r="J20" s="244"/>
      <c r="K20" s="244"/>
      <c r="L20" s="245"/>
      <c r="M20" s="48"/>
    </row>
    <row r="21" spans="1:13" x14ac:dyDescent="0.25">
      <c r="A21" s="47"/>
      <c r="B21" s="243"/>
      <c r="C21" s="244"/>
      <c r="D21" s="244"/>
      <c r="E21" s="244"/>
      <c r="F21" s="244"/>
      <c r="G21" s="244"/>
      <c r="H21" s="244"/>
      <c r="I21" s="244"/>
      <c r="J21" s="244"/>
      <c r="K21" s="244"/>
      <c r="L21" s="245"/>
      <c r="M21" s="48"/>
    </row>
    <row r="22" spans="1:13" x14ac:dyDescent="0.25">
      <c r="A22" s="47"/>
      <c r="B22" s="243"/>
      <c r="C22" s="244"/>
      <c r="D22" s="244"/>
      <c r="E22" s="244"/>
      <c r="F22" s="244"/>
      <c r="G22" s="244"/>
      <c r="H22" s="244"/>
      <c r="I22" s="244"/>
      <c r="J22" s="244"/>
      <c r="K22" s="244"/>
      <c r="L22" s="245"/>
      <c r="M22" s="48"/>
    </row>
    <row r="23" spans="1:13" x14ac:dyDescent="0.25">
      <c r="A23" s="47"/>
      <c r="B23" s="246"/>
      <c r="C23" s="247"/>
      <c r="D23" s="247"/>
      <c r="E23" s="247"/>
      <c r="F23" s="247"/>
      <c r="G23" s="247"/>
      <c r="H23" s="247"/>
      <c r="I23" s="247"/>
      <c r="J23" s="247"/>
      <c r="K23" s="247"/>
      <c r="L23" s="248"/>
      <c r="M23" s="48"/>
    </row>
    <row r="24" spans="1:13" x14ac:dyDescent="0.25">
      <c r="A24" s="47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8"/>
    </row>
    <row r="25" spans="1:13" x14ac:dyDescent="0.25">
      <c r="A25" s="47"/>
      <c r="B25" s="47" t="s">
        <v>229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8"/>
    </row>
    <row r="26" spans="1:13" x14ac:dyDescent="0.25">
      <c r="A26" s="47"/>
      <c r="B26" s="240"/>
      <c r="C26" s="241"/>
      <c r="D26" s="241"/>
      <c r="E26" s="241"/>
      <c r="F26" s="241"/>
      <c r="G26" s="241"/>
      <c r="H26" s="241"/>
      <c r="I26" s="241"/>
      <c r="J26" s="241"/>
      <c r="K26" s="241"/>
      <c r="L26" s="242"/>
      <c r="M26" s="48"/>
    </row>
    <row r="27" spans="1:13" x14ac:dyDescent="0.25">
      <c r="A27" s="47"/>
      <c r="B27" s="243"/>
      <c r="C27" s="244"/>
      <c r="D27" s="244"/>
      <c r="E27" s="244"/>
      <c r="F27" s="244"/>
      <c r="G27" s="244"/>
      <c r="H27" s="244"/>
      <c r="I27" s="244"/>
      <c r="J27" s="244"/>
      <c r="K27" s="244"/>
      <c r="L27" s="245"/>
      <c r="M27" s="48"/>
    </row>
    <row r="28" spans="1:13" x14ac:dyDescent="0.25">
      <c r="A28" s="47"/>
      <c r="B28" s="243"/>
      <c r="C28" s="244"/>
      <c r="D28" s="244"/>
      <c r="E28" s="244"/>
      <c r="F28" s="244"/>
      <c r="G28" s="244"/>
      <c r="H28" s="244"/>
      <c r="I28" s="244"/>
      <c r="J28" s="244"/>
      <c r="K28" s="244"/>
      <c r="L28" s="245"/>
      <c r="M28" s="48"/>
    </row>
    <row r="29" spans="1:13" x14ac:dyDescent="0.25">
      <c r="A29" s="47"/>
      <c r="B29" s="243"/>
      <c r="C29" s="244"/>
      <c r="D29" s="244"/>
      <c r="E29" s="244"/>
      <c r="F29" s="244"/>
      <c r="G29" s="244"/>
      <c r="H29" s="244"/>
      <c r="I29" s="244"/>
      <c r="J29" s="244"/>
      <c r="K29" s="244"/>
      <c r="L29" s="245"/>
      <c r="M29" s="48"/>
    </row>
    <row r="30" spans="1:13" x14ac:dyDescent="0.25">
      <c r="A30" s="47"/>
      <c r="B30" s="246"/>
      <c r="C30" s="247"/>
      <c r="D30" s="247"/>
      <c r="E30" s="247"/>
      <c r="F30" s="247"/>
      <c r="G30" s="247"/>
      <c r="H30" s="247"/>
      <c r="I30" s="247"/>
      <c r="J30" s="247"/>
      <c r="K30" s="247"/>
      <c r="L30" s="248"/>
      <c r="M30" s="48"/>
    </row>
    <row r="31" spans="1:13" x14ac:dyDescent="0.25">
      <c r="A31" s="47"/>
      <c r="B31" s="193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8"/>
    </row>
    <row r="32" spans="1:13" x14ac:dyDescent="0.25">
      <c r="A32" s="47"/>
      <c r="B32" s="47" t="s">
        <v>230</v>
      </c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8"/>
    </row>
    <row r="33" spans="1:13" x14ac:dyDescent="0.25">
      <c r="A33" s="47"/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48"/>
    </row>
    <row r="34" spans="1:13" x14ac:dyDescent="0.25">
      <c r="A34" s="47"/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48"/>
    </row>
    <row r="35" spans="1:13" x14ac:dyDescent="0.25">
      <c r="A35" s="47"/>
      <c r="B35" s="243"/>
      <c r="C35" s="244"/>
      <c r="D35" s="244"/>
      <c r="E35" s="244"/>
      <c r="F35" s="244"/>
      <c r="G35" s="244"/>
      <c r="H35" s="244"/>
      <c r="I35" s="244"/>
      <c r="J35" s="244"/>
      <c r="K35" s="244"/>
      <c r="L35" s="245"/>
      <c r="M35" s="48"/>
    </row>
    <row r="36" spans="1:13" x14ac:dyDescent="0.25">
      <c r="A36" s="47"/>
      <c r="B36" s="243"/>
      <c r="C36" s="244"/>
      <c r="D36" s="244"/>
      <c r="E36" s="244"/>
      <c r="F36" s="244"/>
      <c r="G36" s="244"/>
      <c r="H36" s="244"/>
      <c r="I36" s="244"/>
      <c r="J36" s="244"/>
      <c r="K36" s="244"/>
      <c r="L36" s="245"/>
      <c r="M36" s="48"/>
    </row>
    <row r="37" spans="1:13" x14ac:dyDescent="0.25">
      <c r="A37" s="47"/>
      <c r="B37" s="246"/>
      <c r="C37" s="247"/>
      <c r="D37" s="247"/>
      <c r="E37" s="247"/>
      <c r="F37" s="247"/>
      <c r="G37" s="247"/>
      <c r="H37" s="247"/>
      <c r="I37" s="247"/>
      <c r="J37" s="247"/>
      <c r="K37" s="247"/>
      <c r="L37" s="248"/>
      <c r="M37" s="48"/>
    </row>
    <row r="38" spans="1:13" x14ac:dyDescent="0.25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8"/>
    </row>
    <row r="39" spans="1:13" x14ac:dyDescent="0.25">
      <c r="A39" s="47"/>
      <c r="B39" s="47" t="s">
        <v>231</v>
      </c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8"/>
    </row>
    <row r="40" spans="1:13" x14ac:dyDescent="0.25">
      <c r="A40" s="47"/>
      <c r="B40" s="240"/>
      <c r="C40" s="241"/>
      <c r="D40" s="241"/>
      <c r="E40" s="241"/>
      <c r="F40" s="241"/>
      <c r="G40" s="241"/>
      <c r="H40" s="241"/>
      <c r="I40" s="241"/>
      <c r="J40" s="241"/>
      <c r="K40" s="241"/>
      <c r="L40" s="242"/>
      <c r="M40" s="48"/>
    </row>
    <row r="41" spans="1:13" x14ac:dyDescent="0.25">
      <c r="A41" s="47"/>
      <c r="B41" s="243"/>
      <c r="C41" s="244"/>
      <c r="D41" s="244"/>
      <c r="E41" s="244"/>
      <c r="F41" s="244"/>
      <c r="G41" s="244"/>
      <c r="H41" s="244"/>
      <c r="I41" s="244"/>
      <c r="J41" s="244"/>
      <c r="K41" s="244"/>
      <c r="L41" s="245"/>
      <c r="M41" s="48"/>
    </row>
    <row r="42" spans="1:13" x14ac:dyDescent="0.25">
      <c r="A42" s="47"/>
      <c r="B42" s="243"/>
      <c r="C42" s="244"/>
      <c r="D42" s="244"/>
      <c r="E42" s="244"/>
      <c r="F42" s="244"/>
      <c r="G42" s="244"/>
      <c r="H42" s="244"/>
      <c r="I42" s="244"/>
      <c r="J42" s="244"/>
      <c r="K42" s="244"/>
      <c r="L42" s="245"/>
      <c r="M42" s="48"/>
    </row>
    <row r="43" spans="1:13" x14ac:dyDescent="0.25">
      <c r="A43" s="47"/>
      <c r="B43" s="243"/>
      <c r="C43" s="244"/>
      <c r="D43" s="244"/>
      <c r="E43" s="244"/>
      <c r="F43" s="244"/>
      <c r="G43" s="244"/>
      <c r="H43" s="244"/>
      <c r="I43" s="244"/>
      <c r="J43" s="244"/>
      <c r="K43" s="244"/>
      <c r="L43" s="245"/>
      <c r="M43" s="48"/>
    </row>
    <row r="44" spans="1:13" x14ac:dyDescent="0.25">
      <c r="A44" s="47"/>
      <c r="B44" s="246"/>
      <c r="C44" s="247"/>
      <c r="D44" s="247"/>
      <c r="E44" s="247"/>
      <c r="F44" s="247"/>
      <c r="G44" s="247"/>
      <c r="H44" s="247"/>
      <c r="I44" s="247"/>
      <c r="J44" s="247"/>
      <c r="K44" s="247"/>
      <c r="L44" s="248"/>
      <c r="M44" s="48"/>
    </row>
    <row r="45" spans="1:13" x14ac:dyDescent="0.25">
      <c r="A45" s="47"/>
      <c r="B45" s="193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8"/>
    </row>
    <row r="46" spans="1:13" x14ac:dyDescent="0.25">
      <c r="A46" s="47"/>
      <c r="B46" s="193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8"/>
    </row>
    <row r="47" spans="1:13" x14ac:dyDescent="0.25">
      <c r="A47" s="47"/>
      <c r="B47" s="193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8"/>
    </row>
    <row r="48" spans="1:13" x14ac:dyDescent="0.25">
      <c r="A48" s="47"/>
      <c r="B48" s="193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8"/>
    </row>
    <row r="49" spans="1:13" x14ac:dyDescent="0.25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50"/>
    </row>
  </sheetData>
  <mergeCells count="7">
    <mergeCell ref="B40:L44"/>
    <mergeCell ref="A1:M2"/>
    <mergeCell ref="B5:L9"/>
    <mergeCell ref="B12:L16"/>
    <mergeCell ref="B19:L23"/>
    <mergeCell ref="B26:L30"/>
    <mergeCell ref="B33:L37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5D3CF-02DF-4535-8E09-EA5FC27A8AE8}">
  <sheetPr codeName="RateChangeWS1">
    <pageSetUpPr fitToPage="1"/>
  </sheetPr>
  <dimension ref="A1:BA25"/>
  <sheetViews>
    <sheetView zoomScale="70" zoomScaleNormal="70" workbookViewId="0">
      <pane ySplit="2" topLeftCell="A3" activePane="bottomLeft" state="frozen"/>
      <selection activeCell="K34" sqref="K34"/>
      <selection pane="bottomLeft" sqref="A1:BA2"/>
    </sheetView>
  </sheetViews>
  <sheetFormatPr defaultColWidth="0" defaultRowHeight="15" zeroHeight="1" x14ac:dyDescent="0.25"/>
  <cols>
    <col min="1" max="1" width="2.28515625" customWidth="1"/>
    <col min="2" max="2" width="2.7109375" customWidth="1"/>
    <col min="3" max="3" width="3.28515625" customWidth="1"/>
    <col min="4" max="4" width="62.7109375" bestFit="1" customWidth="1"/>
    <col min="5" max="5" width="1.7109375" customWidth="1"/>
    <col min="6" max="7" width="18.28515625" customWidth="1"/>
    <col min="8" max="8" width="1.7109375" customWidth="1"/>
    <col min="9" max="10" width="18.28515625" customWidth="1"/>
    <col min="11" max="11" width="1.7109375" customWidth="1"/>
    <col min="12" max="13" width="18.28515625" customWidth="1"/>
    <col min="14" max="14" width="1.7109375" customWidth="1"/>
    <col min="15" max="16" width="18.28515625" customWidth="1"/>
    <col min="17" max="17" width="1.7109375" customWidth="1"/>
    <col min="18" max="19" width="18.28515625" customWidth="1"/>
    <col min="20" max="20" width="1.7109375" customWidth="1"/>
    <col min="21" max="22" width="18.28515625" customWidth="1"/>
    <col min="23" max="23" width="1.7109375" customWidth="1"/>
    <col min="24" max="25" width="18.28515625" customWidth="1"/>
    <col min="26" max="26" width="1.7109375" customWidth="1"/>
    <col min="27" max="28" width="18.28515625" customWidth="1"/>
    <col min="29" max="29" width="1.7109375" customWidth="1"/>
    <col min="30" max="31" width="18.28515625" customWidth="1"/>
    <col min="32" max="32" width="1.7109375" customWidth="1"/>
    <col min="33" max="34" width="18.28515625" customWidth="1"/>
    <col min="35" max="35" width="3.28515625" customWidth="1"/>
    <col min="36" max="37" width="18.28515625" customWidth="1"/>
    <col min="38" max="38" width="1.7109375" customWidth="1"/>
    <col min="39" max="40" width="18.28515625" customWidth="1"/>
    <col min="41" max="41" width="1.7109375" customWidth="1"/>
    <col min="42" max="43" width="18.28515625" customWidth="1"/>
    <col min="44" max="44" width="1.7109375" customWidth="1"/>
    <col min="45" max="46" width="18.28515625" customWidth="1"/>
    <col min="47" max="47" width="1.7109375" customWidth="1"/>
    <col min="48" max="49" width="18.28515625" customWidth="1"/>
    <col min="50" max="50" width="1.7109375" customWidth="1"/>
    <col min="51" max="52" width="18.28515625" customWidth="1"/>
    <col min="53" max="53" width="4.7109375" customWidth="1"/>
    <col min="54" max="16384" width="8.7109375" hidden="1"/>
  </cols>
  <sheetData>
    <row r="1" spans="1:53" s="156" customFormat="1" ht="22.5" customHeight="1" x14ac:dyDescent="0.25">
      <c r="A1" s="239" t="s">
        <v>260</v>
      </c>
      <c r="B1" s="239"/>
      <c r="C1" s="239"/>
      <c r="D1" s="239"/>
      <c r="E1" s="239"/>
      <c r="F1" s="239"/>
      <c r="G1" s="239"/>
      <c r="H1" s="239"/>
      <c r="I1" s="239"/>
      <c r="J1" s="239"/>
      <c r="K1" s="239"/>
      <c r="L1" s="239"/>
      <c r="M1" s="239"/>
      <c r="N1" s="239"/>
      <c r="O1" s="239"/>
      <c r="P1" s="239"/>
      <c r="Q1" s="239"/>
      <c r="R1" s="239"/>
      <c r="S1" s="239"/>
      <c r="T1" s="239"/>
      <c r="U1" s="239"/>
      <c r="V1" s="239"/>
      <c r="W1" s="239"/>
      <c r="X1" s="239"/>
      <c r="Y1" s="239"/>
      <c r="Z1" s="239"/>
      <c r="AA1" s="239"/>
      <c r="AB1" s="239"/>
      <c r="AC1" s="239"/>
      <c r="AD1" s="239"/>
      <c r="AE1" s="239"/>
      <c r="AF1" s="239"/>
      <c r="AG1" s="239"/>
      <c r="AH1" s="239"/>
      <c r="AI1" s="239"/>
      <c r="AJ1" s="239"/>
      <c r="AK1" s="239"/>
      <c r="AL1" s="239"/>
      <c r="AM1" s="239"/>
      <c r="AN1" s="239"/>
      <c r="AO1" s="239"/>
      <c r="AP1" s="239"/>
      <c r="AQ1" s="239"/>
      <c r="AR1" s="239"/>
      <c r="AS1" s="239"/>
      <c r="AT1" s="239"/>
      <c r="AU1" s="239"/>
      <c r="AV1" s="239"/>
      <c r="AW1" s="239"/>
      <c r="AX1" s="239"/>
      <c r="AY1" s="239"/>
      <c r="AZ1" s="239"/>
      <c r="BA1" s="239"/>
    </row>
    <row r="2" spans="1:53" s="156" customFormat="1" ht="9.75" customHeight="1" x14ac:dyDescent="0.25">
      <c r="A2" s="239"/>
      <c r="B2" s="239"/>
      <c r="C2" s="239"/>
      <c r="D2" s="239"/>
      <c r="E2" s="239"/>
      <c r="F2" s="239"/>
      <c r="G2" s="239"/>
      <c r="H2" s="239"/>
      <c r="I2" s="239"/>
      <c r="J2" s="239"/>
      <c r="K2" s="239"/>
      <c r="L2" s="239"/>
      <c r="M2" s="239"/>
      <c r="N2" s="239"/>
      <c r="O2" s="239"/>
      <c r="P2" s="239"/>
      <c r="Q2" s="239"/>
      <c r="R2" s="239"/>
      <c r="S2" s="239"/>
      <c r="T2" s="239"/>
      <c r="U2" s="239"/>
      <c r="V2" s="239"/>
      <c r="W2" s="239"/>
      <c r="X2" s="239"/>
      <c r="Y2" s="239"/>
      <c r="Z2" s="239"/>
      <c r="AA2" s="239"/>
      <c r="AB2" s="239"/>
      <c r="AC2" s="239"/>
      <c r="AD2" s="239"/>
      <c r="AE2" s="239"/>
      <c r="AF2" s="239"/>
      <c r="AG2" s="239"/>
      <c r="AH2" s="239"/>
      <c r="AI2" s="239"/>
      <c r="AJ2" s="239"/>
      <c r="AK2" s="239"/>
      <c r="AL2" s="239"/>
      <c r="AM2" s="239"/>
      <c r="AN2" s="239"/>
      <c r="AO2" s="239"/>
      <c r="AP2" s="239"/>
      <c r="AQ2" s="239"/>
      <c r="AR2" s="239"/>
      <c r="AS2" s="239"/>
      <c r="AT2" s="239"/>
      <c r="AU2" s="239"/>
      <c r="AV2" s="239"/>
      <c r="AW2" s="239"/>
      <c r="AX2" s="239"/>
      <c r="AY2" s="239"/>
      <c r="AZ2" s="239"/>
      <c r="BA2" s="239"/>
    </row>
    <row r="3" spans="1:53" x14ac:dyDescent="0.25">
      <c r="A3" s="150"/>
      <c r="B3" s="150"/>
      <c r="C3" s="150"/>
      <c r="D3" s="183" t="str">
        <f>IF(AND(DB.RenewalIndicator="Yes",DB.RiskInformation.ExpiryID=""),"!!!The rate change tab is not relevant since no expiry ID is available!!!","")</f>
        <v/>
      </c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  <c r="Z3" s="150"/>
      <c r="AA3" s="150"/>
      <c r="AB3" s="150"/>
      <c r="AC3" s="150"/>
      <c r="AD3" s="150"/>
      <c r="AE3" s="150"/>
      <c r="AF3" s="150"/>
      <c r="AG3" s="150"/>
      <c r="AH3" s="150"/>
      <c r="AI3" s="150"/>
      <c r="AJ3" s="150"/>
      <c r="AK3" s="150"/>
      <c r="AL3" s="150"/>
      <c r="AM3" s="150"/>
      <c r="AN3" s="150"/>
      <c r="AO3" s="150"/>
      <c r="AP3" s="150"/>
      <c r="AQ3" s="150"/>
      <c r="AR3" s="150"/>
      <c r="AS3" s="150"/>
      <c r="AT3" s="150"/>
      <c r="AU3" s="150"/>
      <c r="AV3" s="150"/>
      <c r="AW3" s="150"/>
      <c r="AX3" s="150"/>
      <c r="AY3" s="150"/>
      <c r="AZ3" s="150"/>
      <c r="BA3" s="150"/>
    </row>
    <row r="4" spans="1:53" ht="8.25" customHeight="1" x14ac:dyDescent="0.25">
      <c r="A4" s="150"/>
      <c r="B4" s="150"/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0"/>
      <c r="Z4" s="150"/>
      <c r="AA4" s="150"/>
      <c r="AB4" s="150"/>
      <c r="AC4" s="150"/>
      <c r="AD4" s="150"/>
      <c r="AE4" s="150"/>
      <c r="AF4" s="150"/>
      <c r="AG4" s="150"/>
      <c r="AH4" s="150"/>
      <c r="AI4" s="150"/>
      <c r="AJ4" s="150"/>
      <c r="AK4" s="150"/>
      <c r="AL4" s="150"/>
      <c r="AM4" s="150"/>
      <c r="AN4" s="150"/>
      <c r="AO4" s="150"/>
      <c r="AP4" s="150"/>
      <c r="AQ4" s="150"/>
      <c r="AR4" s="150"/>
      <c r="AS4" s="150"/>
      <c r="AT4" s="150"/>
      <c r="AU4" s="150"/>
      <c r="AV4" s="150"/>
      <c r="AW4" s="150"/>
      <c r="AX4" s="150"/>
      <c r="AY4" s="150"/>
      <c r="AZ4" s="150"/>
      <c r="BA4" s="150"/>
    </row>
    <row r="5" spans="1:53" ht="18.75" x14ac:dyDescent="0.3">
      <c r="A5" s="150"/>
      <c r="B5" s="150"/>
      <c r="C5" s="150"/>
      <c r="D5" s="157"/>
      <c r="E5" s="195" t="s">
        <v>248</v>
      </c>
      <c r="F5" s="249" t="s">
        <v>13</v>
      </c>
      <c r="G5" s="250"/>
      <c r="H5" s="196"/>
      <c r="I5" s="249" t="s">
        <v>232</v>
      </c>
      <c r="J5" s="250"/>
      <c r="K5" s="196"/>
      <c r="L5" s="249" t="s">
        <v>233</v>
      </c>
      <c r="M5" s="250"/>
      <c r="N5" s="196"/>
      <c r="O5" s="249" t="s">
        <v>234</v>
      </c>
      <c r="P5" s="250"/>
      <c r="Q5" s="196"/>
      <c r="R5" s="249" t="s">
        <v>235</v>
      </c>
      <c r="S5" s="250"/>
      <c r="T5" s="196"/>
      <c r="U5" s="249" t="s">
        <v>236</v>
      </c>
      <c r="V5" s="250"/>
      <c r="W5" s="196"/>
      <c r="X5" s="249" t="s">
        <v>237</v>
      </c>
      <c r="Y5" s="250"/>
      <c r="Z5" s="196"/>
      <c r="AA5" s="249" t="s">
        <v>238</v>
      </c>
      <c r="AB5" s="250"/>
      <c r="AC5" s="196"/>
      <c r="AD5" s="249" t="s">
        <v>239</v>
      </c>
      <c r="AE5" s="250"/>
      <c r="AF5" s="196"/>
      <c r="AG5" s="249" t="s">
        <v>240</v>
      </c>
      <c r="AH5" s="250"/>
      <c r="AI5" s="196"/>
      <c r="AJ5" s="249" t="s">
        <v>241</v>
      </c>
      <c r="AK5" s="250"/>
      <c r="AL5" s="196"/>
      <c r="AM5" s="249" t="s">
        <v>242</v>
      </c>
      <c r="AN5" s="250"/>
      <c r="AO5" s="196"/>
      <c r="AP5" s="249" t="s">
        <v>243</v>
      </c>
      <c r="AQ5" s="250"/>
      <c r="AR5" s="196"/>
      <c r="AS5" s="249" t="s">
        <v>244</v>
      </c>
      <c r="AT5" s="250"/>
      <c r="AU5" s="196"/>
      <c r="AV5" s="249" t="s">
        <v>245</v>
      </c>
      <c r="AW5" s="250"/>
      <c r="AX5" s="196"/>
      <c r="AY5" s="249" t="s">
        <v>246</v>
      </c>
      <c r="AZ5" s="250"/>
      <c r="BA5" s="150"/>
    </row>
    <row r="6" spans="1:53" ht="18.75" x14ac:dyDescent="0.3">
      <c r="A6" s="150"/>
      <c r="B6" s="150"/>
      <c r="C6" s="150"/>
      <c r="D6" s="157"/>
      <c r="E6" s="195" t="s">
        <v>247</v>
      </c>
      <c r="F6" s="251"/>
      <c r="G6" s="252"/>
      <c r="H6" s="151"/>
      <c r="I6" s="251"/>
      <c r="J6" s="252"/>
      <c r="K6" s="151"/>
      <c r="L6" s="251"/>
      <c r="M6" s="252"/>
      <c r="N6" s="151"/>
      <c r="O6" s="251"/>
      <c r="P6" s="252"/>
      <c r="Q6" s="151"/>
      <c r="R6" s="251"/>
      <c r="S6" s="252"/>
      <c r="T6" s="151"/>
      <c r="U6" s="251"/>
      <c r="V6" s="252"/>
      <c r="W6" s="151"/>
      <c r="X6" s="251"/>
      <c r="Y6" s="252"/>
      <c r="Z6" s="151"/>
      <c r="AA6" s="251"/>
      <c r="AB6" s="252"/>
      <c r="AC6" s="151"/>
      <c r="AD6" s="251"/>
      <c r="AE6" s="252"/>
      <c r="AF6" s="151"/>
      <c r="AG6" s="251"/>
      <c r="AH6" s="252"/>
      <c r="AI6" s="151"/>
      <c r="AJ6" s="251"/>
      <c r="AK6" s="252"/>
      <c r="AL6" s="151"/>
      <c r="AM6" s="251"/>
      <c r="AN6" s="252"/>
      <c r="AO6" s="151"/>
      <c r="AP6" s="251"/>
      <c r="AQ6" s="252"/>
      <c r="AR6" s="151"/>
      <c r="AS6" s="251"/>
      <c r="AT6" s="252"/>
      <c r="AU6" s="151"/>
      <c r="AV6" s="251"/>
      <c r="AW6" s="252"/>
      <c r="AX6" s="151"/>
      <c r="AY6" s="251"/>
      <c r="AZ6" s="252"/>
      <c r="BA6" s="150"/>
    </row>
    <row r="7" spans="1:53" ht="14.1" customHeight="1" x14ac:dyDescent="0.25">
      <c r="A7" s="150"/>
      <c r="B7" s="150"/>
      <c r="C7" s="150"/>
      <c r="D7" s="150"/>
      <c r="E7" s="150"/>
      <c r="F7" s="158"/>
      <c r="G7" s="158"/>
      <c r="H7" s="150"/>
      <c r="I7" s="158"/>
      <c r="J7" s="158"/>
      <c r="K7" s="150"/>
      <c r="L7" s="158"/>
      <c r="M7" s="158"/>
      <c r="N7" s="150"/>
      <c r="O7" s="158"/>
      <c r="P7" s="158"/>
      <c r="Q7" s="150"/>
      <c r="R7" s="158"/>
      <c r="S7" s="158"/>
      <c r="T7" s="150"/>
      <c r="U7" s="158"/>
      <c r="V7" s="158"/>
      <c r="W7" s="150"/>
      <c r="X7" s="158"/>
      <c r="Y7" s="158"/>
      <c r="Z7" s="150"/>
      <c r="AA7" s="158"/>
      <c r="AB7" s="158"/>
      <c r="AC7" s="150"/>
      <c r="AD7" s="158"/>
      <c r="AE7" s="158"/>
      <c r="AF7" s="150"/>
      <c r="AG7" s="158"/>
      <c r="AH7" s="158"/>
      <c r="AI7" s="150"/>
      <c r="AJ7" s="158"/>
      <c r="AK7" s="158"/>
      <c r="AL7" s="150"/>
      <c r="AM7" s="158"/>
      <c r="AN7" s="158"/>
      <c r="AO7" s="150"/>
      <c r="AP7" s="158"/>
      <c r="AQ7" s="158"/>
      <c r="AR7" s="150"/>
      <c r="AS7" s="158"/>
      <c r="AT7" s="158"/>
      <c r="AU7" s="150"/>
      <c r="AV7" s="158"/>
      <c r="AW7" s="158"/>
      <c r="AX7" s="150"/>
      <c r="AY7" s="158"/>
      <c r="AZ7" s="158"/>
      <c r="BA7" s="150"/>
    </row>
    <row r="8" spans="1:53" x14ac:dyDescent="0.25">
      <c r="A8" s="150"/>
      <c r="B8" s="150"/>
      <c r="C8" s="150"/>
      <c r="D8" s="150"/>
      <c r="E8" s="150"/>
      <c r="F8" s="197" t="s">
        <v>200</v>
      </c>
      <c r="G8" s="198" t="s">
        <v>112</v>
      </c>
      <c r="H8" s="150"/>
      <c r="I8" s="197" t="s">
        <v>200</v>
      </c>
      <c r="J8" s="198" t="s">
        <v>112</v>
      </c>
      <c r="K8" s="150"/>
      <c r="L8" s="197" t="s">
        <v>200</v>
      </c>
      <c r="M8" s="198" t="s">
        <v>112</v>
      </c>
      <c r="N8" s="150"/>
      <c r="O8" s="197" t="s">
        <v>200</v>
      </c>
      <c r="P8" s="198" t="s">
        <v>112</v>
      </c>
      <c r="Q8" s="150"/>
      <c r="R8" s="197" t="s">
        <v>200</v>
      </c>
      <c r="S8" s="198" t="s">
        <v>112</v>
      </c>
      <c r="T8" s="150"/>
      <c r="U8" s="197" t="s">
        <v>200</v>
      </c>
      <c r="V8" s="198" t="s">
        <v>112</v>
      </c>
      <c r="W8" s="150"/>
      <c r="X8" s="197" t="s">
        <v>200</v>
      </c>
      <c r="Y8" s="198" t="s">
        <v>112</v>
      </c>
      <c r="Z8" s="150"/>
      <c r="AA8" s="197" t="s">
        <v>200</v>
      </c>
      <c r="AB8" s="198" t="s">
        <v>112</v>
      </c>
      <c r="AC8" s="150"/>
      <c r="AD8" s="197" t="s">
        <v>200</v>
      </c>
      <c r="AE8" s="198" t="s">
        <v>112</v>
      </c>
      <c r="AF8" s="150"/>
      <c r="AG8" s="197" t="s">
        <v>200</v>
      </c>
      <c r="AH8" s="198" t="s">
        <v>112</v>
      </c>
      <c r="AI8" s="150"/>
      <c r="AJ8" s="197" t="s">
        <v>200</v>
      </c>
      <c r="AK8" s="198" t="s">
        <v>112</v>
      </c>
      <c r="AL8" s="150"/>
      <c r="AM8" s="197" t="s">
        <v>200</v>
      </c>
      <c r="AN8" s="198" t="s">
        <v>112</v>
      </c>
      <c r="AO8" s="150"/>
      <c r="AP8" s="197" t="s">
        <v>200</v>
      </c>
      <c r="AQ8" s="198" t="s">
        <v>112</v>
      </c>
      <c r="AR8" s="150"/>
      <c r="AS8" s="197" t="s">
        <v>200</v>
      </c>
      <c r="AT8" s="198" t="s">
        <v>112</v>
      </c>
      <c r="AU8" s="150"/>
      <c r="AV8" s="197" t="s">
        <v>200</v>
      </c>
      <c r="AW8" s="198" t="s">
        <v>112</v>
      </c>
      <c r="AX8" s="150"/>
      <c r="AY8" s="197" t="s">
        <v>200</v>
      </c>
      <c r="AZ8" s="198" t="s">
        <v>112</v>
      </c>
      <c r="BA8" s="150"/>
    </row>
    <row r="9" spans="1:53" x14ac:dyDescent="0.25">
      <c r="A9" s="150"/>
      <c r="B9" s="150"/>
      <c r="C9" s="174">
        <v>1</v>
      </c>
      <c r="D9" s="190" t="str">
        <f>"Annualised gross premium (at 100% on GPI, "&amp;DB.CoverDetails.CCY.Cover&amp;" )"</f>
        <v>Annualised gross premium (at 100% on GPI,  )</v>
      </c>
      <c r="E9" s="150"/>
      <c r="F9" s="191"/>
      <c r="G9" s="191"/>
      <c r="H9" s="150"/>
      <c r="I9" s="191"/>
      <c r="J9" s="191"/>
      <c r="K9" s="150"/>
      <c r="L9" s="191"/>
      <c r="M9" s="191"/>
      <c r="N9" s="150"/>
      <c r="O9" s="191"/>
      <c r="P9" s="191"/>
      <c r="Q9" s="150"/>
      <c r="R9" s="191"/>
      <c r="S9" s="191"/>
      <c r="T9" s="150"/>
      <c r="U9" s="191"/>
      <c r="V9" s="191"/>
      <c r="W9" s="150"/>
      <c r="X9" s="191"/>
      <c r="Y9" s="191"/>
      <c r="Z9" s="150"/>
      <c r="AA9" s="191"/>
      <c r="AB9" s="191"/>
      <c r="AC9" s="150"/>
      <c r="AD9" s="191"/>
      <c r="AE9" s="191"/>
      <c r="AF9" s="150"/>
      <c r="AG9" s="191"/>
      <c r="AH9" s="191"/>
      <c r="AI9" s="150"/>
      <c r="AJ9" s="191"/>
      <c r="AK9" s="191"/>
      <c r="AL9" s="150"/>
      <c r="AM9" s="191"/>
      <c r="AN9" s="191"/>
      <c r="AO9" s="150"/>
      <c r="AP9" s="191"/>
      <c r="AQ9" s="191"/>
      <c r="AR9" s="150"/>
      <c r="AS9" s="191"/>
      <c r="AT9" s="191"/>
      <c r="AU9" s="150"/>
      <c r="AV9" s="191"/>
      <c r="AW9" s="191"/>
      <c r="AX9" s="150"/>
      <c r="AY9" s="191"/>
      <c r="AZ9" s="191"/>
      <c r="BA9" s="150"/>
    </row>
    <row r="10" spans="1:53" x14ac:dyDescent="0.25">
      <c r="A10" s="150"/>
      <c r="B10" s="150"/>
      <c r="C10" s="150" t="s">
        <v>198</v>
      </c>
      <c r="D10" s="150" t="s">
        <v>198</v>
      </c>
      <c r="E10" s="150"/>
      <c r="F10" s="158" t="s">
        <v>201</v>
      </c>
      <c r="G10" s="158" t="s">
        <v>202</v>
      </c>
      <c r="H10" s="150"/>
      <c r="I10" s="158" t="s">
        <v>201</v>
      </c>
      <c r="J10" s="158" t="s">
        <v>202</v>
      </c>
      <c r="K10" s="150"/>
      <c r="L10" s="158" t="s">
        <v>201</v>
      </c>
      <c r="M10" s="158" t="s">
        <v>202</v>
      </c>
      <c r="N10" s="150"/>
      <c r="O10" s="158" t="s">
        <v>201</v>
      </c>
      <c r="P10" s="158" t="s">
        <v>202</v>
      </c>
      <c r="Q10" s="150"/>
      <c r="R10" s="158" t="s">
        <v>201</v>
      </c>
      <c r="S10" s="158" t="s">
        <v>202</v>
      </c>
      <c r="T10" s="150"/>
      <c r="U10" s="158" t="s">
        <v>201</v>
      </c>
      <c r="V10" s="158" t="s">
        <v>202</v>
      </c>
      <c r="W10" s="150"/>
      <c r="X10" s="158" t="s">
        <v>201</v>
      </c>
      <c r="Y10" s="158" t="s">
        <v>202</v>
      </c>
      <c r="Z10" s="150"/>
      <c r="AA10" s="158" t="s">
        <v>201</v>
      </c>
      <c r="AB10" s="158" t="s">
        <v>202</v>
      </c>
      <c r="AC10" s="150"/>
      <c r="AD10" s="158" t="s">
        <v>201</v>
      </c>
      <c r="AE10" s="158" t="s">
        <v>202</v>
      </c>
      <c r="AF10" s="150"/>
      <c r="AG10" s="158" t="s">
        <v>201</v>
      </c>
      <c r="AH10" s="158" t="s">
        <v>202</v>
      </c>
      <c r="AI10" s="150"/>
      <c r="AJ10" s="158" t="s">
        <v>201</v>
      </c>
      <c r="AK10" s="158" t="s">
        <v>202</v>
      </c>
      <c r="AL10" s="150"/>
      <c r="AM10" s="158" t="s">
        <v>201</v>
      </c>
      <c r="AN10" s="158" t="s">
        <v>202</v>
      </c>
      <c r="AO10" s="150"/>
      <c r="AP10" s="158" t="s">
        <v>201</v>
      </c>
      <c r="AQ10" s="158" t="s">
        <v>202</v>
      </c>
      <c r="AR10" s="150"/>
      <c r="AS10" s="158" t="s">
        <v>201</v>
      </c>
      <c r="AT10" s="158" t="s">
        <v>202</v>
      </c>
      <c r="AU10" s="150"/>
      <c r="AV10" s="158" t="s">
        <v>201</v>
      </c>
      <c r="AW10" s="158" t="s">
        <v>202</v>
      </c>
      <c r="AX10" s="150"/>
      <c r="AY10" s="158" t="s">
        <v>201</v>
      </c>
      <c r="AZ10" s="158" t="s">
        <v>202</v>
      </c>
      <c r="BA10" s="150"/>
    </row>
    <row r="11" spans="1:53" x14ac:dyDescent="0.25">
      <c r="A11" s="150"/>
      <c r="B11" s="150"/>
      <c r="C11" s="159" t="s">
        <v>170</v>
      </c>
      <c r="D11" s="160" t="s">
        <v>223</v>
      </c>
      <c r="E11" s="150"/>
      <c r="F11" s="165"/>
      <c r="G11" s="175"/>
      <c r="H11" s="176"/>
      <c r="I11" s="165"/>
      <c r="J11" s="175"/>
      <c r="K11" s="176"/>
      <c r="L11" s="165"/>
      <c r="M11" s="166"/>
      <c r="N11" s="150"/>
      <c r="O11" s="165"/>
      <c r="P11" s="166"/>
      <c r="Q11" s="150"/>
      <c r="R11" s="165"/>
      <c r="S11" s="166"/>
      <c r="T11" s="150"/>
      <c r="U11" s="165"/>
      <c r="V11" s="166"/>
      <c r="W11" s="150"/>
      <c r="X11" s="165"/>
      <c r="Y11" s="166"/>
      <c r="Z11" s="150"/>
      <c r="AA11" s="165"/>
      <c r="AB11" s="166"/>
      <c r="AC11" s="150"/>
      <c r="AD11" s="165"/>
      <c r="AE11" s="166"/>
      <c r="AF11" s="150"/>
      <c r="AG11" s="165"/>
      <c r="AH11" s="166"/>
      <c r="AI11" s="150"/>
      <c r="AJ11" s="165"/>
      <c r="AK11" s="166"/>
      <c r="AL11" s="150"/>
      <c r="AM11" s="165"/>
      <c r="AN11" s="166"/>
      <c r="AO11" s="150"/>
      <c r="AP11" s="165"/>
      <c r="AQ11" s="166"/>
      <c r="AR11" s="150"/>
      <c r="AS11" s="165"/>
      <c r="AT11" s="166"/>
      <c r="AU11" s="150"/>
      <c r="AV11" s="165"/>
      <c r="AW11" s="166"/>
      <c r="AX11" s="150"/>
      <c r="AY11" s="165"/>
      <c r="AZ11" s="166"/>
      <c r="BA11" s="150"/>
    </row>
    <row r="12" spans="1:53" x14ac:dyDescent="0.25">
      <c r="A12" s="150"/>
      <c r="B12" s="150"/>
      <c r="C12" s="161" t="s">
        <v>171</v>
      </c>
      <c r="D12" s="162" t="s">
        <v>203</v>
      </c>
      <c r="E12" s="150"/>
      <c r="F12" s="177"/>
      <c r="G12" s="178"/>
      <c r="H12" s="176"/>
      <c r="I12" s="177"/>
      <c r="J12" s="178"/>
      <c r="K12" s="176"/>
      <c r="L12" s="177"/>
      <c r="M12" s="168"/>
      <c r="N12" s="150"/>
      <c r="O12" s="167"/>
      <c r="P12" s="168"/>
      <c r="Q12" s="150"/>
      <c r="R12" s="167"/>
      <c r="S12" s="168"/>
      <c r="T12" s="150"/>
      <c r="U12" s="167"/>
      <c r="V12" s="168"/>
      <c r="W12" s="150"/>
      <c r="X12" s="167"/>
      <c r="Y12" s="168"/>
      <c r="Z12" s="150"/>
      <c r="AA12" s="167"/>
      <c r="AB12" s="168"/>
      <c r="AC12" s="150"/>
      <c r="AD12" s="167"/>
      <c r="AE12" s="168"/>
      <c r="AF12" s="150"/>
      <c r="AG12" s="167"/>
      <c r="AH12" s="168"/>
      <c r="AI12" s="150"/>
      <c r="AJ12" s="167"/>
      <c r="AK12" s="168"/>
      <c r="AL12" s="150"/>
      <c r="AM12" s="167"/>
      <c r="AN12" s="168"/>
      <c r="AO12" s="150"/>
      <c r="AP12" s="167"/>
      <c r="AQ12" s="168"/>
      <c r="AR12" s="150"/>
      <c r="AS12" s="167"/>
      <c r="AT12" s="168"/>
      <c r="AU12" s="150"/>
      <c r="AV12" s="167"/>
      <c r="AW12" s="168"/>
      <c r="AX12" s="150"/>
      <c r="AY12" s="167"/>
      <c r="AZ12" s="168"/>
      <c r="BA12" s="150"/>
    </row>
    <row r="13" spans="1:53" x14ac:dyDescent="0.25">
      <c r="A13" s="150"/>
      <c r="B13" s="150"/>
      <c r="C13" s="161" t="s">
        <v>204</v>
      </c>
      <c r="D13" s="162" t="s">
        <v>218</v>
      </c>
      <c r="E13" s="150"/>
      <c r="F13" s="177"/>
      <c r="G13" s="178"/>
      <c r="H13" s="176"/>
      <c r="I13" s="177"/>
      <c r="J13" s="178"/>
      <c r="K13" s="176"/>
      <c r="L13" s="177"/>
      <c r="M13" s="168"/>
      <c r="N13" s="150"/>
      <c r="O13" s="167"/>
      <c r="P13" s="168"/>
      <c r="Q13" s="150"/>
      <c r="R13" s="167"/>
      <c r="S13" s="168"/>
      <c r="T13" s="150"/>
      <c r="U13" s="167"/>
      <c r="V13" s="168"/>
      <c r="W13" s="150"/>
      <c r="X13" s="167"/>
      <c r="Y13" s="168"/>
      <c r="Z13" s="150"/>
      <c r="AA13" s="167"/>
      <c r="AB13" s="168"/>
      <c r="AC13" s="150"/>
      <c r="AD13" s="167"/>
      <c r="AE13" s="168"/>
      <c r="AF13" s="150"/>
      <c r="AG13" s="167"/>
      <c r="AH13" s="168"/>
      <c r="AI13" s="150"/>
      <c r="AJ13" s="167"/>
      <c r="AK13" s="168"/>
      <c r="AL13" s="150"/>
      <c r="AM13" s="167"/>
      <c r="AN13" s="168"/>
      <c r="AO13" s="150"/>
      <c r="AP13" s="167"/>
      <c r="AQ13" s="168"/>
      <c r="AR13" s="150"/>
      <c r="AS13" s="167"/>
      <c r="AT13" s="168"/>
      <c r="AU13" s="150"/>
      <c r="AV13" s="167"/>
      <c r="AW13" s="168"/>
      <c r="AX13" s="150"/>
      <c r="AY13" s="167"/>
      <c r="AZ13" s="168"/>
      <c r="BA13" s="150"/>
    </row>
    <row r="14" spans="1:53" x14ac:dyDescent="0.25">
      <c r="A14" s="150"/>
      <c r="B14" s="150"/>
      <c r="C14" s="161" t="s">
        <v>205</v>
      </c>
      <c r="D14" s="162" t="s">
        <v>206</v>
      </c>
      <c r="E14" s="150"/>
      <c r="F14" s="177"/>
      <c r="G14" s="178"/>
      <c r="H14" s="176"/>
      <c r="I14" s="177"/>
      <c r="J14" s="178"/>
      <c r="K14" s="176"/>
      <c r="L14" s="177"/>
      <c r="M14" s="168"/>
      <c r="N14" s="150"/>
      <c r="O14" s="167"/>
      <c r="P14" s="168"/>
      <c r="Q14" s="150"/>
      <c r="R14" s="167"/>
      <c r="S14" s="168"/>
      <c r="T14" s="150"/>
      <c r="U14" s="167"/>
      <c r="V14" s="168"/>
      <c r="W14" s="150"/>
      <c r="X14" s="167"/>
      <c r="Y14" s="168"/>
      <c r="Z14" s="150"/>
      <c r="AA14" s="167"/>
      <c r="AB14" s="168"/>
      <c r="AC14" s="150"/>
      <c r="AD14" s="167"/>
      <c r="AE14" s="168"/>
      <c r="AF14" s="150"/>
      <c r="AG14" s="167"/>
      <c r="AH14" s="168"/>
      <c r="AI14" s="150"/>
      <c r="AJ14" s="167"/>
      <c r="AK14" s="168"/>
      <c r="AL14" s="150"/>
      <c r="AM14" s="167"/>
      <c r="AN14" s="168"/>
      <c r="AO14" s="150"/>
      <c r="AP14" s="167"/>
      <c r="AQ14" s="168"/>
      <c r="AR14" s="150"/>
      <c r="AS14" s="167"/>
      <c r="AT14" s="168"/>
      <c r="AU14" s="150"/>
      <c r="AV14" s="167"/>
      <c r="AW14" s="168"/>
      <c r="AX14" s="150"/>
      <c r="AY14" s="167"/>
      <c r="AZ14" s="168"/>
      <c r="BA14" s="150"/>
    </row>
    <row r="15" spans="1:53" x14ac:dyDescent="0.25">
      <c r="A15" s="150"/>
      <c r="B15" s="150"/>
      <c r="C15" s="161" t="s">
        <v>207</v>
      </c>
      <c r="D15" s="162" t="s">
        <v>208</v>
      </c>
      <c r="E15" s="150"/>
      <c r="F15" s="177"/>
      <c r="G15" s="178"/>
      <c r="H15" s="176"/>
      <c r="I15" s="177"/>
      <c r="J15" s="178"/>
      <c r="K15" s="176"/>
      <c r="L15" s="177"/>
      <c r="M15" s="168"/>
      <c r="N15" s="150"/>
      <c r="O15" s="167"/>
      <c r="P15" s="168"/>
      <c r="Q15" s="150"/>
      <c r="R15" s="167"/>
      <c r="S15" s="168"/>
      <c r="T15" s="150"/>
      <c r="U15" s="167"/>
      <c r="V15" s="168"/>
      <c r="W15" s="150"/>
      <c r="X15" s="167"/>
      <c r="Y15" s="168"/>
      <c r="Z15" s="150"/>
      <c r="AA15" s="167"/>
      <c r="AB15" s="168"/>
      <c r="AC15" s="150"/>
      <c r="AD15" s="167"/>
      <c r="AE15" s="168"/>
      <c r="AF15" s="150"/>
      <c r="AG15" s="182"/>
      <c r="AH15" s="168"/>
      <c r="AI15" s="150"/>
      <c r="AJ15" s="167"/>
      <c r="AK15" s="168"/>
      <c r="AL15" s="150"/>
      <c r="AM15" s="167"/>
      <c r="AN15" s="168"/>
      <c r="AO15" s="150"/>
      <c r="AP15" s="167"/>
      <c r="AQ15" s="168"/>
      <c r="AR15" s="150"/>
      <c r="AS15" s="167"/>
      <c r="AT15" s="168"/>
      <c r="AU15" s="150"/>
      <c r="AV15" s="182"/>
      <c r="AW15" s="168"/>
      <c r="AX15" s="150"/>
      <c r="AY15" s="182"/>
      <c r="AZ15" s="168"/>
      <c r="BA15" s="150"/>
    </row>
    <row r="16" spans="1:53" x14ac:dyDescent="0.25">
      <c r="A16" s="150"/>
      <c r="B16" s="150"/>
      <c r="C16" s="163" t="s">
        <v>209</v>
      </c>
      <c r="D16" s="164" t="s">
        <v>210</v>
      </c>
      <c r="E16" s="150"/>
      <c r="F16" s="179"/>
      <c r="G16" s="180"/>
      <c r="H16" s="176"/>
      <c r="I16" s="179"/>
      <c r="J16" s="180"/>
      <c r="K16" s="176"/>
      <c r="L16" s="179"/>
      <c r="M16" s="170"/>
      <c r="N16" s="150"/>
      <c r="O16" s="169"/>
      <c r="P16" s="170"/>
      <c r="Q16" s="150"/>
      <c r="R16" s="169"/>
      <c r="S16" s="170"/>
      <c r="T16" s="150"/>
      <c r="U16" s="169"/>
      <c r="V16" s="170"/>
      <c r="W16" s="150"/>
      <c r="X16" s="169"/>
      <c r="Y16" s="170"/>
      <c r="Z16" s="150"/>
      <c r="AA16" s="169"/>
      <c r="AB16" s="170"/>
      <c r="AC16" s="150"/>
      <c r="AD16" s="169"/>
      <c r="AE16" s="170"/>
      <c r="AF16" s="150"/>
      <c r="AG16" s="181"/>
      <c r="AH16" s="170"/>
      <c r="AI16" s="150"/>
      <c r="AJ16" s="169"/>
      <c r="AK16" s="170"/>
      <c r="AL16" s="150"/>
      <c r="AM16" s="169"/>
      <c r="AN16" s="170"/>
      <c r="AO16" s="150"/>
      <c r="AP16" s="169"/>
      <c r="AQ16" s="170"/>
      <c r="AR16" s="150"/>
      <c r="AS16" s="169"/>
      <c r="AT16" s="170"/>
      <c r="AU16" s="150"/>
      <c r="AV16" s="181"/>
      <c r="AW16" s="170"/>
      <c r="AX16" s="150"/>
      <c r="AY16" s="181"/>
      <c r="AZ16" s="170"/>
      <c r="BA16" s="150"/>
    </row>
    <row r="17" spans="1:53" x14ac:dyDescent="0.25">
      <c r="A17" s="150"/>
      <c r="B17" s="150"/>
      <c r="C17" s="150" t="s">
        <v>198</v>
      </c>
      <c r="D17" s="150" t="s">
        <v>198</v>
      </c>
      <c r="E17" s="150"/>
      <c r="F17" s="150" t="s">
        <v>198</v>
      </c>
      <c r="G17" s="150"/>
      <c r="H17" s="150"/>
      <c r="I17" s="150" t="s">
        <v>198</v>
      </c>
      <c r="J17" s="150"/>
      <c r="K17" s="150"/>
      <c r="L17" s="150" t="s">
        <v>198</v>
      </c>
      <c r="M17" s="150"/>
      <c r="N17" s="150"/>
      <c r="O17" s="150" t="s">
        <v>198</v>
      </c>
      <c r="P17" s="150"/>
      <c r="Q17" s="150"/>
      <c r="R17" s="150" t="s">
        <v>198</v>
      </c>
      <c r="S17" s="150"/>
      <c r="T17" s="150"/>
      <c r="U17" s="150" t="s">
        <v>198</v>
      </c>
      <c r="V17" s="150"/>
      <c r="W17" s="150"/>
      <c r="X17" s="150" t="s">
        <v>198</v>
      </c>
      <c r="Y17" s="150"/>
      <c r="Z17" s="150"/>
      <c r="AA17" s="150" t="s">
        <v>198</v>
      </c>
      <c r="AB17" s="150"/>
      <c r="AC17" s="150"/>
      <c r="AD17" s="150" t="s">
        <v>198</v>
      </c>
      <c r="AE17" s="150"/>
      <c r="AF17" s="150"/>
      <c r="AG17" s="150" t="s">
        <v>198</v>
      </c>
      <c r="AH17" s="150"/>
      <c r="AI17" s="150"/>
      <c r="AJ17" s="150"/>
      <c r="AK17" s="150"/>
      <c r="AL17" s="150"/>
      <c r="AM17" s="150"/>
      <c r="AN17" s="150"/>
      <c r="AO17" s="150"/>
      <c r="AP17" s="150"/>
      <c r="AQ17" s="150"/>
      <c r="AR17" s="150"/>
      <c r="AS17" s="150"/>
      <c r="AT17" s="150"/>
      <c r="AU17" s="150"/>
      <c r="AV17" s="150"/>
      <c r="AW17" s="150"/>
      <c r="AX17" s="150"/>
      <c r="AY17" s="150"/>
      <c r="AZ17" s="150"/>
      <c r="BA17" s="150"/>
    </row>
    <row r="18" spans="1:53" x14ac:dyDescent="0.25">
      <c r="A18" s="150"/>
      <c r="B18" s="150"/>
      <c r="C18" s="150" t="s">
        <v>198</v>
      </c>
      <c r="D18" s="160" t="str">
        <f>"New Calculated Annualised Premium  " &amp;DB.CoverDetails.CCY.Cover</f>
        <v xml:space="preserve">New Calculated Annualised Premium  </v>
      </c>
      <c r="E18" s="150"/>
      <c r="F18" s="171"/>
      <c r="G18" s="150"/>
      <c r="H18" s="150"/>
      <c r="I18" s="171"/>
      <c r="J18" s="150"/>
      <c r="K18" s="150"/>
      <c r="L18" s="171"/>
      <c r="M18" s="150"/>
      <c r="N18" s="150"/>
      <c r="O18" s="171"/>
      <c r="P18" s="150"/>
      <c r="Q18" s="150"/>
      <c r="R18" s="171"/>
      <c r="S18" s="150"/>
      <c r="T18" s="150"/>
      <c r="U18" s="171"/>
      <c r="V18" s="150"/>
      <c r="W18" s="150"/>
      <c r="X18" s="171"/>
      <c r="Y18" s="150"/>
      <c r="Z18" s="150"/>
      <c r="AA18" s="171"/>
      <c r="AB18" s="150"/>
      <c r="AC18" s="150"/>
      <c r="AD18" s="171"/>
      <c r="AE18" s="150"/>
      <c r="AF18" s="150"/>
      <c r="AG18" s="171"/>
      <c r="AH18" s="150"/>
      <c r="AI18" s="150"/>
      <c r="AJ18" s="171"/>
      <c r="AK18" s="150"/>
      <c r="AL18" s="150"/>
      <c r="AM18" s="171"/>
      <c r="AN18" s="150"/>
      <c r="AO18" s="150"/>
      <c r="AP18" s="171"/>
      <c r="AQ18" s="150"/>
      <c r="AR18" s="150"/>
      <c r="AS18" s="171"/>
      <c r="AT18" s="150"/>
      <c r="AU18" s="150"/>
      <c r="AV18" s="171"/>
      <c r="AW18" s="150"/>
      <c r="AX18" s="150"/>
      <c r="AY18" s="171"/>
      <c r="AZ18" s="150"/>
      <c r="BA18" s="150"/>
    </row>
    <row r="19" spans="1:53" x14ac:dyDescent="0.25">
      <c r="A19" s="150"/>
      <c r="B19" s="150"/>
      <c r="C19" s="150" t="s">
        <v>198</v>
      </c>
      <c r="D19" s="162" t="str">
        <f>"New Annualised Premium (As per slip)  " &amp;DB.CoverDetails.CCY.Cover</f>
        <v xml:space="preserve">New Annualised Premium (As per slip)  </v>
      </c>
      <c r="E19" s="150"/>
      <c r="F19" s="172"/>
      <c r="G19" s="150"/>
      <c r="H19" s="150"/>
      <c r="I19" s="172"/>
      <c r="J19" s="150"/>
      <c r="K19" s="150"/>
      <c r="L19" s="172"/>
      <c r="M19" s="150"/>
      <c r="N19" s="150"/>
      <c r="O19" s="172"/>
      <c r="P19" s="150"/>
      <c r="Q19" s="150"/>
      <c r="R19" s="172"/>
      <c r="S19" s="150"/>
      <c r="T19" s="150"/>
      <c r="U19" s="172"/>
      <c r="V19" s="150"/>
      <c r="W19" s="150"/>
      <c r="X19" s="172"/>
      <c r="Y19" s="150"/>
      <c r="Z19" s="150"/>
      <c r="AA19" s="172"/>
      <c r="AB19" s="150"/>
      <c r="AC19" s="150"/>
      <c r="AD19" s="172"/>
      <c r="AE19" s="150"/>
      <c r="AF19" s="150"/>
      <c r="AG19" s="172"/>
      <c r="AH19" s="150"/>
      <c r="AI19" s="150"/>
      <c r="AJ19" s="172"/>
      <c r="AK19" s="150"/>
      <c r="AL19" s="150"/>
      <c r="AM19" s="172"/>
      <c r="AN19" s="150"/>
      <c r="AO19" s="150"/>
      <c r="AP19" s="172"/>
      <c r="AQ19" s="150"/>
      <c r="AR19" s="150"/>
      <c r="AS19" s="172"/>
      <c r="AT19" s="150"/>
      <c r="AU19" s="150"/>
      <c r="AV19" s="172"/>
      <c r="AW19" s="150"/>
      <c r="AX19" s="150"/>
      <c r="AY19" s="172"/>
      <c r="AZ19" s="150"/>
      <c r="BA19" s="150"/>
    </row>
    <row r="20" spans="1:53" x14ac:dyDescent="0.25">
      <c r="A20" s="150"/>
      <c r="B20" s="150"/>
      <c r="C20" s="150" t="s">
        <v>198</v>
      </c>
      <c r="D20" s="173" t="s">
        <v>211</v>
      </c>
      <c r="E20" s="150"/>
      <c r="F20" s="152" t="str">
        <f>IFERROR(F19/F18,"")</f>
        <v/>
      </c>
      <c r="G20" s="150"/>
      <c r="H20" s="150"/>
      <c r="I20" s="152" t="str">
        <f>IFERROR(I19/I18,"")</f>
        <v/>
      </c>
      <c r="J20" s="150"/>
      <c r="K20" s="150"/>
      <c r="L20" s="152" t="str">
        <f>IFERROR(L19/L18,"")</f>
        <v/>
      </c>
      <c r="M20" s="150"/>
      <c r="N20" s="150"/>
      <c r="O20" s="152" t="str">
        <f>IFERROR(O19/O18,"")</f>
        <v/>
      </c>
      <c r="P20" s="150"/>
      <c r="Q20" s="150"/>
      <c r="R20" s="152" t="str">
        <f>IFERROR(R19/R18,"")</f>
        <v/>
      </c>
      <c r="S20" s="150"/>
      <c r="T20" s="150"/>
      <c r="U20" s="152" t="str">
        <f>IFERROR(U19/U18,"")</f>
        <v/>
      </c>
      <c r="V20" s="150"/>
      <c r="W20" s="150"/>
      <c r="X20" s="152" t="str">
        <f>IFERROR(X19/X18,"")</f>
        <v/>
      </c>
      <c r="Y20" s="150"/>
      <c r="Z20" s="150"/>
      <c r="AA20" s="152" t="str">
        <f>IFERROR(AA19/AA18,"")</f>
        <v/>
      </c>
      <c r="AB20" s="150"/>
      <c r="AC20" s="150"/>
      <c r="AD20" s="152" t="str">
        <f>IFERROR(AD19/AD18,"")</f>
        <v/>
      </c>
      <c r="AE20" s="150"/>
      <c r="AF20" s="150"/>
      <c r="AG20" s="152" t="str">
        <f>IFERROR(AG19/AG18,"")</f>
        <v/>
      </c>
      <c r="AH20" s="150"/>
      <c r="AI20" s="150"/>
      <c r="AJ20" s="152"/>
      <c r="AK20" s="150"/>
      <c r="AL20" s="150"/>
      <c r="AM20" s="152"/>
      <c r="AN20" s="150"/>
      <c r="AO20" s="150"/>
      <c r="AP20" s="152"/>
      <c r="AQ20" s="150"/>
      <c r="AR20" s="150"/>
      <c r="AS20" s="152"/>
      <c r="AT20" s="150"/>
      <c r="AU20" s="150"/>
      <c r="AV20" s="152"/>
      <c r="AW20" s="150"/>
      <c r="AX20" s="150"/>
      <c r="AY20" s="152"/>
      <c r="AZ20" s="150"/>
      <c r="BA20" s="150"/>
    </row>
    <row r="21" spans="1:53" x14ac:dyDescent="0.25">
      <c r="A21" s="150"/>
      <c r="B21" s="150"/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0"/>
      <c r="O21" s="150"/>
      <c r="P21" s="150"/>
      <c r="Q21" s="150"/>
      <c r="R21" s="150"/>
      <c r="S21" s="150"/>
      <c r="T21" s="150"/>
      <c r="U21" s="150"/>
      <c r="V21" s="150"/>
      <c r="W21" s="150"/>
      <c r="X21" s="150"/>
      <c r="Y21" s="150"/>
      <c r="Z21" s="150"/>
      <c r="AA21" s="150"/>
      <c r="AB21" s="150"/>
      <c r="AC21" s="150"/>
      <c r="AD21" s="150"/>
      <c r="AE21" s="150"/>
      <c r="AF21" s="150"/>
      <c r="AG21" s="150"/>
      <c r="AH21" s="150"/>
      <c r="AI21" s="150"/>
      <c r="AJ21" s="150"/>
      <c r="AK21" s="150"/>
      <c r="AL21" s="150"/>
      <c r="AM21" s="150"/>
      <c r="AN21" s="150"/>
      <c r="AO21" s="150"/>
      <c r="AP21" s="150"/>
      <c r="AQ21" s="150"/>
      <c r="AR21" s="150"/>
      <c r="AS21" s="150"/>
      <c r="AT21" s="150"/>
      <c r="AU21" s="150"/>
      <c r="AV21" s="150"/>
      <c r="AW21" s="150"/>
      <c r="AX21" s="150"/>
      <c r="AY21" s="150"/>
      <c r="AZ21" s="150"/>
      <c r="BA21" s="150"/>
    </row>
    <row r="22" spans="1:53" ht="15" customHeight="1" x14ac:dyDescent="0.25">
      <c r="A22" s="150"/>
      <c r="B22" s="150"/>
      <c r="C22" s="150"/>
      <c r="D22" s="150"/>
      <c r="E22" s="150"/>
      <c r="F22" s="253"/>
      <c r="G22" s="253"/>
      <c r="H22" s="150"/>
      <c r="I22" s="253"/>
      <c r="J22" s="253"/>
      <c r="K22" s="150"/>
      <c r="L22" s="253"/>
      <c r="M22" s="253"/>
      <c r="N22" s="150"/>
      <c r="O22" s="253"/>
      <c r="P22" s="253"/>
      <c r="Q22" s="150"/>
      <c r="R22" s="253"/>
      <c r="S22" s="253"/>
      <c r="T22" s="150"/>
      <c r="U22" s="253"/>
      <c r="V22" s="253"/>
      <c r="W22" s="150"/>
      <c r="X22" s="253"/>
      <c r="Y22" s="253"/>
      <c r="Z22" s="150"/>
      <c r="AA22" s="253"/>
      <c r="AB22" s="253"/>
      <c r="AC22" s="150"/>
      <c r="AD22" s="253"/>
      <c r="AE22" s="253"/>
      <c r="AF22" s="150"/>
      <c r="AG22" s="253"/>
      <c r="AH22" s="253"/>
      <c r="AI22" s="150"/>
      <c r="AJ22" s="253"/>
      <c r="AK22" s="253"/>
      <c r="AL22" s="150"/>
      <c r="AM22" s="253"/>
      <c r="AN22" s="253"/>
      <c r="AO22" s="150"/>
      <c r="AP22" s="253"/>
      <c r="AQ22" s="253"/>
      <c r="AR22" s="150"/>
      <c r="AS22" s="253"/>
      <c r="AT22" s="253"/>
      <c r="AU22" s="150"/>
      <c r="AV22" s="253"/>
      <c r="AW22" s="253"/>
      <c r="AX22" s="150"/>
      <c r="AY22" s="253"/>
      <c r="AZ22" s="253"/>
      <c r="BA22" s="150"/>
    </row>
    <row r="23" spans="1:53" x14ac:dyDescent="0.25">
      <c r="A23" s="150"/>
      <c r="B23" s="150"/>
      <c r="C23" s="150"/>
      <c r="D23" s="150"/>
      <c r="E23" s="150"/>
      <c r="F23" s="253"/>
      <c r="G23" s="253"/>
      <c r="H23" s="150"/>
      <c r="I23" s="253"/>
      <c r="J23" s="253"/>
      <c r="K23" s="150"/>
      <c r="L23" s="253"/>
      <c r="M23" s="253"/>
      <c r="N23" s="150"/>
      <c r="O23" s="253"/>
      <c r="P23" s="253"/>
      <c r="Q23" s="150"/>
      <c r="R23" s="253"/>
      <c r="S23" s="253"/>
      <c r="T23" s="150"/>
      <c r="U23" s="253"/>
      <c r="V23" s="253"/>
      <c r="W23" s="150"/>
      <c r="X23" s="253"/>
      <c r="Y23" s="253"/>
      <c r="Z23" s="150"/>
      <c r="AA23" s="253"/>
      <c r="AB23" s="253"/>
      <c r="AC23" s="150"/>
      <c r="AD23" s="253"/>
      <c r="AE23" s="253"/>
      <c r="AF23" s="150"/>
      <c r="AG23" s="253"/>
      <c r="AH23" s="253"/>
      <c r="AI23" s="150"/>
      <c r="AJ23" s="253"/>
      <c r="AK23" s="253"/>
      <c r="AL23" s="150"/>
      <c r="AM23" s="253"/>
      <c r="AN23" s="253"/>
      <c r="AO23" s="150"/>
      <c r="AP23" s="253"/>
      <c r="AQ23" s="253"/>
      <c r="AR23" s="150"/>
      <c r="AS23" s="253"/>
      <c r="AT23" s="253"/>
      <c r="AU23" s="150"/>
      <c r="AV23" s="253"/>
      <c r="AW23" s="253"/>
      <c r="AX23" s="150"/>
      <c r="AY23" s="253"/>
      <c r="AZ23" s="253"/>
      <c r="BA23" s="150"/>
    </row>
    <row r="24" spans="1:53" x14ac:dyDescent="0.25">
      <c r="A24" s="150"/>
      <c r="B24" s="150"/>
      <c r="C24" s="150"/>
      <c r="D24" s="150"/>
      <c r="E24" s="150"/>
      <c r="F24" s="253"/>
      <c r="G24" s="253"/>
      <c r="H24" s="150"/>
      <c r="I24" s="253"/>
      <c r="J24" s="253"/>
      <c r="K24" s="150"/>
      <c r="L24" s="253"/>
      <c r="M24" s="253"/>
      <c r="N24" s="150"/>
      <c r="O24" s="253"/>
      <c r="P24" s="253"/>
      <c r="Q24" s="150"/>
      <c r="R24" s="253"/>
      <c r="S24" s="253"/>
      <c r="T24" s="150"/>
      <c r="U24" s="253"/>
      <c r="V24" s="253"/>
      <c r="W24" s="150"/>
      <c r="X24" s="253"/>
      <c r="Y24" s="253"/>
      <c r="Z24" s="150"/>
      <c r="AA24" s="253"/>
      <c r="AB24" s="253"/>
      <c r="AC24" s="150"/>
      <c r="AD24" s="253"/>
      <c r="AE24" s="253"/>
      <c r="AF24" s="150"/>
      <c r="AG24" s="253"/>
      <c r="AH24" s="253"/>
      <c r="AI24" s="150"/>
      <c r="AJ24" s="253"/>
      <c r="AK24" s="253"/>
      <c r="AL24" s="150"/>
      <c r="AM24" s="253"/>
      <c r="AN24" s="253"/>
      <c r="AO24" s="150"/>
      <c r="AP24" s="253"/>
      <c r="AQ24" s="253"/>
      <c r="AR24" s="150"/>
      <c r="AS24" s="253"/>
      <c r="AT24" s="253"/>
      <c r="AU24" s="150"/>
      <c r="AV24" s="253"/>
      <c r="AW24" s="253"/>
      <c r="AX24" s="150"/>
      <c r="AY24" s="253"/>
      <c r="AZ24" s="253"/>
      <c r="BA24" s="150"/>
    </row>
    <row r="25" spans="1:53" x14ac:dyDescent="0.25">
      <c r="A25" s="150"/>
      <c r="B25" s="150"/>
      <c r="C25" s="150"/>
      <c r="D25" s="150"/>
      <c r="E25" s="150"/>
      <c r="F25" s="253"/>
      <c r="G25" s="253"/>
      <c r="H25" s="150"/>
      <c r="I25" s="253"/>
      <c r="J25" s="253"/>
      <c r="K25" s="150"/>
      <c r="L25" s="253"/>
      <c r="M25" s="253"/>
      <c r="N25" s="150"/>
      <c r="O25" s="253"/>
      <c r="P25" s="253"/>
      <c r="Q25" s="150"/>
      <c r="R25" s="253"/>
      <c r="S25" s="253"/>
      <c r="T25" s="150"/>
      <c r="U25" s="253"/>
      <c r="V25" s="253"/>
      <c r="W25" s="150"/>
      <c r="X25" s="253"/>
      <c r="Y25" s="253"/>
      <c r="Z25" s="150"/>
      <c r="AA25" s="253"/>
      <c r="AB25" s="253"/>
      <c r="AC25" s="150"/>
      <c r="AD25" s="253"/>
      <c r="AE25" s="253"/>
      <c r="AF25" s="150"/>
      <c r="AG25" s="253"/>
      <c r="AH25" s="253"/>
      <c r="AI25" s="150"/>
      <c r="AJ25" s="253"/>
      <c r="AK25" s="253"/>
      <c r="AL25" s="150"/>
      <c r="AM25" s="253"/>
      <c r="AN25" s="253"/>
      <c r="AO25" s="150"/>
      <c r="AP25" s="253"/>
      <c r="AQ25" s="253"/>
      <c r="AR25" s="150"/>
      <c r="AS25" s="253"/>
      <c r="AT25" s="253"/>
      <c r="AU25" s="150"/>
      <c r="AV25" s="253"/>
      <c r="AW25" s="253"/>
      <c r="AX25" s="150"/>
      <c r="AY25" s="253"/>
      <c r="AZ25" s="253"/>
      <c r="BA25" s="150"/>
    </row>
  </sheetData>
  <sheetProtection formatCells="0"/>
  <mergeCells count="49">
    <mergeCell ref="A1:BA2"/>
    <mergeCell ref="AP22:AQ25"/>
    <mergeCell ref="AS22:AT25"/>
    <mergeCell ref="AV22:AW25"/>
    <mergeCell ref="AY22:AZ25"/>
    <mergeCell ref="AD22:AE25"/>
    <mergeCell ref="AG22:AH25"/>
    <mergeCell ref="AM22:AN25"/>
    <mergeCell ref="F22:G25"/>
    <mergeCell ref="I22:J25"/>
    <mergeCell ref="L22:M25"/>
    <mergeCell ref="O22:P25"/>
    <mergeCell ref="R22:S25"/>
    <mergeCell ref="U22:V25"/>
    <mergeCell ref="X22:Y25"/>
    <mergeCell ref="AA22:AB25"/>
    <mergeCell ref="AJ22:AK25"/>
    <mergeCell ref="F5:G5"/>
    <mergeCell ref="F6:G6"/>
    <mergeCell ref="I5:J5"/>
    <mergeCell ref="I6:J6"/>
    <mergeCell ref="L5:M5"/>
    <mergeCell ref="L6:M6"/>
    <mergeCell ref="O5:P5"/>
    <mergeCell ref="O6:P6"/>
    <mergeCell ref="R5:S5"/>
    <mergeCell ref="R6:S6"/>
    <mergeCell ref="U5:V5"/>
    <mergeCell ref="U6:V6"/>
    <mergeCell ref="X5:Y5"/>
    <mergeCell ref="X6:Y6"/>
    <mergeCell ref="AA5:AB5"/>
    <mergeCell ref="AA6:AB6"/>
    <mergeCell ref="AD5:AE5"/>
    <mergeCell ref="AD6:AE6"/>
    <mergeCell ref="AG5:AH5"/>
    <mergeCell ref="AG6:AH6"/>
    <mergeCell ref="AJ5:AK5"/>
    <mergeCell ref="AJ6:AK6"/>
    <mergeCell ref="AM5:AN5"/>
    <mergeCell ref="AM6:AN6"/>
    <mergeCell ref="AY5:AZ5"/>
    <mergeCell ref="AY6:AZ6"/>
    <mergeCell ref="AP5:AQ5"/>
    <mergeCell ref="AP6:AQ6"/>
    <mergeCell ref="AS5:AT5"/>
    <mergeCell ref="AS6:AT6"/>
    <mergeCell ref="AV5:AW5"/>
    <mergeCell ref="AV6:AW6"/>
  </mergeCells>
  <conditionalFormatting sqref="F22:G25">
    <cfRule type="notContainsBlanks" dxfId="11" priority="81">
      <formula>LEN(TRIM(F22))&gt;0</formula>
    </cfRule>
  </conditionalFormatting>
  <conditionalFormatting sqref="F22:AH25">
    <cfRule type="containsText" dxfId="10" priority="84" operator="containsText" text="Rate Change not calculated because previous record is not bound">
      <formula>NOT(ISERROR(SEARCH("Rate Change not calculated because previous record is not bound",F22)))</formula>
    </cfRule>
  </conditionalFormatting>
  <conditionalFormatting sqref="I22:J25 L22:M25 O22:P25 R22:S25 U22:V25">
    <cfRule type="notContainsBlanks" dxfId="9" priority="41">
      <formula>LEN(TRIM(I22))&gt;0</formula>
    </cfRule>
  </conditionalFormatting>
  <conditionalFormatting sqref="X22:Y25 AA22:AB25 AD22:AE25 AG22:AH25">
    <cfRule type="notContainsBlanks" dxfId="8" priority="39">
      <formula>LEN(TRIM(X22))&gt;0</formula>
    </cfRule>
  </conditionalFormatting>
  <conditionalFormatting sqref="AJ22:AK25">
    <cfRule type="notContainsBlanks" dxfId="7" priority="11">
      <formula>LEN(TRIM(AJ22))&gt;0</formula>
    </cfRule>
  </conditionalFormatting>
  <conditionalFormatting sqref="AJ22:AZ25">
    <cfRule type="containsText" dxfId="6" priority="7" operator="containsText" text="Rate Change not calculated because previous record is not bound">
      <formula>NOT(ISERROR(SEARCH("Rate Change not calculated because previous record is not bound",AJ22)))</formula>
    </cfRule>
  </conditionalFormatting>
  <conditionalFormatting sqref="AM22:AN25 AP22:AQ25 AS22:AT25 AV22:AW25">
    <cfRule type="notContainsBlanks" dxfId="5" priority="9">
      <formula>LEN(TRIM(AM22))&gt;0</formula>
    </cfRule>
  </conditionalFormatting>
  <conditionalFormatting sqref="AY22:AZ25">
    <cfRule type="notContainsBlanks" dxfId="4" priority="1">
      <formula>LEN(TRIM(AY22))&gt;0</formula>
    </cfRule>
  </conditionalFormatting>
  <dataValidations count="1">
    <dataValidation type="decimal" operator="greaterThan" allowBlank="1" showInputMessage="1" showErrorMessage="1" sqref="G11:G16 J11:J16 M11:M16 P11:P16 S11:S16 V11:V16 Y11:Y16 AB10:AB16 AE11:AE16 AH11:AH16 AK11:AK16 AN11:AN16 AQ10:AQ16 AT11:AT16 AW11:AW16 AZ11:AZ16" xr:uid="{E8DCCE79-396E-4487-A18F-0B03235EEF3A}">
      <formula1>0</formula1>
    </dataValidation>
  </dataValidations>
  <pageMargins left="0.7" right="0.7" top="0.75" bottom="0.75" header="0.3" footer="0.3"/>
  <pageSetup paperSize="9" scale="72" orientation="landscape" r:id="rId1"/>
</worksheet>
</file>

<file path=customUI/customUI.xml><?xml version="1.0" encoding="utf-8"?>
<customUI xmlns="http://schemas.microsoft.com/office/2006/01/customui" onLoad="RibbonHandler.rbxRibbon_onLoad">
  <ribbon>
    <tabs>
      <tab id="TabNew" label="Rating Workbook">
        <group id="groupInfo" label="Info">
          <button id="buttonVersion" label="Version" imageMso="TentativeAcceptInvitation" size="large" onAction="RibbonHandler.Version"/>
          <button id="buttonReportBug" label="Report a Bug" imageMso="FileSendAsAttachment" size="large" onAction="RibbonHandler.ReportBug"/>
        </group>
        <group id="groupDatabase" label="Database">
          <button id="buttonSave" label="Save" imageMso="FileSave" size="large" onAction="RibbonHandler.Save"/>
          <button id="buttonSearch" label="New Search" imageMso="ZoomPrintPreviewExcel" size="large" onAction="RibbonHandler.Search"/>
          <button id="buttonRefreshSearch" label="Refresh Search" imageMso="RecurrenceEdit" size="large" onAction="RibbonHandler.RefreshSearch"/>
          <button id="buttonLoad" label="Load" imageMso="FileOpen" size="large" onAction="RibbonHandler.Load"/>
          <button id="buttonRenew" label="Renew" imageMso="PivotRefresh" size="large" onAction="RibbonHandler.Renew" screentip="Renew binder" getVisible="RibbonHandler.GetRenewVisible"/>
          <!--<button id="buttonSaveCopy" label="Save a Copy" imageMso="FileSaveAsExcelXlsx" size="large" onAction="RibbonHandler.SaveCopy"/>-->
        </group>
        <group id="groupInput" label="Input">
          <button id="buttonClear" label="Clear" imageMso="TableEraser" size="large" onAction="RibbonHandler.Clear"/>
          <button id="buttonUnclear" label="Undo Clear" imageMso="ProposeNewTime" size="large" onAction="RibbonHandler.Unclear"/>
        </group>
        <group id="groupCalculate" label="Calculate">
          <button id="buttonRefreshBPI" label="Refresh BPI" imageMso="CalculateNow" size="large" onAction="RibbonHandler.Refresh_BPI_Ribbon"/>
        </group>
        <group id="groupPDF" label="PDF">
          <button id="SaveAsPdf" label="Save as PDF" imageMso="PublishToPdfOrEdoc" size="large" onAction="RibbonHandler.ExportSheetsToPDF_Ribbon"/>
          <button id="buttonPDFfolder" label="Open Folder with PDF files" imageMso="FileOpen" size="normal" onAction="RibbonHandler.Open_FolderWithPDF_Ribbon"/>
          <button id="buttonLatestPDF" label="Open Latest PDF saved" imageMso="BevelShapeGallery" size="normal" onAction="RibbonHandler.Open_LatestPDFsaved_Ribbon"/>
        </group>
        <group id="groupQuoteAndBind" label="Workflow">
          <!--<button id="buttonQuote" label="Mark as Quoted" imageMso="SignatureShow" size="large" onAction="RibbonHandler.Quote"/>
          <button id="buttonBind" label="Mark as Bound" imageMso="FileMarkAsFinal" size="large" onAction="RibbonHandler.Bind"/>
          <button id="buttonDecline" label="Mark as Declined" imageMso="PrintPreviewClose" size="large" onAction="RibbonHandler.Decline"/>-->
          <button id="buttonBind" label="Mark as Complete" imageMso="FileMarkAsFinal" size="large" onAction="RibbonHandler.Bind"/>
        </group>
        <group id="groupView" label="View">
          <button id="simpleview" label="Simple View" tag="SimpleView" imageMso="BlackAndWhiteLightGrayscale" size="large" onAction="RibbonHandler.SetSimpleView" getVisible="RibbonHandler.GetVisibleView"/>
          <button id="advancedview" label="Advanced View" tag="AdvancedView" imageMso="ViewBackToColorView" size="large" onAction="RibbonHandler.SetAdvancedView" getVisible="RibbonHandler.GetVisibleView"/>
        </group>
        <!--<group id="groupESO" label="ESO">
		  <button id="CreateESO" label="Create ESO on:" tag="CreateESO" imageMso="ManageReplies" size="large" onAction="RibbonHandler.CreateESO"/>
		  <dropDown id="ESOLayer" label="Layer:" getItemCount="LayerItemCount" getItemLabel="ESOLayerListItem" onAction="ESOLayerOnAction" getSelectedItemIndex="ESOLayerItemSelectedIndex"/>
		</group>-->
        <!--<group id="groupBenchmarking" label="Benchmarking">
          <button id="buttonBenchmarking" label="New Benchmarking" imageMso="ChartAreaChart" size="large" onAction="RibbonHandler.Benchmarking"/>
		  <button id="buttonRefreshBenchmarking" label="Refresh Benchmarking" imageMso="RecurrenceEdit" size="large" onAction="RibbonHandler.RefreshBenchmarking"/>
        </group>-->
        <group id="groupadmin" label="Admin" getVisible="RibbonHandler.GetAdminVisible">
          <button id="resetdealstatus" label="Reset Deal Status" imageMso="SlideNew" size="large" onAction="RibbonHandler.ResetDealStatus"/>
        </group>
      </tab>
    </tabs>
  </ribbon>
</customUI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2765</vt:i4>
      </vt:variant>
    </vt:vector>
  </HeadingPairs>
  <TitlesOfParts>
    <vt:vector size="2772" baseType="lpstr">
      <vt:lpstr>Risk Information</vt:lpstr>
      <vt:lpstr>Exposure Details</vt:lpstr>
      <vt:lpstr>Cover details</vt:lpstr>
      <vt:lpstr>Risk assessment</vt:lpstr>
      <vt:lpstr>Rating Summary</vt:lpstr>
      <vt:lpstr>Rationale</vt:lpstr>
      <vt:lpstr>Rate Change</vt:lpstr>
      <vt:lpstr>DB.AdditionalInfoPath</vt:lpstr>
      <vt:lpstr>DB.BPIComments</vt:lpstr>
      <vt:lpstr>DB.Broker</vt:lpstr>
      <vt:lpstr>DB.CoverDetails.AllLayers.BRK</vt:lpstr>
      <vt:lpstr>DB.CoverDetails.AllLayers.CrimePC</vt:lpstr>
      <vt:lpstr>DB.CoverDetails.AllLayers.DOPC</vt:lpstr>
      <vt:lpstr>DB.CoverDetails.AllLayers.EEA</vt:lpstr>
      <vt:lpstr>DB.CoverDetails.AllLayers.EEANonEEA</vt:lpstr>
      <vt:lpstr>DB.CoverDetails.AllLayers.LTA</vt:lpstr>
      <vt:lpstr>DB.CoverDetails.AllLayers.NCB</vt:lpstr>
      <vt:lpstr>DB.CoverDetails.AllLayers.PIPC</vt:lpstr>
      <vt:lpstr>DB.CoverDetails.C1</vt:lpstr>
      <vt:lpstr>DB.CoverDetails.c1.ret</vt:lpstr>
      <vt:lpstr>DB.CoverDetails.c2</vt:lpstr>
      <vt:lpstr>DB.CoverDetails.c2.ret</vt:lpstr>
      <vt:lpstr>DB.CoverDetails.CCY.Cover</vt:lpstr>
      <vt:lpstr>DB.CoverDetails.d1</vt:lpstr>
      <vt:lpstr>DB.CoverDetails.d1.ret</vt:lpstr>
      <vt:lpstr>DB.CoverDetails.d1c.ret</vt:lpstr>
      <vt:lpstr>DB.CoverDetails.d2</vt:lpstr>
      <vt:lpstr>DB.CoverDetails.d2.ret</vt:lpstr>
      <vt:lpstr>DB.CoverDetails.d2c.ret</vt:lpstr>
      <vt:lpstr>DB.CoverDetails.DandoType</vt:lpstr>
      <vt:lpstr>DB.CoverDetails.Layers</vt:lpstr>
      <vt:lpstr>DB.CoverDetails.p1</vt:lpstr>
      <vt:lpstr>DB.CoverDetails.p1.ret</vt:lpstr>
      <vt:lpstr>DB.CoverDetails.p2</vt:lpstr>
      <vt:lpstr>DB.CoverDetails.p2.ret</vt:lpstr>
      <vt:lpstr>DB.CoverDetails.Reinstatements</vt:lpstr>
      <vt:lpstr>DB.CoverDetails.Reinstatements.directnumber</vt:lpstr>
      <vt:lpstr>DB.CoverDetails.Reinstatements.RTC.ProgramLimit</vt:lpstr>
      <vt:lpstr>DB.CoverDetails.SubLimitsRequired</vt:lpstr>
      <vt:lpstr>DB.DealVersion.RetroactiveDate_Crime</vt:lpstr>
      <vt:lpstr>DB.DealVersion.RetroactiveDate_DandO</vt:lpstr>
      <vt:lpstr>DB.DealVersion.RetroactiveDate_PI</vt:lpstr>
      <vt:lpstr>DB.EndDate</vt:lpstr>
      <vt:lpstr>DB.ESGComments</vt:lpstr>
      <vt:lpstr>DB.Exposure.ADR</vt:lpstr>
      <vt:lpstr>DB.Exposure.Assets</vt:lpstr>
      <vt:lpstr>DB.Exposure.Assets.Check</vt:lpstr>
      <vt:lpstr>DB.Exposure.Assets.EnteredAs</vt:lpstr>
      <vt:lpstr>DB.Exposure.AUM</vt:lpstr>
      <vt:lpstr>DB.Exposure.CombinedRatio</vt:lpstr>
      <vt:lpstr>DB.Exposure.committedcapital</vt:lpstr>
      <vt:lpstr>DB.Exposure.CR.Fitch</vt:lpstr>
      <vt:lpstr>DB.Exposure.CR.Moodys</vt:lpstr>
      <vt:lpstr>DB.Exposure.CR.SP</vt:lpstr>
      <vt:lpstr>DB.Exposure.DirectBusinessPc</vt:lpstr>
      <vt:lpstr>DB.Exposure.Employees</vt:lpstr>
      <vt:lpstr>DB.Exposure.Employees.Check</vt:lpstr>
      <vt:lpstr>DB.Exposure.Employees.EnteredAs</vt:lpstr>
      <vt:lpstr>DB.Exposure.Industry</vt:lpstr>
      <vt:lpstr>DB.Exposure.investedcapital</vt:lpstr>
      <vt:lpstr>DB.Exposure.InvestorSplit.1</vt:lpstr>
      <vt:lpstr>DB.Exposure.InvestorSplit.2</vt:lpstr>
      <vt:lpstr>DB.Exposure.InvestorSplit.3</vt:lpstr>
      <vt:lpstr>DB.Exposure.InvestorSplit.Institutional</vt:lpstr>
      <vt:lpstr>DB.Exposure.InvestorSplit.Institutional3</vt:lpstr>
      <vt:lpstr>DB.Exposure.InvestorSplit.Other</vt:lpstr>
      <vt:lpstr>DB.Exposure.InvestorSplit.Other3</vt:lpstr>
      <vt:lpstr>DB.Exposure.InvestorSplit.Region1</vt:lpstr>
      <vt:lpstr>DB.Exposure.InvestorSplit.Region2</vt:lpstr>
      <vt:lpstr>DB.Exposure.InvestorSplit.Region3</vt:lpstr>
      <vt:lpstr>DB.Exposure.InvestorSplit.Retail</vt:lpstr>
      <vt:lpstr>DB.Exposure.InvestorSplit.Retail3</vt:lpstr>
      <vt:lpstr>DB.Exposure.IPODate</vt:lpstr>
      <vt:lpstr>DB.Exposure.Listing</vt:lpstr>
      <vt:lpstr>DB.Exposure.MCap</vt:lpstr>
      <vt:lpstr>DB.Exposure.MCapUS</vt:lpstr>
      <vt:lpstr>DB.Exposure.Offices</vt:lpstr>
      <vt:lpstr>DB.Exposure.outsidedirectorships</vt:lpstr>
      <vt:lpstr>DB.Exposure.PremiumSplit.Commercial</vt:lpstr>
      <vt:lpstr>DB.Exposure.PremiumSplit.CommercialPercent</vt:lpstr>
      <vt:lpstr>DB.Exposure.PremiumSplit.Healthcare</vt:lpstr>
      <vt:lpstr>DB.Exposure.PremiumSplit.HealthcarePercent</vt:lpstr>
      <vt:lpstr>DB.Exposure.PremiumSplit.Life</vt:lpstr>
      <vt:lpstr>DB.Exposure.PremiumSplit.LifePercent</vt:lpstr>
      <vt:lpstr>DB.Exposure.PremiumSplit.Other</vt:lpstr>
      <vt:lpstr>DB.Exposure.PremiumSplit.OtherPercent</vt:lpstr>
      <vt:lpstr>DB.Exposure.PremiumSplit.PC</vt:lpstr>
      <vt:lpstr>DB.Exposure.PremiumSplit.PCPercent</vt:lpstr>
      <vt:lpstr>DB.Exposure.PremiumSplit.Personal</vt:lpstr>
      <vt:lpstr>DB.Exposure.PremiumSplit.PersonalPercent</vt:lpstr>
      <vt:lpstr>DB.Exposure.RegionSplit1</vt:lpstr>
      <vt:lpstr>DB.Exposure.RegionSplit1.Assets</vt:lpstr>
      <vt:lpstr>DB.Exposure.RegionSplit1.Assets.Value</vt:lpstr>
      <vt:lpstr>DB.Exposure.RegionSplit1.Employees</vt:lpstr>
      <vt:lpstr>DB.Exposure.RegionSplit1.Employees.Value</vt:lpstr>
      <vt:lpstr>DB.Exposure.RegionSplit1.Revenues</vt:lpstr>
      <vt:lpstr>DB.Exposure.RegionSplit1.Revenues.Value</vt:lpstr>
      <vt:lpstr>DB.Exposure.RegionSplit10</vt:lpstr>
      <vt:lpstr>DB.Exposure.RegionSplit10.Assets</vt:lpstr>
      <vt:lpstr>DB.Exposure.RegionSplit10.Assets.Value</vt:lpstr>
      <vt:lpstr>DB.Exposure.RegionSplit10.Employees</vt:lpstr>
      <vt:lpstr>DB.Exposure.RegionSplit10.Employees.Value</vt:lpstr>
      <vt:lpstr>DB.Exposure.RegionSplit10.Revenues</vt:lpstr>
      <vt:lpstr>DB.Exposure.RegionSplit10.Revenues.Value</vt:lpstr>
      <vt:lpstr>DB.Exposure.RegionSplit11</vt:lpstr>
      <vt:lpstr>DB.Exposure.RegionSplit11.Assets</vt:lpstr>
      <vt:lpstr>DB.Exposure.RegionSplit11.Assets.Value</vt:lpstr>
      <vt:lpstr>DB.Exposure.RegionSplit11.Employees</vt:lpstr>
      <vt:lpstr>DB.Exposure.RegionSplit11.Employees.Value</vt:lpstr>
      <vt:lpstr>DB.Exposure.RegionSplit11.Revenues</vt:lpstr>
      <vt:lpstr>DB.Exposure.RegionSplit11.Revenues.Value</vt:lpstr>
      <vt:lpstr>DB.Exposure.RegionSplit2</vt:lpstr>
      <vt:lpstr>DB.Exposure.RegionSplit2.Assets</vt:lpstr>
      <vt:lpstr>DB.Exposure.RegionSplit2.Assets.Value</vt:lpstr>
      <vt:lpstr>DB.Exposure.RegionSplit2.Employees</vt:lpstr>
      <vt:lpstr>DB.Exposure.RegionSplit2.Employees.Value</vt:lpstr>
      <vt:lpstr>DB.Exposure.RegionSplit2.Revenues</vt:lpstr>
      <vt:lpstr>DB.Exposure.RegionSplit2.Revenues.Value</vt:lpstr>
      <vt:lpstr>DB.Exposure.RegionSplit3</vt:lpstr>
      <vt:lpstr>DB.Exposure.RegionSplit3.Assets</vt:lpstr>
      <vt:lpstr>DB.Exposure.RegionSplit3.Assets.Value</vt:lpstr>
      <vt:lpstr>DB.Exposure.RegionSplit3.Employees</vt:lpstr>
      <vt:lpstr>DB.Exposure.RegionSplit3.Employees.Value</vt:lpstr>
      <vt:lpstr>DB.Exposure.RegionSplit3.Revenues</vt:lpstr>
      <vt:lpstr>DB.Exposure.RegionSplit3.Revenues.Value</vt:lpstr>
      <vt:lpstr>DB.Exposure.RegionSplit4</vt:lpstr>
      <vt:lpstr>DB.Exposure.RegionSplit4.Assets</vt:lpstr>
      <vt:lpstr>DB.Exposure.RegionSplit4.Assets.Value</vt:lpstr>
      <vt:lpstr>DB.Exposure.RegionSplit4.Employees</vt:lpstr>
      <vt:lpstr>DB.Exposure.RegionSplit4.Employees.Value</vt:lpstr>
      <vt:lpstr>DB.Exposure.RegionSplit4.Revenues</vt:lpstr>
      <vt:lpstr>DB.Exposure.RegionSplit4.Revenues.Value</vt:lpstr>
      <vt:lpstr>DB.Exposure.RegionSplit5</vt:lpstr>
      <vt:lpstr>DB.Exposure.RegionSplit5.Assets</vt:lpstr>
      <vt:lpstr>DB.Exposure.RegionSplit5.Assets.Value</vt:lpstr>
      <vt:lpstr>DB.Exposure.RegionSplit5.Employees</vt:lpstr>
      <vt:lpstr>DB.Exposure.RegionSplit5.Employees.Value</vt:lpstr>
      <vt:lpstr>DB.Exposure.RegionSplit5.Revenues</vt:lpstr>
      <vt:lpstr>DB.Exposure.RegionSplit5.Revenues.Value</vt:lpstr>
      <vt:lpstr>DB.Exposure.RegionSplit6</vt:lpstr>
      <vt:lpstr>DB.Exposure.RegionSplit6.Assets</vt:lpstr>
      <vt:lpstr>DB.Exposure.RegionSplit6.Assets.Value</vt:lpstr>
      <vt:lpstr>DB.Exposure.RegionSplit6.Employees</vt:lpstr>
      <vt:lpstr>DB.Exposure.RegionSplit6.Employees.Value</vt:lpstr>
      <vt:lpstr>DB.Exposure.RegionSplit6.Revenues</vt:lpstr>
      <vt:lpstr>DB.Exposure.RegionSplit6.Revenues.Value</vt:lpstr>
      <vt:lpstr>DB.Exposure.RegionSplit7</vt:lpstr>
      <vt:lpstr>DB.Exposure.RegionSplit7.Assets</vt:lpstr>
      <vt:lpstr>DB.Exposure.RegionSplit7.Assets.Value</vt:lpstr>
      <vt:lpstr>DB.Exposure.RegionSplit7.Employees</vt:lpstr>
      <vt:lpstr>DB.Exposure.RegionSplit7.Employees.Value</vt:lpstr>
      <vt:lpstr>DB.Exposure.RegionSplit7.Revenues</vt:lpstr>
      <vt:lpstr>DB.Exposure.RegionSplit7.Revenues.Value</vt:lpstr>
      <vt:lpstr>DB.Exposure.RegionSplit8</vt:lpstr>
      <vt:lpstr>DB.Exposure.RegionSplit8.Assets</vt:lpstr>
      <vt:lpstr>DB.Exposure.RegionSplit8.Assets.Value</vt:lpstr>
      <vt:lpstr>DB.Exposure.RegionSplit8.Employees</vt:lpstr>
      <vt:lpstr>DB.Exposure.RegionSplit8.Employees.Value</vt:lpstr>
      <vt:lpstr>DB.Exposure.RegionSplit8.Revenues</vt:lpstr>
      <vt:lpstr>DB.Exposure.RegionSplit8.Revenues.Value</vt:lpstr>
      <vt:lpstr>DB.Exposure.RegionSplit9</vt:lpstr>
      <vt:lpstr>DB.Exposure.RegionSplit9.Assets</vt:lpstr>
      <vt:lpstr>DB.Exposure.RegionSplit9.Assets.Value</vt:lpstr>
      <vt:lpstr>DB.Exposure.RegionSplit9.Employees</vt:lpstr>
      <vt:lpstr>DB.Exposure.RegionSplit9.Employees.Value</vt:lpstr>
      <vt:lpstr>DB.Exposure.RegionSplit9.Revenues</vt:lpstr>
      <vt:lpstr>DB.Exposure.RegionSplit9.Revenues.Value</vt:lpstr>
      <vt:lpstr>DB.Exposure.RegionSplitAll.Assets</vt:lpstr>
      <vt:lpstr>DB.Exposure.RegionSplitAll.Employees</vt:lpstr>
      <vt:lpstr>DB.Exposure.RegionSplitAll.Revenues</vt:lpstr>
      <vt:lpstr>DB.Exposure.Revenues</vt:lpstr>
      <vt:lpstr>DB.Exposure.Revenues.Check</vt:lpstr>
      <vt:lpstr>DB.Exposure.Revenues.EnteredAs</vt:lpstr>
      <vt:lpstr>DB.Exposure.RevenueSplit.Accountancy</vt:lpstr>
      <vt:lpstr>DB.Exposure.RevenueSplit.AccountancyPercent</vt:lpstr>
      <vt:lpstr>DB.Exposure.RevenueSplit.AdminOther</vt:lpstr>
      <vt:lpstr>DB.Exposure.RevenueSplit.AdminOtherPercent</vt:lpstr>
      <vt:lpstr>DB.Exposure.RevenueSplit.BrokersOther</vt:lpstr>
      <vt:lpstr>DB.Exposure.RevenueSplit.BrokersOtherPercent</vt:lpstr>
      <vt:lpstr>DB.Exposure.RevenueSplit.ClearingSettlement</vt:lpstr>
      <vt:lpstr>DB.Exposure.RevenueSplit.ClearingSettlementPercent</vt:lpstr>
      <vt:lpstr>DB.Exposure.RevenueSplit.Depositary</vt:lpstr>
      <vt:lpstr>DB.Exposure.RevenueSplit.DepositaryPercent</vt:lpstr>
      <vt:lpstr>DB.Exposure.RevenueSplit.EstCompanies</vt:lpstr>
      <vt:lpstr>DB.Exposure.RevenueSplit.EstCompaniesPercent</vt:lpstr>
      <vt:lpstr>DB.Exposure.RevenueSplit.EstTrusts</vt:lpstr>
      <vt:lpstr>DB.Exposure.RevenueSplit.EstTrustsPercent</vt:lpstr>
      <vt:lpstr>DB.Exposure.RevenueSplit.Exchange</vt:lpstr>
      <vt:lpstr>DB.Exposure.RevenueSplit.ExchangePercent</vt:lpstr>
      <vt:lpstr>DB.Exposure.RevenueSplit.ExchangesOther</vt:lpstr>
      <vt:lpstr>DB.Exposure.RevenueSplit.ExchangesOtherPercent</vt:lpstr>
      <vt:lpstr>DB.Exposure.RevenueSplit.FamilyGroupServices</vt:lpstr>
      <vt:lpstr>DB.Exposure.RevenueSplit.FamilyGroupServicesPercent</vt:lpstr>
      <vt:lpstr>DB.Exposure.RevenueSplit.Fee</vt:lpstr>
      <vt:lpstr>DB.Exposure.RevenueSplit.FeePercent</vt:lpstr>
      <vt:lpstr>DB.Exposure.RevenueSplit.InstitutionalAdvisory</vt:lpstr>
      <vt:lpstr>DB.Exposure.RevenueSplit.InstitutionalAdvisoryPercent</vt:lpstr>
      <vt:lpstr>DB.Exposure.RevenueSplit.InstitutionalExecution</vt:lpstr>
      <vt:lpstr>DB.Exposure.RevenueSplit.InstitutionalExecutionPercent</vt:lpstr>
      <vt:lpstr>DB.Exposure.RevenueSplit.Interest</vt:lpstr>
      <vt:lpstr>DB.Exposure.RevenueSplit.InterestPercent</vt:lpstr>
      <vt:lpstr>DB.Exposure.RevenueSplit.InvestmentManagement</vt:lpstr>
      <vt:lpstr>DB.Exposure.RevenueSplit.InvestmentManagementPercent</vt:lpstr>
      <vt:lpstr>DB.Exposure.RevenueSplit.InvestmentManagersOther</vt:lpstr>
      <vt:lpstr>DB.Exposure.RevenueSplit.InvestmentManagersOtherPercent</vt:lpstr>
      <vt:lpstr>DB.Exposure.RevenueSplit.LegalAdvice</vt:lpstr>
      <vt:lpstr>DB.Exposure.RevenueSplit.LegalAdvicePercent</vt:lpstr>
      <vt:lpstr>DB.Exposure.RevenueSplit.LegalAdvisoryServices</vt:lpstr>
      <vt:lpstr>DB.Exposure.RevenueSplit.LegalAdvisoryServicesPercent</vt:lpstr>
      <vt:lpstr>DB.Exposure.RevenueSplit.Listing</vt:lpstr>
      <vt:lpstr>DB.Exposure.RevenueSplit.ListingPercent</vt:lpstr>
      <vt:lpstr>DB.Exposure.RevenueSplit.Other</vt:lpstr>
      <vt:lpstr>DB.Exposure.RevenueSplit.OtherPercent</vt:lpstr>
      <vt:lpstr>DB.Exposure.RevenueSplit.OutsideBoard</vt:lpstr>
      <vt:lpstr>DB.Exposure.RevenueSplit.OutsideBoardPercent</vt:lpstr>
      <vt:lpstr>DB.Exposure.RevenueSplit.PersonalServices</vt:lpstr>
      <vt:lpstr>DB.Exposure.RevenueSplit.PersonalServicesPercent</vt:lpstr>
      <vt:lpstr>DB.Exposure.RevenueSplit.RetailAdvisory</vt:lpstr>
      <vt:lpstr>DB.Exposure.RevenueSplit.RetailAdvisoryPercent</vt:lpstr>
      <vt:lpstr>DB.Exposure.RevenueSplit.RetailDiscretionary</vt:lpstr>
      <vt:lpstr>DB.Exposure.RevenueSplit.RetailDiscretionaryPercent</vt:lpstr>
      <vt:lpstr>DB.Exposure.RevenueSplit.RetailExecution</vt:lpstr>
      <vt:lpstr>DB.Exposure.RevenueSplit.RetailExecutionPercent</vt:lpstr>
      <vt:lpstr>DB.Exposure.RevenueSplit.Tax</vt:lpstr>
      <vt:lpstr>DB.Exposure.RevenueSplit.TaxPercent</vt:lpstr>
      <vt:lpstr>DB.Exposure.RevenueSplit.Total</vt:lpstr>
      <vt:lpstr>DB.Exposure.RevenueSplit.TotalBanks</vt:lpstr>
      <vt:lpstr>DB.Exposure.RevenueSplit.TotalBanksPercent</vt:lpstr>
      <vt:lpstr>DB.Exposure.RevenueSplit.TotalBrokers</vt:lpstr>
      <vt:lpstr>DB.Exposure.RevenueSplit.TotalBrokersPercent</vt:lpstr>
      <vt:lpstr>DB.Exposure.RevenueSplit.TotalFinancialInfrastructure</vt:lpstr>
      <vt:lpstr>DB.Exposure.RevenueSplit.TotalFinancialInfrastructurePercent</vt:lpstr>
      <vt:lpstr>DB.Exposure.RevenueSplit.TotalInsurance</vt:lpstr>
      <vt:lpstr>DB.Exposure.RevenueSplit.TotalInsurancePercent</vt:lpstr>
      <vt:lpstr>DB.Exposure.RevenueSplit.TotalInvestmentManagement</vt:lpstr>
      <vt:lpstr>DB.Exposure.RevenueSplit.TotalInvestmentManagementPercent</vt:lpstr>
      <vt:lpstr>DB.Exposure.RevenueSplit.TotalPercent</vt:lpstr>
      <vt:lpstr>DB.Exposure.RevenueSplit.Trading</vt:lpstr>
      <vt:lpstr>DB.Exposure.RevenueSplit.TradingPercent</vt:lpstr>
      <vt:lpstr>DB.Exposure.RIpc</vt:lpstr>
      <vt:lpstr>DB.Exposure.RIpcPercent</vt:lpstr>
      <vt:lpstr>DB.Exposure.ShortTailPC</vt:lpstr>
      <vt:lpstr>DB.Exposure.SolvencyRatio</vt:lpstr>
      <vt:lpstr>DB.Exposure.TransactionsAvFee</vt:lpstr>
      <vt:lpstr>DB.Exposure.TransactionsAvValue</vt:lpstr>
      <vt:lpstr>DB.FirmName</vt:lpstr>
      <vt:lpstr>DB.GeneralComments</vt:lpstr>
      <vt:lpstr>DB.hxOptionID</vt:lpstr>
      <vt:lpstr>DB.OtherFactorsComments</vt:lpstr>
      <vt:lpstr>DB.Producer</vt:lpstr>
      <vt:lpstr>DB.RatingSummary.ActualILF.Layer1.CCY</vt:lpstr>
      <vt:lpstr>DB.RatingSummary.ActualILF.Layer1.USD</vt:lpstr>
      <vt:lpstr>DB.RatingSummary.ActualILF.Layer10.CCY</vt:lpstr>
      <vt:lpstr>DB.RatingSummary.ActualILF.Layer10.USD</vt:lpstr>
      <vt:lpstr>DB.RatingSummary.ActualILF.Layer11.CCY</vt:lpstr>
      <vt:lpstr>DB.RatingSummary.ActualILF.Layer11.USD</vt:lpstr>
      <vt:lpstr>DB.RatingSummary.ActualILF.Layer12.CCY</vt:lpstr>
      <vt:lpstr>DB.RatingSummary.ActualILF.Layer12.USD</vt:lpstr>
      <vt:lpstr>DB.RatingSummary.ActualILF.Layer13.CCY</vt:lpstr>
      <vt:lpstr>DB.RatingSummary.ActualILF.Layer13.USD</vt:lpstr>
      <vt:lpstr>DB.RatingSummary.ActualILF.Layer14.CCY</vt:lpstr>
      <vt:lpstr>DB.RatingSummary.ActualILF.Layer14.USD</vt:lpstr>
      <vt:lpstr>DB.RatingSummary.ActualILF.Layer15.CCY</vt:lpstr>
      <vt:lpstr>DB.RatingSummary.ActualILF.Layer15.USD</vt:lpstr>
      <vt:lpstr>DB.RatingSummary.ActualILF.Layer16.CCY</vt:lpstr>
      <vt:lpstr>DB.RatingSummary.ActualILF.Layer16.USD</vt:lpstr>
      <vt:lpstr>DB.RatingSummary.ActualILF.Layer2.CCY</vt:lpstr>
      <vt:lpstr>DB.RatingSummary.ActualILF.Layer2.USD</vt:lpstr>
      <vt:lpstr>DB.RatingSummary.ActualILF.Layer3.CCY</vt:lpstr>
      <vt:lpstr>DB.RatingSummary.ActualILF.Layer3.USD</vt:lpstr>
      <vt:lpstr>DB.RatingSummary.ActualILF.Layer4.CCY</vt:lpstr>
      <vt:lpstr>DB.RatingSummary.ActualILF.Layer4.USD</vt:lpstr>
      <vt:lpstr>DB.RatingSummary.ActualILF.Layer5.CCY</vt:lpstr>
      <vt:lpstr>DB.RatingSummary.ActualILF.Layer5.USD</vt:lpstr>
      <vt:lpstr>DB.RatingSummary.ActualILF.Layer6.CCY</vt:lpstr>
      <vt:lpstr>DB.RatingSummary.ActualILF.Layer6.USD</vt:lpstr>
      <vt:lpstr>DB.RatingSummary.ActualILF.Layer7.CCY</vt:lpstr>
      <vt:lpstr>DB.RatingSummary.ActualILF.Layer7.USD</vt:lpstr>
      <vt:lpstr>DB.RatingSummary.ActualILF.Layer8.CCY</vt:lpstr>
      <vt:lpstr>DB.RatingSummary.ActualILF.Layer8.USD</vt:lpstr>
      <vt:lpstr>DB.RatingSummary.ActualILF.Layer9.CCY</vt:lpstr>
      <vt:lpstr>DB.RatingSummary.ActualILF.Layer9.USD</vt:lpstr>
      <vt:lpstr>DB.RatingSummary.AFBExposure.Layer1.CCY</vt:lpstr>
      <vt:lpstr>DB.RatingSummary.AFBExposure.Layer1.USD</vt:lpstr>
      <vt:lpstr>DB.RatingSummary.AFBExposure.Layer10.CCY</vt:lpstr>
      <vt:lpstr>DB.RatingSummary.AFBExposure.Layer10.USD</vt:lpstr>
      <vt:lpstr>DB.RatingSummary.AFBExposure.Layer11.CCY</vt:lpstr>
      <vt:lpstr>DB.RatingSummary.AFBExposure.Layer11.USD</vt:lpstr>
      <vt:lpstr>DB.RatingSummary.AFBExposure.Layer12.CCY</vt:lpstr>
      <vt:lpstr>DB.RatingSummary.AFBExposure.Layer12.USD</vt:lpstr>
      <vt:lpstr>DB.RatingSummary.AFBExposure.Layer13.CCY</vt:lpstr>
      <vt:lpstr>DB.RatingSummary.AFBExposure.Layer13.USD</vt:lpstr>
      <vt:lpstr>DB.RatingSummary.AFBExposure.Layer14.CCY</vt:lpstr>
      <vt:lpstr>DB.RatingSummary.AFBExposure.Layer14.USD</vt:lpstr>
      <vt:lpstr>DB.RatingSummary.AFBExposure.Layer15.CCY</vt:lpstr>
      <vt:lpstr>DB.RatingSummary.AFBExposure.Layer15.USD</vt:lpstr>
      <vt:lpstr>DB.RatingSummary.AFBExposure.Layer16.CCY</vt:lpstr>
      <vt:lpstr>DB.RatingSummary.AFBExposure.Layer16.USD</vt:lpstr>
      <vt:lpstr>DB.RatingSummary.AFBExposure.Layer2.CCY</vt:lpstr>
      <vt:lpstr>DB.RatingSummary.AFBExposure.Layer2.USD</vt:lpstr>
      <vt:lpstr>DB.RatingSummary.AFBExposure.Layer3.CCY</vt:lpstr>
      <vt:lpstr>DB.RatingSummary.AFBExposure.Layer3.USD</vt:lpstr>
      <vt:lpstr>DB.RatingSummary.AFBExposure.Layer4.CCY</vt:lpstr>
      <vt:lpstr>DB.RatingSummary.AFBExposure.Layer4.USD</vt:lpstr>
      <vt:lpstr>DB.RatingSummary.AFBExposure.Layer5.CCY</vt:lpstr>
      <vt:lpstr>DB.RatingSummary.AFBExposure.Layer5.USD</vt:lpstr>
      <vt:lpstr>DB.RatingSummary.AFBExposure.Layer6.CCY</vt:lpstr>
      <vt:lpstr>DB.RatingSummary.AFBExposure.Layer6.USD</vt:lpstr>
      <vt:lpstr>DB.RatingSummary.AFBExposure.Layer7.CCY</vt:lpstr>
      <vt:lpstr>DB.RatingSummary.AFBExposure.Layer7.USD</vt:lpstr>
      <vt:lpstr>DB.RatingSummary.AFBExposure.Layer8.CCY</vt:lpstr>
      <vt:lpstr>DB.RatingSummary.AFBExposure.Layer8.USD</vt:lpstr>
      <vt:lpstr>DB.RatingSummary.AFBExposure.Layer9.CCY</vt:lpstr>
      <vt:lpstr>DB.RatingSummary.AFBExposure.Layer9.USD</vt:lpstr>
      <vt:lpstr>DB.RatingSummary.AFBNetPremium.Layer1.CCY</vt:lpstr>
      <vt:lpstr>DB.RatingSummary.AFBNetPremium.Layer1.USD</vt:lpstr>
      <vt:lpstr>DB.RatingSummary.AFBNetPremium.Layer10.CCY</vt:lpstr>
      <vt:lpstr>DB.RatingSummary.AFBNetPremium.Layer11.CCY</vt:lpstr>
      <vt:lpstr>DB.RatingSummary.AFBNetPremium.Layer12.CCY</vt:lpstr>
      <vt:lpstr>DB.RatingSummary.AFBNetPremium.Layer13.CCY</vt:lpstr>
      <vt:lpstr>DB.RatingSummary.AFBNetPremium.Layer14.CCY</vt:lpstr>
      <vt:lpstr>DB.RatingSummary.AFBNetPremium.Layer15.CCY</vt:lpstr>
      <vt:lpstr>DB.RatingSummary.AFBNetPremium.Layer16.CCY</vt:lpstr>
      <vt:lpstr>DB.RatingSummary.AFBNetPremium.Layer2.CCY</vt:lpstr>
      <vt:lpstr>DB.RatingSummary.AFBNetPremium.Layer3.CCY</vt:lpstr>
      <vt:lpstr>DB.RatingSummary.AFBNetPremium.Layer4.CCY</vt:lpstr>
      <vt:lpstr>DB.RatingSummary.AFBNetPremium.Layer5.CCY</vt:lpstr>
      <vt:lpstr>DB.RatingSummary.AFBNetPremium.Layer6.CCY</vt:lpstr>
      <vt:lpstr>DB.RatingSummary.AFBNetPremium.Layer7.CCY</vt:lpstr>
      <vt:lpstr>DB.RatingSummary.AFBNetPremium.Layer8.CCY</vt:lpstr>
      <vt:lpstr>DB.RatingSummary.AFBNetPremium.Layer9.CCY</vt:lpstr>
      <vt:lpstr>DB.RatingSummary.AnnualBenchmarkPremium.Layer1.CCY</vt:lpstr>
      <vt:lpstr>DB.RatingSummary.AnnualBenchmarkPremium.Layer1.USD</vt:lpstr>
      <vt:lpstr>DB.RatingSummary.AnnualBenchmarkPremium.Layer10.CCY</vt:lpstr>
      <vt:lpstr>DB.RatingSummary.AnnualBenchmarkPremium.Layer10.USD</vt:lpstr>
      <vt:lpstr>DB.RatingSummary.AnnualBenchmarkPremium.Layer11.CCY</vt:lpstr>
      <vt:lpstr>DB.RatingSummary.AnnualBenchmarkPremium.Layer11.USD</vt:lpstr>
      <vt:lpstr>DB.RatingSummary.AnnualBenchmarkPremium.Layer12.CCY</vt:lpstr>
      <vt:lpstr>DB.RatingSummary.AnnualBenchmarkPremium.Layer12.USD</vt:lpstr>
      <vt:lpstr>DB.RatingSummary.AnnualBenchmarkPremium.Layer13.CCY</vt:lpstr>
      <vt:lpstr>DB.RatingSummary.AnnualBenchmarkPremium.Layer13.USD</vt:lpstr>
      <vt:lpstr>DB.RatingSummary.AnnualBenchmarkPremium.Layer14.CCY</vt:lpstr>
      <vt:lpstr>DB.RatingSummary.AnnualBenchmarkPremium.Layer14.USD</vt:lpstr>
      <vt:lpstr>DB.RatingSummary.AnnualBenchmarkPremium.Layer15.CCY</vt:lpstr>
      <vt:lpstr>DB.RatingSummary.AnnualBenchmarkPremium.Layer15.USD</vt:lpstr>
      <vt:lpstr>DB.RatingSummary.AnnualBenchmarkPremium.Layer16.CCY</vt:lpstr>
      <vt:lpstr>DB.RatingSummary.AnnualBenchmarkPremium.Layer16.USD</vt:lpstr>
      <vt:lpstr>DB.RatingSummary.AnnualBenchmarkPremium.Layer2.CCY</vt:lpstr>
      <vt:lpstr>DB.RatingSummary.AnnualBenchmarkPremium.Layer2.USD</vt:lpstr>
      <vt:lpstr>DB.RatingSummary.AnnualBenchmarkPremium.Layer3.CCY</vt:lpstr>
      <vt:lpstr>DB.RatingSummary.AnnualBenchmarkPremium.Layer3.USD</vt:lpstr>
      <vt:lpstr>DB.RatingSummary.AnnualBenchmarkPremium.Layer4.CCY</vt:lpstr>
      <vt:lpstr>DB.RatingSummary.AnnualBenchmarkPremium.Layer4.USD</vt:lpstr>
      <vt:lpstr>DB.RatingSummary.AnnualBenchmarkPremium.Layer5.CCY</vt:lpstr>
      <vt:lpstr>DB.RatingSummary.AnnualBenchmarkPremium.Layer5.USD</vt:lpstr>
      <vt:lpstr>DB.RatingSummary.AnnualBenchmarkPremium.Layer6.CCY</vt:lpstr>
      <vt:lpstr>DB.RatingSummary.AnnualBenchmarkPremium.Layer6.USD</vt:lpstr>
      <vt:lpstr>DB.RatingSummary.AnnualBenchmarkPremium.Layer7.CCY</vt:lpstr>
      <vt:lpstr>DB.RatingSummary.AnnualBenchmarkPremium.Layer7.USD</vt:lpstr>
      <vt:lpstr>DB.RatingSummary.AnnualBenchmarkPremium.Layer8.CCY</vt:lpstr>
      <vt:lpstr>DB.RatingSummary.AnnualBenchmarkPremium.Layer8.USD</vt:lpstr>
      <vt:lpstr>DB.RatingSummary.AnnualBenchmarkPremium.Layer9.CCY</vt:lpstr>
      <vt:lpstr>DB.RatingSummary.AnnualBenchmarkPremium.Layer9.USD</vt:lpstr>
      <vt:lpstr>DB.RatingSummary.AnnualTechnicalPremium.Layer1.CCY</vt:lpstr>
      <vt:lpstr>DB.RatingSummary.AnnualTechnicalPremium.Layer1.USD</vt:lpstr>
      <vt:lpstr>DB.RatingSummary.AnnualTechnicalPremium.Layer10.CCY</vt:lpstr>
      <vt:lpstr>DB.RatingSummary.AnnualTechnicalPremium.Layer10.USD</vt:lpstr>
      <vt:lpstr>DB.RatingSummary.AnnualTechnicalPremium.Layer11.CCY</vt:lpstr>
      <vt:lpstr>DB.RatingSummary.AnnualTechnicalPremium.Layer11.USD</vt:lpstr>
      <vt:lpstr>DB.RatingSummary.AnnualTechnicalPremium.Layer12.CCY</vt:lpstr>
      <vt:lpstr>DB.RatingSummary.AnnualTechnicalPremium.Layer12.USD</vt:lpstr>
      <vt:lpstr>DB.RatingSummary.AnnualTechnicalPremium.Layer13.CCY</vt:lpstr>
      <vt:lpstr>DB.RatingSummary.AnnualTechnicalPremium.Layer13.USD</vt:lpstr>
      <vt:lpstr>DB.RatingSummary.AnnualTechnicalPremium.Layer14.CCY</vt:lpstr>
      <vt:lpstr>DB.RatingSummary.AnnualTechnicalPremium.Layer14.USD</vt:lpstr>
      <vt:lpstr>DB.RatingSummary.AnnualTechnicalPremium.Layer15.CCY</vt:lpstr>
      <vt:lpstr>DB.RatingSummary.AnnualTechnicalPremium.Layer15.USD</vt:lpstr>
      <vt:lpstr>DB.RatingSummary.AnnualTechnicalPremium.Layer16.CCY</vt:lpstr>
      <vt:lpstr>DB.RatingSummary.AnnualTechnicalPremium.Layer16.USD</vt:lpstr>
      <vt:lpstr>DB.RatingSummary.AnnualTechnicalPremium.Layer2.CCY</vt:lpstr>
      <vt:lpstr>DB.RatingSummary.AnnualTechnicalPremium.Layer2.USD</vt:lpstr>
      <vt:lpstr>DB.RatingSummary.AnnualTechnicalPremium.Layer3.CCY</vt:lpstr>
      <vt:lpstr>DB.RatingSummary.AnnualTechnicalPremium.Layer3.USD</vt:lpstr>
      <vt:lpstr>DB.RatingSummary.AnnualTechnicalPremium.Layer4.CCY</vt:lpstr>
      <vt:lpstr>DB.RatingSummary.AnnualTechnicalPremium.Layer4.USD</vt:lpstr>
      <vt:lpstr>DB.RatingSummary.AnnualTechnicalPremium.Layer5.CCY</vt:lpstr>
      <vt:lpstr>DB.RatingSummary.AnnualTechnicalPremium.Layer5.USD</vt:lpstr>
      <vt:lpstr>DB.RatingSummary.AnnualTechnicalPremium.Layer6.CCY</vt:lpstr>
      <vt:lpstr>DB.RatingSummary.AnnualTechnicalPremium.Layer6.USD</vt:lpstr>
      <vt:lpstr>DB.RatingSummary.AnnualTechnicalPremium.Layer7.CCY</vt:lpstr>
      <vt:lpstr>DB.RatingSummary.AnnualTechnicalPremium.Layer7.USD</vt:lpstr>
      <vt:lpstr>DB.RatingSummary.AnnualTechnicalPremium.Layer8.CCY</vt:lpstr>
      <vt:lpstr>DB.RatingSummary.AnnualTechnicalPremium.Layer8.USD</vt:lpstr>
      <vt:lpstr>DB.RatingSummary.AnnualTechnicalPremium.Layer9.CCY</vt:lpstr>
      <vt:lpstr>DB.RatingSummary.AnnualTechnicalPremium.Layer9.USD</vt:lpstr>
      <vt:lpstr>DB.RatingSummary.Attachment.Layer1.Cover1.CCY</vt:lpstr>
      <vt:lpstr>DB.RatingSummary.Attachment.Layer1.Cover1.USD</vt:lpstr>
      <vt:lpstr>DB.RatingSummary.Attachment.Layer1.Cover2.CCY</vt:lpstr>
      <vt:lpstr>DB.RatingSummary.Attachment.Layer1.Cover2.USD</vt:lpstr>
      <vt:lpstr>DB.RatingSummary.Attachment.Layer1.Cover3.CCY</vt:lpstr>
      <vt:lpstr>DB.RatingSummary.Attachment.Layer1.Cover3.USD</vt:lpstr>
      <vt:lpstr>DB.RatingSummary.Attachment.Layer1.Cover4.CCY</vt:lpstr>
      <vt:lpstr>DB.RatingSummary.Attachment.Layer1.Cover4.USD</vt:lpstr>
      <vt:lpstr>DB.RatingSummary.Attachment.Layer1.Cover5.CCY</vt:lpstr>
      <vt:lpstr>DB.RatingSummary.Attachment.Layer1.Cover5.USD</vt:lpstr>
      <vt:lpstr>DB.RatingSummary.Attachment.Layer1.Cover6.CCY</vt:lpstr>
      <vt:lpstr>DB.RatingSummary.Attachment.Layer1.Cover6.USD</vt:lpstr>
      <vt:lpstr>DB.RatingSummary.Attachment.Layer10.Cover1.CCY</vt:lpstr>
      <vt:lpstr>DB.RatingSummary.Attachment.Layer10.Cover1.USD</vt:lpstr>
      <vt:lpstr>DB.RatingSummary.Attachment.Layer10.Cover2.CCY</vt:lpstr>
      <vt:lpstr>DB.RatingSummary.Attachment.Layer10.Cover2.USD</vt:lpstr>
      <vt:lpstr>DB.RatingSummary.Attachment.Layer10.Cover3.CCY</vt:lpstr>
      <vt:lpstr>DB.RatingSummary.Attachment.Layer10.Cover3.USD</vt:lpstr>
      <vt:lpstr>DB.RatingSummary.Attachment.Layer10.Cover4.CCY</vt:lpstr>
      <vt:lpstr>DB.RatingSummary.Attachment.Layer10.Cover4.USD</vt:lpstr>
      <vt:lpstr>DB.RatingSummary.Attachment.Layer10.Cover5.CCY</vt:lpstr>
      <vt:lpstr>DB.RatingSummary.Attachment.Layer10.Cover5.USD</vt:lpstr>
      <vt:lpstr>DB.RatingSummary.Attachment.Layer10.Cover6.CCY</vt:lpstr>
      <vt:lpstr>DB.RatingSummary.Attachment.Layer10.Cover6.USD</vt:lpstr>
      <vt:lpstr>DB.RatingSummary.Attachment.Layer11.Cover1.CCY</vt:lpstr>
      <vt:lpstr>DB.RatingSummary.Attachment.Layer11.Cover1.USD</vt:lpstr>
      <vt:lpstr>DB.RatingSummary.Attachment.Layer11.Cover2.CCY</vt:lpstr>
      <vt:lpstr>DB.RatingSummary.Attachment.Layer11.Cover2.USD</vt:lpstr>
      <vt:lpstr>DB.RatingSummary.Attachment.Layer11.Cover3.CCY</vt:lpstr>
      <vt:lpstr>DB.RatingSummary.Attachment.Layer11.Cover3.USD</vt:lpstr>
      <vt:lpstr>DB.RatingSummary.Attachment.Layer11.Cover4.CCY</vt:lpstr>
      <vt:lpstr>DB.RatingSummary.Attachment.Layer11.Cover4.USD</vt:lpstr>
      <vt:lpstr>DB.RatingSummary.Attachment.Layer11.Cover5.CCY</vt:lpstr>
      <vt:lpstr>DB.RatingSummary.Attachment.Layer11.Cover5.USD</vt:lpstr>
      <vt:lpstr>DB.RatingSummary.Attachment.Layer11.Cover6.CCY</vt:lpstr>
      <vt:lpstr>DB.RatingSummary.Attachment.Layer11.Cover6.USD</vt:lpstr>
      <vt:lpstr>DB.RatingSummary.Attachment.Layer12.Cover1.CCY</vt:lpstr>
      <vt:lpstr>DB.RatingSummary.Attachment.Layer12.Cover1.USD</vt:lpstr>
      <vt:lpstr>DB.RatingSummary.Attachment.Layer12.Cover2.CCY</vt:lpstr>
      <vt:lpstr>DB.RatingSummary.Attachment.Layer12.Cover2.USD</vt:lpstr>
      <vt:lpstr>DB.RatingSummary.Attachment.Layer12.Cover3.CCY</vt:lpstr>
      <vt:lpstr>DB.RatingSummary.Attachment.Layer12.Cover3.USD</vt:lpstr>
      <vt:lpstr>DB.RatingSummary.Attachment.Layer12.Cover4.CCY</vt:lpstr>
      <vt:lpstr>DB.RatingSummary.Attachment.Layer12.Cover4.USD</vt:lpstr>
      <vt:lpstr>DB.RatingSummary.Attachment.Layer12.Cover5.CCY</vt:lpstr>
      <vt:lpstr>DB.RatingSummary.Attachment.Layer12.Cover5.USD</vt:lpstr>
      <vt:lpstr>DB.RatingSummary.Attachment.Layer12.Cover6.CCY</vt:lpstr>
      <vt:lpstr>DB.RatingSummary.Attachment.Layer12.Cover6.USD</vt:lpstr>
      <vt:lpstr>DB.RatingSummary.Attachment.Layer13.Cover1.CCY</vt:lpstr>
      <vt:lpstr>DB.RatingSummary.Attachment.Layer13.Cover1.USD</vt:lpstr>
      <vt:lpstr>DB.RatingSummary.Attachment.Layer13.Cover2.CCY</vt:lpstr>
      <vt:lpstr>DB.RatingSummary.Attachment.Layer13.Cover2.USD</vt:lpstr>
      <vt:lpstr>DB.RatingSummary.Attachment.Layer13.Cover3.CCY</vt:lpstr>
      <vt:lpstr>DB.RatingSummary.Attachment.Layer13.Cover3.USD</vt:lpstr>
      <vt:lpstr>DB.RatingSummary.Attachment.Layer13.Cover4.CCY</vt:lpstr>
      <vt:lpstr>DB.RatingSummary.Attachment.Layer13.Cover4.USD</vt:lpstr>
      <vt:lpstr>DB.RatingSummary.Attachment.Layer13.Cover5.CCY</vt:lpstr>
      <vt:lpstr>DB.RatingSummary.Attachment.Layer13.Cover5.USD</vt:lpstr>
      <vt:lpstr>DB.RatingSummary.Attachment.Layer13.Cover6.CCY</vt:lpstr>
      <vt:lpstr>DB.RatingSummary.Attachment.Layer13.Cover6.USD</vt:lpstr>
      <vt:lpstr>DB.RatingSummary.Attachment.Layer14.Cover1.CCY</vt:lpstr>
      <vt:lpstr>DB.RatingSummary.Attachment.Layer14.Cover1.USD</vt:lpstr>
      <vt:lpstr>DB.RatingSummary.Attachment.Layer14.Cover2.CCY</vt:lpstr>
      <vt:lpstr>DB.RatingSummary.Attachment.Layer14.Cover2.USD</vt:lpstr>
      <vt:lpstr>DB.RatingSummary.Attachment.Layer14.Cover3.CCY</vt:lpstr>
      <vt:lpstr>DB.RatingSummary.Attachment.Layer14.Cover3.USD</vt:lpstr>
      <vt:lpstr>DB.RatingSummary.Attachment.Layer14.Cover4.CCY</vt:lpstr>
      <vt:lpstr>DB.RatingSummary.Attachment.Layer14.Cover4.USD</vt:lpstr>
      <vt:lpstr>DB.RatingSummary.Attachment.Layer14.Cover5.CCY</vt:lpstr>
      <vt:lpstr>DB.RatingSummary.Attachment.Layer14.Cover5.USD</vt:lpstr>
      <vt:lpstr>DB.RatingSummary.Attachment.Layer14.Cover6.CCY</vt:lpstr>
      <vt:lpstr>DB.RatingSummary.Attachment.Layer14.Cover6.USD</vt:lpstr>
      <vt:lpstr>DB.RatingSummary.Attachment.Layer15.Cover1.CCY</vt:lpstr>
      <vt:lpstr>DB.RatingSummary.Attachment.Layer15.Cover1.USD</vt:lpstr>
      <vt:lpstr>DB.RatingSummary.Attachment.Layer15.Cover2.CCY</vt:lpstr>
      <vt:lpstr>DB.RatingSummary.Attachment.Layer15.Cover2.USD</vt:lpstr>
      <vt:lpstr>DB.RatingSummary.Attachment.Layer15.Cover3.CCY</vt:lpstr>
      <vt:lpstr>DB.RatingSummary.Attachment.Layer15.Cover3.USD</vt:lpstr>
      <vt:lpstr>DB.RatingSummary.Attachment.Layer15.Cover4.CCY</vt:lpstr>
      <vt:lpstr>DB.RatingSummary.Attachment.Layer15.Cover4.USD</vt:lpstr>
      <vt:lpstr>DB.RatingSummary.Attachment.Layer15.Cover5.CCY</vt:lpstr>
      <vt:lpstr>DB.RatingSummary.Attachment.Layer15.Cover5.USD</vt:lpstr>
      <vt:lpstr>DB.RatingSummary.Attachment.Layer15.Cover6.CCY</vt:lpstr>
      <vt:lpstr>DB.RatingSummary.Attachment.Layer15.Cover6.USD</vt:lpstr>
      <vt:lpstr>DB.RatingSummary.Attachment.Layer16.Cover1.CCY</vt:lpstr>
      <vt:lpstr>DB.RatingSummary.Attachment.Layer16.Cover1.USD</vt:lpstr>
      <vt:lpstr>DB.RatingSummary.Attachment.Layer16.Cover2.CCY</vt:lpstr>
      <vt:lpstr>DB.RatingSummary.Attachment.Layer16.Cover2.USD</vt:lpstr>
      <vt:lpstr>DB.RatingSummary.Attachment.Layer16.Cover3.CCY</vt:lpstr>
      <vt:lpstr>DB.RatingSummary.Attachment.Layer16.Cover3.USD</vt:lpstr>
      <vt:lpstr>DB.RatingSummary.Attachment.Layer16.Cover4.CCY</vt:lpstr>
      <vt:lpstr>DB.RatingSummary.Attachment.Layer16.Cover4.USD</vt:lpstr>
      <vt:lpstr>DB.RatingSummary.Attachment.Layer16.Cover5.CCY</vt:lpstr>
      <vt:lpstr>DB.RatingSummary.Attachment.Layer16.Cover5.USD</vt:lpstr>
      <vt:lpstr>DB.RatingSummary.Attachment.Layer16.Cover6.CCY</vt:lpstr>
      <vt:lpstr>DB.RatingSummary.Attachment.Layer16.Cover6.USD</vt:lpstr>
      <vt:lpstr>DB.RatingSummary.Attachment.Layer2.Cover.CCY</vt:lpstr>
      <vt:lpstr>DB.RatingSummary.Attachment.Layer2.Cover1.CCY</vt:lpstr>
      <vt:lpstr>DB.RatingSummary.Attachment.Layer2.Cover1.USD</vt:lpstr>
      <vt:lpstr>DB.RatingSummary.Attachment.Layer2.Cover2.CCY</vt:lpstr>
      <vt:lpstr>DB.RatingSummary.Attachment.Layer2.Cover2.USD</vt:lpstr>
      <vt:lpstr>DB.RatingSummary.Attachment.Layer2.Cover3.CCY</vt:lpstr>
      <vt:lpstr>DB.RatingSummary.Attachment.Layer2.Cover3.USD</vt:lpstr>
      <vt:lpstr>DB.RatingSummary.Attachment.Layer2.Cover4.CCY</vt:lpstr>
      <vt:lpstr>DB.RatingSummary.Attachment.Layer2.Cover4.USD</vt:lpstr>
      <vt:lpstr>DB.RatingSummary.Attachment.Layer2.Cover5.CCY</vt:lpstr>
      <vt:lpstr>DB.RatingSummary.Attachment.Layer2.Cover5.USD</vt:lpstr>
      <vt:lpstr>DB.RatingSummary.Attachment.Layer2.Cover6.CCY</vt:lpstr>
      <vt:lpstr>DB.RatingSummary.Attachment.Layer2.Cover6.USD</vt:lpstr>
      <vt:lpstr>DB.RatingSummary.Attachment.Layer3.Cover1.CCY</vt:lpstr>
      <vt:lpstr>DB.RatingSummary.Attachment.Layer3.Cover1.USD</vt:lpstr>
      <vt:lpstr>DB.RatingSummary.Attachment.Layer3.Cover2.CCY</vt:lpstr>
      <vt:lpstr>DB.RatingSummary.Attachment.Layer3.Cover2.USD</vt:lpstr>
      <vt:lpstr>DB.RatingSummary.Attachment.Layer3.Cover3.CCY</vt:lpstr>
      <vt:lpstr>DB.RatingSummary.Attachment.Layer3.Cover3.USD</vt:lpstr>
      <vt:lpstr>DB.RatingSummary.Attachment.Layer3.Cover4.CCY</vt:lpstr>
      <vt:lpstr>DB.RatingSummary.Attachment.Layer3.Cover4.USD</vt:lpstr>
      <vt:lpstr>DB.RatingSummary.Attachment.Layer3.Cover5.CCY</vt:lpstr>
      <vt:lpstr>DB.RatingSummary.Attachment.Layer3.Cover5.USD</vt:lpstr>
      <vt:lpstr>DB.RatingSummary.Attachment.Layer3.Cover6.CCY</vt:lpstr>
      <vt:lpstr>DB.RatingSummary.Attachment.Layer3.Cover6.USD</vt:lpstr>
      <vt:lpstr>DB.RatingSummary.Attachment.Layer4.Cover1.CCY</vt:lpstr>
      <vt:lpstr>DB.RatingSummary.Attachment.Layer4.Cover1.USD</vt:lpstr>
      <vt:lpstr>DB.RatingSummary.Attachment.Layer4.Cover2.CCY</vt:lpstr>
      <vt:lpstr>DB.RatingSummary.Attachment.Layer4.Cover2.USD</vt:lpstr>
      <vt:lpstr>DB.RatingSummary.Attachment.Layer4.Cover3.CCY</vt:lpstr>
      <vt:lpstr>DB.RatingSummary.Attachment.Layer4.Cover3.USD</vt:lpstr>
      <vt:lpstr>DB.RatingSummary.Attachment.Layer4.Cover4.CCY</vt:lpstr>
      <vt:lpstr>DB.RatingSummary.Attachment.Layer4.Cover4.USD</vt:lpstr>
      <vt:lpstr>DB.RatingSummary.Attachment.Layer4.Cover5.CCY</vt:lpstr>
      <vt:lpstr>DB.RatingSummary.Attachment.Layer4.Cover5.USD</vt:lpstr>
      <vt:lpstr>DB.RatingSummary.Attachment.Layer4.Cover6.CCY</vt:lpstr>
      <vt:lpstr>DB.RatingSummary.Attachment.Layer4.Cover6.USD</vt:lpstr>
      <vt:lpstr>DB.RatingSummary.Attachment.Layer5.Cover1.CCY</vt:lpstr>
      <vt:lpstr>DB.RatingSummary.Attachment.Layer5.Cover1.USD</vt:lpstr>
      <vt:lpstr>DB.RatingSummary.Attachment.Layer5.Cover2.CCY</vt:lpstr>
      <vt:lpstr>DB.RatingSummary.Attachment.Layer5.Cover2.USD</vt:lpstr>
      <vt:lpstr>DB.RatingSummary.Attachment.Layer5.Cover3.CCY</vt:lpstr>
      <vt:lpstr>DB.RatingSummary.Attachment.Layer5.Cover3.USD</vt:lpstr>
      <vt:lpstr>DB.RatingSummary.Attachment.Layer5.Cover4.CCY</vt:lpstr>
      <vt:lpstr>DB.RatingSummary.Attachment.Layer5.Cover4.USD</vt:lpstr>
      <vt:lpstr>DB.RatingSummary.Attachment.Layer5.Cover5.CCY</vt:lpstr>
      <vt:lpstr>DB.RatingSummary.Attachment.Layer5.Cover5.USD</vt:lpstr>
      <vt:lpstr>DB.RatingSummary.Attachment.Layer5.Cover6.CCY</vt:lpstr>
      <vt:lpstr>DB.RatingSummary.Attachment.Layer5.Cover6.USD</vt:lpstr>
      <vt:lpstr>DB.RatingSummary.Attachment.Layer6.Cover1.CCY</vt:lpstr>
      <vt:lpstr>DB.RatingSummary.Attachment.Layer6.Cover1.USD</vt:lpstr>
      <vt:lpstr>DB.RatingSummary.Attachment.Layer6.Cover2.CCY</vt:lpstr>
      <vt:lpstr>DB.RatingSummary.Attachment.Layer6.Cover2.USD</vt:lpstr>
      <vt:lpstr>DB.RatingSummary.Attachment.Layer6.Cover3.CCY</vt:lpstr>
      <vt:lpstr>DB.RatingSummary.Attachment.Layer6.Cover3.USD</vt:lpstr>
      <vt:lpstr>DB.RatingSummary.Attachment.Layer6.Cover4.CCY</vt:lpstr>
      <vt:lpstr>DB.RatingSummary.Attachment.Layer6.Cover4.USD</vt:lpstr>
      <vt:lpstr>DB.RatingSummary.Attachment.Layer6.Cover5.CCY</vt:lpstr>
      <vt:lpstr>DB.RatingSummary.Attachment.Layer6.Cover5.USD</vt:lpstr>
      <vt:lpstr>DB.RatingSummary.Attachment.Layer6.Cover6.CCY</vt:lpstr>
      <vt:lpstr>DB.RatingSummary.Attachment.Layer6.Cover6.USD</vt:lpstr>
      <vt:lpstr>DB.RatingSummary.Attachment.Layer7.Cover1.CCY</vt:lpstr>
      <vt:lpstr>DB.RatingSummary.Attachment.Layer7.Cover1.USD</vt:lpstr>
      <vt:lpstr>DB.RatingSummary.Attachment.Layer7.Cover2.CCY</vt:lpstr>
      <vt:lpstr>DB.RatingSummary.Attachment.Layer7.Cover2.USD</vt:lpstr>
      <vt:lpstr>DB.RatingSummary.Attachment.Layer7.Cover3.CCY</vt:lpstr>
      <vt:lpstr>DB.RatingSummary.Attachment.Layer7.Cover3.USD</vt:lpstr>
      <vt:lpstr>DB.RatingSummary.Attachment.Layer7.Cover4.CCY</vt:lpstr>
      <vt:lpstr>DB.RatingSummary.Attachment.Layer7.Cover4.USD</vt:lpstr>
      <vt:lpstr>DB.RatingSummary.Attachment.Layer7.Cover5.CCY</vt:lpstr>
      <vt:lpstr>DB.RatingSummary.Attachment.Layer7.Cover5.USD</vt:lpstr>
      <vt:lpstr>DB.RatingSummary.Attachment.Layer7.Cover6.CCY</vt:lpstr>
      <vt:lpstr>DB.RatingSummary.Attachment.Layer7.Cover6.USD</vt:lpstr>
      <vt:lpstr>DB.RatingSummary.Attachment.Layer8.Cover1.CCY</vt:lpstr>
      <vt:lpstr>DB.RatingSummary.Attachment.Layer8.Cover1.USD</vt:lpstr>
      <vt:lpstr>DB.RatingSummary.Attachment.Layer8.Cover2.CCY</vt:lpstr>
      <vt:lpstr>DB.RatingSummary.Attachment.Layer8.Cover2.USD</vt:lpstr>
      <vt:lpstr>DB.RatingSummary.Attachment.Layer8.Cover3.CCY</vt:lpstr>
      <vt:lpstr>DB.RatingSummary.Attachment.Layer8.Cover3.USD</vt:lpstr>
      <vt:lpstr>DB.RatingSummary.Attachment.Layer8.Cover4.CCY</vt:lpstr>
      <vt:lpstr>DB.RatingSummary.Attachment.Layer8.Cover4.USD</vt:lpstr>
      <vt:lpstr>DB.RatingSummary.Attachment.Layer8.Cover5.CCY</vt:lpstr>
      <vt:lpstr>DB.RatingSummary.Attachment.Layer8.Cover5.USD</vt:lpstr>
      <vt:lpstr>DB.RatingSummary.Attachment.Layer8.Cover6.CCY</vt:lpstr>
      <vt:lpstr>DB.RatingSummary.Attachment.Layer8.Cover6.USD</vt:lpstr>
      <vt:lpstr>DB.RatingSummary.Attachment.Layer9.Cover1.CCY</vt:lpstr>
      <vt:lpstr>DB.RatingSummary.Attachment.Layer9.Cover1.USD</vt:lpstr>
      <vt:lpstr>DB.RatingSummary.Attachment.Layer9.Cover2.CCY</vt:lpstr>
      <vt:lpstr>DB.RatingSummary.Attachment.Layer9.Cover2.USD</vt:lpstr>
      <vt:lpstr>DB.RatingSummary.Attachment.Layer9.Cover3.CCY</vt:lpstr>
      <vt:lpstr>DB.RatingSummary.Attachment.Layer9.Cover3.USD</vt:lpstr>
      <vt:lpstr>DB.RatingSummary.Attachment.Layer9.Cover4.CCY</vt:lpstr>
      <vt:lpstr>DB.RatingSummary.Attachment.Layer9.Cover4.USD</vt:lpstr>
      <vt:lpstr>DB.RatingSummary.Attachment.Layer9.Cover5.CCY</vt:lpstr>
      <vt:lpstr>DB.RatingSummary.Attachment.Layer9.Cover5.USD</vt:lpstr>
      <vt:lpstr>DB.RatingSummary.Attachment.Layer9.Cover6.CCY</vt:lpstr>
      <vt:lpstr>DB.RatingSummary.Attachment.Layer9.Cover6.USD</vt:lpstr>
      <vt:lpstr>DB.RatingSummary.AuthoritiesFX</vt:lpstr>
      <vt:lpstr>DB.RatingSummary.AuthoritiesFXOverride</vt:lpstr>
      <vt:lpstr>DB.RatingSummary.BB.Layer1</vt:lpstr>
      <vt:lpstr>DB.RatingSummary.BB.Layer1.USD</vt:lpstr>
      <vt:lpstr>DB.RatingSummary.BB.Layer10</vt:lpstr>
      <vt:lpstr>DB.RatingSummary.BB.Layer10.USD</vt:lpstr>
      <vt:lpstr>DB.RatingSummary.BB.Layer11</vt:lpstr>
      <vt:lpstr>DB.RatingSummary.BB.Layer11.USD</vt:lpstr>
      <vt:lpstr>DB.RatingSummary.BB.Layer12</vt:lpstr>
      <vt:lpstr>DB.RatingSummary.BB.Layer12.USD</vt:lpstr>
      <vt:lpstr>DB.RatingSummary.BB.Layer13</vt:lpstr>
      <vt:lpstr>DB.RatingSummary.BB.Layer13.USD</vt:lpstr>
      <vt:lpstr>DB.RatingSummary.BB.Layer14</vt:lpstr>
      <vt:lpstr>DB.RatingSummary.BB.Layer14.USD</vt:lpstr>
      <vt:lpstr>DB.RatingSummary.BB.Layer15</vt:lpstr>
      <vt:lpstr>DB.RatingSummary.BB.Layer15.USD</vt:lpstr>
      <vt:lpstr>DB.RatingSummary.BB.Layer16</vt:lpstr>
      <vt:lpstr>DB.RatingSummary.BB.Layer16.USD</vt:lpstr>
      <vt:lpstr>DB.RatingSummary.BB.Layer2</vt:lpstr>
      <vt:lpstr>DB.RatingSummary.BB.Layer2.USD</vt:lpstr>
      <vt:lpstr>DB.RatingSummary.BB.Layer3</vt:lpstr>
      <vt:lpstr>DB.RatingSummary.BB.Layer3.USD</vt:lpstr>
      <vt:lpstr>DB.RatingSummary.BB.Layer4</vt:lpstr>
      <vt:lpstr>DB.RatingSummary.BB.Layer4.USD</vt:lpstr>
      <vt:lpstr>DB.RatingSummary.BB.Layer5</vt:lpstr>
      <vt:lpstr>DB.RatingSummary.BB.Layer5.USD</vt:lpstr>
      <vt:lpstr>DB.RatingSummary.BB.Layer6</vt:lpstr>
      <vt:lpstr>DB.RatingSummary.BB.Layer6.USD</vt:lpstr>
      <vt:lpstr>DB.RatingSummary.BB.Layer7</vt:lpstr>
      <vt:lpstr>DB.RatingSummary.BB.Layer7.USD</vt:lpstr>
      <vt:lpstr>DB.RatingSummary.BB.Layer8</vt:lpstr>
      <vt:lpstr>DB.RatingSummary.BB.Layer8.USD</vt:lpstr>
      <vt:lpstr>DB.RatingSummary.BB.Layer9</vt:lpstr>
      <vt:lpstr>DB.RatingSummary.BB.Layer9.USD</vt:lpstr>
      <vt:lpstr>DB.RatingSummary.BeazleyLinepc.1.Layer1</vt:lpstr>
      <vt:lpstr>DB.RatingSummary.BeazleyLinepc.1.Layer1.USD</vt:lpstr>
      <vt:lpstr>DB.RatingSummary.BeazleyLinepc.1.Layer10</vt:lpstr>
      <vt:lpstr>DB.RatingSummary.BeazleyLinepc.1.Layer10.USD</vt:lpstr>
      <vt:lpstr>DB.RatingSummary.BeazleyLinepc.1.Layer11</vt:lpstr>
      <vt:lpstr>DB.RatingSummary.BeazleyLinepc.1.Layer11.USD</vt:lpstr>
      <vt:lpstr>DB.RatingSummary.BeazleyLinepc.1.Layer12</vt:lpstr>
      <vt:lpstr>DB.RatingSummary.BeazleyLinepc.1.Layer12.USD</vt:lpstr>
      <vt:lpstr>DB.RatingSummary.BeazleyLinepc.1.Layer13</vt:lpstr>
      <vt:lpstr>DB.RatingSummary.BeazleyLinepc.1.Layer13.USD</vt:lpstr>
      <vt:lpstr>DB.RatingSummary.BeazleyLinepc.1.Layer14</vt:lpstr>
      <vt:lpstr>DB.RatingSummary.BeazleyLinepc.1.Layer14.USD</vt:lpstr>
      <vt:lpstr>DB.RatingSummary.BeazleyLinepc.1.Layer15</vt:lpstr>
      <vt:lpstr>DB.RatingSummary.BeazleyLinepc.1.Layer15.USD</vt:lpstr>
      <vt:lpstr>DB.RatingSummary.BeazleyLinepc.1.Layer16</vt:lpstr>
      <vt:lpstr>DB.RatingSummary.BeazleyLinepc.1.Layer16.USD</vt:lpstr>
      <vt:lpstr>DB.RatingSummary.BeazleyLinepc.1.Layer2</vt:lpstr>
      <vt:lpstr>DB.RatingSummary.BeazleyLinepc.1.Layer2.USD</vt:lpstr>
      <vt:lpstr>DB.RatingSummary.BeazleyLinepc.1.Layer3</vt:lpstr>
      <vt:lpstr>DB.RatingSummary.BeazleyLinepc.1.Layer3.USD</vt:lpstr>
      <vt:lpstr>DB.RatingSummary.BeazleyLinepc.1.Layer4</vt:lpstr>
      <vt:lpstr>DB.RatingSummary.BeazleyLinepc.1.Layer4.USD</vt:lpstr>
      <vt:lpstr>DB.RatingSummary.BeazleyLinepc.1.Layer5</vt:lpstr>
      <vt:lpstr>DB.RatingSummary.BeazleyLinepc.1.Layer5.USD</vt:lpstr>
      <vt:lpstr>DB.RatingSummary.BeazleyLinepc.1.Layer6</vt:lpstr>
      <vt:lpstr>DB.RatingSummary.BeazleyLinepc.1.Layer6.USD</vt:lpstr>
      <vt:lpstr>DB.RatingSummary.BeazleyLinepc.1.Layer7</vt:lpstr>
      <vt:lpstr>DB.RatingSummary.BeazleyLinepc.1.Layer7.USD</vt:lpstr>
      <vt:lpstr>DB.RatingSummary.BeazleyLinepc.1.Layer8</vt:lpstr>
      <vt:lpstr>DB.RatingSummary.BeazleyLinepc.1.Layer8.USD</vt:lpstr>
      <vt:lpstr>DB.RatingSummary.BeazleyLinepc.1.Layer9</vt:lpstr>
      <vt:lpstr>DB.RatingSummary.BeazleyLinepc.1.Layer9.USD</vt:lpstr>
      <vt:lpstr>DB.RatingSummary.BeazleyLinepc.2.Layer1</vt:lpstr>
      <vt:lpstr>DB.RatingSummary.BeazleyLinepc.2.Layer1.USD</vt:lpstr>
      <vt:lpstr>DB.RatingSummary.BeazleyLinepc.2.Layer10</vt:lpstr>
      <vt:lpstr>DB.RatingSummary.BeazleyLinepc.2.Layer10.USD</vt:lpstr>
      <vt:lpstr>DB.RatingSummary.BeazleyLinepc.2.Layer11</vt:lpstr>
      <vt:lpstr>DB.RatingSummary.BeazleyLinepc.2.Layer11.USD</vt:lpstr>
      <vt:lpstr>DB.RatingSummary.BeazleyLinepc.2.Layer12</vt:lpstr>
      <vt:lpstr>DB.RatingSummary.BeazleyLinepc.2.Layer12.USD</vt:lpstr>
      <vt:lpstr>DB.RatingSummary.BeazleyLinepc.2.Layer13</vt:lpstr>
      <vt:lpstr>DB.RatingSummary.BeazleyLinepc.2.Layer13.USD</vt:lpstr>
      <vt:lpstr>DB.RatingSummary.BeazleyLinepc.2.Layer14</vt:lpstr>
      <vt:lpstr>DB.RatingSummary.BeazleyLinepc.2.Layer14.USD</vt:lpstr>
      <vt:lpstr>DB.RatingSummary.BeazleyLinepc.2.Layer15</vt:lpstr>
      <vt:lpstr>DB.RatingSummary.BeazleyLinepc.2.Layer15.USD</vt:lpstr>
      <vt:lpstr>DB.RatingSummary.BeazleyLinepc.2.Layer16</vt:lpstr>
      <vt:lpstr>DB.RatingSummary.BeazleyLinepc.2.Layer16.USD</vt:lpstr>
      <vt:lpstr>DB.RatingSummary.BeazleyLinepc.2.Layer2</vt:lpstr>
      <vt:lpstr>DB.RatingSummary.BeazleyLinepc.2.Layer2.USD</vt:lpstr>
      <vt:lpstr>DB.RatingSummary.BeazleyLinepc.2.Layer3</vt:lpstr>
      <vt:lpstr>DB.RatingSummary.BeazleyLinepc.2.Layer3.USD</vt:lpstr>
      <vt:lpstr>DB.RatingSummary.BeazleyLinepc.2.Layer4</vt:lpstr>
      <vt:lpstr>DB.RatingSummary.BeazleyLinepc.2.Layer4.USD</vt:lpstr>
      <vt:lpstr>DB.RatingSummary.BeazleyLinepc.2.Layer5</vt:lpstr>
      <vt:lpstr>DB.RatingSummary.BeazleyLinepc.2.Layer5.USD</vt:lpstr>
      <vt:lpstr>DB.RatingSummary.BeazleyLinepc.2.Layer6</vt:lpstr>
      <vt:lpstr>DB.RatingSummary.BeazleyLinepc.2.Layer6.USD</vt:lpstr>
      <vt:lpstr>DB.RatingSummary.BeazleyLinepc.2.Layer7</vt:lpstr>
      <vt:lpstr>DB.RatingSummary.BeazleyLinepc.2.Layer7.USD</vt:lpstr>
      <vt:lpstr>DB.RatingSummary.BeazleyLinepc.2.Layer8</vt:lpstr>
      <vt:lpstr>DB.RatingSummary.BeazleyLinepc.2.Layer8.USD</vt:lpstr>
      <vt:lpstr>DB.RatingSummary.BeazleyLinepc.2.Layer9</vt:lpstr>
      <vt:lpstr>DB.RatingSummary.BeazleyLinepc.2.Layer9.USD</vt:lpstr>
      <vt:lpstr>DB.RatingSummary.BeazleyLinepc.3.Layer1</vt:lpstr>
      <vt:lpstr>DB.RatingSummary.BeazleyLinepc.3.Layer1.USD</vt:lpstr>
      <vt:lpstr>DB.RatingSummary.BeazleyLinepc.3.Layer10</vt:lpstr>
      <vt:lpstr>DB.RatingSummary.BeazleyLinepc.3.Layer10.USD</vt:lpstr>
      <vt:lpstr>DB.RatingSummary.BeazleyLinepc.3.Layer11</vt:lpstr>
      <vt:lpstr>DB.RatingSummary.BeazleyLinepc.3.Layer11.USD</vt:lpstr>
      <vt:lpstr>DB.RatingSummary.BeazleyLinepc.3.Layer12</vt:lpstr>
      <vt:lpstr>DB.RatingSummary.BeazleyLinepc.3.Layer12.USD</vt:lpstr>
      <vt:lpstr>DB.RatingSummary.BeazleyLinepc.3.Layer13</vt:lpstr>
      <vt:lpstr>DB.RatingSummary.BeazleyLinepc.3.Layer13.USD</vt:lpstr>
      <vt:lpstr>DB.RatingSummary.BeazleyLinepc.3.Layer14</vt:lpstr>
      <vt:lpstr>DB.RatingSummary.BeazleyLinepc.3.Layer14.USD</vt:lpstr>
      <vt:lpstr>DB.RatingSummary.BeazleyLinepc.3.Layer15</vt:lpstr>
      <vt:lpstr>DB.RatingSummary.BeazleyLinepc.3.Layer15.USD</vt:lpstr>
      <vt:lpstr>DB.RatingSummary.BeazleyLinepc.3.Layer16</vt:lpstr>
      <vt:lpstr>DB.RatingSummary.BeazleyLinepc.3.Layer16.USD</vt:lpstr>
      <vt:lpstr>DB.RatingSummary.BeazleyLinepc.3.Layer2</vt:lpstr>
      <vt:lpstr>DB.RatingSummary.BeazleyLinepc.3.Layer2.USD</vt:lpstr>
      <vt:lpstr>DB.RatingSummary.BeazleyLinepc.3.Layer3</vt:lpstr>
      <vt:lpstr>DB.RatingSummary.BeazleyLinepc.3.Layer3.USD</vt:lpstr>
      <vt:lpstr>DB.RatingSummary.BeazleyLinepc.3.Layer4</vt:lpstr>
      <vt:lpstr>DB.RatingSummary.BeazleyLinepc.3.Layer4.USD</vt:lpstr>
      <vt:lpstr>DB.RatingSummary.BeazleyLinepc.3.Layer5</vt:lpstr>
      <vt:lpstr>DB.RatingSummary.BeazleyLinepc.3.Layer5.USD</vt:lpstr>
      <vt:lpstr>DB.RatingSummary.BeazleyLinepc.3.Layer6</vt:lpstr>
      <vt:lpstr>DB.RatingSummary.BeazleyLinepc.3.Layer6.USD</vt:lpstr>
      <vt:lpstr>DB.RatingSummary.BeazleyLinepc.3.Layer7</vt:lpstr>
      <vt:lpstr>DB.RatingSummary.BeazleyLinepc.3.Layer7.USD</vt:lpstr>
      <vt:lpstr>DB.RatingSummary.BeazleyLinepc.3.Layer8</vt:lpstr>
      <vt:lpstr>DB.RatingSummary.BeazleyLinepc.3.Layer8.USD</vt:lpstr>
      <vt:lpstr>DB.RatingSummary.BeazleyLinepc.3.Layer9</vt:lpstr>
      <vt:lpstr>DB.RatingSummary.BeazleyLinepc.3.Layer9.USD</vt:lpstr>
      <vt:lpstr>DB.RatingSummary.BeazleyLinepc.4.Layer1</vt:lpstr>
      <vt:lpstr>DB.RatingSummary.BeazleyLinepc.4.Layer1.USD</vt:lpstr>
      <vt:lpstr>DB.RatingSummary.BeazleyLinepc.4.Layer10</vt:lpstr>
      <vt:lpstr>DB.RatingSummary.BeazleyLinepc.4.Layer10.USD</vt:lpstr>
      <vt:lpstr>DB.RatingSummary.BeazleyLinepc.4.Layer11</vt:lpstr>
      <vt:lpstr>DB.RatingSummary.BeazleyLinepc.4.Layer11.USD</vt:lpstr>
      <vt:lpstr>DB.RatingSummary.BeazleyLinepc.4.Layer12</vt:lpstr>
      <vt:lpstr>DB.RatingSummary.BeazleyLinepc.4.Layer12.USD</vt:lpstr>
      <vt:lpstr>DB.RatingSummary.BeazleyLinepc.4.Layer13</vt:lpstr>
      <vt:lpstr>DB.RatingSummary.BeazleyLinepc.4.Layer13.USD</vt:lpstr>
      <vt:lpstr>DB.RatingSummary.BeazleyLinepc.4.Layer14</vt:lpstr>
      <vt:lpstr>DB.RatingSummary.BeazleyLinepc.4.Layer14.USD</vt:lpstr>
      <vt:lpstr>DB.RatingSummary.BeazleyLinepc.4.Layer15</vt:lpstr>
      <vt:lpstr>DB.RatingSummary.BeazleyLinepc.4.Layer15.USD</vt:lpstr>
      <vt:lpstr>DB.RatingSummary.BeazleyLinepc.4.Layer16</vt:lpstr>
      <vt:lpstr>DB.RatingSummary.BeazleyLinepc.4.Layer16.USD</vt:lpstr>
      <vt:lpstr>DB.RatingSummary.BeazleyLinepc.4.Layer2</vt:lpstr>
      <vt:lpstr>DB.RatingSummary.BeazleyLinepc.4.Layer2.USD</vt:lpstr>
      <vt:lpstr>DB.RatingSummary.BeazleyLinepc.4.Layer3</vt:lpstr>
      <vt:lpstr>DB.RatingSummary.BeazleyLinepc.4.Layer3.USD</vt:lpstr>
      <vt:lpstr>DB.RatingSummary.BeazleyLinepc.4.Layer4</vt:lpstr>
      <vt:lpstr>DB.RatingSummary.BeazleyLinepc.4.Layer4.USD</vt:lpstr>
      <vt:lpstr>DB.RatingSummary.BeazleyLinepc.4.Layer5</vt:lpstr>
      <vt:lpstr>DB.RatingSummary.BeazleyLinepc.4.Layer5.USD</vt:lpstr>
      <vt:lpstr>DB.RatingSummary.BeazleyLinepc.4.Layer6</vt:lpstr>
      <vt:lpstr>DB.RatingSummary.BeazleyLinepc.4.Layer6.USD</vt:lpstr>
      <vt:lpstr>DB.RatingSummary.BeazleyLinepc.4.Layer7</vt:lpstr>
      <vt:lpstr>DB.RatingSummary.BeazleyLinepc.4.Layer7.USD</vt:lpstr>
      <vt:lpstr>DB.RatingSummary.BeazleyLinepc.4.Layer8</vt:lpstr>
      <vt:lpstr>DB.RatingSummary.BeazleyLinepc.4.Layer8.USD</vt:lpstr>
      <vt:lpstr>DB.RatingSummary.BeazleyLinepc.4.Layer9</vt:lpstr>
      <vt:lpstr>DB.RatingSummary.BeazleyLinepc.4.Layer9.USD</vt:lpstr>
      <vt:lpstr>DB.RatingSummary.BeazleyLinepc.5.Layer1</vt:lpstr>
      <vt:lpstr>DB.RatingSummary.BeazleyLinepc.5.Layer1.USD</vt:lpstr>
      <vt:lpstr>DB.RatingSummary.BeazleyLinepc.5.Layer10</vt:lpstr>
      <vt:lpstr>DB.RatingSummary.BeazleyLinepc.5.Layer10.USD</vt:lpstr>
      <vt:lpstr>DB.RatingSummary.BeazleyLinepc.5.Layer11</vt:lpstr>
      <vt:lpstr>DB.RatingSummary.BeazleyLinepc.5.Layer11.USD</vt:lpstr>
      <vt:lpstr>DB.RatingSummary.BeazleyLinepc.5.Layer12</vt:lpstr>
      <vt:lpstr>DB.RatingSummary.BeazleyLinepc.5.Layer12.USD</vt:lpstr>
      <vt:lpstr>DB.RatingSummary.BeazleyLinepc.5.Layer13</vt:lpstr>
      <vt:lpstr>DB.RatingSummary.BeazleyLinepc.5.Layer13.USD</vt:lpstr>
      <vt:lpstr>DB.RatingSummary.BeazleyLinepc.5.Layer14</vt:lpstr>
      <vt:lpstr>DB.RatingSummary.BeazleyLinepc.5.Layer14.USD</vt:lpstr>
      <vt:lpstr>DB.RatingSummary.BeazleyLinepc.5.Layer15</vt:lpstr>
      <vt:lpstr>DB.RatingSummary.BeazleyLinepc.5.Layer15.USD</vt:lpstr>
      <vt:lpstr>DB.RatingSummary.BeazleyLinepc.5.Layer16</vt:lpstr>
      <vt:lpstr>DB.RatingSummary.BeazleyLinepc.5.Layer16.USD</vt:lpstr>
      <vt:lpstr>DB.RatingSummary.BeazleyLinepc.5.Layer2</vt:lpstr>
      <vt:lpstr>DB.RatingSummary.BeazleyLinepc.5.Layer2.USD</vt:lpstr>
      <vt:lpstr>DB.RatingSummary.BeazleyLinepc.5.Layer3</vt:lpstr>
      <vt:lpstr>DB.RatingSummary.BeazleyLinepc.5.Layer3.USD</vt:lpstr>
      <vt:lpstr>DB.RatingSummary.BeazleyLinepc.5.Layer4</vt:lpstr>
      <vt:lpstr>DB.RatingSummary.BeazleyLinepc.5.Layer4.USD</vt:lpstr>
      <vt:lpstr>DB.RatingSummary.BeazleyLinepc.5.Layer5</vt:lpstr>
      <vt:lpstr>DB.RatingSummary.BeazleyLinepc.5.Layer5.USD</vt:lpstr>
      <vt:lpstr>DB.RatingSummary.BeazleyLinepc.5.Layer6</vt:lpstr>
      <vt:lpstr>DB.RatingSummary.BeazleyLinepc.5.Layer6.USD</vt:lpstr>
      <vt:lpstr>DB.RatingSummary.BeazleyLinepc.5.Layer7</vt:lpstr>
      <vt:lpstr>DB.RatingSummary.BeazleyLinepc.5.Layer7.USD</vt:lpstr>
      <vt:lpstr>DB.RatingSummary.BeazleyLinepc.5.Layer8</vt:lpstr>
      <vt:lpstr>DB.RatingSummary.BeazleyLinepc.5.Layer8.USD</vt:lpstr>
      <vt:lpstr>DB.RatingSummary.BeazleyLinepc.5.Layer9</vt:lpstr>
      <vt:lpstr>DB.RatingSummary.BeazleyLinepc.5.Layer9.USD</vt:lpstr>
      <vt:lpstr>DB.RatingSummary.BeazleyLinepc.6.Layer1</vt:lpstr>
      <vt:lpstr>DB.RatingSummary.BeazleyLinepc.6.Layer1.USD</vt:lpstr>
      <vt:lpstr>DB.RatingSummary.BeazleyLinepc.6.Layer10</vt:lpstr>
      <vt:lpstr>DB.RatingSummary.BeazleyLinepc.6.Layer10.USD</vt:lpstr>
      <vt:lpstr>DB.RatingSummary.BeazleyLinepc.6.Layer11</vt:lpstr>
      <vt:lpstr>DB.RatingSummary.BeazleyLinepc.6.Layer11.USD</vt:lpstr>
      <vt:lpstr>DB.RatingSummary.BeazleyLinepc.6.Layer12</vt:lpstr>
      <vt:lpstr>DB.RatingSummary.BeazleyLinepc.6.Layer12.USD</vt:lpstr>
      <vt:lpstr>DB.RatingSummary.BeazleyLinepc.6.Layer13</vt:lpstr>
      <vt:lpstr>DB.RatingSummary.BeazleyLinepc.6.Layer13.USD</vt:lpstr>
      <vt:lpstr>DB.RatingSummary.BeazleyLinepc.6.Layer14</vt:lpstr>
      <vt:lpstr>DB.RatingSummary.BeazleyLinepc.6.Layer14.USD</vt:lpstr>
      <vt:lpstr>DB.RatingSummary.BeazleyLinepc.6.Layer15</vt:lpstr>
      <vt:lpstr>DB.RatingSummary.BeazleyLinepc.6.Layer15.USD</vt:lpstr>
      <vt:lpstr>DB.RatingSummary.BeazleyLinepc.6.Layer16</vt:lpstr>
      <vt:lpstr>DB.RatingSummary.BeazleyLinepc.6.Layer16.USD</vt:lpstr>
      <vt:lpstr>DB.RatingSummary.BeazleyLinepc.6.Layer2</vt:lpstr>
      <vt:lpstr>DB.RatingSummary.BeazleyLinepc.6.Layer2.USD</vt:lpstr>
      <vt:lpstr>DB.RatingSummary.BeazleyLinepc.6.Layer3</vt:lpstr>
      <vt:lpstr>DB.RatingSummary.BeazleyLinepc.6.Layer3.USD</vt:lpstr>
      <vt:lpstr>DB.RatingSummary.BeazleyLinepc.6.Layer4</vt:lpstr>
      <vt:lpstr>DB.RatingSummary.BeazleyLinepc.6.Layer4.USD</vt:lpstr>
      <vt:lpstr>DB.RatingSummary.BeazleyLinepc.6.Layer5</vt:lpstr>
      <vt:lpstr>DB.RatingSummary.BeazleyLinepc.6.Layer5.USD</vt:lpstr>
      <vt:lpstr>DB.RatingSummary.BeazleyLinepc.6.Layer6</vt:lpstr>
      <vt:lpstr>DB.RatingSummary.BeazleyLinepc.6.Layer6.USD</vt:lpstr>
      <vt:lpstr>DB.RatingSummary.BeazleyLinepc.6.Layer7</vt:lpstr>
      <vt:lpstr>DB.RatingSummary.BeazleyLinepc.6.Layer7.USD</vt:lpstr>
      <vt:lpstr>DB.RatingSummary.BeazleyLinepc.6.Layer8</vt:lpstr>
      <vt:lpstr>DB.RatingSummary.BeazleyLinepc.6.Layer8.USD</vt:lpstr>
      <vt:lpstr>DB.RatingSummary.BeazleyLinepc.6.Layer9</vt:lpstr>
      <vt:lpstr>DB.RatingSummary.BeazleyLinepc.6.Layer9.USD</vt:lpstr>
      <vt:lpstr>DB.RatingSummary.BPIpc.Layer1</vt:lpstr>
      <vt:lpstr>DB.RatingSummary.BPIpc.Layer1.USD</vt:lpstr>
      <vt:lpstr>DB.RatingSummary.BPIpc.Layer10</vt:lpstr>
      <vt:lpstr>DB.RatingSummary.BPIpc.Layer10.USD</vt:lpstr>
      <vt:lpstr>DB.RatingSummary.BPIpc.Layer11</vt:lpstr>
      <vt:lpstr>DB.RatingSummary.BPIpc.Layer11.USD</vt:lpstr>
      <vt:lpstr>DB.RatingSummary.BPIpc.Layer12</vt:lpstr>
      <vt:lpstr>DB.RatingSummary.BPIpc.Layer12.USD</vt:lpstr>
      <vt:lpstr>DB.RatingSummary.BPIpc.Layer13</vt:lpstr>
      <vt:lpstr>DB.RatingSummary.BPIpc.Layer13.USD</vt:lpstr>
      <vt:lpstr>DB.RatingSummary.BPIpc.Layer14</vt:lpstr>
      <vt:lpstr>DB.RatingSummary.BPIpc.Layer14.USD</vt:lpstr>
      <vt:lpstr>DB.RatingSummary.BPIpc.Layer15</vt:lpstr>
      <vt:lpstr>DB.RatingSummary.BPIpc.Layer15.USD</vt:lpstr>
      <vt:lpstr>DB.RatingSummary.BPIpc.Layer16</vt:lpstr>
      <vt:lpstr>DB.RatingSummary.BPIpc.Layer16.USD</vt:lpstr>
      <vt:lpstr>DB.RatingSummary.BPIpc.Layer2</vt:lpstr>
      <vt:lpstr>DB.RatingSummary.BPIpc.Layer2.USD</vt:lpstr>
      <vt:lpstr>DB.RatingSummary.BPIpc.Layer3</vt:lpstr>
      <vt:lpstr>DB.RatingSummary.BPIpc.Layer3.USD</vt:lpstr>
      <vt:lpstr>DB.RatingSummary.BPIpc.Layer4</vt:lpstr>
      <vt:lpstr>DB.RatingSummary.BPIpc.Layer4.USD</vt:lpstr>
      <vt:lpstr>DB.RatingSummary.BPIpc.Layer5</vt:lpstr>
      <vt:lpstr>DB.RatingSummary.BPIpc.Layer5.USD</vt:lpstr>
      <vt:lpstr>DB.RatingSummary.BPIpc.Layer6</vt:lpstr>
      <vt:lpstr>DB.RatingSummary.BPIpc.Layer6.USD</vt:lpstr>
      <vt:lpstr>DB.RatingSummary.BPIpc.Layer7</vt:lpstr>
      <vt:lpstr>DB.RatingSummary.BPIpc.Layer7.USD</vt:lpstr>
      <vt:lpstr>DB.RatingSummary.BPIpc.Layer8</vt:lpstr>
      <vt:lpstr>DB.RatingSummary.BPIpc.Layer8.USD</vt:lpstr>
      <vt:lpstr>DB.RatingSummary.BPIpc.Layer9</vt:lpstr>
      <vt:lpstr>DB.RatingSummary.BPIpc.Layer9.USD</vt:lpstr>
      <vt:lpstr>DB.RatingSummary.BRKpc.Layer1</vt:lpstr>
      <vt:lpstr>DB.RatingSummary.BRKpc.Layer1.USD</vt:lpstr>
      <vt:lpstr>DB.RatingSummary.BRKpc.Layer10</vt:lpstr>
      <vt:lpstr>DB.RatingSummary.BRKpc.Layer10.USD</vt:lpstr>
      <vt:lpstr>DB.RatingSummary.BRKpc.Layer11</vt:lpstr>
      <vt:lpstr>DB.RatingSummary.BRKpc.Layer11.USD</vt:lpstr>
      <vt:lpstr>DB.RatingSummary.BRKpc.Layer12</vt:lpstr>
      <vt:lpstr>DB.RatingSummary.BRKpc.Layer12.USD</vt:lpstr>
      <vt:lpstr>DB.RatingSummary.BRKpc.Layer13</vt:lpstr>
      <vt:lpstr>DB.RatingSummary.BRKpc.Layer13.USD</vt:lpstr>
      <vt:lpstr>DB.RatingSummary.BRKpc.Layer14</vt:lpstr>
      <vt:lpstr>DB.RatingSummary.BRKpc.Layer14.USD</vt:lpstr>
      <vt:lpstr>DB.RatingSummary.BRKpc.Layer15</vt:lpstr>
      <vt:lpstr>DB.RatingSummary.BRKpc.Layer15.USD</vt:lpstr>
      <vt:lpstr>DB.RatingSummary.BRKpc.Layer16</vt:lpstr>
      <vt:lpstr>DB.RatingSummary.BRKpc.Layer16.USD</vt:lpstr>
      <vt:lpstr>DB.RatingSummary.BRKpc.Layer2</vt:lpstr>
      <vt:lpstr>DB.RatingSummary.BRKpc.Layer2.USD</vt:lpstr>
      <vt:lpstr>DB.RatingSummary.BRKpc.Layer3</vt:lpstr>
      <vt:lpstr>DB.RatingSummary.BRKpc.Layer3.USD</vt:lpstr>
      <vt:lpstr>DB.RatingSummary.BRKpc.Layer4</vt:lpstr>
      <vt:lpstr>DB.RatingSummary.BRKpc.Layer4.USD</vt:lpstr>
      <vt:lpstr>DB.RatingSummary.BRKpc.Layer5</vt:lpstr>
      <vt:lpstr>DB.RatingSummary.BRKpc.Layer5.USD</vt:lpstr>
      <vt:lpstr>DB.RatingSummary.BRKpc.Layer6</vt:lpstr>
      <vt:lpstr>DB.RatingSummary.BRKpc.Layer6.USD</vt:lpstr>
      <vt:lpstr>DB.RatingSummary.BRKpc.Layer7</vt:lpstr>
      <vt:lpstr>DB.RatingSummary.BRKpc.Layer7.USD</vt:lpstr>
      <vt:lpstr>DB.RatingSummary.BRKpc.Layer8</vt:lpstr>
      <vt:lpstr>DB.RatingSummary.BRKpc.Layer8.USD</vt:lpstr>
      <vt:lpstr>DB.RatingSummary.BRKpc.Layer9</vt:lpstr>
      <vt:lpstr>DB.RatingSummary.BRKpc.Layer9.USD</vt:lpstr>
      <vt:lpstr>DB.RatingSummary.Coverage.Layer1.Cover1</vt:lpstr>
      <vt:lpstr>DB.RatingSummary.Coverage.Layer1.Cover1USD</vt:lpstr>
      <vt:lpstr>DB.RatingSummary.Coverage.Layer1.Cover2</vt:lpstr>
      <vt:lpstr>DB.RatingSummary.Coverage.Layer1.Cover2USD</vt:lpstr>
      <vt:lpstr>DB.RatingSummary.Coverage.Layer1.Cover3</vt:lpstr>
      <vt:lpstr>DB.RatingSummary.Coverage.Layer1.Cover3USD</vt:lpstr>
      <vt:lpstr>DB.RatingSummary.Coverage.Layer1.Cover4</vt:lpstr>
      <vt:lpstr>DB.RatingSummary.Coverage.Layer1.Cover4USD</vt:lpstr>
      <vt:lpstr>DB.RatingSummary.Coverage.Layer1.Cover5</vt:lpstr>
      <vt:lpstr>DB.RatingSummary.Coverage.Layer1.Cover5USD</vt:lpstr>
      <vt:lpstr>DB.RatingSummary.Coverage.Layer1.Cover6</vt:lpstr>
      <vt:lpstr>DB.RatingSummary.Coverage.Layer1.Cover6USD</vt:lpstr>
      <vt:lpstr>DB.RatingSummary.Coverage.Layer10.Cover1</vt:lpstr>
      <vt:lpstr>DB.RatingSummary.Coverage.Layer10.Cover1USD</vt:lpstr>
      <vt:lpstr>DB.RatingSummary.Coverage.Layer10.Cover2</vt:lpstr>
      <vt:lpstr>DB.RatingSummary.Coverage.Layer10.Cover2USD</vt:lpstr>
      <vt:lpstr>DB.RatingSummary.Coverage.Layer10.Cover3</vt:lpstr>
      <vt:lpstr>DB.RatingSummary.Coverage.Layer10.Cover3USD</vt:lpstr>
      <vt:lpstr>DB.RatingSummary.Coverage.Layer10.Cover4</vt:lpstr>
      <vt:lpstr>DB.RatingSummary.Coverage.Layer10.Cover4USD</vt:lpstr>
      <vt:lpstr>DB.RatingSummary.Coverage.Layer10.Cover5</vt:lpstr>
      <vt:lpstr>DB.RatingSummary.Coverage.Layer10.Cover5USD</vt:lpstr>
      <vt:lpstr>DB.RatingSummary.Coverage.Layer10.Cover6</vt:lpstr>
      <vt:lpstr>DB.RatingSummary.Coverage.Layer10.Cover6USD</vt:lpstr>
      <vt:lpstr>DB.RatingSummary.Coverage.Layer11.Cover1</vt:lpstr>
      <vt:lpstr>DB.RatingSummary.Coverage.Layer11.Cover1USD</vt:lpstr>
      <vt:lpstr>DB.RatingSummary.Coverage.Layer11.Cover2</vt:lpstr>
      <vt:lpstr>DB.RatingSummary.Coverage.Layer11.Cover2USD</vt:lpstr>
      <vt:lpstr>DB.RatingSummary.Coverage.Layer11.Cover3</vt:lpstr>
      <vt:lpstr>DB.RatingSummary.Coverage.Layer11.Cover3USD</vt:lpstr>
      <vt:lpstr>DB.RatingSummary.Coverage.Layer11.Cover4</vt:lpstr>
      <vt:lpstr>DB.RatingSummary.Coverage.Layer11.Cover4USD</vt:lpstr>
      <vt:lpstr>DB.RatingSummary.Coverage.Layer11.Cover5</vt:lpstr>
      <vt:lpstr>DB.RatingSummary.Coverage.Layer11.Cover5USD</vt:lpstr>
      <vt:lpstr>DB.RatingSummary.Coverage.Layer11.Cover6</vt:lpstr>
      <vt:lpstr>DB.RatingSummary.Coverage.Layer11.Cover6USD</vt:lpstr>
      <vt:lpstr>DB.RatingSummary.Coverage.Layer12.Cover1</vt:lpstr>
      <vt:lpstr>DB.RatingSummary.Coverage.Layer12.Cover1USD</vt:lpstr>
      <vt:lpstr>DB.RatingSummary.Coverage.Layer12.Cover2</vt:lpstr>
      <vt:lpstr>DB.RatingSummary.Coverage.Layer12.Cover2USD</vt:lpstr>
      <vt:lpstr>DB.RatingSummary.Coverage.Layer12.Cover3</vt:lpstr>
      <vt:lpstr>DB.RatingSummary.Coverage.Layer12.Cover3USD</vt:lpstr>
      <vt:lpstr>DB.RatingSummary.Coverage.Layer12.Cover4</vt:lpstr>
      <vt:lpstr>DB.RatingSummary.Coverage.Layer12.Cover4USD</vt:lpstr>
      <vt:lpstr>DB.RatingSummary.Coverage.Layer12.Cover5</vt:lpstr>
      <vt:lpstr>DB.RatingSummary.Coverage.Layer12.Cover5USD</vt:lpstr>
      <vt:lpstr>DB.RatingSummary.Coverage.Layer12.Cover6</vt:lpstr>
      <vt:lpstr>DB.RatingSummary.Coverage.Layer12.Cover6USD</vt:lpstr>
      <vt:lpstr>DB.RatingSummary.Coverage.Layer13.Cover1</vt:lpstr>
      <vt:lpstr>DB.RatingSummary.Coverage.Layer13.Cover1USD</vt:lpstr>
      <vt:lpstr>DB.RatingSummary.Coverage.Layer13.Cover2</vt:lpstr>
      <vt:lpstr>DB.RatingSummary.Coverage.Layer13.Cover2USD</vt:lpstr>
      <vt:lpstr>DB.RatingSummary.Coverage.Layer13.Cover3</vt:lpstr>
      <vt:lpstr>DB.RatingSummary.Coverage.Layer13.Cover3USD</vt:lpstr>
      <vt:lpstr>DB.RatingSummary.Coverage.Layer13.Cover4</vt:lpstr>
      <vt:lpstr>DB.RatingSummary.Coverage.Layer13.Cover4USD</vt:lpstr>
      <vt:lpstr>DB.RatingSummary.Coverage.Layer13.Cover5</vt:lpstr>
      <vt:lpstr>DB.RatingSummary.Coverage.Layer13.Cover5USD</vt:lpstr>
      <vt:lpstr>DB.RatingSummary.Coverage.Layer13.Cover6</vt:lpstr>
      <vt:lpstr>DB.RatingSummary.Coverage.Layer13.Cover6USD</vt:lpstr>
      <vt:lpstr>DB.RatingSummary.Coverage.Layer14.Cover1</vt:lpstr>
      <vt:lpstr>DB.RatingSummary.Coverage.Layer14.Cover1USD</vt:lpstr>
      <vt:lpstr>DB.RatingSummary.Coverage.Layer14.Cover2</vt:lpstr>
      <vt:lpstr>DB.RatingSummary.Coverage.Layer14.Cover2USD</vt:lpstr>
      <vt:lpstr>DB.RatingSummary.Coverage.Layer14.Cover3</vt:lpstr>
      <vt:lpstr>DB.RatingSummary.Coverage.Layer14.Cover3USD</vt:lpstr>
      <vt:lpstr>DB.RatingSummary.Coverage.Layer14.Cover4</vt:lpstr>
      <vt:lpstr>DB.RatingSummary.Coverage.Layer14.Cover4USD</vt:lpstr>
      <vt:lpstr>DB.RatingSummary.Coverage.Layer14.Cover5</vt:lpstr>
      <vt:lpstr>DB.RatingSummary.Coverage.Layer14.Cover5USD</vt:lpstr>
      <vt:lpstr>DB.RatingSummary.Coverage.Layer14.Cover6</vt:lpstr>
      <vt:lpstr>DB.RatingSummary.Coverage.Layer14.Cover6USD</vt:lpstr>
      <vt:lpstr>DB.RatingSummary.Coverage.Layer15.Cover1</vt:lpstr>
      <vt:lpstr>DB.RatingSummary.Coverage.Layer15.Cover1USD</vt:lpstr>
      <vt:lpstr>DB.RatingSummary.Coverage.Layer15.Cover2</vt:lpstr>
      <vt:lpstr>DB.RatingSummary.Coverage.Layer15.Cover2USD</vt:lpstr>
      <vt:lpstr>DB.RatingSummary.Coverage.Layer15.Cover3</vt:lpstr>
      <vt:lpstr>DB.RatingSummary.Coverage.Layer15.Cover3USD</vt:lpstr>
      <vt:lpstr>DB.RatingSummary.Coverage.Layer15.Cover4</vt:lpstr>
      <vt:lpstr>DB.RatingSummary.Coverage.Layer15.Cover4USD</vt:lpstr>
      <vt:lpstr>DB.RatingSummary.Coverage.Layer15.Cover5</vt:lpstr>
      <vt:lpstr>DB.RatingSummary.Coverage.Layer15.Cover5USD</vt:lpstr>
      <vt:lpstr>DB.RatingSummary.Coverage.Layer15.Cover6</vt:lpstr>
      <vt:lpstr>DB.RatingSummary.Coverage.Layer15.Cover6USD</vt:lpstr>
      <vt:lpstr>DB.RatingSummary.Coverage.Layer16.Cover1</vt:lpstr>
      <vt:lpstr>DB.RatingSummary.Coverage.Layer16.Cover1USD</vt:lpstr>
      <vt:lpstr>DB.RatingSummary.Coverage.Layer16.Cover2</vt:lpstr>
      <vt:lpstr>DB.RatingSummary.Coverage.Layer16.Cover2USD</vt:lpstr>
      <vt:lpstr>DB.RatingSummary.Coverage.Layer16.Cover3</vt:lpstr>
      <vt:lpstr>DB.RatingSummary.Coverage.Layer16.Cover3USD</vt:lpstr>
      <vt:lpstr>DB.RatingSummary.Coverage.Layer16.Cover4</vt:lpstr>
      <vt:lpstr>DB.RatingSummary.Coverage.Layer16.Cover4USD</vt:lpstr>
      <vt:lpstr>DB.RatingSummary.Coverage.Layer16.Cover5</vt:lpstr>
      <vt:lpstr>DB.RatingSummary.Coverage.Layer16.Cover5USD</vt:lpstr>
      <vt:lpstr>DB.RatingSummary.Coverage.Layer16.Cover6</vt:lpstr>
      <vt:lpstr>DB.RatingSummary.Coverage.Layer16.Cover6USD</vt:lpstr>
      <vt:lpstr>DB.RatingSummary.Coverage.Layer2.Cover1</vt:lpstr>
      <vt:lpstr>DB.RatingSummary.Coverage.Layer2.Cover1USD</vt:lpstr>
      <vt:lpstr>DB.RatingSummary.Coverage.Layer2.Cover2</vt:lpstr>
      <vt:lpstr>DB.RatingSummary.Coverage.Layer2.Cover2USD</vt:lpstr>
      <vt:lpstr>DB.RatingSummary.Coverage.Layer2.Cover3</vt:lpstr>
      <vt:lpstr>DB.RatingSummary.Coverage.Layer2.Cover3USD</vt:lpstr>
      <vt:lpstr>DB.RatingSummary.Coverage.Layer2.Cover4</vt:lpstr>
      <vt:lpstr>DB.RatingSummary.Coverage.Layer2.Cover4USD</vt:lpstr>
      <vt:lpstr>DB.RatingSummary.Coverage.Layer2.Cover5</vt:lpstr>
      <vt:lpstr>DB.RatingSummary.Coverage.Layer2.Cover5USD</vt:lpstr>
      <vt:lpstr>DB.RatingSummary.Coverage.Layer2.Cover6</vt:lpstr>
      <vt:lpstr>DB.RatingSummary.Coverage.Layer2.Cover6USD</vt:lpstr>
      <vt:lpstr>DB.RatingSummary.Coverage.Layer3.Cover1</vt:lpstr>
      <vt:lpstr>DB.RatingSummary.Coverage.Layer3.Cover1USD</vt:lpstr>
      <vt:lpstr>DB.RatingSummary.Coverage.Layer3.Cover2</vt:lpstr>
      <vt:lpstr>DB.RatingSummary.Coverage.Layer3.Cover2USD</vt:lpstr>
      <vt:lpstr>DB.RatingSummary.Coverage.Layer3.Cover3</vt:lpstr>
      <vt:lpstr>DB.RatingSummary.Coverage.Layer3.Cover3USD</vt:lpstr>
      <vt:lpstr>DB.RatingSummary.Coverage.Layer3.Cover4</vt:lpstr>
      <vt:lpstr>DB.RatingSummary.Coverage.Layer3.Cover4USD</vt:lpstr>
      <vt:lpstr>DB.RatingSummary.Coverage.Layer3.Cover5</vt:lpstr>
      <vt:lpstr>DB.RatingSummary.Coverage.Layer3.Cover5USD</vt:lpstr>
      <vt:lpstr>DB.RatingSummary.Coverage.Layer3.Cover6</vt:lpstr>
      <vt:lpstr>DB.RatingSummary.Coverage.Layer3.Cover6USD</vt:lpstr>
      <vt:lpstr>DB.RatingSummary.Coverage.Layer4.Cover1</vt:lpstr>
      <vt:lpstr>DB.RatingSummary.Coverage.Layer4.Cover1USD</vt:lpstr>
      <vt:lpstr>DB.RatingSummary.Coverage.Layer4.Cover2</vt:lpstr>
      <vt:lpstr>DB.RatingSummary.Coverage.Layer4.Cover2USD</vt:lpstr>
      <vt:lpstr>DB.RatingSummary.Coverage.Layer4.Cover3</vt:lpstr>
      <vt:lpstr>DB.RatingSummary.Coverage.Layer4.Cover3USD</vt:lpstr>
      <vt:lpstr>DB.RatingSummary.Coverage.Layer4.Cover4</vt:lpstr>
      <vt:lpstr>DB.RatingSummary.Coverage.Layer4.Cover4USD</vt:lpstr>
      <vt:lpstr>DB.RatingSummary.Coverage.Layer4.Cover5</vt:lpstr>
      <vt:lpstr>DB.RatingSummary.Coverage.Layer4.Cover5USD</vt:lpstr>
      <vt:lpstr>DB.RatingSummary.Coverage.Layer4.Cover6</vt:lpstr>
      <vt:lpstr>DB.RatingSummary.Coverage.Layer4.Cover6USD</vt:lpstr>
      <vt:lpstr>DB.RatingSummary.Coverage.Layer5.Cover1</vt:lpstr>
      <vt:lpstr>DB.RatingSummary.Coverage.Layer5.Cover1USD</vt:lpstr>
      <vt:lpstr>DB.RatingSummary.Coverage.Layer5.Cover2</vt:lpstr>
      <vt:lpstr>DB.RatingSummary.Coverage.Layer5.Cover2USD</vt:lpstr>
      <vt:lpstr>DB.RatingSummary.Coverage.Layer5.Cover3</vt:lpstr>
      <vt:lpstr>DB.RatingSummary.Coverage.Layer5.Cover3USD</vt:lpstr>
      <vt:lpstr>DB.RatingSummary.Coverage.Layer5.Cover4</vt:lpstr>
      <vt:lpstr>DB.RatingSummary.Coverage.Layer5.Cover4USD</vt:lpstr>
      <vt:lpstr>DB.RatingSummary.Coverage.Layer5.Cover5</vt:lpstr>
      <vt:lpstr>DB.RatingSummary.Coverage.Layer5.Cover5USD</vt:lpstr>
      <vt:lpstr>DB.RatingSummary.Coverage.Layer5.Cover6</vt:lpstr>
      <vt:lpstr>DB.RatingSummary.Coverage.Layer5.Cover6USD</vt:lpstr>
      <vt:lpstr>DB.RatingSummary.Coverage.Layer6.Cover1</vt:lpstr>
      <vt:lpstr>DB.RatingSummary.Coverage.Layer6.Cover1USD</vt:lpstr>
      <vt:lpstr>DB.RatingSummary.Coverage.Layer6.Cover2</vt:lpstr>
      <vt:lpstr>DB.RatingSummary.Coverage.Layer6.Cover2USD</vt:lpstr>
      <vt:lpstr>DB.RatingSummary.Coverage.Layer6.Cover3</vt:lpstr>
      <vt:lpstr>DB.RatingSummary.Coverage.Layer6.Cover3USD</vt:lpstr>
      <vt:lpstr>DB.RatingSummary.Coverage.Layer6.Cover4</vt:lpstr>
      <vt:lpstr>DB.RatingSummary.Coverage.Layer6.Cover4USD</vt:lpstr>
      <vt:lpstr>DB.RatingSummary.Coverage.Layer6.Cover5</vt:lpstr>
      <vt:lpstr>DB.RatingSummary.Coverage.Layer6.Cover5USD</vt:lpstr>
      <vt:lpstr>DB.RatingSummary.Coverage.Layer6.Cover6</vt:lpstr>
      <vt:lpstr>DB.RatingSummary.Coverage.Layer6.Cover6USD</vt:lpstr>
      <vt:lpstr>DB.RatingSummary.Coverage.Layer7.Cover1</vt:lpstr>
      <vt:lpstr>DB.RatingSummary.Coverage.Layer7.Cover1USD</vt:lpstr>
      <vt:lpstr>DB.RatingSummary.Coverage.Layer7.Cover2</vt:lpstr>
      <vt:lpstr>DB.RatingSummary.Coverage.Layer7.Cover2USD</vt:lpstr>
      <vt:lpstr>DB.RatingSummary.Coverage.Layer7.Cover3</vt:lpstr>
      <vt:lpstr>DB.RatingSummary.Coverage.Layer7.Cover3USD</vt:lpstr>
      <vt:lpstr>DB.RatingSummary.Coverage.Layer7.Cover4</vt:lpstr>
      <vt:lpstr>DB.RatingSummary.Coverage.Layer7.Cover4USD</vt:lpstr>
      <vt:lpstr>DB.RatingSummary.Coverage.Layer7.Cover5</vt:lpstr>
      <vt:lpstr>DB.RatingSummary.Coverage.Layer7.Cover5USD</vt:lpstr>
      <vt:lpstr>DB.RatingSummary.Coverage.Layer7.Cover6</vt:lpstr>
      <vt:lpstr>DB.RatingSummary.Coverage.Layer7.Cover6USD</vt:lpstr>
      <vt:lpstr>DB.RatingSummary.Coverage.Layer8.Cover1</vt:lpstr>
      <vt:lpstr>DB.RatingSummary.Coverage.Layer8.Cover1USD</vt:lpstr>
      <vt:lpstr>DB.RatingSummary.Coverage.Layer8.Cover2</vt:lpstr>
      <vt:lpstr>DB.RatingSummary.Coverage.Layer8.Cover2USD</vt:lpstr>
      <vt:lpstr>DB.RatingSummary.Coverage.Layer8.Cover3</vt:lpstr>
      <vt:lpstr>DB.RatingSummary.Coverage.Layer8.Cover3USD</vt:lpstr>
      <vt:lpstr>DB.RatingSummary.Coverage.Layer8.Cover4</vt:lpstr>
      <vt:lpstr>DB.RatingSummary.Coverage.Layer8.Cover4USD</vt:lpstr>
      <vt:lpstr>DB.RatingSummary.Coverage.Layer8.Cover5</vt:lpstr>
      <vt:lpstr>DB.RatingSummary.Coverage.Layer8.Cover5USD</vt:lpstr>
      <vt:lpstr>DB.RatingSummary.Coverage.Layer8.Cover6</vt:lpstr>
      <vt:lpstr>DB.RatingSummary.Coverage.Layer8.Cover6USD</vt:lpstr>
      <vt:lpstr>DB.RatingSummary.Coverage.Layer9.Cover1</vt:lpstr>
      <vt:lpstr>DB.RatingSummary.Coverage.Layer9.Cover1USD</vt:lpstr>
      <vt:lpstr>DB.RatingSummary.Coverage.Layer9.Cover2</vt:lpstr>
      <vt:lpstr>DB.RatingSummary.Coverage.Layer9.Cover2USD</vt:lpstr>
      <vt:lpstr>DB.RatingSummary.Coverage.Layer9.Cover3</vt:lpstr>
      <vt:lpstr>DB.RatingSummary.Coverage.Layer9.Cover3USD</vt:lpstr>
      <vt:lpstr>DB.RatingSummary.Coverage.Layer9.Cover4</vt:lpstr>
      <vt:lpstr>DB.RatingSummary.Coverage.Layer9.Cover4USD</vt:lpstr>
      <vt:lpstr>DB.RatingSummary.Coverage.Layer9.Cover5</vt:lpstr>
      <vt:lpstr>DB.RatingSummary.Coverage.Layer9.Cover5USD</vt:lpstr>
      <vt:lpstr>DB.RatingSummary.Coverage.Layer9.Cover6</vt:lpstr>
      <vt:lpstr>DB.RatingSummary.Coverage.Layer9.Cover6USD</vt:lpstr>
      <vt:lpstr>DB.RatingSummary.D5.Layer1</vt:lpstr>
      <vt:lpstr>DB.RatingSummary.D5.Layer1.USD</vt:lpstr>
      <vt:lpstr>DB.RatingSummary.D5.Layer10</vt:lpstr>
      <vt:lpstr>DB.RatingSummary.D5.Layer10.USD</vt:lpstr>
      <vt:lpstr>DB.RatingSummary.D5.Layer11</vt:lpstr>
      <vt:lpstr>DB.RatingSummary.D5.Layer11.USD</vt:lpstr>
      <vt:lpstr>DB.RatingSummary.D5.Layer12</vt:lpstr>
      <vt:lpstr>DB.RatingSummary.D5.Layer12.USD</vt:lpstr>
      <vt:lpstr>DB.RatingSummary.D5.Layer13</vt:lpstr>
      <vt:lpstr>DB.RatingSummary.D5.Layer13.USD</vt:lpstr>
      <vt:lpstr>DB.RatingSummary.D5.Layer14</vt:lpstr>
      <vt:lpstr>DB.RatingSummary.D5.Layer14.USD</vt:lpstr>
      <vt:lpstr>DB.RatingSummary.D5.Layer15</vt:lpstr>
      <vt:lpstr>DB.RatingSummary.D5.Layer15.USD</vt:lpstr>
      <vt:lpstr>DB.RatingSummary.D5.Layer16</vt:lpstr>
      <vt:lpstr>DB.RatingSummary.D5.Layer16.USD</vt:lpstr>
      <vt:lpstr>DB.RatingSummary.D5.Layer2</vt:lpstr>
      <vt:lpstr>DB.RatingSummary.D5.Layer2.USD</vt:lpstr>
      <vt:lpstr>DB.RatingSummary.D5.Layer3</vt:lpstr>
      <vt:lpstr>DB.RatingSummary.D5.Layer3.USD</vt:lpstr>
      <vt:lpstr>DB.RatingSummary.D5.Layer4</vt:lpstr>
      <vt:lpstr>DB.RatingSummary.D5.Layer4.USD</vt:lpstr>
      <vt:lpstr>DB.RatingSummary.D5.Layer5</vt:lpstr>
      <vt:lpstr>DB.RatingSummary.D5.Layer5.USD</vt:lpstr>
      <vt:lpstr>DB.RatingSummary.D5.Layer6</vt:lpstr>
      <vt:lpstr>DB.RatingSummary.D5.Layer6.USD</vt:lpstr>
      <vt:lpstr>DB.RatingSummary.D5.Layer7</vt:lpstr>
      <vt:lpstr>DB.RatingSummary.D5.Layer7.USD</vt:lpstr>
      <vt:lpstr>DB.RatingSummary.D5.Layer8</vt:lpstr>
      <vt:lpstr>DB.RatingSummary.D5.Layer8.USD</vt:lpstr>
      <vt:lpstr>DB.RatingSummary.D5.Layer9</vt:lpstr>
      <vt:lpstr>DB.RatingSummary.D5.Layer9.USD</vt:lpstr>
      <vt:lpstr>DB.RatingSummary.DirectReinstatements.Layer1.Cover1</vt:lpstr>
      <vt:lpstr>DB.RatingSummary.DirectReinstatements.Layer1.Cover1.USD</vt:lpstr>
      <vt:lpstr>DB.RatingSummary.DirectReinstatements.Layer1.Cover2</vt:lpstr>
      <vt:lpstr>DB.RatingSummary.DirectReinstatements.Layer1.Cover2.USD</vt:lpstr>
      <vt:lpstr>DB.RatingSummary.DirectReinstatements.Layer1.Cover3</vt:lpstr>
      <vt:lpstr>DB.RatingSummary.DirectReinstatements.Layer1.Cover3.USD</vt:lpstr>
      <vt:lpstr>DB.RatingSummary.DirectReinstatements.Layer1.Cover4</vt:lpstr>
      <vt:lpstr>DB.RatingSummary.DirectReinstatements.Layer1.Cover4.USD</vt:lpstr>
      <vt:lpstr>DB.RatingSummary.DirectReinstatements.Layer1.Cover5</vt:lpstr>
      <vt:lpstr>DB.RatingSummary.DirectReinstatements.Layer1.Cover5.USD</vt:lpstr>
      <vt:lpstr>DB.RatingSummary.DirectReinstatements.Layer1.Cover6</vt:lpstr>
      <vt:lpstr>DB.RatingSummary.DirectReinstatements.Layer1.Cover6.USD</vt:lpstr>
      <vt:lpstr>DB.RatingSummary.DirectReinstatements.Layer10.Cover1</vt:lpstr>
      <vt:lpstr>DB.RatingSummary.DirectReinstatements.Layer10.Cover1.USD</vt:lpstr>
      <vt:lpstr>DB.RatingSummary.DirectReinstatements.Layer10.Cover2</vt:lpstr>
      <vt:lpstr>DB.RatingSummary.DirectReinstatements.Layer10.Cover2.USD</vt:lpstr>
      <vt:lpstr>DB.RatingSummary.DirectReinstatements.Layer10.Cover3</vt:lpstr>
      <vt:lpstr>DB.RatingSummary.DirectReinstatements.Layer10.Cover3.USD</vt:lpstr>
      <vt:lpstr>DB.RatingSummary.DirectReinstatements.Layer10.Cover4</vt:lpstr>
      <vt:lpstr>DB.RatingSummary.DirectReinstatements.Layer10.Cover4.USD</vt:lpstr>
      <vt:lpstr>DB.RatingSummary.DirectReinstatements.Layer10.Cover5</vt:lpstr>
      <vt:lpstr>DB.RatingSummary.DirectReinstatements.Layer10.Cover5.USD</vt:lpstr>
      <vt:lpstr>DB.RatingSummary.DirectReinstatements.Layer10.Cover6</vt:lpstr>
      <vt:lpstr>DB.RatingSummary.DirectReinstatements.Layer10.Cover6.USD</vt:lpstr>
      <vt:lpstr>DB.RatingSummary.DirectReinstatements.Layer11.Cover1</vt:lpstr>
      <vt:lpstr>DB.RatingSummary.DirectReinstatements.Layer11.Cover1.USD</vt:lpstr>
      <vt:lpstr>DB.RatingSummary.DirectReinstatements.Layer11.Cover2</vt:lpstr>
      <vt:lpstr>DB.RatingSummary.DirectReinstatements.Layer11.Cover2.USD</vt:lpstr>
      <vt:lpstr>DB.RatingSummary.DirectReinstatements.Layer11.Cover3</vt:lpstr>
      <vt:lpstr>DB.RatingSummary.DirectReinstatements.Layer11.Cover3.USD</vt:lpstr>
      <vt:lpstr>DB.RatingSummary.DirectReinstatements.Layer11.Cover4</vt:lpstr>
      <vt:lpstr>DB.RatingSummary.DirectReinstatements.Layer11.Cover4.USD</vt:lpstr>
      <vt:lpstr>DB.RatingSummary.DirectReinstatements.Layer11.Cover5</vt:lpstr>
      <vt:lpstr>DB.RatingSummary.DirectReinstatements.Layer11.Cover5.USD</vt:lpstr>
      <vt:lpstr>DB.RatingSummary.DirectReinstatements.Layer11.Cover6</vt:lpstr>
      <vt:lpstr>DB.RatingSummary.DirectReinstatements.Layer11.Cover6.USD</vt:lpstr>
      <vt:lpstr>DB.RatingSummary.DirectReinstatements.Layer12.Cover1</vt:lpstr>
      <vt:lpstr>DB.RatingSummary.DirectReinstatements.Layer12.Cover1.USD</vt:lpstr>
      <vt:lpstr>DB.RatingSummary.DirectReinstatements.Layer12.Cover2</vt:lpstr>
      <vt:lpstr>DB.RatingSummary.DirectReinstatements.Layer12.Cover2.USD</vt:lpstr>
      <vt:lpstr>DB.RatingSummary.DirectReinstatements.Layer12.Cover3</vt:lpstr>
      <vt:lpstr>DB.RatingSummary.DirectReinstatements.Layer12.Cover3.USD</vt:lpstr>
      <vt:lpstr>DB.RatingSummary.DirectReinstatements.Layer12.Cover4</vt:lpstr>
      <vt:lpstr>DB.RatingSummary.DirectReinstatements.Layer12.Cover4.USD</vt:lpstr>
      <vt:lpstr>DB.RatingSummary.DirectReinstatements.Layer12.Cover5</vt:lpstr>
      <vt:lpstr>DB.RatingSummary.DirectReinstatements.Layer12.Cover5.USD</vt:lpstr>
      <vt:lpstr>DB.RatingSummary.DirectReinstatements.Layer12.Cover6</vt:lpstr>
      <vt:lpstr>DB.RatingSummary.DirectReinstatements.Layer12.Cover6.USD</vt:lpstr>
      <vt:lpstr>DB.RatingSummary.DirectReinstatements.Layer13.Cover1</vt:lpstr>
      <vt:lpstr>DB.RatingSummary.DirectReinstatements.Layer13.Cover1.USD</vt:lpstr>
      <vt:lpstr>DB.RatingSummary.DirectReinstatements.Layer13.Cover2</vt:lpstr>
      <vt:lpstr>DB.RatingSummary.DirectReinstatements.Layer13.Cover2.USD</vt:lpstr>
      <vt:lpstr>DB.RatingSummary.DirectReinstatements.Layer13.Cover3</vt:lpstr>
      <vt:lpstr>DB.RatingSummary.DirectReinstatements.Layer13.Cover3.USD</vt:lpstr>
      <vt:lpstr>DB.RatingSummary.DirectReinstatements.Layer13.Cover4</vt:lpstr>
      <vt:lpstr>DB.RatingSummary.DirectReinstatements.Layer13.Cover4.USD</vt:lpstr>
      <vt:lpstr>DB.RatingSummary.DirectReinstatements.Layer13.Cover5</vt:lpstr>
      <vt:lpstr>DB.RatingSummary.DirectReinstatements.Layer13.Cover5.USD</vt:lpstr>
      <vt:lpstr>DB.RatingSummary.DirectReinstatements.Layer13.Cover6</vt:lpstr>
      <vt:lpstr>DB.RatingSummary.DirectReinstatements.Layer13.Cover6.USD</vt:lpstr>
      <vt:lpstr>DB.RatingSummary.DirectReinstatements.Layer14.Cover1</vt:lpstr>
      <vt:lpstr>DB.RatingSummary.DirectReinstatements.Layer14.Cover1.USD</vt:lpstr>
      <vt:lpstr>DB.RatingSummary.DirectReinstatements.Layer14.Cover2</vt:lpstr>
      <vt:lpstr>DB.RatingSummary.DirectReinstatements.Layer14.Cover2.USD</vt:lpstr>
      <vt:lpstr>DB.RatingSummary.DirectReinstatements.Layer14.Cover3</vt:lpstr>
      <vt:lpstr>DB.RatingSummary.DirectReinstatements.Layer14.Cover3.USD</vt:lpstr>
      <vt:lpstr>DB.RatingSummary.DirectReinstatements.Layer14.Cover4</vt:lpstr>
      <vt:lpstr>DB.RatingSummary.DirectReinstatements.Layer14.Cover4.USD</vt:lpstr>
      <vt:lpstr>DB.RatingSummary.DirectReinstatements.Layer14.Cover5</vt:lpstr>
      <vt:lpstr>DB.RatingSummary.DirectReinstatements.Layer14.Cover5.USD</vt:lpstr>
      <vt:lpstr>DB.RatingSummary.DirectReinstatements.Layer14.Cover6</vt:lpstr>
      <vt:lpstr>DB.RatingSummary.DirectReinstatements.Layer14.Cover6.USD</vt:lpstr>
      <vt:lpstr>DB.RatingSummary.DirectReinstatements.Layer15.Cover1</vt:lpstr>
      <vt:lpstr>DB.RatingSummary.DirectReinstatements.Layer15.Cover1.USD</vt:lpstr>
      <vt:lpstr>DB.RatingSummary.DirectReinstatements.Layer15.Cover2</vt:lpstr>
      <vt:lpstr>DB.RatingSummary.DirectReinstatements.Layer15.Cover2.USD</vt:lpstr>
      <vt:lpstr>DB.RatingSummary.DirectReinstatements.Layer15.Cover3</vt:lpstr>
      <vt:lpstr>DB.RatingSummary.DirectReinstatements.Layer15.Cover3.USD</vt:lpstr>
      <vt:lpstr>DB.RatingSummary.DirectReinstatements.Layer15.Cover4</vt:lpstr>
      <vt:lpstr>DB.RatingSummary.DirectReinstatements.Layer15.Cover4.USD</vt:lpstr>
      <vt:lpstr>DB.RatingSummary.DirectReinstatements.Layer15.Cover5</vt:lpstr>
      <vt:lpstr>DB.RatingSummary.DirectReinstatements.Layer15.Cover5.USD</vt:lpstr>
      <vt:lpstr>DB.RatingSummary.DirectReinstatements.Layer15.Cover6</vt:lpstr>
      <vt:lpstr>DB.RatingSummary.DirectReinstatements.Layer15.Cover6.USD</vt:lpstr>
      <vt:lpstr>DB.RatingSummary.DirectReinstatements.Layer16.Cover1</vt:lpstr>
      <vt:lpstr>DB.RatingSummary.DirectReinstatements.Layer16.Cover1.USD</vt:lpstr>
      <vt:lpstr>DB.RatingSummary.DirectReinstatements.Layer16.Cover2</vt:lpstr>
      <vt:lpstr>DB.RatingSummary.DirectReinstatements.Layer16.Cover2.USD</vt:lpstr>
      <vt:lpstr>DB.RatingSummary.DirectReinstatements.Layer16.Cover3</vt:lpstr>
      <vt:lpstr>DB.RatingSummary.DirectReinstatements.Layer16.Cover3.USD</vt:lpstr>
      <vt:lpstr>DB.RatingSummary.DirectReinstatements.Layer16.Cover4</vt:lpstr>
      <vt:lpstr>DB.RatingSummary.DirectReinstatements.Layer16.Cover4.USD</vt:lpstr>
      <vt:lpstr>DB.RatingSummary.DirectReinstatements.Layer16.Cover5</vt:lpstr>
      <vt:lpstr>DB.RatingSummary.DirectReinstatements.Layer16.Cover5.USD</vt:lpstr>
      <vt:lpstr>DB.RatingSummary.DirectReinstatements.Layer16.Cover6</vt:lpstr>
      <vt:lpstr>DB.RatingSummary.DirectReinstatements.Layer16.Cover6.USD</vt:lpstr>
      <vt:lpstr>DB.RatingSummary.DirectReinstatements.Layer2.Cover1</vt:lpstr>
      <vt:lpstr>DB.RatingSummary.DirectReinstatements.Layer2.Cover1.USD</vt:lpstr>
      <vt:lpstr>DB.RatingSummary.DirectReinstatements.Layer2.Cover2</vt:lpstr>
      <vt:lpstr>DB.RatingSummary.DirectReinstatements.Layer2.Cover2.USD</vt:lpstr>
      <vt:lpstr>DB.RatingSummary.DirectReinstatements.Layer2.Cover3</vt:lpstr>
      <vt:lpstr>DB.RatingSummary.DirectReinstatements.Layer2.Cover3.USD</vt:lpstr>
      <vt:lpstr>DB.RatingSummary.DirectReinstatements.Layer2.Cover4</vt:lpstr>
      <vt:lpstr>DB.RatingSummary.DirectReinstatements.Layer2.Cover4.USD</vt:lpstr>
      <vt:lpstr>DB.RatingSummary.DirectReinstatements.Layer2.Cover5</vt:lpstr>
      <vt:lpstr>DB.RatingSummary.DirectReinstatements.Layer2.Cover5.USD</vt:lpstr>
      <vt:lpstr>DB.RatingSummary.DirectReinstatements.Layer2.Cover6</vt:lpstr>
      <vt:lpstr>DB.RatingSummary.DirectReinstatements.Layer2.Cover6.USD</vt:lpstr>
      <vt:lpstr>DB.RatingSummary.DirectReinstatements.Layer3.Cover1</vt:lpstr>
      <vt:lpstr>DB.RatingSummary.DirectReinstatements.Layer3.Cover1.USD</vt:lpstr>
      <vt:lpstr>DB.RatingSummary.DirectReinstatements.Layer3.Cover2</vt:lpstr>
      <vt:lpstr>DB.RatingSummary.DirectReinstatements.Layer3.Cover2.USD</vt:lpstr>
      <vt:lpstr>DB.RatingSummary.DirectReinstatements.Layer3.Cover3</vt:lpstr>
      <vt:lpstr>DB.RatingSummary.DirectReinstatements.Layer3.Cover3.USD</vt:lpstr>
      <vt:lpstr>DB.RatingSummary.DirectReinstatements.Layer3.Cover4</vt:lpstr>
      <vt:lpstr>DB.RatingSummary.DirectReinstatements.Layer3.Cover4.USD</vt:lpstr>
      <vt:lpstr>DB.RatingSummary.DirectReinstatements.Layer3.Cover5</vt:lpstr>
      <vt:lpstr>DB.RatingSummary.DirectReinstatements.Layer3.Cover5.USD</vt:lpstr>
      <vt:lpstr>DB.RatingSummary.DirectReinstatements.Layer3.Cover6</vt:lpstr>
      <vt:lpstr>DB.RatingSummary.DirectReinstatements.Layer3.Cover6.USD</vt:lpstr>
      <vt:lpstr>DB.RatingSummary.DirectReinstatements.Layer4.Cover1</vt:lpstr>
      <vt:lpstr>DB.RatingSummary.DirectReinstatements.Layer4.Cover1.USD</vt:lpstr>
      <vt:lpstr>DB.RatingSummary.DirectReinstatements.Layer4.Cover2</vt:lpstr>
      <vt:lpstr>DB.RatingSummary.DirectReinstatements.Layer4.Cover2.USD</vt:lpstr>
      <vt:lpstr>DB.RatingSummary.DirectReinstatements.Layer4.Cover3</vt:lpstr>
      <vt:lpstr>DB.RatingSummary.DirectReinstatements.Layer4.Cover3.USD</vt:lpstr>
      <vt:lpstr>DB.RatingSummary.DirectReinstatements.Layer4.Cover4</vt:lpstr>
      <vt:lpstr>DB.RatingSummary.DirectReinstatements.Layer4.Cover4.USD</vt:lpstr>
      <vt:lpstr>DB.RatingSummary.DirectReinstatements.Layer4.Cover5</vt:lpstr>
      <vt:lpstr>DB.RatingSummary.DirectReinstatements.Layer4.Cover5.USD</vt:lpstr>
      <vt:lpstr>DB.RatingSummary.DirectReinstatements.Layer4.Cover6</vt:lpstr>
      <vt:lpstr>DB.RatingSummary.DirectReinstatements.Layer4.Cover6.USD</vt:lpstr>
      <vt:lpstr>DB.RatingSummary.DirectReinstatements.Layer5.Cover1</vt:lpstr>
      <vt:lpstr>DB.RatingSummary.DirectReinstatements.Layer5.Cover1.USD</vt:lpstr>
      <vt:lpstr>DB.RatingSummary.DirectReinstatements.Layer5.Cover2</vt:lpstr>
      <vt:lpstr>DB.RatingSummary.DirectReinstatements.Layer5.Cover2.USD</vt:lpstr>
      <vt:lpstr>DB.RatingSummary.DirectReinstatements.Layer5.Cover3</vt:lpstr>
      <vt:lpstr>DB.RatingSummary.DirectReinstatements.Layer5.Cover3.USD</vt:lpstr>
      <vt:lpstr>DB.RatingSummary.DirectReinstatements.Layer5.Cover4</vt:lpstr>
      <vt:lpstr>DB.RatingSummary.DirectReinstatements.Layer5.Cover4.USD</vt:lpstr>
      <vt:lpstr>DB.RatingSummary.DirectReinstatements.Layer5.Cover5</vt:lpstr>
      <vt:lpstr>DB.RatingSummary.DirectReinstatements.Layer5.Cover5.USD</vt:lpstr>
      <vt:lpstr>DB.RatingSummary.DirectReinstatements.Layer5.Cover6</vt:lpstr>
      <vt:lpstr>DB.RatingSummary.DirectReinstatements.Layer5.Cover6.USD</vt:lpstr>
      <vt:lpstr>DB.RatingSummary.DirectReinstatements.Layer6.Cover1</vt:lpstr>
      <vt:lpstr>DB.RatingSummary.DirectReinstatements.Layer6.Cover1.USD</vt:lpstr>
      <vt:lpstr>DB.RatingSummary.DirectReinstatements.Layer6.Cover2</vt:lpstr>
      <vt:lpstr>DB.RatingSummary.DirectReinstatements.Layer6.Cover2.USD</vt:lpstr>
      <vt:lpstr>DB.RatingSummary.DirectReinstatements.Layer6.Cover3</vt:lpstr>
      <vt:lpstr>DB.RatingSummary.DirectReinstatements.Layer6.Cover3.USD</vt:lpstr>
      <vt:lpstr>DB.RatingSummary.DirectReinstatements.Layer6.Cover4</vt:lpstr>
      <vt:lpstr>DB.RatingSummary.DirectReinstatements.Layer6.Cover4.USD</vt:lpstr>
      <vt:lpstr>DB.RatingSummary.DirectReinstatements.Layer6.Cover5</vt:lpstr>
      <vt:lpstr>DB.RatingSummary.DirectReinstatements.Layer6.Cover5.USD</vt:lpstr>
      <vt:lpstr>DB.RatingSummary.DirectReinstatements.Layer6.Cover6</vt:lpstr>
      <vt:lpstr>DB.RatingSummary.DirectReinstatements.Layer6.Cover6.USD</vt:lpstr>
      <vt:lpstr>DB.RatingSummary.DirectReinstatements.Layer7.Cover1</vt:lpstr>
      <vt:lpstr>DB.RatingSummary.DirectReinstatements.Layer7.Cover1.USD</vt:lpstr>
      <vt:lpstr>DB.RatingSummary.DirectReinstatements.Layer7.Cover2</vt:lpstr>
      <vt:lpstr>DB.RatingSummary.DirectReinstatements.Layer7.Cover2.USD</vt:lpstr>
      <vt:lpstr>DB.RatingSummary.DirectReinstatements.Layer7.Cover3</vt:lpstr>
      <vt:lpstr>DB.RatingSummary.DirectReinstatements.Layer7.Cover3.USD</vt:lpstr>
      <vt:lpstr>DB.RatingSummary.DirectReinstatements.Layer7.Cover4</vt:lpstr>
      <vt:lpstr>DB.RatingSummary.DirectReinstatements.Layer7.Cover4.USD</vt:lpstr>
      <vt:lpstr>DB.RatingSummary.DirectReinstatements.Layer7.Cover5</vt:lpstr>
      <vt:lpstr>DB.RatingSummary.DirectReinstatements.Layer7.Cover5.USD</vt:lpstr>
      <vt:lpstr>DB.RatingSummary.DirectReinstatements.Layer7.Cover6</vt:lpstr>
      <vt:lpstr>DB.RatingSummary.DirectReinstatements.Layer7.Cover6.USD</vt:lpstr>
      <vt:lpstr>DB.RatingSummary.DirectReinstatements.Layer8.Cover1</vt:lpstr>
      <vt:lpstr>DB.RatingSummary.DirectReinstatements.Layer8.Cover1.USD</vt:lpstr>
      <vt:lpstr>DB.RatingSummary.DirectReinstatements.Layer8.Cover2</vt:lpstr>
      <vt:lpstr>DB.RatingSummary.DirectReinstatements.Layer8.Cover2.USD</vt:lpstr>
      <vt:lpstr>DB.RatingSummary.DirectReinstatements.Layer8.Cover3</vt:lpstr>
      <vt:lpstr>DB.RatingSummary.DirectReinstatements.Layer8.Cover3.USD</vt:lpstr>
      <vt:lpstr>DB.RatingSummary.DirectReinstatements.Layer8.Cover4</vt:lpstr>
      <vt:lpstr>DB.RatingSummary.DirectReinstatements.Layer8.Cover4.USD</vt:lpstr>
      <vt:lpstr>DB.RatingSummary.DirectReinstatements.Layer8.Cover5</vt:lpstr>
      <vt:lpstr>DB.RatingSummary.DirectReinstatements.Layer8.Cover5.USD</vt:lpstr>
      <vt:lpstr>DB.RatingSummary.DirectReinstatements.Layer8.Cover6</vt:lpstr>
      <vt:lpstr>DB.RatingSummary.DirectReinstatements.Layer8.Cover6.USD</vt:lpstr>
      <vt:lpstr>DB.RatingSummary.DirectReinstatements.Layer9.Cover1</vt:lpstr>
      <vt:lpstr>DB.RatingSummary.DirectReinstatements.Layer9.Cover1.USD</vt:lpstr>
      <vt:lpstr>DB.RatingSummary.DirectReinstatements.Layer9.Cover2</vt:lpstr>
      <vt:lpstr>DB.RatingSummary.DirectReinstatements.Layer9.Cover2.USD</vt:lpstr>
      <vt:lpstr>DB.RatingSummary.DirectReinstatements.Layer9.Cover3</vt:lpstr>
      <vt:lpstr>DB.RatingSummary.DirectReinstatements.Layer9.Cover3.USD</vt:lpstr>
      <vt:lpstr>DB.RatingSummary.DirectReinstatements.Layer9.Cover4</vt:lpstr>
      <vt:lpstr>DB.RatingSummary.DirectReinstatements.Layer9.Cover4.USD</vt:lpstr>
      <vt:lpstr>DB.RatingSummary.DirectReinstatements.Layer9.Cover5</vt:lpstr>
      <vt:lpstr>DB.RatingSummary.DirectReinstatements.Layer9.Cover5.USD</vt:lpstr>
      <vt:lpstr>DB.RatingSummary.DirectReinstatements.Layer9.Cover6</vt:lpstr>
      <vt:lpstr>DB.RatingSummary.DirectReinstatements.Layer9.Cover6.USD</vt:lpstr>
      <vt:lpstr>DB.RatingSummary.ESG.Layer1</vt:lpstr>
      <vt:lpstr>DB.RatingSummary.ESG.Layer1.USD</vt:lpstr>
      <vt:lpstr>DB.RatingSummary.ESG.Layer10</vt:lpstr>
      <vt:lpstr>DB.RatingSummary.ESG.Layer10.USD</vt:lpstr>
      <vt:lpstr>DB.RatingSummary.ESG.Layer11</vt:lpstr>
      <vt:lpstr>DB.RatingSummary.ESG.Layer11.USD</vt:lpstr>
      <vt:lpstr>DB.RatingSummary.ESG.Layer12</vt:lpstr>
      <vt:lpstr>DB.RatingSummary.ESG.Layer12.USD</vt:lpstr>
      <vt:lpstr>DB.RatingSummary.ESG.Layer13</vt:lpstr>
      <vt:lpstr>DB.RatingSummary.ESG.Layer13.USD</vt:lpstr>
      <vt:lpstr>DB.RatingSummary.ESG.Layer14</vt:lpstr>
      <vt:lpstr>DB.RatingSummary.ESG.Layer14.USD</vt:lpstr>
      <vt:lpstr>DB.RatingSummary.ESG.Layer15</vt:lpstr>
      <vt:lpstr>DB.RatingSummary.ESG.Layer15.USD</vt:lpstr>
      <vt:lpstr>DB.RatingSummary.ESG.Layer16</vt:lpstr>
      <vt:lpstr>DB.RatingSummary.ESG.Layer16.USD</vt:lpstr>
      <vt:lpstr>DB.RatingSummary.ESG.Layer2</vt:lpstr>
      <vt:lpstr>DB.RatingSummary.ESG.Layer2.USD</vt:lpstr>
      <vt:lpstr>DB.RatingSummary.ESG.Layer3</vt:lpstr>
      <vt:lpstr>DB.RatingSummary.ESG.Layer3.USD</vt:lpstr>
      <vt:lpstr>DB.RatingSummary.ESG.Layer4</vt:lpstr>
      <vt:lpstr>DB.RatingSummary.ESG.Layer4.USD</vt:lpstr>
      <vt:lpstr>DB.RatingSummary.ESG.Layer5</vt:lpstr>
      <vt:lpstr>DB.RatingSummary.ESG.Layer5.USD</vt:lpstr>
      <vt:lpstr>DB.RatingSummary.ESG.Layer6</vt:lpstr>
      <vt:lpstr>DB.RatingSummary.ESG.Layer6.USD</vt:lpstr>
      <vt:lpstr>DB.RatingSummary.ESG.Layer7</vt:lpstr>
      <vt:lpstr>DB.RatingSummary.ESG.Layer7.USD</vt:lpstr>
      <vt:lpstr>DB.RatingSummary.ESG.Layer8</vt:lpstr>
      <vt:lpstr>DB.RatingSummary.ESG.Layer8.USD</vt:lpstr>
      <vt:lpstr>DB.RatingSummary.ESG.Layer9</vt:lpstr>
      <vt:lpstr>DB.RatingSummary.ESG.Layer9.USD</vt:lpstr>
      <vt:lpstr>DB.RatingSummary.F3.Layer1</vt:lpstr>
      <vt:lpstr>DB.RatingSummary.F3.Layer1.USD</vt:lpstr>
      <vt:lpstr>DB.RatingSummary.F3.Layer10</vt:lpstr>
      <vt:lpstr>DB.RatingSummary.F3.Layer10.USD</vt:lpstr>
      <vt:lpstr>DB.RatingSummary.F3.Layer11</vt:lpstr>
      <vt:lpstr>DB.RatingSummary.F3.Layer11.USD</vt:lpstr>
      <vt:lpstr>DB.RatingSummary.F3.Layer12</vt:lpstr>
      <vt:lpstr>DB.RatingSummary.F3.Layer12.USD</vt:lpstr>
      <vt:lpstr>DB.RatingSummary.F3.Layer13</vt:lpstr>
      <vt:lpstr>DB.RatingSummary.F3.Layer13.USD</vt:lpstr>
      <vt:lpstr>DB.RatingSummary.F3.Layer14</vt:lpstr>
      <vt:lpstr>DB.RatingSummary.F3.Layer14.USD</vt:lpstr>
      <vt:lpstr>DB.RatingSummary.F3.Layer15</vt:lpstr>
      <vt:lpstr>DB.RatingSummary.F3.Layer15.USD</vt:lpstr>
      <vt:lpstr>DB.RatingSummary.F3.Layer16</vt:lpstr>
      <vt:lpstr>DB.RatingSummary.F3.Layer16.USD</vt:lpstr>
      <vt:lpstr>DB.RatingSummary.F3.Layer2</vt:lpstr>
      <vt:lpstr>DB.RatingSummary.F3.Layer2.USD</vt:lpstr>
      <vt:lpstr>DB.RatingSummary.F3.Layer3</vt:lpstr>
      <vt:lpstr>DB.RatingSummary.F3.Layer3.USD</vt:lpstr>
      <vt:lpstr>DB.RatingSummary.F3.Layer4</vt:lpstr>
      <vt:lpstr>DB.RatingSummary.F3.Layer4.USD</vt:lpstr>
      <vt:lpstr>DB.RatingSummary.F3.Layer5</vt:lpstr>
      <vt:lpstr>DB.RatingSummary.F3.Layer5.USD</vt:lpstr>
      <vt:lpstr>DB.RatingSummary.F3.Layer6</vt:lpstr>
      <vt:lpstr>DB.RatingSummary.F3.Layer6.USD</vt:lpstr>
      <vt:lpstr>DB.RatingSummary.F3.Layer7</vt:lpstr>
      <vt:lpstr>DB.RatingSummary.F3.Layer7.USD</vt:lpstr>
      <vt:lpstr>DB.RatingSummary.F3.Layer8</vt:lpstr>
      <vt:lpstr>DB.RatingSummary.F3.Layer8.USD</vt:lpstr>
      <vt:lpstr>DB.RatingSummary.F3.Layer9</vt:lpstr>
      <vt:lpstr>DB.RatingSummary.F3.Layer9.USD</vt:lpstr>
      <vt:lpstr>DB.RatingSummary.GrossPremium.Layer1.CCY</vt:lpstr>
      <vt:lpstr>DB.RatingSummary.GrossPremium.Layer1.USD</vt:lpstr>
      <vt:lpstr>DB.RatingSummary.GrossPremium.Layer10.CCY</vt:lpstr>
      <vt:lpstr>DB.RatingSummary.GrossPremium.Layer10.USD</vt:lpstr>
      <vt:lpstr>DB.RatingSummary.GrossPremium.Layer11.CCY</vt:lpstr>
      <vt:lpstr>DB.RatingSummary.GrossPremium.Layer11.USD</vt:lpstr>
      <vt:lpstr>DB.RatingSummary.GrossPremium.Layer12.CCY</vt:lpstr>
      <vt:lpstr>DB.RatingSummary.GrossPremium.Layer12.USD</vt:lpstr>
      <vt:lpstr>DB.RatingSummary.GrossPremium.Layer13.CCY</vt:lpstr>
      <vt:lpstr>DB.RatingSummary.GrossPremium.Layer13.USD</vt:lpstr>
      <vt:lpstr>DB.RatingSummary.GrossPremium.Layer14.CCY</vt:lpstr>
      <vt:lpstr>DB.RatingSummary.GrossPremium.Layer14.USD</vt:lpstr>
      <vt:lpstr>DB.RatingSummary.GrossPremium.Layer15.CCY</vt:lpstr>
      <vt:lpstr>DB.RatingSummary.GrossPremium.Layer15.USD</vt:lpstr>
      <vt:lpstr>DB.RatingSummary.GrossPremium.Layer16.CCY</vt:lpstr>
      <vt:lpstr>DB.RatingSummary.GrossPremium.Layer16.USD</vt:lpstr>
      <vt:lpstr>DB.RatingSummary.GrossPremium.Layer2.CCY</vt:lpstr>
      <vt:lpstr>DB.RatingSummary.GrossPremium.Layer2.USD</vt:lpstr>
      <vt:lpstr>DB.RatingSummary.GrossPremium.Layer3.CCY</vt:lpstr>
      <vt:lpstr>DB.RatingSummary.GrossPremium.Layer3.USD</vt:lpstr>
      <vt:lpstr>DB.RatingSummary.GrossPremium.Layer4.CCY</vt:lpstr>
      <vt:lpstr>DB.RatingSummary.GrossPremium.Layer4.USD</vt:lpstr>
      <vt:lpstr>DB.RatingSummary.GrossPremium.Layer5.CCY</vt:lpstr>
      <vt:lpstr>DB.RatingSummary.GrossPremium.Layer5.USD</vt:lpstr>
      <vt:lpstr>DB.RatingSummary.GrossPremium.Layer6.CCY</vt:lpstr>
      <vt:lpstr>DB.RatingSummary.GrossPremium.Layer6.USD</vt:lpstr>
      <vt:lpstr>DB.RatingSummary.GrossPremium.Layer7.CCY</vt:lpstr>
      <vt:lpstr>DB.RatingSummary.GrossPremium.Layer7.USD</vt:lpstr>
      <vt:lpstr>DB.RatingSummary.GrossPremium.Layer8.CCY</vt:lpstr>
      <vt:lpstr>DB.RatingSummary.GrossPremium.Layer8.USD</vt:lpstr>
      <vt:lpstr>DB.RatingSummary.GrossPremium.Layer9.CCY</vt:lpstr>
      <vt:lpstr>DB.RatingSummary.GrossPremium.Layer9.USD</vt:lpstr>
      <vt:lpstr>DB.RatingSummary.InnerLimits.Layer1.Cover1.CCY</vt:lpstr>
      <vt:lpstr>DB.RatingSummary.InnerLimits.Layer1.Cover1.USD</vt:lpstr>
      <vt:lpstr>DB.RatingSummary.InnerLimits.Layer1.Cover2.CCY</vt:lpstr>
      <vt:lpstr>DB.RatingSummary.InnerLimits.Layer1.Cover2.USD</vt:lpstr>
      <vt:lpstr>DB.RatingSummary.InnerLimits.Layer1.Cover3.CCY</vt:lpstr>
      <vt:lpstr>DB.RatingSummary.InnerLimits.Layer1.Cover3.USD</vt:lpstr>
      <vt:lpstr>DB.RatingSummary.InnerLimits.Layer1.Cover4.CCY</vt:lpstr>
      <vt:lpstr>DB.RatingSummary.InnerLimits.Layer1.Cover4.USD</vt:lpstr>
      <vt:lpstr>DB.RatingSummary.InnerLimits.Layer1.Cover5.CCY</vt:lpstr>
      <vt:lpstr>DB.RatingSummary.InnerLimits.Layer1.Cover5.USD</vt:lpstr>
      <vt:lpstr>DB.RatingSummary.InnerLimits.Layer1.Cover6.CCY</vt:lpstr>
      <vt:lpstr>DB.RatingSummary.InnerLimits.Layer1.Cover6.USD</vt:lpstr>
      <vt:lpstr>DB.RatingSummary.InnerLimits.Layer10.Cover1.CCY</vt:lpstr>
      <vt:lpstr>DB.RatingSummary.InnerLimits.Layer10.Cover1.USD</vt:lpstr>
      <vt:lpstr>DB.RatingSummary.InnerLimits.Layer10.Cover2.CCY</vt:lpstr>
      <vt:lpstr>DB.RatingSummary.InnerLimits.Layer10.Cover2.USD</vt:lpstr>
      <vt:lpstr>DB.RatingSummary.InnerLimits.Layer10.Cover3.CCY</vt:lpstr>
      <vt:lpstr>DB.RatingSummary.InnerLimits.Layer10.Cover3.USD</vt:lpstr>
      <vt:lpstr>DB.RatingSummary.InnerLimits.Layer10.Cover4.CCY</vt:lpstr>
      <vt:lpstr>DB.RatingSummary.InnerLimits.Layer10.Cover4.USD</vt:lpstr>
      <vt:lpstr>DB.RatingSummary.InnerLimits.Layer10.Cover5.CCY</vt:lpstr>
      <vt:lpstr>DB.RatingSummary.InnerLimits.Layer10.Cover5.USD</vt:lpstr>
      <vt:lpstr>DB.RatingSummary.InnerLimits.Layer10.Cover6.CCY</vt:lpstr>
      <vt:lpstr>DB.RatingSummary.InnerLimits.Layer10.Cover6.USD</vt:lpstr>
      <vt:lpstr>DB.RatingSummary.InnerLimits.Layer11.Cover1.CCY</vt:lpstr>
      <vt:lpstr>DB.RatingSummary.InnerLimits.Layer11.Cover1.USD</vt:lpstr>
      <vt:lpstr>DB.RatingSummary.InnerLimits.Layer11.Cover2.CCY</vt:lpstr>
      <vt:lpstr>DB.RatingSummary.InnerLimits.Layer11.Cover2.USD</vt:lpstr>
      <vt:lpstr>DB.RatingSummary.InnerLimits.Layer11.Cover3.CCY</vt:lpstr>
      <vt:lpstr>DB.RatingSummary.InnerLimits.Layer11.Cover3.USD</vt:lpstr>
      <vt:lpstr>DB.RatingSummary.InnerLimits.Layer11.Cover4.CCY</vt:lpstr>
      <vt:lpstr>DB.RatingSummary.InnerLimits.Layer11.Cover4.USD</vt:lpstr>
      <vt:lpstr>DB.RatingSummary.InnerLimits.Layer11.Cover5.CCY</vt:lpstr>
      <vt:lpstr>DB.RatingSummary.InnerLimits.Layer11.Cover5.USD</vt:lpstr>
      <vt:lpstr>DB.RatingSummary.InnerLimits.Layer11.Cover6.CCY</vt:lpstr>
      <vt:lpstr>DB.RatingSummary.InnerLimits.Layer11.Cover6.USD</vt:lpstr>
      <vt:lpstr>DB.RatingSummary.InnerLimits.Layer12.Cover1.CCY</vt:lpstr>
      <vt:lpstr>DB.RatingSummary.InnerLimits.Layer12.Cover1.USD</vt:lpstr>
      <vt:lpstr>DB.RatingSummary.InnerLimits.Layer12.Cover2.CCY</vt:lpstr>
      <vt:lpstr>DB.RatingSummary.InnerLimits.Layer12.Cover2.USD</vt:lpstr>
      <vt:lpstr>DB.RatingSummary.InnerLimits.Layer12.Cover3.CCY</vt:lpstr>
      <vt:lpstr>DB.RatingSummary.InnerLimits.Layer12.Cover3.USD</vt:lpstr>
      <vt:lpstr>DB.RatingSummary.InnerLimits.Layer12.Cover4.CCY</vt:lpstr>
      <vt:lpstr>DB.RatingSummary.InnerLimits.Layer12.Cover4.USD</vt:lpstr>
      <vt:lpstr>DB.RatingSummary.InnerLimits.Layer12.Cover5.CCY</vt:lpstr>
      <vt:lpstr>DB.RatingSummary.InnerLimits.Layer12.Cover5.USD</vt:lpstr>
      <vt:lpstr>DB.RatingSummary.InnerLimits.Layer12.Cover6.CCY</vt:lpstr>
      <vt:lpstr>DB.RatingSummary.InnerLimits.Layer12.Cover6.USD</vt:lpstr>
      <vt:lpstr>DB.RatingSummary.InnerLimits.Layer13.Cover1.CCY</vt:lpstr>
      <vt:lpstr>DB.RatingSummary.InnerLimits.Layer13.Cover1.USD</vt:lpstr>
      <vt:lpstr>DB.RatingSummary.InnerLimits.Layer13.Cover2.CCY</vt:lpstr>
      <vt:lpstr>DB.RatingSummary.InnerLimits.Layer13.Cover2.USD</vt:lpstr>
      <vt:lpstr>DB.RatingSummary.InnerLimits.Layer13.Cover3.CCY</vt:lpstr>
      <vt:lpstr>DB.RatingSummary.InnerLimits.Layer13.Cover3.USD</vt:lpstr>
      <vt:lpstr>DB.RatingSummary.InnerLimits.Layer13.Cover4.CCY</vt:lpstr>
      <vt:lpstr>DB.RatingSummary.InnerLimits.Layer13.Cover4.USD</vt:lpstr>
      <vt:lpstr>DB.RatingSummary.InnerLimits.Layer13.Cover5.CCY</vt:lpstr>
      <vt:lpstr>DB.RatingSummary.InnerLimits.Layer13.Cover5.USD</vt:lpstr>
      <vt:lpstr>DB.RatingSummary.InnerLimits.Layer13.Cover6.CCY</vt:lpstr>
      <vt:lpstr>DB.RatingSummary.InnerLimits.Layer13.Cover6.USD</vt:lpstr>
      <vt:lpstr>DB.RatingSummary.InnerLimits.Layer14.Cover1.CCY</vt:lpstr>
      <vt:lpstr>DB.RatingSummary.InnerLimits.Layer14.Cover1.USD</vt:lpstr>
      <vt:lpstr>DB.RatingSummary.InnerLimits.Layer14.Cover2.CCY</vt:lpstr>
      <vt:lpstr>DB.RatingSummary.InnerLimits.Layer14.Cover2.USD</vt:lpstr>
      <vt:lpstr>DB.RatingSummary.InnerLimits.Layer14.Cover3.CCY</vt:lpstr>
      <vt:lpstr>DB.RatingSummary.InnerLimits.Layer14.Cover3.USD</vt:lpstr>
      <vt:lpstr>DB.RatingSummary.InnerLimits.Layer14.Cover4.CCY</vt:lpstr>
      <vt:lpstr>DB.RatingSummary.InnerLimits.Layer14.Cover4.USD</vt:lpstr>
      <vt:lpstr>DB.RatingSummary.InnerLimits.Layer14.Cover5.CCY</vt:lpstr>
      <vt:lpstr>DB.RatingSummary.InnerLimits.Layer14.Cover5.USD</vt:lpstr>
      <vt:lpstr>DB.RatingSummary.InnerLimits.Layer14.Cover6.CCY</vt:lpstr>
      <vt:lpstr>DB.RatingSummary.InnerLimits.Layer14.Cover6.USD</vt:lpstr>
      <vt:lpstr>DB.RatingSummary.InnerLimits.Layer15.Cover1.CCY</vt:lpstr>
      <vt:lpstr>DB.RatingSummary.InnerLimits.Layer15.Cover1.USD</vt:lpstr>
      <vt:lpstr>DB.RatingSummary.InnerLimits.Layer15.Cover2.CCY</vt:lpstr>
      <vt:lpstr>DB.RatingSummary.InnerLimits.Layer15.Cover2.USD</vt:lpstr>
      <vt:lpstr>DB.RatingSummary.InnerLimits.Layer15.Cover3.CCY</vt:lpstr>
      <vt:lpstr>DB.RatingSummary.InnerLimits.Layer15.Cover3.USD</vt:lpstr>
      <vt:lpstr>DB.RatingSummary.InnerLimits.Layer15.Cover4.CCY</vt:lpstr>
      <vt:lpstr>DB.RatingSummary.InnerLimits.Layer15.Cover4.USD</vt:lpstr>
      <vt:lpstr>DB.RatingSummary.InnerLimits.Layer15.Cover5.CCY</vt:lpstr>
      <vt:lpstr>DB.RatingSummary.InnerLimits.Layer15.Cover5.USD</vt:lpstr>
      <vt:lpstr>DB.RatingSummary.InnerLimits.Layer15.Cover6.CCY</vt:lpstr>
      <vt:lpstr>DB.RatingSummary.InnerLimits.Layer15.Cover6.USD</vt:lpstr>
      <vt:lpstr>DB.RatingSummary.InnerLimits.Layer16.Cover1.CCY</vt:lpstr>
      <vt:lpstr>DB.RatingSummary.InnerLimits.Layer16.Cover1.USD</vt:lpstr>
      <vt:lpstr>DB.RatingSummary.InnerLimits.Layer16.Cover2.CCY</vt:lpstr>
      <vt:lpstr>DB.RatingSummary.InnerLimits.Layer16.Cover2.USD</vt:lpstr>
      <vt:lpstr>DB.RatingSummary.InnerLimits.Layer16.Cover3.CCY</vt:lpstr>
      <vt:lpstr>DB.RatingSummary.InnerLimits.Layer16.Cover3.USD</vt:lpstr>
      <vt:lpstr>DB.RatingSummary.InnerLimits.Layer16.Cover4.CCY</vt:lpstr>
      <vt:lpstr>DB.RatingSummary.InnerLimits.Layer16.Cover4.USD</vt:lpstr>
      <vt:lpstr>DB.RatingSummary.InnerLimits.Layer16.Cover5.CCY</vt:lpstr>
      <vt:lpstr>DB.RatingSummary.InnerLimits.Layer16.Cover5.USD</vt:lpstr>
      <vt:lpstr>DB.RatingSummary.InnerLimits.Layer16.Cover6.CCY</vt:lpstr>
      <vt:lpstr>DB.RatingSummary.InnerLimits.Layer16.Cover6.USD</vt:lpstr>
      <vt:lpstr>DB.RatingSummary.InnerLimits.Layer2.Cover1.CCY</vt:lpstr>
      <vt:lpstr>DB.RatingSummary.InnerLimits.Layer2.Cover1.USD</vt:lpstr>
      <vt:lpstr>DB.RatingSummary.InnerLimits.Layer2.Cover2.CCY</vt:lpstr>
      <vt:lpstr>DB.RatingSummary.InnerLimits.Layer2.Cover2.USD</vt:lpstr>
      <vt:lpstr>DB.RatingSummary.InnerLimits.Layer2.Cover3.CCY</vt:lpstr>
      <vt:lpstr>DB.RatingSummary.InnerLimits.Layer2.Cover3.USD</vt:lpstr>
      <vt:lpstr>DB.RatingSummary.InnerLimits.Layer2.Cover4.CCY</vt:lpstr>
      <vt:lpstr>DB.RatingSummary.InnerLimits.Layer2.Cover4.USD</vt:lpstr>
      <vt:lpstr>DB.RatingSummary.InnerLimits.Layer2.Cover5.CCY</vt:lpstr>
      <vt:lpstr>DB.RatingSummary.InnerLimits.Layer2.Cover5.USD</vt:lpstr>
      <vt:lpstr>DB.RatingSummary.InnerLimits.Layer2.Cover6.CCY</vt:lpstr>
      <vt:lpstr>DB.RatingSummary.InnerLimits.Layer2.Cover6.USD</vt:lpstr>
      <vt:lpstr>DB.RatingSummary.InnerLimits.Layer3.Cover1.CCY</vt:lpstr>
      <vt:lpstr>DB.RatingSummary.InnerLimits.Layer3.Cover1.USD</vt:lpstr>
      <vt:lpstr>DB.RatingSummary.InnerLimits.Layer3.Cover2.CCY</vt:lpstr>
      <vt:lpstr>DB.RatingSummary.InnerLimits.Layer3.Cover2.USD</vt:lpstr>
      <vt:lpstr>DB.RatingSummary.InnerLimits.Layer3.Cover3.CCY</vt:lpstr>
      <vt:lpstr>DB.RatingSummary.InnerLimits.Layer3.Cover3.USD</vt:lpstr>
      <vt:lpstr>DB.RatingSummary.InnerLimits.Layer3.Cover4.CCY</vt:lpstr>
      <vt:lpstr>DB.RatingSummary.InnerLimits.Layer3.Cover4.USD</vt:lpstr>
      <vt:lpstr>DB.RatingSummary.InnerLimits.Layer3.Cover5.CCY</vt:lpstr>
      <vt:lpstr>DB.RatingSummary.InnerLimits.Layer3.Cover5.USD</vt:lpstr>
      <vt:lpstr>DB.RatingSummary.InnerLimits.Layer3.Cover6.CCY</vt:lpstr>
      <vt:lpstr>DB.RatingSummary.InnerLimits.Layer3.Cover6.USD</vt:lpstr>
      <vt:lpstr>DB.RatingSummary.InnerLimits.Layer4.Cover1.CCY</vt:lpstr>
      <vt:lpstr>DB.RatingSummary.InnerLimits.Layer4.Cover1.USD</vt:lpstr>
      <vt:lpstr>DB.RatingSummary.InnerLimits.Layer4.Cover2.CCY</vt:lpstr>
      <vt:lpstr>DB.RatingSummary.InnerLimits.Layer4.Cover2.USD</vt:lpstr>
      <vt:lpstr>DB.RatingSummary.InnerLimits.Layer4.Cover3.CCY</vt:lpstr>
      <vt:lpstr>DB.RatingSummary.InnerLimits.Layer4.Cover3.USD</vt:lpstr>
      <vt:lpstr>DB.RatingSummary.InnerLimits.Layer4.Cover4.CCY</vt:lpstr>
      <vt:lpstr>DB.RatingSummary.InnerLimits.Layer4.Cover4.USD</vt:lpstr>
      <vt:lpstr>DB.RatingSummary.InnerLimits.Layer4.Cover5.CCY</vt:lpstr>
      <vt:lpstr>DB.RatingSummary.InnerLimits.Layer4.Cover5.USD</vt:lpstr>
      <vt:lpstr>DB.RatingSummary.InnerLimits.Layer4.Cover6.CCY</vt:lpstr>
      <vt:lpstr>DB.RatingSummary.InnerLimits.Layer4.Cover6.USD</vt:lpstr>
      <vt:lpstr>DB.RatingSummary.InnerLimits.Layer5.Cover1.CCY</vt:lpstr>
      <vt:lpstr>DB.RatingSummary.InnerLimits.Layer5.Cover1.USD</vt:lpstr>
      <vt:lpstr>DB.RatingSummary.InnerLimits.Layer5.Cover2.CCY</vt:lpstr>
      <vt:lpstr>DB.RatingSummary.InnerLimits.Layer5.Cover2.USD</vt:lpstr>
      <vt:lpstr>DB.RatingSummary.InnerLimits.Layer5.Cover3.CCY</vt:lpstr>
      <vt:lpstr>DB.RatingSummary.InnerLimits.Layer5.Cover3.USD</vt:lpstr>
      <vt:lpstr>DB.RatingSummary.InnerLimits.Layer5.Cover4.CCY</vt:lpstr>
      <vt:lpstr>DB.RatingSummary.InnerLimits.Layer5.Cover4.USD</vt:lpstr>
      <vt:lpstr>DB.RatingSummary.InnerLimits.Layer5.Cover5.CCY</vt:lpstr>
      <vt:lpstr>DB.RatingSummary.InnerLimits.Layer5.Cover5.USD</vt:lpstr>
      <vt:lpstr>DB.RatingSummary.InnerLimits.Layer5.Cover6.CCY</vt:lpstr>
      <vt:lpstr>DB.RatingSummary.InnerLimits.Layer5.Cover6.USD</vt:lpstr>
      <vt:lpstr>DB.RatingSummary.InnerLimits.Layer6.Cover1.CCY</vt:lpstr>
      <vt:lpstr>DB.RatingSummary.InnerLimits.Layer6.Cover1.USD</vt:lpstr>
      <vt:lpstr>DB.RatingSummary.InnerLimits.Layer6.Cover2.CCY</vt:lpstr>
      <vt:lpstr>DB.RatingSummary.InnerLimits.Layer6.Cover2.USD</vt:lpstr>
      <vt:lpstr>DB.RatingSummary.InnerLimits.Layer6.Cover3.CCY</vt:lpstr>
      <vt:lpstr>DB.RatingSummary.InnerLimits.Layer6.Cover3.USD</vt:lpstr>
      <vt:lpstr>DB.RatingSummary.InnerLimits.Layer6.Cover4.CCY</vt:lpstr>
      <vt:lpstr>DB.RatingSummary.InnerLimits.Layer6.Cover4.USD</vt:lpstr>
      <vt:lpstr>DB.RatingSummary.InnerLimits.Layer6.Cover5.CCY</vt:lpstr>
      <vt:lpstr>DB.RatingSummary.InnerLimits.Layer6.Cover5.USD</vt:lpstr>
      <vt:lpstr>DB.RatingSummary.InnerLimits.Layer6.Cover6.CCY</vt:lpstr>
      <vt:lpstr>DB.RatingSummary.InnerLimits.Layer6.Cover6.USD</vt:lpstr>
      <vt:lpstr>DB.RatingSummary.InnerLimits.Layer7.Cover1.CCY</vt:lpstr>
      <vt:lpstr>DB.RatingSummary.InnerLimits.Layer7.Cover1.USD</vt:lpstr>
      <vt:lpstr>DB.RatingSummary.InnerLimits.Layer7.Cover2.CCY</vt:lpstr>
      <vt:lpstr>DB.RatingSummary.InnerLimits.Layer7.Cover2.USD</vt:lpstr>
      <vt:lpstr>DB.RatingSummary.InnerLimits.Layer7.Cover3.CCY</vt:lpstr>
      <vt:lpstr>DB.RatingSummary.InnerLimits.Layer7.Cover3.USD</vt:lpstr>
      <vt:lpstr>DB.RatingSummary.InnerLimits.Layer7.Cover4.CCY</vt:lpstr>
      <vt:lpstr>DB.RatingSummary.InnerLimits.Layer7.Cover4.USD</vt:lpstr>
      <vt:lpstr>DB.RatingSummary.InnerLimits.Layer7.Cover5.CCY</vt:lpstr>
      <vt:lpstr>DB.RatingSummary.InnerLimits.Layer7.Cover5.USD</vt:lpstr>
      <vt:lpstr>DB.RatingSummary.InnerLimits.Layer7.Cover6.CCY</vt:lpstr>
      <vt:lpstr>DB.RatingSummary.InnerLimits.Layer7.Cover6.USD</vt:lpstr>
      <vt:lpstr>DB.RatingSummary.InnerLimits.Layer8.Cover1.CCY</vt:lpstr>
      <vt:lpstr>DB.RatingSummary.InnerLimits.Layer8.Cover1.USD</vt:lpstr>
      <vt:lpstr>DB.RatingSummary.InnerLimits.Layer8.Cover2.CCY</vt:lpstr>
      <vt:lpstr>DB.RatingSummary.InnerLimits.Layer8.Cover2.USD</vt:lpstr>
      <vt:lpstr>DB.RatingSummary.InnerLimits.Layer8.Cover3.CCY</vt:lpstr>
      <vt:lpstr>DB.RatingSummary.InnerLimits.Layer8.Cover3.USD</vt:lpstr>
      <vt:lpstr>DB.RatingSummary.InnerLimits.Layer8.Cover4.CCY</vt:lpstr>
      <vt:lpstr>DB.RatingSummary.InnerLimits.Layer8.Cover4.USD</vt:lpstr>
      <vt:lpstr>DB.RatingSummary.InnerLimits.Layer8.Cover5.CCY</vt:lpstr>
      <vt:lpstr>DB.RatingSummary.InnerLimits.Layer8.Cover5.USD</vt:lpstr>
      <vt:lpstr>DB.RatingSummary.InnerLimits.Layer8.Cover6.CCY</vt:lpstr>
      <vt:lpstr>DB.RatingSummary.InnerLimits.Layer8.Cover6.USD</vt:lpstr>
      <vt:lpstr>DB.RatingSummary.InnerLimits.Layer9.Cover1.CCY</vt:lpstr>
      <vt:lpstr>DB.RatingSummary.InnerLimits.Layer9.Cover1.USD</vt:lpstr>
      <vt:lpstr>DB.RatingSummary.InnerLimits.Layer9.Cover2.CCY</vt:lpstr>
      <vt:lpstr>DB.RatingSummary.InnerLimits.Layer9.Cover2.USD</vt:lpstr>
      <vt:lpstr>DB.RatingSummary.InnerLimits.Layer9.Cover3.CCY</vt:lpstr>
      <vt:lpstr>DB.RatingSummary.InnerLimits.Layer9.Cover3.USD</vt:lpstr>
      <vt:lpstr>DB.RatingSummary.InnerLimits.Layer9.Cover4.CCY</vt:lpstr>
      <vt:lpstr>DB.RatingSummary.InnerLimits.Layer9.Cover4.USD</vt:lpstr>
      <vt:lpstr>DB.RatingSummary.InnerLimits.Layer9.Cover5.CCY</vt:lpstr>
      <vt:lpstr>DB.RatingSummary.InnerLimits.Layer9.Cover5.USD</vt:lpstr>
      <vt:lpstr>DB.RatingSummary.InnerLimits.Layer9.Cover6.CCY</vt:lpstr>
      <vt:lpstr>DB.RatingSummary.InnerLimits.Layer9.Cover6.USD</vt:lpstr>
      <vt:lpstr>DB.RatingSummary.Layer.Layer1.CCY</vt:lpstr>
      <vt:lpstr>DB.RatingSummary.Layer.Layer10.CCY</vt:lpstr>
      <vt:lpstr>DB.RatingSummary.Layer.Layer11.CCY</vt:lpstr>
      <vt:lpstr>DB.RatingSummary.Layer.Layer12.CCY</vt:lpstr>
      <vt:lpstr>DB.RatingSummary.Layer.Layer13.CCY</vt:lpstr>
      <vt:lpstr>DB.RatingSummary.Layer.Layer14.CCY</vt:lpstr>
      <vt:lpstr>DB.RatingSummary.Layer.Layer15.CCY</vt:lpstr>
      <vt:lpstr>DB.RatingSummary.Layer.Layer16.CCY</vt:lpstr>
      <vt:lpstr>DB.RatingSummary.Layer.Layer2.CCY</vt:lpstr>
      <vt:lpstr>DB.RatingSummary.Layer.Layer3.CCY</vt:lpstr>
      <vt:lpstr>DB.RatingSummary.Layer.Layer4.CCY</vt:lpstr>
      <vt:lpstr>DB.RatingSummary.Layer.Layer5.CCY</vt:lpstr>
      <vt:lpstr>DB.RatingSummary.Layer.Layer6.CCY</vt:lpstr>
      <vt:lpstr>DB.RatingSummary.Layer.Layer7.CCY</vt:lpstr>
      <vt:lpstr>DB.RatingSummary.Layer.Layer8.CCY</vt:lpstr>
      <vt:lpstr>DB.RatingSummary.Layer.Layer9.CCY</vt:lpstr>
      <vt:lpstr>DB.RatingSummary.Limits.Layer1.Cover1.CCY</vt:lpstr>
      <vt:lpstr>DB.RatingSummary.Limits.Layer1.Cover1.USD</vt:lpstr>
      <vt:lpstr>DB.RatingSummary.Limits.Layer1.Cover2.CCY</vt:lpstr>
      <vt:lpstr>DB.RatingSummary.Limits.Layer1.Cover2.USD</vt:lpstr>
      <vt:lpstr>DB.RatingSummary.Limits.Layer1.Cover3.CCY</vt:lpstr>
      <vt:lpstr>DB.RatingSummary.Limits.Layer1.Cover3.USD</vt:lpstr>
      <vt:lpstr>DB.RatingSummary.Limits.Layer1.Cover4.CCY</vt:lpstr>
      <vt:lpstr>DB.RatingSummary.Limits.Layer1.Cover4.USD</vt:lpstr>
      <vt:lpstr>DB.RatingSummary.Limits.Layer1.Cover5.CCY</vt:lpstr>
      <vt:lpstr>DB.RatingSummary.Limits.Layer1.Cover5.USD</vt:lpstr>
      <vt:lpstr>DB.RatingSummary.Limits.Layer1.Cover6.CCY</vt:lpstr>
      <vt:lpstr>DB.RatingSummary.Limits.Layer1.Cover6.USD</vt:lpstr>
      <vt:lpstr>DB.RatingSummary.Limits.Layer10.Cover1.CCY</vt:lpstr>
      <vt:lpstr>DB.RatingSummary.Limits.Layer10.Cover1.USD</vt:lpstr>
      <vt:lpstr>DB.RatingSummary.Limits.Layer10.Cover2.CCY</vt:lpstr>
      <vt:lpstr>DB.RatingSummary.Limits.Layer10.Cover2.USD</vt:lpstr>
      <vt:lpstr>DB.RatingSummary.Limits.Layer10.Cover3.CCY</vt:lpstr>
      <vt:lpstr>DB.RatingSummary.Limits.Layer10.Cover3.USD</vt:lpstr>
      <vt:lpstr>DB.RatingSummary.Limits.Layer10.Cover4.CCY</vt:lpstr>
      <vt:lpstr>DB.RatingSummary.Limits.Layer10.Cover4.USD</vt:lpstr>
      <vt:lpstr>DB.RatingSummary.Limits.Layer10.Cover5.CCY</vt:lpstr>
      <vt:lpstr>DB.RatingSummary.Limits.Layer10.Cover5.USD</vt:lpstr>
      <vt:lpstr>DB.RatingSummary.Limits.Layer10.Cover6.CCY</vt:lpstr>
      <vt:lpstr>DB.RatingSummary.Limits.Layer10.Cover6.USD</vt:lpstr>
      <vt:lpstr>DB.RatingSummary.Limits.Layer11.Cover1.CCY</vt:lpstr>
      <vt:lpstr>DB.RatingSummary.Limits.Layer11.Cover1.USD</vt:lpstr>
      <vt:lpstr>DB.RatingSummary.Limits.Layer11.Cover2.CCY</vt:lpstr>
      <vt:lpstr>DB.RatingSummary.Limits.Layer11.Cover2.USD</vt:lpstr>
      <vt:lpstr>DB.RatingSummary.Limits.Layer11.Cover3.CCY</vt:lpstr>
      <vt:lpstr>DB.RatingSummary.Limits.Layer11.Cover3.USD</vt:lpstr>
      <vt:lpstr>DB.RatingSummary.Limits.Layer11.Cover4.CCY</vt:lpstr>
      <vt:lpstr>DB.RatingSummary.Limits.Layer11.Cover4.USD</vt:lpstr>
      <vt:lpstr>DB.RatingSummary.Limits.Layer11.Cover5.CCY</vt:lpstr>
      <vt:lpstr>DB.RatingSummary.Limits.Layer11.Cover5.USD</vt:lpstr>
      <vt:lpstr>DB.RatingSummary.Limits.Layer11.Cover6.CCY</vt:lpstr>
      <vt:lpstr>DB.RatingSummary.Limits.Layer11.Cover6.USD</vt:lpstr>
      <vt:lpstr>DB.RatingSummary.Limits.Layer12.Cover1.CCY</vt:lpstr>
      <vt:lpstr>DB.RatingSummary.Limits.Layer12.Cover1.USD</vt:lpstr>
      <vt:lpstr>DB.RatingSummary.Limits.Layer12.Cover2.CCY</vt:lpstr>
      <vt:lpstr>DB.RatingSummary.Limits.Layer12.Cover2.USD</vt:lpstr>
      <vt:lpstr>DB.RatingSummary.Limits.Layer12.Cover3.CCY</vt:lpstr>
      <vt:lpstr>DB.RatingSummary.Limits.Layer12.Cover3.USD</vt:lpstr>
      <vt:lpstr>DB.RatingSummary.Limits.Layer12.Cover4.CCY</vt:lpstr>
      <vt:lpstr>DB.RatingSummary.Limits.Layer12.Cover4.USD</vt:lpstr>
      <vt:lpstr>DB.RatingSummary.Limits.Layer12.Cover5.CCY</vt:lpstr>
      <vt:lpstr>DB.RatingSummary.Limits.Layer12.Cover5.USD</vt:lpstr>
      <vt:lpstr>DB.RatingSummary.Limits.Layer12.Cover6.CCY</vt:lpstr>
      <vt:lpstr>DB.RatingSummary.Limits.Layer12.Cover6.USD</vt:lpstr>
      <vt:lpstr>DB.RatingSummary.Limits.Layer13.Cover.CCY</vt:lpstr>
      <vt:lpstr>DB.RatingSummary.Limits.Layer13.Cover1.CCY</vt:lpstr>
      <vt:lpstr>DB.RatingSummary.Limits.Layer13.Cover1.USD</vt:lpstr>
      <vt:lpstr>DB.RatingSummary.Limits.Layer13.Cover2.CCY</vt:lpstr>
      <vt:lpstr>DB.RatingSummary.Limits.Layer13.Cover2.USD</vt:lpstr>
      <vt:lpstr>DB.RatingSummary.Limits.Layer13.Cover3.CCY</vt:lpstr>
      <vt:lpstr>DB.RatingSummary.Limits.Layer13.Cover3.USD</vt:lpstr>
      <vt:lpstr>DB.RatingSummary.Limits.Layer13.Cover4.CCY</vt:lpstr>
      <vt:lpstr>DB.RatingSummary.Limits.Layer13.Cover4.USD</vt:lpstr>
      <vt:lpstr>DB.RatingSummary.Limits.Layer13.Cover5.CCY</vt:lpstr>
      <vt:lpstr>DB.RatingSummary.Limits.Layer13.Cover5.USD</vt:lpstr>
      <vt:lpstr>DB.RatingSummary.Limits.Layer13.Cover6.CCY</vt:lpstr>
      <vt:lpstr>DB.RatingSummary.Limits.Layer13.Cover6.USD</vt:lpstr>
      <vt:lpstr>DB.RatingSummary.Limits.Layer14.Cover1.CCY</vt:lpstr>
      <vt:lpstr>DB.RatingSummary.Limits.Layer14.Cover1.USD</vt:lpstr>
      <vt:lpstr>DB.RatingSummary.Limits.Layer14.Cover2.CCY</vt:lpstr>
      <vt:lpstr>DB.RatingSummary.Limits.Layer14.Cover2.USD</vt:lpstr>
      <vt:lpstr>DB.RatingSummary.Limits.Layer14.Cover3.CCY</vt:lpstr>
      <vt:lpstr>DB.RatingSummary.Limits.Layer14.Cover3.USD</vt:lpstr>
      <vt:lpstr>DB.RatingSummary.Limits.Layer14.Cover4.CCY</vt:lpstr>
      <vt:lpstr>DB.RatingSummary.Limits.Layer14.Cover4.USD</vt:lpstr>
      <vt:lpstr>DB.RatingSummary.Limits.Layer14.Cover5.CCY</vt:lpstr>
      <vt:lpstr>DB.RatingSummary.Limits.Layer14.Cover5.USD</vt:lpstr>
      <vt:lpstr>DB.RatingSummary.Limits.Layer14.Cover6.CCY</vt:lpstr>
      <vt:lpstr>DB.RatingSummary.Limits.Layer14.Cover6.USD</vt:lpstr>
      <vt:lpstr>DB.RatingSummary.Limits.Layer15.Cover1.CCY</vt:lpstr>
      <vt:lpstr>DB.RatingSummary.Limits.Layer15.Cover1.USD</vt:lpstr>
      <vt:lpstr>DB.RatingSummary.Limits.Layer15.Cover2.CCY</vt:lpstr>
      <vt:lpstr>DB.RatingSummary.Limits.Layer15.Cover2.USD</vt:lpstr>
      <vt:lpstr>DB.RatingSummary.Limits.Layer15.Cover3.CCY</vt:lpstr>
      <vt:lpstr>DB.RatingSummary.Limits.Layer15.Cover3.USD</vt:lpstr>
      <vt:lpstr>DB.RatingSummary.Limits.Layer15.Cover4.CCY</vt:lpstr>
      <vt:lpstr>DB.RatingSummary.Limits.Layer15.Cover4.USD</vt:lpstr>
      <vt:lpstr>DB.RatingSummary.Limits.Layer15.Cover5.CCY</vt:lpstr>
      <vt:lpstr>DB.RatingSummary.Limits.Layer15.Cover5.USD</vt:lpstr>
      <vt:lpstr>DB.RatingSummary.Limits.Layer15.Cover6.CCY</vt:lpstr>
      <vt:lpstr>DB.RatingSummary.Limits.Layer15.Cover6.USD</vt:lpstr>
      <vt:lpstr>DB.RatingSummary.Limits.Layer16.Cover1.CCY</vt:lpstr>
      <vt:lpstr>DB.RatingSummary.Limits.Layer16.Cover1.USD</vt:lpstr>
      <vt:lpstr>DB.RatingSummary.Limits.Layer16.Cover2.CCY</vt:lpstr>
      <vt:lpstr>DB.RatingSummary.Limits.Layer16.Cover2.USD</vt:lpstr>
      <vt:lpstr>DB.RatingSummary.Limits.Layer16.Cover3.CCY</vt:lpstr>
      <vt:lpstr>DB.RatingSummary.Limits.Layer16.Cover3.USD</vt:lpstr>
      <vt:lpstr>DB.RatingSummary.Limits.Layer16.Cover4.CCY</vt:lpstr>
      <vt:lpstr>DB.RatingSummary.Limits.Layer16.Cover4.USD</vt:lpstr>
      <vt:lpstr>DB.RatingSummary.Limits.Layer16.Cover5.CCY</vt:lpstr>
      <vt:lpstr>DB.RatingSummary.Limits.Layer16.Cover5.USD</vt:lpstr>
      <vt:lpstr>DB.RatingSummary.Limits.Layer16.Cover6.CCY</vt:lpstr>
      <vt:lpstr>DB.RatingSummary.Limits.Layer16.Cover6.USD</vt:lpstr>
      <vt:lpstr>DB.RatingSummary.Limits.Layer2.Cover1.CCY</vt:lpstr>
      <vt:lpstr>DB.RatingSummary.Limits.Layer2.Cover1.USD</vt:lpstr>
      <vt:lpstr>DB.RatingSummary.Limits.Layer2.Cover2.CCY</vt:lpstr>
      <vt:lpstr>DB.RatingSummary.Limits.Layer2.Cover2.USD</vt:lpstr>
      <vt:lpstr>DB.RatingSummary.Limits.Layer2.Cover3.CCY</vt:lpstr>
      <vt:lpstr>DB.RatingSummary.Limits.Layer2.Cover3.USD</vt:lpstr>
      <vt:lpstr>DB.RatingSummary.Limits.Layer2.Cover4.CCY</vt:lpstr>
      <vt:lpstr>DB.RatingSummary.Limits.Layer2.Cover4.USD</vt:lpstr>
      <vt:lpstr>DB.RatingSummary.Limits.Layer2.Cover5.CCY</vt:lpstr>
      <vt:lpstr>DB.RatingSummary.Limits.Layer2.Cover5.USD</vt:lpstr>
      <vt:lpstr>DB.RatingSummary.Limits.Layer2.Cover6.CCY</vt:lpstr>
      <vt:lpstr>DB.RatingSummary.Limits.Layer2.Cover6.USD</vt:lpstr>
      <vt:lpstr>DB.RatingSummary.Limits.Layer3.Cover1.CCY</vt:lpstr>
      <vt:lpstr>DB.RatingSummary.Limits.Layer3.Cover1.USD</vt:lpstr>
      <vt:lpstr>DB.RatingSummary.Limits.Layer3.Cover2.CCY</vt:lpstr>
      <vt:lpstr>DB.RatingSummary.Limits.Layer3.Cover2.USD</vt:lpstr>
      <vt:lpstr>DB.RatingSummary.Limits.Layer3.Cover3.CCY</vt:lpstr>
      <vt:lpstr>DB.RatingSummary.Limits.Layer3.Cover3.USD</vt:lpstr>
      <vt:lpstr>DB.RatingSummary.Limits.Layer3.Cover4.CCY</vt:lpstr>
      <vt:lpstr>DB.RatingSummary.Limits.Layer3.Cover4.USD</vt:lpstr>
      <vt:lpstr>DB.RatingSummary.Limits.Layer3.Cover5.CCY</vt:lpstr>
      <vt:lpstr>DB.RatingSummary.Limits.Layer3.Cover5.USD</vt:lpstr>
      <vt:lpstr>DB.RatingSummary.Limits.Layer3.Cover6.CCY</vt:lpstr>
      <vt:lpstr>DB.RatingSummary.Limits.Layer3.Cover6.USD</vt:lpstr>
      <vt:lpstr>DB.RatingSummary.Limits.Layer4.Cover1.CCY</vt:lpstr>
      <vt:lpstr>DB.RatingSummary.Limits.Layer4.Cover1.USD</vt:lpstr>
      <vt:lpstr>DB.RatingSummary.Limits.Layer4.Cover2.CCY</vt:lpstr>
      <vt:lpstr>DB.RatingSummary.Limits.Layer4.Cover2.USD</vt:lpstr>
      <vt:lpstr>DB.RatingSummary.Limits.Layer4.Cover3.CCY</vt:lpstr>
      <vt:lpstr>DB.RatingSummary.Limits.Layer4.Cover3.USD</vt:lpstr>
      <vt:lpstr>DB.RatingSummary.Limits.Layer4.Cover4.CCY</vt:lpstr>
      <vt:lpstr>DB.RatingSummary.Limits.Layer4.Cover4.USD</vt:lpstr>
      <vt:lpstr>DB.RatingSummary.Limits.Layer4.Cover5.CCY</vt:lpstr>
      <vt:lpstr>DB.RatingSummary.Limits.Layer4.Cover5.USD</vt:lpstr>
      <vt:lpstr>DB.RatingSummary.Limits.Layer4.Cover6.CCY</vt:lpstr>
      <vt:lpstr>DB.RatingSummary.Limits.Layer4.Cover6.USD</vt:lpstr>
      <vt:lpstr>DB.RatingSummary.Limits.Layer5.Cover1.CCY</vt:lpstr>
      <vt:lpstr>DB.RatingSummary.Limits.Layer5.Cover1.USD</vt:lpstr>
      <vt:lpstr>DB.RatingSummary.Limits.Layer5.Cover2.CCY</vt:lpstr>
      <vt:lpstr>DB.RatingSummary.Limits.Layer5.Cover2.USD</vt:lpstr>
      <vt:lpstr>DB.RatingSummary.Limits.Layer5.Cover3.CCY</vt:lpstr>
      <vt:lpstr>DB.RatingSummary.Limits.Layer5.Cover3.USD</vt:lpstr>
      <vt:lpstr>DB.RatingSummary.Limits.Layer5.Cover4.CCY</vt:lpstr>
      <vt:lpstr>DB.RatingSummary.Limits.Layer5.Cover4.USD</vt:lpstr>
      <vt:lpstr>DB.RatingSummary.Limits.Layer5.Cover5.CCY</vt:lpstr>
      <vt:lpstr>DB.RatingSummary.Limits.Layer5.Cover5.USD</vt:lpstr>
      <vt:lpstr>DB.RatingSummary.Limits.Layer5.Cover6.CCY</vt:lpstr>
      <vt:lpstr>DB.RatingSummary.Limits.Layer5.Cover6.USD</vt:lpstr>
      <vt:lpstr>DB.RatingSummary.Limits.Layer6.Cover1.CCY</vt:lpstr>
      <vt:lpstr>DB.RatingSummary.Limits.Layer6.Cover1.USD</vt:lpstr>
      <vt:lpstr>DB.RatingSummary.Limits.Layer6.Cover2.CCY</vt:lpstr>
      <vt:lpstr>DB.RatingSummary.Limits.Layer6.Cover2.USD</vt:lpstr>
      <vt:lpstr>DB.RatingSummary.Limits.Layer6.Cover3.CCY</vt:lpstr>
      <vt:lpstr>DB.RatingSummary.Limits.Layer6.Cover3.USD</vt:lpstr>
      <vt:lpstr>DB.RatingSummary.Limits.Layer6.Cover4.CCY</vt:lpstr>
      <vt:lpstr>DB.RatingSummary.Limits.Layer6.Cover4.USD</vt:lpstr>
      <vt:lpstr>DB.RatingSummary.Limits.Layer6.Cover5.CCY</vt:lpstr>
      <vt:lpstr>DB.RatingSummary.Limits.Layer6.Cover5.USD</vt:lpstr>
      <vt:lpstr>DB.RatingSummary.Limits.Layer6.Cover6.CCY</vt:lpstr>
      <vt:lpstr>DB.RatingSummary.Limits.Layer6.Cover6.USD</vt:lpstr>
      <vt:lpstr>DB.RatingSummary.Limits.Layer7.Cover1.CCY</vt:lpstr>
      <vt:lpstr>DB.RatingSummary.Limits.Layer7.Cover1.USD</vt:lpstr>
      <vt:lpstr>DB.RatingSummary.Limits.Layer7.Cover2.CCY</vt:lpstr>
      <vt:lpstr>DB.RatingSummary.Limits.Layer7.Cover2.USD</vt:lpstr>
      <vt:lpstr>DB.RatingSummary.Limits.Layer7.Cover3.CCY</vt:lpstr>
      <vt:lpstr>DB.RatingSummary.Limits.Layer7.Cover3.USD</vt:lpstr>
      <vt:lpstr>DB.RatingSummary.Limits.Layer7.Cover4.CCY</vt:lpstr>
      <vt:lpstr>DB.RatingSummary.Limits.Layer7.Cover4.USD</vt:lpstr>
      <vt:lpstr>DB.RatingSummary.Limits.Layer7.Cover5.CCY</vt:lpstr>
      <vt:lpstr>DB.RatingSummary.Limits.Layer7.Cover5.USD</vt:lpstr>
      <vt:lpstr>DB.RatingSummary.Limits.Layer7.Cover6.CCY</vt:lpstr>
      <vt:lpstr>DB.RatingSummary.Limits.Layer7.Cover6.USD</vt:lpstr>
      <vt:lpstr>DB.RatingSummary.Limits.Layer8.Cover1.CCY</vt:lpstr>
      <vt:lpstr>DB.RatingSummary.Limits.Layer8.Cover1.USD</vt:lpstr>
      <vt:lpstr>DB.RatingSummary.Limits.Layer8.Cover2.CCY</vt:lpstr>
      <vt:lpstr>DB.RatingSummary.Limits.Layer8.Cover2.USD</vt:lpstr>
      <vt:lpstr>DB.RatingSummary.Limits.Layer8.Cover3.CCY</vt:lpstr>
      <vt:lpstr>DB.RatingSummary.Limits.Layer8.Cover3.USD</vt:lpstr>
      <vt:lpstr>DB.RatingSummary.Limits.Layer8.Cover4.CCY</vt:lpstr>
      <vt:lpstr>DB.RatingSummary.Limits.Layer8.Cover4.USD</vt:lpstr>
      <vt:lpstr>DB.RatingSummary.Limits.Layer8.Cover5.CCY</vt:lpstr>
      <vt:lpstr>DB.RatingSummary.Limits.Layer8.Cover5.USD</vt:lpstr>
      <vt:lpstr>DB.RatingSummary.Limits.Layer8.Cover6.CCY</vt:lpstr>
      <vt:lpstr>DB.RatingSummary.Limits.Layer8.Cover6.USD</vt:lpstr>
      <vt:lpstr>DB.RatingSummary.Limits.Layer9.Cover1.CCY</vt:lpstr>
      <vt:lpstr>DB.RatingSummary.Limits.Layer9.Cover1.USD</vt:lpstr>
      <vt:lpstr>DB.RatingSummary.Limits.Layer9.Cover2.CCY</vt:lpstr>
      <vt:lpstr>DB.RatingSummary.Limits.Layer9.Cover2.USD</vt:lpstr>
      <vt:lpstr>DB.RatingSummary.Limits.Layer9.Cover3.CCY</vt:lpstr>
      <vt:lpstr>DB.RatingSummary.Limits.Layer9.Cover3.USD</vt:lpstr>
      <vt:lpstr>DB.RatingSummary.Limits.Layer9.Cover4.CCY</vt:lpstr>
      <vt:lpstr>DB.RatingSummary.Limits.Layer9.Cover4.USD</vt:lpstr>
      <vt:lpstr>DB.RatingSummary.Limits.Layer9.Cover5.CCY</vt:lpstr>
      <vt:lpstr>DB.RatingSummary.Limits.Layer9.Cover5.USD</vt:lpstr>
      <vt:lpstr>DB.RatingSummary.Limits.Layer9.Cover6.CCY</vt:lpstr>
      <vt:lpstr>DB.RatingSummary.Limits.Layer9.Cover6.USD</vt:lpstr>
      <vt:lpstr>DB.RatingSummary.LTApc.Layer1</vt:lpstr>
      <vt:lpstr>DB.RatingSummary.LTApc.Layer1.USD</vt:lpstr>
      <vt:lpstr>DB.RatingSummary.LTApc.Layer10</vt:lpstr>
      <vt:lpstr>DB.RatingSummary.LTApc.Layer10.USD</vt:lpstr>
      <vt:lpstr>DB.RatingSummary.LTApc.Layer11</vt:lpstr>
      <vt:lpstr>DB.RatingSummary.LTApc.Layer11.USD</vt:lpstr>
      <vt:lpstr>DB.RatingSummary.LTApc.Layer12</vt:lpstr>
      <vt:lpstr>DB.RatingSummary.LTApc.Layer12.USD</vt:lpstr>
      <vt:lpstr>DB.RatingSummary.LTApc.Layer13</vt:lpstr>
      <vt:lpstr>DB.RatingSummary.LTApc.Layer13.USD</vt:lpstr>
      <vt:lpstr>DB.RatingSummary.LTApc.Layer14</vt:lpstr>
      <vt:lpstr>DB.RatingSummary.LTApc.Layer14.USD</vt:lpstr>
      <vt:lpstr>DB.RatingSummary.LTApc.Layer15</vt:lpstr>
      <vt:lpstr>DB.RatingSummary.LTApc.Layer15.USD</vt:lpstr>
      <vt:lpstr>DB.RatingSummary.LTApc.Layer16</vt:lpstr>
      <vt:lpstr>DB.RatingSummary.LTApc.Layer16.USD</vt:lpstr>
      <vt:lpstr>DB.RatingSummary.LTApc.Layer2</vt:lpstr>
      <vt:lpstr>DB.RatingSummary.LTApc.Layer2.USD</vt:lpstr>
      <vt:lpstr>DB.RatingSummary.LTApc.Layer3</vt:lpstr>
      <vt:lpstr>DB.RatingSummary.LTApc.Layer3.USD</vt:lpstr>
      <vt:lpstr>DB.RatingSummary.LTApc.Layer4</vt:lpstr>
      <vt:lpstr>DB.RatingSummary.LTApc.Layer4.USD</vt:lpstr>
      <vt:lpstr>DB.RatingSummary.LTApc.Layer5</vt:lpstr>
      <vt:lpstr>DB.RatingSummary.LTApc.Layer5.USD</vt:lpstr>
      <vt:lpstr>DB.RatingSummary.LTApc.Layer6</vt:lpstr>
      <vt:lpstr>DB.RatingSummary.LTApc.Layer6.USD</vt:lpstr>
      <vt:lpstr>DB.RatingSummary.LTApc.Layer7</vt:lpstr>
      <vt:lpstr>DB.RatingSummary.LTApc.Layer7.USD</vt:lpstr>
      <vt:lpstr>DB.RatingSummary.LTApc.Layer8</vt:lpstr>
      <vt:lpstr>DB.RatingSummary.LTApc.Layer8.USD</vt:lpstr>
      <vt:lpstr>DB.RatingSummary.LTApc.Layer9</vt:lpstr>
      <vt:lpstr>DB.RatingSummary.LTApc.Layer9.USD</vt:lpstr>
      <vt:lpstr>DB.RatingSummary.NCBpc.Layer1</vt:lpstr>
      <vt:lpstr>DB.RatingSummary.NCBpc.Layer1.USD</vt:lpstr>
      <vt:lpstr>DB.RatingSummary.NCBpc.Layer10</vt:lpstr>
      <vt:lpstr>DB.RatingSummary.NCBpc.Layer10.USD</vt:lpstr>
      <vt:lpstr>DB.RatingSummary.NCBpc.Layer11</vt:lpstr>
      <vt:lpstr>DB.RatingSummary.NCBpc.Layer11.USD</vt:lpstr>
      <vt:lpstr>DB.RatingSummary.NCBpc.Layer12</vt:lpstr>
      <vt:lpstr>DB.RatingSummary.NCBpc.Layer12.USD</vt:lpstr>
      <vt:lpstr>DB.RatingSummary.NCBpc.Layer13</vt:lpstr>
      <vt:lpstr>DB.RatingSummary.NCBpc.Layer13.USD</vt:lpstr>
      <vt:lpstr>DB.RatingSummary.NCBpc.Layer14</vt:lpstr>
      <vt:lpstr>DB.RatingSummary.NCBpc.Layer14.USD</vt:lpstr>
      <vt:lpstr>DB.RatingSummary.NCBpc.Layer15</vt:lpstr>
      <vt:lpstr>DB.RatingSummary.NCBpc.Layer15.USD</vt:lpstr>
      <vt:lpstr>DB.RatingSummary.NCBpc.Layer16</vt:lpstr>
      <vt:lpstr>DB.RatingSummary.NCBpc.Layer16.USD</vt:lpstr>
      <vt:lpstr>DB.RatingSummary.NCBpc.Layer2</vt:lpstr>
      <vt:lpstr>DB.RatingSummary.NCBpc.Layer2.USD</vt:lpstr>
      <vt:lpstr>DB.RatingSummary.NCBpc.Layer3</vt:lpstr>
      <vt:lpstr>DB.RatingSummary.NCBpc.Layer3.USD</vt:lpstr>
      <vt:lpstr>DB.RatingSummary.NCBpc.Layer4</vt:lpstr>
      <vt:lpstr>DB.RatingSummary.NCBpc.Layer4.USD</vt:lpstr>
      <vt:lpstr>DB.RatingSummary.NCBpc.Layer5</vt:lpstr>
      <vt:lpstr>DB.RatingSummary.NCBpc.Layer5.USD</vt:lpstr>
      <vt:lpstr>DB.RatingSummary.NCBpc.Layer6</vt:lpstr>
      <vt:lpstr>DB.RatingSummary.NCBpc.Layer6.USD</vt:lpstr>
      <vt:lpstr>DB.RatingSummary.NCBpc.Layer7</vt:lpstr>
      <vt:lpstr>DB.RatingSummary.NCBpc.Layer7.USD</vt:lpstr>
      <vt:lpstr>DB.RatingSummary.NCBpc.Layer8</vt:lpstr>
      <vt:lpstr>DB.RatingSummary.NCBpc.Layer8.USD</vt:lpstr>
      <vt:lpstr>DB.RatingSummary.NCBpc.Layer9</vt:lpstr>
      <vt:lpstr>DB.RatingSummary.NCBpc.Layer9.USD</vt:lpstr>
      <vt:lpstr>DB.RatingSummary.NetBenchmarkPremium.Layer1.CCY</vt:lpstr>
      <vt:lpstr>DB.RatingSummary.NetBenchmarkPremium.Layer1.USD</vt:lpstr>
      <vt:lpstr>DB.RatingSummary.NetBenchmarkPremium.Layer10.CCY</vt:lpstr>
      <vt:lpstr>DB.RatingSummary.NetBenchmarkPremium.Layer10.USD</vt:lpstr>
      <vt:lpstr>DB.RatingSummary.NetBenchmarkPremium.Layer11.CCY</vt:lpstr>
      <vt:lpstr>DB.RatingSummary.NetBenchmarkPremium.Layer11.USD</vt:lpstr>
      <vt:lpstr>DB.RatingSummary.NetBenchmarkPremium.Layer12.CCY</vt:lpstr>
      <vt:lpstr>DB.RatingSummary.NetBenchmarkPremium.Layer12.USD</vt:lpstr>
      <vt:lpstr>DB.RatingSummary.NetBenchmarkPremium.Layer13.CCY</vt:lpstr>
      <vt:lpstr>DB.RatingSummary.NetBenchmarkPremium.Layer13.USD</vt:lpstr>
      <vt:lpstr>DB.RatingSummary.NetBenchmarkPremium.Layer14.CCY</vt:lpstr>
      <vt:lpstr>DB.RatingSummary.NetBenchmarkPremium.Layer14.USD</vt:lpstr>
      <vt:lpstr>DB.RatingSummary.NetBenchmarkPremium.Layer15.CCY</vt:lpstr>
      <vt:lpstr>DB.RatingSummary.NetBenchmarkPremium.Layer15.USD</vt:lpstr>
      <vt:lpstr>DB.RatingSummary.NetBenchmarkPremium.Layer16.CCY</vt:lpstr>
      <vt:lpstr>DB.RatingSummary.NetBenchmarkPremium.Layer16.USD</vt:lpstr>
      <vt:lpstr>DB.RatingSummary.NetBenchmarkPremium.Layer2.CCY</vt:lpstr>
      <vt:lpstr>DB.RatingSummary.NetBenchmarkPremium.Layer2.USD</vt:lpstr>
      <vt:lpstr>DB.RatingSummary.NetBenchmarkPremium.Layer3.CCY</vt:lpstr>
      <vt:lpstr>DB.RatingSummary.NetBenchmarkPremium.Layer3.USD</vt:lpstr>
      <vt:lpstr>DB.RatingSummary.NetBenchmarkPremium.Layer4.CCY</vt:lpstr>
      <vt:lpstr>DB.RatingSummary.NetBenchmarkPremium.Layer4.USD</vt:lpstr>
      <vt:lpstr>DB.RatingSummary.NetBenchmarkPremium.Layer5.CCY</vt:lpstr>
      <vt:lpstr>DB.RatingSummary.NetBenchmarkPremium.Layer5.USD</vt:lpstr>
      <vt:lpstr>DB.RatingSummary.NetBenchmarkPremium.Layer6.CCY</vt:lpstr>
      <vt:lpstr>DB.RatingSummary.NetBenchmarkPremium.Layer6.USD</vt:lpstr>
      <vt:lpstr>DB.RatingSummary.NetBenchmarkPremium.Layer7.CCY</vt:lpstr>
      <vt:lpstr>DB.RatingSummary.NetBenchmarkPremium.Layer7.USD</vt:lpstr>
      <vt:lpstr>DB.RatingSummary.NetBenchmarkPremium.Layer8.CCY</vt:lpstr>
      <vt:lpstr>DB.RatingSummary.NetBenchmarkPremium.Layer8.USD</vt:lpstr>
      <vt:lpstr>DB.RatingSummary.NetBenchmarkPremium.Layer9.CCY</vt:lpstr>
      <vt:lpstr>DB.RatingSummary.NetBenchmarkPremium.Layer9.USD</vt:lpstr>
      <vt:lpstr>DB.RatingSummary.NetPremium.Layer1.CCY</vt:lpstr>
      <vt:lpstr>DB.RatingSummary.NetPremium.Layer1.USD</vt:lpstr>
      <vt:lpstr>DB.RatingSummary.NetPremium.Layer10.CCY</vt:lpstr>
      <vt:lpstr>DB.RatingSummary.NetPremium.Layer10.USD</vt:lpstr>
      <vt:lpstr>DB.RatingSummary.NetPremium.Layer11.CCY</vt:lpstr>
      <vt:lpstr>DB.RatingSummary.NetPremium.Layer11.USD</vt:lpstr>
      <vt:lpstr>DB.RatingSummary.NetPremium.Layer12.CCY</vt:lpstr>
      <vt:lpstr>DB.RatingSummary.NetPremium.Layer12.USD</vt:lpstr>
      <vt:lpstr>DB.RatingSummary.NetPremium.Layer13.CCY</vt:lpstr>
      <vt:lpstr>DB.RatingSummary.NetPremium.Layer13.USD</vt:lpstr>
      <vt:lpstr>DB.RatingSummary.NetPremium.Layer14.CCY</vt:lpstr>
      <vt:lpstr>DB.RatingSummary.NetPremium.Layer14.USD</vt:lpstr>
      <vt:lpstr>DB.RatingSummary.NetPremium.Layer15.CCY</vt:lpstr>
      <vt:lpstr>DB.RatingSummary.NetPremium.Layer15.USD</vt:lpstr>
      <vt:lpstr>DB.RatingSummary.NetPremium.Layer16.CCY</vt:lpstr>
      <vt:lpstr>DB.RatingSummary.NetPremium.Layer16.USD</vt:lpstr>
      <vt:lpstr>DB.RatingSummary.NetPremium.Layer2.CCY</vt:lpstr>
      <vt:lpstr>DB.RatingSummary.NetPremium.Layer2.USD</vt:lpstr>
      <vt:lpstr>DB.RatingSummary.NetPremium.Layer3.CCY</vt:lpstr>
      <vt:lpstr>DB.RatingSummary.NetPremium.Layer3.USD</vt:lpstr>
      <vt:lpstr>DB.RatingSummary.NetPremium.Layer4.CCY</vt:lpstr>
      <vt:lpstr>DB.RatingSummary.NetPremium.Layer4.USD</vt:lpstr>
      <vt:lpstr>DB.RatingSummary.NetPremium.Layer5.CCY</vt:lpstr>
      <vt:lpstr>DB.RatingSummary.NetPremium.Layer5.USD</vt:lpstr>
      <vt:lpstr>DB.RatingSummary.NetPremium.Layer6.CCY</vt:lpstr>
      <vt:lpstr>DB.RatingSummary.NetPremium.Layer6.USD</vt:lpstr>
      <vt:lpstr>DB.RatingSummary.NetPremium.Layer7.CCY</vt:lpstr>
      <vt:lpstr>DB.RatingSummary.NetPremium.Layer7.USD</vt:lpstr>
      <vt:lpstr>DB.RatingSummary.NetPremium.Layer8.CCY</vt:lpstr>
      <vt:lpstr>DB.RatingSummary.NetPremium.Layer8.USD</vt:lpstr>
      <vt:lpstr>DB.RatingSummary.NetPremium.Layer9.CCY</vt:lpstr>
      <vt:lpstr>DB.RatingSummary.NetPremium.Layer9.USD</vt:lpstr>
      <vt:lpstr>DB.RatingSummary.NetPremiumToBeazley.Layer1.USD</vt:lpstr>
      <vt:lpstr>DB.RatingSummary.NetPremiumToBeazley.Layer10.USD</vt:lpstr>
      <vt:lpstr>DB.RatingSummary.NetPremiumToBeazley.Layer11.USD</vt:lpstr>
      <vt:lpstr>DB.RatingSummary.NetPremiumToBeazley.Layer12.USD</vt:lpstr>
      <vt:lpstr>DB.RatingSummary.NetPremiumToBeazley.Layer13.USD</vt:lpstr>
      <vt:lpstr>DB.RatingSummary.NetPremiumToBeazley.Layer14.USD</vt:lpstr>
      <vt:lpstr>DB.RatingSummary.NetPremiumToBeazley.Layer15.USD</vt:lpstr>
      <vt:lpstr>DB.RatingSummary.NetPremiumToBeazley.Layer16.USD</vt:lpstr>
      <vt:lpstr>DB.RatingSummary.NetPremiumToBeazley.Layer2.USD</vt:lpstr>
      <vt:lpstr>DB.RatingSummary.NetPremiumToBeazley.Layer3.USD</vt:lpstr>
      <vt:lpstr>DB.RatingSummary.NetPremiumToBeazley.Layer4.USD</vt:lpstr>
      <vt:lpstr>DB.RatingSummary.NetPremiumToBeazley.Layer5.USD</vt:lpstr>
      <vt:lpstr>DB.RatingSummary.NetPremiumToBeazley.Layer6.USD</vt:lpstr>
      <vt:lpstr>DB.RatingSummary.NetPremiumToBeazley.Layer7.USD</vt:lpstr>
      <vt:lpstr>DB.RatingSummary.NetPremiumToBeazley.Layer8.USD</vt:lpstr>
      <vt:lpstr>DB.RatingSummary.NetPremiumToBeazley.Layer9.USD</vt:lpstr>
      <vt:lpstr>DB.RatingSummary.NetRoL.Layer1.CCY</vt:lpstr>
      <vt:lpstr>DB.RatingSummary.NetRoL.Layer1.USD</vt:lpstr>
      <vt:lpstr>DB.RatingSummary.NetRoL.Layer10.CCY</vt:lpstr>
      <vt:lpstr>DB.RatingSummary.NetRoL.Layer10.USD</vt:lpstr>
      <vt:lpstr>DB.RatingSummary.NetRoL.Layer11.CCY</vt:lpstr>
      <vt:lpstr>DB.RatingSummary.NetRoL.Layer11.USD</vt:lpstr>
      <vt:lpstr>DB.RatingSummary.NetRoL.Layer12.CCY</vt:lpstr>
      <vt:lpstr>DB.RatingSummary.NetRoL.Layer12.USD</vt:lpstr>
      <vt:lpstr>DB.RatingSummary.NetRoL.Layer13.CCY</vt:lpstr>
      <vt:lpstr>DB.RatingSummary.NetRoL.Layer13.USD</vt:lpstr>
      <vt:lpstr>DB.RatingSummary.NetRoL.Layer14.CCY</vt:lpstr>
      <vt:lpstr>DB.RatingSummary.NetRoL.Layer14.USD</vt:lpstr>
      <vt:lpstr>DB.RatingSummary.NetRoL.Layer15.CCY</vt:lpstr>
      <vt:lpstr>DB.RatingSummary.NetRoL.Layer15.USD</vt:lpstr>
      <vt:lpstr>DB.RatingSummary.NetRoL.Layer16.CCY</vt:lpstr>
      <vt:lpstr>DB.RatingSummary.NetRoL.Layer16.USD</vt:lpstr>
      <vt:lpstr>DB.RatingSummary.NetRoL.Layer2.CCY</vt:lpstr>
      <vt:lpstr>DB.RatingSummary.NetRoL.Layer2.USD</vt:lpstr>
      <vt:lpstr>DB.RatingSummary.NetRoL.Layer3.CCY</vt:lpstr>
      <vt:lpstr>DB.RatingSummary.NetRoL.Layer3.USD</vt:lpstr>
      <vt:lpstr>DB.RatingSummary.NetRoL.Layer4.CCY</vt:lpstr>
      <vt:lpstr>DB.RatingSummary.NetRoL.Layer4.USD</vt:lpstr>
      <vt:lpstr>DB.RatingSummary.NetRoL.Layer5.CCY</vt:lpstr>
      <vt:lpstr>DB.RatingSummary.NetRoL.Layer5.USD</vt:lpstr>
      <vt:lpstr>DB.RatingSummary.NetRoL.Layer6.CCY</vt:lpstr>
      <vt:lpstr>DB.RatingSummary.NetRoL.Layer6.USD</vt:lpstr>
      <vt:lpstr>DB.RatingSummary.NetRoL.Layer7.CCY</vt:lpstr>
      <vt:lpstr>DB.RatingSummary.NetRoL.Layer7.USD</vt:lpstr>
      <vt:lpstr>DB.RatingSummary.NetRoL.Layer8.USD</vt:lpstr>
      <vt:lpstr>DB.RatingSummary.NetRoL.Layer9.CCY</vt:lpstr>
      <vt:lpstr>DB.RatingSummary.NetRoL.Layer9.USD</vt:lpstr>
      <vt:lpstr>DB.RatingSummary.NetTechnicalPremium.Layer1.CCY</vt:lpstr>
      <vt:lpstr>DB.RatingSummary.NetTechnicalPremium.Layer1.USD</vt:lpstr>
      <vt:lpstr>DB.RatingSummary.NetTechnicalPremium.Layer10.CCY</vt:lpstr>
      <vt:lpstr>DB.RatingSummary.NetTechnicalPremium.Layer10.USD</vt:lpstr>
      <vt:lpstr>DB.RatingSummary.NetTechnicalPremium.Layer11.CCY</vt:lpstr>
      <vt:lpstr>DB.RatingSummary.NetTechnicalPremium.Layer11.USD</vt:lpstr>
      <vt:lpstr>DB.RatingSummary.NetTechnicalPremium.Layer12.CCY</vt:lpstr>
      <vt:lpstr>DB.RatingSummary.NetTechnicalPremium.Layer12.USD</vt:lpstr>
      <vt:lpstr>DB.RatingSummary.NetTechnicalPremium.Layer13.CCY</vt:lpstr>
      <vt:lpstr>DB.RatingSummary.NetTechnicalPremium.Layer13.USD</vt:lpstr>
      <vt:lpstr>DB.RatingSummary.NetTechnicalPremium.Layer14.CCY</vt:lpstr>
      <vt:lpstr>DB.RatingSummary.NetTechnicalPremium.Layer14.USD</vt:lpstr>
      <vt:lpstr>DB.RatingSummary.NetTechnicalPremium.Layer15.CCY</vt:lpstr>
      <vt:lpstr>DB.RatingSummary.NetTechnicalPremium.Layer15.USD</vt:lpstr>
      <vt:lpstr>DB.RatingSummary.NetTechnicalPremium.Layer16.CCY</vt:lpstr>
      <vt:lpstr>DB.RatingSummary.NetTechnicalPremium.Layer16.USD</vt:lpstr>
      <vt:lpstr>DB.RatingSummary.NetTechnicalPremium.Layer2.CCY</vt:lpstr>
      <vt:lpstr>DB.RatingSummary.NetTechnicalPremium.Layer2.USD</vt:lpstr>
      <vt:lpstr>DB.RatingSummary.NetTechnicalPremium.Layer3.CCY</vt:lpstr>
      <vt:lpstr>DB.RatingSummary.NetTechnicalPremium.Layer3.USD</vt:lpstr>
      <vt:lpstr>DB.RatingSummary.NetTechnicalPremium.Layer4.CCY</vt:lpstr>
      <vt:lpstr>DB.RatingSummary.NetTechnicalPremium.Layer4.USD</vt:lpstr>
      <vt:lpstr>DB.RatingSummary.NetTechnicalPremium.Layer5.CCY</vt:lpstr>
      <vt:lpstr>DB.RatingSummary.NetTechnicalPremium.Layer5.USD</vt:lpstr>
      <vt:lpstr>DB.RatingSummary.NetTechnicalPremium.Layer6.CCY</vt:lpstr>
      <vt:lpstr>DB.RatingSummary.NetTechnicalPremium.Layer6.USD</vt:lpstr>
      <vt:lpstr>DB.RatingSummary.NetTechnicalPremium.Layer7.CCY</vt:lpstr>
      <vt:lpstr>DB.RatingSummary.NetTechnicalPremium.Layer7.USD</vt:lpstr>
      <vt:lpstr>DB.RatingSummary.NetTechnicalPremium.Layer8.CCY</vt:lpstr>
      <vt:lpstr>DB.RatingSummary.NetTechnicalPremium.Layer8.USD</vt:lpstr>
      <vt:lpstr>DB.RatingSummary.NetTechnicalPremium.Layer9.CCY</vt:lpstr>
      <vt:lpstr>DB.RatingSummary.NetTechnicalPremium.Layer9.USD</vt:lpstr>
      <vt:lpstr>DB.RatingSummary.PolRef.Layer1.Crime</vt:lpstr>
      <vt:lpstr>DB.RatingSummary.PolRef.Layer1.Crime.USD</vt:lpstr>
      <vt:lpstr>DB.RatingSummary.PolRef.Layer1.DandO</vt:lpstr>
      <vt:lpstr>DB.RatingSummary.PolRef.Layer1.DandO.USD</vt:lpstr>
      <vt:lpstr>DB.RatingSummary.PolRef.Layer1.PI</vt:lpstr>
      <vt:lpstr>DB.RatingSummary.PolRef.Layer1.PI.USD</vt:lpstr>
      <vt:lpstr>DB.RatingSummary.PolRef.Layer10.Crime</vt:lpstr>
      <vt:lpstr>DB.RatingSummary.PolRef.Layer10.Crime.USD</vt:lpstr>
      <vt:lpstr>DB.RatingSummary.PolRef.Layer10.DandO</vt:lpstr>
      <vt:lpstr>DB.RatingSummary.PolRef.Layer10.DandO.USD</vt:lpstr>
      <vt:lpstr>DB.RatingSummary.PolRef.Layer10.PI</vt:lpstr>
      <vt:lpstr>DB.RatingSummary.PolRef.Layer10.PI.USD</vt:lpstr>
      <vt:lpstr>DB.RatingSummary.PolRef.Layer11.Crime</vt:lpstr>
      <vt:lpstr>DB.RatingSummary.PolRef.Layer11.Crime.USD</vt:lpstr>
      <vt:lpstr>DB.RatingSummary.PolRef.Layer11.DandO</vt:lpstr>
      <vt:lpstr>DB.RatingSummary.PolRef.Layer11.DandO.USD</vt:lpstr>
      <vt:lpstr>DB.RatingSummary.PolRef.Layer11.PI</vt:lpstr>
      <vt:lpstr>DB.RatingSummary.PolRef.Layer11.PI.USD</vt:lpstr>
      <vt:lpstr>DB.RatingSummary.PolRef.Layer12.Crime</vt:lpstr>
      <vt:lpstr>DB.RatingSummary.PolRef.Layer12.Crime.USD</vt:lpstr>
      <vt:lpstr>DB.RatingSummary.PolRef.Layer12.DandO</vt:lpstr>
      <vt:lpstr>DB.RatingSummary.PolRef.Layer12.DandO.USD</vt:lpstr>
      <vt:lpstr>DB.RatingSummary.PolRef.Layer12.PI</vt:lpstr>
      <vt:lpstr>DB.RatingSummary.PolRef.Layer12.PI.USD</vt:lpstr>
      <vt:lpstr>DB.RatingSummary.PolRef.Layer13.Crime</vt:lpstr>
      <vt:lpstr>DB.RatingSummary.PolRef.Layer13.Crime.USD</vt:lpstr>
      <vt:lpstr>DB.RatingSummary.PolRef.Layer13.DandO</vt:lpstr>
      <vt:lpstr>DB.RatingSummary.PolRef.Layer13.DandO.USD</vt:lpstr>
      <vt:lpstr>DB.RatingSummary.PolRef.Layer13.PI</vt:lpstr>
      <vt:lpstr>DB.RatingSummary.PolRef.Layer13.PI.USD</vt:lpstr>
      <vt:lpstr>DB.RatingSummary.PolRef.Layer14.Crime</vt:lpstr>
      <vt:lpstr>DB.RatingSummary.PolRef.Layer14.Crime.USD</vt:lpstr>
      <vt:lpstr>DB.RatingSummary.PolRef.Layer14.DandO</vt:lpstr>
      <vt:lpstr>DB.RatingSummary.PolRef.Layer14.DandO.USD</vt:lpstr>
      <vt:lpstr>DB.RatingSummary.PolRef.Layer14.PI</vt:lpstr>
      <vt:lpstr>DB.RatingSummary.PolRef.Layer14.PI.USD</vt:lpstr>
      <vt:lpstr>DB.RatingSummary.PolRef.Layer15.Crime</vt:lpstr>
      <vt:lpstr>DB.RatingSummary.PolRef.Layer15.Crime.USD</vt:lpstr>
      <vt:lpstr>DB.RatingSummary.PolRef.Layer15.DandO</vt:lpstr>
      <vt:lpstr>DB.RatingSummary.PolRef.Layer15.DandO.USD</vt:lpstr>
      <vt:lpstr>DB.RatingSummary.PolRef.Layer15.PI</vt:lpstr>
      <vt:lpstr>DB.RatingSummary.PolRef.Layer15.PI.USD</vt:lpstr>
      <vt:lpstr>DB.RatingSummary.PolRef.Layer16.Crime</vt:lpstr>
      <vt:lpstr>DB.RatingSummary.PolRef.Layer16.Crime.USD</vt:lpstr>
      <vt:lpstr>DB.RatingSummary.PolRef.Layer16.DandO</vt:lpstr>
      <vt:lpstr>DB.RatingSummary.PolRef.Layer16.DandO.USD</vt:lpstr>
      <vt:lpstr>DB.RatingSummary.PolRef.Layer16.PI</vt:lpstr>
      <vt:lpstr>DB.RatingSummary.PolRef.Layer16.PI.USD</vt:lpstr>
      <vt:lpstr>DB.RatingSummary.PolRef.Layer17.DandO</vt:lpstr>
      <vt:lpstr>DB.RatingSummary.PolRef.Layer2.Crime</vt:lpstr>
      <vt:lpstr>DB.RatingSummary.PolRef.Layer2.Crime.USD</vt:lpstr>
      <vt:lpstr>DB.RatingSummary.PolRef.Layer2.DandO</vt:lpstr>
      <vt:lpstr>DB.RatingSummary.PolRef.Layer2.DandO.USD</vt:lpstr>
      <vt:lpstr>DB.RatingSummary.PolRef.Layer2.PI</vt:lpstr>
      <vt:lpstr>DB.RatingSummary.PolRef.Layer2.PI.USD</vt:lpstr>
      <vt:lpstr>DB.RatingSummary.PolRef.Layer3.Crime</vt:lpstr>
      <vt:lpstr>DB.RatingSummary.PolRef.Layer3.Crime.USD</vt:lpstr>
      <vt:lpstr>DB.RatingSummary.PolRef.Layer3.DandO</vt:lpstr>
      <vt:lpstr>DB.RatingSummary.PolRef.Layer3.DandO.USD</vt:lpstr>
      <vt:lpstr>DB.RatingSummary.PolRef.Layer3.PI</vt:lpstr>
      <vt:lpstr>DB.RatingSummary.PolRef.Layer3.PI.USD</vt:lpstr>
      <vt:lpstr>DB.RatingSummary.PolRef.Layer4.Crime</vt:lpstr>
      <vt:lpstr>DB.RatingSummary.PolRef.Layer4.Crime.USD</vt:lpstr>
      <vt:lpstr>DB.RatingSummary.PolRef.Layer4.DandO</vt:lpstr>
      <vt:lpstr>DB.RatingSummary.PolRef.Layer4.DandO.USD</vt:lpstr>
      <vt:lpstr>DB.RatingSummary.PolRef.Layer4.PI</vt:lpstr>
      <vt:lpstr>DB.RatingSummary.PolRef.Layer4.PI.USD</vt:lpstr>
      <vt:lpstr>DB.RatingSummary.PolRef.Layer5.Crime</vt:lpstr>
      <vt:lpstr>DB.RatingSummary.PolRef.Layer5.Crime.USD</vt:lpstr>
      <vt:lpstr>DB.RatingSummary.PolRef.Layer5.DandO</vt:lpstr>
      <vt:lpstr>DB.RatingSummary.PolRef.Layer5.DandO.USD</vt:lpstr>
      <vt:lpstr>DB.RatingSummary.PolRef.Layer5.PI</vt:lpstr>
      <vt:lpstr>DB.RatingSummary.PolRef.Layer5.PI.USD</vt:lpstr>
      <vt:lpstr>DB.RatingSummary.PolRef.Layer6.Crime</vt:lpstr>
      <vt:lpstr>DB.RatingSummary.PolRef.Layer6.Crime.USD</vt:lpstr>
      <vt:lpstr>DB.RatingSummary.PolRef.Layer6.DandO</vt:lpstr>
      <vt:lpstr>DB.RatingSummary.PolRef.Layer6.DandO.USD</vt:lpstr>
      <vt:lpstr>DB.RatingSummary.PolRef.Layer6.PI</vt:lpstr>
      <vt:lpstr>DB.RatingSummary.PolRef.Layer6.PI.USD</vt:lpstr>
      <vt:lpstr>DB.RatingSummary.PolRef.Layer7.Crime</vt:lpstr>
      <vt:lpstr>DB.RatingSummary.PolRef.Layer7.Crime.USD</vt:lpstr>
      <vt:lpstr>DB.RatingSummary.PolRef.Layer7.DandO</vt:lpstr>
      <vt:lpstr>DB.RatingSummary.PolRef.Layer7.DandO.USD</vt:lpstr>
      <vt:lpstr>DB.RatingSummary.PolRef.Layer7.PI</vt:lpstr>
      <vt:lpstr>DB.RatingSummary.PolRef.Layer7.PI.USD</vt:lpstr>
      <vt:lpstr>DB.RatingSummary.PolRef.Layer8.Crime</vt:lpstr>
      <vt:lpstr>DB.RatingSummary.PolRef.Layer8.Crime.USD</vt:lpstr>
      <vt:lpstr>DB.RatingSummary.PolRef.Layer8.DandO</vt:lpstr>
      <vt:lpstr>DB.RatingSummary.PolRef.Layer8.DandO.USD</vt:lpstr>
      <vt:lpstr>DB.RatingSummary.PolRef.Layer8.PI</vt:lpstr>
      <vt:lpstr>DB.RatingSummary.PolRef.Layer8.PI.USD</vt:lpstr>
      <vt:lpstr>DB.RatingSummary.PolRef.Layer9.Crime</vt:lpstr>
      <vt:lpstr>DB.RatingSummary.PolRef.Layer9.Crime.USD</vt:lpstr>
      <vt:lpstr>DB.RatingSummary.PolRef.Layer9.DandO</vt:lpstr>
      <vt:lpstr>DB.RatingSummary.PolRef.Layer9.DandO.USD</vt:lpstr>
      <vt:lpstr>DB.RatingSummary.PolRef.Layer9.PI</vt:lpstr>
      <vt:lpstr>DB.RatingSummary.PolRef.Layer9.PI.USD</vt:lpstr>
      <vt:lpstr>DB.RatingSummary.PolRef2.Layer1.Crime</vt:lpstr>
      <vt:lpstr>DB.RatingSummary.PolRef2.Layer1.Crime.USD</vt:lpstr>
      <vt:lpstr>DB.RatingSummary.PolRef2.Layer1.DandO</vt:lpstr>
      <vt:lpstr>DB.RatingSummary.PolRef2.Layer1.DandO.USD</vt:lpstr>
      <vt:lpstr>DB.RatingSummary.PolRef2.Layer1.PI</vt:lpstr>
      <vt:lpstr>DB.RatingSummary.PolRef2.Layer1.PI.USD</vt:lpstr>
      <vt:lpstr>DB.RatingSummary.PolRef2.Layer10.Crime</vt:lpstr>
      <vt:lpstr>DB.RatingSummary.PolRef2.Layer10.Crime.USD</vt:lpstr>
      <vt:lpstr>DB.RatingSummary.PolRef2.Layer10.DandO</vt:lpstr>
      <vt:lpstr>DB.RatingSummary.PolRef2.Layer10.DandO.USD</vt:lpstr>
      <vt:lpstr>DB.RatingSummary.PolRef2.Layer10.PI</vt:lpstr>
      <vt:lpstr>DB.RatingSummary.PolRef2.Layer10.PI.USD</vt:lpstr>
      <vt:lpstr>DB.RatingSummary.PolRef2.Layer11.Crime</vt:lpstr>
      <vt:lpstr>DB.RatingSummary.PolRef2.Layer11.Crime.USD</vt:lpstr>
      <vt:lpstr>DB.RatingSummary.PolRef2.Layer11.DandO</vt:lpstr>
      <vt:lpstr>DB.RatingSummary.PolRef2.Layer11.DandO.USD</vt:lpstr>
      <vt:lpstr>DB.RatingSummary.PolRef2.Layer11.PI</vt:lpstr>
      <vt:lpstr>DB.RatingSummary.PolRef2.Layer11.PI.USD</vt:lpstr>
      <vt:lpstr>DB.RatingSummary.PolRef2.Layer12.Crime</vt:lpstr>
      <vt:lpstr>DB.RatingSummary.PolRef2.Layer12.Crime.USD</vt:lpstr>
      <vt:lpstr>DB.RatingSummary.PolRef2.Layer12.DandO</vt:lpstr>
      <vt:lpstr>DB.RatingSummary.PolRef2.Layer12.DandO.USD</vt:lpstr>
      <vt:lpstr>DB.RatingSummary.PolRef2.Layer12.PI</vt:lpstr>
      <vt:lpstr>DB.RatingSummary.PolRef2.Layer12.PI.USD</vt:lpstr>
      <vt:lpstr>DB.RatingSummary.PolRef2.Layer13.Crime</vt:lpstr>
      <vt:lpstr>DB.RatingSummary.PolRef2.Layer13.Crime.USD</vt:lpstr>
      <vt:lpstr>DB.RatingSummary.PolRef2.Layer13.DandO</vt:lpstr>
      <vt:lpstr>DB.RatingSummary.PolRef2.Layer13.DandO.USD</vt:lpstr>
      <vt:lpstr>DB.RatingSummary.PolRef2.Layer13.PI</vt:lpstr>
      <vt:lpstr>DB.RatingSummary.PolRef2.Layer13.PI.USD</vt:lpstr>
      <vt:lpstr>DB.RatingSummary.PolRef2.Layer14.Crime</vt:lpstr>
      <vt:lpstr>DB.RatingSummary.PolRef2.Layer14.Crime.USD</vt:lpstr>
      <vt:lpstr>DB.RatingSummary.PolRef2.Layer14.DandO</vt:lpstr>
      <vt:lpstr>DB.RatingSummary.PolRef2.Layer14.DandO.USD</vt:lpstr>
      <vt:lpstr>DB.RatingSummary.PolRef2.Layer14.PI</vt:lpstr>
      <vt:lpstr>DB.RatingSummary.PolRef2.Layer14.PI.USD</vt:lpstr>
      <vt:lpstr>DB.RatingSummary.PolRef2.Layer15.Crime</vt:lpstr>
      <vt:lpstr>DB.RatingSummary.PolRef2.Layer15.Crime.USD</vt:lpstr>
      <vt:lpstr>DB.RatingSummary.PolRef2.Layer15.DandO</vt:lpstr>
      <vt:lpstr>DB.RatingSummary.PolRef2.Layer15.DandO.USD</vt:lpstr>
      <vt:lpstr>DB.RatingSummary.PolRef2.Layer15.PI</vt:lpstr>
      <vt:lpstr>DB.RatingSummary.PolRef2.Layer15.PI.USD</vt:lpstr>
      <vt:lpstr>DB.RatingSummary.PolRef2.Layer16.Crime</vt:lpstr>
      <vt:lpstr>DB.RatingSummary.PolRef2.Layer16.Crime.USD</vt:lpstr>
      <vt:lpstr>DB.RatingSummary.PolRef2.Layer16.DandO</vt:lpstr>
      <vt:lpstr>DB.RatingSummary.PolRef2.Layer16.DandO.USD</vt:lpstr>
      <vt:lpstr>DB.RatingSummary.PolRef2.Layer16.PI</vt:lpstr>
      <vt:lpstr>DB.RatingSummary.PolRef2.Layer16.PI.USD</vt:lpstr>
      <vt:lpstr>DB.RatingSummary.PolRef2.Layer2.Crime</vt:lpstr>
      <vt:lpstr>DB.RatingSummary.PolRef2.Layer2.Crime.USD</vt:lpstr>
      <vt:lpstr>DB.RatingSummary.PolRef2.Layer2.DandO</vt:lpstr>
      <vt:lpstr>DB.RatingSummary.PolRef2.Layer2.DandO.USD</vt:lpstr>
      <vt:lpstr>DB.RatingSummary.PolRef2.Layer2.PI</vt:lpstr>
      <vt:lpstr>DB.RatingSummary.PolRef2.Layer2.PI.USD</vt:lpstr>
      <vt:lpstr>DB.RatingSummary.PolRef2.Layer3.Crime</vt:lpstr>
      <vt:lpstr>DB.RatingSummary.PolRef2.Layer3.Crime.USD</vt:lpstr>
      <vt:lpstr>DB.RatingSummary.PolRef2.Layer3.DandO</vt:lpstr>
      <vt:lpstr>DB.RatingSummary.PolRef2.Layer3.DandO.USD</vt:lpstr>
      <vt:lpstr>DB.RatingSummary.PolRef2.Layer3.PI</vt:lpstr>
      <vt:lpstr>DB.RatingSummary.PolRef2.Layer3.PI.USD</vt:lpstr>
      <vt:lpstr>DB.RatingSummary.PolRef2.Layer4.Crime</vt:lpstr>
      <vt:lpstr>DB.RatingSummary.PolRef2.Layer4.Crime.USD</vt:lpstr>
      <vt:lpstr>DB.RatingSummary.PolRef2.Layer4.DandO</vt:lpstr>
      <vt:lpstr>DB.RatingSummary.PolRef2.Layer4.DandO.USD</vt:lpstr>
      <vt:lpstr>DB.RatingSummary.PolRef2.Layer4.PI</vt:lpstr>
      <vt:lpstr>DB.RatingSummary.PolRef2.Layer4.PI.USD</vt:lpstr>
      <vt:lpstr>DB.RatingSummary.PolRef2.Layer5.Crime</vt:lpstr>
      <vt:lpstr>DB.RatingSummary.PolRef2.Layer5.Crime.USD</vt:lpstr>
      <vt:lpstr>DB.RatingSummary.PolRef2.Layer5.DandO</vt:lpstr>
      <vt:lpstr>DB.RatingSummary.PolRef2.Layer5.DandO.USD</vt:lpstr>
      <vt:lpstr>DB.RatingSummary.PolRef2.Layer5.PI</vt:lpstr>
      <vt:lpstr>DB.RatingSummary.PolRef2.Layer5.PI.USD</vt:lpstr>
      <vt:lpstr>DB.RatingSummary.PolRef2.Layer6.Crime</vt:lpstr>
      <vt:lpstr>DB.RatingSummary.PolRef2.Layer6.Crime.USD</vt:lpstr>
      <vt:lpstr>DB.RatingSummary.PolRef2.Layer6.DandO</vt:lpstr>
      <vt:lpstr>DB.RatingSummary.PolRef2.Layer6.DandO.USD</vt:lpstr>
      <vt:lpstr>DB.RatingSummary.PolRef2.Layer6.PI</vt:lpstr>
      <vt:lpstr>DB.RatingSummary.PolRef2.Layer6.PI.USD</vt:lpstr>
      <vt:lpstr>DB.RatingSummary.PolRef2.Layer7.Crime</vt:lpstr>
      <vt:lpstr>DB.RatingSummary.PolRef2.Layer7.Crime.USD</vt:lpstr>
      <vt:lpstr>DB.RatingSummary.PolRef2.Layer7.DandO</vt:lpstr>
      <vt:lpstr>DB.RatingSummary.PolRef2.Layer7.DandO.USD</vt:lpstr>
      <vt:lpstr>DB.RatingSummary.PolRef2.Layer7.PI</vt:lpstr>
      <vt:lpstr>DB.RatingSummary.PolRef2.Layer7.PI.USD</vt:lpstr>
      <vt:lpstr>DB.RatingSummary.PolRef2.Layer8.Crime</vt:lpstr>
      <vt:lpstr>DB.RatingSummary.PolRef2.Layer8.Crime.USD</vt:lpstr>
      <vt:lpstr>DB.RatingSummary.PolRef2.Layer8.DandO</vt:lpstr>
      <vt:lpstr>DB.RatingSummary.PolRef2.Layer8.DandO.USD</vt:lpstr>
      <vt:lpstr>DB.RatingSummary.PolRef2.Layer8.PI</vt:lpstr>
      <vt:lpstr>DB.RatingSummary.PolRef2.Layer8.PI.USD</vt:lpstr>
      <vt:lpstr>DB.RatingSummary.PolRef2.Layer9.Crime</vt:lpstr>
      <vt:lpstr>DB.RatingSummary.PolRef2.Layer9.Crime.USD</vt:lpstr>
      <vt:lpstr>DB.RatingSummary.PolRef2.Layer9.DandO</vt:lpstr>
      <vt:lpstr>DB.RatingSummary.PolRef2.Layer9.DandO.USD</vt:lpstr>
      <vt:lpstr>DB.RatingSummary.PolRef2.Layer9.PI</vt:lpstr>
      <vt:lpstr>DB.RatingSummary.PolRef2.Layer9.PI.USD</vt:lpstr>
      <vt:lpstr>DB.RatingSummary.RTCReinstatements.Layer1.Cover1.CCY</vt:lpstr>
      <vt:lpstr>DB.RatingSummary.RTCReinstatements.Layer1.Cover1.USD</vt:lpstr>
      <vt:lpstr>DB.RatingSummary.RTCReinstatements.Layer1.Cover2.CCY</vt:lpstr>
      <vt:lpstr>DB.RatingSummary.RTCReinstatements.Layer1.Cover2.USD</vt:lpstr>
      <vt:lpstr>DB.RatingSummary.RTCReinstatements.Layer1.Cover3.CCY</vt:lpstr>
      <vt:lpstr>DB.RatingSummary.RTCReinstatements.Layer1.Cover3.USD</vt:lpstr>
      <vt:lpstr>DB.RatingSummary.RTCReinstatements.Layer1.Cover4.CCY</vt:lpstr>
      <vt:lpstr>DB.RatingSummary.RTCReinstatements.Layer1.Cover4.USD</vt:lpstr>
      <vt:lpstr>DB.RatingSummary.RTCReinstatements.Layer1.Cover5.CCY</vt:lpstr>
      <vt:lpstr>DB.RatingSummary.RTCReinstatements.Layer1.Cover5.USD</vt:lpstr>
      <vt:lpstr>DB.RatingSummary.RTCReinstatements.Layer1.Cover6.CCY</vt:lpstr>
      <vt:lpstr>DB.RatingSummary.RTCReinstatements.Layer1.Cover6.USD</vt:lpstr>
      <vt:lpstr>DB.RatingSummary.RTCReinstatements.Layer10.Cover1.CCY</vt:lpstr>
      <vt:lpstr>DB.RatingSummary.RTCReinstatements.Layer10.Cover1.USD</vt:lpstr>
      <vt:lpstr>DB.RatingSummary.RTCReinstatements.Layer10.Cover2.CCY</vt:lpstr>
      <vt:lpstr>DB.RatingSummary.RTCReinstatements.Layer10.Cover2.USD</vt:lpstr>
      <vt:lpstr>DB.RatingSummary.RTCReinstatements.Layer10.Cover3.CCY</vt:lpstr>
      <vt:lpstr>DB.RatingSummary.RTCReinstatements.Layer10.Cover3.USD</vt:lpstr>
      <vt:lpstr>DB.RatingSummary.RTCReinstatements.Layer10.Cover4.CCY</vt:lpstr>
      <vt:lpstr>DB.RatingSummary.RTCReinstatements.Layer10.Cover4.USD</vt:lpstr>
      <vt:lpstr>DB.RatingSummary.RTCReinstatements.Layer10.Cover5.CCY</vt:lpstr>
      <vt:lpstr>DB.RatingSummary.RTCReinstatements.Layer10.Cover5.USD</vt:lpstr>
      <vt:lpstr>DB.RatingSummary.RTCReinstatements.Layer10.Cover6.CCY</vt:lpstr>
      <vt:lpstr>DB.RatingSummary.RTCReinstatements.Layer10.Cover6.USD</vt:lpstr>
      <vt:lpstr>DB.RatingSummary.RTCReinstatements.Layer11.Cover1.CCY</vt:lpstr>
      <vt:lpstr>DB.RatingSummary.RTCReinstatements.Layer11.Cover1.USD</vt:lpstr>
      <vt:lpstr>DB.RatingSummary.RTCReinstatements.Layer11.Cover2.CCY</vt:lpstr>
      <vt:lpstr>DB.RatingSummary.RTCReinstatements.Layer11.Cover2.USD</vt:lpstr>
      <vt:lpstr>DB.RatingSummary.RTCReinstatements.Layer11.Cover3.CCY</vt:lpstr>
      <vt:lpstr>DB.RatingSummary.RTCReinstatements.Layer11.Cover3.USD</vt:lpstr>
      <vt:lpstr>DB.RatingSummary.RTCReinstatements.Layer11.Cover4.CCY</vt:lpstr>
      <vt:lpstr>DB.RatingSummary.RTCReinstatements.Layer11.Cover4.USD</vt:lpstr>
      <vt:lpstr>DB.RatingSummary.RTCReinstatements.Layer11.Cover5.CCY</vt:lpstr>
      <vt:lpstr>DB.RatingSummary.RTCReinstatements.Layer11.Cover5.USD</vt:lpstr>
      <vt:lpstr>DB.RatingSummary.RTCReinstatements.Layer11.Cover6.CCY</vt:lpstr>
      <vt:lpstr>DB.RatingSummary.RTCReinstatements.Layer11.Cover6.USD</vt:lpstr>
      <vt:lpstr>DB.RatingSummary.RTCReinstatements.Layer12.Cover1.CCY</vt:lpstr>
      <vt:lpstr>DB.RatingSummary.RTCReinstatements.Layer12.Cover1.USD</vt:lpstr>
      <vt:lpstr>DB.RatingSummary.RTCReinstatements.Layer12.Cover2.CCY</vt:lpstr>
      <vt:lpstr>DB.RatingSummary.RTCReinstatements.Layer12.Cover2.USD</vt:lpstr>
      <vt:lpstr>DB.RatingSummary.RTCReinstatements.Layer12.Cover3.CCY</vt:lpstr>
      <vt:lpstr>DB.RatingSummary.RTCReinstatements.Layer12.Cover3.USD</vt:lpstr>
      <vt:lpstr>DB.RatingSummary.RTCReinstatements.Layer12.Cover4.CCY</vt:lpstr>
      <vt:lpstr>DB.RatingSummary.RTCReinstatements.Layer12.Cover4.USD</vt:lpstr>
      <vt:lpstr>DB.RatingSummary.RTCReinstatements.Layer12.Cover5.CCY</vt:lpstr>
      <vt:lpstr>DB.RatingSummary.RTCReinstatements.Layer12.Cover5.USD</vt:lpstr>
      <vt:lpstr>DB.RatingSummary.RTCReinstatements.Layer12.Cover6.CCY</vt:lpstr>
      <vt:lpstr>DB.RatingSummary.RTCReinstatements.Layer12.Cover6.USD</vt:lpstr>
      <vt:lpstr>DB.RatingSummary.RTCReinstatements.Layer13.Cover1.CCY</vt:lpstr>
      <vt:lpstr>DB.RatingSummary.RTCReinstatements.Layer13.Cover1.USD</vt:lpstr>
      <vt:lpstr>DB.RatingSummary.RTCReinstatements.Layer13.Cover2.CCY</vt:lpstr>
      <vt:lpstr>DB.RatingSummary.RTCReinstatements.Layer13.Cover2.USD</vt:lpstr>
      <vt:lpstr>DB.RatingSummary.RTCReinstatements.Layer13.Cover3.CCY</vt:lpstr>
      <vt:lpstr>DB.RatingSummary.RTCReinstatements.Layer13.Cover3.USD</vt:lpstr>
      <vt:lpstr>DB.RatingSummary.RTCReinstatements.Layer13.Cover4.CCY</vt:lpstr>
      <vt:lpstr>DB.RatingSummary.RTCReinstatements.Layer13.Cover4.USD</vt:lpstr>
      <vt:lpstr>DB.RatingSummary.RTCReinstatements.Layer13.Cover5.CCY</vt:lpstr>
      <vt:lpstr>DB.RatingSummary.RTCReinstatements.Layer13.Cover5.USD</vt:lpstr>
      <vt:lpstr>DB.RatingSummary.RTCReinstatements.Layer13.Cover6.CCY</vt:lpstr>
      <vt:lpstr>DB.RatingSummary.RTCReinstatements.Layer13.Cover6.USD</vt:lpstr>
      <vt:lpstr>DB.RatingSummary.RTCReinstatements.Layer14.Cover1.CCY</vt:lpstr>
      <vt:lpstr>DB.RatingSummary.RTCReinstatements.Layer14.Cover1.USD</vt:lpstr>
      <vt:lpstr>DB.RatingSummary.RTCReinstatements.Layer14.Cover2.CCY</vt:lpstr>
      <vt:lpstr>DB.RatingSummary.RTCReinstatements.Layer14.Cover2.USD</vt:lpstr>
      <vt:lpstr>DB.RatingSummary.RTCReinstatements.Layer14.Cover3.CCY</vt:lpstr>
      <vt:lpstr>DB.RatingSummary.RTCReinstatements.Layer14.Cover3.USD</vt:lpstr>
      <vt:lpstr>DB.RatingSummary.RTCReinstatements.Layer14.Cover4.CCY</vt:lpstr>
      <vt:lpstr>DB.RatingSummary.RTCReinstatements.Layer14.Cover4.USD</vt:lpstr>
      <vt:lpstr>DB.RatingSummary.RTCReinstatements.Layer14.Cover5.CCY</vt:lpstr>
      <vt:lpstr>DB.RatingSummary.RTCReinstatements.Layer14.Cover5.USD</vt:lpstr>
      <vt:lpstr>DB.RatingSummary.RTCReinstatements.Layer14.Cover6.CCY</vt:lpstr>
      <vt:lpstr>DB.RatingSummary.RTCReinstatements.Layer14.Cover6.USD</vt:lpstr>
      <vt:lpstr>DB.RatingSummary.RTCReinstatements.Layer15.Cover1.CCY</vt:lpstr>
      <vt:lpstr>DB.RatingSummary.RTCReinstatements.Layer15.Cover1.USD</vt:lpstr>
      <vt:lpstr>DB.RatingSummary.RTCReinstatements.Layer15.Cover2.CCY</vt:lpstr>
      <vt:lpstr>DB.RatingSummary.RTCReinstatements.Layer15.Cover2.USD</vt:lpstr>
      <vt:lpstr>DB.RatingSummary.RTCReinstatements.Layer15.Cover3.CCY</vt:lpstr>
      <vt:lpstr>DB.RatingSummary.RTCReinstatements.Layer15.Cover3.USD</vt:lpstr>
      <vt:lpstr>DB.RatingSummary.RTCReinstatements.Layer15.Cover4.CCY</vt:lpstr>
      <vt:lpstr>DB.RatingSummary.RTCReinstatements.Layer15.Cover4.USD</vt:lpstr>
      <vt:lpstr>DB.RatingSummary.RTCReinstatements.Layer15.Cover5.CCY</vt:lpstr>
      <vt:lpstr>DB.RatingSummary.RTCReinstatements.Layer15.Cover5.USD</vt:lpstr>
      <vt:lpstr>DB.RatingSummary.RTCReinstatements.Layer15.Cover6.CCY</vt:lpstr>
      <vt:lpstr>DB.RatingSummary.RTCReinstatements.Layer15.Cover6.USD</vt:lpstr>
      <vt:lpstr>DB.RatingSummary.RTCReinstatements.Layer16.Cover1.CCY</vt:lpstr>
      <vt:lpstr>DB.RatingSummary.RTCReinstatements.Layer16.Cover1.USD</vt:lpstr>
      <vt:lpstr>DB.RatingSummary.RTCReinstatements.Layer16.Cover2.CCY</vt:lpstr>
      <vt:lpstr>DB.RatingSummary.RTCReinstatements.Layer16.Cover2.USD</vt:lpstr>
      <vt:lpstr>DB.RatingSummary.RTCReinstatements.Layer16.Cover3.CCY</vt:lpstr>
      <vt:lpstr>DB.RatingSummary.RTCReinstatements.Layer16.Cover3.USD</vt:lpstr>
      <vt:lpstr>DB.RatingSummary.RTCReinstatements.Layer16.Cover4.CCY</vt:lpstr>
      <vt:lpstr>DB.RatingSummary.RTCReinstatements.Layer16.Cover4.USD</vt:lpstr>
      <vt:lpstr>DB.RatingSummary.RTCReinstatements.Layer16.Cover5.CCY</vt:lpstr>
      <vt:lpstr>DB.RatingSummary.RTCReinstatements.Layer16.Cover5.USD</vt:lpstr>
      <vt:lpstr>DB.RatingSummary.RTCReinstatements.Layer16.Cover6.CCY</vt:lpstr>
      <vt:lpstr>DB.RatingSummary.RTCReinstatements.Layer16.Cover6.USD</vt:lpstr>
      <vt:lpstr>DB.RatingSummary.RTCReinstatements.Layer2.Cover1.CCY</vt:lpstr>
      <vt:lpstr>DB.RatingSummary.RTCReinstatements.Layer2.Cover1.USD</vt:lpstr>
      <vt:lpstr>DB.RatingSummary.RTCReinstatements.Layer2.Cover2.CCY</vt:lpstr>
      <vt:lpstr>DB.RatingSummary.RTCReinstatements.Layer2.Cover2.USD</vt:lpstr>
      <vt:lpstr>DB.RatingSummary.RTCReinstatements.Layer2.Cover3.CCY</vt:lpstr>
      <vt:lpstr>DB.RatingSummary.RTCReinstatements.Layer2.Cover3.USD</vt:lpstr>
      <vt:lpstr>DB.RatingSummary.RTCReinstatements.Layer2.Cover4.CCY</vt:lpstr>
      <vt:lpstr>DB.RatingSummary.RTCReinstatements.Layer2.Cover4.USD</vt:lpstr>
      <vt:lpstr>DB.RatingSummary.RTCReinstatements.Layer2.Cover5.CCY</vt:lpstr>
      <vt:lpstr>DB.RatingSummary.RTCReinstatements.Layer2.Cover5.USD</vt:lpstr>
      <vt:lpstr>DB.RatingSummary.RTCReinstatements.Layer2.Cover6.CCY</vt:lpstr>
      <vt:lpstr>DB.RatingSummary.RTCReinstatements.Layer2.Cover6.USD</vt:lpstr>
      <vt:lpstr>DB.RatingSummary.RTCReinstatements.Layer3.Cover1.CCY</vt:lpstr>
      <vt:lpstr>DB.RatingSummary.RTCReinstatements.Layer3.Cover1.USD</vt:lpstr>
      <vt:lpstr>DB.RatingSummary.RTCReinstatements.Layer3.Cover2.CCY</vt:lpstr>
      <vt:lpstr>DB.RatingSummary.RTCReinstatements.Layer3.Cover2.USD</vt:lpstr>
      <vt:lpstr>DB.RatingSummary.RTCReinstatements.Layer3.Cover3.CCY</vt:lpstr>
      <vt:lpstr>DB.RatingSummary.RTCReinstatements.Layer3.Cover3.USD</vt:lpstr>
      <vt:lpstr>DB.RatingSummary.RTCReinstatements.Layer3.Cover4.CCY</vt:lpstr>
      <vt:lpstr>DB.RatingSummary.RTCReinstatements.Layer3.Cover4.USD</vt:lpstr>
      <vt:lpstr>DB.RatingSummary.RTCReinstatements.Layer3.Cover5.CCY</vt:lpstr>
      <vt:lpstr>DB.RatingSummary.RTCReinstatements.Layer3.Cover5.USD</vt:lpstr>
      <vt:lpstr>DB.RatingSummary.RTCReinstatements.Layer3.Cover6.CCY</vt:lpstr>
      <vt:lpstr>DB.RatingSummary.RTCReinstatements.Layer3.Cover6.USD</vt:lpstr>
      <vt:lpstr>DB.RatingSummary.RTCReinstatements.Layer4.Cover1.CCY</vt:lpstr>
      <vt:lpstr>DB.RatingSummary.RTCReinstatements.Layer4.Cover1.USD</vt:lpstr>
      <vt:lpstr>DB.RatingSummary.RTCReinstatements.Layer4.Cover2.CCY</vt:lpstr>
      <vt:lpstr>DB.RatingSummary.RTCReinstatements.Layer4.Cover2.USD</vt:lpstr>
      <vt:lpstr>DB.RatingSummary.RTCReinstatements.Layer4.Cover3.CCY</vt:lpstr>
      <vt:lpstr>DB.RatingSummary.RTCReinstatements.Layer4.Cover3.USD</vt:lpstr>
      <vt:lpstr>DB.RatingSummary.RTCReinstatements.Layer4.Cover4.CCY</vt:lpstr>
      <vt:lpstr>DB.RatingSummary.RTCReinstatements.Layer4.Cover4.USD</vt:lpstr>
      <vt:lpstr>DB.RatingSummary.RTCReinstatements.Layer4.Cover5.CCY</vt:lpstr>
      <vt:lpstr>DB.RatingSummary.RTCReinstatements.Layer4.Cover5.USD</vt:lpstr>
      <vt:lpstr>DB.RatingSummary.RTCReinstatements.Layer4.Cover6.CCY</vt:lpstr>
      <vt:lpstr>DB.RatingSummary.RTCReinstatements.Layer4.Cover6.USD</vt:lpstr>
      <vt:lpstr>DB.RatingSummary.RTCReinstatements.Layer5.Cover1.CCY</vt:lpstr>
      <vt:lpstr>DB.RatingSummary.RTCReinstatements.Layer5.Cover1.USD</vt:lpstr>
      <vt:lpstr>DB.RatingSummary.RTCReinstatements.Layer5.Cover2.CCY</vt:lpstr>
      <vt:lpstr>DB.RatingSummary.RTCReinstatements.Layer5.Cover2.USD</vt:lpstr>
      <vt:lpstr>DB.RatingSummary.RTCReinstatements.Layer5.Cover3.CCY</vt:lpstr>
      <vt:lpstr>DB.RatingSummary.RTCReinstatements.Layer5.Cover3.USD</vt:lpstr>
      <vt:lpstr>DB.RatingSummary.RTCReinstatements.Layer5.Cover4.CCY</vt:lpstr>
      <vt:lpstr>DB.RatingSummary.RTCReinstatements.Layer5.Cover4.USD</vt:lpstr>
      <vt:lpstr>DB.RatingSummary.RTCReinstatements.Layer5.Cover5.CCY</vt:lpstr>
      <vt:lpstr>DB.RatingSummary.RTCReinstatements.Layer5.Cover5.USD</vt:lpstr>
      <vt:lpstr>DB.RatingSummary.RTCReinstatements.Layer5.Cover6.CCY</vt:lpstr>
      <vt:lpstr>DB.RatingSummary.RTCReinstatements.Layer5.Cover6.USD</vt:lpstr>
      <vt:lpstr>DB.RatingSummary.RTCReinstatements.Layer6.Cover1.CCY</vt:lpstr>
      <vt:lpstr>DB.RatingSummary.RTCReinstatements.Layer6.Cover1.USD</vt:lpstr>
      <vt:lpstr>DB.RatingSummary.RTCReinstatements.Layer6.Cover2.CCY</vt:lpstr>
      <vt:lpstr>DB.RatingSummary.RTCReinstatements.Layer6.Cover2.USD</vt:lpstr>
      <vt:lpstr>DB.RatingSummary.RTCReinstatements.Layer6.Cover3.CCY</vt:lpstr>
      <vt:lpstr>DB.RatingSummary.RTCReinstatements.Layer6.Cover3.USD</vt:lpstr>
      <vt:lpstr>DB.RatingSummary.RTCReinstatements.Layer6.Cover4.CCY</vt:lpstr>
      <vt:lpstr>DB.RatingSummary.RTCReinstatements.Layer6.Cover4.USD</vt:lpstr>
      <vt:lpstr>DB.RatingSummary.RTCReinstatements.Layer6.Cover5.CCY</vt:lpstr>
      <vt:lpstr>DB.RatingSummary.RTCReinstatements.Layer6.Cover5.USD</vt:lpstr>
      <vt:lpstr>DB.RatingSummary.RTCReinstatements.Layer6.Cover6.CCY</vt:lpstr>
      <vt:lpstr>DB.RatingSummary.RTCReinstatements.Layer6.Cover6.USD</vt:lpstr>
      <vt:lpstr>DB.RatingSummary.RTCReinstatements.Layer7.Cover1.CCY</vt:lpstr>
      <vt:lpstr>DB.RatingSummary.RTCReinstatements.Layer7.Cover1.USD</vt:lpstr>
      <vt:lpstr>DB.RatingSummary.RTCReinstatements.Layer7.Cover2.CCY</vt:lpstr>
      <vt:lpstr>DB.RatingSummary.RTCReinstatements.Layer7.Cover2.USD</vt:lpstr>
      <vt:lpstr>DB.RatingSummary.RTCReinstatements.Layer7.Cover3.CCY</vt:lpstr>
      <vt:lpstr>DB.RatingSummary.RTCReinstatements.Layer7.Cover3.USD</vt:lpstr>
      <vt:lpstr>DB.RatingSummary.RTCReinstatements.Layer7.Cover4.CCY</vt:lpstr>
      <vt:lpstr>DB.RatingSummary.RTCReinstatements.Layer7.Cover4.USD</vt:lpstr>
      <vt:lpstr>DB.RatingSummary.RTCReinstatements.Layer7.Cover5.CCY</vt:lpstr>
      <vt:lpstr>DB.RatingSummary.RTCReinstatements.Layer7.Cover5.USD</vt:lpstr>
      <vt:lpstr>DB.RatingSummary.RTCReinstatements.Layer7.Cover6.CCY</vt:lpstr>
      <vt:lpstr>DB.RatingSummary.RTCReinstatements.Layer7.Cover6.USD</vt:lpstr>
      <vt:lpstr>DB.RatingSummary.RTCReinstatements.Layer8.Cover1.CCY</vt:lpstr>
      <vt:lpstr>DB.RatingSummary.RTCReinstatements.Layer8.Cover1.USD</vt:lpstr>
      <vt:lpstr>DB.RatingSummary.RTCReinstatements.Layer8.Cover2.CCY</vt:lpstr>
      <vt:lpstr>DB.RatingSummary.RTCReinstatements.Layer8.Cover2.USD</vt:lpstr>
      <vt:lpstr>DB.RatingSummary.RTCReinstatements.Layer8.Cover3.CCY</vt:lpstr>
      <vt:lpstr>DB.RatingSummary.RTCReinstatements.Layer8.Cover3.USD</vt:lpstr>
      <vt:lpstr>DB.RatingSummary.RTCReinstatements.Layer8.Cover4.CCY</vt:lpstr>
      <vt:lpstr>DB.RatingSummary.RTCReinstatements.Layer8.Cover4.USD</vt:lpstr>
      <vt:lpstr>DB.RatingSummary.RTCReinstatements.Layer8.Cover5.CCY</vt:lpstr>
      <vt:lpstr>DB.RatingSummary.RTCReinstatements.Layer8.Cover5.USD</vt:lpstr>
      <vt:lpstr>DB.RatingSummary.RTCReinstatements.Layer8.Cover6.CCY</vt:lpstr>
      <vt:lpstr>DB.RatingSummary.RTCReinstatements.Layer8.Cover6.USD</vt:lpstr>
      <vt:lpstr>DB.RatingSummary.RTCReinstatements.Layer9.Cover1.CCY</vt:lpstr>
      <vt:lpstr>DB.RatingSummary.RTCReinstatements.Layer9.Cover1.USD</vt:lpstr>
      <vt:lpstr>DB.RatingSummary.RTCReinstatements.Layer9.Cover2.CCY</vt:lpstr>
      <vt:lpstr>DB.RatingSummary.RTCReinstatements.Layer9.Cover2.USD</vt:lpstr>
      <vt:lpstr>DB.RatingSummary.RTCReinstatements.Layer9.Cover3.CCY</vt:lpstr>
      <vt:lpstr>DB.RatingSummary.RTCReinstatements.Layer9.Cover3.USD</vt:lpstr>
      <vt:lpstr>DB.RatingSummary.RTCReinstatements.Layer9.Cover4.CCY</vt:lpstr>
      <vt:lpstr>DB.RatingSummary.RTCReinstatements.Layer9.Cover4.USD</vt:lpstr>
      <vt:lpstr>DB.RatingSummary.RTCReinstatements.Layer9.Cover5.CCY</vt:lpstr>
      <vt:lpstr>DB.RatingSummary.RTCReinstatements.Layer9.Cover5.USD</vt:lpstr>
      <vt:lpstr>DB.RatingSummary.RTCReinstatements.Layer9.Cover6.CCY</vt:lpstr>
      <vt:lpstr>DB.RatingSummary.RTCReinstatements.Layer9.Cover6.USD</vt:lpstr>
      <vt:lpstr>DB.RatingSummary.SlipLead.Layer1</vt:lpstr>
      <vt:lpstr>DB.RatingSummary.SlipLead.Layer1.USD</vt:lpstr>
      <vt:lpstr>DB.RatingSummary.SlipLead.Layer10</vt:lpstr>
      <vt:lpstr>DB.RatingSummary.SlipLead.Layer10.USD</vt:lpstr>
      <vt:lpstr>DB.RatingSummary.SlipLead.Layer11</vt:lpstr>
      <vt:lpstr>DB.RatingSummary.SlipLead.Layer11.USD</vt:lpstr>
      <vt:lpstr>DB.RatingSummary.SlipLead.Layer12</vt:lpstr>
      <vt:lpstr>DB.RatingSummary.SlipLead.Layer12.USD</vt:lpstr>
      <vt:lpstr>DB.RatingSummary.SlipLead.Layer13</vt:lpstr>
      <vt:lpstr>DB.RatingSummary.SlipLead.Layer13.USD</vt:lpstr>
      <vt:lpstr>DB.RatingSummary.SlipLead.Layer14</vt:lpstr>
      <vt:lpstr>DB.RatingSummary.SlipLead.Layer14.USD</vt:lpstr>
      <vt:lpstr>DB.RatingSummary.SlipLead.Layer15</vt:lpstr>
      <vt:lpstr>DB.RatingSummary.SlipLead.Layer15.USD</vt:lpstr>
      <vt:lpstr>DB.RatingSummary.SlipLead.Layer16</vt:lpstr>
      <vt:lpstr>DB.RatingSummary.SlipLead.Layer16.USD</vt:lpstr>
      <vt:lpstr>DB.RatingSummary.SlipLead.Layer2</vt:lpstr>
      <vt:lpstr>DB.RatingSummary.SlipLead.Layer2.USD</vt:lpstr>
      <vt:lpstr>DB.RatingSummary.SlipLead.Layer3</vt:lpstr>
      <vt:lpstr>DB.RatingSummary.SlipLead.Layer3.USD</vt:lpstr>
      <vt:lpstr>DB.RatingSummary.SlipLead.Layer4</vt:lpstr>
      <vt:lpstr>DB.RatingSummary.SlipLead.Layer4.USD</vt:lpstr>
      <vt:lpstr>DB.RatingSummary.SlipLead.Layer5</vt:lpstr>
      <vt:lpstr>DB.RatingSummary.SlipLead.Layer5.USD</vt:lpstr>
      <vt:lpstr>DB.RatingSummary.SlipLead.Layer6</vt:lpstr>
      <vt:lpstr>DB.RatingSummary.SlipLead.Layer6.USD</vt:lpstr>
      <vt:lpstr>DB.RatingSummary.SlipLead.Layer7</vt:lpstr>
      <vt:lpstr>DB.RatingSummary.SlipLead.Layer7.USD</vt:lpstr>
      <vt:lpstr>DB.RatingSummary.SlipLead.Layer8</vt:lpstr>
      <vt:lpstr>DB.RatingSummary.SlipLead.Layer8.USD</vt:lpstr>
      <vt:lpstr>DB.RatingSummary.SlipLead.Layer9</vt:lpstr>
      <vt:lpstr>DB.RatingSummary.SlipLead.Layer9.USD</vt:lpstr>
      <vt:lpstr>DB.RatingSummary.Status.Layer1</vt:lpstr>
      <vt:lpstr>DB.RatingSummary.Status.Layer1.USD</vt:lpstr>
      <vt:lpstr>DB.RatingSummary.Status.Layer10</vt:lpstr>
      <vt:lpstr>DB.RatingSummary.Status.Layer10.USD</vt:lpstr>
      <vt:lpstr>DB.RatingSummary.Status.Layer11</vt:lpstr>
      <vt:lpstr>DB.RatingSummary.Status.Layer11.USD</vt:lpstr>
      <vt:lpstr>DB.RatingSummary.Status.Layer12</vt:lpstr>
      <vt:lpstr>DB.RatingSummary.Status.Layer12.USD</vt:lpstr>
      <vt:lpstr>DB.RatingSummary.Status.Layer13</vt:lpstr>
      <vt:lpstr>DB.RatingSummary.Status.Layer13.USD</vt:lpstr>
      <vt:lpstr>DB.RatingSummary.Status.Layer14</vt:lpstr>
      <vt:lpstr>DB.RatingSummary.Status.Layer14.USD</vt:lpstr>
      <vt:lpstr>DB.RatingSummary.Status.Layer15</vt:lpstr>
      <vt:lpstr>DB.RatingSummary.Status.Layer15.USD</vt:lpstr>
      <vt:lpstr>DB.RatingSummary.Status.Layer16</vt:lpstr>
      <vt:lpstr>DB.RatingSummary.Status.Layer16.USD</vt:lpstr>
      <vt:lpstr>DB.RatingSummary.Status.Layer2</vt:lpstr>
      <vt:lpstr>DB.RatingSummary.Status.Layer2.USD</vt:lpstr>
      <vt:lpstr>DB.RatingSummary.Status.Layer3</vt:lpstr>
      <vt:lpstr>DB.RatingSummary.Status.Layer3.USD</vt:lpstr>
      <vt:lpstr>DB.RatingSummary.Status.Layer4</vt:lpstr>
      <vt:lpstr>DB.RatingSummary.Status.Layer4.USD</vt:lpstr>
      <vt:lpstr>DB.RatingSummary.Status.Layer5</vt:lpstr>
      <vt:lpstr>DB.RatingSummary.Status.Layer5.USD</vt:lpstr>
      <vt:lpstr>DB.RatingSummary.Status.Layer6</vt:lpstr>
      <vt:lpstr>DB.RatingSummary.Status.Layer6.USD</vt:lpstr>
      <vt:lpstr>DB.RatingSummary.Status.Layer7</vt:lpstr>
      <vt:lpstr>DB.RatingSummary.Status.Layer7.USD</vt:lpstr>
      <vt:lpstr>DB.RatingSummary.Status.Layer8</vt:lpstr>
      <vt:lpstr>DB.RatingSummary.Status.Layer8.USD</vt:lpstr>
      <vt:lpstr>DB.RatingSummary.Status.Layer9</vt:lpstr>
      <vt:lpstr>DB.RatingSummary.Status.Layer9.USD</vt:lpstr>
      <vt:lpstr>DB.RatingSummary.TPIpc.Layer1</vt:lpstr>
      <vt:lpstr>DB.RatingSummary.TPIpc.Layer1.USD</vt:lpstr>
      <vt:lpstr>DB.RatingSummary.TPIpc.Layer10</vt:lpstr>
      <vt:lpstr>DB.RatingSummary.TPIpc.Layer10.USD</vt:lpstr>
      <vt:lpstr>DB.RatingSummary.TPIpc.Layer11</vt:lpstr>
      <vt:lpstr>DB.RatingSummary.TPIpc.Layer11.USD</vt:lpstr>
      <vt:lpstr>DB.RatingSummary.TPIpc.Layer12</vt:lpstr>
      <vt:lpstr>DB.RatingSummary.TPIpc.Layer12.USD</vt:lpstr>
      <vt:lpstr>DB.RatingSummary.TPIpc.Layer13</vt:lpstr>
      <vt:lpstr>DB.RatingSummary.TPIpc.Layer13.USD</vt:lpstr>
      <vt:lpstr>DB.RatingSummary.TPIpc.Layer14</vt:lpstr>
      <vt:lpstr>DB.RatingSummary.TPIpc.Layer14.USD</vt:lpstr>
      <vt:lpstr>DB.RatingSummary.TPIpc.Layer15</vt:lpstr>
      <vt:lpstr>DB.RatingSummary.TPIpc.Layer15.USD</vt:lpstr>
      <vt:lpstr>DB.RatingSummary.TPIpc.Layer16</vt:lpstr>
      <vt:lpstr>DB.RatingSummary.TPIpc.Layer16.USD</vt:lpstr>
      <vt:lpstr>DB.RatingSummary.TPIpc.Layer2</vt:lpstr>
      <vt:lpstr>DB.RatingSummary.TPIpc.Layer2.USD</vt:lpstr>
      <vt:lpstr>DB.RatingSummary.TPIpc.Layer3</vt:lpstr>
      <vt:lpstr>DB.RatingSummary.TPIpc.Layer3.USD</vt:lpstr>
      <vt:lpstr>DB.RatingSummary.TPIpc.Layer4</vt:lpstr>
      <vt:lpstr>DB.RatingSummary.TPIpc.Layer4.USD</vt:lpstr>
      <vt:lpstr>DB.RatingSummary.TPIpc.Layer5</vt:lpstr>
      <vt:lpstr>DB.RatingSummary.TPIpc.Layer5.USD</vt:lpstr>
      <vt:lpstr>DB.RatingSummary.TPIpc.Layer6</vt:lpstr>
      <vt:lpstr>DB.RatingSummary.TPIpc.Layer6.USD</vt:lpstr>
      <vt:lpstr>DB.RatingSummary.TPIpc.Layer7</vt:lpstr>
      <vt:lpstr>DB.RatingSummary.TPIpc.Layer7.USD</vt:lpstr>
      <vt:lpstr>DB.RatingSummary.TPIpc.Layer8</vt:lpstr>
      <vt:lpstr>DB.RatingSummary.TPIpc.Layer8.USD</vt:lpstr>
      <vt:lpstr>DB.RatingSummary.TPIpc.Layer9</vt:lpstr>
      <vt:lpstr>DB.RatingSummary.TPIpc.Layer9.USD</vt:lpstr>
      <vt:lpstr>DB.RC.ExpiringNameLayer1</vt:lpstr>
      <vt:lpstr>DB.RC.ExpiringNameLayer10</vt:lpstr>
      <vt:lpstr>DB.RC.ExpiringNameLayer11</vt:lpstr>
      <vt:lpstr>DB.RC.ExpiringNameLayer12</vt:lpstr>
      <vt:lpstr>DB.RC.ExpiringNameLayer13</vt:lpstr>
      <vt:lpstr>DB.RC.ExpiringNameLayer14</vt:lpstr>
      <vt:lpstr>DB.RC.ExpiringNameLayer15</vt:lpstr>
      <vt:lpstr>DB.RC.ExpiringNameLayer16</vt:lpstr>
      <vt:lpstr>DB.RC.ExpiringNameLayer2</vt:lpstr>
      <vt:lpstr>DB.RC.ExpiringNameLayer3</vt:lpstr>
      <vt:lpstr>DB.RC.ExpiringNameLayer4</vt:lpstr>
      <vt:lpstr>DB.RC.ExpiringNameLayer5</vt:lpstr>
      <vt:lpstr>DB.RC.ExpiringNameLayer6</vt:lpstr>
      <vt:lpstr>DB.RC.ExpiringNameLayer7</vt:lpstr>
      <vt:lpstr>DB.RC.ExpiringNameLayer8</vt:lpstr>
      <vt:lpstr>DB.RC.ExpiringNameLayer9</vt:lpstr>
      <vt:lpstr>db.rc.expiry.DeductibleChange.Layer1</vt:lpstr>
      <vt:lpstr>db.rc.expiry.DeductibleChange.Layer10</vt:lpstr>
      <vt:lpstr>db.rc.expiry.DeductibleChange.Layer11</vt:lpstr>
      <vt:lpstr>db.rc.expiry.DeductibleChange.Layer12</vt:lpstr>
      <vt:lpstr>db.rc.expiry.DeductibleChange.Layer13</vt:lpstr>
      <vt:lpstr>db.rc.expiry.DeductibleChange.Layer14</vt:lpstr>
      <vt:lpstr>db.rc.expiry.DeductibleChange.Layer15</vt:lpstr>
      <vt:lpstr>db.rc.expiry.DeductibleChange.Layer16</vt:lpstr>
      <vt:lpstr>db.rc.expiry.DeductibleChange.Layer2</vt:lpstr>
      <vt:lpstr>db.rc.expiry.DeductibleChange.Layer3</vt:lpstr>
      <vt:lpstr>db.rc.expiry.DeductibleChange.Layer4</vt:lpstr>
      <vt:lpstr>db.rc.expiry.DeductibleChange.Layer5</vt:lpstr>
      <vt:lpstr>db.rc.expiry.DeductibleChange.Layer6</vt:lpstr>
      <vt:lpstr>db.rc.expiry.DeductibleChange.Layer7</vt:lpstr>
      <vt:lpstr>db.rc.expiry.DeductibleChange.Layer8</vt:lpstr>
      <vt:lpstr>db.rc.expiry.DeductibleChange.Layer9</vt:lpstr>
      <vt:lpstr>db.rc.expiry.ExposureChange.Layer1</vt:lpstr>
      <vt:lpstr>db.rc.expiry.ExposureChange.Layer10</vt:lpstr>
      <vt:lpstr>db.rc.expiry.ExposureChange.Layer11</vt:lpstr>
      <vt:lpstr>db.rc.expiry.ExposureChange.Layer12</vt:lpstr>
      <vt:lpstr>db.rc.expiry.ExposureChange.Layer13</vt:lpstr>
      <vt:lpstr>db.rc.expiry.ExposureChange.Layer14</vt:lpstr>
      <vt:lpstr>db.rc.expiry.ExposureChange.Layer15</vt:lpstr>
      <vt:lpstr>db.rc.expiry.ExposureChange.Layer16</vt:lpstr>
      <vt:lpstr>db.rc.expiry.ExposureChange.Layer2</vt:lpstr>
      <vt:lpstr>db.rc.expiry.ExposureChange.Layer3</vt:lpstr>
      <vt:lpstr>db.rc.expiry.ExposureChange.Layer4</vt:lpstr>
      <vt:lpstr>db.rc.expiry.ExposureChange.Layer5</vt:lpstr>
      <vt:lpstr>db.rc.expiry.ExposureChange.Layer6</vt:lpstr>
      <vt:lpstr>db.rc.expiry.ExposureChange.Layer7</vt:lpstr>
      <vt:lpstr>db.rc.expiry.ExposureChange.Layer8</vt:lpstr>
      <vt:lpstr>db.rc.expiry.ExposureChange.Layer9</vt:lpstr>
      <vt:lpstr>db.rc.expiry.FinalRateChange.Layer10</vt:lpstr>
      <vt:lpstr>db.rc.expiry.FinalRateChange.Layer11</vt:lpstr>
      <vt:lpstr>db.rc.expiry.FinalRateChange.Layer12</vt:lpstr>
      <vt:lpstr>db.rc.expiry.FinalRateChange.Layer13</vt:lpstr>
      <vt:lpstr>db.rc.expiry.FinalRateChange.Layer14</vt:lpstr>
      <vt:lpstr>db.rc.expiry.FinalRateChange.Layer15</vt:lpstr>
      <vt:lpstr>db.rc.expiry.FinalRateChange.Layer16</vt:lpstr>
      <vt:lpstr>db.rc.expiry.FinalRateChange.Layer8</vt:lpstr>
      <vt:lpstr>db.rc.expiry.FinalRateChange.Layer9</vt:lpstr>
      <vt:lpstr>db.rc.expiry.LimitChange.Layer1</vt:lpstr>
      <vt:lpstr>db.rc.expiry.LimitChange.Layer10</vt:lpstr>
      <vt:lpstr>db.rc.expiry.LimitChange.Layer11</vt:lpstr>
      <vt:lpstr>db.rc.expiry.LimitChange.Layer12</vt:lpstr>
      <vt:lpstr>db.rc.expiry.LimitChange.Layer13</vt:lpstr>
      <vt:lpstr>db.rc.expiry.LimitChange.Layer14</vt:lpstr>
      <vt:lpstr>db.rc.expiry.LimitChange.Layer15</vt:lpstr>
      <vt:lpstr>db.rc.expiry.LimitChange.Layer16</vt:lpstr>
      <vt:lpstr>db.rc.expiry.LimitChange.Layer2</vt:lpstr>
      <vt:lpstr>db.rc.expiry.LimitChange.Layer3</vt:lpstr>
      <vt:lpstr>db.rc.expiry.LimitChange.Layer4</vt:lpstr>
      <vt:lpstr>db.rc.expiry.LimitChange.Layer5</vt:lpstr>
      <vt:lpstr>db.rc.expiry.LimitChange.Layer6</vt:lpstr>
      <vt:lpstr>db.rc.expiry.LimitChange.Layer7</vt:lpstr>
      <vt:lpstr>db.rc.expiry.LimitChange.Layer8</vt:lpstr>
      <vt:lpstr>db.rc.expiry.LimitChange.Layer9</vt:lpstr>
      <vt:lpstr>db.rc.expiry.OtherChange.Layer1</vt:lpstr>
      <vt:lpstr>db.rc.expiry.OtherChange.Layer10</vt:lpstr>
      <vt:lpstr>db.rc.expiry.OtherChange.Layer11</vt:lpstr>
      <vt:lpstr>db.rc.expiry.OtherChange.Layer12</vt:lpstr>
      <vt:lpstr>db.rc.expiry.OtherChange.Layer13</vt:lpstr>
      <vt:lpstr>db.rc.expiry.OtherChange.Layer14</vt:lpstr>
      <vt:lpstr>db.rc.expiry.OtherChange.Layer15</vt:lpstr>
      <vt:lpstr>db.rc.expiry.OtherChange.Layer16</vt:lpstr>
      <vt:lpstr>db.rc.expiry.OtherChange.Layer2</vt:lpstr>
      <vt:lpstr>db.rc.expiry.OtherChange.Layer3</vt:lpstr>
      <vt:lpstr>db.rc.expiry.OtherChange.Layer4</vt:lpstr>
      <vt:lpstr>db.rc.expiry.OtherChange.Layer5</vt:lpstr>
      <vt:lpstr>db.rc.expiry.OtherChange.Layer6</vt:lpstr>
      <vt:lpstr>db.rc.expiry.OtherChange.Layer7</vt:lpstr>
      <vt:lpstr>db.rc.expiry.OtherChange.Layer8</vt:lpstr>
      <vt:lpstr>db.rc.expiry.OtherChange.Layer9</vt:lpstr>
      <vt:lpstr>db.rc.expiry.RiskChange.Layer1</vt:lpstr>
      <vt:lpstr>db.rc.expiry.RiskChange.Layer10</vt:lpstr>
      <vt:lpstr>db.rc.expiry.RiskChange.Layer11</vt:lpstr>
      <vt:lpstr>db.rc.expiry.RiskChange.Layer12</vt:lpstr>
      <vt:lpstr>db.rc.expiry.RiskChange.Layer13</vt:lpstr>
      <vt:lpstr>db.rc.expiry.RiskChange.Layer14</vt:lpstr>
      <vt:lpstr>db.rc.expiry.RiskChange.Layer15</vt:lpstr>
      <vt:lpstr>db.rc.expiry.RiskChange.Layer16</vt:lpstr>
      <vt:lpstr>db.rc.expiry.RiskChange.Layer2</vt:lpstr>
      <vt:lpstr>db.rc.expiry.RiskChange.Layer3</vt:lpstr>
      <vt:lpstr>db.rc.expiry.RiskChange.Layer4</vt:lpstr>
      <vt:lpstr>db.rc.expiry.RiskChange.Layer5</vt:lpstr>
      <vt:lpstr>db.rc.expiry.RiskChange.Layer6</vt:lpstr>
      <vt:lpstr>db.rc.expiry.RiskChange.Layer7</vt:lpstr>
      <vt:lpstr>db.rc.expiry.RiskChange.Layer8</vt:lpstr>
      <vt:lpstr>db.rc.expiry.RiskChange.Layer9</vt:lpstr>
      <vt:lpstr>db.rc.expiry.TermsChange.Layer1</vt:lpstr>
      <vt:lpstr>db.rc.expiry.TermsChange.Layer10</vt:lpstr>
      <vt:lpstr>db.rc.expiry.TermsChange.Layer11</vt:lpstr>
      <vt:lpstr>db.rc.expiry.TermsChange.Layer12</vt:lpstr>
      <vt:lpstr>db.rc.expiry.TermsChange.Layer13</vt:lpstr>
      <vt:lpstr>db.rc.expiry.TermsChange.Layer14</vt:lpstr>
      <vt:lpstr>db.rc.expiry.TermsChange.Layer15</vt:lpstr>
      <vt:lpstr>db.rc.expiry.TermsChange.Layer16</vt:lpstr>
      <vt:lpstr>db.rc.expiry.TermsChange.Layer2</vt:lpstr>
      <vt:lpstr>db.rc.expiry.TermsChange.Layer3</vt:lpstr>
      <vt:lpstr>db.rc.expiry.TermsChange.Layer4</vt:lpstr>
      <vt:lpstr>db.rc.expiry.TermsChange.Layer5</vt:lpstr>
      <vt:lpstr>db.rc.expiry.TermsChange.Layer6</vt:lpstr>
      <vt:lpstr>db.rc.expiry.TermsChange.Layer7</vt:lpstr>
      <vt:lpstr>db.rc.expiry.TermsChange.Layer8</vt:lpstr>
      <vt:lpstr>db.rc.expiry.TermsChange.Layer9</vt:lpstr>
      <vt:lpstr>db.rc.Layer1.override.deduc</vt:lpstr>
      <vt:lpstr>db.rc.Layer1.override.expo</vt:lpstr>
      <vt:lpstr>db.rc.Layer1.override.limit</vt:lpstr>
      <vt:lpstr>db.rc.Layer1.override.other</vt:lpstr>
      <vt:lpstr>db.rc.Layer1.override.riskchar</vt:lpstr>
      <vt:lpstr>db.rc.Layer1.override.tandc</vt:lpstr>
      <vt:lpstr>db.rc.Layer1.ratechange</vt:lpstr>
      <vt:lpstr>db.rc.Layer10.override.deduc</vt:lpstr>
      <vt:lpstr>db.rc.Layer10.override.expo</vt:lpstr>
      <vt:lpstr>db.rc.Layer10.override.limit</vt:lpstr>
      <vt:lpstr>db.rc.Layer10.override.other</vt:lpstr>
      <vt:lpstr>db.rc.Layer10.override.riskchar</vt:lpstr>
      <vt:lpstr>db.rc.Layer10.override.tandc</vt:lpstr>
      <vt:lpstr>db.rc.Layer10.ratechange</vt:lpstr>
      <vt:lpstr>db.rc.Layer11.override.deduc</vt:lpstr>
      <vt:lpstr>db.rc.Layer11.override.expo</vt:lpstr>
      <vt:lpstr>db.rc.Layer11.override.limit</vt:lpstr>
      <vt:lpstr>db.rc.Layer11.override.other</vt:lpstr>
      <vt:lpstr>db.rc.Layer11.override.riskchar</vt:lpstr>
      <vt:lpstr>db.rc.Layer11.override.tandc</vt:lpstr>
      <vt:lpstr>db.rc.Layer12.override.deduc</vt:lpstr>
      <vt:lpstr>db.rc.Layer12.override.expo</vt:lpstr>
      <vt:lpstr>db.rc.Layer12.override.limit</vt:lpstr>
      <vt:lpstr>db.rc.Layer12.override.other</vt:lpstr>
      <vt:lpstr>db.rc.Layer12.override.riskchar</vt:lpstr>
      <vt:lpstr>db.rc.Layer12.override.tandc</vt:lpstr>
      <vt:lpstr>db.rc.Layer13.override.deduc</vt:lpstr>
      <vt:lpstr>db.rc.Layer13.override.expo</vt:lpstr>
      <vt:lpstr>db.rc.Layer13.override.limit</vt:lpstr>
      <vt:lpstr>db.rc.Layer13.override.other</vt:lpstr>
      <vt:lpstr>db.rc.Layer13.override.riskchar</vt:lpstr>
      <vt:lpstr>db.rc.Layer13.override.tandc</vt:lpstr>
      <vt:lpstr>db.rc.Layer14.override.deduc</vt:lpstr>
      <vt:lpstr>db.rc.Layer14.override.expo</vt:lpstr>
      <vt:lpstr>db.rc.Layer14.override.limit</vt:lpstr>
      <vt:lpstr>db.rc.Layer14.override.other</vt:lpstr>
      <vt:lpstr>db.rc.Layer14.override.riskchar</vt:lpstr>
      <vt:lpstr>db.rc.Layer14.override.tandc</vt:lpstr>
      <vt:lpstr>db.rc.Layer15.override.deduc</vt:lpstr>
      <vt:lpstr>db.rc.Layer15.override.expo</vt:lpstr>
      <vt:lpstr>db.rc.Layer15.override.limit</vt:lpstr>
      <vt:lpstr>db.rc.Layer15.override.other</vt:lpstr>
      <vt:lpstr>db.rc.Layer15.override.riskchar</vt:lpstr>
      <vt:lpstr>db.rc.Layer15.override.tandc</vt:lpstr>
      <vt:lpstr>db.rc.Layer16.override.deduc</vt:lpstr>
      <vt:lpstr>db.rc.Layer16.override.expo</vt:lpstr>
      <vt:lpstr>db.rc.Layer16.override.limit</vt:lpstr>
      <vt:lpstr>db.rc.Layer16.override.other</vt:lpstr>
      <vt:lpstr>db.rc.Layer16.override.riskchar</vt:lpstr>
      <vt:lpstr>db.rc.Layer16.override.tandc</vt:lpstr>
      <vt:lpstr>db.rc.Layer2.override.deduc</vt:lpstr>
      <vt:lpstr>db.rc.Layer2.override.expo</vt:lpstr>
      <vt:lpstr>db.rc.Layer2.override.limit</vt:lpstr>
      <vt:lpstr>db.rc.Layer2.override.other</vt:lpstr>
      <vt:lpstr>db.rc.Layer2.override.riskchar</vt:lpstr>
      <vt:lpstr>db.rc.Layer2.override.tandc</vt:lpstr>
      <vt:lpstr>db.rc.Layer2.ratechange</vt:lpstr>
      <vt:lpstr>db.rc.Layer3.override.deduc</vt:lpstr>
      <vt:lpstr>db.rc.Layer3.override.expo</vt:lpstr>
      <vt:lpstr>db.rc.Layer3.override.limit</vt:lpstr>
      <vt:lpstr>db.rc.Layer3.override.other</vt:lpstr>
      <vt:lpstr>db.rc.Layer3.override.riskchar</vt:lpstr>
      <vt:lpstr>db.rc.Layer3.override.tandc</vt:lpstr>
      <vt:lpstr>db.rc.Layer3.ratechange</vt:lpstr>
      <vt:lpstr>db.rc.Layer4.override.deduc</vt:lpstr>
      <vt:lpstr>db.rc.Layer4.override.expo</vt:lpstr>
      <vt:lpstr>db.rc.Layer4.override.limit</vt:lpstr>
      <vt:lpstr>db.rc.Layer4.override.other</vt:lpstr>
      <vt:lpstr>db.rc.Layer4.override.riskchar</vt:lpstr>
      <vt:lpstr>db.rc.Layer4.override.tandc</vt:lpstr>
      <vt:lpstr>db.rc.Layer4.ratechange</vt:lpstr>
      <vt:lpstr>db.rc.Layer5.override.deduc</vt:lpstr>
      <vt:lpstr>db.rc.Layer5.override.expo</vt:lpstr>
      <vt:lpstr>db.rc.Layer5.override.limit</vt:lpstr>
      <vt:lpstr>db.rc.Layer5.override.other</vt:lpstr>
      <vt:lpstr>db.rc.Layer5.override.riskchar</vt:lpstr>
      <vt:lpstr>db.rc.Layer5.override.tandc</vt:lpstr>
      <vt:lpstr>db.rc.Layer5.ratechange</vt:lpstr>
      <vt:lpstr>db.rc.Layer6.override.deduc</vt:lpstr>
      <vt:lpstr>db.rc.Layer6.override.expo</vt:lpstr>
      <vt:lpstr>db.rc.Layer6.override.limit</vt:lpstr>
      <vt:lpstr>db.rc.Layer6.override.other</vt:lpstr>
      <vt:lpstr>db.rc.Layer6.override.riskchar</vt:lpstr>
      <vt:lpstr>db.rc.Layer6.override.tandc</vt:lpstr>
      <vt:lpstr>db.rc.Layer6.ratechange</vt:lpstr>
      <vt:lpstr>db.rc.Layer7.override.deduc</vt:lpstr>
      <vt:lpstr>db.rc.Layer7.override.expo</vt:lpstr>
      <vt:lpstr>db.rc.Layer7.override.limit</vt:lpstr>
      <vt:lpstr>db.rc.Layer7.override.other</vt:lpstr>
      <vt:lpstr>db.rc.Layer7.override.riskchar</vt:lpstr>
      <vt:lpstr>db.rc.Layer7.override.tandc</vt:lpstr>
      <vt:lpstr>db.rc.Layer7.ratechange</vt:lpstr>
      <vt:lpstr>db.rc.Layer8.override.deduc</vt:lpstr>
      <vt:lpstr>db.rc.Layer8.override.expo</vt:lpstr>
      <vt:lpstr>db.rc.Layer8.override.limit</vt:lpstr>
      <vt:lpstr>db.rc.Layer8.override.other</vt:lpstr>
      <vt:lpstr>db.rc.Layer8.override.riskchar</vt:lpstr>
      <vt:lpstr>db.rc.Layer8.override.tandc</vt:lpstr>
      <vt:lpstr>db.rc.Layer8.ratechange</vt:lpstr>
      <vt:lpstr>db.rc.Layer9.override.deduc</vt:lpstr>
      <vt:lpstr>db.rc.Layer9.override.expo</vt:lpstr>
      <vt:lpstr>db.rc.Layer9.override.limit</vt:lpstr>
      <vt:lpstr>db.rc.Layer9.override.other</vt:lpstr>
      <vt:lpstr>db.rc.Layer9.override.riskchar</vt:lpstr>
      <vt:lpstr>db.rc.Layer9.override.tandc</vt:lpstr>
      <vt:lpstr>db.rc.Layer9.ratechange</vt:lpstr>
      <vt:lpstr>DB.ReasonComments</vt:lpstr>
      <vt:lpstr>DB.RenewalIndicator</vt:lpstr>
      <vt:lpstr>DB.RiskAssessment.Agentsasemployees</vt:lpstr>
      <vt:lpstr>DB.RiskAssessment.ClaimsHistory</vt:lpstr>
      <vt:lpstr>DB.RiskAssessment.ClaimsHistory.DO</vt:lpstr>
      <vt:lpstr>DB.RiskAssessment.Comments.Agentsasemployees</vt:lpstr>
      <vt:lpstr>DB.RiskAssessment.Comments.ClaimsHistory</vt:lpstr>
      <vt:lpstr>DB.RiskAssessment.Comments.ClaimsHistoryDO</vt:lpstr>
      <vt:lpstr>DB.RiskAssessment.Comments.dandoPortfolioCompanies</vt:lpstr>
      <vt:lpstr>DB.RiskAssessment.comments.datacentre</vt:lpstr>
      <vt:lpstr>DB.RiskAssessment.Comments.DifferenceInConditions</vt:lpstr>
      <vt:lpstr>DB.RiskAssessment.Comments.Extentofleveragedgearing</vt:lpstr>
      <vt:lpstr>DB.RiskAssessment.comments.LoanCovenant</vt:lpstr>
      <vt:lpstr>DB.RiskAssessment.Comments.Marketregulator</vt:lpstr>
      <vt:lpstr>DB.RiskAssessment.Comments.Policywording</vt:lpstr>
      <vt:lpstr>DB.RiskAssessment.Comments.Productcomplexity</vt:lpstr>
      <vt:lpstr>DB.RiskAssessment.Comments.Qualityofbusinesscontinuityplan</vt:lpstr>
      <vt:lpstr>DB.RiskAssessment.Comments.Qualityofclaimshandling</vt:lpstr>
      <vt:lpstr>DB.RiskAssessment.Comments.Qualityofcontrols</vt:lpstr>
      <vt:lpstr>DB.RiskAssessment.Comments.QualityofperformanceNonPEVC</vt:lpstr>
      <vt:lpstr>DB.RiskAssessment.Comments.QualityofTechnologicalinfrastructure</vt:lpstr>
      <vt:lpstr>DB.RiskAssessment.Comments.RedemptionGates</vt:lpstr>
      <vt:lpstr>DB.RiskAssessment.Comments.Regulatoryrisk</vt:lpstr>
      <vt:lpstr>DB.RiskAssessment.Comments.Riskmanagement</vt:lpstr>
      <vt:lpstr>DB.RiskAssessment.Comments.Strengthoffinancials</vt:lpstr>
      <vt:lpstr>DB.RiskAssessment.comments.techoutsourcing</vt:lpstr>
      <vt:lpstr>DB.RiskAssessment.comments.UWAdj</vt:lpstr>
      <vt:lpstr>DB.RiskAssessment.Comments.valuationforPEVC</vt:lpstr>
      <vt:lpstr>DB.RiskAssessment.dandoPortfolioCompanies</vt:lpstr>
      <vt:lpstr>DB.RiskAssessment.datacentre</vt:lpstr>
      <vt:lpstr>DB.RiskAssessment.Extentofleveragedgearing</vt:lpstr>
      <vt:lpstr>DB.RiskAssessment.LoanCovenant</vt:lpstr>
      <vt:lpstr>DB.RiskAssessment.Marketregulator</vt:lpstr>
      <vt:lpstr>DB.RiskAssessment.Policywording</vt:lpstr>
      <vt:lpstr>DB.RiskAssessment.Productcomplexity</vt:lpstr>
      <vt:lpstr>DB.RiskAssessment.Qualityofbusinesscontinuityplan</vt:lpstr>
      <vt:lpstr>DB.RiskAssessment.Qualityofclaimshandling</vt:lpstr>
      <vt:lpstr>DB.RiskAssessment.Qualityofcontrols</vt:lpstr>
      <vt:lpstr>DB.RiskAssessment.QualityofperformanceNonPEVC</vt:lpstr>
      <vt:lpstr>DB.RiskAssessment.QualityofTechnologicalinfrastructure</vt:lpstr>
      <vt:lpstr>DB.RiskAssessment.RedemptionGates</vt:lpstr>
      <vt:lpstr>DB.RiskAssessment.Regulatoryrisk</vt:lpstr>
      <vt:lpstr>DB.RiskAssessment.Riskmanagement</vt:lpstr>
      <vt:lpstr>DB.RiskAssessment.SideADiffConditions</vt:lpstr>
      <vt:lpstr>DB.RiskAssessment.Strengthoffinancials</vt:lpstr>
      <vt:lpstr>DB.RiskAssessment.techoutsourcing</vt:lpstr>
      <vt:lpstr>DB.RiskAssessment.UWAdj</vt:lpstr>
      <vt:lpstr>DB.RiskAssessment.valuationforPEVC</vt:lpstr>
      <vt:lpstr>DB.RiskInfo.CCY</vt:lpstr>
      <vt:lpstr>DB.RiskInfo.CedantName</vt:lpstr>
      <vt:lpstr>DB.RiskInfo.Comments</vt:lpstr>
      <vt:lpstr>DB.RiskInfo.Country</vt:lpstr>
      <vt:lpstr>DB.RiskInfo.CoverCrime</vt:lpstr>
      <vt:lpstr>DB.RiskInfo.CoverDandO</vt:lpstr>
      <vt:lpstr>DB.RiskInfo.CoverPI</vt:lpstr>
      <vt:lpstr>DB.RiskInfo.DirectRI</vt:lpstr>
      <vt:lpstr>DB.RiskInfo.EEANonEEAIndicator</vt:lpstr>
      <vt:lpstr>DB.RiskInfo.Ownership</vt:lpstr>
      <vt:lpstr>DB.RiskInfo.Platform</vt:lpstr>
      <vt:lpstr>DB.RiskInfo.Region</vt:lpstr>
      <vt:lpstr>DB.RiskInfo.RunOff</vt:lpstr>
      <vt:lpstr>DB.RiskInfo.SubIndustry</vt:lpstr>
      <vt:lpstr>DB.RiskInformation.ExpiryID</vt:lpstr>
      <vt:lpstr>DB.RiskInformation.RenewalID</vt:lpstr>
      <vt:lpstr>DB.StartDate</vt:lpstr>
      <vt:lpstr>DB.Underwriter</vt:lpstr>
    </vt:vector>
  </TitlesOfParts>
  <Company>Beazley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Sharlene Jooste</dc:creator>
  <cp:lastModifiedBy>Daniel Newlan</cp:lastModifiedBy>
  <cp:lastPrinted>2024-03-22T11:32:22Z</cp:lastPrinted>
  <dcterms:created xsi:type="dcterms:W3CDTF">2014-08-26T11:12:45Z</dcterms:created>
  <dcterms:modified xsi:type="dcterms:W3CDTF">2025-07-22T16:23:31Z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  <property fmtid="{D5CDD505-2E9C-101B-9397-08002B2CF9AE}" pid="3" name="{A44787D4-0540-4523-9961-78E4036D8C6D}">
    <vt:lpwstr>{364A03EA-8018-4C70-8063-A268D701AE2D}</vt:lpwstr>
  </property>
  <property fmtid="{D5CDD505-2E9C-101B-9397-08002B2CF9AE}" pid="4" name="MSIP_Label_ed91fd61-bc48-4588-8d11-80a491ed1fbf_Enabled">
    <vt:lpwstr>true</vt:lpwstr>
  </property>
  <property fmtid="{D5CDD505-2E9C-101B-9397-08002B2CF9AE}" pid="5" name="MSIP_Label_ed91fd61-bc48-4588-8d11-80a491ed1fbf_SetDate">
    <vt:lpwstr>2025-06-03T14:39:47Z</vt:lpwstr>
  </property>
  <property fmtid="{D5CDD505-2E9C-101B-9397-08002B2CF9AE}" pid="6" name="MSIP_Label_ed91fd61-bc48-4588-8d11-80a491ed1fbf_Method">
    <vt:lpwstr>Privileged</vt:lpwstr>
  </property>
  <property fmtid="{D5CDD505-2E9C-101B-9397-08002B2CF9AE}" pid="7" name="MSIP_Label_ed91fd61-bc48-4588-8d11-80a491ed1fbf_Name">
    <vt:lpwstr>Internal</vt:lpwstr>
  </property>
  <property fmtid="{D5CDD505-2E9C-101B-9397-08002B2CF9AE}" pid="8" name="MSIP_Label_ed91fd61-bc48-4588-8d11-80a491ed1fbf_SiteId">
    <vt:lpwstr>9a50eba8-7568-447a-bcb9-27a0d464aa80</vt:lpwstr>
  </property>
  <property fmtid="{D5CDD505-2E9C-101B-9397-08002B2CF9AE}" pid="9" name="MSIP_Label_ed91fd61-bc48-4588-8d11-80a491ed1fbf_ActionId">
    <vt:lpwstr>c8aaf4c7-be8d-4859-a20f-aa82c03b470d</vt:lpwstr>
  </property>
  <property fmtid="{D5CDD505-2E9C-101B-9397-08002B2CF9AE}" pid="10" name="MSIP_Label_ed91fd61-bc48-4588-8d11-80a491ed1fbf_ContentBits">
    <vt:lpwstr>0</vt:lpwstr>
  </property>
  <property fmtid="{D5CDD505-2E9C-101B-9397-08002B2CF9AE}" pid="11" name="MSIP_Label_ed91fd61-bc48-4588-8d11-80a491ed1fbf_Tag">
    <vt:lpwstr>10, 0, 1, 1</vt:lpwstr>
  </property>
</Properties>
</file>