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beazley-my.sharepoint.com/personal/adam_tucker_beazley_com/Documents/Documents/Treaty Files/"/>
    </mc:Choice>
  </mc:AlternateContent>
  <xr:revisionPtr revIDLastSave="0" documentId="8_{CAB5891D-CB55-4BF9-8821-8B636EF2CA54}" xr6:coauthVersionLast="47" xr6:coauthVersionMax="47" xr10:uidLastSave="{00000000-0000-0000-0000-000000000000}"/>
  <bookViews>
    <workbookView xWindow="-98" yWindow="-98" windowWidth="21795" windowHeight="13875" tabRatio="603" activeTab="1" xr2:uid="{5A2BC691-2E11-461F-9105-7FB46870E06D}"/>
  </bookViews>
  <sheets>
    <sheet name="Modelling" sheetId="1" r:id="rId1"/>
    <sheet name="Summary" sheetId="7" r:id="rId2"/>
    <sheet name="Rate Change" sheetId="3" r:id="rId3"/>
    <sheet name="Rationale" sheetId="4" r:id="rId4"/>
    <sheet name="Pre Bind" sheetId="8" r:id="rId5"/>
    <sheet name="Post Bind" sheetId="9" r:id="rId6"/>
    <sheet name="Area Code" sheetId="6" r:id="rId7"/>
  </sheet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8</definedName>
    <definedName name="_AtRisk_SimSetting_MultipleCPUMode"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xlnm._FilterDatabase" localSheetId="1" hidden="1">Summary!$A$51:$K$60</definedName>
    <definedName name="_Order1" hidden="1">255</definedName>
    <definedName name="CIQWBGuid" hidden="1">"Treaty Rater 1.12 - Copy - Copy.xlsm"</definedName>
    <definedName name="FlaggedHiddenSheetsIndex1" hidden="1">"Sheet: DirectCosts"</definedName>
    <definedName name="FlaggedHiddenSheetsIndex10" hidden="1">"Sheet: 2003 -RI spend - AB spreadsheet"</definedName>
    <definedName name="FlaggedHiddenSheetsIndex11" hidden="1">"Sheet: H1 Forecast - Syndicate"</definedName>
    <definedName name="FlaggedHiddenSheetsIndex12" hidden="1">"Sheet: Expenses - Jing"</definedName>
    <definedName name="FlaggedHiddenSheetsIndex13" hidden="1">"Sheet: Wizi extract - at 1811"</definedName>
    <definedName name="FlaggedHiddenSheetsIndex14" hidden="1">"Sheet: Wizi - currency"</definedName>
    <definedName name="FlaggedHiddenSheetsIndex15" hidden="1">"Sheet: Tech AC 2623"</definedName>
    <definedName name="FlaggedHiddenSheetsIndex16" hidden="1">"Sheet: Property bridge analysis"</definedName>
    <definedName name="FlaggedHiddenSheetsIndex17" hidden="1">"Sheet: Marine bridge analysis"</definedName>
    <definedName name="FlaggedHiddenSheetsIndex18" hidden="1">"Sheet: SLbridge analysis"</definedName>
    <definedName name="FlaggedHiddenSheetsIndex19" hidden="1">"Sheet: Treaty bridge analysis"</definedName>
    <definedName name="FlaggedHiddenSheetsIndex2" hidden="1">"Sheet: DirectCostComm"</definedName>
    <definedName name="FlaggedHiddenSheetsIndex3" hidden="1">"Sheet: ContLocation"</definedName>
    <definedName name="FlaggedHiddenSheetsIndex4" hidden="1">"Sheet: 2004 - Treaty - premiums"</definedName>
    <definedName name="FlaggedHiddenSheetsIndex5" hidden="1">"Sheet: 2003-Group Expenses"</definedName>
    <definedName name="FlaggedHiddenSheetsIndex6" hidden="1">"Sheet: 2004 - 623 Summary"</definedName>
    <definedName name="FlaggedHiddenSheetsIndex7" hidden="1">"Sheet: 2003 -Premiums - Agresso"</definedName>
    <definedName name="FlaggedHiddenSheetsIndex8" hidden="1">"Sheet: 2003 - DAC - Agresso"</definedName>
    <definedName name="FlaggedHiddenSheetsIndex9" hidden="1">"Sheet: 2003 - Pm &amp; DAC - Last 3m 2003"</definedName>
    <definedName name="FlaggedHiddenSheetsNumber" hidden="1">3</definedName>
    <definedName name="hghh" hidden="1">"Sheet: RetBBLActual"</definedName>
    <definedName name="hxd.cds.adj_base">Summary!$G$5</definedName>
    <definedName name="hxd.cds.broker_contact">'Rate Change'!$B$7</definedName>
    <definedName name="hxd.cds.brokerage">Summary!$G$4</definedName>
    <definedName name="hxd.cds.calc_type">Summary!$C$11</definedName>
    <definedName name="hxd.cds.com_disease">'Rate Change'!$K$9</definedName>
    <definedName name="hxd.cds.core_account">'Rate Change'!$K$5</definedName>
    <definedName name="hxd.cds.currency">Summary!$C$9</definedName>
    <definedName name="hxd.cds.currency_policy_financials">Summary!$S$4</definedName>
    <definedName name="hxd.cds.cyber_code">'Rate Change'!$K$7</definedName>
    <definedName name="hxd.cds.experience_rating.exposure.last_eight.1.gnepi_actual">Summary!$N$5</definedName>
    <definedName name="hxd.cds.experience_rating.exposure.last_eight.1.gnepi_projected">Summary!$O$5</definedName>
    <definedName name="hxd.cds.experience_rating.exposure.last_eight.1.year">Summary!$M$5</definedName>
    <definedName name="hxd.cds.experience_rating.exposure.last_eight.2.gnepi_actual">Summary!$N$6</definedName>
    <definedName name="hxd.cds.experience_rating.exposure.last_eight.2.gnepi_projected">Summary!$O$6</definedName>
    <definedName name="hxd.cds.experience_rating.exposure.last_eight.2.year">Summary!$M$6</definedName>
    <definedName name="hxd.cds.experience_rating.exposure.last_eight.3.gnepi_actual">Summary!$N$7</definedName>
    <definedName name="hxd.cds.experience_rating.exposure.last_eight.3.gnepi_projected">Summary!$O$7</definedName>
    <definedName name="hxd.cds.experience_rating.exposure.last_eight.3.year">Summary!$M$7</definedName>
    <definedName name="hxd.cds.experience_rating.exposure.last_eight.4.gnepi_actual">Summary!$N$8</definedName>
    <definedName name="hxd.cds.experience_rating.exposure.last_eight.4.gnepi_projected">Summary!$O$8</definedName>
    <definedName name="hxd.cds.experience_rating.exposure.last_eight.4.year">Summary!$M$8</definedName>
    <definedName name="hxd.cds.experience_rating.exposure.last_eight.5.gnepi_actual">Summary!$N$9</definedName>
    <definedName name="hxd.cds.experience_rating.exposure.last_eight.5.gnepi_projected">Summary!$O$9</definedName>
    <definedName name="hxd.cds.experience_rating.exposure.last_eight.5.year">Summary!$M$9</definedName>
    <definedName name="hxd.cds.experience_rating.exposure.last_eight.6.gnepi_actual">Summary!$N$10</definedName>
    <definedName name="hxd.cds.experience_rating.exposure.last_eight.6.gnepi_projected">Summary!$O$10</definedName>
    <definedName name="hxd.cds.experience_rating.exposure.last_eight.6.year">Summary!$M$10</definedName>
    <definedName name="hxd.cds.experience_rating.exposure.last_eight.7.gnepi_actual">Summary!$N$11</definedName>
    <definedName name="hxd.cds.experience_rating.exposure.last_eight.7.gnepi_projected">Summary!$O$11</definedName>
    <definedName name="hxd.cds.experience_rating.exposure.last_eight.7.year">Summary!$M$11</definedName>
    <definedName name="hxd.cds.experience_rating.exposure.last_eight.8.gnepi_actual">Summary!$N$12</definedName>
    <definedName name="hxd.cds.experience_rating.exposure.last_eight.8.gnepi_projected">Summary!$O$12</definedName>
    <definedName name="hxd.cds.experience_rating.exposure.last_eight.8.year">Summary!$M$12</definedName>
    <definedName name="hxd.cds.fx_conversion_label">Summary!$R$5</definedName>
    <definedName name="hxd.cds.hours_clause">Summary!$G$9</definedName>
    <definedName name="hxd.cds.layers.1.area_codes_perc.aal">'Area Code'!$CD$41</definedName>
    <definedName name="hxd.cds.layers.1.area_codes_perc.aeg">'Area Code'!$CD$43</definedName>
    <definedName name="hxd.cds.layers.1.area_codes_perc.ali">'Area Code'!$CD$44</definedName>
    <definedName name="hxd.cds.layers.1.area_codes_perc.amo">'Area Code'!$CD$42</definedName>
    <definedName name="hxd.cds.layers.1.area_codes_perc.amu">'Area Code'!$CD$45</definedName>
    <definedName name="hxd.cds.layers.1.area_codes_perc.asa">'Area Code'!$CD$38</definedName>
    <definedName name="hxd.cds.layers.1.area_codes_perc.bag">'Area Code'!$BD$12</definedName>
    <definedName name="hxd.cds.layers.1.area_codes_perc.bah">'Area Code'!$BD$13</definedName>
    <definedName name="hxd.cds.layers.1.area_codes_perc.ban">'Area Code'!$BD$14</definedName>
    <definedName name="hxd.cds.layers.1.area_codes_perc.bbb">'Area Code'!$BD$15</definedName>
    <definedName name="hxd.cds.layers.1.area_codes_perc.bbh">'Area Code'!$BD$16</definedName>
    <definedName name="hxd.cds.layers.1.area_codes_perc.bbm">'Area Code'!$BD$17</definedName>
    <definedName name="hxd.cds.layers.1.area_codes_perc.bcb">'Area Code'!$BD$18</definedName>
    <definedName name="hxd.cds.layers.1.area_codes_perc.bcm">'Area Code'!$BD$19</definedName>
    <definedName name="hxd.cds.layers.1.area_codes_perc.bcu">'Area Code'!$BD$20</definedName>
    <definedName name="hxd.cds.layers.1.area_codes_perc.bdo">'Area Code'!$BD$21</definedName>
    <definedName name="hxd.cds.layers.1.area_codes_perc.bdr">'Area Code'!$BD$22</definedName>
    <definedName name="hxd.cds.layers.1.area_codes_perc.bgn">'Area Code'!$BD$23</definedName>
    <definedName name="hxd.cds.layers.1.area_codes_perc.bgs">'Area Code'!$BD$24</definedName>
    <definedName name="hxd.cds.layers.1.area_codes_perc.bgu">'Area Code'!$BD$25</definedName>
    <definedName name="hxd.cds.layers.1.area_codes_perc.bht">'Area Code'!$BD$26</definedName>
    <definedName name="hxd.cds.layers.1.area_codes_perc.bjm">'Area Code'!$BD$27</definedName>
    <definedName name="hxd.cds.layers.1.area_codes_perc.bkn">'Area Code'!$BD$28</definedName>
    <definedName name="hxd.cds.layers.1.area_codes_perc.bmq">'Area Code'!$BD$29</definedName>
    <definedName name="hxd.cds.layers.1.area_codes_perc.bms">'Area Code'!$BD$30</definedName>
    <definedName name="hxd.cds.layers.1.area_codes_perc.bon">'Area Code'!$BD$31</definedName>
    <definedName name="hxd.cds.layers.1.area_codes_perc.bpr">'Area Code'!$BD$32</definedName>
    <definedName name="hxd.cds.layers.1.area_codes_perc.bsl">'Area Code'!$BD$33</definedName>
    <definedName name="hxd.cds.layers.1.area_codes_perc.bsv">'Area Code'!$BD$34</definedName>
    <definedName name="hxd.cds.layers.1.area_codes_perc.bv1">'Area Code'!$BD$35</definedName>
    <definedName name="hxd.cds.layers.1.area_codes_perc.bvs">'Area Code'!$BD$36</definedName>
    <definedName name="hxd.cds.layers.1.area_codes_perc.bx7">'Area Code'!$BD$37</definedName>
    <definedName name="hxd.cds.layers.1.area_codes_perc.cat">'Area Code'!$BD$44</definedName>
    <definedName name="hxd.cds.layers.1.area_codes_perc.cbc">'Area Code'!$BD$40</definedName>
    <definedName name="hxd.cds.layers.1.area_codes_perc.cef">'Area Code'!$D$39</definedName>
    <definedName name="hxd.cds.layers.1.area_codes_perc.con">'Area Code'!$BD$42</definedName>
    <definedName name="hxd.cds.layers.1.area_codes_perc.cpr">'Area Code'!$BD$43</definedName>
    <definedName name="hxd.cds.layers.1.area_codes_perc.cqu">'Area Code'!$BD$41</definedName>
    <definedName name="hxd.cds.layers.1.area_codes_perc.eat">'Area Code'!$D$12</definedName>
    <definedName name="hxd.cds.layers.1.area_codes_perc.ebe">'Area Code'!$D$13</definedName>
    <definedName name="hxd.cds.layers.1.area_codes_perc.ebg">'Area Code'!$D$38</definedName>
    <definedName name="hxd.cds.layers.1.area_codes_perc.ech">'Area Code'!$D$14</definedName>
    <definedName name="hxd.cds.layers.1.area_codes_perc.ecx">'Area Code'!$D$40</definedName>
    <definedName name="hxd.cds.layers.1.area_codes_perc.ecz">'Area Code'!$D$41</definedName>
    <definedName name="hxd.cds.layers.1.area_codes_perc.edk">'Area Code'!$D$15</definedName>
    <definedName name="hxd.cds.layers.1.area_codes_perc.ees">'Area Code'!$D$30</definedName>
    <definedName name="hxd.cds.layers.1.area_codes_perc.efi">'Area Code'!$D$17</definedName>
    <definedName name="hxd.cds.layers.1.area_codes_perc.efr">'Area Code'!$D$18</definedName>
    <definedName name="hxd.cds.layers.1.area_codes_perc.ege">'Area Code'!$D$19</definedName>
    <definedName name="hxd.cds.layers.1.area_codes_perc.egf">'Area Code'!$D$24</definedName>
    <definedName name="hxd.cds.layers.1.area_codes_perc.egr">'Area Code'!$D$31</definedName>
    <definedName name="hxd.cds.layers.1.area_codes_perc.ehu">'Area Code'!$D$42</definedName>
    <definedName name="hxd.cds.layers.1.area_codes_perc.eic">'Area Code'!$D$20</definedName>
    <definedName name="hxd.cds.layers.1.area_codes_perc.eie">'Area Code'!$D$21</definedName>
    <definedName name="hxd.cds.layers.1.area_codes_perc.eit">'Area Code'!$D$32</definedName>
    <definedName name="hxd.cds.layers.1.area_codes_perc.emz">'Area Code'!$D$16</definedName>
    <definedName name="hxd.cds.layers.1.area_codes_perc.enl">'Area Code'!$D$22</definedName>
    <definedName name="hxd.cds.layers.1.area_codes_perc.eno">'Area Code'!$D$23</definedName>
    <definedName name="hxd.cds.layers.1.area_codes_perc.epl">'Area Code'!$D$43</definedName>
    <definedName name="hxd.cds.layers.1.area_codes_perc.ept">'Area Code'!$D$33</definedName>
    <definedName name="hxd.cds.layers.1.area_codes_perc.ero">'Area Code'!$D$44</definedName>
    <definedName name="hxd.cds.layers.1.area_codes_perc.eru">'Area Code'!$D$45</definedName>
    <definedName name="hxd.cds.layers.1.area_codes_perc.esb">'Area Code'!$D$46</definedName>
    <definedName name="hxd.cds.layers.1.area_codes_perc.esc">'Area Code'!$D$47</definedName>
    <definedName name="hxd.cds.layers.1.area_codes_perc.ese">'Area Code'!$D$25</definedName>
    <definedName name="hxd.cds.layers.1.area_codes_perc.esr">'Area Code'!$D$48</definedName>
    <definedName name="hxd.cds.layers.1.area_codes_perc.etu">'Area Code'!$D$34</definedName>
    <definedName name="hxd.cds.layers.1.area_codes_perc.euf">'Area Code'!$D$27</definedName>
    <definedName name="hxd.cds.layers.1.area_codes_perc.euk">'Area Code'!$D$26</definedName>
    <definedName name="hxd.cds.layers.1.area_codes_perc.fby">'Area Code'!$CD$28</definedName>
    <definedName name="hxd.cds.layers.1.area_codes_perc.fcq">'Area Code'!$CD$13</definedName>
    <definedName name="hxd.cds.layers.1.area_codes_perc.fct">'Area Code'!$CD$12</definedName>
    <definedName name="hxd.cds.layers.1.area_codes_perc.fcy">'Area Code'!$CD$24</definedName>
    <definedName name="hxd.cds.layers.1.area_codes_perc.fhk">'Area Code'!$CD$15</definedName>
    <definedName name="hxd.cds.layers.1.area_codes_perc.fia">'Area Code'!$CD$16</definedName>
    <definedName name="hxd.cds.layers.1.area_codes_perc.fjq">'Area Code'!$CD$21</definedName>
    <definedName name="hxd.cds.layers.1.area_codes_perc.fjw">'Area Code'!$CD$22</definedName>
    <definedName name="hxd.cds.layers.1.area_codes_perc.fkr">'Area Code'!$CD$14</definedName>
    <definedName name="hxd.cds.layers.1.area_codes_perc.fmy">'Area Code'!$CD$26</definedName>
    <definedName name="hxd.cds.layers.1.area_codes_perc.fnp">'Area Code'!$CD$29</definedName>
    <definedName name="hxd.cds.layers.1.area_codes_perc.fsk">'Area Code'!$CD$19</definedName>
    <definedName name="hxd.cds.layers.1.area_codes_perc.fsp">'Area Code'!$CD$18</definedName>
    <definedName name="hxd.cds.layers.1.area_codes_perc.fta">'Area Code'!$CD$20</definedName>
    <definedName name="hxd.cds.layers.1.area_codes_perc.fth">'Area Code'!$CD$32</definedName>
    <definedName name="hxd.cds.layers.1.area_codes_perc.fvn">'Area Code'!$CD$33</definedName>
    <definedName name="hxd.cds.layers.1.area_codes_perc.mae">'Area Code'!$CD$39</definedName>
    <definedName name="hxd.cds.layers.1.area_codes_perc.mba">'Area Code'!$CD$40</definedName>
    <definedName name="hxd.cds.layers.1.area_codes_perc.mbd">'Area Code'!$CD$23</definedName>
    <definedName name="hxd.cds.layers.1.area_codes_perc.min">'Area Code'!$CD$37</definedName>
    <definedName name="hxd.cds.layers.1.area_codes_perc.mis">'Area Code'!$CD$36</definedName>
    <definedName name="hxd.cds.layers.1.area_codes_perc.mjo">'Area Code'!$CD$46</definedName>
    <definedName name="hxd.cds.layers.1.area_codes_perc.mma">'Area Code'!$CD$27</definedName>
    <definedName name="hxd.cds.layers.1.area_codes_perc.mom">'Area Code'!$CD$47</definedName>
    <definedName name="hxd.cds.layers.1.area_codes_perc.mpk">'Area Code'!$CD$30</definedName>
    <definedName name="hxd.cds.layers.1.area_codes_perc.mqa">'Area Code'!$CD$48</definedName>
    <definedName name="hxd.cds.layers.1.area_codes_perc.oa1">'Area Code'!$AD$54</definedName>
    <definedName name="hxd.cds.layers.1.area_codes_perc.oa2">'Area Code'!$AD$55</definedName>
    <definedName name="hxd.cds.layers.1.area_codes_perc.oa3">'Area Code'!$AD$56</definedName>
    <definedName name="hxd.cds.layers.1.area_codes_perc.oa4">'Area Code'!$AD$57</definedName>
    <definedName name="hxd.cds.layers.1.area_codes_perc.oa5">'Area Code'!$AD$58</definedName>
    <definedName name="hxd.cds.layers.1.area_codes_perc.oa6">'Area Code'!$AD$59</definedName>
    <definedName name="hxd.cds.layers.1.area_codes_perc.ofj">'Area Code'!$AD$62</definedName>
    <definedName name="hxd.cds.layers.1.area_codes_perc.ogm">'Area Code'!$CD$25</definedName>
    <definedName name="hxd.cds.layers.1.area_codes_perc.onz">'Area Code'!$AD$61</definedName>
    <definedName name="hxd.cds.layers.1.area_codes_perc.opg">'Area Code'!$CD$31</definedName>
    <definedName name="hxd.cds.layers.1.area_codes_perc.oph">'Area Code'!$CD$17</definedName>
    <definedName name="hxd.cds.layers.1.area_codes_perc.ota">'Area Code'!$AD$60</definedName>
    <definedName name="hxd.cds.layers.1.area_codes_perc.sar">'Area Code'!$AD$33</definedName>
    <definedName name="hxd.cds.layers.1.area_codes_perc.sbr">'Area Code'!$AD$36</definedName>
    <definedName name="hxd.cds.layers.1.area_codes_perc.sbv">'Area Code'!$AD$35</definedName>
    <definedName name="hxd.cds.layers.1.area_codes_perc.sbz">'Area Code'!$AD$34</definedName>
    <definedName name="hxd.cds.layers.1.area_codes_perc.scl">'Area Code'!$AD$37</definedName>
    <definedName name="hxd.cds.layers.1.area_codes_perc.sco">'Area Code'!$AD$38</definedName>
    <definedName name="hxd.cds.layers.1.area_codes_perc.scr">'Area Code'!$AD$39</definedName>
    <definedName name="hxd.cds.layers.1.area_codes_perc.sec">'Area Code'!$AD$40</definedName>
    <definedName name="hxd.cds.layers.1.area_codes_perc.sel">'Area Code'!$AD$41</definedName>
    <definedName name="hxd.cds.layers.1.area_codes_perc.sgt">'Area Code'!$AD$42</definedName>
    <definedName name="hxd.cds.layers.1.area_codes_perc.sgy">'Area Code'!$AD$43</definedName>
    <definedName name="hxd.cds.layers.1.area_codes_perc.shn">'Area Code'!$AD$44</definedName>
    <definedName name="hxd.cds.layers.1.area_codes_perc.smx">'Area Code'!$AD$45</definedName>
    <definedName name="hxd.cds.layers.1.area_codes_perc.snq">'Area Code'!$AD$46</definedName>
    <definedName name="hxd.cds.layers.1.area_codes_perc.spa">'Area Code'!$AD$47</definedName>
    <definedName name="hxd.cds.layers.1.area_codes_perc.spe">'Area Code'!$AD$49</definedName>
    <definedName name="hxd.cds.layers.1.area_codes_perc.spy">'Area Code'!$AD$48</definedName>
    <definedName name="hxd.cds.layers.1.area_codes_perc.suy">'Area Code'!$AD$50</definedName>
    <definedName name="hxd.cds.layers.1.area_codes_perc.sve">'Area Code'!$AD$51</definedName>
    <definedName name="hxd.cds.layers.1.area_codes_perc.usa01">'Area Code'!$AD$12</definedName>
    <definedName name="hxd.cds.layers.1.area_codes_perc.usa02">'Area Code'!$AD$13</definedName>
    <definedName name="hxd.cds.layers.1.area_codes_perc.usa03">'Area Code'!$AD$14</definedName>
    <definedName name="hxd.cds.layers.1.area_codes_perc.usa04">'Area Code'!$AD$15</definedName>
    <definedName name="hxd.cds.layers.1.area_codes_perc.usa05">'Area Code'!$AD$16</definedName>
    <definedName name="hxd.cds.layers.1.area_codes_perc.usa06">'Area Code'!$AD$17</definedName>
    <definedName name="hxd.cds.layers.1.area_codes_perc.usa07">'Area Code'!$AD$18</definedName>
    <definedName name="hxd.cds.layers.1.area_codes_perc.usa08">'Area Code'!$AD$19</definedName>
    <definedName name="hxd.cds.layers.1.area_codes_perc.usa09">'Area Code'!$AD$20</definedName>
    <definedName name="hxd.cds.layers.1.area_codes_perc.usa10">'Area Code'!$AD$21</definedName>
    <definedName name="hxd.cds.layers.1.area_codes_perc.usa11">'Area Code'!$AD$22</definedName>
    <definedName name="hxd.cds.layers.1.area_codes_perc.usa12">'Area Code'!$AD$23</definedName>
    <definedName name="hxd.cds.layers.1.area_codes_perc.usa13">'Area Code'!$AD$24</definedName>
    <definedName name="hxd.cds.layers.1.area_codes_perc.usa14">'Area Code'!$AD$25</definedName>
    <definedName name="hxd.cds.layers.1.area_codes_perc.usa15">'Area Code'!$AD$26</definedName>
    <definedName name="hxd.cds.layers.1.area_codes_perc.usa16">'Area Code'!$AD$27</definedName>
    <definedName name="hxd.cds.layers.1.area_codes_perc.usa20">'Area Code'!$AD$28</definedName>
    <definedName name="hxd.cds.layers.1.area_codes_perc.usa21">'Area Code'!$AD$29</definedName>
    <definedName name="hxd.cds.layers.1.area_codes_perc.usa22">'Area Code'!$AD$30</definedName>
    <definedName name="hxd.cds.layers.1.area_codes_select.aal">'Area Code'!$CC$41</definedName>
    <definedName name="hxd.cds.layers.1.area_codes_select.aeg">'Area Code'!$CC$43</definedName>
    <definedName name="hxd.cds.layers.1.area_codes_select.ali">'Area Code'!$CC$44</definedName>
    <definedName name="hxd.cds.layers.1.area_codes_select.amo">'Area Code'!$CC$42</definedName>
    <definedName name="hxd.cds.layers.1.area_codes_select.amu">'Area Code'!$CC$45</definedName>
    <definedName name="hxd.cds.layers.1.area_codes_select.asa">'Area Code'!$CC$38</definedName>
    <definedName name="hxd.cds.layers.1.area_codes_select.bag">'Area Code'!$BC$12</definedName>
    <definedName name="hxd.cds.layers.1.area_codes_select.bah">'Area Code'!$BC$13</definedName>
    <definedName name="hxd.cds.layers.1.area_codes_select.ban">'Area Code'!$BC$14</definedName>
    <definedName name="hxd.cds.layers.1.area_codes_select.bbb">'Area Code'!$BC$15</definedName>
    <definedName name="hxd.cds.layers.1.area_codes_select.bbh">'Area Code'!$BC$16</definedName>
    <definedName name="hxd.cds.layers.1.area_codes_select.bbm">'Area Code'!$BC$17</definedName>
    <definedName name="hxd.cds.layers.1.area_codes_select.bcb">'Area Code'!$BC$18</definedName>
    <definedName name="hxd.cds.layers.1.area_codes_select.bcm">'Area Code'!$BC$19</definedName>
    <definedName name="hxd.cds.layers.1.area_codes_select.bcu">'Area Code'!$BC$20</definedName>
    <definedName name="hxd.cds.layers.1.area_codes_select.bdo">'Area Code'!$BC$21</definedName>
    <definedName name="hxd.cds.layers.1.area_codes_select.bdr">'Area Code'!$BC$22</definedName>
    <definedName name="hxd.cds.layers.1.area_codes_select.bgn">'Area Code'!$BC$23</definedName>
    <definedName name="hxd.cds.layers.1.area_codes_select.bgs">'Area Code'!$BC$24</definedName>
    <definedName name="hxd.cds.layers.1.area_codes_select.bgu">'Area Code'!$BC$25</definedName>
    <definedName name="hxd.cds.layers.1.area_codes_select.bht">'Area Code'!$BC$26</definedName>
    <definedName name="hxd.cds.layers.1.area_codes_select.bjm">'Area Code'!$BC$27</definedName>
    <definedName name="hxd.cds.layers.1.area_codes_select.bkn">'Area Code'!$BC$28</definedName>
    <definedName name="hxd.cds.layers.1.area_codes_select.bmq">'Area Code'!$BC$29</definedName>
    <definedName name="hxd.cds.layers.1.area_codes_select.bms">'Area Code'!$BC$30</definedName>
    <definedName name="hxd.cds.layers.1.area_codes_select.bon">'Area Code'!$BC$31</definedName>
    <definedName name="hxd.cds.layers.1.area_codes_select.bpr">'Area Code'!$BC$32</definedName>
    <definedName name="hxd.cds.layers.1.area_codes_select.bsl">'Area Code'!$BC$33</definedName>
    <definedName name="hxd.cds.layers.1.area_codes_select.bsv">'Area Code'!$BC$34</definedName>
    <definedName name="hxd.cds.layers.1.area_codes_select.bv1">'Area Code'!$BC$35</definedName>
    <definedName name="hxd.cds.layers.1.area_codes_select.bvs">'Area Code'!$BC$36</definedName>
    <definedName name="hxd.cds.layers.1.area_codes_select.bx7">'Area Code'!$BC$37</definedName>
    <definedName name="hxd.cds.layers.1.area_codes_select.cat">'Area Code'!$BC$44</definedName>
    <definedName name="hxd.cds.layers.1.area_codes_select.cbc">'Area Code'!$BC$40</definedName>
    <definedName name="hxd.cds.layers.1.area_codes_select.cef">'Area Code'!$C$39</definedName>
    <definedName name="hxd.cds.layers.1.area_codes_select.con">'Area Code'!$BC$42</definedName>
    <definedName name="hxd.cds.layers.1.area_codes_select.cpr">'Area Code'!$BC$43</definedName>
    <definedName name="hxd.cds.layers.1.area_codes_select.cqu">'Area Code'!$BC$41</definedName>
    <definedName name="hxd.cds.layers.1.area_codes_select.eat">'Area Code'!$C$12</definedName>
    <definedName name="hxd.cds.layers.1.area_codes_select.ebe">'Area Code'!$C$13</definedName>
    <definedName name="hxd.cds.layers.1.area_codes_select.ebg">'Area Code'!$C$38</definedName>
    <definedName name="hxd.cds.layers.1.area_codes_select.ech">'Area Code'!$C$14</definedName>
    <definedName name="hxd.cds.layers.1.area_codes_select.ecx">'Area Code'!$C$40</definedName>
    <definedName name="hxd.cds.layers.1.area_codes_select.ecz">'Area Code'!$C$41</definedName>
    <definedName name="hxd.cds.layers.1.area_codes_select.edk">'Area Code'!$C$15</definedName>
    <definedName name="hxd.cds.layers.1.area_codes_select.ees">'Area Code'!$C$30</definedName>
    <definedName name="hxd.cds.layers.1.area_codes_select.efi">'Area Code'!$C$17</definedName>
    <definedName name="hxd.cds.layers.1.area_codes_select.efr">'Area Code'!$C$18</definedName>
    <definedName name="hxd.cds.layers.1.area_codes_select.ege">'Area Code'!$C$19</definedName>
    <definedName name="hxd.cds.layers.1.area_codes_select.egf">'Area Code'!$C$24</definedName>
    <definedName name="hxd.cds.layers.1.area_codes_select.egr">'Area Code'!$C$31</definedName>
    <definedName name="hxd.cds.layers.1.area_codes_select.ehu">'Area Code'!$C$42</definedName>
    <definedName name="hxd.cds.layers.1.area_codes_select.eic">'Area Code'!$C$20</definedName>
    <definedName name="hxd.cds.layers.1.area_codes_select.eie">'Area Code'!$C$21</definedName>
    <definedName name="hxd.cds.layers.1.area_codes_select.eit">'Area Code'!$C$32</definedName>
    <definedName name="hxd.cds.layers.1.area_codes_select.emz">'Area Code'!$C$16</definedName>
    <definedName name="hxd.cds.layers.1.area_codes_select.enl">'Area Code'!$C$22</definedName>
    <definedName name="hxd.cds.layers.1.area_codes_select.eno">'Area Code'!$C$23</definedName>
    <definedName name="hxd.cds.layers.1.area_codes_select.epl">'Area Code'!$C$43</definedName>
    <definedName name="hxd.cds.layers.1.area_codes_select.ept">'Area Code'!$C$33</definedName>
    <definedName name="hxd.cds.layers.1.area_codes_select.ero">'Area Code'!$C$44</definedName>
    <definedName name="hxd.cds.layers.1.area_codes_select.eru">'Area Code'!$C$45</definedName>
    <definedName name="hxd.cds.layers.1.area_codes_select.esb">'Area Code'!$C$46</definedName>
    <definedName name="hxd.cds.layers.1.area_codes_select.esc">'Area Code'!$C$47</definedName>
    <definedName name="hxd.cds.layers.1.area_codes_select.ese">'Area Code'!$C$25</definedName>
    <definedName name="hxd.cds.layers.1.area_codes_select.esr">'Area Code'!$C$48</definedName>
    <definedName name="hxd.cds.layers.1.area_codes_select.etu">'Area Code'!$C$34</definedName>
    <definedName name="hxd.cds.layers.1.area_codes_select.euf">'Area Code'!$C$27</definedName>
    <definedName name="hxd.cds.layers.1.area_codes_select.euk">'Area Code'!$C$26</definedName>
    <definedName name="hxd.cds.layers.1.area_codes_select.fby">'Area Code'!$CC$28</definedName>
    <definedName name="hxd.cds.layers.1.area_codes_select.fcq">'Area Code'!$CC$13</definedName>
    <definedName name="hxd.cds.layers.1.area_codes_select.fct">'Area Code'!$CC$12</definedName>
    <definedName name="hxd.cds.layers.1.area_codes_select.fcy">'Area Code'!$CC$24</definedName>
    <definedName name="hxd.cds.layers.1.area_codes_select.fhk">'Area Code'!$CC$15</definedName>
    <definedName name="hxd.cds.layers.1.area_codes_select.fia">'Area Code'!$CC$16</definedName>
    <definedName name="hxd.cds.layers.1.area_codes_select.fjq">'Area Code'!$CC$21</definedName>
    <definedName name="hxd.cds.layers.1.area_codes_select.fjw">'Area Code'!$CC$22</definedName>
    <definedName name="hxd.cds.layers.1.area_codes_select.fkr">'Area Code'!$CC$14</definedName>
    <definedName name="hxd.cds.layers.1.area_codes_select.fmy">'Area Code'!$CC$26</definedName>
    <definedName name="hxd.cds.layers.1.area_codes_select.fnp">'Area Code'!$CC$29</definedName>
    <definedName name="hxd.cds.layers.1.area_codes_select.fsk">'Area Code'!$CC$19</definedName>
    <definedName name="hxd.cds.layers.1.area_codes_select.fsp">'Area Code'!$CC$18</definedName>
    <definedName name="hxd.cds.layers.1.area_codes_select.fta">'Area Code'!$CC$20</definedName>
    <definedName name="hxd.cds.layers.1.area_codes_select.fth">'Area Code'!$CC$32</definedName>
    <definedName name="hxd.cds.layers.1.area_codes_select.fvn">'Area Code'!$CC$33</definedName>
    <definedName name="hxd.cds.layers.1.area_codes_select.mae">'Area Code'!$CC$39</definedName>
    <definedName name="hxd.cds.layers.1.area_codes_select.mba">'Area Code'!$CC$40</definedName>
    <definedName name="hxd.cds.layers.1.area_codes_select.mbd">'Area Code'!$CC$23</definedName>
    <definedName name="hxd.cds.layers.1.area_codes_select.min">'Area Code'!$CC$37</definedName>
    <definedName name="hxd.cds.layers.1.area_codes_select.mis">'Area Code'!$CC$36</definedName>
    <definedName name="hxd.cds.layers.1.area_codes_select.mjo">'Area Code'!$CC$46</definedName>
    <definedName name="hxd.cds.layers.1.area_codes_select.mma">'Area Code'!$CC$27</definedName>
    <definedName name="hxd.cds.layers.1.area_codes_select.mom">'Area Code'!$CC$47</definedName>
    <definedName name="hxd.cds.layers.1.area_codes_select.mpk">'Area Code'!$CC$30</definedName>
    <definedName name="hxd.cds.layers.1.area_codes_select.mqa">'Area Code'!$CC$48</definedName>
    <definedName name="hxd.cds.layers.1.area_codes_select.oa1">'Area Code'!$AC$54</definedName>
    <definedName name="hxd.cds.layers.1.area_codes_select.oa2">'Area Code'!$AC$55</definedName>
    <definedName name="hxd.cds.layers.1.area_codes_select.oa3">'Area Code'!$AC$56</definedName>
    <definedName name="hxd.cds.layers.1.area_codes_select.oa4">'Area Code'!$AC$57</definedName>
    <definedName name="hxd.cds.layers.1.area_codes_select.oa5">'Area Code'!$AC$58</definedName>
    <definedName name="hxd.cds.layers.1.area_codes_select.oa6">'Area Code'!$AC$59</definedName>
    <definedName name="hxd.cds.layers.1.area_codes_select.ofj">'Area Code'!$AC$62</definedName>
    <definedName name="hxd.cds.layers.1.area_codes_select.ogm">'Area Code'!$CC$25</definedName>
    <definedName name="hxd.cds.layers.1.area_codes_select.onz">'Area Code'!$AC$61</definedName>
    <definedName name="hxd.cds.layers.1.area_codes_select.opg">'Area Code'!$CC$31</definedName>
    <definedName name="hxd.cds.layers.1.area_codes_select.oph">'Area Code'!$CC$17</definedName>
    <definedName name="hxd.cds.layers.1.area_codes_select.ota">'Area Code'!$AC$60</definedName>
    <definedName name="hxd.cds.layers.1.area_codes_select.sar">'Area Code'!$AC$33</definedName>
    <definedName name="hxd.cds.layers.1.area_codes_select.sbr">'Area Code'!$AC$36</definedName>
    <definedName name="hxd.cds.layers.1.area_codes_select.sbv">'Area Code'!$AC$35</definedName>
    <definedName name="hxd.cds.layers.1.area_codes_select.sbz">'Area Code'!$AC$34</definedName>
    <definedName name="hxd.cds.layers.1.area_codes_select.scl">'Area Code'!$AC$37</definedName>
    <definedName name="hxd.cds.layers.1.area_codes_select.sco">'Area Code'!$AC$38</definedName>
    <definedName name="hxd.cds.layers.1.area_codes_select.scr">'Area Code'!$AC$39</definedName>
    <definedName name="hxd.cds.layers.1.area_codes_select.sec">'Area Code'!$AC$40</definedName>
    <definedName name="hxd.cds.layers.1.area_codes_select.sel">'Area Code'!$AC$41</definedName>
    <definedName name="hxd.cds.layers.1.area_codes_select.sgt">'Area Code'!$AC$42</definedName>
    <definedName name="hxd.cds.layers.1.area_codes_select.sgy">'Area Code'!$AC$43</definedName>
    <definedName name="hxd.cds.layers.1.area_codes_select.shn">'Area Code'!$AC$44</definedName>
    <definedName name="hxd.cds.layers.1.area_codes_select.smx">'Area Code'!$AC$45</definedName>
    <definedName name="hxd.cds.layers.1.area_codes_select.snq">'Area Code'!$AC$46</definedName>
    <definedName name="hxd.cds.layers.1.area_codes_select.spa">'Area Code'!$AC$47</definedName>
    <definedName name="hxd.cds.layers.1.area_codes_select.spe">'Area Code'!$AC$49</definedName>
    <definedName name="hxd.cds.layers.1.area_codes_select.spy">'Area Code'!$AC$48</definedName>
    <definedName name="hxd.cds.layers.1.area_codes_select.suy">'Area Code'!$AC$50</definedName>
    <definedName name="hxd.cds.layers.1.area_codes_select.sve">'Area Code'!$AC$51</definedName>
    <definedName name="hxd.cds.layers.1.area_codes_select.usa01">'Area Code'!$AC$12</definedName>
    <definedName name="hxd.cds.layers.1.area_codes_select.usa02">'Area Code'!$AC$13</definedName>
    <definedName name="hxd.cds.layers.1.area_codes_select.usa03">'Area Code'!$AC$14</definedName>
    <definedName name="hxd.cds.layers.1.area_codes_select.usa04">'Area Code'!$AC$15</definedName>
    <definedName name="hxd.cds.layers.1.area_codes_select.usa05">'Area Code'!$AC$16</definedName>
    <definedName name="hxd.cds.layers.1.area_codes_select.usa06">'Area Code'!$AC$17</definedName>
    <definedName name="hxd.cds.layers.1.area_codes_select.usa07">'Area Code'!$AC$18</definedName>
    <definedName name="hxd.cds.layers.1.area_codes_select.usa08">'Area Code'!$AC$19</definedName>
    <definedName name="hxd.cds.layers.1.area_codes_select.usa09">'Area Code'!$AC$20</definedName>
    <definedName name="hxd.cds.layers.1.area_codes_select.usa10">'Area Code'!$AC$21</definedName>
    <definedName name="hxd.cds.layers.1.area_codes_select.usa11">'Area Code'!$AC$22</definedName>
    <definedName name="hxd.cds.layers.1.area_codes_select.usa12">'Area Code'!$AC$23</definedName>
    <definedName name="hxd.cds.layers.1.area_codes_select.usa13">'Area Code'!$AC$24</definedName>
    <definedName name="hxd.cds.layers.1.area_codes_select.usa14">'Area Code'!$AC$25</definedName>
    <definedName name="hxd.cds.layers.1.area_codes_select.usa15">'Area Code'!$AC$26</definedName>
    <definedName name="hxd.cds.layers.1.area_codes_select.usa16">'Area Code'!$AC$27</definedName>
    <definedName name="hxd.cds.layers.1.area_codes_select.usa20">'Area Code'!$AC$28</definedName>
    <definedName name="hxd.cds.layers.1.area_codes_select.usa21">'Area Code'!$AC$29</definedName>
    <definedName name="hxd.cds.layers.1.area_codes_select.usa22">'Area Code'!$AC$30</definedName>
    <definedName name="hxd.cds.layers.1.excess">'Rate Change'!$F$16</definedName>
    <definedName name="hxd.cds.layers.1.excess_cnv">Summary!$G$52</definedName>
    <definedName name="hxd.cds.layers.1.layer_description">'Rate Change'!$D$18</definedName>
    <definedName name="hxd.cds.layers.1.leader">Summary!$D$52</definedName>
    <definedName name="hxd.cds.layers.1.limit">'Rate Change'!$D$16</definedName>
    <definedName name="hxd.cds.layers.1.limit_cnv">Summary!$F$52</definedName>
    <definedName name="hxd.cds.layers.1.marginal_impacts.treaty_group.mi_10">Modelling!$AT$14</definedName>
    <definedName name="hxd.cds.layers.1.marginal_impacts.treaty_group.mi_250">Modelling!$AS$14</definedName>
    <definedName name="hxd.cds.layers.1.marginal_impacts.treaty_intl.mi_10">Modelling!$AW$14</definedName>
    <definedName name="hxd.cds.layers.1.marginal_impacts.treaty_intl.mi_250">Modelling!$AV$14</definedName>
    <definedName name="hxd.cds.layers.1.marginal_impacts.treaty_us.mi_10">Modelling!$AQ$14</definedName>
    <definedName name="hxd.cds.layers.1.marginal_impacts.treaty_us.mi_250">Modelling!$AP$14</definedName>
    <definedName name="hxd.cds.layers.1.model.air.gross_el">Modelling!$K$14</definedName>
    <definedName name="hxd.cds.layers.1.model.air.gross_sd">Modelling!$L$14</definedName>
    <definedName name="hxd.cds.layers.1.model.ivor.gross_el">Modelling!$H$14</definedName>
    <definedName name="hxd.cds.layers.1.model.ivor.gross_sd">Modelling!$I$14</definedName>
    <definedName name="hxd.cds.layers.1.model.nmp.description">Modelling!$R$14</definedName>
    <definedName name="hxd.cds.layers.1.model.nmp.gross_el_incl_rol">Modelling!$N$14</definedName>
    <definedName name="hxd.cds.layers.1.model.nmp.gross_sd_incl_rol">Modelling!$O$14</definedName>
    <definedName name="hxd.cds.layers.1.model.rms.gross_el">Modelling!$E$14</definedName>
    <definedName name="hxd.cds.layers.1.model.rms.gross_sd">Modelling!$F$14</definedName>
    <definedName name="hxd.cds.layers.1.model.total_air_nmp.gross_el">Modelling!$T$14</definedName>
    <definedName name="hxd.cds.layers.1.model.total_air_nmp.gross_sd">Modelling!$U$14</definedName>
    <definedName name="hxd.cds.layers.1.model.total_rms_nmp.gross_el">Modelling!$B$14</definedName>
    <definedName name="hxd.cds.layers.1.model.total_rms_nmp.gross_sd">Modelling!$C$14</definedName>
    <definedName name="hxd.cds.layers.1.quote.rol_ty.bpi">'Rate Change'!$C$59</definedName>
    <definedName name="hxd.cds.layers.1.quote.rol_ty.est_sign_written_ratio">'Rate Change'!$C$55</definedName>
    <definedName name="hxd.cds.layers.1.quote.rol_ty.estimated_signing">Summary!$V$52</definedName>
    <definedName name="hxd.cds.layers.1.quote.rol_ty.roc">Summary!$L$52</definedName>
    <definedName name="hxd.cds.layers.1.quote.rol_ty.rol_afb_tech">Summary!$J$52</definedName>
    <definedName name="hxd.cds.layers.1.quote.rol_ty.rol_fot">'Rate Change'!$C$51</definedName>
    <definedName name="hxd.cds.layers.1.quote.rol_ty.rol_quote">Summary!$H$52</definedName>
    <definedName name="hxd.cds.layers.1.quote.rol_ty.signed_line">Summary!$X$52</definedName>
    <definedName name="hxd.cds.layers.1.quote.rol_ty.ulr">'Rate Change'!$C$57</definedName>
    <definedName name="hxd.cds.layers.1.quote.rol_ty.written_line">Summary!$T$52</definedName>
    <definedName name="hxd.cds.layers.1.rate_change.comments">'Rate Change'!$E$44</definedName>
    <definedName name="hxd.cds.layers.1.rate_change.deductible_change_fixed.final">'Rate Change'!$C$33</definedName>
    <definedName name="hxd.cds.layers.1.rate_change.exposure_change_fixed.comment">'Rate Change'!$E$24</definedName>
    <definedName name="hxd.cds.layers.1.rate_change.exposure_change_fixed.final">'Rate Change'!$C$25</definedName>
    <definedName name="hxd.cds.layers.1.rate_change.limit_change_fixed.comment">'Rate Change'!$E$36</definedName>
    <definedName name="hxd.cds.layers.1.rate_change.limit_change_fixed.final">'Rate Change'!$C$37</definedName>
    <definedName name="hxd.cds.layers.1.rate_change.other_change_fixed.final">'Rate Change'!$C$45</definedName>
    <definedName name="hxd.cds.layers.1.rate_change.rationale_outside_plan">'Rate Change'!$C$61</definedName>
    <definedName name="hxd.cds.layers.1.rate_change.risk_adjusted_rate_change">'Rate Change'!$C$53</definedName>
    <definedName name="hxd.cds.layers.1.rate_change.risk_characteristics_change_fixed.final">'Rate Change'!$C$29</definedName>
    <definedName name="hxd.cds.layers.1.rate_change.rol_ly_to_use">'Rate Change'!$C$21</definedName>
    <definedName name="hxd.cds.layers.1.rate_change.rol_rebased">'Rate Change'!$C$49</definedName>
    <definedName name="hxd.cds.layers.1.rate_change.terms_conditions_change_fixed.final">'Rate Change'!$C$41</definedName>
    <definedName name="hxd.cds.layers.1.rms_regional.al_miss">Modelling!$AB$14</definedName>
    <definedName name="hxd.cds.layers.1.rms_regional.ca_wildfire">Modelling!$AN$14</definedName>
    <definedName name="hxd.cds.layers.1.rms_regional.cal_north">Modelling!$AG$14</definedName>
    <definedName name="hxd.cds.layers.1.rms_regional.cal_south">Modelling!$AF$14</definedName>
    <definedName name="hxd.cds.layers.1.rms_regional.carolinas">Modelling!$Y$14</definedName>
    <definedName name="hxd.cds.layers.1.rms_regional.fl_non_se">Modelling!$AA$14</definedName>
    <definedName name="hxd.cds.layers.1.rms_regional.fl_se">Modelling!$Z$14</definedName>
    <definedName name="hxd.cds.layers.1.rms_regional.hawaii">Modelling!$AJ$14</definedName>
    <definedName name="hxd.cds.layers.1.rms_regional.louisiana">Modelling!$AC$14</definedName>
    <definedName name="hxd.cds.layers.1.rms_regional.mid_atlantic">Modelling!$X$14</definedName>
    <definedName name="hxd.cds.layers.1.rms_regional.mid_west_1">Modelling!$AK$14</definedName>
    <definedName name="hxd.cds.layers.1.rms_regional.mid_west_2">Modelling!$AL$14</definedName>
    <definedName name="hxd.cds.layers.1.rms_regional.new_madrid">Modelling!$AI$14</definedName>
    <definedName name="hxd.cds.layers.1.rms_regional.north_east">Modelling!$W$14</definedName>
    <definedName name="hxd.cds.layers.1.rms_regional.pnw">Modelling!$AH$14</definedName>
    <definedName name="hxd.cds.layers.1.rms_regional.second_event">Modelling!$AM$14</definedName>
    <definedName name="hxd.cds.layers.1.rms_regional.tx_east">Modelling!$AD$14</definedName>
    <definedName name="hxd.cds.layers.1.rms_regional.tx_west">Modelling!$AE$14</definedName>
    <definedName name="hxd.cds.layers.1.section_reference">'Rate Change'!$D$14</definedName>
    <definedName name="hxd.cds.layers.1.summary.next_year.section_reference">Summary!$C$39</definedName>
    <definedName name="hxd.cds.layers.1.summary.ty.epi_adj_rate">Summary!$R$52</definedName>
    <definedName name="hxd.cds.layers.1.summary.ty.epi_estimated_summary_fx">Summary!$AA$52</definedName>
    <definedName name="hxd.cds.layers.1.summary.ty.epi_signed_summary_fx">Summary!$AB$52</definedName>
    <definedName name="hxd.cds.layers.1.summary.ty.epi_written_summary_fx">Summary!$Z$52</definedName>
    <definedName name="hxd.cds.layers.1.summary.ty.fot_adequacy">Summary!$O$52</definedName>
    <definedName name="hxd.cds.layers.1.summary.ty.line_estimated_summary_fx">Summary!$W$52</definedName>
    <definedName name="hxd.cds.layers.1.summary.ty.line_signed_summary_fx">Summary!$Y$52</definedName>
    <definedName name="hxd.cds.layers.1.summary.ty.line_written_summary_fx">Summary!$U$52</definedName>
    <definedName name="hxd.cds.layers.1.summary.ty.mi_10">Summary!$AE$52</definedName>
    <definedName name="hxd.cds.layers.1.summary.ty.mi_10_prem_ratio">Summary!$AF$52</definedName>
    <definedName name="hxd.cds.layers.1.summary.ty.mi_250">Summary!$AC$52</definedName>
    <definedName name="hxd.cds.layers.1.summary.ty.mi_250_prem_ratio">Summary!$AD$52</definedName>
    <definedName name="hxd.cds.layers.1.summary.ty.multi_year_period">Summary!$B$52</definedName>
    <definedName name="hxd.cds.layers.1.summary.ty.prem_full_line">Summary!$S$52</definedName>
    <definedName name="hxd.cds.layers.1.summary.ty.reinstatement_description">Summary!$K$52</definedName>
    <definedName name="hxd.cds.layers.1.summary.ty.rms_adequacy">Summary!$P$52</definedName>
    <definedName name="hxd.cds.layers.1.summary.year_after_next.section_reference">Summary!$C$26</definedName>
    <definedName name="hxd.cds.layers.2.area_codes_perc.aal">'Area Code'!$CG$41</definedName>
    <definedName name="hxd.cds.layers.2.area_codes_perc.aeg">'Area Code'!$CG$43</definedName>
    <definedName name="hxd.cds.layers.2.area_codes_perc.ali">'Area Code'!$CG$44</definedName>
    <definedName name="hxd.cds.layers.2.area_codes_perc.amo">'Area Code'!$CG$42</definedName>
    <definedName name="hxd.cds.layers.2.area_codes_perc.amu">'Area Code'!$CG$45</definedName>
    <definedName name="hxd.cds.layers.2.area_codes_perc.asa">'Area Code'!$CG$38</definedName>
    <definedName name="hxd.cds.layers.2.area_codes_perc.bag">'Area Code'!$BG$12</definedName>
    <definedName name="hxd.cds.layers.2.area_codes_perc.bah">'Area Code'!$BG$13</definedName>
    <definedName name="hxd.cds.layers.2.area_codes_perc.ban">'Area Code'!$BG$14</definedName>
    <definedName name="hxd.cds.layers.2.area_codes_perc.bbb">'Area Code'!$BG$15</definedName>
    <definedName name="hxd.cds.layers.2.area_codes_perc.bbh">'Area Code'!$BG$16</definedName>
    <definedName name="hxd.cds.layers.2.area_codes_perc.bbm">'Area Code'!$BG$17</definedName>
    <definedName name="hxd.cds.layers.2.area_codes_perc.bcb">'Area Code'!$BG$18</definedName>
    <definedName name="hxd.cds.layers.2.area_codes_perc.bcm">'Area Code'!$BG$19</definedName>
    <definedName name="hxd.cds.layers.2.area_codes_perc.bcu">'Area Code'!$BG$20</definedName>
    <definedName name="hxd.cds.layers.2.area_codes_perc.bdo">'Area Code'!$BG$21</definedName>
    <definedName name="hxd.cds.layers.2.area_codes_perc.bdr">'Area Code'!$BG$22</definedName>
    <definedName name="hxd.cds.layers.2.area_codes_perc.bgn">'Area Code'!$BG$23</definedName>
    <definedName name="hxd.cds.layers.2.area_codes_perc.bgs">'Area Code'!$BG$24</definedName>
    <definedName name="hxd.cds.layers.2.area_codes_perc.bgu">'Area Code'!$BG$25</definedName>
    <definedName name="hxd.cds.layers.2.area_codes_perc.bht">'Area Code'!$BG$26</definedName>
    <definedName name="hxd.cds.layers.2.area_codes_perc.bjm">'Area Code'!$BG$27</definedName>
    <definedName name="hxd.cds.layers.2.area_codes_perc.bkn">'Area Code'!$BG$28</definedName>
    <definedName name="hxd.cds.layers.2.area_codes_perc.bmq">'Area Code'!$BG$29</definedName>
    <definedName name="hxd.cds.layers.2.area_codes_perc.bms">'Area Code'!$BG$30</definedName>
    <definedName name="hxd.cds.layers.2.area_codes_perc.bon">'Area Code'!$BG$31</definedName>
    <definedName name="hxd.cds.layers.2.area_codes_perc.bpr">'Area Code'!$BG$32</definedName>
    <definedName name="hxd.cds.layers.2.area_codes_perc.bsl">'Area Code'!$BG$33</definedName>
    <definedName name="hxd.cds.layers.2.area_codes_perc.bsv">'Area Code'!$BG$34</definedName>
    <definedName name="hxd.cds.layers.2.area_codes_perc.bv1">'Area Code'!$BG$35</definedName>
    <definedName name="hxd.cds.layers.2.area_codes_perc.bvs">'Area Code'!$BG$36</definedName>
    <definedName name="hxd.cds.layers.2.area_codes_perc.bx7">'Area Code'!$BG$37</definedName>
    <definedName name="hxd.cds.layers.2.area_codes_perc.cat">'Area Code'!$BG$44</definedName>
    <definedName name="hxd.cds.layers.2.area_codes_perc.cbc">'Area Code'!$BG$40</definedName>
    <definedName name="hxd.cds.layers.2.area_codes_perc.cef">'Area Code'!$G$39</definedName>
    <definedName name="hxd.cds.layers.2.area_codes_perc.con">'Area Code'!$BG$42</definedName>
    <definedName name="hxd.cds.layers.2.area_codes_perc.cpr">'Area Code'!$BG$43</definedName>
    <definedName name="hxd.cds.layers.2.area_codes_perc.cqu">'Area Code'!$BG$41</definedName>
    <definedName name="hxd.cds.layers.2.area_codes_perc.eat">'Area Code'!$G$12</definedName>
    <definedName name="hxd.cds.layers.2.area_codes_perc.ebe">'Area Code'!$G$13</definedName>
    <definedName name="hxd.cds.layers.2.area_codes_perc.ebg">'Area Code'!$G$38</definedName>
    <definedName name="hxd.cds.layers.2.area_codes_perc.ech">'Area Code'!$G$14</definedName>
    <definedName name="hxd.cds.layers.2.area_codes_perc.ecx">'Area Code'!$G$40</definedName>
    <definedName name="hxd.cds.layers.2.area_codes_perc.ecz">'Area Code'!$G$41</definedName>
    <definedName name="hxd.cds.layers.2.area_codes_perc.edk">'Area Code'!$G$15</definedName>
    <definedName name="hxd.cds.layers.2.area_codes_perc.ees">'Area Code'!$G$30</definedName>
    <definedName name="hxd.cds.layers.2.area_codes_perc.efi">'Area Code'!$G$17</definedName>
    <definedName name="hxd.cds.layers.2.area_codes_perc.efr">'Area Code'!$G$18</definedName>
    <definedName name="hxd.cds.layers.2.area_codes_perc.ege">'Area Code'!$G$19</definedName>
    <definedName name="hxd.cds.layers.2.area_codes_perc.egf">'Area Code'!$G$24</definedName>
    <definedName name="hxd.cds.layers.2.area_codes_perc.egr">'Area Code'!$G$31</definedName>
    <definedName name="hxd.cds.layers.2.area_codes_perc.ehu">'Area Code'!$G$42</definedName>
    <definedName name="hxd.cds.layers.2.area_codes_perc.eic">'Area Code'!$G$20</definedName>
    <definedName name="hxd.cds.layers.2.area_codes_perc.eie">'Area Code'!$G$21</definedName>
    <definedName name="hxd.cds.layers.2.area_codes_perc.eit">'Area Code'!$G$32</definedName>
    <definedName name="hxd.cds.layers.2.area_codes_perc.emz">'Area Code'!$G$16</definedName>
    <definedName name="hxd.cds.layers.2.area_codes_perc.enl">'Area Code'!$G$22</definedName>
    <definedName name="hxd.cds.layers.2.area_codes_perc.eno">'Area Code'!$G$23</definedName>
    <definedName name="hxd.cds.layers.2.area_codes_perc.epl">'Area Code'!$G$43</definedName>
    <definedName name="hxd.cds.layers.2.area_codes_perc.ept">'Area Code'!$G$33</definedName>
    <definedName name="hxd.cds.layers.2.area_codes_perc.ero">'Area Code'!$G$44</definedName>
    <definedName name="hxd.cds.layers.2.area_codes_perc.eru">'Area Code'!$G$45</definedName>
    <definedName name="hxd.cds.layers.2.area_codes_perc.esb">'Area Code'!$G$46</definedName>
    <definedName name="hxd.cds.layers.2.area_codes_perc.esc">'Area Code'!$G$47</definedName>
    <definedName name="hxd.cds.layers.2.area_codes_perc.ese">'Area Code'!$G$25</definedName>
    <definedName name="hxd.cds.layers.2.area_codes_perc.esr">'Area Code'!$G$48</definedName>
    <definedName name="hxd.cds.layers.2.area_codes_perc.etu">'Area Code'!$G$34</definedName>
    <definedName name="hxd.cds.layers.2.area_codes_perc.euf">'Area Code'!$G$27</definedName>
    <definedName name="hxd.cds.layers.2.area_codes_perc.euk">'Area Code'!$G$26</definedName>
    <definedName name="hxd.cds.layers.2.area_codes_perc.fby">'Area Code'!$CG$28</definedName>
    <definedName name="hxd.cds.layers.2.area_codes_perc.fcq">'Area Code'!$CG$13</definedName>
    <definedName name="hxd.cds.layers.2.area_codes_perc.fct">'Area Code'!$CG$12</definedName>
    <definedName name="hxd.cds.layers.2.area_codes_perc.fcy">'Area Code'!$CG$24</definedName>
    <definedName name="hxd.cds.layers.2.area_codes_perc.fhk">'Area Code'!$CG$15</definedName>
    <definedName name="hxd.cds.layers.2.area_codes_perc.fia">'Area Code'!$CG$16</definedName>
    <definedName name="hxd.cds.layers.2.area_codes_perc.fjq">'Area Code'!$CG$21</definedName>
    <definedName name="hxd.cds.layers.2.area_codes_perc.fjw">'Area Code'!$CG$22</definedName>
    <definedName name="hxd.cds.layers.2.area_codes_perc.fkr">'Area Code'!$CG$14</definedName>
    <definedName name="hxd.cds.layers.2.area_codes_perc.fmy">'Area Code'!$CG$26</definedName>
    <definedName name="hxd.cds.layers.2.area_codes_perc.fnp">'Area Code'!$CG$29</definedName>
    <definedName name="hxd.cds.layers.2.area_codes_perc.fsk">'Area Code'!$CG$19</definedName>
    <definedName name="hxd.cds.layers.2.area_codes_perc.fsp">'Area Code'!$CG$18</definedName>
    <definedName name="hxd.cds.layers.2.area_codes_perc.fta">'Area Code'!$CG$20</definedName>
    <definedName name="hxd.cds.layers.2.area_codes_perc.fth">'Area Code'!$CG$32</definedName>
    <definedName name="hxd.cds.layers.2.area_codes_perc.fvn">'Area Code'!$CG$33</definedName>
    <definedName name="hxd.cds.layers.2.area_codes_perc.mae">'Area Code'!$CG$39</definedName>
    <definedName name="hxd.cds.layers.2.area_codes_perc.mba">'Area Code'!$CG$40</definedName>
    <definedName name="hxd.cds.layers.2.area_codes_perc.mbd">'Area Code'!$CG$23</definedName>
    <definedName name="hxd.cds.layers.2.area_codes_perc.min">'Area Code'!$CG$37</definedName>
    <definedName name="hxd.cds.layers.2.area_codes_perc.mis">'Area Code'!$CG$36</definedName>
    <definedName name="hxd.cds.layers.2.area_codes_perc.mjo">'Area Code'!$CG$46</definedName>
    <definedName name="hxd.cds.layers.2.area_codes_perc.mma">'Area Code'!$CG$27</definedName>
    <definedName name="hxd.cds.layers.2.area_codes_perc.mom">'Area Code'!$CG$47</definedName>
    <definedName name="hxd.cds.layers.2.area_codes_perc.mpk">'Area Code'!$CG$30</definedName>
    <definedName name="hxd.cds.layers.2.area_codes_perc.mqa">'Area Code'!$CG$48</definedName>
    <definedName name="hxd.cds.layers.2.area_codes_perc.oa1">'Area Code'!$AG$54</definedName>
    <definedName name="hxd.cds.layers.2.area_codes_perc.oa2">'Area Code'!$AG$55</definedName>
    <definedName name="hxd.cds.layers.2.area_codes_perc.oa3">'Area Code'!$AG$56</definedName>
    <definedName name="hxd.cds.layers.2.area_codes_perc.oa4">'Area Code'!$AG$57</definedName>
    <definedName name="hxd.cds.layers.2.area_codes_perc.oa5">'Area Code'!$AG$58</definedName>
    <definedName name="hxd.cds.layers.2.area_codes_perc.oa6">'Area Code'!$AG$59</definedName>
    <definedName name="hxd.cds.layers.2.area_codes_perc.ofj">'Area Code'!$AG$62</definedName>
    <definedName name="hxd.cds.layers.2.area_codes_perc.ogm">'Area Code'!$CG$25</definedName>
    <definedName name="hxd.cds.layers.2.area_codes_perc.onz">'Area Code'!$AG$61</definedName>
    <definedName name="hxd.cds.layers.2.area_codes_perc.opg">'Area Code'!$CG$31</definedName>
    <definedName name="hxd.cds.layers.2.area_codes_perc.oph">'Area Code'!$CG$17</definedName>
    <definedName name="hxd.cds.layers.2.area_codes_perc.ota">'Area Code'!$AG$60</definedName>
    <definedName name="hxd.cds.layers.2.area_codes_perc.sar">'Area Code'!$AG$33</definedName>
    <definedName name="hxd.cds.layers.2.area_codes_perc.sbr">'Area Code'!$AG$36</definedName>
    <definedName name="hxd.cds.layers.2.area_codes_perc.sbv">'Area Code'!$AG$35</definedName>
    <definedName name="hxd.cds.layers.2.area_codes_perc.sbz">'Area Code'!$AG$34</definedName>
    <definedName name="hxd.cds.layers.2.area_codes_perc.scl">'Area Code'!$AG$37</definedName>
    <definedName name="hxd.cds.layers.2.area_codes_perc.sco">'Area Code'!$AG$38</definedName>
    <definedName name="hxd.cds.layers.2.area_codes_perc.scr">'Area Code'!$AG$39</definedName>
    <definedName name="hxd.cds.layers.2.area_codes_perc.sec">'Area Code'!$AG$40</definedName>
    <definedName name="hxd.cds.layers.2.area_codes_perc.sel">'Area Code'!$AG$41</definedName>
    <definedName name="hxd.cds.layers.2.area_codes_perc.sgt">'Area Code'!$AG$42</definedName>
    <definedName name="hxd.cds.layers.2.area_codes_perc.sgy">'Area Code'!$AG$43</definedName>
    <definedName name="hxd.cds.layers.2.area_codes_perc.shn">'Area Code'!$AG$44</definedName>
    <definedName name="hxd.cds.layers.2.area_codes_perc.smx">'Area Code'!$AG$45</definedName>
    <definedName name="hxd.cds.layers.2.area_codes_perc.snq">'Area Code'!$AG$46</definedName>
    <definedName name="hxd.cds.layers.2.area_codes_perc.spa">'Area Code'!$AG$47</definedName>
    <definedName name="hxd.cds.layers.2.area_codes_perc.spe">'Area Code'!$AG$49</definedName>
    <definedName name="hxd.cds.layers.2.area_codes_perc.spy">'Area Code'!$AG$48</definedName>
    <definedName name="hxd.cds.layers.2.area_codes_perc.suy">'Area Code'!$AG$50</definedName>
    <definedName name="hxd.cds.layers.2.area_codes_perc.sve">'Area Code'!$AG$51</definedName>
    <definedName name="hxd.cds.layers.2.area_codes_perc.usa01">'Area Code'!$AG$12</definedName>
    <definedName name="hxd.cds.layers.2.area_codes_perc.usa02">'Area Code'!$AG$13</definedName>
    <definedName name="hxd.cds.layers.2.area_codes_perc.usa03">'Area Code'!$AG$14</definedName>
    <definedName name="hxd.cds.layers.2.area_codes_perc.usa04">'Area Code'!$AG$15</definedName>
    <definedName name="hxd.cds.layers.2.area_codes_perc.usa05">'Area Code'!$AG$16</definedName>
    <definedName name="hxd.cds.layers.2.area_codes_perc.usa06">'Area Code'!$AG$17</definedName>
    <definedName name="hxd.cds.layers.2.area_codes_perc.usa07">'Area Code'!$AG$18</definedName>
    <definedName name="hxd.cds.layers.2.area_codes_perc.usa08">'Area Code'!$AG$19</definedName>
    <definedName name="hxd.cds.layers.2.area_codes_perc.usa09">'Area Code'!$AG$20</definedName>
    <definedName name="hxd.cds.layers.2.area_codes_perc.usa10">'Area Code'!$AG$21</definedName>
    <definedName name="hxd.cds.layers.2.area_codes_perc.usa11">'Area Code'!$AG$22</definedName>
    <definedName name="hxd.cds.layers.2.area_codes_perc.usa12">'Area Code'!$AG$23</definedName>
    <definedName name="hxd.cds.layers.2.area_codes_perc.usa13">'Area Code'!$AG$24</definedName>
    <definedName name="hxd.cds.layers.2.area_codes_perc.usa14">'Area Code'!$AG$25</definedName>
    <definedName name="hxd.cds.layers.2.area_codes_perc.usa15">'Area Code'!$AG$26</definedName>
    <definedName name="hxd.cds.layers.2.area_codes_perc.usa16">'Area Code'!$AG$27</definedName>
    <definedName name="hxd.cds.layers.2.area_codes_perc.usa20">'Area Code'!$AG$28</definedName>
    <definedName name="hxd.cds.layers.2.area_codes_perc.usa21">'Area Code'!$AG$29</definedName>
    <definedName name="hxd.cds.layers.2.area_codes_perc.usa22">'Area Code'!$AG$30</definedName>
    <definedName name="hxd.cds.layers.2.area_codes_select.aal">'Area Code'!$CF$41</definedName>
    <definedName name="hxd.cds.layers.2.area_codes_select.aeg">'Area Code'!$CF$43</definedName>
    <definedName name="hxd.cds.layers.2.area_codes_select.ali">'Area Code'!$CF$44</definedName>
    <definedName name="hxd.cds.layers.2.area_codes_select.amo">'Area Code'!$CF$42</definedName>
    <definedName name="hxd.cds.layers.2.area_codes_select.amu">'Area Code'!$CF$45</definedName>
    <definedName name="hxd.cds.layers.2.area_codes_select.asa">'Area Code'!$CF$38</definedName>
    <definedName name="hxd.cds.layers.2.area_codes_select.bag">'Area Code'!$BF$12</definedName>
    <definedName name="hxd.cds.layers.2.area_codes_select.bah">'Area Code'!$BF$13</definedName>
    <definedName name="hxd.cds.layers.2.area_codes_select.ban">'Area Code'!$BF$14</definedName>
    <definedName name="hxd.cds.layers.2.area_codes_select.bbb">'Area Code'!$BF$15</definedName>
    <definedName name="hxd.cds.layers.2.area_codes_select.bbh">'Area Code'!$BF$16</definedName>
    <definedName name="hxd.cds.layers.2.area_codes_select.bbm">'Area Code'!$BF$17</definedName>
    <definedName name="hxd.cds.layers.2.area_codes_select.bcb">'Area Code'!$BF$18</definedName>
    <definedName name="hxd.cds.layers.2.area_codes_select.bcm">'Area Code'!$BF$19</definedName>
    <definedName name="hxd.cds.layers.2.area_codes_select.bcu">'Area Code'!$BF$20</definedName>
    <definedName name="hxd.cds.layers.2.area_codes_select.bdo">'Area Code'!$BF$21</definedName>
    <definedName name="hxd.cds.layers.2.area_codes_select.bdr">'Area Code'!$BF$22</definedName>
    <definedName name="hxd.cds.layers.2.area_codes_select.bgn">'Area Code'!$BF$23</definedName>
    <definedName name="hxd.cds.layers.2.area_codes_select.bgs">'Area Code'!$BF$24</definedName>
    <definedName name="hxd.cds.layers.2.area_codes_select.bgu">'Area Code'!$BF$25</definedName>
    <definedName name="hxd.cds.layers.2.area_codes_select.bht">'Area Code'!$BF$26</definedName>
    <definedName name="hxd.cds.layers.2.area_codes_select.bjm">'Area Code'!$BF$27</definedName>
    <definedName name="hxd.cds.layers.2.area_codes_select.bkn">'Area Code'!$BF$28</definedName>
    <definedName name="hxd.cds.layers.2.area_codes_select.bmq">'Area Code'!$BF$29</definedName>
    <definedName name="hxd.cds.layers.2.area_codes_select.bms">'Area Code'!$BF$30</definedName>
    <definedName name="hxd.cds.layers.2.area_codes_select.bon">'Area Code'!$BF$31</definedName>
    <definedName name="hxd.cds.layers.2.area_codes_select.bpr">'Area Code'!$BF$32</definedName>
    <definedName name="hxd.cds.layers.2.area_codes_select.bsl">'Area Code'!$BF$33</definedName>
    <definedName name="hxd.cds.layers.2.area_codes_select.bsv">'Area Code'!$BF$34</definedName>
    <definedName name="hxd.cds.layers.2.area_codes_select.bv1">'Area Code'!$BF$35</definedName>
    <definedName name="hxd.cds.layers.2.area_codes_select.bvs">'Area Code'!$BF$36</definedName>
    <definedName name="hxd.cds.layers.2.area_codes_select.bx7">'Area Code'!$BF$37</definedName>
    <definedName name="hxd.cds.layers.2.area_codes_select.cat">'Area Code'!$BF$44</definedName>
    <definedName name="hxd.cds.layers.2.area_codes_select.cbc">'Area Code'!$BF$40</definedName>
    <definedName name="hxd.cds.layers.2.area_codes_select.cef">'Area Code'!$F$39</definedName>
    <definedName name="hxd.cds.layers.2.area_codes_select.con">'Area Code'!$BF$42</definedName>
    <definedName name="hxd.cds.layers.2.area_codes_select.cpr">'Area Code'!$BF$43</definedName>
    <definedName name="hxd.cds.layers.2.area_codes_select.cqu">'Area Code'!$BF$41</definedName>
    <definedName name="hxd.cds.layers.2.area_codes_select.eat">'Area Code'!$F$12</definedName>
    <definedName name="hxd.cds.layers.2.area_codes_select.ebe">'Area Code'!$F$13</definedName>
    <definedName name="hxd.cds.layers.2.area_codes_select.ebg">'Area Code'!$F$38</definedName>
    <definedName name="hxd.cds.layers.2.area_codes_select.ech">'Area Code'!$F$14</definedName>
    <definedName name="hxd.cds.layers.2.area_codes_select.ecx">'Area Code'!$F$40</definedName>
    <definedName name="hxd.cds.layers.2.area_codes_select.ecz">'Area Code'!$F$41</definedName>
    <definedName name="hxd.cds.layers.2.area_codes_select.edk">'Area Code'!$F$15</definedName>
    <definedName name="hxd.cds.layers.2.area_codes_select.ees">'Area Code'!$F$30</definedName>
    <definedName name="hxd.cds.layers.2.area_codes_select.efi">'Area Code'!$F$17</definedName>
    <definedName name="hxd.cds.layers.2.area_codes_select.efr">'Area Code'!$F$18</definedName>
    <definedName name="hxd.cds.layers.2.area_codes_select.ege">'Area Code'!$F$19</definedName>
    <definedName name="hxd.cds.layers.2.area_codes_select.egf">'Area Code'!$F$24</definedName>
    <definedName name="hxd.cds.layers.2.area_codes_select.egr">'Area Code'!$F$31</definedName>
    <definedName name="hxd.cds.layers.2.area_codes_select.ehu">'Area Code'!$F$42</definedName>
    <definedName name="hxd.cds.layers.2.area_codes_select.eic">'Area Code'!$F$20</definedName>
    <definedName name="hxd.cds.layers.2.area_codes_select.eie">'Area Code'!$F$21</definedName>
    <definedName name="hxd.cds.layers.2.area_codes_select.eit">'Area Code'!$F$32</definedName>
    <definedName name="hxd.cds.layers.2.area_codes_select.emz">'Area Code'!$F$16</definedName>
    <definedName name="hxd.cds.layers.2.area_codes_select.enl">'Area Code'!$F$22</definedName>
    <definedName name="hxd.cds.layers.2.area_codes_select.eno">'Area Code'!$F$23</definedName>
    <definedName name="hxd.cds.layers.2.area_codes_select.epl">'Area Code'!$F$43</definedName>
    <definedName name="hxd.cds.layers.2.area_codes_select.ept">'Area Code'!$F$33</definedName>
    <definedName name="hxd.cds.layers.2.area_codes_select.ero">'Area Code'!$F$44</definedName>
    <definedName name="hxd.cds.layers.2.area_codes_select.eru">'Area Code'!$F$45</definedName>
    <definedName name="hxd.cds.layers.2.area_codes_select.esb">'Area Code'!$F$46</definedName>
    <definedName name="hxd.cds.layers.2.area_codes_select.esc">'Area Code'!$F$47</definedName>
    <definedName name="hxd.cds.layers.2.area_codes_select.ese">'Area Code'!$F$25</definedName>
    <definedName name="hxd.cds.layers.2.area_codes_select.esr">'Area Code'!$F$48</definedName>
    <definedName name="hxd.cds.layers.2.area_codes_select.etu">'Area Code'!$F$34</definedName>
    <definedName name="hxd.cds.layers.2.area_codes_select.euf">'Area Code'!$F$27</definedName>
    <definedName name="hxd.cds.layers.2.area_codes_select.euk">'Area Code'!$F$26</definedName>
    <definedName name="hxd.cds.layers.2.area_codes_select.fby">'Area Code'!$CF$28</definedName>
    <definedName name="hxd.cds.layers.2.area_codes_select.fcq">'Area Code'!$CF$13</definedName>
    <definedName name="hxd.cds.layers.2.area_codes_select.fct">'Area Code'!$CF$12</definedName>
    <definedName name="hxd.cds.layers.2.area_codes_select.fcy">'Area Code'!$CF$24</definedName>
    <definedName name="hxd.cds.layers.2.area_codes_select.fhk">'Area Code'!$CF$15</definedName>
    <definedName name="hxd.cds.layers.2.area_codes_select.fia">'Area Code'!$CF$16</definedName>
    <definedName name="hxd.cds.layers.2.area_codes_select.fjq">'Area Code'!$CF$21</definedName>
    <definedName name="hxd.cds.layers.2.area_codes_select.fjw">'Area Code'!$CF$22</definedName>
    <definedName name="hxd.cds.layers.2.area_codes_select.fkr">'Area Code'!$CF$14</definedName>
    <definedName name="hxd.cds.layers.2.area_codes_select.fmy">'Area Code'!$CF$26</definedName>
    <definedName name="hxd.cds.layers.2.area_codes_select.fnp">'Area Code'!$CF$29</definedName>
    <definedName name="hxd.cds.layers.2.area_codes_select.fsk">'Area Code'!$CF$19</definedName>
    <definedName name="hxd.cds.layers.2.area_codes_select.fsp">'Area Code'!$CF$18</definedName>
    <definedName name="hxd.cds.layers.2.area_codes_select.fta">'Area Code'!$CF$20</definedName>
    <definedName name="hxd.cds.layers.2.area_codes_select.fth">'Area Code'!$CF$32</definedName>
    <definedName name="hxd.cds.layers.2.area_codes_select.fvn">'Area Code'!$CF$33</definedName>
    <definedName name="hxd.cds.layers.2.area_codes_select.mae">'Area Code'!$CF$39</definedName>
    <definedName name="hxd.cds.layers.2.area_codes_select.mba">'Area Code'!$CF$40</definedName>
    <definedName name="hxd.cds.layers.2.area_codes_select.mbd">'Area Code'!$CF$23</definedName>
    <definedName name="hxd.cds.layers.2.area_codes_select.min">'Area Code'!$CF$37</definedName>
    <definedName name="hxd.cds.layers.2.area_codes_select.mis">'Area Code'!$CF$36</definedName>
    <definedName name="hxd.cds.layers.2.area_codes_select.mjo">'Area Code'!$CF$46</definedName>
    <definedName name="hxd.cds.layers.2.area_codes_select.mma">'Area Code'!$CF$27</definedName>
    <definedName name="hxd.cds.layers.2.area_codes_select.mom">'Area Code'!$CF$47</definedName>
    <definedName name="hxd.cds.layers.2.area_codes_select.mpk">'Area Code'!$CF$30</definedName>
    <definedName name="hxd.cds.layers.2.area_codes_select.mqa">'Area Code'!$CF$48</definedName>
    <definedName name="hxd.cds.layers.2.area_codes_select.oa1">'Area Code'!$AF$54</definedName>
    <definedName name="hxd.cds.layers.2.area_codes_select.oa2">'Area Code'!$AF$55</definedName>
    <definedName name="hxd.cds.layers.2.area_codes_select.oa3">'Area Code'!$AF$56</definedName>
    <definedName name="hxd.cds.layers.2.area_codes_select.oa4">'Area Code'!$AF$57</definedName>
    <definedName name="hxd.cds.layers.2.area_codes_select.oa5">'Area Code'!$AF$58</definedName>
    <definedName name="hxd.cds.layers.2.area_codes_select.oa6">'Area Code'!$AF$59</definedName>
    <definedName name="hxd.cds.layers.2.area_codes_select.ofj">'Area Code'!$AF$62</definedName>
    <definedName name="hxd.cds.layers.2.area_codes_select.ogm">'Area Code'!$CF$25</definedName>
    <definedName name="hxd.cds.layers.2.area_codes_select.onz">'Area Code'!$AF$61</definedName>
    <definedName name="hxd.cds.layers.2.area_codes_select.opg">'Area Code'!$CF$31</definedName>
    <definedName name="hxd.cds.layers.2.area_codes_select.oph">'Area Code'!$CF$17</definedName>
    <definedName name="hxd.cds.layers.2.area_codes_select.ota">'Area Code'!$AF$60</definedName>
    <definedName name="hxd.cds.layers.2.area_codes_select.sar">'Area Code'!$AF$33</definedName>
    <definedName name="hxd.cds.layers.2.area_codes_select.sbr">'Area Code'!$AF$36</definedName>
    <definedName name="hxd.cds.layers.2.area_codes_select.sbv">'Area Code'!$AF$35</definedName>
    <definedName name="hxd.cds.layers.2.area_codes_select.sbz">'Area Code'!$AF$34</definedName>
    <definedName name="hxd.cds.layers.2.area_codes_select.scl">'Area Code'!$AF$37</definedName>
    <definedName name="hxd.cds.layers.2.area_codes_select.sco">'Area Code'!$AF$38</definedName>
    <definedName name="hxd.cds.layers.2.area_codes_select.scr">'Area Code'!$AF$39</definedName>
    <definedName name="hxd.cds.layers.2.area_codes_select.sec">'Area Code'!$AF$40</definedName>
    <definedName name="hxd.cds.layers.2.area_codes_select.sel">'Area Code'!$AF$41</definedName>
    <definedName name="hxd.cds.layers.2.area_codes_select.sgt">'Area Code'!$AF$42</definedName>
    <definedName name="hxd.cds.layers.2.area_codes_select.sgy">'Area Code'!$AF$43</definedName>
    <definedName name="hxd.cds.layers.2.area_codes_select.shn">'Area Code'!$AF$44</definedName>
    <definedName name="hxd.cds.layers.2.area_codes_select.smx">'Area Code'!$AF$45</definedName>
    <definedName name="hxd.cds.layers.2.area_codes_select.snq">'Area Code'!$AF$46</definedName>
    <definedName name="hxd.cds.layers.2.area_codes_select.spa">'Area Code'!$AF$47</definedName>
    <definedName name="hxd.cds.layers.2.area_codes_select.spe">'Area Code'!$AF$49</definedName>
    <definedName name="hxd.cds.layers.2.area_codes_select.spy">'Area Code'!$AF$48</definedName>
    <definedName name="hxd.cds.layers.2.area_codes_select.suy">'Area Code'!$AF$50</definedName>
    <definedName name="hxd.cds.layers.2.area_codes_select.sve">'Area Code'!$AF$51</definedName>
    <definedName name="hxd.cds.layers.2.area_codes_select.usa01">'Area Code'!$AF$12</definedName>
    <definedName name="hxd.cds.layers.2.area_codes_select.usa02">'Area Code'!$AF$13</definedName>
    <definedName name="hxd.cds.layers.2.area_codes_select.usa03">'Area Code'!$AF$14</definedName>
    <definedName name="hxd.cds.layers.2.area_codes_select.usa04">'Area Code'!$AF$15</definedName>
    <definedName name="hxd.cds.layers.2.area_codes_select.usa05">'Area Code'!$AF$16</definedName>
    <definedName name="hxd.cds.layers.2.area_codes_select.usa06">'Area Code'!$AF$17</definedName>
    <definedName name="hxd.cds.layers.2.area_codes_select.usa07">'Area Code'!$AF$18</definedName>
    <definedName name="hxd.cds.layers.2.area_codes_select.usa08">'Area Code'!$AF$19</definedName>
    <definedName name="hxd.cds.layers.2.area_codes_select.usa09">'Area Code'!$AF$20</definedName>
    <definedName name="hxd.cds.layers.2.area_codes_select.usa10">'Area Code'!$AF$21</definedName>
    <definedName name="hxd.cds.layers.2.area_codes_select.usa11">'Area Code'!$AF$22</definedName>
    <definedName name="hxd.cds.layers.2.area_codes_select.usa12">'Area Code'!$AF$23</definedName>
    <definedName name="hxd.cds.layers.2.area_codes_select.usa13">'Area Code'!$AF$24</definedName>
    <definedName name="hxd.cds.layers.2.area_codes_select.usa14">'Area Code'!$AF$25</definedName>
    <definedName name="hxd.cds.layers.2.area_codes_select.usa15">'Area Code'!$AF$26</definedName>
    <definedName name="hxd.cds.layers.2.area_codes_select.usa16">'Area Code'!$AF$27</definedName>
    <definedName name="hxd.cds.layers.2.area_codes_select.usa20">'Area Code'!$AF$28</definedName>
    <definedName name="hxd.cds.layers.2.area_codes_select.usa21">'Area Code'!$AF$29</definedName>
    <definedName name="hxd.cds.layers.2.area_codes_select.usa22">'Area Code'!$AF$30</definedName>
    <definedName name="hxd.cds.layers.2.excess">'Rate Change'!$L$16</definedName>
    <definedName name="hxd.cds.layers.2.excess_cnv">Summary!$G$53</definedName>
    <definedName name="hxd.cds.layers.2.layer_description">'Rate Change'!$J$18</definedName>
    <definedName name="hxd.cds.layers.2.leader">Summary!$D$53</definedName>
    <definedName name="hxd.cds.layers.2.limit">'Rate Change'!$J$16</definedName>
    <definedName name="hxd.cds.layers.2.limit_cnv">Summary!$F$53</definedName>
    <definedName name="hxd.cds.layers.2.marginal_impacts.treaty_group.mi_10">Modelling!$AT$15</definedName>
    <definedName name="hxd.cds.layers.2.marginal_impacts.treaty_group.mi_250">Modelling!$AS$15</definedName>
    <definedName name="hxd.cds.layers.2.marginal_impacts.treaty_intl.mi_10">Modelling!$AW$15</definedName>
    <definedName name="hxd.cds.layers.2.marginal_impacts.treaty_intl.mi_250">Modelling!$AV$15</definedName>
    <definedName name="hxd.cds.layers.2.marginal_impacts.treaty_us.mi_10">Modelling!$AQ$15</definedName>
    <definedName name="hxd.cds.layers.2.marginal_impacts.treaty_us.mi_250">Modelling!$AP$15</definedName>
    <definedName name="hxd.cds.layers.2.model.air.gross_el">Modelling!$K$15</definedName>
    <definedName name="hxd.cds.layers.2.model.air.gross_sd">Modelling!$L$15</definedName>
    <definedName name="hxd.cds.layers.2.model.ivor.gross_el">Modelling!$H$15</definedName>
    <definedName name="hxd.cds.layers.2.model.ivor.gross_sd">Modelling!$I$15</definedName>
    <definedName name="hxd.cds.layers.2.model.nmp.description">Modelling!$R$15</definedName>
    <definedName name="hxd.cds.layers.2.model.nmp.gross_el_incl_rol">Modelling!$N$15</definedName>
    <definedName name="hxd.cds.layers.2.model.nmp.gross_sd_incl_rol">Modelling!$O$15</definedName>
    <definedName name="hxd.cds.layers.2.model.rms.gross_el">Modelling!$E$15</definedName>
    <definedName name="hxd.cds.layers.2.model.rms.gross_sd">Modelling!$F$15</definedName>
    <definedName name="hxd.cds.layers.2.model.total_air_nmp.gross_el">Modelling!$T$15</definedName>
    <definedName name="hxd.cds.layers.2.model.total_air_nmp.gross_sd">Modelling!$U$15</definedName>
    <definedName name="hxd.cds.layers.2.model.total_rms_nmp.gross_el">Modelling!$B$15</definedName>
    <definedName name="hxd.cds.layers.2.model.total_rms_nmp.gross_sd">Modelling!$C$15</definedName>
    <definedName name="hxd.cds.layers.2.quote.rol_ty.bpi">'Rate Change'!$I$59</definedName>
    <definedName name="hxd.cds.layers.2.quote.rol_ty.est_sign_written_ratio">'Rate Change'!$I$55</definedName>
    <definedName name="hxd.cds.layers.2.quote.rol_ty.estimated_signing">Summary!$V$53</definedName>
    <definedName name="hxd.cds.layers.2.quote.rol_ty.roc">Summary!$L$53</definedName>
    <definedName name="hxd.cds.layers.2.quote.rol_ty.rol_afb_tech">Summary!$J$53</definedName>
    <definedName name="hxd.cds.layers.2.quote.rol_ty.rol_fot">'Rate Change'!$I$51</definedName>
    <definedName name="hxd.cds.layers.2.quote.rol_ty.rol_quote">Summary!$H$53</definedName>
    <definedName name="hxd.cds.layers.2.quote.rol_ty.signed_line">Summary!$X$53</definedName>
    <definedName name="hxd.cds.layers.2.quote.rol_ty.ulr">'Rate Change'!$I$57</definedName>
    <definedName name="hxd.cds.layers.2.quote.rol_ty.written_line">Summary!$T$53</definedName>
    <definedName name="hxd.cds.layers.2.rate_change.comments">'Rate Change'!$K$44</definedName>
    <definedName name="hxd.cds.layers.2.rate_change.deductible_change_fixed.final">'Rate Change'!$I$33</definedName>
    <definedName name="hxd.cds.layers.2.rate_change.exposure_change_fixed.comment">'Rate Change'!$K$24</definedName>
    <definedName name="hxd.cds.layers.2.rate_change.exposure_change_fixed.final">'Rate Change'!$I$25</definedName>
    <definedName name="hxd.cds.layers.2.rate_change.limit_change_fixed.comment">'Rate Change'!$K$36</definedName>
    <definedName name="hxd.cds.layers.2.rate_change.limit_change_fixed.final">'Rate Change'!$I$37</definedName>
    <definedName name="hxd.cds.layers.2.rate_change.other_change_fixed.final">'Rate Change'!$I$45</definedName>
    <definedName name="hxd.cds.layers.2.rate_change.rationale_outside_plan">'Rate Change'!$I$61</definedName>
    <definedName name="hxd.cds.layers.2.rate_change.risk_adjusted_rate_change">'Rate Change'!$I$53</definedName>
    <definedName name="hxd.cds.layers.2.rate_change.risk_characteristics_change_fixed.final">'Rate Change'!$I$29</definedName>
    <definedName name="hxd.cds.layers.2.rate_change.rol_ly_to_use">'Rate Change'!$I$21</definedName>
    <definedName name="hxd.cds.layers.2.rate_change.rol_rebased">'Rate Change'!$I$49</definedName>
    <definedName name="hxd.cds.layers.2.rate_change.terms_conditions_change_fixed.final">'Rate Change'!$I$41</definedName>
    <definedName name="hxd.cds.layers.2.rms_regional.al_miss">Modelling!$AB$15</definedName>
    <definedName name="hxd.cds.layers.2.rms_regional.ca_wildfire">Modelling!$AN$15</definedName>
    <definedName name="hxd.cds.layers.2.rms_regional.cal_north">Modelling!$AG$15</definedName>
    <definedName name="hxd.cds.layers.2.rms_regional.cal_south">Modelling!$AF$15</definedName>
    <definedName name="hxd.cds.layers.2.rms_regional.carolinas">Modelling!$Y$15</definedName>
    <definedName name="hxd.cds.layers.2.rms_regional.fl_non_se">Modelling!$AA$15</definedName>
    <definedName name="hxd.cds.layers.2.rms_regional.fl_se">Modelling!$Z$15</definedName>
    <definedName name="hxd.cds.layers.2.rms_regional.hawaii">Modelling!$AJ$15</definedName>
    <definedName name="hxd.cds.layers.2.rms_regional.louisiana">Modelling!$AC$15</definedName>
    <definedName name="hxd.cds.layers.2.rms_regional.mid_atlantic">Modelling!$X$15</definedName>
    <definedName name="hxd.cds.layers.2.rms_regional.mid_west_1">Modelling!$AK$15</definedName>
    <definedName name="hxd.cds.layers.2.rms_regional.mid_west_2">Modelling!$AL$15</definedName>
    <definedName name="hxd.cds.layers.2.rms_regional.new_madrid">Modelling!$AI$15</definedName>
    <definedName name="hxd.cds.layers.2.rms_regional.north_east">Modelling!$W$15</definedName>
    <definedName name="hxd.cds.layers.2.rms_regional.pnw">Modelling!$AH$15</definedName>
    <definedName name="hxd.cds.layers.2.rms_regional.second_event">Modelling!$AM$15</definedName>
    <definedName name="hxd.cds.layers.2.rms_regional.tx_east">Modelling!$AD$15</definedName>
    <definedName name="hxd.cds.layers.2.rms_regional.tx_west">Modelling!$AE$15</definedName>
    <definedName name="hxd.cds.layers.2.section_reference">'Rate Change'!$J$14</definedName>
    <definedName name="hxd.cds.layers.2.summary.next_year.section_reference">Summary!$C$40</definedName>
    <definedName name="hxd.cds.layers.2.summary.ty.epi_adj_rate">Summary!$R$53</definedName>
    <definedName name="hxd.cds.layers.2.summary.ty.epi_estimated_summary_fx">Summary!$AA$53</definedName>
    <definedName name="hxd.cds.layers.2.summary.ty.epi_signed_summary_fx">Summary!$AB$53</definedName>
    <definedName name="hxd.cds.layers.2.summary.ty.epi_written_summary_fx">Summary!$Z$53</definedName>
    <definedName name="hxd.cds.layers.2.summary.ty.fot_adequacy">Summary!$O$53</definedName>
    <definedName name="hxd.cds.layers.2.summary.ty.line_estimated_summary_fx">Summary!$W$53</definedName>
    <definedName name="hxd.cds.layers.2.summary.ty.line_signed_summary_fx">Summary!$Y$53</definedName>
    <definedName name="hxd.cds.layers.2.summary.ty.line_written_summary_fx">Summary!$U$53</definedName>
    <definedName name="hxd.cds.layers.2.summary.ty.mi_10">Summary!$AE$53</definedName>
    <definedName name="hxd.cds.layers.2.summary.ty.mi_10_prem_ratio">Summary!$AF$53</definedName>
    <definedName name="hxd.cds.layers.2.summary.ty.mi_250">Summary!$AC$53</definedName>
    <definedName name="hxd.cds.layers.2.summary.ty.mi_250_prem_ratio">Summary!$AD$53</definedName>
    <definedName name="hxd.cds.layers.2.summary.ty.multi_year_period">Summary!$B$53</definedName>
    <definedName name="hxd.cds.layers.2.summary.ty.prem_full_line">Summary!$S$53</definedName>
    <definedName name="hxd.cds.layers.2.summary.ty.reinstatement_description">Summary!$K$53</definedName>
    <definedName name="hxd.cds.layers.2.summary.ty.rms_adequacy">Summary!$P$53</definedName>
    <definedName name="hxd.cds.layers.2.summary.year_after_next.section_reference">Summary!$C$27</definedName>
    <definedName name="hxd.cds.layers.3.area_codes_perc.aal">'Area Code'!$CJ$41</definedName>
    <definedName name="hxd.cds.layers.3.area_codes_perc.aeg">'Area Code'!$CJ$43</definedName>
    <definedName name="hxd.cds.layers.3.area_codes_perc.ali">'Area Code'!$CJ$44</definedName>
    <definedName name="hxd.cds.layers.3.area_codes_perc.amo">'Area Code'!$CJ$42</definedName>
    <definedName name="hxd.cds.layers.3.area_codes_perc.amu">'Area Code'!$CJ$45</definedName>
    <definedName name="hxd.cds.layers.3.area_codes_perc.asa">'Area Code'!$CJ$38</definedName>
    <definedName name="hxd.cds.layers.3.area_codes_perc.bag">'Area Code'!$BJ$12</definedName>
    <definedName name="hxd.cds.layers.3.area_codes_perc.bah">'Area Code'!$BJ$13</definedName>
    <definedName name="hxd.cds.layers.3.area_codes_perc.ban">'Area Code'!$BJ$14</definedName>
    <definedName name="hxd.cds.layers.3.area_codes_perc.bbb">'Area Code'!$BJ$15</definedName>
    <definedName name="hxd.cds.layers.3.area_codes_perc.bbh">'Area Code'!$BJ$16</definedName>
    <definedName name="hxd.cds.layers.3.area_codes_perc.bbm">'Area Code'!$BJ$17</definedName>
    <definedName name="hxd.cds.layers.3.area_codes_perc.bcb">'Area Code'!$BJ$18</definedName>
    <definedName name="hxd.cds.layers.3.area_codes_perc.bcm">'Area Code'!$BJ$19</definedName>
    <definedName name="hxd.cds.layers.3.area_codes_perc.bcu">'Area Code'!$BJ$20</definedName>
    <definedName name="hxd.cds.layers.3.area_codes_perc.bdo">'Area Code'!$BJ$21</definedName>
    <definedName name="hxd.cds.layers.3.area_codes_perc.bdr">'Area Code'!$BJ$22</definedName>
    <definedName name="hxd.cds.layers.3.area_codes_perc.bgn">'Area Code'!$BJ$23</definedName>
    <definedName name="hxd.cds.layers.3.area_codes_perc.bgs">'Area Code'!$BJ$24</definedName>
    <definedName name="hxd.cds.layers.3.area_codes_perc.bgu">'Area Code'!$BJ$25</definedName>
    <definedName name="hxd.cds.layers.3.area_codes_perc.bht">'Area Code'!$BJ$26</definedName>
    <definedName name="hxd.cds.layers.3.area_codes_perc.bjm">'Area Code'!$BJ$27</definedName>
    <definedName name="hxd.cds.layers.3.area_codes_perc.bkn">'Area Code'!$BJ$28</definedName>
    <definedName name="hxd.cds.layers.3.area_codes_perc.bmq">'Area Code'!$BJ$29</definedName>
    <definedName name="hxd.cds.layers.3.area_codes_perc.bms">'Area Code'!$BJ$30</definedName>
    <definedName name="hxd.cds.layers.3.area_codes_perc.bon">'Area Code'!$BJ$31</definedName>
    <definedName name="hxd.cds.layers.3.area_codes_perc.bpr">'Area Code'!$BJ$32</definedName>
    <definedName name="hxd.cds.layers.3.area_codes_perc.bsl">'Area Code'!$BJ$33</definedName>
    <definedName name="hxd.cds.layers.3.area_codes_perc.bsv">'Area Code'!$BJ$34</definedName>
    <definedName name="hxd.cds.layers.3.area_codes_perc.bv1">'Area Code'!$BJ$35</definedName>
    <definedName name="hxd.cds.layers.3.area_codes_perc.bvs">'Area Code'!$BJ$36</definedName>
    <definedName name="hxd.cds.layers.3.area_codes_perc.bx7">'Area Code'!$BJ$37</definedName>
    <definedName name="hxd.cds.layers.3.area_codes_perc.cat">'Area Code'!$BJ$44</definedName>
    <definedName name="hxd.cds.layers.3.area_codes_perc.cbc">'Area Code'!$BJ$40</definedName>
    <definedName name="hxd.cds.layers.3.area_codes_perc.cef">'Area Code'!$J$39</definedName>
    <definedName name="hxd.cds.layers.3.area_codes_perc.con">'Area Code'!$BJ$42</definedName>
    <definedName name="hxd.cds.layers.3.area_codes_perc.cpr">'Area Code'!$BJ$43</definedName>
    <definedName name="hxd.cds.layers.3.area_codes_perc.cqu">'Area Code'!$BJ$41</definedName>
    <definedName name="hxd.cds.layers.3.area_codes_perc.eat">'Area Code'!$J$12</definedName>
    <definedName name="hxd.cds.layers.3.area_codes_perc.ebe">'Area Code'!$J$13</definedName>
    <definedName name="hxd.cds.layers.3.area_codes_perc.ebg">'Area Code'!$J$38</definedName>
    <definedName name="hxd.cds.layers.3.area_codes_perc.ech">'Area Code'!$J$14</definedName>
    <definedName name="hxd.cds.layers.3.area_codes_perc.ecx">'Area Code'!$J$40</definedName>
    <definedName name="hxd.cds.layers.3.area_codes_perc.ecz">'Area Code'!$J$41</definedName>
    <definedName name="hxd.cds.layers.3.area_codes_perc.edk">'Area Code'!$J$15</definedName>
    <definedName name="hxd.cds.layers.3.area_codes_perc.ees">'Area Code'!$J$30</definedName>
    <definedName name="hxd.cds.layers.3.area_codes_perc.efi">'Area Code'!$J$17</definedName>
    <definedName name="hxd.cds.layers.3.area_codes_perc.efr">'Area Code'!$J$18</definedName>
    <definedName name="hxd.cds.layers.3.area_codes_perc.ege">'Area Code'!$J$19</definedName>
    <definedName name="hxd.cds.layers.3.area_codes_perc.egf">'Area Code'!$J$24</definedName>
    <definedName name="hxd.cds.layers.3.area_codes_perc.egr">'Area Code'!$J$31</definedName>
    <definedName name="hxd.cds.layers.3.area_codes_perc.ehu">'Area Code'!$J$42</definedName>
    <definedName name="hxd.cds.layers.3.area_codes_perc.eic">'Area Code'!$J$20</definedName>
    <definedName name="hxd.cds.layers.3.area_codes_perc.eie">'Area Code'!$J$21</definedName>
    <definedName name="hxd.cds.layers.3.area_codes_perc.eit">'Area Code'!$J$32</definedName>
    <definedName name="hxd.cds.layers.3.area_codes_perc.emz">'Area Code'!$J$16</definedName>
    <definedName name="hxd.cds.layers.3.area_codes_perc.enl">'Area Code'!$J$22</definedName>
    <definedName name="hxd.cds.layers.3.area_codes_perc.eno">'Area Code'!$J$23</definedName>
    <definedName name="hxd.cds.layers.3.area_codes_perc.epl">'Area Code'!$J$43</definedName>
    <definedName name="hxd.cds.layers.3.area_codes_perc.ept">'Area Code'!$J$33</definedName>
    <definedName name="hxd.cds.layers.3.area_codes_perc.ero">'Area Code'!$J$44</definedName>
    <definedName name="hxd.cds.layers.3.area_codes_perc.eru">'Area Code'!$J$45</definedName>
    <definedName name="hxd.cds.layers.3.area_codes_perc.esb">'Area Code'!$J$46</definedName>
    <definedName name="hxd.cds.layers.3.area_codes_perc.esc">'Area Code'!$J$47</definedName>
    <definedName name="hxd.cds.layers.3.area_codes_perc.ese">'Area Code'!$J$25</definedName>
    <definedName name="hxd.cds.layers.3.area_codes_perc.esr">'Area Code'!$J$48</definedName>
    <definedName name="hxd.cds.layers.3.area_codes_perc.etu">'Area Code'!$J$34</definedName>
    <definedName name="hxd.cds.layers.3.area_codes_perc.euf">'Area Code'!$J$27</definedName>
    <definedName name="hxd.cds.layers.3.area_codes_perc.euk">'Area Code'!$J$26</definedName>
    <definedName name="hxd.cds.layers.3.area_codes_perc.fby">'Area Code'!$CJ$28</definedName>
    <definedName name="hxd.cds.layers.3.area_codes_perc.fcq">'Area Code'!$CJ$13</definedName>
    <definedName name="hxd.cds.layers.3.area_codes_perc.fct">'Area Code'!$CJ$12</definedName>
    <definedName name="hxd.cds.layers.3.area_codes_perc.fcy">'Area Code'!$CJ$24</definedName>
    <definedName name="hxd.cds.layers.3.area_codes_perc.fhk">'Area Code'!$CJ$15</definedName>
    <definedName name="hxd.cds.layers.3.area_codes_perc.fia">'Area Code'!$CJ$16</definedName>
    <definedName name="hxd.cds.layers.3.area_codes_perc.fjq">'Area Code'!$CJ$21</definedName>
    <definedName name="hxd.cds.layers.3.area_codes_perc.fjw">'Area Code'!$CJ$22</definedName>
    <definedName name="hxd.cds.layers.3.area_codes_perc.fkr">'Area Code'!$CJ$14</definedName>
    <definedName name="hxd.cds.layers.3.area_codes_perc.fmy">'Area Code'!$CJ$26</definedName>
    <definedName name="hxd.cds.layers.3.area_codes_perc.fnp">'Area Code'!$CJ$29</definedName>
    <definedName name="hxd.cds.layers.3.area_codes_perc.fsk">'Area Code'!$CJ$19</definedName>
    <definedName name="hxd.cds.layers.3.area_codes_perc.fsp">'Area Code'!$CJ$18</definedName>
    <definedName name="hxd.cds.layers.3.area_codes_perc.fta">'Area Code'!$CJ$20</definedName>
    <definedName name="hxd.cds.layers.3.area_codes_perc.fth">'Area Code'!$CJ$32</definedName>
    <definedName name="hxd.cds.layers.3.area_codes_perc.fvn">'Area Code'!$CJ$33</definedName>
    <definedName name="hxd.cds.layers.3.area_codes_perc.mae">'Area Code'!$CJ$39</definedName>
    <definedName name="hxd.cds.layers.3.area_codes_perc.mba">'Area Code'!$CJ$40</definedName>
    <definedName name="hxd.cds.layers.3.area_codes_perc.mbd">'Area Code'!$CJ$23</definedName>
    <definedName name="hxd.cds.layers.3.area_codes_perc.min">'Area Code'!$CJ$37</definedName>
    <definedName name="hxd.cds.layers.3.area_codes_perc.mis">'Area Code'!$CJ$36</definedName>
    <definedName name="hxd.cds.layers.3.area_codes_perc.mjo">'Area Code'!$CJ$46</definedName>
    <definedName name="hxd.cds.layers.3.area_codes_perc.mma">'Area Code'!$CJ$27</definedName>
    <definedName name="hxd.cds.layers.3.area_codes_perc.mom">'Area Code'!$CJ$47</definedName>
    <definedName name="hxd.cds.layers.3.area_codes_perc.mpk">'Area Code'!$CJ$30</definedName>
    <definedName name="hxd.cds.layers.3.area_codes_perc.mqa">'Area Code'!$CJ$48</definedName>
    <definedName name="hxd.cds.layers.3.area_codes_perc.oa1">'Area Code'!$AJ$54</definedName>
    <definedName name="hxd.cds.layers.3.area_codes_perc.oa2">'Area Code'!$AJ$55</definedName>
    <definedName name="hxd.cds.layers.3.area_codes_perc.oa3">'Area Code'!$AJ$56</definedName>
    <definedName name="hxd.cds.layers.3.area_codes_perc.oa4">'Area Code'!$AJ$57</definedName>
    <definedName name="hxd.cds.layers.3.area_codes_perc.oa5">'Area Code'!$AJ$58</definedName>
    <definedName name="hxd.cds.layers.3.area_codes_perc.oa6">'Area Code'!$AJ$59</definedName>
    <definedName name="hxd.cds.layers.3.area_codes_perc.ofj">'Area Code'!$AJ$62</definedName>
    <definedName name="hxd.cds.layers.3.area_codes_perc.ogm">'Area Code'!$CJ$25</definedName>
    <definedName name="hxd.cds.layers.3.area_codes_perc.onz">'Area Code'!$AJ$61</definedName>
    <definedName name="hxd.cds.layers.3.area_codes_perc.opg">'Area Code'!$CJ$31</definedName>
    <definedName name="hxd.cds.layers.3.area_codes_perc.oph">'Area Code'!$CJ$17</definedName>
    <definedName name="hxd.cds.layers.3.area_codes_perc.ota">'Area Code'!$AJ$60</definedName>
    <definedName name="hxd.cds.layers.3.area_codes_perc.sar">'Area Code'!$AJ$33</definedName>
    <definedName name="hxd.cds.layers.3.area_codes_perc.sbr">'Area Code'!$AJ$36</definedName>
    <definedName name="hxd.cds.layers.3.area_codes_perc.sbv">'Area Code'!$AJ$35</definedName>
    <definedName name="hxd.cds.layers.3.area_codes_perc.sbz">'Area Code'!$AJ$34</definedName>
    <definedName name="hxd.cds.layers.3.area_codes_perc.scl">'Area Code'!$AJ$37</definedName>
    <definedName name="hxd.cds.layers.3.area_codes_perc.sco">'Area Code'!$AJ$38</definedName>
    <definedName name="hxd.cds.layers.3.area_codes_perc.scr">'Area Code'!$AJ$39</definedName>
    <definedName name="hxd.cds.layers.3.area_codes_perc.sec">'Area Code'!$AJ$40</definedName>
    <definedName name="hxd.cds.layers.3.area_codes_perc.sel">'Area Code'!$AJ$41</definedName>
    <definedName name="hxd.cds.layers.3.area_codes_perc.sgt">'Area Code'!$AJ$42</definedName>
    <definedName name="hxd.cds.layers.3.area_codes_perc.sgy">'Area Code'!$AJ$43</definedName>
    <definedName name="hxd.cds.layers.3.area_codes_perc.shn">'Area Code'!$AJ$44</definedName>
    <definedName name="hxd.cds.layers.3.area_codes_perc.smx">'Area Code'!$AJ$45</definedName>
    <definedName name="hxd.cds.layers.3.area_codes_perc.snq">'Area Code'!$AJ$46</definedName>
    <definedName name="hxd.cds.layers.3.area_codes_perc.spa">'Area Code'!$AJ$47</definedName>
    <definedName name="hxd.cds.layers.3.area_codes_perc.spe">'Area Code'!$AJ$49</definedName>
    <definedName name="hxd.cds.layers.3.area_codes_perc.spy">'Area Code'!$AJ$48</definedName>
    <definedName name="hxd.cds.layers.3.area_codes_perc.suy">'Area Code'!$AJ$50</definedName>
    <definedName name="hxd.cds.layers.3.area_codes_perc.sve">'Area Code'!$AJ$51</definedName>
    <definedName name="hxd.cds.layers.3.area_codes_perc.usa01">'Area Code'!$AJ$12</definedName>
    <definedName name="hxd.cds.layers.3.area_codes_perc.usa02">'Area Code'!$AJ$13</definedName>
    <definedName name="hxd.cds.layers.3.area_codes_perc.usa03">'Area Code'!$AJ$14</definedName>
    <definedName name="hxd.cds.layers.3.area_codes_perc.usa04">'Area Code'!$AJ$15</definedName>
    <definedName name="hxd.cds.layers.3.area_codes_perc.usa05">'Area Code'!$AJ$16</definedName>
    <definedName name="hxd.cds.layers.3.area_codes_perc.usa06">'Area Code'!$AJ$17</definedName>
    <definedName name="hxd.cds.layers.3.area_codes_perc.usa07">'Area Code'!$AJ$18</definedName>
    <definedName name="hxd.cds.layers.3.area_codes_perc.usa08">'Area Code'!$AJ$19</definedName>
    <definedName name="hxd.cds.layers.3.area_codes_perc.usa09">'Area Code'!$AJ$20</definedName>
    <definedName name="hxd.cds.layers.3.area_codes_perc.usa10">'Area Code'!$AJ$21</definedName>
    <definedName name="hxd.cds.layers.3.area_codes_perc.usa11">'Area Code'!$AJ$22</definedName>
    <definedName name="hxd.cds.layers.3.area_codes_perc.usa12">'Area Code'!$AJ$23</definedName>
    <definedName name="hxd.cds.layers.3.area_codes_perc.usa13">'Area Code'!$AJ$24</definedName>
    <definedName name="hxd.cds.layers.3.area_codes_perc.usa14">'Area Code'!$AJ$25</definedName>
    <definedName name="hxd.cds.layers.3.area_codes_perc.usa15">'Area Code'!$AJ$26</definedName>
    <definedName name="hxd.cds.layers.3.area_codes_perc.usa16">'Area Code'!$AJ$27</definedName>
    <definedName name="hxd.cds.layers.3.area_codes_perc.usa20">'Area Code'!$AJ$28</definedName>
    <definedName name="hxd.cds.layers.3.area_codes_perc.usa21">'Area Code'!$AJ$29</definedName>
    <definedName name="hxd.cds.layers.3.area_codes_perc.usa22">'Area Code'!$AJ$30</definedName>
    <definedName name="hxd.cds.layers.3.area_codes_select.aal">'Area Code'!$CI$41</definedName>
    <definedName name="hxd.cds.layers.3.area_codes_select.aeg">'Area Code'!$CI$43</definedName>
    <definedName name="hxd.cds.layers.3.area_codes_select.ali">'Area Code'!$CI$44</definedName>
    <definedName name="hxd.cds.layers.3.area_codes_select.amo">'Area Code'!$CI$42</definedName>
    <definedName name="hxd.cds.layers.3.area_codes_select.amu">'Area Code'!$CI$45</definedName>
    <definedName name="hxd.cds.layers.3.area_codes_select.asa">'Area Code'!$CI$38</definedName>
    <definedName name="hxd.cds.layers.3.area_codes_select.bag">'Area Code'!$BI$12</definedName>
    <definedName name="hxd.cds.layers.3.area_codes_select.bah">'Area Code'!$BI$13</definedName>
    <definedName name="hxd.cds.layers.3.area_codes_select.ban">'Area Code'!$BI$14</definedName>
    <definedName name="hxd.cds.layers.3.area_codes_select.bbb">'Area Code'!$BI$15</definedName>
    <definedName name="hxd.cds.layers.3.area_codes_select.bbh">'Area Code'!$BI$16</definedName>
    <definedName name="hxd.cds.layers.3.area_codes_select.bbm">'Area Code'!$BI$17</definedName>
    <definedName name="hxd.cds.layers.3.area_codes_select.bcb">'Area Code'!$BI$18</definedName>
    <definedName name="hxd.cds.layers.3.area_codes_select.bcm">'Area Code'!$BI$19</definedName>
    <definedName name="hxd.cds.layers.3.area_codes_select.bcu">'Area Code'!$BI$20</definedName>
    <definedName name="hxd.cds.layers.3.area_codes_select.bdo">'Area Code'!$BI$21</definedName>
    <definedName name="hxd.cds.layers.3.area_codes_select.bdr">'Area Code'!$BI$22</definedName>
    <definedName name="hxd.cds.layers.3.area_codes_select.bgn">'Area Code'!$BI$23</definedName>
    <definedName name="hxd.cds.layers.3.area_codes_select.bgs">'Area Code'!$BI$24</definedName>
    <definedName name="hxd.cds.layers.3.area_codes_select.bgu">'Area Code'!$BI$25</definedName>
    <definedName name="hxd.cds.layers.3.area_codes_select.bht">'Area Code'!$BI$26</definedName>
    <definedName name="hxd.cds.layers.3.area_codes_select.bjm">'Area Code'!$BI$27</definedName>
    <definedName name="hxd.cds.layers.3.area_codes_select.bkn">'Area Code'!$BI$28</definedName>
    <definedName name="hxd.cds.layers.3.area_codes_select.bmq">'Area Code'!$BI$29</definedName>
    <definedName name="hxd.cds.layers.3.area_codes_select.bms">'Area Code'!$BI$30</definedName>
    <definedName name="hxd.cds.layers.3.area_codes_select.bon">'Area Code'!$BI$31</definedName>
    <definedName name="hxd.cds.layers.3.area_codes_select.bpr">'Area Code'!$BI$32</definedName>
    <definedName name="hxd.cds.layers.3.area_codes_select.bsl">'Area Code'!$BI$33</definedName>
    <definedName name="hxd.cds.layers.3.area_codes_select.bsv">'Area Code'!$BI$34</definedName>
    <definedName name="hxd.cds.layers.3.area_codes_select.bv1">'Area Code'!$BI$35</definedName>
    <definedName name="hxd.cds.layers.3.area_codes_select.bvs">'Area Code'!$BI$36</definedName>
    <definedName name="hxd.cds.layers.3.area_codes_select.bx7">'Area Code'!$BI$37</definedName>
    <definedName name="hxd.cds.layers.3.area_codes_select.cat">'Area Code'!$BI$44</definedName>
    <definedName name="hxd.cds.layers.3.area_codes_select.cbc">'Area Code'!$BI$40</definedName>
    <definedName name="hxd.cds.layers.3.area_codes_select.cef">'Area Code'!$I$39</definedName>
    <definedName name="hxd.cds.layers.3.area_codes_select.con">'Area Code'!$BI$42</definedName>
    <definedName name="hxd.cds.layers.3.area_codes_select.cpr">'Area Code'!$BI$43</definedName>
    <definedName name="hxd.cds.layers.3.area_codes_select.cqu">'Area Code'!$BI$41</definedName>
    <definedName name="hxd.cds.layers.3.area_codes_select.eat">'Area Code'!$I$12</definedName>
    <definedName name="hxd.cds.layers.3.area_codes_select.ebe">'Area Code'!$I$13</definedName>
    <definedName name="hxd.cds.layers.3.area_codes_select.ebg">'Area Code'!$I$38</definedName>
    <definedName name="hxd.cds.layers.3.area_codes_select.ech">'Area Code'!$I$14</definedName>
    <definedName name="hxd.cds.layers.3.area_codes_select.ecx">'Area Code'!$I$40</definedName>
    <definedName name="hxd.cds.layers.3.area_codes_select.ecz">'Area Code'!$I$41</definedName>
    <definedName name="hxd.cds.layers.3.area_codes_select.edk">'Area Code'!$I$15</definedName>
    <definedName name="hxd.cds.layers.3.area_codes_select.ees">'Area Code'!$I$30</definedName>
    <definedName name="hxd.cds.layers.3.area_codes_select.efi">'Area Code'!$I$17</definedName>
    <definedName name="hxd.cds.layers.3.area_codes_select.efr">'Area Code'!$I$18</definedName>
    <definedName name="hxd.cds.layers.3.area_codes_select.ege">'Area Code'!$I$19</definedName>
    <definedName name="hxd.cds.layers.3.area_codes_select.egf">'Area Code'!$I$24</definedName>
    <definedName name="hxd.cds.layers.3.area_codes_select.egr">'Area Code'!$I$31</definedName>
    <definedName name="hxd.cds.layers.3.area_codes_select.ehu">'Area Code'!$I$42</definedName>
    <definedName name="hxd.cds.layers.3.area_codes_select.eic">'Area Code'!$I$20</definedName>
    <definedName name="hxd.cds.layers.3.area_codes_select.eie">'Area Code'!$I$21</definedName>
    <definedName name="hxd.cds.layers.3.area_codes_select.eit">'Area Code'!$I$32</definedName>
    <definedName name="hxd.cds.layers.3.area_codes_select.emz">'Area Code'!$I$16</definedName>
    <definedName name="hxd.cds.layers.3.area_codes_select.enl">'Area Code'!$I$22</definedName>
    <definedName name="hxd.cds.layers.3.area_codes_select.eno">'Area Code'!$I$23</definedName>
    <definedName name="hxd.cds.layers.3.area_codes_select.epl">'Area Code'!$I$43</definedName>
    <definedName name="hxd.cds.layers.3.area_codes_select.ept">'Area Code'!$I$33</definedName>
    <definedName name="hxd.cds.layers.3.area_codes_select.ero">'Area Code'!$I$44</definedName>
    <definedName name="hxd.cds.layers.3.area_codes_select.eru">'Area Code'!$I$45</definedName>
    <definedName name="hxd.cds.layers.3.area_codes_select.esb">'Area Code'!$I$46</definedName>
    <definedName name="hxd.cds.layers.3.area_codes_select.esc">'Area Code'!$I$47</definedName>
    <definedName name="hxd.cds.layers.3.area_codes_select.ese">'Area Code'!$I$25</definedName>
    <definedName name="hxd.cds.layers.3.area_codes_select.esr">'Area Code'!$I$48</definedName>
    <definedName name="hxd.cds.layers.3.area_codes_select.etu">'Area Code'!$I$34</definedName>
    <definedName name="hxd.cds.layers.3.area_codes_select.euf">'Area Code'!$I$27</definedName>
    <definedName name="hxd.cds.layers.3.area_codes_select.euk">'Area Code'!$I$26</definedName>
    <definedName name="hxd.cds.layers.3.area_codes_select.fby">'Area Code'!$CI$28</definedName>
    <definedName name="hxd.cds.layers.3.area_codes_select.fcq">'Area Code'!$CI$13</definedName>
    <definedName name="hxd.cds.layers.3.area_codes_select.fct">'Area Code'!$CI$12</definedName>
    <definedName name="hxd.cds.layers.3.area_codes_select.fcy">'Area Code'!$CI$24</definedName>
    <definedName name="hxd.cds.layers.3.area_codes_select.fhk">'Area Code'!$CI$15</definedName>
    <definedName name="hxd.cds.layers.3.area_codes_select.fia">'Area Code'!$CI$16</definedName>
    <definedName name="hxd.cds.layers.3.area_codes_select.fjq">'Area Code'!$CI$21</definedName>
    <definedName name="hxd.cds.layers.3.area_codes_select.fjw">'Area Code'!$CI$22</definedName>
    <definedName name="hxd.cds.layers.3.area_codes_select.fkr">'Area Code'!$CI$14</definedName>
    <definedName name="hxd.cds.layers.3.area_codes_select.fmy">'Area Code'!$CI$26</definedName>
    <definedName name="hxd.cds.layers.3.area_codes_select.fnp">'Area Code'!$CI$29</definedName>
    <definedName name="hxd.cds.layers.3.area_codes_select.fsk">'Area Code'!$CI$19</definedName>
    <definedName name="hxd.cds.layers.3.area_codes_select.fsp">'Area Code'!$CI$18</definedName>
    <definedName name="hxd.cds.layers.3.area_codes_select.fta">'Area Code'!$CI$20</definedName>
    <definedName name="hxd.cds.layers.3.area_codes_select.fth">'Area Code'!$CI$32</definedName>
    <definedName name="hxd.cds.layers.3.area_codes_select.fvn">'Area Code'!$CI$33</definedName>
    <definedName name="hxd.cds.layers.3.area_codes_select.mae">'Area Code'!$CI$39</definedName>
    <definedName name="hxd.cds.layers.3.area_codes_select.mba">'Area Code'!$CI$40</definedName>
    <definedName name="hxd.cds.layers.3.area_codes_select.mbd">'Area Code'!$CI$23</definedName>
    <definedName name="hxd.cds.layers.3.area_codes_select.min">'Area Code'!$CI$37</definedName>
    <definedName name="hxd.cds.layers.3.area_codes_select.mis">'Area Code'!$CI$36</definedName>
    <definedName name="hxd.cds.layers.3.area_codes_select.mjo">'Area Code'!$CI$46</definedName>
    <definedName name="hxd.cds.layers.3.area_codes_select.mma">'Area Code'!$CI$27</definedName>
    <definedName name="hxd.cds.layers.3.area_codes_select.mom">'Area Code'!$CI$47</definedName>
    <definedName name="hxd.cds.layers.3.area_codes_select.mpk">'Area Code'!$CI$30</definedName>
    <definedName name="hxd.cds.layers.3.area_codes_select.mqa">'Area Code'!$CI$48</definedName>
    <definedName name="hxd.cds.layers.3.area_codes_select.oa1">'Area Code'!$AI$54</definedName>
    <definedName name="hxd.cds.layers.3.area_codes_select.oa2">'Area Code'!$AI$55</definedName>
    <definedName name="hxd.cds.layers.3.area_codes_select.oa3">'Area Code'!$AI$56</definedName>
    <definedName name="hxd.cds.layers.3.area_codes_select.oa4">'Area Code'!$AI$57</definedName>
    <definedName name="hxd.cds.layers.3.area_codes_select.oa5">'Area Code'!$AI$58</definedName>
    <definedName name="hxd.cds.layers.3.area_codes_select.oa6">'Area Code'!$AI$59</definedName>
    <definedName name="hxd.cds.layers.3.area_codes_select.ofj">'Area Code'!$AI$62</definedName>
    <definedName name="hxd.cds.layers.3.area_codes_select.ogm">'Area Code'!$CI$25</definedName>
    <definedName name="hxd.cds.layers.3.area_codes_select.onz">'Area Code'!$AI$61</definedName>
    <definedName name="hxd.cds.layers.3.area_codes_select.opg">'Area Code'!$CI$31</definedName>
    <definedName name="hxd.cds.layers.3.area_codes_select.oph">'Area Code'!$CI$17</definedName>
    <definedName name="hxd.cds.layers.3.area_codes_select.ota">'Area Code'!$AI$60</definedName>
    <definedName name="hxd.cds.layers.3.area_codes_select.sar">'Area Code'!$AI$33</definedName>
    <definedName name="hxd.cds.layers.3.area_codes_select.sbr">'Area Code'!$AI$36</definedName>
    <definedName name="hxd.cds.layers.3.area_codes_select.sbv">'Area Code'!$AI$35</definedName>
    <definedName name="hxd.cds.layers.3.area_codes_select.sbz">'Area Code'!$AI$34</definedName>
    <definedName name="hxd.cds.layers.3.area_codes_select.scl">'Area Code'!$AI$37</definedName>
    <definedName name="hxd.cds.layers.3.area_codes_select.sco">'Area Code'!$AI$38</definedName>
    <definedName name="hxd.cds.layers.3.area_codes_select.scr">'Area Code'!$AI$39</definedName>
    <definedName name="hxd.cds.layers.3.area_codes_select.sec">'Area Code'!$AI$40</definedName>
    <definedName name="hxd.cds.layers.3.area_codes_select.sel">'Area Code'!$AI$41</definedName>
    <definedName name="hxd.cds.layers.3.area_codes_select.sgt">'Area Code'!$AI$42</definedName>
    <definedName name="hxd.cds.layers.3.area_codes_select.sgy">'Area Code'!$AI$43</definedName>
    <definedName name="hxd.cds.layers.3.area_codes_select.shn">'Area Code'!$AI$44</definedName>
    <definedName name="hxd.cds.layers.3.area_codes_select.smx">'Area Code'!$AI$45</definedName>
    <definedName name="hxd.cds.layers.3.area_codes_select.snq">'Area Code'!$AI$46</definedName>
    <definedName name="hxd.cds.layers.3.area_codes_select.spa">'Area Code'!$AI$47</definedName>
    <definedName name="hxd.cds.layers.3.area_codes_select.spe">'Area Code'!$AI$49</definedName>
    <definedName name="hxd.cds.layers.3.area_codes_select.spy">'Area Code'!$AI$48</definedName>
    <definedName name="hxd.cds.layers.3.area_codes_select.suy">'Area Code'!$AI$50</definedName>
    <definedName name="hxd.cds.layers.3.area_codes_select.sve">'Area Code'!$AI$51</definedName>
    <definedName name="hxd.cds.layers.3.area_codes_select.usa01">'Area Code'!$AI$12</definedName>
    <definedName name="hxd.cds.layers.3.area_codes_select.usa02">'Area Code'!$AI$13</definedName>
    <definedName name="hxd.cds.layers.3.area_codes_select.usa03">'Area Code'!$AI$14</definedName>
    <definedName name="hxd.cds.layers.3.area_codes_select.usa04">'Area Code'!$AI$15</definedName>
    <definedName name="hxd.cds.layers.3.area_codes_select.usa05">'Area Code'!$AI$16</definedName>
    <definedName name="hxd.cds.layers.3.area_codes_select.usa06">'Area Code'!$AI$17</definedName>
    <definedName name="hxd.cds.layers.3.area_codes_select.usa07">'Area Code'!$AI$18</definedName>
    <definedName name="hxd.cds.layers.3.area_codes_select.usa08">'Area Code'!$AI$19</definedName>
    <definedName name="hxd.cds.layers.3.area_codes_select.usa09">'Area Code'!$AI$20</definedName>
    <definedName name="hxd.cds.layers.3.area_codes_select.usa10">'Area Code'!$AI$21</definedName>
    <definedName name="hxd.cds.layers.3.area_codes_select.usa11">'Area Code'!$AI$22</definedName>
    <definedName name="hxd.cds.layers.3.area_codes_select.usa12">'Area Code'!$AI$23</definedName>
    <definedName name="hxd.cds.layers.3.area_codes_select.usa13">'Area Code'!$AI$24</definedName>
    <definedName name="hxd.cds.layers.3.area_codes_select.usa14">'Area Code'!$AI$25</definedName>
    <definedName name="hxd.cds.layers.3.area_codes_select.usa15">'Area Code'!$AI$26</definedName>
    <definedName name="hxd.cds.layers.3.area_codes_select.usa16">'Area Code'!$AI$27</definedName>
    <definedName name="hxd.cds.layers.3.area_codes_select.usa20">'Area Code'!$AI$28</definedName>
    <definedName name="hxd.cds.layers.3.area_codes_select.usa21">'Area Code'!$AI$29</definedName>
    <definedName name="hxd.cds.layers.3.area_codes_select.usa22">'Area Code'!$AI$30</definedName>
    <definedName name="hxd.cds.layers.3.excess">'Rate Change'!$R$16</definedName>
    <definedName name="hxd.cds.layers.3.excess_cnv">Summary!$G$54</definedName>
    <definedName name="hxd.cds.layers.3.layer_description">'Rate Change'!$P$18</definedName>
    <definedName name="hxd.cds.layers.3.leader">Summary!$D$54</definedName>
    <definedName name="hxd.cds.layers.3.limit">'Rate Change'!$P$16</definedName>
    <definedName name="hxd.cds.layers.3.limit_cnv">Summary!$F$54</definedName>
    <definedName name="hxd.cds.layers.3.marginal_impacts.treaty_group.mi_10">Modelling!$AT$16</definedName>
    <definedName name="hxd.cds.layers.3.marginal_impacts.treaty_group.mi_250">Modelling!$AS$16</definedName>
    <definedName name="hxd.cds.layers.3.marginal_impacts.treaty_intl.mi_10">Modelling!$AW$16</definedName>
    <definedName name="hxd.cds.layers.3.marginal_impacts.treaty_intl.mi_250">Modelling!$AV$16</definedName>
    <definedName name="hxd.cds.layers.3.marginal_impacts.treaty_us.mi_10">Modelling!$AQ$16</definedName>
    <definedName name="hxd.cds.layers.3.marginal_impacts.treaty_us.mi_250">Modelling!$AP$16</definedName>
    <definedName name="hxd.cds.layers.3.model.air.gross_el">Modelling!$K$16</definedName>
    <definedName name="hxd.cds.layers.3.model.air.gross_sd">Modelling!$L$16</definedName>
    <definedName name="hxd.cds.layers.3.model.ivor.gross_el">Modelling!$H$16</definedName>
    <definedName name="hxd.cds.layers.3.model.ivor.gross_sd">Modelling!$I$16</definedName>
    <definedName name="hxd.cds.layers.3.model.nmp.description">Modelling!$R$16</definedName>
    <definedName name="hxd.cds.layers.3.model.nmp.gross_el_incl_rol">Modelling!$N$16</definedName>
    <definedName name="hxd.cds.layers.3.model.nmp.gross_sd_incl_rol">Modelling!$O$16</definedName>
    <definedName name="hxd.cds.layers.3.model.rms.gross_el">Modelling!$E$16</definedName>
    <definedName name="hxd.cds.layers.3.model.rms.gross_sd">Modelling!$F$16</definedName>
    <definedName name="hxd.cds.layers.3.model.total_air_nmp.gross_el">Modelling!$T$16</definedName>
    <definedName name="hxd.cds.layers.3.model.total_air_nmp.gross_sd">Modelling!$U$16</definedName>
    <definedName name="hxd.cds.layers.3.model.total_rms_nmp.gross_el">Modelling!$B$16</definedName>
    <definedName name="hxd.cds.layers.3.model.total_rms_nmp.gross_sd">Modelling!$C$16</definedName>
    <definedName name="hxd.cds.layers.3.quote.rol_ty.bpi">'Rate Change'!$O$59</definedName>
    <definedName name="hxd.cds.layers.3.quote.rol_ty.est_sign_written_ratio">'Rate Change'!$O$55</definedName>
    <definedName name="hxd.cds.layers.3.quote.rol_ty.estimated_signing">Summary!$V$54</definedName>
    <definedName name="hxd.cds.layers.3.quote.rol_ty.roc">Summary!$L$54</definedName>
    <definedName name="hxd.cds.layers.3.quote.rol_ty.rol_afb_tech">Summary!$J$54</definedName>
    <definedName name="hxd.cds.layers.3.quote.rol_ty.rol_fot">'Rate Change'!$O$51</definedName>
    <definedName name="hxd.cds.layers.3.quote.rol_ty.rol_quote">Summary!$H$54</definedName>
    <definedName name="hxd.cds.layers.3.quote.rol_ty.signed_line">Summary!$X$54</definedName>
    <definedName name="hxd.cds.layers.3.quote.rol_ty.ulr">'Rate Change'!$O$57</definedName>
    <definedName name="hxd.cds.layers.3.quote.rol_ty.written_line">Summary!$T$54</definedName>
    <definedName name="hxd.cds.layers.3.rate_change.comments">'Rate Change'!$Q$44</definedName>
    <definedName name="hxd.cds.layers.3.rate_change.deductible_change_fixed.final">'Rate Change'!$O$33</definedName>
    <definedName name="hxd.cds.layers.3.rate_change.exposure_change_fixed.comment">'Rate Change'!$Q$24</definedName>
    <definedName name="hxd.cds.layers.3.rate_change.exposure_change_fixed.final">'Rate Change'!$O$25</definedName>
    <definedName name="hxd.cds.layers.3.rate_change.limit_change_fixed.comment">'Rate Change'!$Q$36</definedName>
    <definedName name="hxd.cds.layers.3.rate_change.limit_change_fixed.final">'Rate Change'!$O$37</definedName>
    <definedName name="hxd.cds.layers.3.rate_change.other_change_fixed.final">'Rate Change'!$O$45</definedName>
    <definedName name="hxd.cds.layers.3.rate_change.rationale_outside_plan">'Rate Change'!$O$61</definedName>
    <definedName name="hxd.cds.layers.3.rate_change.risk_adjusted_rate_change">'Rate Change'!$O$53</definedName>
    <definedName name="hxd.cds.layers.3.rate_change.risk_characteristics_change_fixed.final">'Rate Change'!$O$29</definedName>
    <definedName name="hxd.cds.layers.3.rate_change.rol_ly_to_use">'Rate Change'!$O$21</definedName>
    <definedName name="hxd.cds.layers.3.rate_change.rol_rebased">'Rate Change'!$O$49</definedName>
    <definedName name="hxd.cds.layers.3.rate_change.terms_conditions_change_fixed.final">'Rate Change'!$O$41</definedName>
    <definedName name="hxd.cds.layers.3.rms_regional.al_miss">Modelling!$AB$16</definedName>
    <definedName name="hxd.cds.layers.3.rms_regional.ca_wildfire">Modelling!$AN$16</definedName>
    <definedName name="hxd.cds.layers.3.rms_regional.cal_north">Modelling!$AG$16</definedName>
    <definedName name="hxd.cds.layers.3.rms_regional.cal_south">Modelling!$AF$16</definedName>
    <definedName name="hxd.cds.layers.3.rms_regional.carolinas">Modelling!$Y$16</definedName>
    <definedName name="hxd.cds.layers.3.rms_regional.fl_non_se">Modelling!$AA$16</definedName>
    <definedName name="hxd.cds.layers.3.rms_regional.fl_se">Modelling!$Z$16</definedName>
    <definedName name="hxd.cds.layers.3.rms_regional.hawaii">Modelling!$AJ$16</definedName>
    <definedName name="hxd.cds.layers.3.rms_regional.louisiana">Modelling!$AC$16</definedName>
    <definedName name="hxd.cds.layers.3.rms_regional.mid_atlantic">Modelling!$X$16</definedName>
    <definedName name="hxd.cds.layers.3.rms_regional.mid_west_1">Modelling!$AK$16</definedName>
    <definedName name="hxd.cds.layers.3.rms_regional.mid_west_2">Modelling!$AL$16</definedName>
    <definedName name="hxd.cds.layers.3.rms_regional.new_madrid">Modelling!$AI$16</definedName>
    <definedName name="hxd.cds.layers.3.rms_regional.north_east">Modelling!$W$16</definedName>
    <definedName name="hxd.cds.layers.3.rms_regional.pnw">Modelling!$AH$16</definedName>
    <definedName name="hxd.cds.layers.3.rms_regional.second_event">Modelling!$AM$16</definedName>
    <definedName name="hxd.cds.layers.3.rms_regional.tx_east">Modelling!$AD$16</definedName>
    <definedName name="hxd.cds.layers.3.rms_regional.tx_west">Modelling!$AE$16</definedName>
    <definedName name="hxd.cds.layers.3.section_reference">'Rate Change'!$P$14</definedName>
    <definedName name="hxd.cds.layers.3.summary.next_year.section_reference">Summary!$C$41</definedName>
    <definedName name="hxd.cds.layers.3.summary.ty.epi_adj_rate">Summary!$R$54</definedName>
    <definedName name="hxd.cds.layers.3.summary.ty.epi_estimated_summary_fx">Summary!$AA$54</definedName>
    <definedName name="hxd.cds.layers.3.summary.ty.epi_signed_summary_fx">Summary!$AB$54</definedName>
    <definedName name="hxd.cds.layers.3.summary.ty.epi_written_summary_fx">Summary!$Z$54</definedName>
    <definedName name="hxd.cds.layers.3.summary.ty.fot_adequacy">Summary!$O$54</definedName>
    <definedName name="hxd.cds.layers.3.summary.ty.line_estimated_summary_fx">Summary!$W$54</definedName>
    <definedName name="hxd.cds.layers.3.summary.ty.line_signed_summary_fx">Summary!$Y$54</definedName>
    <definedName name="hxd.cds.layers.3.summary.ty.line_written_summary_fx">Summary!$U$54</definedName>
    <definedName name="hxd.cds.layers.3.summary.ty.mi_10">Summary!$AE$54</definedName>
    <definedName name="hxd.cds.layers.3.summary.ty.mi_10_prem_ratio">Summary!$AF$54</definedName>
    <definedName name="hxd.cds.layers.3.summary.ty.mi_250">Summary!$AC$54</definedName>
    <definedName name="hxd.cds.layers.3.summary.ty.mi_250_prem_ratio">Summary!$AD$54</definedName>
    <definedName name="hxd.cds.layers.3.summary.ty.multi_year_period">Summary!$B$54</definedName>
    <definedName name="hxd.cds.layers.3.summary.ty.prem_full_line">Summary!$S$54</definedName>
    <definedName name="hxd.cds.layers.3.summary.ty.reinstatement_description">Summary!$K$54</definedName>
    <definedName name="hxd.cds.layers.3.summary.ty.rms_adequacy">Summary!$P$54</definedName>
    <definedName name="hxd.cds.layers.3.summary.year_after_next.section_reference">Summary!$C$28</definedName>
    <definedName name="hxd.cds.layers.4.area_codes_perc.aal">'Area Code'!$CM$41</definedName>
    <definedName name="hxd.cds.layers.4.area_codes_perc.aeg">'Area Code'!$CM$43</definedName>
    <definedName name="hxd.cds.layers.4.area_codes_perc.ali">'Area Code'!$CM$44</definedName>
    <definedName name="hxd.cds.layers.4.area_codes_perc.amo">'Area Code'!$CM$42</definedName>
    <definedName name="hxd.cds.layers.4.area_codes_perc.amu">'Area Code'!$CM$45</definedName>
    <definedName name="hxd.cds.layers.4.area_codes_perc.asa">'Area Code'!$CM$38</definedName>
    <definedName name="hxd.cds.layers.4.area_codes_perc.bag">'Area Code'!$BM$12</definedName>
    <definedName name="hxd.cds.layers.4.area_codes_perc.bah">'Area Code'!$BM$13</definedName>
    <definedName name="hxd.cds.layers.4.area_codes_perc.ban">'Area Code'!$BM$14</definedName>
    <definedName name="hxd.cds.layers.4.area_codes_perc.bbb">'Area Code'!$BM$15</definedName>
    <definedName name="hxd.cds.layers.4.area_codes_perc.bbh">'Area Code'!$BM$16</definedName>
    <definedName name="hxd.cds.layers.4.area_codes_perc.bbm">'Area Code'!$BM$17</definedName>
    <definedName name="hxd.cds.layers.4.area_codes_perc.bcb">'Area Code'!$BM$18</definedName>
    <definedName name="hxd.cds.layers.4.area_codes_perc.bcm">'Area Code'!$BM$19</definedName>
    <definedName name="hxd.cds.layers.4.area_codes_perc.bcu">'Area Code'!$BM$20</definedName>
    <definedName name="hxd.cds.layers.4.area_codes_perc.bdo">'Area Code'!$BM$21</definedName>
    <definedName name="hxd.cds.layers.4.area_codes_perc.bdr">'Area Code'!$BM$22</definedName>
    <definedName name="hxd.cds.layers.4.area_codes_perc.bgn">'Area Code'!$BM$23</definedName>
    <definedName name="hxd.cds.layers.4.area_codes_perc.bgs">'Area Code'!$BM$24</definedName>
    <definedName name="hxd.cds.layers.4.area_codes_perc.bgu">'Area Code'!$BM$25</definedName>
    <definedName name="hxd.cds.layers.4.area_codes_perc.bht">'Area Code'!$BM$26</definedName>
    <definedName name="hxd.cds.layers.4.area_codes_perc.bjm">'Area Code'!$BM$27</definedName>
    <definedName name="hxd.cds.layers.4.area_codes_perc.bkn">'Area Code'!$BM$28</definedName>
    <definedName name="hxd.cds.layers.4.area_codes_perc.bmq">'Area Code'!$BM$29</definedName>
    <definedName name="hxd.cds.layers.4.area_codes_perc.bms">'Area Code'!$BM$30</definedName>
    <definedName name="hxd.cds.layers.4.area_codes_perc.bon">'Area Code'!$BM$31</definedName>
    <definedName name="hxd.cds.layers.4.area_codes_perc.bpr">'Area Code'!$BM$32</definedName>
    <definedName name="hxd.cds.layers.4.area_codes_perc.bsl">'Area Code'!$BM$33</definedName>
    <definedName name="hxd.cds.layers.4.area_codes_perc.bsv">'Area Code'!$BM$34</definedName>
    <definedName name="hxd.cds.layers.4.area_codes_perc.bv1">'Area Code'!$BM$35</definedName>
    <definedName name="hxd.cds.layers.4.area_codes_perc.bvs">'Area Code'!$BM$36</definedName>
    <definedName name="hxd.cds.layers.4.area_codes_perc.bx7">'Area Code'!$BM$37</definedName>
    <definedName name="hxd.cds.layers.4.area_codes_perc.cat">'Area Code'!$BM$44</definedName>
    <definedName name="hxd.cds.layers.4.area_codes_perc.cbc">'Area Code'!$BM$40</definedName>
    <definedName name="hxd.cds.layers.4.area_codes_perc.cef">'Area Code'!$M$39</definedName>
    <definedName name="hxd.cds.layers.4.area_codes_perc.con">'Area Code'!$BM$42</definedName>
    <definedName name="hxd.cds.layers.4.area_codes_perc.cpr">'Area Code'!$BM$43</definedName>
    <definedName name="hxd.cds.layers.4.area_codes_perc.cqu">'Area Code'!$BM$41</definedName>
    <definedName name="hxd.cds.layers.4.area_codes_perc.eat">'Area Code'!$M$12</definedName>
    <definedName name="hxd.cds.layers.4.area_codes_perc.ebe">'Area Code'!$M$13</definedName>
    <definedName name="hxd.cds.layers.4.area_codes_perc.ebg">'Area Code'!$M$38</definedName>
    <definedName name="hxd.cds.layers.4.area_codes_perc.ech">'Area Code'!$M$14</definedName>
    <definedName name="hxd.cds.layers.4.area_codes_perc.ecx">'Area Code'!$M$40</definedName>
    <definedName name="hxd.cds.layers.4.area_codes_perc.ecz">'Area Code'!$M$41</definedName>
    <definedName name="hxd.cds.layers.4.area_codes_perc.edk">'Area Code'!$M$15</definedName>
    <definedName name="hxd.cds.layers.4.area_codes_perc.ees">'Area Code'!$M$30</definedName>
    <definedName name="hxd.cds.layers.4.area_codes_perc.efi">'Area Code'!$M$17</definedName>
    <definedName name="hxd.cds.layers.4.area_codes_perc.efr">'Area Code'!$M$18</definedName>
    <definedName name="hxd.cds.layers.4.area_codes_perc.ege">'Area Code'!$M$19</definedName>
    <definedName name="hxd.cds.layers.4.area_codes_perc.egf">'Area Code'!$M$24</definedName>
    <definedName name="hxd.cds.layers.4.area_codes_perc.egr">'Area Code'!$M$31</definedName>
    <definedName name="hxd.cds.layers.4.area_codes_perc.ehu">'Area Code'!$M$42</definedName>
    <definedName name="hxd.cds.layers.4.area_codes_perc.eic">'Area Code'!$M$20</definedName>
    <definedName name="hxd.cds.layers.4.area_codes_perc.eie">'Area Code'!$M$21</definedName>
    <definedName name="hxd.cds.layers.4.area_codes_perc.eit">'Area Code'!$M$32</definedName>
    <definedName name="hxd.cds.layers.4.area_codes_perc.emz">'Area Code'!$M$16</definedName>
    <definedName name="hxd.cds.layers.4.area_codes_perc.enl">'Area Code'!$M$22</definedName>
    <definedName name="hxd.cds.layers.4.area_codes_perc.eno">'Area Code'!$M$23</definedName>
    <definedName name="hxd.cds.layers.4.area_codes_perc.epl">'Area Code'!$M$43</definedName>
    <definedName name="hxd.cds.layers.4.area_codes_perc.ept">'Area Code'!$M$33</definedName>
    <definedName name="hxd.cds.layers.4.area_codes_perc.ero">'Area Code'!$M$44</definedName>
    <definedName name="hxd.cds.layers.4.area_codes_perc.eru">'Area Code'!$M$45</definedName>
    <definedName name="hxd.cds.layers.4.area_codes_perc.esb">'Area Code'!$M$46</definedName>
    <definedName name="hxd.cds.layers.4.area_codes_perc.esc">'Area Code'!$M$47</definedName>
    <definedName name="hxd.cds.layers.4.area_codes_perc.ese">'Area Code'!$M$25</definedName>
    <definedName name="hxd.cds.layers.4.area_codes_perc.esr">'Area Code'!$M$48</definedName>
    <definedName name="hxd.cds.layers.4.area_codes_perc.etu">'Area Code'!$M$34</definedName>
    <definedName name="hxd.cds.layers.4.area_codes_perc.euf">'Area Code'!$M$27</definedName>
    <definedName name="hxd.cds.layers.4.area_codes_perc.euk">'Area Code'!$M$26</definedName>
    <definedName name="hxd.cds.layers.4.area_codes_perc.fby">'Area Code'!$CM$28</definedName>
    <definedName name="hxd.cds.layers.4.area_codes_perc.fcq">'Area Code'!$CM$13</definedName>
    <definedName name="hxd.cds.layers.4.area_codes_perc.fct">'Area Code'!$CM$12</definedName>
    <definedName name="hxd.cds.layers.4.area_codes_perc.fcy">'Area Code'!$CM$24</definedName>
    <definedName name="hxd.cds.layers.4.area_codes_perc.fhk">'Area Code'!$CM$15</definedName>
    <definedName name="hxd.cds.layers.4.area_codes_perc.fia">'Area Code'!$CM$16</definedName>
    <definedName name="hxd.cds.layers.4.area_codes_perc.fjq">'Area Code'!$CM$21</definedName>
    <definedName name="hxd.cds.layers.4.area_codes_perc.fjw">'Area Code'!$CM$22</definedName>
    <definedName name="hxd.cds.layers.4.area_codes_perc.fkr">'Area Code'!$CM$14</definedName>
    <definedName name="hxd.cds.layers.4.area_codes_perc.fmy">'Area Code'!$CM$26</definedName>
    <definedName name="hxd.cds.layers.4.area_codes_perc.fnp">'Area Code'!$CM$29</definedName>
    <definedName name="hxd.cds.layers.4.area_codes_perc.fsk">'Area Code'!$CM$19</definedName>
    <definedName name="hxd.cds.layers.4.area_codes_perc.fsp">'Area Code'!$CM$18</definedName>
    <definedName name="hxd.cds.layers.4.area_codes_perc.fta">'Area Code'!$CM$20</definedName>
    <definedName name="hxd.cds.layers.4.area_codes_perc.fth">'Area Code'!$CM$32</definedName>
    <definedName name="hxd.cds.layers.4.area_codes_perc.fvn">'Area Code'!$CM$33</definedName>
    <definedName name="hxd.cds.layers.4.area_codes_perc.mae">'Area Code'!$CM$39</definedName>
    <definedName name="hxd.cds.layers.4.area_codes_perc.mba">'Area Code'!$CM$40</definedName>
    <definedName name="hxd.cds.layers.4.area_codes_perc.mbd">'Area Code'!$CM$23</definedName>
    <definedName name="hxd.cds.layers.4.area_codes_perc.min">'Area Code'!$CM$37</definedName>
    <definedName name="hxd.cds.layers.4.area_codes_perc.mis">'Area Code'!$CM$36</definedName>
    <definedName name="hxd.cds.layers.4.area_codes_perc.mjo">'Area Code'!$CM$46</definedName>
    <definedName name="hxd.cds.layers.4.area_codes_perc.mma">'Area Code'!$CM$27</definedName>
    <definedName name="hxd.cds.layers.4.area_codes_perc.mom">'Area Code'!$CM$47</definedName>
    <definedName name="hxd.cds.layers.4.area_codes_perc.mpk">'Area Code'!$CM$30</definedName>
    <definedName name="hxd.cds.layers.4.area_codes_perc.mqa">'Area Code'!$CM$48</definedName>
    <definedName name="hxd.cds.layers.4.area_codes_perc.oa1">'Area Code'!$AM$54</definedName>
    <definedName name="hxd.cds.layers.4.area_codes_perc.oa2">'Area Code'!$AM$55</definedName>
    <definedName name="hxd.cds.layers.4.area_codes_perc.oa3">'Area Code'!$AM$56</definedName>
    <definedName name="hxd.cds.layers.4.area_codes_perc.oa4">'Area Code'!$AM$57</definedName>
    <definedName name="hxd.cds.layers.4.area_codes_perc.oa5">'Area Code'!$AM$58</definedName>
    <definedName name="hxd.cds.layers.4.area_codes_perc.oa6">'Area Code'!$AM$59</definedName>
    <definedName name="hxd.cds.layers.4.area_codes_perc.ofj">'Area Code'!$AM$62</definedName>
    <definedName name="hxd.cds.layers.4.area_codes_perc.ogm">'Area Code'!$CM$25</definedName>
    <definedName name="hxd.cds.layers.4.area_codes_perc.onz">'Area Code'!$AM$61</definedName>
    <definedName name="hxd.cds.layers.4.area_codes_perc.opg">'Area Code'!$CM$31</definedName>
    <definedName name="hxd.cds.layers.4.area_codes_perc.oph">'Area Code'!$CM$17</definedName>
    <definedName name="hxd.cds.layers.4.area_codes_perc.ota">'Area Code'!$AM$60</definedName>
    <definedName name="hxd.cds.layers.4.area_codes_perc.sar">'Area Code'!$AM$33</definedName>
    <definedName name="hxd.cds.layers.4.area_codes_perc.sbr">'Area Code'!$AM$36</definedName>
    <definedName name="hxd.cds.layers.4.area_codes_perc.sbv">'Area Code'!$AM$35</definedName>
    <definedName name="hxd.cds.layers.4.area_codes_perc.sbz">'Area Code'!$AM$34</definedName>
    <definedName name="hxd.cds.layers.4.area_codes_perc.scl">'Area Code'!$AM$37</definedName>
    <definedName name="hxd.cds.layers.4.area_codes_perc.sco">'Area Code'!$AM$38</definedName>
    <definedName name="hxd.cds.layers.4.area_codes_perc.scr">'Area Code'!$AM$39</definedName>
    <definedName name="hxd.cds.layers.4.area_codes_perc.sec">'Area Code'!$AM$40</definedName>
    <definedName name="hxd.cds.layers.4.area_codes_perc.sel">'Area Code'!$AM$41</definedName>
    <definedName name="hxd.cds.layers.4.area_codes_perc.sgt">'Area Code'!$AM$42</definedName>
    <definedName name="hxd.cds.layers.4.area_codes_perc.sgy">'Area Code'!$AM$43</definedName>
    <definedName name="hxd.cds.layers.4.area_codes_perc.shn">'Area Code'!$AM$44</definedName>
    <definedName name="hxd.cds.layers.4.area_codes_perc.smx">'Area Code'!$AM$45</definedName>
    <definedName name="hxd.cds.layers.4.area_codes_perc.snq">'Area Code'!$AM$46</definedName>
    <definedName name="hxd.cds.layers.4.area_codes_perc.spa">'Area Code'!$AM$47</definedName>
    <definedName name="hxd.cds.layers.4.area_codes_perc.spe">'Area Code'!$AM$49</definedName>
    <definedName name="hxd.cds.layers.4.area_codes_perc.spy">'Area Code'!$AM$48</definedName>
    <definedName name="hxd.cds.layers.4.area_codes_perc.suy">'Area Code'!$AM$50</definedName>
    <definedName name="hxd.cds.layers.4.area_codes_perc.sve">'Area Code'!$AM$51</definedName>
    <definedName name="hxd.cds.layers.4.area_codes_perc.usa01">'Area Code'!$AM$12</definedName>
    <definedName name="hxd.cds.layers.4.area_codes_perc.usa02">'Area Code'!$AM$13</definedName>
    <definedName name="hxd.cds.layers.4.area_codes_perc.usa03">'Area Code'!$AM$14</definedName>
    <definedName name="hxd.cds.layers.4.area_codes_perc.usa04">'Area Code'!$AM$15</definedName>
    <definedName name="hxd.cds.layers.4.area_codes_perc.usa05">'Area Code'!$AM$16</definedName>
    <definedName name="hxd.cds.layers.4.area_codes_perc.usa06">'Area Code'!$AM$17</definedName>
    <definedName name="hxd.cds.layers.4.area_codes_perc.usa07">'Area Code'!$AM$18</definedName>
    <definedName name="hxd.cds.layers.4.area_codes_perc.usa08">'Area Code'!$AM$19</definedName>
    <definedName name="hxd.cds.layers.4.area_codes_perc.usa09">'Area Code'!$AM$20</definedName>
    <definedName name="hxd.cds.layers.4.area_codes_perc.usa10">'Area Code'!$AM$21</definedName>
    <definedName name="hxd.cds.layers.4.area_codes_perc.usa11">'Area Code'!$AM$22</definedName>
    <definedName name="hxd.cds.layers.4.area_codes_perc.usa12">'Area Code'!$AM$23</definedName>
    <definedName name="hxd.cds.layers.4.area_codes_perc.usa13">'Area Code'!$AM$24</definedName>
    <definedName name="hxd.cds.layers.4.area_codes_perc.usa14">'Area Code'!$AM$25</definedName>
    <definedName name="hxd.cds.layers.4.area_codes_perc.usa15">'Area Code'!$AM$26</definedName>
    <definedName name="hxd.cds.layers.4.area_codes_perc.usa16">'Area Code'!$AM$27</definedName>
    <definedName name="hxd.cds.layers.4.area_codes_perc.usa20">'Area Code'!$AM$28</definedName>
    <definedName name="hxd.cds.layers.4.area_codes_perc.usa21">'Area Code'!$AM$29</definedName>
    <definedName name="hxd.cds.layers.4.area_codes_perc.usa22">'Area Code'!$AM$30</definedName>
    <definedName name="hxd.cds.layers.4.area_codes_select.aal">'Area Code'!$CL$41</definedName>
    <definedName name="hxd.cds.layers.4.area_codes_select.aeg">'Area Code'!$CL$43</definedName>
    <definedName name="hxd.cds.layers.4.area_codes_select.ali">'Area Code'!$CL$44</definedName>
    <definedName name="hxd.cds.layers.4.area_codes_select.amo">'Area Code'!$CL$42</definedName>
    <definedName name="hxd.cds.layers.4.area_codes_select.amu">'Area Code'!$CL$45</definedName>
    <definedName name="hxd.cds.layers.4.area_codes_select.asa">'Area Code'!$CL$38</definedName>
    <definedName name="hxd.cds.layers.4.area_codes_select.bag">'Area Code'!$BL$12</definedName>
    <definedName name="hxd.cds.layers.4.area_codes_select.bah">'Area Code'!$BL$13</definedName>
    <definedName name="hxd.cds.layers.4.area_codes_select.ban">'Area Code'!$BL$14</definedName>
    <definedName name="hxd.cds.layers.4.area_codes_select.bbb">'Area Code'!$BL$15</definedName>
    <definedName name="hxd.cds.layers.4.area_codes_select.bbh">'Area Code'!$BL$16</definedName>
    <definedName name="hxd.cds.layers.4.area_codes_select.bbm">'Area Code'!$BL$17</definedName>
    <definedName name="hxd.cds.layers.4.area_codes_select.bcb">'Area Code'!$BL$18</definedName>
    <definedName name="hxd.cds.layers.4.area_codes_select.bcm">'Area Code'!$BL$19</definedName>
    <definedName name="hxd.cds.layers.4.area_codes_select.bcu">'Area Code'!$BL$20</definedName>
    <definedName name="hxd.cds.layers.4.area_codes_select.bdo">'Area Code'!$BL$21</definedName>
    <definedName name="hxd.cds.layers.4.area_codes_select.bdr">'Area Code'!$BL$22</definedName>
    <definedName name="hxd.cds.layers.4.area_codes_select.bgn">'Area Code'!$BL$23</definedName>
    <definedName name="hxd.cds.layers.4.area_codes_select.bgs">'Area Code'!$BL$24</definedName>
    <definedName name="hxd.cds.layers.4.area_codes_select.bgu">'Area Code'!$BL$25</definedName>
    <definedName name="hxd.cds.layers.4.area_codes_select.bht">'Area Code'!$BL$26</definedName>
    <definedName name="hxd.cds.layers.4.area_codes_select.bjm">'Area Code'!$BL$27</definedName>
    <definedName name="hxd.cds.layers.4.area_codes_select.bkn">'Area Code'!$BL$28</definedName>
    <definedName name="hxd.cds.layers.4.area_codes_select.bmq">'Area Code'!$BL$29</definedName>
    <definedName name="hxd.cds.layers.4.area_codes_select.bms">'Area Code'!$BL$30</definedName>
    <definedName name="hxd.cds.layers.4.area_codes_select.bon">'Area Code'!$BL$31</definedName>
    <definedName name="hxd.cds.layers.4.area_codes_select.bpr">'Area Code'!$BL$32</definedName>
    <definedName name="hxd.cds.layers.4.area_codes_select.bsl">'Area Code'!$BL$33</definedName>
    <definedName name="hxd.cds.layers.4.area_codes_select.bsv">'Area Code'!$BL$34</definedName>
    <definedName name="hxd.cds.layers.4.area_codes_select.bv1">'Area Code'!$BL$35</definedName>
    <definedName name="hxd.cds.layers.4.area_codes_select.bvs">'Area Code'!$BL$36</definedName>
    <definedName name="hxd.cds.layers.4.area_codes_select.bx7">'Area Code'!$BL$37</definedName>
    <definedName name="hxd.cds.layers.4.area_codes_select.cat">'Area Code'!$BL$44</definedName>
    <definedName name="hxd.cds.layers.4.area_codes_select.cbc">'Area Code'!$BL$40</definedName>
    <definedName name="hxd.cds.layers.4.area_codes_select.cef">'Area Code'!$L$39</definedName>
    <definedName name="hxd.cds.layers.4.area_codes_select.con">'Area Code'!$BL$42</definedName>
    <definedName name="hxd.cds.layers.4.area_codes_select.cpr">'Area Code'!$BL$43</definedName>
    <definedName name="hxd.cds.layers.4.area_codes_select.cqu">'Area Code'!$BL$41</definedName>
    <definedName name="hxd.cds.layers.4.area_codes_select.eat">'Area Code'!$L$12</definedName>
    <definedName name="hxd.cds.layers.4.area_codes_select.ebe">'Area Code'!$L$13</definedName>
    <definedName name="hxd.cds.layers.4.area_codes_select.ebg">'Area Code'!$L$38</definedName>
    <definedName name="hxd.cds.layers.4.area_codes_select.ech">'Area Code'!$L$14</definedName>
    <definedName name="hxd.cds.layers.4.area_codes_select.ecx">'Area Code'!$L$40</definedName>
    <definedName name="hxd.cds.layers.4.area_codes_select.ecz">'Area Code'!$L$41</definedName>
    <definedName name="hxd.cds.layers.4.area_codes_select.edk">'Area Code'!$L$15</definedName>
    <definedName name="hxd.cds.layers.4.area_codes_select.ees">'Area Code'!$L$30</definedName>
    <definedName name="hxd.cds.layers.4.area_codes_select.efi">'Area Code'!$L$17</definedName>
    <definedName name="hxd.cds.layers.4.area_codes_select.efr">'Area Code'!$L$18</definedName>
    <definedName name="hxd.cds.layers.4.area_codes_select.ege">'Area Code'!$L$19</definedName>
    <definedName name="hxd.cds.layers.4.area_codes_select.egf">'Area Code'!$L$24</definedName>
    <definedName name="hxd.cds.layers.4.area_codes_select.egr">'Area Code'!$L$31</definedName>
    <definedName name="hxd.cds.layers.4.area_codes_select.ehu">'Area Code'!$L$42</definedName>
    <definedName name="hxd.cds.layers.4.area_codes_select.eic">'Area Code'!$L$20</definedName>
    <definedName name="hxd.cds.layers.4.area_codes_select.eie">'Area Code'!$L$21</definedName>
    <definedName name="hxd.cds.layers.4.area_codes_select.eit">'Area Code'!$L$32</definedName>
    <definedName name="hxd.cds.layers.4.area_codes_select.emz">'Area Code'!$L$16</definedName>
    <definedName name="hxd.cds.layers.4.area_codes_select.enl">'Area Code'!$L$22</definedName>
    <definedName name="hxd.cds.layers.4.area_codes_select.eno">'Area Code'!$L$23</definedName>
    <definedName name="hxd.cds.layers.4.area_codes_select.epl">'Area Code'!$L$43</definedName>
    <definedName name="hxd.cds.layers.4.area_codes_select.ept">'Area Code'!$L$33</definedName>
    <definedName name="hxd.cds.layers.4.area_codes_select.ero">'Area Code'!$L$44</definedName>
    <definedName name="hxd.cds.layers.4.area_codes_select.eru">'Area Code'!$L$45</definedName>
    <definedName name="hxd.cds.layers.4.area_codes_select.esb">'Area Code'!$L$46</definedName>
    <definedName name="hxd.cds.layers.4.area_codes_select.esc">'Area Code'!$L$47</definedName>
    <definedName name="hxd.cds.layers.4.area_codes_select.ese">'Area Code'!$L$25</definedName>
    <definedName name="hxd.cds.layers.4.area_codes_select.esr">'Area Code'!$L$48</definedName>
    <definedName name="hxd.cds.layers.4.area_codes_select.etu">'Area Code'!$L$34</definedName>
    <definedName name="hxd.cds.layers.4.area_codes_select.euf">'Area Code'!$L$27</definedName>
    <definedName name="hxd.cds.layers.4.area_codes_select.euk">'Area Code'!$L$26</definedName>
    <definedName name="hxd.cds.layers.4.area_codes_select.fby">'Area Code'!$CL$28</definedName>
    <definedName name="hxd.cds.layers.4.area_codes_select.fcq">'Area Code'!$CL$13</definedName>
    <definedName name="hxd.cds.layers.4.area_codes_select.fct">'Area Code'!$CL$12</definedName>
    <definedName name="hxd.cds.layers.4.area_codes_select.fcy">'Area Code'!$CL$24</definedName>
    <definedName name="hxd.cds.layers.4.area_codes_select.fhk">'Area Code'!$CL$15</definedName>
    <definedName name="hxd.cds.layers.4.area_codes_select.fia">'Area Code'!$CL$16</definedName>
    <definedName name="hxd.cds.layers.4.area_codes_select.fjq">'Area Code'!$CL$21</definedName>
    <definedName name="hxd.cds.layers.4.area_codes_select.fjw">'Area Code'!$CL$22</definedName>
    <definedName name="hxd.cds.layers.4.area_codes_select.fkr">'Area Code'!$CL$14</definedName>
    <definedName name="hxd.cds.layers.4.area_codes_select.fmy">'Area Code'!$CL$26</definedName>
    <definedName name="hxd.cds.layers.4.area_codes_select.fnp">'Area Code'!$CL$29</definedName>
    <definedName name="hxd.cds.layers.4.area_codes_select.fsk">'Area Code'!$CL$19</definedName>
    <definedName name="hxd.cds.layers.4.area_codes_select.fsp">'Area Code'!$CL$18</definedName>
    <definedName name="hxd.cds.layers.4.area_codes_select.fta">'Area Code'!$CL$20</definedName>
    <definedName name="hxd.cds.layers.4.area_codes_select.fth">'Area Code'!$CL$32</definedName>
    <definedName name="hxd.cds.layers.4.area_codes_select.fvn">'Area Code'!$CL$33</definedName>
    <definedName name="hxd.cds.layers.4.area_codes_select.mae">'Area Code'!$CL$39</definedName>
    <definedName name="hxd.cds.layers.4.area_codes_select.mba">'Area Code'!$CL$40</definedName>
    <definedName name="hxd.cds.layers.4.area_codes_select.mbd">'Area Code'!$CL$23</definedName>
    <definedName name="hxd.cds.layers.4.area_codes_select.min">'Area Code'!$CL$37</definedName>
    <definedName name="hxd.cds.layers.4.area_codes_select.mis">'Area Code'!$CL$36</definedName>
    <definedName name="hxd.cds.layers.4.area_codes_select.mjo">'Area Code'!$CL$46</definedName>
    <definedName name="hxd.cds.layers.4.area_codes_select.mma">'Area Code'!$CL$27</definedName>
    <definedName name="hxd.cds.layers.4.area_codes_select.mom">'Area Code'!$CL$47</definedName>
    <definedName name="hxd.cds.layers.4.area_codes_select.mpk">'Area Code'!$CL$30</definedName>
    <definedName name="hxd.cds.layers.4.area_codes_select.mqa">'Area Code'!$CL$48</definedName>
    <definedName name="hxd.cds.layers.4.area_codes_select.oa1">'Area Code'!$AL$54</definedName>
    <definedName name="hxd.cds.layers.4.area_codes_select.oa2">'Area Code'!$AL$55</definedName>
    <definedName name="hxd.cds.layers.4.area_codes_select.oa3">'Area Code'!$AL$56</definedName>
    <definedName name="hxd.cds.layers.4.area_codes_select.oa4">'Area Code'!$AL$57</definedName>
    <definedName name="hxd.cds.layers.4.area_codes_select.oa5">'Area Code'!$AL$58</definedName>
    <definedName name="hxd.cds.layers.4.area_codes_select.oa6">'Area Code'!$AL$59</definedName>
    <definedName name="hxd.cds.layers.4.area_codes_select.ofj">'Area Code'!$AL$62</definedName>
    <definedName name="hxd.cds.layers.4.area_codes_select.ogm">'Area Code'!$CL$25</definedName>
    <definedName name="hxd.cds.layers.4.area_codes_select.onz">'Area Code'!$AL$61</definedName>
    <definedName name="hxd.cds.layers.4.area_codes_select.opg">'Area Code'!$CL$31</definedName>
    <definedName name="hxd.cds.layers.4.area_codes_select.oph">'Area Code'!$CL$17</definedName>
    <definedName name="hxd.cds.layers.4.area_codes_select.ota">'Area Code'!$AL$60</definedName>
    <definedName name="hxd.cds.layers.4.area_codes_select.sar">'Area Code'!$AL$33</definedName>
    <definedName name="hxd.cds.layers.4.area_codes_select.sbr">'Area Code'!$AL$36</definedName>
    <definedName name="hxd.cds.layers.4.area_codes_select.sbv">'Area Code'!$AL$35</definedName>
    <definedName name="hxd.cds.layers.4.area_codes_select.sbz">'Area Code'!$AL$34</definedName>
    <definedName name="hxd.cds.layers.4.area_codes_select.scl">'Area Code'!$AL$37</definedName>
    <definedName name="hxd.cds.layers.4.area_codes_select.sco">'Area Code'!$AL$38</definedName>
    <definedName name="hxd.cds.layers.4.area_codes_select.scr">'Area Code'!$AL$39</definedName>
    <definedName name="hxd.cds.layers.4.area_codes_select.sec">'Area Code'!$AL$40</definedName>
    <definedName name="hxd.cds.layers.4.area_codes_select.sel">'Area Code'!$AL$41</definedName>
    <definedName name="hxd.cds.layers.4.area_codes_select.sgt">'Area Code'!$AL$42</definedName>
    <definedName name="hxd.cds.layers.4.area_codes_select.sgy">'Area Code'!$AL$43</definedName>
    <definedName name="hxd.cds.layers.4.area_codes_select.shn">'Area Code'!$AL$44</definedName>
    <definedName name="hxd.cds.layers.4.area_codes_select.smx">'Area Code'!$AL$45</definedName>
    <definedName name="hxd.cds.layers.4.area_codes_select.snq">'Area Code'!$AL$46</definedName>
    <definedName name="hxd.cds.layers.4.area_codes_select.spa">'Area Code'!$AL$47</definedName>
    <definedName name="hxd.cds.layers.4.area_codes_select.spe">'Area Code'!$AL$49</definedName>
    <definedName name="hxd.cds.layers.4.area_codes_select.spy">'Area Code'!$AL$48</definedName>
    <definedName name="hxd.cds.layers.4.area_codes_select.suy">'Area Code'!$AL$50</definedName>
    <definedName name="hxd.cds.layers.4.area_codes_select.sve">'Area Code'!$AL$51</definedName>
    <definedName name="hxd.cds.layers.4.area_codes_select.usa01">'Area Code'!$AL$12</definedName>
    <definedName name="hxd.cds.layers.4.area_codes_select.usa02">'Area Code'!$AL$13</definedName>
    <definedName name="hxd.cds.layers.4.area_codes_select.usa03">'Area Code'!$AL$14</definedName>
    <definedName name="hxd.cds.layers.4.area_codes_select.usa04">'Area Code'!$AL$15</definedName>
    <definedName name="hxd.cds.layers.4.area_codes_select.usa05">'Area Code'!$AL$16</definedName>
    <definedName name="hxd.cds.layers.4.area_codes_select.usa06">'Area Code'!$AL$17</definedName>
    <definedName name="hxd.cds.layers.4.area_codes_select.usa07">'Area Code'!$AL$18</definedName>
    <definedName name="hxd.cds.layers.4.area_codes_select.usa08">'Area Code'!$AL$19</definedName>
    <definedName name="hxd.cds.layers.4.area_codes_select.usa09">'Area Code'!$AL$20</definedName>
    <definedName name="hxd.cds.layers.4.area_codes_select.usa10">'Area Code'!$AL$21</definedName>
    <definedName name="hxd.cds.layers.4.area_codes_select.usa11">'Area Code'!$AL$22</definedName>
    <definedName name="hxd.cds.layers.4.area_codes_select.usa12">'Area Code'!$AL$23</definedName>
    <definedName name="hxd.cds.layers.4.area_codes_select.usa13">'Area Code'!$AL$24</definedName>
    <definedName name="hxd.cds.layers.4.area_codes_select.usa14">'Area Code'!$AL$25</definedName>
    <definedName name="hxd.cds.layers.4.area_codes_select.usa15">'Area Code'!$AL$26</definedName>
    <definedName name="hxd.cds.layers.4.area_codes_select.usa16">'Area Code'!$AL$27</definedName>
    <definedName name="hxd.cds.layers.4.area_codes_select.usa20">'Area Code'!$AL$28</definedName>
    <definedName name="hxd.cds.layers.4.area_codes_select.usa21">'Area Code'!$AL$29</definedName>
    <definedName name="hxd.cds.layers.4.area_codes_select.usa22">'Area Code'!$AL$30</definedName>
    <definedName name="hxd.cds.layers.4.excess">'Rate Change'!$X$16</definedName>
    <definedName name="hxd.cds.layers.4.excess_cnv">Summary!$G$55</definedName>
    <definedName name="hxd.cds.layers.4.layer_description">'Rate Change'!$V$18</definedName>
    <definedName name="hxd.cds.layers.4.leader">Summary!$D$55</definedName>
    <definedName name="hxd.cds.layers.4.limit">'Rate Change'!$V$16</definedName>
    <definedName name="hxd.cds.layers.4.limit_cnv">Summary!$F$55</definedName>
    <definedName name="hxd.cds.layers.4.marginal_impacts.treaty_group.mi_10">Modelling!$AT$17</definedName>
    <definedName name="hxd.cds.layers.4.marginal_impacts.treaty_group.mi_250">Modelling!$AS$17</definedName>
    <definedName name="hxd.cds.layers.4.marginal_impacts.treaty_intl.mi_10">Modelling!$AW$17</definedName>
    <definedName name="hxd.cds.layers.4.marginal_impacts.treaty_intl.mi_250">Modelling!$AV$17</definedName>
    <definedName name="hxd.cds.layers.4.marginal_impacts.treaty_us.mi_10">Modelling!$AQ$17</definedName>
    <definedName name="hxd.cds.layers.4.marginal_impacts.treaty_us.mi_250">Modelling!$AP$17</definedName>
    <definedName name="hxd.cds.layers.4.model.air.gross_el">Modelling!$K$17</definedName>
    <definedName name="hxd.cds.layers.4.model.air.gross_sd">Modelling!$L$17</definedName>
    <definedName name="hxd.cds.layers.4.model.ivor.gross_el">Modelling!$H$17</definedName>
    <definedName name="hxd.cds.layers.4.model.ivor.gross_sd">Modelling!$I$17</definedName>
    <definedName name="hxd.cds.layers.4.model.nmp.description">Modelling!$R$17</definedName>
    <definedName name="hxd.cds.layers.4.model.nmp.gross_el_incl_rol">Modelling!$N$17</definedName>
    <definedName name="hxd.cds.layers.4.model.nmp.gross_sd_incl_rol">Modelling!$O$17</definedName>
    <definedName name="hxd.cds.layers.4.model.rms.gross_el">Modelling!$E$17</definedName>
    <definedName name="hxd.cds.layers.4.model.rms.gross_sd">Modelling!$F$17</definedName>
    <definedName name="hxd.cds.layers.4.model.total_air_nmp.gross_el">Modelling!$T$17</definedName>
    <definedName name="hxd.cds.layers.4.model.total_air_nmp.gross_sd">Modelling!$U$17</definedName>
    <definedName name="hxd.cds.layers.4.model.total_rms_nmp.gross_el">Modelling!$B$17</definedName>
    <definedName name="hxd.cds.layers.4.model.total_rms_nmp.gross_sd">Modelling!$C$17</definedName>
    <definedName name="hxd.cds.layers.4.quote.rol_ty.bpi">'Rate Change'!$U$59</definedName>
    <definedName name="hxd.cds.layers.4.quote.rol_ty.est_sign_written_ratio">'Rate Change'!$U$55</definedName>
    <definedName name="hxd.cds.layers.4.quote.rol_ty.estimated_signing">Summary!$V$55</definedName>
    <definedName name="hxd.cds.layers.4.quote.rol_ty.roc">Summary!$L$55</definedName>
    <definedName name="hxd.cds.layers.4.quote.rol_ty.rol_afb_tech">Summary!$J$55</definedName>
    <definedName name="hxd.cds.layers.4.quote.rol_ty.rol_fot">'Rate Change'!$U$51</definedName>
    <definedName name="hxd.cds.layers.4.quote.rol_ty.rol_quote">Summary!$H$55</definedName>
    <definedName name="hxd.cds.layers.4.quote.rol_ty.signed_line">Summary!$X$55</definedName>
    <definedName name="hxd.cds.layers.4.quote.rol_ty.ulr">'Rate Change'!$U$57</definedName>
    <definedName name="hxd.cds.layers.4.quote.rol_ty.written_line">Summary!$T$55</definedName>
    <definedName name="hxd.cds.layers.4.rate_change.comments">'Rate Change'!$W$44</definedName>
    <definedName name="hxd.cds.layers.4.rate_change.deductible_change_fixed.final">'Rate Change'!$U$33</definedName>
    <definedName name="hxd.cds.layers.4.rate_change.exposure_change_fixed.comment">'Rate Change'!$W$24</definedName>
    <definedName name="hxd.cds.layers.4.rate_change.exposure_change_fixed.final">'Rate Change'!$U$25</definedName>
    <definedName name="hxd.cds.layers.4.rate_change.limit_change_fixed.comment">'Rate Change'!$W$36</definedName>
    <definedName name="hxd.cds.layers.4.rate_change.limit_change_fixed.final">'Rate Change'!$U$37</definedName>
    <definedName name="hxd.cds.layers.4.rate_change.other_change_fixed.final">'Rate Change'!$U$45</definedName>
    <definedName name="hxd.cds.layers.4.rate_change.rationale_outside_plan">'Rate Change'!$U$61</definedName>
    <definedName name="hxd.cds.layers.4.rate_change.risk_adjusted_rate_change">'Rate Change'!$U$53</definedName>
    <definedName name="hxd.cds.layers.4.rate_change.risk_characteristics_change_fixed.final">'Rate Change'!$U$29</definedName>
    <definedName name="hxd.cds.layers.4.rate_change.rol_ly_to_use">'Rate Change'!$U$21</definedName>
    <definedName name="hxd.cds.layers.4.rate_change.rol_rebased">'Rate Change'!$U$49</definedName>
    <definedName name="hxd.cds.layers.4.rate_change.terms_conditions_change_fixed.final">'Rate Change'!$U$41</definedName>
    <definedName name="hxd.cds.layers.4.rms_regional.al_miss">Modelling!$AB$17</definedName>
    <definedName name="hxd.cds.layers.4.rms_regional.ca_wildfire">Modelling!$AN$17</definedName>
    <definedName name="hxd.cds.layers.4.rms_regional.cal_north">Modelling!$AG$17</definedName>
    <definedName name="hxd.cds.layers.4.rms_regional.cal_south">Modelling!$AF$17</definedName>
    <definedName name="hxd.cds.layers.4.rms_regional.carolinas">Modelling!$Y$17</definedName>
    <definedName name="hxd.cds.layers.4.rms_regional.fl_non_se">Modelling!$AA$17</definedName>
    <definedName name="hxd.cds.layers.4.rms_regional.fl_se">Modelling!$Z$17</definedName>
    <definedName name="hxd.cds.layers.4.rms_regional.hawaii">Modelling!$AJ$17</definedName>
    <definedName name="hxd.cds.layers.4.rms_regional.louisiana">Modelling!$AC$17</definedName>
    <definedName name="hxd.cds.layers.4.rms_regional.mid_atlantic">Modelling!$X$17</definedName>
    <definedName name="hxd.cds.layers.4.rms_regional.mid_west_1">Modelling!$AK$17</definedName>
    <definedName name="hxd.cds.layers.4.rms_regional.mid_west_2">Modelling!$AL$17</definedName>
    <definedName name="hxd.cds.layers.4.rms_regional.new_madrid">Modelling!$AI$17</definedName>
    <definedName name="hxd.cds.layers.4.rms_regional.north_east">Modelling!$W$17</definedName>
    <definedName name="hxd.cds.layers.4.rms_regional.pnw">Modelling!$AH$17</definedName>
    <definedName name="hxd.cds.layers.4.rms_regional.second_event">Modelling!$AM$17</definedName>
    <definedName name="hxd.cds.layers.4.rms_regional.tx_east">Modelling!$AD$17</definedName>
    <definedName name="hxd.cds.layers.4.rms_regional.tx_west">Modelling!$AE$17</definedName>
    <definedName name="hxd.cds.layers.4.section_reference">'Rate Change'!$V$14</definedName>
    <definedName name="hxd.cds.layers.4.summary.next_year.section_reference">Summary!$C$42</definedName>
    <definedName name="hxd.cds.layers.4.summary.ty.epi_adj_rate">Summary!$R$55</definedName>
    <definedName name="hxd.cds.layers.4.summary.ty.epi_estimated_summary_fx">Summary!$AA$55</definedName>
    <definedName name="hxd.cds.layers.4.summary.ty.epi_signed_summary_fx">Summary!$AB$55</definedName>
    <definedName name="hxd.cds.layers.4.summary.ty.epi_written_summary_fx">Summary!$Z$55</definedName>
    <definedName name="hxd.cds.layers.4.summary.ty.fot_adequacy">Summary!$O$55</definedName>
    <definedName name="hxd.cds.layers.4.summary.ty.line_estimated_summary_fx">Summary!$W$55</definedName>
    <definedName name="hxd.cds.layers.4.summary.ty.line_signed_summary_fx">Summary!$Y$55</definedName>
    <definedName name="hxd.cds.layers.4.summary.ty.line_written_summary_fx">Summary!$U$55</definedName>
    <definedName name="hxd.cds.layers.4.summary.ty.mi_10">Summary!$AE$55</definedName>
    <definedName name="hxd.cds.layers.4.summary.ty.mi_10_prem_ratio">Summary!$AF$55</definedName>
    <definedName name="hxd.cds.layers.4.summary.ty.mi_250">Summary!$AC$55</definedName>
    <definedName name="hxd.cds.layers.4.summary.ty.mi_250_prem_ratio">Summary!$AD$55</definedName>
    <definedName name="hxd.cds.layers.4.summary.ty.multi_year_period">Summary!$B$55</definedName>
    <definedName name="hxd.cds.layers.4.summary.ty.prem_full_line">Summary!$S$55</definedName>
    <definedName name="hxd.cds.layers.4.summary.ty.reinstatement_description">Summary!$K$55</definedName>
    <definedName name="hxd.cds.layers.4.summary.ty.rms_adequacy">Summary!$P$55</definedName>
    <definedName name="hxd.cds.layers.4.summary.year_after_next.section_reference">Summary!$C$29</definedName>
    <definedName name="hxd.cds.layers.5.area_codes_perc.aal">'Area Code'!$CP$41</definedName>
    <definedName name="hxd.cds.layers.5.area_codes_perc.aeg">'Area Code'!$CP$43</definedName>
    <definedName name="hxd.cds.layers.5.area_codes_perc.ali">'Area Code'!$CP$44</definedName>
    <definedName name="hxd.cds.layers.5.area_codes_perc.amo">'Area Code'!$CP$42</definedName>
    <definedName name="hxd.cds.layers.5.area_codes_perc.amu">'Area Code'!$CP$45</definedName>
    <definedName name="hxd.cds.layers.5.area_codes_perc.asa">'Area Code'!$CP$38</definedName>
    <definedName name="hxd.cds.layers.5.area_codes_perc.bag">'Area Code'!$BP$12</definedName>
    <definedName name="hxd.cds.layers.5.area_codes_perc.bah">'Area Code'!$BP$13</definedName>
    <definedName name="hxd.cds.layers.5.area_codes_perc.ban">'Area Code'!$BP$14</definedName>
    <definedName name="hxd.cds.layers.5.area_codes_perc.bbb">'Area Code'!$BP$15</definedName>
    <definedName name="hxd.cds.layers.5.area_codes_perc.bbh">'Area Code'!$BP$16</definedName>
    <definedName name="hxd.cds.layers.5.area_codes_perc.bbm">'Area Code'!$BP$17</definedName>
    <definedName name="hxd.cds.layers.5.area_codes_perc.bcb">'Area Code'!$BP$18</definedName>
    <definedName name="hxd.cds.layers.5.area_codes_perc.bcm">'Area Code'!$BP$19</definedName>
    <definedName name="hxd.cds.layers.5.area_codes_perc.bcu">'Area Code'!$BP$20</definedName>
    <definedName name="hxd.cds.layers.5.area_codes_perc.bdo">'Area Code'!$BP$21</definedName>
    <definedName name="hxd.cds.layers.5.area_codes_perc.bdr">'Area Code'!$BP$22</definedName>
    <definedName name="hxd.cds.layers.5.area_codes_perc.bgn">'Area Code'!$BP$23</definedName>
    <definedName name="hxd.cds.layers.5.area_codes_perc.bgs">'Area Code'!$BP$24</definedName>
    <definedName name="hxd.cds.layers.5.area_codes_perc.bgu">'Area Code'!$BP$25</definedName>
    <definedName name="hxd.cds.layers.5.area_codes_perc.bht">'Area Code'!$BP$26</definedName>
    <definedName name="hxd.cds.layers.5.area_codes_perc.bjm">'Area Code'!$BP$27</definedName>
    <definedName name="hxd.cds.layers.5.area_codes_perc.bkn">'Area Code'!$BP$28</definedName>
    <definedName name="hxd.cds.layers.5.area_codes_perc.bmq">'Area Code'!$BP$29</definedName>
    <definedName name="hxd.cds.layers.5.area_codes_perc.bms">'Area Code'!$BP$30</definedName>
    <definedName name="hxd.cds.layers.5.area_codes_perc.bon">'Area Code'!$BP$31</definedName>
    <definedName name="hxd.cds.layers.5.area_codes_perc.bpr">'Area Code'!$BP$32</definedName>
    <definedName name="hxd.cds.layers.5.area_codes_perc.bsl">'Area Code'!$BP$33</definedName>
    <definedName name="hxd.cds.layers.5.area_codes_perc.bsv">'Area Code'!$BP$34</definedName>
    <definedName name="hxd.cds.layers.5.area_codes_perc.bv1">'Area Code'!$BP$35</definedName>
    <definedName name="hxd.cds.layers.5.area_codes_perc.bvs">'Area Code'!$BP$36</definedName>
    <definedName name="hxd.cds.layers.5.area_codes_perc.bx7">'Area Code'!$BP$37</definedName>
    <definedName name="hxd.cds.layers.5.area_codes_perc.cat">'Area Code'!$BP$44</definedName>
    <definedName name="hxd.cds.layers.5.area_codes_perc.cbc">'Area Code'!$BP$40</definedName>
    <definedName name="hxd.cds.layers.5.area_codes_perc.cef">'Area Code'!$P$39</definedName>
    <definedName name="hxd.cds.layers.5.area_codes_perc.con">'Area Code'!$BP$42</definedName>
    <definedName name="hxd.cds.layers.5.area_codes_perc.cpr">'Area Code'!$BP$43</definedName>
    <definedName name="hxd.cds.layers.5.area_codes_perc.cqu">'Area Code'!$BP$41</definedName>
    <definedName name="hxd.cds.layers.5.area_codes_perc.eat">'Area Code'!$P$12</definedName>
    <definedName name="hxd.cds.layers.5.area_codes_perc.ebe">'Area Code'!$P$13</definedName>
    <definedName name="hxd.cds.layers.5.area_codes_perc.ebg">'Area Code'!$P$38</definedName>
    <definedName name="hxd.cds.layers.5.area_codes_perc.ech">'Area Code'!$P$14</definedName>
    <definedName name="hxd.cds.layers.5.area_codes_perc.ecx">'Area Code'!$P$40</definedName>
    <definedName name="hxd.cds.layers.5.area_codes_perc.ecz">'Area Code'!$P$41</definedName>
    <definedName name="hxd.cds.layers.5.area_codes_perc.edk">'Area Code'!$P$15</definedName>
    <definedName name="hxd.cds.layers.5.area_codes_perc.ees">'Area Code'!$P$30</definedName>
    <definedName name="hxd.cds.layers.5.area_codes_perc.efi">'Area Code'!$P$17</definedName>
    <definedName name="hxd.cds.layers.5.area_codes_perc.efr">'Area Code'!$P$18</definedName>
    <definedName name="hxd.cds.layers.5.area_codes_perc.ege">'Area Code'!$P$19</definedName>
    <definedName name="hxd.cds.layers.5.area_codes_perc.egf">'Area Code'!$P$24</definedName>
    <definedName name="hxd.cds.layers.5.area_codes_perc.egr">'Area Code'!$P$31</definedName>
    <definedName name="hxd.cds.layers.5.area_codes_perc.ehu">'Area Code'!$P$42</definedName>
    <definedName name="hxd.cds.layers.5.area_codes_perc.eic">'Area Code'!$P$20</definedName>
    <definedName name="hxd.cds.layers.5.area_codes_perc.eie">'Area Code'!$P$21</definedName>
    <definedName name="hxd.cds.layers.5.area_codes_perc.eit">'Area Code'!$P$32</definedName>
    <definedName name="hxd.cds.layers.5.area_codes_perc.emz">'Area Code'!$P$16</definedName>
    <definedName name="hxd.cds.layers.5.area_codes_perc.enl">'Area Code'!$P$22</definedName>
    <definedName name="hxd.cds.layers.5.area_codes_perc.eno">'Area Code'!$P$23</definedName>
    <definedName name="hxd.cds.layers.5.area_codes_perc.epl">'Area Code'!$P$43</definedName>
    <definedName name="hxd.cds.layers.5.area_codes_perc.ept">'Area Code'!$P$33</definedName>
    <definedName name="hxd.cds.layers.5.area_codes_perc.ero">'Area Code'!$P$44</definedName>
    <definedName name="hxd.cds.layers.5.area_codes_perc.eru">'Area Code'!$P$45</definedName>
    <definedName name="hxd.cds.layers.5.area_codes_perc.esb">'Area Code'!$P$46</definedName>
    <definedName name="hxd.cds.layers.5.area_codes_perc.esc">'Area Code'!$P$47</definedName>
    <definedName name="hxd.cds.layers.5.area_codes_perc.ese">'Area Code'!$P$25</definedName>
    <definedName name="hxd.cds.layers.5.area_codes_perc.esr">'Area Code'!$P$48</definedName>
    <definedName name="hxd.cds.layers.5.area_codes_perc.etu">'Area Code'!$P$34</definedName>
    <definedName name="hxd.cds.layers.5.area_codes_perc.euf">'Area Code'!$P$27</definedName>
    <definedName name="hxd.cds.layers.5.area_codes_perc.euk">'Area Code'!$P$26</definedName>
    <definedName name="hxd.cds.layers.5.area_codes_perc.fby">'Area Code'!$CP$28</definedName>
    <definedName name="hxd.cds.layers.5.area_codes_perc.fcq">'Area Code'!$CP$13</definedName>
    <definedName name="hxd.cds.layers.5.area_codes_perc.fct">'Area Code'!$CP$12</definedName>
    <definedName name="hxd.cds.layers.5.area_codes_perc.fcy">'Area Code'!$CP$24</definedName>
    <definedName name="hxd.cds.layers.5.area_codes_perc.fhk">'Area Code'!$CP$15</definedName>
    <definedName name="hxd.cds.layers.5.area_codes_perc.fia">'Area Code'!$CP$16</definedName>
    <definedName name="hxd.cds.layers.5.area_codes_perc.fjq">'Area Code'!$CP$21</definedName>
    <definedName name="hxd.cds.layers.5.area_codes_perc.fjw">'Area Code'!$CP$22</definedName>
    <definedName name="hxd.cds.layers.5.area_codes_perc.fkr">'Area Code'!$CP$14</definedName>
    <definedName name="hxd.cds.layers.5.area_codes_perc.fmy">'Area Code'!$CP$26</definedName>
    <definedName name="hxd.cds.layers.5.area_codes_perc.fnp">'Area Code'!$CP$29</definedName>
    <definedName name="hxd.cds.layers.5.area_codes_perc.fsk">'Area Code'!$CP$19</definedName>
    <definedName name="hxd.cds.layers.5.area_codes_perc.fsp">'Area Code'!$CP$18</definedName>
    <definedName name="hxd.cds.layers.5.area_codes_perc.fta">'Area Code'!$CP$20</definedName>
    <definedName name="hxd.cds.layers.5.area_codes_perc.fth">'Area Code'!$CP$32</definedName>
    <definedName name="hxd.cds.layers.5.area_codes_perc.fvn">'Area Code'!$CP$33</definedName>
    <definedName name="hxd.cds.layers.5.area_codes_perc.mae">'Area Code'!$CP$39</definedName>
    <definedName name="hxd.cds.layers.5.area_codes_perc.mba">'Area Code'!$CP$40</definedName>
    <definedName name="hxd.cds.layers.5.area_codes_perc.mbd">'Area Code'!$CP$23</definedName>
    <definedName name="hxd.cds.layers.5.area_codes_perc.min">'Area Code'!$CP$37</definedName>
    <definedName name="hxd.cds.layers.5.area_codes_perc.mis">'Area Code'!$CP$36</definedName>
    <definedName name="hxd.cds.layers.5.area_codes_perc.mjo">'Area Code'!$CP$46</definedName>
    <definedName name="hxd.cds.layers.5.area_codes_perc.mma">'Area Code'!$CP$27</definedName>
    <definedName name="hxd.cds.layers.5.area_codes_perc.mom">'Area Code'!$CP$47</definedName>
    <definedName name="hxd.cds.layers.5.area_codes_perc.mpk">'Area Code'!$CP$30</definedName>
    <definedName name="hxd.cds.layers.5.area_codes_perc.mqa">'Area Code'!$CP$48</definedName>
    <definedName name="hxd.cds.layers.5.area_codes_perc.oa1">'Area Code'!$AP$54</definedName>
    <definedName name="hxd.cds.layers.5.area_codes_perc.oa2">'Area Code'!$AP$55</definedName>
    <definedName name="hxd.cds.layers.5.area_codes_perc.oa3">'Area Code'!$AP$56</definedName>
    <definedName name="hxd.cds.layers.5.area_codes_perc.oa4">'Area Code'!$AP$57</definedName>
    <definedName name="hxd.cds.layers.5.area_codes_perc.oa5">'Area Code'!$AP$58</definedName>
    <definedName name="hxd.cds.layers.5.area_codes_perc.oa6">'Area Code'!$AP$59</definedName>
    <definedName name="hxd.cds.layers.5.area_codes_perc.ofj">'Area Code'!$AP$62</definedName>
    <definedName name="hxd.cds.layers.5.area_codes_perc.ogm">'Area Code'!$CP$25</definedName>
    <definedName name="hxd.cds.layers.5.area_codes_perc.onz">'Area Code'!$AP$61</definedName>
    <definedName name="hxd.cds.layers.5.area_codes_perc.opg">'Area Code'!$CP$31</definedName>
    <definedName name="hxd.cds.layers.5.area_codes_perc.oph">'Area Code'!$CP$17</definedName>
    <definedName name="hxd.cds.layers.5.area_codes_perc.ota">'Area Code'!$AP$60</definedName>
    <definedName name="hxd.cds.layers.5.area_codes_perc.sar">'Area Code'!$AP$33</definedName>
    <definedName name="hxd.cds.layers.5.area_codes_perc.sbr">'Area Code'!$AP$36</definedName>
    <definedName name="hxd.cds.layers.5.area_codes_perc.sbv">'Area Code'!$AP$35</definedName>
    <definedName name="hxd.cds.layers.5.area_codes_perc.sbz">'Area Code'!$AP$34</definedName>
    <definedName name="hxd.cds.layers.5.area_codes_perc.scl">'Area Code'!$AP$37</definedName>
    <definedName name="hxd.cds.layers.5.area_codes_perc.sco">'Area Code'!$AP$38</definedName>
    <definedName name="hxd.cds.layers.5.area_codes_perc.scr">'Area Code'!$AP$39</definedName>
    <definedName name="hxd.cds.layers.5.area_codes_perc.sec">'Area Code'!$AP$40</definedName>
    <definedName name="hxd.cds.layers.5.area_codes_perc.sel">'Area Code'!$AP$41</definedName>
    <definedName name="hxd.cds.layers.5.area_codes_perc.sgt">'Area Code'!$AP$42</definedName>
    <definedName name="hxd.cds.layers.5.area_codes_perc.sgy">'Area Code'!$AP$43</definedName>
    <definedName name="hxd.cds.layers.5.area_codes_perc.shn">'Area Code'!$AP$44</definedName>
    <definedName name="hxd.cds.layers.5.area_codes_perc.smx">'Area Code'!$AP$45</definedName>
    <definedName name="hxd.cds.layers.5.area_codes_perc.snq">'Area Code'!$AP$46</definedName>
    <definedName name="hxd.cds.layers.5.area_codes_perc.spa">'Area Code'!$AP$47</definedName>
    <definedName name="hxd.cds.layers.5.area_codes_perc.spe">'Area Code'!$AP$49</definedName>
    <definedName name="hxd.cds.layers.5.area_codes_perc.spy">'Area Code'!$AP$48</definedName>
    <definedName name="hxd.cds.layers.5.area_codes_perc.suy">'Area Code'!$AP$50</definedName>
    <definedName name="hxd.cds.layers.5.area_codes_perc.sve">'Area Code'!$AP$51</definedName>
    <definedName name="hxd.cds.layers.5.area_codes_perc.usa01">'Area Code'!$AP$12</definedName>
    <definedName name="hxd.cds.layers.5.area_codes_perc.usa02">'Area Code'!$AP$13</definedName>
    <definedName name="hxd.cds.layers.5.area_codes_perc.usa03">'Area Code'!$AP$14</definedName>
    <definedName name="hxd.cds.layers.5.area_codes_perc.usa04">'Area Code'!$AP$15</definedName>
    <definedName name="hxd.cds.layers.5.area_codes_perc.usa05">'Area Code'!$AP$16</definedName>
    <definedName name="hxd.cds.layers.5.area_codes_perc.usa06">'Area Code'!$AP$17</definedName>
    <definedName name="hxd.cds.layers.5.area_codes_perc.usa07">'Area Code'!$AP$18</definedName>
    <definedName name="hxd.cds.layers.5.area_codes_perc.usa08">'Area Code'!$AP$19</definedName>
    <definedName name="hxd.cds.layers.5.area_codes_perc.usa09">'Area Code'!$AP$20</definedName>
    <definedName name="hxd.cds.layers.5.area_codes_perc.usa10">'Area Code'!$AP$21</definedName>
    <definedName name="hxd.cds.layers.5.area_codes_perc.usa11">'Area Code'!$AP$22</definedName>
    <definedName name="hxd.cds.layers.5.area_codes_perc.usa12">'Area Code'!$AP$23</definedName>
    <definedName name="hxd.cds.layers.5.area_codes_perc.usa13">'Area Code'!$AP$24</definedName>
    <definedName name="hxd.cds.layers.5.area_codes_perc.usa14">'Area Code'!$AP$25</definedName>
    <definedName name="hxd.cds.layers.5.area_codes_perc.usa15">'Area Code'!$AP$26</definedName>
    <definedName name="hxd.cds.layers.5.area_codes_perc.usa16">'Area Code'!$AP$27</definedName>
    <definedName name="hxd.cds.layers.5.area_codes_perc.usa20">'Area Code'!$AP$28</definedName>
    <definedName name="hxd.cds.layers.5.area_codes_perc.usa21">'Area Code'!$AP$29</definedName>
    <definedName name="hxd.cds.layers.5.area_codes_perc.usa22">'Area Code'!$AP$30</definedName>
    <definedName name="hxd.cds.layers.5.area_codes_select.aal">'Area Code'!$CO$41</definedName>
    <definedName name="hxd.cds.layers.5.area_codes_select.aeg">'Area Code'!$CO$43</definedName>
    <definedName name="hxd.cds.layers.5.area_codes_select.ali">'Area Code'!$CO$44</definedName>
    <definedName name="hxd.cds.layers.5.area_codes_select.amo">'Area Code'!$CO$42</definedName>
    <definedName name="hxd.cds.layers.5.area_codes_select.amu">'Area Code'!$CO$45</definedName>
    <definedName name="hxd.cds.layers.5.area_codes_select.asa">'Area Code'!$CO$38</definedName>
    <definedName name="hxd.cds.layers.5.area_codes_select.bag">'Area Code'!$BO$12</definedName>
    <definedName name="hxd.cds.layers.5.area_codes_select.bah">'Area Code'!$BO$13</definedName>
    <definedName name="hxd.cds.layers.5.area_codes_select.ban">'Area Code'!$BO$14</definedName>
    <definedName name="hxd.cds.layers.5.area_codes_select.bbb">'Area Code'!$BO$15</definedName>
    <definedName name="hxd.cds.layers.5.area_codes_select.bbh">'Area Code'!$BO$16</definedName>
    <definedName name="hxd.cds.layers.5.area_codes_select.bbm">'Area Code'!$BO$17</definedName>
    <definedName name="hxd.cds.layers.5.area_codes_select.bcb">'Area Code'!$BO$18</definedName>
    <definedName name="hxd.cds.layers.5.area_codes_select.bcm">'Area Code'!$BO$19</definedName>
    <definedName name="hxd.cds.layers.5.area_codes_select.bcu">'Area Code'!$BO$20</definedName>
    <definedName name="hxd.cds.layers.5.area_codes_select.bdo">'Area Code'!$BO$21</definedName>
    <definedName name="hxd.cds.layers.5.area_codes_select.bdr">'Area Code'!$BO$22</definedName>
    <definedName name="hxd.cds.layers.5.area_codes_select.bgn">'Area Code'!$BO$23</definedName>
    <definedName name="hxd.cds.layers.5.area_codes_select.bgs">'Area Code'!$BO$24</definedName>
    <definedName name="hxd.cds.layers.5.area_codes_select.bgu">'Area Code'!$BO$25</definedName>
    <definedName name="hxd.cds.layers.5.area_codes_select.bht">'Area Code'!$BO$26</definedName>
    <definedName name="hxd.cds.layers.5.area_codes_select.bjm">'Area Code'!$BO$27</definedName>
    <definedName name="hxd.cds.layers.5.area_codes_select.bkn">'Area Code'!$BO$28</definedName>
    <definedName name="hxd.cds.layers.5.area_codes_select.bmq">'Area Code'!$BO$29</definedName>
    <definedName name="hxd.cds.layers.5.area_codes_select.bms">'Area Code'!$BO$30</definedName>
    <definedName name="hxd.cds.layers.5.area_codes_select.bon">'Area Code'!$BO$31</definedName>
    <definedName name="hxd.cds.layers.5.area_codes_select.bpr">'Area Code'!$BO$32</definedName>
    <definedName name="hxd.cds.layers.5.area_codes_select.bsl">'Area Code'!$BO$33</definedName>
    <definedName name="hxd.cds.layers.5.area_codes_select.bsv">'Area Code'!$BO$34</definedName>
    <definedName name="hxd.cds.layers.5.area_codes_select.bv1">'Area Code'!$BO$35</definedName>
    <definedName name="hxd.cds.layers.5.area_codes_select.bvs">'Area Code'!$BO$36</definedName>
    <definedName name="hxd.cds.layers.5.area_codes_select.bx7">'Area Code'!$BO$37</definedName>
    <definedName name="hxd.cds.layers.5.area_codes_select.cat">'Area Code'!$BO$44</definedName>
    <definedName name="hxd.cds.layers.5.area_codes_select.cbc">'Area Code'!$BO$40</definedName>
    <definedName name="hxd.cds.layers.5.area_codes_select.cef">'Area Code'!$O$39</definedName>
    <definedName name="hxd.cds.layers.5.area_codes_select.con">'Area Code'!$BO$42</definedName>
    <definedName name="hxd.cds.layers.5.area_codes_select.cpr">'Area Code'!$BO$43</definedName>
    <definedName name="hxd.cds.layers.5.area_codes_select.cqu">'Area Code'!$BO$41</definedName>
    <definedName name="hxd.cds.layers.5.area_codes_select.eat">'Area Code'!$O$12</definedName>
    <definedName name="hxd.cds.layers.5.area_codes_select.ebe">'Area Code'!$O$13</definedName>
    <definedName name="hxd.cds.layers.5.area_codes_select.ebg">'Area Code'!$O$38</definedName>
    <definedName name="hxd.cds.layers.5.area_codes_select.ech">'Area Code'!$O$14</definedName>
    <definedName name="hxd.cds.layers.5.area_codes_select.ecx">'Area Code'!$O$40</definedName>
    <definedName name="hxd.cds.layers.5.area_codes_select.ecz">'Area Code'!$O$41</definedName>
    <definedName name="hxd.cds.layers.5.area_codes_select.edk">'Area Code'!$O$15</definedName>
    <definedName name="hxd.cds.layers.5.area_codes_select.ees">'Area Code'!$O$30</definedName>
    <definedName name="hxd.cds.layers.5.area_codes_select.efi">'Area Code'!$O$17</definedName>
    <definedName name="hxd.cds.layers.5.area_codes_select.efr">'Area Code'!$O$18</definedName>
    <definedName name="hxd.cds.layers.5.area_codes_select.ege">'Area Code'!$O$19</definedName>
    <definedName name="hxd.cds.layers.5.area_codes_select.egf">'Area Code'!$O$24</definedName>
    <definedName name="hxd.cds.layers.5.area_codes_select.egr">'Area Code'!$O$31</definedName>
    <definedName name="hxd.cds.layers.5.area_codes_select.ehu">'Area Code'!$O$42</definedName>
    <definedName name="hxd.cds.layers.5.area_codes_select.eic">'Area Code'!$O$20</definedName>
    <definedName name="hxd.cds.layers.5.area_codes_select.eie">'Area Code'!$O$21</definedName>
    <definedName name="hxd.cds.layers.5.area_codes_select.eit">'Area Code'!$O$32</definedName>
    <definedName name="hxd.cds.layers.5.area_codes_select.emz">'Area Code'!$O$16</definedName>
    <definedName name="hxd.cds.layers.5.area_codes_select.enl">'Area Code'!$O$22</definedName>
    <definedName name="hxd.cds.layers.5.area_codes_select.eno">'Area Code'!$O$23</definedName>
    <definedName name="hxd.cds.layers.5.area_codes_select.epl">'Area Code'!$O$43</definedName>
    <definedName name="hxd.cds.layers.5.area_codes_select.ept">'Area Code'!$O$33</definedName>
    <definedName name="hxd.cds.layers.5.area_codes_select.ero">'Area Code'!$O$44</definedName>
    <definedName name="hxd.cds.layers.5.area_codes_select.eru">'Area Code'!$O$45</definedName>
    <definedName name="hxd.cds.layers.5.area_codes_select.esb">'Area Code'!$O$46</definedName>
    <definedName name="hxd.cds.layers.5.area_codes_select.esc">'Area Code'!$O$47</definedName>
    <definedName name="hxd.cds.layers.5.area_codes_select.ese">'Area Code'!$O$25</definedName>
    <definedName name="hxd.cds.layers.5.area_codes_select.esr">'Area Code'!$O$48</definedName>
    <definedName name="hxd.cds.layers.5.area_codes_select.etu">'Area Code'!$O$34</definedName>
    <definedName name="hxd.cds.layers.5.area_codes_select.euf">'Area Code'!$O$27</definedName>
    <definedName name="hxd.cds.layers.5.area_codes_select.euk">'Area Code'!$O$26</definedName>
    <definedName name="hxd.cds.layers.5.area_codes_select.fby">'Area Code'!$CO$28</definedName>
    <definedName name="hxd.cds.layers.5.area_codes_select.fcq">'Area Code'!$CO$13</definedName>
    <definedName name="hxd.cds.layers.5.area_codes_select.fct">'Area Code'!$CO$12</definedName>
    <definedName name="hxd.cds.layers.5.area_codes_select.fcy">'Area Code'!$CO$24</definedName>
    <definedName name="hxd.cds.layers.5.area_codes_select.fhk">'Area Code'!$CO$15</definedName>
    <definedName name="hxd.cds.layers.5.area_codes_select.fia">'Area Code'!$CO$16</definedName>
    <definedName name="hxd.cds.layers.5.area_codes_select.fjq">'Area Code'!$CO$21</definedName>
    <definedName name="hxd.cds.layers.5.area_codes_select.fjw">'Area Code'!$CO$22</definedName>
    <definedName name="hxd.cds.layers.5.area_codes_select.fkr">'Area Code'!$CO$14</definedName>
    <definedName name="hxd.cds.layers.5.area_codes_select.fmy">'Area Code'!$CO$26</definedName>
    <definedName name="hxd.cds.layers.5.area_codes_select.fnp">'Area Code'!$CO$29</definedName>
    <definedName name="hxd.cds.layers.5.area_codes_select.fsk">'Area Code'!$CO$19</definedName>
    <definedName name="hxd.cds.layers.5.area_codes_select.fsp">'Area Code'!$CO$18</definedName>
    <definedName name="hxd.cds.layers.5.area_codes_select.fta">'Area Code'!$CO$20</definedName>
    <definedName name="hxd.cds.layers.5.area_codes_select.fth">'Area Code'!$CO$32</definedName>
    <definedName name="hxd.cds.layers.5.area_codes_select.fvn">'Area Code'!$CO$33</definedName>
    <definedName name="hxd.cds.layers.5.area_codes_select.mae">'Area Code'!$CO$39</definedName>
    <definedName name="hxd.cds.layers.5.area_codes_select.mba">'Area Code'!$CO$40</definedName>
    <definedName name="hxd.cds.layers.5.area_codes_select.mbd">'Area Code'!$CO$23</definedName>
    <definedName name="hxd.cds.layers.5.area_codes_select.min">'Area Code'!$CO$37</definedName>
    <definedName name="hxd.cds.layers.5.area_codes_select.mis">'Area Code'!$CO$36</definedName>
    <definedName name="hxd.cds.layers.5.area_codes_select.mjo">'Area Code'!$CO$46</definedName>
    <definedName name="hxd.cds.layers.5.area_codes_select.mma">'Area Code'!$CO$27</definedName>
    <definedName name="hxd.cds.layers.5.area_codes_select.mom">'Area Code'!$CO$47</definedName>
    <definedName name="hxd.cds.layers.5.area_codes_select.mpk">'Area Code'!$CO$30</definedName>
    <definedName name="hxd.cds.layers.5.area_codes_select.mqa">'Area Code'!$CO$48</definedName>
    <definedName name="hxd.cds.layers.5.area_codes_select.oa1">'Area Code'!$AO$54</definedName>
    <definedName name="hxd.cds.layers.5.area_codes_select.oa2">'Area Code'!$AO$55</definedName>
    <definedName name="hxd.cds.layers.5.area_codes_select.oa3">'Area Code'!$AO$56</definedName>
    <definedName name="hxd.cds.layers.5.area_codes_select.oa4">'Area Code'!$AO$57</definedName>
    <definedName name="hxd.cds.layers.5.area_codes_select.oa5">'Area Code'!$AO$58</definedName>
    <definedName name="hxd.cds.layers.5.area_codes_select.oa6">'Area Code'!$AO$59</definedName>
    <definedName name="hxd.cds.layers.5.area_codes_select.ofj">'Area Code'!$AO$62</definedName>
    <definedName name="hxd.cds.layers.5.area_codes_select.ogm">'Area Code'!$CO$25</definedName>
    <definedName name="hxd.cds.layers.5.area_codes_select.onz">'Area Code'!$AO$61</definedName>
    <definedName name="hxd.cds.layers.5.area_codes_select.opg">'Area Code'!$CO$31</definedName>
    <definedName name="hxd.cds.layers.5.area_codes_select.oph">'Area Code'!$CO$17</definedName>
    <definedName name="hxd.cds.layers.5.area_codes_select.ota">'Area Code'!$AO$60</definedName>
    <definedName name="hxd.cds.layers.5.area_codes_select.sar">'Area Code'!$AO$33</definedName>
    <definedName name="hxd.cds.layers.5.area_codes_select.sbr">'Area Code'!$AO$36</definedName>
    <definedName name="hxd.cds.layers.5.area_codes_select.sbv">'Area Code'!$AO$35</definedName>
    <definedName name="hxd.cds.layers.5.area_codes_select.sbz">'Area Code'!$AO$34</definedName>
    <definedName name="hxd.cds.layers.5.area_codes_select.scl">'Area Code'!$AO$37</definedName>
    <definedName name="hxd.cds.layers.5.area_codes_select.sco">'Area Code'!$AO$38</definedName>
    <definedName name="hxd.cds.layers.5.area_codes_select.scr">'Area Code'!$AO$39</definedName>
    <definedName name="hxd.cds.layers.5.area_codes_select.sec">'Area Code'!$AO$40</definedName>
    <definedName name="hxd.cds.layers.5.area_codes_select.sel">'Area Code'!$AO$41</definedName>
    <definedName name="hxd.cds.layers.5.area_codes_select.sgt">'Area Code'!$AO$42</definedName>
    <definedName name="hxd.cds.layers.5.area_codes_select.sgy">'Area Code'!$AO$43</definedName>
    <definedName name="hxd.cds.layers.5.area_codes_select.shn">'Area Code'!$AO$44</definedName>
    <definedName name="hxd.cds.layers.5.area_codes_select.smx">'Area Code'!$AO$45</definedName>
    <definedName name="hxd.cds.layers.5.area_codes_select.snq">'Area Code'!$AO$46</definedName>
    <definedName name="hxd.cds.layers.5.area_codes_select.spa">'Area Code'!$AO$47</definedName>
    <definedName name="hxd.cds.layers.5.area_codes_select.spe">'Area Code'!$AO$49</definedName>
    <definedName name="hxd.cds.layers.5.area_codes_select.spy">'Area Code'!$AO$48</definedName>
    <definedName name="hxd.cds.layers.5.area_codes_select.suy">'Area Code'!$AO$50</definedName>
    <definedName name="hxd.cds.layers.5.area_codes_select.sve">'Area Code'!$AO$51</definedName>
    <definedName name="hxd.cds.layers.5.area_codes_select.usa01">'Area Code'!$AO$12</definedName>
    <definedName name="hxd.cds.layers.5.area_codes_select.usa02">'Area Code'!$AO$13</definedName>
    <definedName name="hxd.cds.layers.5.area_codes_select.usa03">'Area Code'!$AO$14</definedName>
    <definedName name="hxd.cds.layers.5.area_codes_select.usa04">'Area Code'!$AO$15</definedName>
    <definedName name="hxd.cds.layers.5.area_codes_select.usa05">'Area Code'!$AO$16</definedName>
    <definedName name="hxd.cds.layers.5.area_codes_select.usa06">'Area Code'!$AO$17</definedName>
    <definedName name="hxd.cds.layers.5.area_codes_select.usa07">'Area Code'!$AO$18</definedName>
    <definedName name="hxd.cds.layers.5.area_codes_select.usa08">'Area Code'!$AO$19</definedName>
    <definedName name="hxd.cds.layers.5.area_codes_select.usa09">'Area Code'!$AO$20</definedName>
    <definedName name="hxd.cds.layers.5.area_codes_select.usa10">'Area Code'!$AO$21</definedName>
    <definedName name="hxd.cds.layers.5.area_codes_select.usa11">'Area Code'!$AO$22</definedName>
    <definedName name="hxd.cds.layers.5.area_codes_select.usa12">'Area Code'!$AO$23</definedName>
    <definedName name="hxd.cds.layers.5.area_codes_select.usa13">'Area Code'!$AO$24</definedName>
    <definedName name="hxd.cds.layers.5.area_codes_select.usa14">'Area Code'!$AO$25</definedName>
    <definedName name="hxd.cds.layers.5.area_codes_select.usa15">'Area Code'!$AO$26</definedName>
    <definedName name="hxd.cds.layers.5.area_codes_select.usa16">'Area Code'!$AO$27</definedName>
    <definedName name="hxd.cds.layers.5.area_codes_select.usa20">'Area Code'!$AO$28</definedName>
    <definedName name="hxd.cds.layers.5.area_codes_select.usa21">'Area Code'!$AO$29</definedName>
    <definedName name="hxd.cds.layers.5.area_codes_select.usa22">'Area Code'!$AO$30</definedName>
    <definedName name="hxd.cds.layers.5.excess">'Rate Change'!$AD$16</definedName>
    <definedName name="hxd.cds.layers.5.excess_cnv">Summary!$G$56</definedName>
    <definedName name="hxd.cds.layers.5.layer_description">'Rate Change'!$AB$18</definedName>
    <definedName name="hxd.cds.layers.5.leader">Summary!$D$56</definedName>
    <definedName name="hxd.cds.layers.5.limit">'Rate Change'!$AB$16</definedName>
    <definedName name="hxd.cds.layers.5.limit_cnv">Summary!$F$56</definedName>
    <definedName name="hxd.cds.layers.5.marginal_impacts.treaty_group.mi_10">Modelling!$AT$18</definedName>
    <definedName name="hxd.cds.layers.5.marginal_impacts.treaty_group.mi_250">Modelling!$AS$18</definedName>
    <definedName name="hxd.cds.layers.5.marginal_impacts.treaty_intl.mi_10">Modelling!$AW$18</definedName>
    <definedName name="hxd.cds.layers.5.marginal_impacts.treaty_intl.mi_250">Modelling!$AV$18</definedName>
    <definedName name="hxd.cds.layers.5.marginal_impacts.treaty_us.mi_10">Modelling!$AQ$18</definedName>
    <definedName name="hxd.cds.layers.5.marginal_impacts.treaty_us.mi_250">Modelling!$AP$18</definedName>
    <definedName name="hxd.cds.layers.5.model.air.gross_el">Modelling!$K$18</definedName>
    <definedName name="hxd.cds.layers.5.model.air.gross_sd">Modelling!$L$18</definedName>
    <definedName name="hxd.cds.layers.5.model.ivor.gross_el">Modelling!$H$18</definedName>
    <definedName name="hxd.cds.layers.5.model.ivor.gross_sd">Modelling!$I$18</definedName>
    <definedName name="hxd.cds.layers.5.model.nmp.description">Modelling!$R$18</definedName>
    <definedName name="hxd.cds.layers.5.model.nmp.gross_el_incl_rol">Modelling!$N$18</definedName>
    <definedName name="hxd.cds.layers.5.model.nmp.gross_sd_incl_rol">Modelling!$O$18</definedName>
    <definedName name="hxd.cds.layers.5.model.rms.gross_el">Modelling!$E$18</definedName>
    <definedName name="hxd.cds.layers.5.model.rms.gross_sd">Modelling!$F$18</definedName>
    <definedName name="hxd.cds.layers.5.model.total_air_nmp.gross_el">Modelling!$T$18</definedName>
    <definedName name="hxd.cds.layers.5.model.total_air_nmp.gross_sd">Modelling!$U$18</definedName>
    <definedName name="hxd.cds.layers.5.model.total_rms_nmp.gross_el">Modelling!$B$18</definedName>
    <definedName name="hxd.cds.layers.5.model.total_rms_nmp.gross_sd">Modelling!$C$18</definedName>
    <definedName name="hxd.cds.layers.5.quote.rol_ty.bpi">'Rate Change'!$AA$59</definedName>
    <definedName name="hxd.cds.layers.5.quote.rol_ty.est_sign_written_ratio">'Rate Change'!$AA$55</definedName>
    <definedName name="hxd.cds.layers.5.quote.rol_ty.estimated_signing">Summary!$V$56</definedName>
    <definedName name="hxd.cds.layers.5.quote.rol_ty.roc">Summary!$L$56</definedName>
    <definedName name="hxd.cds.layers.5.quote.rol_ty.rol_afb_tech">Summary!$J$56</definedName>
    <definedName name="hxd.cds.layers.5.quote.rol_ty.rol_fot">'Rate Change'!$AA$51</definedName>
    <definedName name="hxd.cds.layers.5.quote.rol_ty.rol_quote">Summary!$H$56</definedName>
    <definedName name="hxd.cds.layers.5.quote.rol_ty.signed_line">Summary!$X$56</definedName>
    <definedName name="hxd.cds.layers.5.quote.rol_ty.ulr">'Rate Change'!$AA$57</definedName>
    <definedName name="hxd.cds.layers.5.quote.rol_ty.written_line">Summary!$T$56</definedName>
    <definedName name="hxd.cds.layers.5.rate_change.comments">'Rate Change'!$AC$44</definedName>
    <definedName name="hxd.cds.layers.5.rate_change.deductible_change_fixed.final">'Rate Change'!$AA$33</definedName>
    <definedName name="hxd.cds.layers.5.rate_change.exposure_change_fixed.comment">'Rate Change'!$AC$24</definedName>
    <definedName name="hxd.cds.layers.5.rate_change.exposure_change_fixed.final">'Rate Change'!$AA$25</definedName>
    <definedName name="hxd.cds.layers.5.rate_change.limit_change_fixed.comment">'Rate Change'!$AC$36</definedName>
    <definedName name="hxd.cds.layers.5.rate_change.limit_change_fixed.final">'Rate Change'!$AA$37</definedName>
    <definedName name="hxd.cds.layers.5.rate_change.other_change_fixed.final">'Rate Change'!$AA$45</definedName>
    <definedName name="hxd.cds.layers.5.rate_change.rationale_outside_plan">'Rate Change'!$AA$61</definedName>
    <definedName name="hxd.cds.layers.5.rate_change.risk_adjusted_rate_change">'Rate Change'!$AA$53</definedName>
    <definedName name="hxd.cds.layers.5.rate_change.risk_characteristics_change_fixed.final">'Rate Change'!$AA$29</definedName>
    <definedName name="hxd.cds.layers.5.rate_change.rol_ly_to_use">'Rate Change'!$AA$21</definedName>
    <definedName name="hxd.cds.layers.5.rate_change.rol_rebased">'Rate Change'!$AA$49</definedName>
    <definedName name="hxd.cds.layers.5.rate_change.terms_conditions_change_fixed.final">'Rate Change'!$AA$41</definedName>
    <definedName name="hxd.cds.layers.5.rms_regional.al_miss">Modelling!$AB$18</definedName>
    <definedName name="hxd.cds.layers.5.rms_regional.ca_wildfire">Modelling!$AN$18</definedName>
    <definedName name="hxd.cds.layers.5.rms_regional.cal_north">Modelling!$AG$18</definedName>
    <definedName name="hxd.cds.layers.5.rms_regional.cal_south">Modelling!$AF$18</definedName>
    <definedName name="hxd.cds.layers.5.rms_regional.carolinas">Modelling!$Y$18</definedName>
    <definedName name="hxd.cds.layers.5.rms_regional.fl_non_se">Modelling!$AA$18</definedName>
    <definedName name="hxd.cds.layers.5.rms_regional.fl_se">Modelling!$Z$18</definedName>
    <definedName name="hxd.cds.layers.5.rms_regional.hawaii">Modelling!$AJ$18</definedName>
    <definedName name="hxd.cds.layers.5.rms_regional.louisiana">Modelling!$AC$18</definedName>
    <definedName name="hxd.cds.layers.5.rms_regional.mid_atlantic">Modelling!$X$18</definedName>
    <definedName name="hxd.cds.layers.5.rms_regional.mid_west_1">Modelling!$AK$18</definedName>
    <definedName name="hxd.cds.layers.5.rms_regional.mid_west_2">Modelling!$AL$18</definedName>
    <definedName name="hxd.cds.layers.5.rms_regional.new_madrid">Modelling!$AI$18</definedName>
    <definedName name="hxd.cds.layers.5.rms_regional.north_east">Modelling!$W$18</definedName>
    <definedName name="hxd.cds.layers.5.rms_regional.pnw">Modelling!$AH$18</definedName>
    <definedName name="hxd.cds.layers.5.rms_regional.second_event">Modelling!$AM$18</definedName>
    <definedName name="hxd.cds.layers.5.rms_regional.tx_east">Modelling!$AD$18</definedName>
    <definedName name="hxd.cds.layers.5.rms_regional.tx_west">Modelling!$AE$18</definedName>
    <definedName name="hxd.cds.layers.5.section_reference">'Rate Change'!$AB$14</definedName>
    <definedName name="hxd.cds.layers.5.summary.next_year.section_reference">Summary!$C$43</definedName>
    <definedName name="hxd.cds.layers.5.summary.ty.epi_adj_rate">Summary!$R$56</definedName>
    <definedName name="hxd.cds.layers.5.summary.ty.epi_estimated_summary_fx">Summary!$AA$56</definedName>
    <definedName name="hxd.cds.layers.5.summary.ty.epi_signed_summary_fx">Summary!$AB$56</definedName>
    <definedName name="hxd.cds.layers.5.summary.ty.epi_written_summary_fx">Summary!$Z$56</definedName>
    <definedName name="hxd.cds.layers.5.summary.ty.fot_adequacy">Summary!$O$56</definedName>
    <definedName name="hxd.cds.layers.5.summary.ty.line_estimated_summary_fx">Summary!$W$56</definedName>
    <definedName name="hxd.cds.layers.5.summary.ty.line_signed_summary_fx">Summary!$Y$56</definedName>
    <definedName name="hxd.cds.layers.5.summary.ty.line_written_summary_fx">Summary!$U$56</definedName>
    <definedName name="hxd.cds.layers.5.summary.ty.mi_10">Summary!$AE$56</definedName>
    <definedName name="hxd.cds.layers.5.summary.ty.mi_10_prem_ratio">Summary!$AF$56</definedName>
    <definedName name="hxd.cds.layers.5.summary.ty.mi_250">Summary!$AC$56</definedName>
    <definedName name="hxd.cds.layers.5.summary.ty.mi_250_prem_ratio">Summary!$AD$56</definedName>
    <definedName name="hxd.cds.layers.5.summary.ty.multi_year_period">Summary!$B$56</definedName>
    <definedName name="hxd.cds.layers.5.summary.ty.prem_full_line">Summary!$S$56</definedName>
    <definedName name="hxd.cds.layers.5.summary.ty.reinstatement_description">Summary!$K$56</definedName>
    <definedName name="hxd.cds.layers.5.summary.ty.rms_adequacy">Summary!$P$56</definedName>
    <definedName name="hxd.cds.layers.5.summary.year_after_next.section_reference">Summary!$C$30</definedName>
    <definedName name="hxd.cds.layers.6.area_codes_perc.aal">'Area Code'!$CS$41</definedName>
    <definedName name="hxd.cds.layers.6.area_codes_perc.aeg">'Area Code'!$CS$43</definedName>
    <definedName name="hxd.cds.layers.6.area_codes_perc.ali">'Area Code'!$CS$44</definedName>
    <definedName name="hxd.cds.layers.6.area_codes_perc.amo">'Area Code'!$CS$42</definedName>
    <definedName name="hxd.cds.layers.6.area_codes_perc.amu">'Area Code'!$CS$45</definedName>
    <definedName name="hxd.cds.layers.6.area_codes_perc.asa">'Area Code'!$CS$38</definedName>
    <definedName name="hxd.cds.layers.6.area_codes_perc.bag">'Area Code'!$BS$12</definedName>
    <definedName name="hxd.cds.layers.6.area_codes_perc.bah">'Area Code'!$BS$13</definedName>
    <definedName name="hxd.cds.layers.6.area_codes_perc.ban">'Area Code'!$BS$14</definedName>
    <definedName name="hxd.cds.layers.6.area_codes_perc.bbb">'Area Code'!$BS$15</definedName>
    <definedName name="hxd.cds.layers.6.area_codes_perc.bbh">'Area Code'!$BS$16</definedName>
    <definedName name="hxd.cds.layers.6.area_codes_perc.bbm">'Area Code'!$BS$17</definedName>
    <definedName name="hxd.cds.layers.6.area_codes_perc.bcb">'Area Code'!$BS$18</definedName>
    <definedName name="hxd.cds.layers.6.area_codes_perc.bcm">'Area Code'!$BS$19</definedName>
    <definedName name="hxd.cds.layers.6.area_codes_perc.bcu">'Area Code'!$BS$20</definedName>
    <definedName name="hxd.cds.layers.6.area_codes_perc.bdo">'Area Code'!$BS$21</definedName>
    <definedName name="hxd.cds.layers.6.area_codes_perc.bdr">'Area Code'!$BS$22</definedName>
    <definedName name="hxd.cds.layers.6.area_codes_perc.bgn">'Area Code'!$BS$23</definedName>
    <definedName name="hxd.cds.layers.6.area_codes_perc.bgs">'Area Code'!$BS$24</definedName>
    <definedName name="hxd.cds.layers.6.area_codes_perc.bgu">'Area Code'!$BS$25</definedName>
    <definedName name="hxd.cds.layers.6.area_codes_perc.bht">'Area Code'!$BS$26</definedName>
    <definedName name="hxd.cds.layers.6.area_codes_perc.bjm">'Area Code'!$BS$27</definedName>
    <definedName name="hxd.cds.layers.6.area_codes_perc.bkn">'Area Code'!$BS$28</definedName>
    <definedName name="hxd.cds.layers.6.area_codes_perc.bmq">'Area Code'!$BS$29</definedName>
    <definedName name="hxd.cds.layers.6.area_codes_perc.bms">'Area Code'!$BS$30</definedName>
    <definedName name="hxd.cds.layers.6.area_codes_perc.bon">'Area Code'!$BS$31</definedName>
    <definedName name="hxd.cds.layers.6.area_codes_perc.bpr">'Area Code'!$BS$32</definedName>
    <definedName name="hxd.cds.layers.6.area_codes_perc.bsl">'Area Code'!$BS$33</definedName>
    <definedName name="hxd.cds.layers.6.area_codes_perc.bsv">'Area Code'!$BS$34</definedName>
    <definedName name="hxd.cds.layers.6.area_codes_perc.bv1">'Area Code'!$BS$35</definedName>
    <definedName name="hxd.cds.layers.6.area_codes_perc.bvs">'Area Code'!$BS$36</definedName>
    <definedName name="hxd.cds.layers.6.area_codes_perc.bx7">'Area Code'!$BS$37</definedName>
    <definedName name="hxd.cds.layers.6.area_codes_perc.cat">'Area Code'!$BS$44</definedName>
    <definedName name="hxd.cds.layers.6.area_codes_perc.cbc">'Area Code'!$BS$40</definedName>
    <definedName name="hxd.cds.layers.6.area_codes_perc.cef">'Area Code'!$S$39</definedName>
    <definedName name="hxd.cds.layers.6.area_codes_perc.con">'Area Code'!$BS$42</definedName>
    <definedName name="hxd.cds.layers.6.area_codes_perc.cpr">'Area Code'!$BS$43</definedName>
    <definedName name="hxd.cds.layers.6.area_codes_perc.cqu">'Area Code'!$BS$41</definedName>
    <definedName name="hxd.cds.layers.6.area_codes_perc.eat">'Area Code'!$S$12</definedName>
    <definedName name="hxd.cds.layers.6.area_codes_perc.ebe">'Area Code'!$S$13</definedName>
    <definedName name="hxd.cds.layers.6.area_codes_perc.ebg">'Area Code'!$S$38</definedName>
    <definedName name="hxd.cds.layers.6.area_codes_perc.ech">'Area Code'!$S$14</definedName>
    <definedName name="hxd.cds.layers.6.area_codes_perc.ecx">'Area Code'!$S$40</definedName>
    <definedName name="hxd.cds.layers.6.area_codes_perc.ecz">'Area Code'!$S$41</definedName>
    <definedName name="hxd.cds.layers.6.area_codes_perc.edk">'Area Code'!$S$15</definedName>
    <definedName name="hxd.cds.layers.6.area_codes_perc.ees">'Area Code'!$S$30</definedName>
    <definedName name="hxd.cds.layers.6.area_codes_perc.efi">'Area Code'!$S$17</definedName>
    <definedName name="hxd.cds.layers.6.area_codes_perc.efr">'Area Code'!$S$18</definedName>
    <definedName name="hxd.cds.layers.6.area_codes_perc.ege">'Area Code'!$S$19</definedName>
    <definedName name="hxd.cds.layers.6.area_codes_perc.egf">'Area Code'!$S$24</definedName>
    <definedName name="hxd.cds.layers.6.area_codes_perc.egr">'Area Code'!$S$31</definedName>
    <definedName name="hxd.cds.layers.6.area_codes_perc.ehu">'Area Code'!$S$42</definedName>
    <definedName name="hxd.cds.layers.6.area_codes_perc.eic">'Area Code'!$S$20</definedName>
    <definedName name="hxd.cds.layers.6.area_codes_perc.eie">'Area Code'!$S$21</definedName>
    <definedName name="hxd.cds.layers.6.area_codes_perc.eit">'Area Code'!$S$32</definedName>
    <definedName name="hxd.cds.layers.6.area_codes_perc.emz">'Area Code'!$S$16</definedName>
    <definedName name="hxd.cds.layers.6.area_codes_perc.enl">'Area Code'!$S$22</definedName>
    <definedName name="hxd.cds.layers.6.area_codes_perc.eno">'Area Code'!$S$23</definedName>
    <definedName name="hxd.cds.layers.6.area_codes_perc.epl">'Area Code'!$S$43</definedName>
    <definedName name="hxd.cds.layers.6.area_codes_perc.ept">'Area Code'!$S$33</definedName>
    <definedName name="hxd.cds.layers.6.area_codes_perc.ero">'Area Code'!$S$44</definedName>
    <definedName name="hxd.cds.layers.6.area_codes_perc.eru">'Area Code'!$S$45</definedName>
    <definedName name="hxd.cds.layers.6.area_codes_perc.esb">'Area Code'!$S$46</definedName>
    <definedName name="hxd.cds.layers.6.area_codes_perc.esc">'Area Code'!$S$47</definedName>
    <definedName name="hxd.cds.layers.6.area_codes_perc.ese">'Area Code'!$S$25</definedName>
    <definedName name="hxd.cds.layers.6.area_codes_perc.esr">'Area Code'!$S$48</definedName>
    <definedName name="hxd.cds.layers.6.area_codes_perc.etu">'Area Code'!$S$34</definedName>
    <definedName name="hxd.cds.layers.6.area_codes_perc.euf">'Area Code'!$S$27</definedName>
    <definedName name="hxd.cds.layers.6.area_codes_perc.euk">'Area Code'!$S$26</definedName>
    <definedName name="hxd.cds.layers.6.area_codes_perc.fby">'Area Code'!$CS$28</definedName>
    <definedName name="hxd.cds.layers.6.area_codes_perc.fcq">'Area Code'!$CS$13</definedName>
    <definedName name="hxd.cds.layers.6.area_codes_perc.fct">'Area Code'!$CS$12</definedName>
    <definedName name="hxd.cds.layers.6.area_codes_perc.fcy">'Area Code'!$CS$24</definedName>
    <definedName name="hxd.cds.layers.6.area_codes_perc.fhk">'Area Code'!$CS$15</definedName>
    <definedName name="hxd.cds.layers.6.area_codes_perc.fia">'Area Code'!$CS$16</definedName>
    <definedName name="hxd.cds.layers.6.area_codes_perc.fjq">'Area Code'!$CS$21</definedName>
    <definedName name="hxd.cds.layers.6.area_codes_perc.fjw">'Area Code'!$CS$22</definedName>
    <definedName name="hxd.cds.layers.6.area_codes_perc.fkr">'Area Code'!$CS$14</definedName>
    <definedName name="hxd.cds.layers.6.area_codes_perc.fmy">'Area Code'!$CS$26</definedName>
    <definedName name="hxd.cds.layers.6.area_codes_perc.fnp">'Area Code'!$CS$29</definedName>
    <definedName name="hxd.cds.layers.6.area_codes_perc.fsk">'Area Code'!$CS$19</definedName>
    <definedName name="hxd.cds.layers.6.area_codes_perc.fsp">'Area Code'!$CS$18</definedName>
    <definedName name="hxd.cds.layers.6.area_codes_perc.fta">'Area Code'!$CS$20</definedName>
    <definedName name="hxd.cds.layers.6.area_codes_perc.fth">'Area Code'!$CS$32</definedName>
    <definedName name="hxd.cds.layers.6.area_codes_perc.fvn">'Area Code'!$CS$33</definedName>
    <definedName name="hxd.cds.layers.6.area_codes_perc.mae">'Area Code'!$CS$39</definedName>
    <definedName name="hxd.cds.layers.6.area_codes_perc.mba">'Area Code'!$CS$40</definedName>
    <definedName name="hxd.cds.layers.6.area_codes_perc.mbd">'Area Code'!$CS$23</definedName>
    <definedName name="hxd.cds.layers.6.area_codes_perc.min">'Area Code'!$CS$37</definedName>
    <definedName name="hxd.cds.layers.6.area_codes_perc.mis">'Area Code'!$CS$36</definedName>
    <definedName name="hxd.cds.layers.6.area_codes_perc.mjo">'Area Code'!$CS$46</definedName>
    <definedName name="hxd.cds.layers.6.area_codes_perc.mma">'Area Code'!$CS$27</definedName>
    <definedName name="hxd.cds.layers.6.area_codes_perc.mom">'Area Code'!$CS$47</definedName>
    <definedName name="hxd.cds.layers.6.area_codes_perc.mpk">'Area Code'!$CS$30</definedName>
    <definedName name="hxd.cds.layers.6.area_codes_perc.mqa">'Area Code'!$CS$48</definedName>
    <definedName name="hxd.cds.layers.6.area_codes_perc.oa1">'Area Code'!$AS$54</definedName>
    <definedName name="hxd.cds.layers.6.area_codes_perc.oa2">'Area Code'!$AS$55</definedName>
    <definedName name="hxd.cds.layers.6.area_codes_perc.oa3">'Area Code'!$AS$56</definedName>
    <definedName name="hxd.cds.layers.6.area_codes_perc.oa4">'Area Code'!$AS$57</definedName>
    <definedName name="hxd.cds.layers.6.area_codes_perc.oa5">'Area Code'!$AS$58</definedName>
    <definedName name="hxd.cds.layers.6.area_codes_perc.oa6">'Area Code'!$AS$59</definedName>
    <definedName name="hxd.cds.layers.6.area_codes_perc.ofj">'Area Code'!$AS$62</definedName>
    <definedName name="hxd.cds.layers.6.area_codes_perc.ogm">'Area Code'!$CS$25</definedName>
    <definedName name="hxd.cds.layers.6.area_codes_perc.onz">'Area Code'!$AS$61</definedName>
    <definedName name="hxd.cds.layers.6.area_codes_perc.opg">'Area Code'!$CS$31</definedName>
    <definedName name="hxd.cds.layers.6.area_codes_perc.oph">'Area Code'!$CS$17</definedName>
    <definedName name="hxd.cds.layers.6.area_codes_perc.ota">'Area Code'!$AS$60</definedName>
    <definedName name="hxd.cds.layers.6.area_codes_perc.sar">'Area Code'!$AS$33</definedName>
    <definedName name="hxd.cds.layers.6.area_codes_perc.sbr">'Area Code'!$AS$36</definedName>
    <definedName name="hxd.cds.layers.6.area_codes_perc.sbv">'Area Code'!$AS$35</definedName>
    <definedName name="hxd.cds.layers.6.area_codes_perc.sbz">'Area Code'!$AS$34</definedName>
    <definedName name="hxd.cds.layers.6.area_codes_perc.scl">'Area Code'!$AS$37</definedName>
    <definedName name="hxd.cds.layers.6.area_codes_perc.sco">'Area Code'!$AS$38</definedName>
    <definedName name="hxd.cds.layers.6.area_codes_perc.scr">'Area Code'!$AS$39</definedName>
    <definedName name="hxd.cds.layers.6.area_codes_perc.sec">'Area Code'!$AS$40</definedName>
    <definedName name="hxd.cds.layers.6.area_codes_perc.sel">'Area Code'!$AS$41</definedName>
    <definedName name="hxd.cds.layers.6.area_codes_perc.sgt">'Area Code'!$AS$42</definedName>
    <definedName name="hxd.cds.layers.6.area_codes_perc.sgy">'Area Code'!$AS$43</definedName>
    <definedName name="hxd.cds.layers.6.area_codes_perc.shn">'Area Code'!$AS$44</definedName>
    <definedName name="hxd.cds.layers.6.area_codes_perc.smx">'Area Code'!$AS$45</definedName>
    <definedName name="hxd.cds.layers.6.area_codes_perc.snq">'Area Code'!$AS$46</definedName>
    <definedName name="hxd.cds.layers.6.area_codes_perc.spa">'Area Code'!$AS$47</definedName>
    <definedName name="hxd.cds.layers.6.area_codes_perc.spe">'Area Code'!$AS$49</definedName>
    <definedName name="hxd.cds.layers.6.area_codes_perc.spy">'Area Code'!$AS$48</definedName>
    <definedName name="hxd.cds.layers.6.area_codes_perc.suy">'Area Code'!$AS$50</definedName>
    <definedName name="hxd.cds.layers.6.area_codes_perc.sve">'Area Code'!$AS$51</definedName>
    <definedName name="hxd.cds.layers.6.area_codes_perc.usa01">'Area Code'!$AS$12</definedName>
    <definedName name="hxd.cds.layers.6.area_codes_perc.usa02">'Area Code'!$AS$13</definedName>
    <definedName name="hxd.cds.layers.6.area_codes_perc.usa03">'Area Code'!$AS$14</definedName>
    <definedName name="hxd.cds.layers.6.area_codes_perc.usa04">'Area Code'!$AS$15</definedName>
    <definedName name="hxd.cds.layers.6.area_codes_perc.usa05">'Area Code'!$AS$16</definedName>
    <definedName name="hxd.cds.layers.6.area_codes_perc.usa06">'Area Code'!$AS$17</definedName>
    <definedName name="hxd.cds.layers.6.area_codes_perc.usa07">'Area Code'!$AS$18</definedName>
    <definedName name="hxd.cds.layers.6.area_codes_perc.usa08">'Area Code'!$AS$19</definedName>
    <definedName name="hxd.cds.layers.6.area_codes_perc.usa09">'Area Code'!$AS$20</definedName>
    <definedName name="hxd.cds.layers.6.area_codes_perc.usa10">'Area Code'!$AS$21</definedName>
    <definedName name="hxd.cds.layers.6.area_codes_perc.usa11">'Area Code'!$AS$22</definedName>
    <definedName name="hxd.cds.layers.6.area_codes_perc.usa12">'Area Code'!$AS$23</definedName>
    <definedName name="hxd.cds.layers.6.area_codes_perc.usa13">'Area Code'!$AS$24</definedName>
    <definedName name="hxd.cds.layers.6.area_codes_perc.usa14">'Area Code'!$AS$25</definedName>
    <definedName name="hxd.cds.layers.6.area_codes_perc.usa15">'Area Code'!$AS$26</definedName>
    <definedName name="hxd.cds.layers.6.area_codes_perc.usa16">'Area Code'!$AS$27</definedName>
    <definedName name="hxd.cds.layers.6.area_codes_perc.usa20">'Area Code'!$AS$28</definedName>
    <definedName name="hxd.cds.layers.6.area_codes_perc.usa21">'Area Code'!$AS$29</definedName>
    <definedName name="hxd.cds.layers.6.area_codes_perc.usa22">'Area Code'!$AS$30</definedName>
    <definedName name="hxd.cds.layers.6.area_codes_select.aal">'Area Code'!$CR$41</definedName>
    <definedName name="hxd.cds.layers.6.area_codes_select.aeg">'Area Code'!$CR$43</definedName>
    <definedName name="hxd.cds.layers.6.area_codes_select.ali">'Area Code'!$CR$44</definedName>
    <definedName name="hxd.cds.layers.6.area_codes_select.amo">'Area Code'!$CR$42</definedName>
    <definedName name="hxd.cds.layers.6.area_codes_select.amu">'Area Code'!$CR$45</definedName>
    <definedName name="hxd.cds.layers.6.area_codes_select.asa">'Area Code'!$CR$38</definedName>
    <definedName name="hxd.cds.layers.6.area_codes_select.bag">'Area Code'!$BR$12</definedName>
    <definedName name="hxd.cds.layers.6.area_codes_select.bah">'Area Code'!$BR$13</definedName>
    <definedName name="hxd.cds.layers.6.area_codes_select.ban">'Area Code'!$BR$14</definedName>
    <definedName name="hxd.cds.layers.6.area_codes_select.bbb">'Area Code'!$BR$15</definedName>
    <definedName name="hxd.cds.layers.6.area_codes_select.bbh">'Area Code'!$BR$16</definedName>
    <definedName name="hxd.cds.layers.6.area_codes_select.bbm">'Area Code'!$BR$17</definedName>
    <definedName name="hxd.cds.layers.6.area_codes_select.bcb">'Area Code'!$BR$18</definedName>
    <definedName name="hxd.cds.layers.6.area_codes_select.bcm">'Area Code'!$BR$19</definedName>
    <definedName name="hxd.cds.layers.6.area_codes_select.bcu">'Area Code'!$BR$20</definedName>
    <definedName name="hxd.cds.layers.6.area_codes_select.bdo">'Area Code'!$BR$21</definedName>
    <definedName name="hxd.cds.layers.6.area_codes_select.bdr">'Area Code'!$BR$22</definedName>
    <definedName name="hxd.cds.layers.6.area_codes_select.bgn">'Area Code'!$BR$23</definedName>
    <definedName name="hxd.cds.layers.6.area_codes_select.bgs">'Area Code'!$BR$24</definedName>
    <definedName name="hxd.cds.layers.6.area_codes_select.bgu">'Area Code'!$BR$25</definedName>
    <definedName name="hxd.cds.layers.6.area_codes_select.bht">'Area Code'!$BR$26</definedName>
    <definedName name="hxd.cds.layers.6.area_codes_select.bjm">'Area Code'!$BR$27</definedName>
    <definedName name="hxd.cds.layers.6.area_codes_select.bkn">'Area Code'!$BR$28</definedName>
    <definedName name="hxd.cds.layers.6.area_codes_select.bmq">'Area Code'!$BR$29</definedName>
    <definedName name="hxd.cds.layers.6.area_codes_select.bms">'Area Code'!$BR$30</definedName>
    <definedName name="hxd.cds.layers.6.area_codes_select.bon">'Area Code'!$BR$31</definedName>
    <definedName name="hxd.cds.layers.6.area_codes_select.bpr">'Area Code'!$BR$32</definedName>
    <definedName name="hxd.cds.layers.6.area_codes_select.bsl">'Area Code'!$BR$33</definedName>
    <definedName name="hxd.cds.layers.6.area_codes_select.bsv">'Area Code'!$BR$34</definedName>
    <definedName name="hxd.cds.layers.6.area_codes_select.bv1">'Area Code'!$BR$35</definedName>
    <definedName name="hxd.cds.layers.6.area_codes_select.bvs">'Area Code'!$BR$36</definedName>
    <definedName name="hxd.cds.layers.6.area_codes_select.bx7">'Area Code'!$BR$37</definedName>
    <definedName name="hxd.cds.layers.6.area_codes_select.cat">'Area Code'!$BR$44</definedName>
    <definedName name="hxd.cds.layers.6.area_codes_select.cbc">'Area Code'!$BR$40</definedName>
    <definedName name="hxd.cds.layers.6.area_codes_select.cef">'Area Code'!$R$39</definedName>
    <definedName name="hxd.cds.layers.6.area_codes_select.con">'Area Code'!$BR$42</definedName>
    <definedName name="hxd.cds.layers.6.area_codes_select.cpr">'Area Code'!$BR$43</definedName>
    <definedName name="hxd.cds.layers.6.area_codes_select.cqu">'Area Code'!$BR$41</definedName>
    <definedName name="hxd.cds.layers.6.area_codes_select.eat">'Area Code'!$R$12</definedName>
    <definedName name="hxd.cds.layers.6.area_codes_select.ebe">'Area Code'!$R$13</definedName>
    <definedName name="hxd.cds.layers.6.area_codes_select.ebg">'Area Code'!$R$38</definedName>
    <definedName name="hxd.cds.layers.6.area_codes_select.ech">'Area Code'!$R$14</definedName>
    <definedName name="hxd.cds.layers.6.area_codes_select.ecx">'Area Code'!$R$40</definedName>
    <definedName name="hxd.cds.layers.6.area_codes_select.ecz">'Area Code'!$R$41</definedName>
    <definedName name="hxd.cds.layers.6.area_codes_select.edk">'Area Code'!$R$15</definedName>
    <definedName name="hxd.cds.layers.6.area_codes_select.ees">'Area Code'!$R$30</definedName>
    <definedName name="hxd.cds.layers.6.area_codes_select.efi">'Area Code'!$R$17</definedName>
    <definedName name="hxd.cds.layers.6.area_codes_select.efr">'Area Code'!$R$18</definedName>
    <definedName name="hxd.cds.layers.6.area_codes_select.ege">'Area Code'!$R$19</definedName>
    <definedName name="hxd.cds.layers.6.area_codes_select.egf">'Area Code'!$R$24</definedName>
    <definedName name="hxd.cds.layers.6.area_codes_select.egr">'Area Code'!$R$31</definedName>
    <definedName name="hxd.cds.layers.6.area_codes_select.ehu">'Area Code'!$R$42</definedName>
    <definedName name="hxd.cds.layers.6.area_codes_select.eic">'Area Code'!$R$20</definedName>
    <definedName name="hxd.cds.layers.6.area_codes_select.eie">'Area Code'!$R$21</definedName>
    <definedName name="hxd.cds.layers.6.area_codes_select.eit">'Area Code'!$R$32</definedName>
    <definedName name="hxd.cds.layers.6.area_codes_select.emz">'Area Code'!$R$16</definedName>
    <definedName name="hxd.cds.layers.6.area_codes_select.enl">'Area Code'!$R$22</definedName>
    <definedName name="hxd.cds.layers.6.area_codes_select.eno">'Area Code'!$R$23</definedName>
    <definedName name="hxd.cds.layers.6.area_codes_select.epl">'Area Code'!$R$43</definedName>
    <definedName name="hxd.cds.layers.6.area_codes_select.ept">'Area Code'!$R$33</definedName>
    <definedName name="hxd.cds.layers.6.area_codes_select.ero">'Area Code'!$R$44</definedName>
    <definedName name="hxd.cds.layers.6.area_codes_select.eru">'Area Code'!$R$45</definedName>
    <definedName name="hxd.cds.layers.6.area_codes_select.esb">'Area Code'!$R$46</definedName>
    <definedName name="hxd.cds.layers.6.area_codes_select.esc">'Area Code'!$R$47</definedName>
    <definedName name="hxd.cds.layers.6.area_codes_select.ese">'Area Code'!$R$25</definedName>
    <definedName name="hxd.cds.layers.6.area_codes_select.esr">'Area Code'!$R$48</definedName>
    <definedName name="hxd.cds.layers.6.area_codes_select.etu">'Area Code'!$R$34</definedName>
    <definedName name="hxd.cds.layers.6.area_codes_select.euf">'Area Code'!$R$27</definedName>
    <definedName name="hxd.cds.layers.6.area_codes_select.euk">'Area Code'!$R$26</definedName>
    <definedName name="hxd.cds.layers.6.area_codes_select.fby">'Area Code'!$CR$28</definedName>
    <definedName name="hxd.cds.layers.6.area_codes_select.fcq">'Area Code'!$CR$13</definedName>
    <definedName name="hxd.cds.layers.6.area_codes_select.fct">'Area Code'!$CR$12</definedName>
    <definedName name="hxd.cds.layers.6.area_codes_select.fcy">'Area Code'!$CR$24</definedName>
    <definedName name="hxd.cds.layers.6.area_codes_select.fhk">'Area Code'!$CR$15</definedName>
    <definedName name="hxd.cds.layers.6.area_codes_select.fia">'Area Code'!$CR$16</definedName>
    <definedName name="hxd.cds.layers.6.area_codes_select.fjq">'Area Code'!$CR$21</definedName>
    <definedName name="hxd.cds.layers.6.area_codes_select.fjw">'Area Code'!$CR$22</definedName>
    <definedName name="hxd.cds.layers.6.area_codes_select.fkr">'Area Code'!$CR$14</definedName>
    <definedName name="hxd.cds.layers.6.area_codes_select.fmy">'Area Code'!$CR$26</definedName>
    <definedName name="hxd.cds.layers.6.area_codes_select.fnp">'Area Code'!$CR$29</definedName>
    <definedName name="hxd.cds.layers.6.area_codes_select.fsk">'Area Code'!$CR$19</definedName>
    <definedName name="hxd.cds.layers.6.area_codes_select.fsp">'Area Code'!$CR$18</definedName>
    <definedName name="hxd.cds.layers.6.area_codes_select.fta">'Area Code'!$CR$20</definedName>
    <definedName name="hxd.cds.layers.6.area_codes_select.fth">'Area Code'!$CR$32</definedName>
    <definedName name="hxd.cds.layers.6.area_codes_select.fvn">'Area Code'!$CR$33</definedName>
    <definedName name="hxd.cds.layers.6.area_codes_select.mae">'Area Code'!$CR$39</definedName>
    <definedName name="hxd.cds.layers.6.area_codes_select.mba">'Area Code'!$CR$40</definedName>
    <definedName name="hxd.cds.layers.6.area_codes_select.mbd">'Area Code'!$CR$23</definedName>
    <definedName name="hxd.cds.layers.6.area_codes_select.min">'Area Code'!$CR$37</definedName>
    <definedName name="hxd.cds.layers.6.area_codes_select.mis">'Area Code'!$CR$36</definedName>
    <definedName name="hxd.cds.layers.6.area_codes_select.mjo">'Area Code'!$CR$46</definedName>
    <definedName name="hxd.cds.layers.6.area_codes_select.mma">'Area Code'!$CR$27</definedName>
    <definedName name="hxd.cds.layers.6.area_codes_select.mom">'Area Code'!$CR$47</definedName>
    <definedName name="hxd.cds.layers.6.area_codes_select.mpk">'Area Code'!$CR$30</definedName>
    <definedName name="hxd.cds.layers.6.area_codes_select.mqa">'Area Code'!$CR$48</definedName>
    <definedName name="hxd.cds.layers.6.area_codes_select.oa1">'Area Code'!$AR$54</definedName>
    <definedName name="hxd.cds.layers.6.area_codes_select.oa2">'Area Code'!$AR$55</definedName>
    <definedName name="hxd.cds.layers.6.area_codes_select.oa3">'Area Code'!$AR$56</definedName>
    <definedName name="hxd.cds.layers.6.area_codes_select.oa4">'Area Code'!$AR$57</definedName>
    <definedName name="hxd.cds.layers.6.area_codes_select.oa5">'Area Code'!$AR$58</definedName>
    <definedName name="hxd.cds.layers.6.area_codes_select.oa6">'Area Code'!$AR$59</definedName>
    <definedName name="hxd.cds.layers.6.area_codes_select.ofj">'Area Code'!$AR$62</definedName>
    <definedName name="hxd.cds.layers.6.area_codes_select.ogm">'Area Code'!$CR$25</definedName>
    <definedName name="hxd.cds.layers.6.area_codes_select.onz">'Area Code'!$AR$61</definedName>
    <definedName name="hxd.cds.layers.6.area_codes_select.opg">'Area Code'!$CR$31</definedName>
    <definedName name="hxd.cds.layers.6.area_codes_select.oph">'Area Code'!$CR$17</definedName>
    <definedName name="hxd.cds.layers.6.area_codes_select.ota">'Area Code'!$AR$60</definedName>
    <definedName name="hxd.cds.layers.6.area_codes_select.sar">'Area Code'!$AR$33</definedName>
    <definedName name="hxd.cds.layers.6.area_codes_select.sbr">'Area Code'!$AR$36</definedName>
    <definedName name="hxd.cds.layers.6.area_codes_select.sbv">'Area Code'!$AR$35</definedName>
    <definedName name="hxd.cds.layers.6.area_codes_select.sbz">'Area Code'!$AR$34</definedName>
    <definedName name="hxd.cds.layers.6.area_codes_select.scl">'Area Code'!$AR$37</definedName>
    <definedName name="hxd.cds.layers.6.area_codes_select.sco">'Area Code'!$AR$38</definedName>
    <definedName name="hxd.cds.layers.6.area_codes_select.scr">'Area Code'!$AR$39</definedName>
    <definedName name="hxd.cds.layers.6.area_codes_select.sec">'Area Code'!$AR$40</definedName>
    <definedName name="hxd.cds.layers.6.area_codes_select.sel">'Area Code'!$AR$41</definedName>
    <definedName name="hxd.cds.layers.6.area_codes_select.sgt">'Area Code'!$AR$42</definedName>
    <definedName name="hxd.cds.layers.6.area_codes_select.sgy">'Area Code'!$AR$43</definedName>
    <definedName name="hxd.cds.layers.6.area_codes_select.shn">'Area Code'!$AR$44</definedName>
    <definedName name="hxd.cds.layers.6.area_codes_select.smx">'Area Code'!$AR$45</definedName>
    <definedName name="hxd.cds.layers.6.area_codes_select.snq">'Area Code'!$AR$46</definedName>
    <definedName name="hxd.cds.layers.6.area_codes_select.spa">'Area Code'!$AR$47</definedName>
    <definedName name="hxd.cds.layers.6.area_codes_select.spe">'Area Code'!$AR$49</definedName>
    <definedName name="hxd.cds.layers.6.area_codes_select.spy">'Area Code'!$AR$48</definedName>
    <definedName name="hxd.cds.layers.6.area_codes_select.suy">'Area Code'!$AR$50</definedName>
    <definedName name="hxd.cds.layers.6.area_codes_select.sve">'Area Code'!$AR$51</definedName>
    <definedName name="hxd.cds.layers.6.area_codes_select.usa01">'Area Code'!$AR$12</definedName>
    <definedName name="hxd.cds.layers.6.area_codes_select.usa02">'Area Code'!$AR$13</definedName>
    <definedName name="hxd.cds.layers.6.area_codes_select.usa03">'Area Code'!$AR$14</definedName>
    <definedName name="hxd.cds.layers.6.area_codes_select.usa04">'Area Code'!$AR$15</definedName>
    <definedName name="hxd.cds.layers.6.area_codes_select.usa05">'Area Code'!$AR$16</definedName>
    <definedName name="hxd.cds.layers.6.area_codes_select.usa06">'Area Code'!$AR$17</definedName>
    <definedName name="hxd.cds.layers.6.area_codes_select.usa07">'Area Code'!$AR$18</definedName>
    <definedName name="hxd.cds.layers.6.area_codes_select.usa08">'Area Code'!$AR$19</definedName>
    <definedName name="hxd.cds.layers.6.area_codes_select.usa09">'Area Code'!$AR$20</definedName>
    <definedName name="hxd.cds.layers.6.area_codes_select.usa10">'Area Code'!$AR$21</definedName>
    <definedName name="hxd.cds.layers.6.area_codes_select.usa11">'Area Code'!$AR$22</definedName>
    <definedName name="hxd.cds.layers.6.area_codes_select.usa12">'Area Code'!$AR$23</definedName>
    <definedName name="hxd.cds.layers.6.area_codes_select.usa13">'Area Code'!$AR$24</definedName>
    <definedName name="hxd.cds.layers.6.area_codes_select.usa14">'Area Code'!$AR$25</definedName>
    <definedName name="hxd.cds.layers.6.area_codes_select.usa15">'Area Code'!$AR$26</definedName>
    <definedName name="hxd.cds.layers.6.area_codes_select.usa16">'Area Code'!$AR$27</definedName>
    <definedName name="hxd.cds.layers.6.area_codes_select.usa20">'Area Code'!$AR$28</definedName>
    <definedName name="hxd.cds.layers.6.area_codes_select.usa21">'Area Code'!$AR$29</definedName>
    <definedName name="hxd.cds.layers.6.area_codes_select.usa22">'Area Code'!$AR$30</definedName>
    <definedName name="hxd.cds.layers.6.excess">'Rate Change'!$AJ$16</definedName>
    <definedName name="hxd.cds.layers.6.excess_cnv">Summary!$G$57</definedName>
    <definedName name="hxd.cds.layers.6.layer_description">'Rate Change'!$AH$18</definedName>
    <definedName name="hxd.cds.layers.6.leader">Summary!$D$57</definedName>
    <definedName name="hxd.cds.layers.6.limit">'Rate Change'!$AH$16</definedName>
    <definedName name="hxd.cds.layers.6.limit_cnv">Summary!$F$57</definedName>
    <definedName name="hxd.cds.layers.6.marginal_impacts.treaty_group.mi_10">Modelling!$AT$19</definedName>
    <definedName name="hxd.cds.layers.6.marginal_impacts.treaty_group.mi_250">Modelling!$AS$19</definedName>
    <definedName name="hxd.cds.layers.6.marginal_impacts.treaty_intl.mi_10">Modelling!$AW$19</definedName>
    <definedName name="hxd.cds.layers.6.marginal_impacts.treaty_intl.mi_250">Modelling!$AV$19</definedName>
    <definedName name="hxd.cds.layers.6.marginal_impacts.treaty_us.mi_10">Modelling!$AQ$19</definedName>
    <definedName name="hxd.cds.layers.6.marginal_impacts.treaty_us.mi_250">Modelling!$AP$19</definedName>
    <definedName name="hxd.cds.layers.6.model.air.gross_el">Modelling!$K$19</definedName>
    <definedName name="hxd.cds.layers.6.model.air.gross_sd">Modelling!$L$19</definedName>
    <definedName name="hxd.cds.layers.6.model.ivor.gross_el">Modelling!$H$19</definedName>
    <definedName name="hxd.cds.layers.6.model.ivor.gross_sd">Modelling!$I$19</definedName>
    <definedName name="hxd.cds.layers.6.model.nmp.description">Modelling!$R$19</definedName>
    <definedName name="hxd.cds.layers.6.model.nmp.gross_el_incl_rol">Modelling!$N$19</definedName>
    <definedName name="hxd.cds.layers.6.model.nmp.gross_sd_incl_rol">Modelling!$O$19</definedName>
    <definedName name="hxd.cds.layers.6.model.rms.gross_el">Modelling!$E$19</definedName>
    <definedName name="hxd.cds.layers.6.model.rms.gross_sd">Modelling!$F$19</definedName>
    <definedName name="hxd.cds.layers.6.model.total_air_nmp.gross_el">Modelling!$T$19</definedName>
    <definedName name="hxd.cds.layers.6.model.total_air_nmp.gross_sd">Modelling!$U$19</definedName>
    <definedName name="hxd.cds.layers.6.model.total_rms_nmp.gross_el">Modelling!$B$19</definedName>
    <definedName name="hxd.cds.layers.6.model.total_rms_nmp.gross_sd">Modelling!$C$19</definedName>
    <definedName name="hxd.cds.layers.6.quote.rol_ty.bpi">'Rate Change'!$AG$59</definedName>
    <definedName name="hxd.cds.layers.6.quote.rol_ty.est_sign_written_ratio">'Rate Change'!$AG$55</definedName>
    <definedName name="hxd.cds.layers.6.quote.rol_ty.estimated_signing">Summary!$V$57</definedName>
    <definedName name="hxd.cds.layers.6.quote.rol_ty.roc">Summary!$L$57</definedName>
    <definedName name="hxd.cds.layers.6.quote.rol_ty.rol_afb_tech">Summary!$J$57</definedName>
    <definedName name="hxd.cds.layers.6.quote.rol_ty.rol_fot">'Rate Change'!$AG$51</definedName>
    <definedName name="hxd.cds.layers.6.quote.rol_ty.rol_quote">Summary!$H$57</definedName>
    <definedName name="hxd.cds.layers.6.quote.rol_ty.signed_line">Summary!$X$57</definedName>
    <definedName name="hxd.cds.layers.6.quote.rol_ty.ulr">'Rate Change'!$AG$57</definedName>
    <definedName name="hxd.cds.layers.6.quote.rol_ty.written_line">Summary!$T$57</definedName>
    <definedName name="hxd.cds.layers.6.rate_change.comments">'Rate Change'!$AI$44</definedName>
    <definedName name="hxd.cds.layers.6.rate_change.deductible_change_fixed.final">'Rate Change'!$AG$33</definedName>
    <definedName name="hxd.cds.layers.6.rate_change.exposure_change_fixed.comment">'Rate Change'!$AI$24</definedName>
    <definedName name="hxd.cds.layers.6.rate_change.exposure_change_fixed.final">'Rate Change'!$AG$25</definedName>
    <definedName name="hxd.cds.layers.6.rate_change.limit_change_fixed.comment">'Rate Change'!$AI$36</definedName>
    <definedName name="hxd.cds.layers.6.rate_change.limit_change_fixed.final">'Rate Change'!$AG$37</definedName>
    <definedName name="hxd.cds.layers.6.rate_change.other_change_fixed.final">'Rate Change'!$AG$45</definedName>
    <definedName name="hxd.cds.layers.6.rate_change.rationale_outside_plan">'Rate Change'!$AG$61</definedName>
    <definedName name="hxd.cds.layers.6.rate_change.risk_adjusted_rate_change">'Rate Change'!$AG$53</definedName>
    <definedName name="hxd.cds.layers.6.rate_change.risk_characteristics_change_fixed.final">'Rate Change'!$AG$29</definedName>
    <definedName name="hxd.cds.layers.6.rate_change.rol_ly_to_use">'Rate Change'!$AG$21</definedName>
    <definedName name="hxd.cds.layers.6.rate_change.rol_rebased">'Rate Change'!$AG$49</definedName>
    <definedName name="hxd.cds.layers.6.rate_change.terms_conditions_change_fixed.final">'Rate Change'!$AG$41</definedName>
    <definedName name="hxd.cds.layers.6.rms_regional.al_miss">Modelling!$AB$19</definedName>
    <definedName name="hxd.cds.layers.6.rms_regional.ca_wildfire">Modelling!$AN$19</definedName>
    <definedName name="hxd.cds.layers.6.rms_regional.cal_north">Modelling!$AG$19</definedName>
    <definedName name="hxd.cds.layers.6.rms_regional.cal_south">Modelling!$AF$19</definedName>
    <definedName name="hxd.cds.layers.6.rms_regional.carolinas">Modelling!$Y$19</definedName>
    <definedName name="hxd.cds.layers.6.rms_regional.fl_non_se">Modelling!$AA$19</definedName>
    <definedName name="hxd.cds.layers.6.rms_regional.fl_se">Modelling!$Z$19</definedName>
    <definedName name="hxd.cds.layers.6.rms_regional.hawaii">Modelling!$AJ$19</definedName>
    <definedName name="hxd.cds.layers.6.rms_regional.louisiana">Modelling!$AC$19</definedName>
    <definedName name="hxd.cds.layers.6.rms_regional.mid_atlantic">Modelling!$X$19</definedName>
    <definedName name="hxd.cds.layers.6.rms_regional.mid_west_1">Modelling!$AK$19</definedName>
    <definedName name="hxd.cds.layers.6.rms_regional.mid_west_2">Modelling!$AL$19</definedName>
    <definedName name="hxd.cds.layers.6.rms_regional.new_madrid">Modelling!$AI$19</definedName>
    <definedName name="hxd.cds.layers.6.rms_regional.north_east">Modelling!$W$19</definedName>
    <definedName name="hxd.cds.layers.6.rms_regional.pnw">Modelling!$AH$19</definedName>
    <definedName name="hxd.cds.layers.6.rms_regional.second_event">Modelling!$AM$19</definedName>
    <definedName name="hxd.cds.layers.6.rms_regional.tx_east">Modelling!$AD$19</definedName>
    <definedName name="hxd.cds.layers.6.rms_regional.tx_west">Modelling!$AE$19</definedName>
    <definedName name="hxd.cds.layers.6.section_reference">'Rate Change'!$AH$14</definedName>
    <definedName name="hxd.cds.layers.6.summary.next_year.section_reference">Summary!$C$44</definedName>
    <definedName name="hxd.cds.layers.6.summary.ty.epi_adj_rate">Summary!$R$57</definedName>
    <definedName name="hxd.cds.layers.6.summary.ty.epi_estimated_summary_fx">Summary!$AA$57</definedName>
    <definedName name="hxd.cds.layers.6.summary.ty.epi_signed_summary_fx">Summary!$AB$57</definedName>
    <definedName name="hxd.cds.layers.6.summary.ty.epi_written_summary_fx">Summary!$Z$57</definedName>
    <definedName name="hxd.cds.layers.6.summary.ty.fot_adequacy">Summary!$O$57</definedName>
    <definedName name="hxd.cds.layers.6.summary.ty.line_estimated_summary_fx">Summary!$W$57</definedName>
    <definedName name="hxd.cds.layers.6.summary.ty.line_signed_summary_fx">Summary!$Y$57</definedName>
    <definedName name="hxd.cds.layers.6.summary.ty.line_written_summary_fx">Summary!$U$57</definedName>
    <definedName name="hxd.cds.layers.6.summary.ty.mi_10">Summary!$AE$57</definedName>
    <definedName name="hxd.cds.layers.6.summary.ty.mi_10_prem_ratio">Summary!$AF$57</definedName>
    <definedName name="hxd.cds.layers.6.summary.ty.mi_250">Summary!$AC$57</definedName>
    <definedName name="hxd.cds.layers.6.summary.ty.mi_250_prem_ratio">Summary!$AD$57</definedName>
    <definedName name="hxd.cds.layers.6.summary.ty.multi_year_period">Summary!$B$57</definedName>
    <definedName name="hxd.cds.layers.6.summary.ty.prem_full_line">Summary!$S$57</definedName>
    <definedName name="hxd.cds.layers.6.summary.ty.reinstatement_description">Summary!$K$57</definedName>
    <definedName name="hxd.cds.layers.6.summary.ty.rms_adequacy">Summary!$P$57</definedName>
    <definedName name="hxd.cds.layers.6.summary.year_after_next.section_reference">Summary!$C$31</definedName>
    <definedName name="hxd.cds.layers.7.area_codes_perc.aal">'Area Code'!$CV$41</definedName>
    <definedName name="hxd.cds.layers.7.area_codes_perc.aeg">'Area Code'!$CV$43</definedName>
    <definedName name="hxd.cds.layers.7.area_codes_perc.ali">'Area Code'!$CV$44</definedName>
    <definedName name="hxd.cds.layers.7.area_codes_perc.amo">'Area Code'!$CV$42</definedName>
    <definedName name="hxd.cds.layers.7.area_codes_perc.amu">'Area Code'!$CV$45</definedName>
    <definedName name="hxd.cds.layers.7.area_codes_perc.asa">'Area Code'!$CV$38</definedName>
    <definedName name="hxd.cds.layers.7.area_codes_perc.bag">'Area Code'!$BV$12</definedName>
    <definedName name="hxd.cds.layers.7.area_codes_perc.bah">'Area Code'!$BV$13</definedName>
    <definedName name="hxd.cds.layers.7.area_codes_perc.ban">'Area Code'!$BV$14</definedName>
    <definedName name="hxd.cds.layers.7.area_codes_perc.bbb">'Area Code'!$BV$15</definedName>
    <definedName name="hxd.cds.layers.7.area_codes_perc.bbh">'Area Code'!$BV$16</definedName>
    <definedName name="hxd.cds.layers.7.area_codes_perc.bbm">'Area Code'!$BV$17</definedName>
    <definedName name="hxd.cds.layers.7.area_codes_perc.bcb">'Area Code'!$BV$18</definedName>
    <definedName name="hxd.cds.layers.7.area_codes_perc.bcm">'Area Code'!$BV$19</definedName>
    <definedName name="hxd.cds.layers.7.area_codes_perc.bcu">'Area Code'!$BV$20</definedName>
    <definedName name="hxd.cds.layers.7.area_codes_perc.bdo">'Area Code'!$BV$21</definedName>
    <definedName name="hxd.cds.layers.7.area_codes_perc.bdr">'Area Code'!$BV$22</definedName>
    <definedName name="hxd.cds.layers.7.area_codes_perc.bgn">'Area Code'!$BV$23</definedName>
    <definedName name="hxd.cds.layers.7.area_codes_perc.bgs">'Area Code'!$BV$24</definedName>
    <definedName name="hxd.cds.layers.7.area_codes_perc.bgu">'Area Code'!$BV$25</definedName>
    <definedName name="hxd.cds.layers.7.area_codes_perc.bht">'Area Code'!$BV$26</definedName>
    <definedName name="hxd.cds.layers.7.area_codes_perc.bjm">'Area Code'!$BV$27</definedName>
    <definedName name="hxd.cds.layers.7.area_codes_perc.bkn">'Area Code'!$BV$28</definedName>
    <definedName name="hxd.cds.layers.7.area_codes_perc.bmq">'Area Code'!$BV$29</definedName>
    <definedName name="hxd.cds.layers.7.area_codes_perc.bms">'Area Code'!$BV$30</definedName>
    <definedName name="hxd.cds.layers.7.area_codes_perc.bon">'Area Code'!$BV$31</definedName>
    <definedName name="hxd.cds.layers.7.area_codes_perc.bpr">'Area Code'!$BV$32</definedName>
    <definedName name="hxd.cds.layers.7.area_codes_perc.bsl">'Area Code'!$BV$33</definedName>
    <definedName name="hxd.cds.layers.7.area_codes_perc.bsv">'Area Code'!$BV$34</definedName>
    <definedName name="hxd.cds.layers.7.area_codes_perc.bv1">'Area Code'!$BV$35</definedName>
    <definedName name="hxd.cds.layers.7.area_codes_perc.bvs">'Area Code'!$BV$36</definedName>
    <definedName name="hxd.cds.layers.7.area_codes_perc.bx7">'Area Code'!$BV$37</definedName>
    <definedName name="hxd.cds.layers.7.area_codes_perc.cat">'Area Code'!$BV$44</definedName>
    <definedName name="hxd.cds.layers.7.area_codes_perc.cbc">'Area Code'!$BV$40</definedName>
    <definedName name="hxd.cds.layers.7.area_codes_perc.cef">'Area Code'!$V$39</definedName>
    <definedName name="hxd.cds.layers.7.area_codes_perc.con">'Area Code'!$BV$42</definedName>
    <definedName name="hxd.cds.layers.7.area_codes_perc.cpr">'Area Code'!$BV$43</definedName>
    <definedName name="hxd.cds.layers.7.area_codes_perc.cqu">'Area Code'!$BV$41</definedName>
    <definedName name="hxd.cds.layers.7.area_codes_perc.eat">'Area Code'!$V$12</definedName>
    <definedName name="hxd.cds.layers.7.area_codes_perc.ebe">'Area Code'!$V$13</definedName>
    <definedName name="hxd.cds.layers.7.area_codes_perc.ebg">'Area Code'!$V$38</definedName>
    <definedName name="hxd.cds.layers.7.area_codes_perc.ech">'Area Code'!$V$14</definedName>
    <definedName name="hxd.cds.layers.7.area_codes_perc.ecx">'Area Code'!$V$40</definedName>
    <definedName name="hxd.cds.layers.7.area_codes_perc.ecz">'Area Code'!$V$41</definedName>
    <definedName name="hxd.cds.layers.7.area_codes_perc.edk">'Area Code'!$V$15</definedName>
    <definedName name="hxd.cds.layers.7.area_codes_perc.ees">'Area Code'!$V$30</definedName>
    <definedName name="hxd.cds.layers.7.area_codes_perc.efi">'Area Code'!$V$17</definedName>
    <definedName name="hxd.cds.layers.7.area_codes_perc.efr">'Area Code'!$V$18</definedName>
    <definedName name="hxd.cds.layers.7.area_codes_perc.ege">'Area Code'!$V$19</definedName>
    <definedName name="hxd.cds.layers.7.area_codes_perc.egf">'Area Code'!$V$24</definedName>
    <definedName name="hxd.cds.layers.7.area_codes_perc.egr">'Area Code'!$V$31</definedName>
    <definedName name="hxd.cds.layers.7.area_codes_perc.ehu">'Area Code'!$V$42</definedName>
    <definedName name="hxd.cds.layers.7.area_codes_perc.eic">'Area Code'!$V$20</definedName>
    <definedName name="hxd.cds.layers.7.area_codes_perc.eie">'Area Code'!$V$21</definedName>
    <definedName name="hxd.cds.layers.7.area_codes_perc.eit">'Area Code'!$V$32</definedName>
    <definedName name="hxd.cds.layers.7.area_codes_perc.emz">'Area Code'!$V$16</definedName>
    <definedName name="hxd.cds.layers.7.area_codes_perc.enl">'Area Code'!$V$22</definedName>
    <definedName name="hxd.cds.layers.7.area_codes_perc.eno">'Area Code'!$V$23</definedName>
    <definedName name="hxd.cds.layers.7.area_codes_perc.epl">'Area Code'!$V$43</definedName>
    <definedName name="hxd.cds.layers.7.area_codes_perc.ept">'Area Code'!$V$33</definedName>
    <definedName name="hxd.cds.layers.7.area_codes_perc.ero">'Area Code'!$V$44</definedName>
    <definedName name="hxd.cds.layers.7.area_codes_perc.eru">'Area Code'!$V$45</definedName>
    <definedName name="hxd.cds.layers.7.area_codes_perc.esb">'Area Code'!$V$46</definedName>
    <definedName name="hxd.cds.layers.7.area_codes_perc.esc">'Area Code'!$V$47</definedName>
    <definedName name="hxd.cds.layers.7.area_codes_perc.ese">'Area Code'!$V$25</definedName>
    <definedName name="hxd.cds.layers.7.area_codes_perc.esr">'Area Code'!$V$48</definedName>
    <definedName name="hxd.cds.layers.7.area_codes_perc.etu">'Area Code'!$V$34</definedName>
    <definedName name="hxd.cds.layers.7.area_codes_perc.euf">'Area Code'!$V$27</definedName>
    <definedName name="hxd.cds.layers.7.area_codes_perc.euk">'Area Code'!$V$26</definedName>
    <definedName name="hxd.cds.layers.7.area_codes_perc.fby">'Area Code'!$CV$28</definedName>
    <definedName name="hxd.cds.layers.7.area_codes_perc.fcq">'Area Code'!$CV$13</definedName>
    <definedName name="hxd.cds.layers.7.area_codes_perc.fct">'Area Code'!$CV$12</definedName>
    <definedName name="hxd.cds.layers.7.area_codes_perc.fcy">'Area Code'!$CV$24</definedName>
    <definedName name="hxd.cds.layers.7.area_codes_perc.fhk">'Area Code'!$CV$15</definedName>
    <definedName name="hxd.cds.layers.7.area_codes_perc.fia">'Area Code'!$CV$16</definedName>
    <definedName name="hxd.cds.layers.7.area_codes_perc.fjq">'Area Code'!$CV$21</definedName>
    <definedName name="hxd.cds.layers.7.area_codes_perc.fjw">'Area Code'!$CV$22</definedName>
    <definedName name="hxd.cds.layers.7.area_codes_perc.fkr">'Area Code'!$CV$14</definedName>
    <definedName name="hxd.cds.layers.7.area_codes_perc.fmy">'Area Code'!$CV$26</definedName>
    <definedName name="hxd.cds.layers.7.area_codes_perc.fnp">'Area Code'!$CV$29</definedName>
    <definedName name="hxd.cds.layers.7.area_codes_perc.fsk">'Area Code'!$CV$19</definedName>
    <definedName name="hxd.cds.layers.7.area_codes_perc.fsp">'Area Code'!$CV$18</definedName>
    <definedName name="hxd.cds.layers.7.area_codes_perc.fta">'Area Code'!$CV$20</definedName>
    <definedName name="hxd.cds.layers.7.area_codes_perc.fth">'Area Code'!$CV$32</definedName>
    <definedName name="hxd.cds.layers.7.area_codes_perc.fvn">'Area Code'!$CV$33</definedName>
    <definedName name="hxd.cds.layers.7.area_codes_perc.mae">'Area Code'!$CV$39</definedName>
    <definedName name="hxd.cds.layers.7.area_codes_perc.mba">'Area Code'!$CV$40</definedName>
    <definedName name="hxd.cds.layers.7.area_codes_perc.mbd">'Area Code'!$CV$23</definedName>
    <definedName name="hxd.cds.layers.7.area_codes_perc.min">'Area Code'!$CV$37</definedName>
    <definedName name="hxd.cds.layers.7.area_codes_perc.mis">'Area Code'!$CV$36</definedName>
    <definedName name="hxd.cds.layers.7.area_codes_perc.mjo">'Area Code'!$CV$46</definedName>
    <definedName name="hxd.cds.layers.7.area_codes_perc.mma">'Area Code'!$CV$27</definedName>
    <definedName name="hxd.cds.layers.7.area_codes_perc.mom">'Area Code'!$CV$47</definedName>
    <definedName name="hxd.cds.layers.7.area_codes_perc.mpk">'Area Code'!$CV$30</definedName>
    <definedName name="hxd.cds.layers.7.area_codes_perc.mqa">'Area Code'!$CV$48</definedName>
    <definedName name="hxd.cds.layers.7.area_codes_perc.oa1">'Area Code'!$AV$54</definedName>
    <definedName name="hxd.cds.layers.7.area_codes_perc.oa2">'Area Code'!$AV$55</definedName>
    <definedName name="hxd.cds.layers.7.area_codes_perc.oa3">'Area Code'!$AV$56</definedName>
    <definedName name="hxd.cds.layers.7.area_codes_perc.oa4">'Area Code'!$AV$57</definedName>
    <definedName name="hxd.cds.layers.7.area_codes_perc.oa5">'Area Code'!$AV$58</definedName>
    <definedName name="hxd.cds.layers.7.area_codes_perc.oa6">'Area Code'!$AV$59</definedName>
    <definedName name="hxd.cds.layers.7.area_codes_perc.ofj">'Area Code'!$AV$62</definedName>
    <definedName name="hxd.cds.layers.7.area_codes_perc.ogm">'Area Code'!$CV$25</definedName>
    <definedName name="hxd.cds.layers.7.area_codes_perc.onz">'Area Code'!$AV$61</definedName>
    <definedName name="hxd.cds.layers.7.area_codes_perc.opg">'Area Code'!$CV$31</definedName>
    <definedName name="hxd.cds.layers.7.area_codes_perc.oph">'Area Code'!$CV$17</definedName>
    <definedName name="hxd.cds.layers.7.area_codes_perc.ota">'Area Code'!$AV$60</definedName>
    <definedName name="hxd.cds.layers.7.area_codes_perc.sar">'Area Code'!$AV$33</definedName>
    <definedName name="hxd.cds.layers.7.area_codes_perc.sbr">'Area Code'!$AV$36</definedName>
    <definedName name="hxd.cds.layers.7.area_codes_perc.sbv">'Area Code'!$AV$35</definedName>
    <definedName name="hxd.cds.layers.7.area_codes_perc.sbz">'Area Code'!$AV$34</definedName>
    <definedName name="hxd.cds.layers.7.area_codes_perc.scl">'Area Code'!$AV$37</definedName>
    <definedName name="hxd.cds.layers.7.area_codes_perc.sco">'Area Code'!$AV$38</definedName>
    <definedName name="hxd.cds.layers.7.area_codes_perc.scr">'Area Code'!$AV$39</definedName>
    <definedName name="hxd.cds.layers.7.area_codes_perc.sec">'Area Code'!$AV$40</definedName>
    <definedName name="hxd.cds.layers.7.area_codes_perc.sel">'Area Code'!$AV$41</definedName>
    <definedName name="hxd.cds.layers.7.area_codes_perc.sgt">'Area Code'!$AV$42</definedName>
    <definedName name="hxd.cds.layers.7.area_codes_perc.sgy">'Area Code'!$AV$43</definedName>
    <definedName name="hxd.cds.layers.7.area_codes_perc.shn">'Area Code'!$AV$44</definedName>
    <definedName name="hxd.cds.layers.7.area_codes_perc.smx">'Area Code'!$AV$45</definedName>
    <definedName name="hxd.cds.layers.7.area_codes_perc.snq">'Area Code'!$AV$46</definedName>
    <definedName name="hxd.cds.layers.7.area_codes_perc.spa">'Area Code'!$AV$47</definedName>
    <definedName name="hxd.cds.layers.7.area_codes_perc.spe">'Area Code'!$AV$49</definedName>
    <definedName name="hxd.cds.layers.7.area_codes_perc.spy">'Area Code'!$AV$48</definedName>
    <definedName name="hxd.cds.layers.7.area_codes_perc.suy">'Area Code'!$AV$50</definedName>
    <definedName name="hxd.cds.layers.7.area_codes_perc.sve">'Area Code'!$AV$51</definedName>
    <definedName name="hxd.cds.layers.7.area_codes_perc.usa01">'Area Code'!$AV$12</definedName>
    <definedName name="hxd.cds.layers.7.area_codes_perc.usa02">'Area Code'!$AV$13</definedName>
    <definedName name="hxd.cds.layers.7.area_codes_perc.usa03">'Area Code'!$AV$14</definedName>
    <definedName name="hxd.cds.layers.7.area_codes_perc.usa04">'Area Code'!$AV$15</definedName>
    <definedName name="hxd.cds.layers.7.area_codes_perc.usa05">'Area Code'!$AV$16</definedName>
    <definedName name="hxd.cds.layers.7.area_codes_perc.usa06">'Area Code'!$AV$17</definedName>
    <definedName name="hxd.cds.layers.7.area_codes_perc.usa07">'Area Code'!$AV$18</definedName>
    <definedName name="hxd.cds.layers.7.area_codes_perc.usa08">'Area Code'!$AV$19</definedName>
    <definedName name="hxd.cds.layers.7.area_codes_perc.usa09">'Area Code'!$AV$20</definedName>
    <definedName name="hxd.cds.layers.7.area_codes_perc.usa10">'Area Code'!$AV$21</definedName>
    <definedName name="hxd.cds.layers.7.area_codes_perc.usa11">'Area Code'!$AV$22</definedName>
    <definedName name="hxd.cds.layers.7.area_codes_perc.usa12">'Area Code'!$AV$23</definedName>
    <definedName name="hxd.cds.layers.7.area_codes_perc.usa13">'Area Code'!$AV$24</definedName>
    <definedName name="hxd.cds.layers.7.area_codes_perc.usa14">'Area Code'!$AV$25</definedName>
    <definedName name="hxd.cds.layers.7.area_codes_perc.usa15">'Area Code'!$AV$26</definedName>
    <definedName name="hxd.cds.layers.7.area_codes_perc.usa16">'Area Code'!$AV$27</definedName>
    <definedName name="hxd.cds.layers.7.area_codes_perc.usa20">'Area Code'!$AV$28</definedName>
    <definedName name="hxd.cds.layers.7.area_codes_perc.usa21">'Area Code'!$AV$29</definedName>
    <definedName name="hxd.cds.layers.7.area_codes_perc.usa22">'Area Code'!$AV$30</definedName>
    <definedName name="hxd.cds.layers.7.area_codes_select.aal">'Area Code'!$CU$41</definedName>
    <definedName name="hxd.cds.layers.7.area_codes_select.aeg">'Area Code'!$CU$43</definedName>
    <definedName name="hxd.cds.layers.7.area_codes_select.ali">'Area Code'!$CU$44</definedName>
    <definedName name="hxd.cds.layers.7.area_codes_select.amo">'Area Code'!$CU$42</definedName>
    <definedName name="hxd.cds.layers.7.area_codes_select.amu">'Area Code'!$CU$45</definedName>
    <definedName name="hxd.cds.layers.7.area_codes_select.asa">'Area Code'!$CU$38</definedName>
    <definedName name="hxd.cds.layers.7.area_codes_select.bag">'Area Code'!$BU$12</definedName>
    <definedName name="hxd.cds.layers.7.area_codes_select.bah">'Area Code'!$BU$13</definedName>
    <definedName name="hxd.cds.layers.7.area_codes_select.ban">'Area Code'!$BU$14</definedName>
    <definedName name="hxd.cds.layers.7.area_codes_select.bbb">'Area Code'!$BU$15</definedName>
    <definedName name="hxd.cds.layers.7.area_codes_select.bbh">'Area Code'!$BU$16</definedName>
    <definedName name="hxd.cds.layers.7.area_codes_select.bbm">'Area Code'!$BU$17</definedName>
    <definedName name="hxd.cds.layers.7.area_codes_select.bcb">'Area Code'!$BU$18</definedName>
    <definedName name="hxd.cds.layers.7.area_codes_select.bcm">'Area Code'!$BU$19</definedName>
    <definedName name="hxd.cds.layers.7.area_codes_select.bcu">'Area Code'!$BU$20</definedName>
    <definedName name="hxd.cds.layers.7.area_codes_select.bdo">'Area Code'!$BU$21</definedName>
    <definedName name="hxd.cds.layers.7.area_codes_select.bdr">'Area Code'!$BU$22</definedName>
    <definedName name="hxd.cds.layers.7.area_codes_select.bgn">'Area Code'!$BU$23</definedName>
    <definedName name="hxd.cds.layers.7.area_codes_select.bgs">'Area Code'!$BU$24</definedName>
    <definedName name="hxd.cds.layers.7.area_codes_select.bgu">'Area Code'!$BU$25</definedName>
    <definedName name="hxd.cds.layers.7.area_codes_select.bht">'Area Code'!$BU$26</definedName>
    <definedName name="hxd.cds.layers.7.area_codes_select.bjm">'Area Code'!$BU$27</definedName>
    <definedName name="hxd.cds.layers.7.area_codes_select.bkn">'Area Code'!$BU$28</definedName>
    <definedName name="hxd.cds.layers.7.area_codes_select.bmq">'Area Code'!$BU$29</definedName>
    <definedName name="hxd.cds.layers.7.area_codes_select.bms">'Area Code'!$BU$30</definedName>
    <definedName name="hxd.cds.layers.7.area_codes_select.bon">'Area Code'!$BU$31</definedName>
    <definedName name="hxd.cds.layers.7.area_codes_select.bpr">'Area Code'!$BU$32</definedName>
    <definedName name="hxd.cds.layers.7.area_codes_select.bsl">'Area Code'!$BU$33</definedName>
    <definedName name="hxd.cds.layers.7.area_codes_select.bsv">'Area Code'!$BU$34</definedName>
    <definedName name="hxd.cds.layers.7.area_codes_select.bv1">'Area Code'!$BU$35</definedName>
    <definedName name="hxd.cds.layers.7.area_codes_select.bvs">'Area Code'!$BU$36</definedName>
    <definedName name="hxd.cds.layers.7.area_codes_select.bx7">'Area Code'!$BU$37</definedName>
    <definedName name="hxd.cds.layers.7.area_codes_select.cat">'Area Code'!$BU$44</definedName>
    <definedName name="hxd.cds.layers.7.area_codes_select.cbc">'Area Code'!$BU$40</definedName>
    <definedName name="hxd.cds.layers.7.area_codes_select.cef">'Area Code'!$U$39</definedName>
    <definedName name="hxd.cds.layers.7.area_codes_select.con">'Area Code'!$BU$42</definedName>
    <definedName name="hxd.cds.layers.7.area_codes_select.cpr">'Area Code'!$BU$43</definedName>
    <definedName name="hxd.cds.layers.7.area_codes_select.cqu">'Area Code'!$BU$41</definedName>
    <definedName name="hxd.cds.layers.7.area_codes_select.eat">'Area Code'!$U$12</definedName>
    <definedName name="hxd.cds.layers.7.area_codes_select.ebe">'Area Code'!$U$13</definedName>
    <definedName name="hxd.cds.layers.7.area_codes_select.ebg">'Area Code'!$U$38</definedName>
    <definedName name="hxd.cds.layers.7.area_codes_select.ech">'Area Code'!$U$14</definedName>
    <definedName name="hxd.cds.layers.7.area_codes_select.ecx">'Area Code'!$U$40</definedName>
    <definedName name="hxd.cds.layers.7.area_codes_select.ecz">'Area Code'!$U$41</definedName>
    <definedName name="hxd.cds.layers.7.area_codes_select.edk">'Area Code'!$U$15</definedName>
    <definedName name="hxd.cds.layers.7.area_codes_select.ees">'Area Code'!$U$30</definedName>
    <definedName name="hxd.cds.layers.7.area_codes_select.efi">'Area Code'!$U$17</definedName>
    <definedName name="hxd.cds.layers.7.area_codes_select.efr">'Area Code'!$U$18</definedName>
    <definedName name="hxd.cds.layers.7.area_codes_select.ege">'Area Code'!$U$19</definedName>
    <definedName name="hxd.cds.layers.7.area_codes_select.egf">'Area Code'!$U$24</definedName>
    <definedName name="hxd.cds.layers.7.area_codes_select.egr">'Area Code'!$U$31</definedName>
    <definedName name="hxd.cds.layers.7.area_codes_select.ehu">'Area Code'!$U$42</definedName>
    <definedName name="hxd.cds.layers.7.area_codes_select.eic">'Area Code'!$U$20</definedName>
    <definedName name="hxd.cds.layers.7.area_codes_select.eie">'Area Code'!$U$21</definedName>
    <definedName name="hxd.cds.layers.7.area_codes_select.eit">'Area Code'!$U$32</definedName>
    <definedName name="hxd.cds.layers.7.area_codes_select.emz">'Area Code'!$U$16</definedName>
    <definedName name="hxd.cds.layers.7.area_codes_select.enl">'Area Code'!$U$22</definedName>
    <definedName name="hxd.cds.layers.7.area_codes_select.eno">'Area Code'!$U$23</definedName>
    <definedName name="hxd.cds.layers.7.area_codes_select.epl">'Area Code'!$U$43</definedName>
    <definedName name="hxd.cds.layers.7.area_codes_select.ept">'Area Code'!$U$33</definedName>
    <definedName name="hxd.cds.layers.7.area_codes_select.ero">'Area Code'!$U$44</definedName>
    <definedName name="hxd.cds.layers.7.area_codes_select.eru">'Area Code'!$U$45</definedName>
    <definedName name="hxd.cds.layers.7.area_codes_select.esb">'Area Code'!$U$46</definedName>
    <definedName name="hxd.cds.layers.7.area_codes_select.esc">'Area Code'!$U$47</definedName>
    <definedName name="hxd.cds.layers.7.area_codes_select.ese">'Area Code'!$U$25</definedName>
    <definedName name="hxd.cds.layers.7.area_codes_select.esr">'Area Code'!$U$48</definedName>
    <definedName name="hxd.cds.layers.7.area_codes_select.etu">'Area Code'!$U$34</definedName>
    <definedName name="hxd.cds.layers.7.area_codes_select.euf">'Area Code'!$U$27</definedName>
    <definedName name="hxd.cds.layers.7.area_codes_select.euk">'Area Code'!$U$26</definedName>
    <definedName name="hxd.cds.layers.7.area_codes_select.fby">'Area Code'!$CU$28</definedName>
    <definedName name="hxd.cds.layers.7.area_codes_select.fcq">'Area Code'!$CU$13</definedName>
    <definedName name="hxd.cds.layers.7.area_codes_select.fct">'Area Code'!$CU$12</definedName>
    <definedName name="hxd.cds.layers.7.area_codes_select.fcy">'Area Code'!$CU$24</definedName>
    <definedName name="hxd.cds.layers.7.area_codes_select.fhk">'Area Code'!$CU$15</definedName>
    <definedName name="hxd.cds.layers.7.area_codes_select.fia">'Area Code'!$CU$16</definedName>
    <definedName name="hxd.cds.layers.7.area_codes_select.fjq">'Area Code'!$CU$21</definedName>
    <definedName name="hxd.cds.layers.7.area_codes_select.fjw">'Area Code'!$CU$22</definedName>
    <definedName name="hxd.cds.layers.7.area_codes_select.fkr">'Area Code'!$CU$14</definedName>
    <definedName name="hxd.cds.layers.7.area_codes_select.fmy">'Area Code'!$CU$26</definedName>
    <definedName name="hxd.cds.layers.7.area_codes_select.fnp">'Area Code'!$CU$29</definedName>
    <definedName name="hxd.cds.layers.7.area_codes_select.fsk">'Area Code'!$CU$19</definedName>
    <definedName name="hxd.cds.layers.7.area_codes_select.fsp">'Area Code'!$CU$18</definedName>
    <definedName name="hxd.cds.layers.7.area_codes_select.fta">'Area Code'!$CU$20</definedName>
    <definedName name="hxd.cds.layers.7.area_codes_select.fth">'Area Code'!$CU$32</definedName>
    <definedName name="hxd.cds.layers.7.area_codes_select.fvn">'Area Code'!$CU$33</definedName>
    <definedName name="hxd.cds.layers.7.area_codes_select.mae">'Area Code'!$CU$39</definedName>
    <definedName name="hxd.cds.layers.7.area_codes_select.mba">'Area Code'!$CU$40</definedName>
    <definedName name="hxd.cds.layers.7.area_codes_select.mbd">'Area Code'!$CU$23</definedName>
    <definedName name="hxd.cds.layers.7.area_codes_select.min">'Area Code'!$CU$37</definedName>
    <definedName name="hxd.cds.layers.7.area_codes_select.mis">'Area Code'!$CU$36</definedName>
    <definedName name="hxd.cds.layers.7.area_codes_select.mjo">'Area Code'!$CU$46</definedName>
    <definedName name="hxd.cds.layers.7.area_codes_select.mma">'Area Code'!$CU$27</definedName>
    <definedName name="hxd.cds.layers.7.area_codes_select.mom">'Area Code'!$CU$47</definedName>
    <definedName name="hxd.cds.layers.7.area_codes_select.mpk">'Area Code'!$CU$30</definedName>
    <definedName name="hxd.cds.layers.7.area_codes_select.mqa">'Area Code'!$CU$48</definedName>
    <definedName name="hxd.cds.layers.7.area_codes_select.oa1">'Area Code'!$AU$54</definedName>
    <definedName name="hxd.cds.layers.7.area_codes_select.oa2">'Area Code'!$AU$55</definedName>
    <definedName name="hxd.cds.layers.7.area_codes_select.oa3">'Area Code'!$AU$56</definedName>
    <definedName name="hxd.cds.layers.7.area_codes_select.oa4">'Area Code'!$AU$57</definedName>
    <definedName name="hxd.cds.layers.7.area_codes_select.oa5">'Area Code'!$AU$58</definedName>
    <definedName name="hxd.cds.layers.7.area_codes_select.oa6">'Area Code'!$AU$59</definedName>
    <definedName name="hxd.cds.layers.7.area_codes_select.ofj">'Area Code'!$AU$62</definedName>
    <definedName name="hxd.cds.layers.7.area_codes_select.ogm">'Area Code'!$CU$25</definedName>
    <definedName name="hxd.cds.layers.7.area_codes_select.onz">'Area Code'!$AU$61</definedName>
    <definedName name="hxd.cds.layers.7.area_codes_select.opg">'Area Code'!$CU$31</definedName>
    <definedName name="hxd.cds.layers.7.area_codes_select.oph">'Area Code'!$CU$17</definedName>
    <definedName name="hxd.cds.layers.7.area_codes_select.ota">'Area Code'!$AU$60</definedName>
    <definedName name="hxd.cds.layers.7.area_codes_select.sar">'Area Code'!$AU$33</definedName>
    <definedName name="hxd.cds.layers.7.area_codes_select.sbr">'Area Code'!$AU$36</definedName>
    <definedName name="hxd.cds.layers.7.area_codes_select.sbv">'Area Code'!$AU$35</definedName>
    <definedName name="hxd.cds.layers.7.area_codes_select.sbz">'Area Code'!$AU$34</definedName>
    <definedName name="hxd.cds.layers.7.area_codes_select.scl">'Area Code'!$AU$37</definedName>
    <definedName name="hxd.cds.layers.7.area_codes_select.sco">'Area Code'!$AU$38</definedName>
    <definedName name="hxd.cds.layers.7.area_codes_select.scr">'Area Code'!$AU$39</definedName>
    <definedName name="hxd.cds.layers.7.area_codes_select.sec">'Area Code'!$AU$40</definedName>
    <definedName name="hxd.cds.layers.7.area_codes_select.sel">'Area Code'!$AU$41</definedName>
    <definedName name="hxd.cds.layers.7.area_codes_select.sgt">'Area Code'!$AU$42</definedName>
    <definedName name="hxd.cds.layers.7.area_codes_select.sgy">'Area Code'!$AU$43</definedName>
    <definedName name="hxd.cds.layers.7.area_codes_select.shn">'Area Code'!$AU$44</definedName>
    <definedName name="hxd.cds.layers.7.area_codes_select.smx">'Area Code'!$AU$45</definedName>
    <definedName name="hxd.cds.layers.7.area_codes_select.snq">'Area Code'!$AU$46</definedName>
    <definedName name="hxd.cds.layers.7.area_codes_select.spa">'Area Code'!$AU$47</definedName>
    <definedName name="hxd.cds.layers.7.area_codes_select.spe">'Area Code'!$AU$49</definedName>
    <definedName name="hxd.cds.layers.7.area_codes_select.spy">'Area Code'!$AU$48</definedName>
    <definedName name="hxd.cds.layers.7.area_codes_select.suy">'Area Code'!$AU$50</definedName>
    <definedName name="hxd.cds.layers.7.area_codes_select.sve">'Area Code'!$AU$51</definedName>
    <definedName name="hxd.cds.layers.7.area_codes_select.usa01">'Area Code'!$AU$12</definedName>
    <definedName name="hxd.cds.layers.7.area_codes_select.usa02">'Area Code'!$AU$13</definedName>
    <definedName name="hxd.cds.layers.7.area_codes_select.usa03">'Area Code'!$AU$14</definedName>
    <definedName name="hxd.cds.layers.7.area_codes_select.usa04">'Area Code'!$AU$15</definedName>
    <definedName name="hxd.cds.layers.7.area_codes_select.usa05">'Area Code'!$AU$16</definedName>
    <definedName name="hxd.cds.layers.7.area_codes_select.usa06">'Area Code'!$AU$17</definedName>
    <definedName name="hxd.cds.layers.7.area_codes_select.usa07">'Area Code'!$AU$18</definedName>
    <definedName name="hxd.cds.layers.7.area_codes_select.usa08">'Area Code'!$AU$19</definedName>
    <definedName name="hxd.cds.layers.7.area_codes_select.usa09">'Area Code'!$AU$20</definedName>
    <definedName name="hxd.cds.layers.7.area_codes_select.usa10">'Area Code'!$AU$21</definedName>
    <definedName name="hxd.cds.layers.7.area_codes_select.usa11">'Area Code'!$AU$22</definedName>
    <definedName name="hxd.cds.layers.7.area_codes_select.usa12">'Area Code'!$AU$23</definedName>
    <definedName name="hxd.cds.layers.7.area_codes_select.usa13">'Area Code'!$AU$24</definedName>
    <definedName name="hxd.cds.layers.7.area_codes_select.usa14">'Area Code'!$AU$25</definedName>
    <definedName name="hxd.cds.layers.7.area_codes_select.usa15">'Area Code'!$AU$26</definedName>
    <definedName name="hxd.cds.layers.7.area_codes_select.usa16">'Area Code'!$AU$27</definedName>
    <definedName name="hxd.cds.layers.7.area_codes_select.usa20">'Area Code'!$AU$28</definedName>
    <definedName name="hxd.cds.layers.7.area_codes_select.usa21">'Area Code'!$AU$29</definedName>
    <definedName name="hxd.cds.layers.7.area_codes_select.usa22">'Area Code'!$AU$30</definedName>
    <definedName name="hxd.cds.layers.7.excess">'Rate Change'!$AP$16</definedName>
    <definedName name="hxd.cds.layers.7.excess_cnv">Summary!$G$58</definedName>
    <definedName name="hxd.cds.layers.7.layer_description">'Rate Change'!$AN$18</definedName>
    <definedName name="hxd.cds.layers.7.leader">Summary!$D$58</definedName>
    <definedName name="hxd.cds.layers.7.limit">'Rate Change'!$AN$16</definedName>
    <definedName name="hxd.cds.layers.7.limit_cnv">Summary!$F$58</definedName>
    <definedName name="hxd.cds.layers.7.marginal_impacts.treaty_group.mi_10">Modelling!$AT$20</definedName>
    <definedName name="hxd.cds.layers.7.marginal_impacts.treaty_group.mi_250">Modelling!$AS$20</definedName>
    <definedName name="hxd.cds.layers.7.marginal_impacts.treaty_intl.mi_10">Modelling!$AW$20</definedName>
    <definedName name="hxd.cds.layers.7.marginal_impacts.treaty_intl.mi_250">Modelling!$AV$20</definedName>
    <definedName name="hxd.cds.layers.7.marginal_impacts.treaty_us.mi_10">Modelling!$AQ$20</definedName>
    <definedName name="hxd.cds.layers.7.marginal_impacts.treaty_us.mi_250">Modelling!$AP$20</definedName>
    <definedName name="hxd.cds.layers.7.model.air.gross_el">Modelling!$K$20</definedName>
    <definedName name="hxd.cds.layers.7.model.air.gross_sd">Modelling!$L$20</definedName>
    <definedName name="hxd.cds.layers.7.model.ivor.gross_el">Modelling!$H$20</definedName>
    <definedName name="hxd.cds.layers.7.model.ivor.gross_sd">Modelling!$I$20</definedName>
    <definedName name="hxd.cds.layers.7.model.nmp.description">Modelling!$R$20</definedName>
    <definedName name="hxd.cds.layers.7.model.nmp.gross_el_incl_rol">Modelling!$N$20</definedName>
    <definedName name="hxd.cds.layers.7.model.nmp.gross_sd_incl_rol">Modelling!$O$20</definedName>
    <definedName name="hxd.cds.layers.7.model.rms.gross_el">Modelling!$E$20</definedName>
    <definedName name="hxd.cds.layers.7.model.rms.gross_sd">Modelling!$F$20</definedName>
    <definedName name="hxd.cds.layers.7.model.total_air_nmp.gross_el">Modelling!$T$20</definedName>
    <definedName name="hxd.cds.layers.7.model.total_air_nmp.gross_sd">Modelling!$U$20</definedName>
    <definedName name="hxd.cds.layers.7.model.total_rms_nmp.gross_el">Modelling!$B$20</definedName>
    <definedName name="hxd.cds.layers.7.model.total_rms_nmp.gross_sd">Modelling!$C$20</definedName>
    <definedName name="hxd.cds.layers.7.quote.rol_ty.bpi">'Rate Change'!$AM$59</definedName>
    <definedName name="hxd.cds.layers.7.quote.rol_ty.est_sign_written_ratio">'Rate Change'!$AM$55</definedName>
    <definedName name="hxd.cds.layers.7.quote.rol_ty.estimated_signing">Summary!$V$58</definedName>
    <definedName name="hxd.cds.layers.7.quote.rol_ty.roc">Summary!$L$58</definedName>
    <definedName name="hxd.cds.layers.7.quote.rol_ty.rol_afb_tech">Summary!$J$58</definedName>
    <definedName name="hxd.cds.layers.7.quote.rol_ty.rol_fot">'Rate Change'!$AM$51</definedName>
    <definedName name="hxd.cds.layers.7.quote.rol_ty.rol_quote">Summary!$H$58</definedName>
    <definedName name="hxd.cds.layers.7.quote.rol_ty.signed_line">Summary!$X$58</definedName>
    <definedName name="hxd.cds.layers.7.quote.rol_ty.ulr">'Rate Change'!$AM$57</definedName>
    <definedName name="hxd.cds.layers.7.quote.rol_ty.written_line">Summary!$T$58</definedName>
    <definedName name="hxd.cds.layers.7.rate_change.comments">'Rate Change'!$AO$44</definedName>
    <definedName name="hxd.cds.layers.7.rate_change.deductible_change_fixed.final">'Rate Change'!$AM$33</definedName>
    <definedName name="hxd.cds.layers.7.rate_change.exposure_change_fixed.comment">'Rate Change'!$AO$24</definedName>
    <definedName name="hxd.cds.layers.7.rate_change.exposure_change_fixed.final">'Rate Change'!$AM$25</definedName>
    <definedName name="hxd.cds.layers.7.rate_change.limit_change_fixed.comment">'Rate Change'!$AO$36</definedName>
    <definedName name="hxd.cds.layers.7.rate_change.limit_change_fixed.final">'Rate Change'!$AM$37</definedName>
    <definedName name="hxd.cds.layers.7.rate_change.other_change_fixed.final">'Rate Change'!$AM$45</definedName>
    <definedName name="hxd.cds.layers.7.rate_change.rationale_outside_plan">'Rate Change'!$AM$61</definedName>
    <definedName name="hxd.cds.layers.7.rate_change.risk_adjusted_rate_change">'Rate Change'!$AM$53</definedName>
    <definedName name="hxd.cds.layers.7.rate_change.risk_characteristics_change_fixed.final">'Rate Change'!$AM$29</definedName>
    <definedName name="hxd.cds.layers.7.rate_change.rol_ly_to_use">'Rate Change'!$AM$21</definedName>
    <definedName name="hxd.cds.layers.7.rate_change.rol_rebased">'Rate Change'!$AM$49</definedName>
    <definedName name="hxd.cds.layers.7.rate_change.terms_conditions_change_fixed.final">'Rate Change'!$AM$41</definedName>
    <definedName name="hxd.cds.layers.7.rms_regional.al_miss">Modelling!$AB$20</definedName>
    <definedName name="hxd.cds.layers.7.rms_regional.ca_wildfire">Modelling!$AN$20</definedName>
    <definedName name="hxd.cds.layers.7.rms_regional.cal_north">Modelling!$AG$20</definedName>
    <definedName name="hxd.cds.layers.7.rms_regional.cal_south">Modelling!$AF$20</definedName>
    <definedName name="hxd.cds.layers.7.rms_regional.carolinas">Modelling!$Y$20</definedName>
    <definedName name="hxd.cds.layers.7.rms_regional.fl_non_se">Modelling!$AA$20</definedName>
    <definedName name="hxd.cds.layers.7.rms_regional.fl_se">Modelling!$Z$20</definedName>
    <definedName name="hxd.cds.layers.7.rms_regional.hawaii">Modelling!$AJ$20</definedName>
    <definedName name="hxd.cds.layers.7.rms_regional.louisiana">Modelling!$AC$20</definedName>
    <definedName name="hxd.cds.layers.7.rms_regional.mid_atlantic">Modelling!$X$20</definedName>
    <definedName name="hxd.cds.layers.7.rms_regional.mid_west_1">Modelling!$AK$20</definedName>
    <definedName name="hxd.cds.layers.7.rms_regional.mid_west_2">Modelling!$AL$20</definedName>
    <definedName name="hxd.cds.layers.7.rms_regional.new_madrid">Modelling!$AI$20</definedName>
    <definedName name="hxd.cds.layers.7.rms_regional.north_east">Modelling!$W$20</definedName>
    <definedName name="hxd.cds.layers.7.rms_regional.pnw">Modelling!$AH$20</definedName>
    <definedName name="hxd.cds.layers.7.rms_regional.second_event">Modelling!$AM$20</definedName>
    <definedName name="hxd.cds.layers.7.rms_regional.tx_east">Modelling!$AD$20</definedName>
    <definedName name="hxd.cds.layers.7.rms_regional.tx_west">Modelling!$AE$20</definedName>
    <definedName name="hxd.cds.layers.7.section_reference">'Rate Change'!$AN$14</definedName>
    <definedName name="hxd.cds.layers.7.summary.next_year.section_reference">Summary!$C$45</definedName>
    <definedName name="hxd.cds.layers.7.summary.ty.epi_adj_rate">Summary!$R$58</definedName>
    <definedName name="hxd.cds.layers.7.summary.ty.epi_estimated_summary_fx">Summary!$AA$58</definedName>
    <definedName name="hxd.cds.layers.7.summary.ty.epi_signed_summary_fx">Summary!$AB$58</definedName>
    <definedName name="hxd.cds.layers.7.summary.ty.epi_written_summary_fx">Summary!$Z$58</definedName>
    <definedName name="hxd.cds.layers.7.summary.ty.fot_adequacy">Summary!$O$58</definedName>
    <definedName name="hxd.cds.layers.7.summary.ty.line_estimated_summary_fx">Summary!$W$58</definedName>
    <definedName name="hxd.cds.layers.7.summary.ty.line_signed_summary_fx">Summary!$Y$58</definedName>
    <definedName name="hxd.cds.layers.7.summary.ty.line_written_summary_fx">Summary!$U$58</definedName>
    <definedName name="hxd.cds.layers.7.summary.ty.mi_10">Summary!$AE$58</definedName>
    <definedName name="hxd.cds.layers.7.summary.ty.mi_10_prem_ratio">Summary!$AF$58</definedName>
    <definedName name="hxd.cds.layers.7.summary.ty.mi_250">Summary!$AC$58</definedName>
    <definedName name="hxd.cds.layers.7.summary.ty.mi_250_prem_ratio">Summary!$AD$58</definedName>
    <definedName name="hxd.cds.layers.7.summary.ty.multi_year_period">Summary!$B$58</definedName>
    <definedName name="hxd.cds.layers.7.summary.ty.prem_full_line">Summary!$S$58</definedName>
    <definedName name="hxd.cds.layers.7.summary.ty.reinstatement_description">Summary!$K$58</definedName>
    <definedName name="hxd.cds.layers.7.summary.ty.rms_adequacy">Summary!$P$58</definedName>
    <definedName name="hxd.cds.layers.7.summary.year_after_next.section_reference">Summary!$C$32</definedName>
    <definedName name="hxd.cds.layers.8.area_codes_perc.aal">'Area Code'!$CY$41</definedName>
    <definedName name="hxd.cds.layers.8.area_codes_perc.aeg">'Area Code'!$CY$43</definedName>
    <definedName name="hxd.cds.layers.8.area_codes_perc.ali">'Area Code'!$CY$44</definedName>
    <definedName name="hxd.cds.layers.8.area_codes_perc.amo">'Area Code'!$CY$42</definedName>
    <definedName name="hxd.cds.layers.8.area_codes_perc.amu">'Area Code'!$CY$45</definedName>
    <definedName name="hxd.cds.layers.8.area_codes_perc.asa">'Area Code'!$CY$38</definedName>
    <definedName name="hxd.cds.layers.8.area_codes_perc.bag">'Area Code'!$BY$12</definedName>
    <definedName name="hxd.cds.layers.8.area_codes_perc.bah">'Area Code'!$BY$13</definedName>
    <definedName name="hxd.cds.layers.8.area_codes_perc.ban">'Area Code'!$BY$14</definedName>
    <definedName name="hxd.cds.layers.8.area_codes_perc.bbb">'Area Code'!$BY$15</definedName>
    <definedName name="hxd.cds.layers.8.area_codes_perc.bbh">'Area Code'!$BY$16</definedName>
    <definedName name="hxd.cds.layers.8.area_codes_perc.bbm">'Area Code'!$BY$17</definedName>
    <definedName name="hxd.cds.layers.8.area_codes_perc.bcb">'Area Code'!$BY$18</definedName>
    <definedName name="hxd.cds.layers.8.area_codes_perc.bcm">'Area Code'!$BY$19</definedName>
    <definedName name="hxd.cds.layers.8.area_codes_perc.bcu">'Area Code'!$BY$20</definedName>
    <definedName name="hxd.cds.layers.8.area_codes_perc.bdo">'Area Code'!$BY$21</definedName>
    <definedName name="hxd.cds.layers.8.area_codes_perc.bdr">'Area Code'!$BY$22</definedName>
    <definedName name="hxd.cds.layers.8.area_codes_perc.bgn">'Area Code'!$BY$23</definedName>
    <definedName name="hxd.cds.layers.8.area_codes_perc.bgs">'Area Code'!$BY$24</definedName>
    <definedName name="hxd.cds.layers.8.area_codes_perc.bgu">'Area Code'!$BY$25</definedName>
    <definedName name="hxd.cds.layers.8.area_codes_perc.bht">'Area Code'!$BY$26</definedName>
    <definedName name="hxd.cds.layers.8.area_codes_perc.bjm">'Area Code'!$BY$27</definedName>
    <definedName name="hxd.cds.layers.8.area_codes_perc.bkn">'Area Code'!$BY$28</definedName>
    <definedName name="hxd.cds.layers.8.area_codes_perc.bmq">'Area Code'!$BY$29</definedName>
    <definedName name="hxd.cds.layers.8.area_codes_perc.bms">'Area Code'!$BY$30</definedName>
    <definedName name="hxd.cds.layers.8.area_codes_perc.bon">'Area Code'!$BY$31</definedName>
    <definedName name="hxd.cds.layers.8.area_codes_perc.bpr">'Area Code'!$BY$32</definedName>
    <definedName name="hxd.cds.layers.8.area_codes_perc.bsl">'Area Code'!$BY$33</definedName>
    <definedName name="hxd.cds.layers.8.area_codes_perc.bsv">'Area Code'!$BY$34</definedName>
    <definedName name="hxd.cds.layers.8.area_codes_perc.bv1">'Area Code'!$BY$35</definedName>
    <definedName name="hxd.cds.layers.8.area_codes_perc.bvs">'Area Code'!$BY$36</definedName>
    <definedName name="hxd.cds.layers.8.area_codes_perc.bx7">'Area Code'!$BY$37</definedName>
    <definedName name="hxd.cds.layers.8.area_codes_perc.cat">'Area Code'!$BY$44</definedName>
    <definedName name="hxd.cds.layers.8.area_codes_perc.cbc">'Area Code'!$BY$40</definedName>
    <definedName name="hxd.cds.layers.8.area_codes_perc.cef">'Area Code'!$Y$39</definedName>
    <definedName name="hxd.cds.layers.8.area_codes_perc.con">'Area Code'!$BY$42</definedName>
    <definedName name="hxd.cds.layers.8.area_codes_perc.cpr">'Area Code'!$BY$43</definedName>
    <definedName name="hxd.cds.layers.8.area_codes_perc.cqu">'Area Code'!$BY$41</definedName>
    <definedName name="hxd.cds.layers.8.area_codes_perc.eat">'Area Code'!$Y$12</definedName>
    <definedName name="hxd.cds.layers.8.area_codes_perc.ebe">'Area Code'!$Y$13</definedName>
    <definedName name="hxd.cds.layers.8.area_codes_perc.ebg">'Area Code'!$Y$38</definedName>
    <definedName name="hxd.cds.layers.8.area_codes_perc.ech">'Area Code'!$Y$14</definedName>
    <definedName name="hxd.cds.layers.8.area_codes_perc.ecx">'Area Code'!$Y$40</definedName>
    <definedName name="hxd.cds.layers.8.area_codes_perc.ecz">'Area Code'!$Y$41</definedName>
    <definedName name="hxd.cds.layers.8.area_codes_perc.edk">'Area Code'!$Y$15</definedName>
    <definedName name="hxd.cds.layers.8.area_codes_perc.ees">'Area Code'!$Y$30</definedName>
    <definedName name="hxd.cds.layers.8.area_codes_perc.efi">'Area Code'!$Y$17</definedName>
    <definedName name="hxd.cds.layers.8.area_codes_perc.efr">'Area Code'!$Y$18</definedName>
    <definedName name="hxd.cds.layers.8.area_codes_perc.ege">'Area Code'!$Y$19</definedName>
    <definedName name="hxd.cds.layers.8.area_codes_perc.egf">'Area Code'!$Y$24</definedName>
    <definedName name="hxd.cds.layers.8.area_codes_perc.egr">'Area Code'!$Y$31</definedName>
    <definedName name="hxd.cds.layers.8.area_codes_perc.ehu">'Area Code'!$Y$42</definedName>
    <definedName name="hxd.cds.layers.8.area_codes_perc.eic">'Area Code'!$Y$20</definedName>
    <definedName name="hxd.cds.layers.8.area_codes_perc.eie">'Area Code'!$Y$21</definedName>
    <definedName name="hxd.cds.layers.8.area_codes_perc.eit">'Area Code'!$Y$32</definedName>
    <definedName name="hxd.cds.layers.8.area_codes_perc.emz">'Area Code'!$Y$16</definedName>
    <definedName name="hxd.cds.layers.8.area_codes_perc.enl">'Area Code'!$Y$22</definedName>
    <definedName name="hxd.cds.layers.8.area_codes_perc.eno">'Area Code'!$Y$23</definedName>
    <definedName name="hxd.cds.layers.8.area_codes_perc.epl">'Area Code'!$Y$43</definedName>
    <definedName name="hxd.cds.layers.8.area_codes_perc.ept">'Area Code'!$Y$33</definedName>
    <definedName name="hxd.cds.layers.8.area_codes_perc.ero">'Area Code'!$Y$44</definedName>
    <definedName name="hxd.cds.layers.8.area_codes_perc.eru">'Area Code'!$Y$45</definedName>
    <definedName name="hxd.cds.layers.8.area_codes_perc.esb">'Area Code'!$Y$46</definedName>
    <definedName name="hxd.cds.layers.8.area_codes_perc.esc">'Area Code'!$Y$47</definedName>
    <definedName name="hxd.cds.layers.8.area_codes_perc.ese">'Area Code'!$Y$25</definedName>
    <definedName name="hxd.cds.layers.8.area_codes_perc.esr">'Area Code'!$Y$48</definedName>
    <definedName name="hxd.cds.layers.8.area_codes_perc.etu">'Area Code'!$Y$34</definedName>
    <definedName name="hxd.cds.layers.8.area_codes_perc.euf">'Area Code'!$Y$27</definedName>
    <definedName name="hxd.cds.layers.8.area_codes_perc.euk">'Area Code'!$Y$26</definedName>
    <definedName name="hxd.cds.layers.8.area_codes_perc.fby">'Area Code'!$CY$28</definedName>
    <definedName name="hxd.cds.layers.8.area_codes_perc.fcq">'Area Code'!$CY$13</definedName>
    <definedName name="hxd.cds.layers.8.area_codes_perc.fct">'Area Code'!$CY$12</definedName>
    <definedName name="hxd.cds.layers.8.area_codes_perc.fcy">'Area Code'!$CY$24</definedName>
    <definedName name="hxd.cds.layers.8.area_codes_perc.fhk">'Area Code'!$CY$15</definedName>
    <definedName name="hxd.cds.layers.8.area_codes_perc.fia">'Area Code'!$CY$16</definedName>
    <definedName name="hxd.cds.layers.8.area_codes_perc.fjq">'Area Code'!$CY$21</definedName>
    <definedName name="hxd.cds.layers.8.area_codes_perc.fjw">'Area Code'!$CY$22</definedName>
    <definedName name="hxd.cds.layers.8.area_codes_perc.fkr">'Area Code'!$CY$14</definedName>
    <definedName name="hxd.cds.layers.8.area_codes_perc.fmy">'Area Code'!$CY$26</definedName>
    <definedName name="hxd.cds.layers.8.area_codes_perc.fnp">'Area Code'!$CY$29</definedName>
    <definedName name="hxd.cds.layers.8.area_codes_perc.fsk">'Area Code'!$CY$19</definedName>
    <definedName name="hxd.cds.layers.8.area_codes_perc.fsp">'Area Code'!$CY$18</definedName>
    <definedName name="hxd.cds.layers.8.area_codes_perc.fta">'Area Code'!$CY$20</definedName>
    <definedName name="hxd.cds.layers.8.area_codes_perc.fth">'Area Code'!$CY$32</definedName>
    <definedName name="hxd.cds.layers.8.area_codes_perc.fvn">'Area Code'!$CY$33</definedName>
    <definedName name="hxd.cds.layers.8.area_codes_perc.mae">'Area Code'!$CY$39</definedName>
    <definedName name="hxd.cds.layers.8.area_codes_perc.mba">'Area Code'!$CY$40</definedName>
    <definedName name="hxd.cds.layers.8.area_codes_perc.mbd">'Area Code'!$CY$23</definedName>
    <definedName name="hxd.cds.layers.8.area_codes_perc.min">'Area Code'!$CY$37</definedName>
    <definedName name="hxd.cds.layers.8.area_codes_perc.mis">'Area Code'!$CY$36</definedName>
    <definedName name="hxd.cds.layers.8.area_codes_perc.mjo">'Area Code'!$CY$46</definedName>
    <definedName name="hxd.cds.layers.8.area_codes_perc.mma">'Area Code'!$CY$27</definedName>
    <definedName name="hxd.cds.layers.8.area_codes_perc.mom">'Area Code'!$CY$47</definedName>
    <definedName name="hxd.cds.layers.8.area_codes_perc.mpk">'Area Code'!$CY$30</definedName>
    <definedName name="hxd.cds.layers.8.area_codes_perc.mqa">'Area Code'!$CY$48</definedName>
    <definedName name="hxd.cds.layers.8.area_codes_perc.oa1">'Area Code'!$AY$54</definedName>
    <definedName name="hxd.cds.layers.8.area_codes_perc.oa2">'Area Code'!$AY$55</definedName>
    <definedName name="hxd.cds.layers.8.area_codes_perc.oa3">'Area Code'!$AY$56</definedName>
    <definedName name="hxd.cds.layers.8.area_codes_perc.oa4">'Area Code'!$AY$57</definedName>
    <definedName name="hxd.cds.layers.8.area_codes_perc.oa5">'Area Code'!$AY$58</definedName>
    <definedName name="hxd.cds.layers.8.area_codes_perc.oa6">'Area Code'!$AY$59</definedName>
    <definedName name="hxd.cds.layers.8.area_codes_perc.ofj">'Area Code'!$AY$62</definedName>
    <definedName name="hxd.cds.layers.8.area_codes_perc.ogm">'Area Code'!$CY$25</definedName>
    <definedName name="hxd.cds.layers.8.area_codes_perc.onz">'Area Code'!$AY$61</definedName>
    <definedName name="hxd.cds.layers.8.area_codes_perc.opg">'Area Code'!$CY$31</definedName>
    <definedName name="hxd.cds.layers.8.area_codes_perc.oph">'Area Code'!$CY$17</definedName>
    <definedName name="hxd.cds.layers.8.area_codes_perc.ota">'Area Code'!$AY$60</definedName>
    <definedName name="hxd.cds.layers.8.area_codes_perc.sar">'Area Code'!$AY$33</definedName>
    <definedName name="hxd.cds.layers.8.area_codes_perc.sbr">'Area Code'!$AY$36</definedName>
    <definedName name="hxd.cds.layers.8.area_codes_perc.sbv">'Area Code'!$AY$35</definedName>
    <definedName name="hxd.cds.layers.8.area_codes_perc.sbz">'Area Code'!$AY$34</definedName>
    <definedName name="hxd.cds.layers.8.area_codes_perc.scl">'Area Code'!$AY$37</definedName>
    <definedName name="hxd.cds.layers.8.area_codes_perc.sco">'Area Code'!$AY$38</definedName>
    <definedName name="hxd.cds.layers.8.area_codes_perc.scr">'Area Code'!$AY$39</definedName>
    <definedName name="hxd.cds.layers.8.area_codes_perc.sec">'Area Code'!$AY$40</definedName>
    <definedName name="hxd.cds.layers.8.area_codes_perc.sel">'Area Code'!$AY$41</definedName>
    <definedName name="hxd.cds.layers.8.area_codes_perc.sgt">'Area Code'!$AY$42</definedName>
    <definedName name="hxd.cds.layers.8.area_codes_perc.sgy">'Area Code'!$AY$43</definedName>
    <definedName name="hxd.cds.layers.8.area_codes_perc.shn">'Area Code'!$AY$44</definedName>
    <definedName name="hxd.cds.layers.8.area_codes_perc.smx">'Area Code'!$AY$45</definedName>
    <definedName name="hxd.cds.layers.8.area_codes_perc.snq">'Area Code'!$AY$46</definedName>
    <definedName name="hxd.cds.layers.8.area_codes_perc.spa">'Area Code'!$AY$47</definedName>
    <definedName name="hxd.cds.layers.8.area_codes_perc.spe">'Area Code'!$AY$49</definedName>
    <definedName name="hxd.cds.layers.8.area_codes_perc.spy">'Area Code'!$AY$48</definedName>
    <definedName name="hxd.cds.layers.8.area_codes_perc.suy">'Area Code'!$AY$50</definedName>
    <definedName name="hxd.cds.layers.8.area_codes_perc.sve">'Area Code'!$AY$51</definedName>
    <definedName name="hxd.cds.layers.8.area_codes_perc.usa01">'Area Code'!$AY$12</definedName>
    <definedName name="hxd.cds.layers.8.area_codes_perc.usa02">'Area Code'!$AY$13</definedName>
    <definedName name="hxd.cds.layers.8.area_codes_perc.usa03">'Area Code'!$AY$14</definedName>
    <definedName name="hxd.cds.layers.8.area_codes_perc.usa04">'Area Code'!$AY$15</definedName>
    <definedName name="hxd.cds.layers.8.area_codes_perc.usa05">'Area Code'!$AY$16</definedName>
    <definedName name="hxd.cds.layers.8.area_codes_perc.usa06">'Area Code'!$AY$17</definedName>
    <definedName name="hxd.cds.layers.8.area_codes_perc.usa07">'Area Code'!$AY$18</definedName>
    <definedName name="hxd.cds.layers.8.area_codes_perc.usa08">'Area Code'!$AY$19</definedName>
    <definedName name="hxd.cds.layers.8.area_codes_perc.usa09">'Area Code'!$AY$20</definedName>
    <definedName name="hxd.cds.layers.8.area_codes_perc.usa10">'Area Code'!$AY$21</definedName>
    <definedName name="hxd.cds.layers.8.area_codes_perc.usa11">'Area Code'!$AY$22</definedName>
    <definedName name="hxd.cds.layers.8.area_codes_perc.usa12">'Area Code'!$AY$23</definedName>
    <definedName name="hxd.cds.layers.8.area_codes_perc.usa13">'Area Code'!$AY$24</definedName>
    <definedName name="hxd.cds.layers.8.area_codes_perc.usa14">'Area Code'!$AY$25</definedName>
    <definedName name="hxd.cds.layers.8.area_codes_perc.usa15">'Area Code'!$AY$26</definedName>
    <definedName name="hxd.cds.layers.8.area_codes_perc.usa16">'Area Code'!$AY$27</definedName>
    <definedName name="hxd.cds.layers.8.area_codes_perc.usa20">'Area Code'!$AY$28</definedName>
    <definedName name="hxd.cds.layers.8.area_codes_perc.usa21">'Area Code'!$AY$29</definedName>
    <definedName name="hxd.cds.layers.8.area_codes_perc.usa22">'Area Code'!$AY$30</definedName>
    <definedName name="hxd.cds.layers.8.area_codes_select.aal">'Area Code'!$CX$41</definedName>
    <definedName name="hxd.cds.layers.8.area_codes_select.aeg">'Area Code'!$CX$43</definedName>
    <definedName name="hxd.cds.layers.8.area_codes_select.ali">'Area Code'!$CX$44</definedName>
    <definedName name="hxd.cds.layers.8.area_codes_select.amo">'Area Code'!$CX$42</definedName>
    <definedName name="hxd.cds.layers.8.area_codes_select.amu">'Area Code'!$CX$45</definedName>
    <definedName name="hxd.cds.layers.8.area_codes_select.asa">'Area Code'!$CX$38</definedName>
    <definedName name="hxd.cds.layers.8.area_codes_select.bag">'Area Code'!$BX$12</definedName>
    <definedName name="hxd.cds.layers.8.area_codes_select.bah">'Area Code'!$BX$13</definedName>
    <definedName name="hxd.cds.layers.8.area_codes_select.ban">'Area Code'!$BX$14</definedName>
    <definedName name="hxd.cds.layers.8.area_codes_select.bbb">'Area Code'!$BX$15</definedName>
    <definedName name="hxd.cds.layers.8.area_codes_select.bbh">'Area Code'!$BX$16</definedName>
    <definedName name="hxd.cds.layers.8.area_codes_select.bbm">'Area Code'!$BX$17</definedName>
    <definedName name="hxd.cds.layers.8.area_codes_select.bcb">'Area Code'!$BX$18</definedName>
    <definedName name="hxd.cds.layers.8.area_codes_select.bcm">'Area Code'!$BX$19</definedName>
    <definedName name="hxd.cds.layers.8.area_codes_select.bcu">'Area Code'!$BX$20</definedName>
    <definedName name="hxd.cds.layers.8.area_codes_select.bdo">'Area Code'!$BX$21</definedName>
    <definedName name="hxd.cds.layers.8.area_codes_select.bdr">'Area Code'!$BX$22</definedName>
    <definedName name="hxd.cds.layers.8.area_codes_select.bgn">'Area Code'!$BX$23</definedName>
    <definedName name="hxd.cds.layers.8.area_codes_select.bgs">'Area Code'!$BX$24</definedName>
    <definedName name="hxd.cds.layers.8.area_codes_select.bgu">'Area Code'!$BX$25</definedName>
    <definedName name="hxd.cds.layers.8.area_codes_select.bht">'Area Code'!$BX$26</definedName>
    <definedName name="hxd.cds.layers.8.area_codes_select.bjm">'Area Code'!$BX$27</definedName>
    <definedName name="hxd.cds.layers.8.area_codes_select.bkn">'Area Code'!$BX$28</definedName>
    <definedName name="hxd.cds.layers.8.area_codes_select.bmq">'Area Code'!$BX$29</definedName>
    <definedName name="hxd.cds.layers.8.area_codes_select.bms">'Area Code'!$BX$30</definedName>
    <definedName name="hxd.cds.layers.8.area_codes_select.bon">'Area Code'!$BX$31</definedName>
    <definedName name="hxd.cds.layers.8.area_codes_select.bpr">'Area Code'!$BX$32</definedName>
    <definedName name="hxd.cds.layers.8.area_codes_select.bsl">'Area Code'!$BX$33</definedName>
    <definedName name="hxd.cds.layers.8.area_codes_select.bsv">'Area Code'!$BX$34</definedName>
    <definedName name="hxd.cds.layers.8.area_codes_select.bv1">'Area Code'!$BX$35</definedName>
    <definedName name="hxd.cds.layers.8.area_codes_select.bvs">'Area Code'!$BX$36</definedName>
    <definedName name="hxd.cds.layers.8.area_codes_select.bx7">'Area Code'!$BX$37</definedName>
    <definedName name="hxd.cds.layers.8.area_codes_select.cat">'Area Code'!$BX$44</definedName>
    <definedName name="hxd.cds.layers.8.area_codes_select.cbc">'Area Code'!$BX$40</definedName>
    <definedName name="hxd.cds.layers.8.area_codes_select.cef">'Area Code'!$X$39</definedName>
    <definedName name="hxd.cds.layers.8.area_codes_select.con">'Area Code'!$BX$42</definedName>
    <definedName name="hxd.cds.layers.8.area_codes_select.cpr">'Area Code'!$BX$43</definedName>
    <definedName name="hxd.cds.layers.8.area_codes_select.cqu">'Area Code'!$BX$41</definedName>
    <definedName name="hxd.cds.layers.8.area_codes_select.eat">'Area Code'!$X$12</definedName>
    <definedName name="hxd.cds.layers.8.area_codes_select.ebe">'Area Code'!$X$13</definedName>
    <definedName name="hxd.cds.layers.8.area_codes_select.ebg">'Area Code'!$X$38</definedName>
    <definedName name="hxd.cds.layers.8.area_codes_select.ech">'Area Code'!$X$14</definedName>
    <definedName name="hxd.cds.layers.8.area_codes_select.ecx">'Area Code'!$X$40</definedName>
    <definedName name="hxd.cds.layers.8.area_codes_select.ecz">'Area Code'!$X$41</definedName>
    <definedName name="hxd.cds.layers.8.area_codes_select.edk">'Area Code'!$X$15</definedName>
    <definedName name="hxd.cds.layers.8.area_codes_select.ees">'Area Code'!$X$30</definedName>
    <definedName name="hxd.cds.layers.8.area_codes_select.efi">'Area Code'!$X$17</definedName>
    <definedName name="hxd.cds.layers.8.area_codes_select.efr">'Area Code'!$X$18</definedName>
    <definedName name="hxd.cds.layers.8.area_codes_select.ege">'Area Code'!$X$19</definedName>
    <definedName name="hxd.cds.layers.8.area_codes_select.egf">'Area Code'!$X$24</definedName>
    <definedName name="hxd.cds.layers.8.area_codes_select.egr">'Area Code'!$X$31</definedName>
    <definedName name="hxd.cds.layers.8.area_codes_select.ehu">'Area Code'!$X$42</definedName>
    <definedName name="hxd.cds.layers.8.area_codes_select.eic">'Area Code'!$X$20</definedName>
    <definedName name="hxd.cds.layers.8.area_codes_select.eie">'Area Code'!$X$21</definedName>
    <definedName name="hxd.cds.layers.8.area_codes_select.eit">'Area Code'!$X$32</definedName>
    <definedName name="hxd.cds.layers.8.area_codes_select.emz">'Area Code'!$X$16</definedName>
    <definedName name="hxd.cds.layers.8.area_codes_select.enl">'Area Code'!$X$22</definedName>
    <definedName name="hxd.cds.layers.8.area_codes_select.eno">'Area Code'!$X$23</definedName>
    <definedName name="hxd.cds.layers.8.area_codes_select.epl">'Area Code'!$X$43</definedName>
    <definedName name="hxd.cds.layers.8.area_codes_select.ept">'Area Code'!$X$33</definedName>
    <definedName name="hxd.cds.layers.8.area_codes_select.ero">'Area Code'!$X$44</definedName>
    <definedName name="hxd.cds.layers.8.area_codes_select.eru">'Area Code'!$X$45</definedName>
    <definedName name="hxd.cds.layers.8.area_codes_select.esb">'Area Code'!$X$46</definedName>
    <definedName name="hxd.cds.layers.8.area_codes_select.esc">'Area Code'!$X$47</definedName>
    <definedName name="hxd.cds.layers.8.area_codes_select.ese">'Area Code'!$X$25</definedName>
    <definedName name="hxd.cds.layers.8.area_codes_select.esr">'Area Code'!$X$48</definedName>
    <definedName name="hxd.cds.layers.8.area_codes_select.etu">'Area Code'!$X$34</definedName>
    <definedName name="hxd.cds.layers.8.area_codes_select.euf">'Area Code'!$X$27</definedName>
    <definedName name="hxd.cds.layers.8.area_codes_select.euk">'Area Code'!$X$26</definedName>
    <definedName name="hxd.cds.layers.8.area_codes_select.fby">'Area Code'!$CX$28</definedName>
    <definedName name="hxd.cds.layers.8.area_codes_select.fcq">'Area Code'!$CX$13</definedName>
    <definedName name="hxd.cds.layers.8.area_codes_select.fct">'Area Code'!$CX$12</definedName>
    <definedName name="hxd.cds.layers.8.area_codes_select.fcy">'Area Code'!$CX$24</definedName>
    <definedName name="hxd.cds.layers.8.area_codes_select.fhk">'Area Code'!$CX$15</definedName>
    <definedName name="hxd.cds.layers.8.area_codes_select.fia">'Area Code'!$CX$16</definedName>
    <definedName name="hxd.cds.layers.8.area_codes_select.fjq">'Area Code'!$CX$21</definedName>
    <definedName name="hxd.cds.layers.8.area_codes_select.fjw">'Area Code'!$CX$22</definedName>
    <definedName name="hxd.cds.layers.8.area_codes_select.fkr">'Area Code'!$CX$14</definedName>
    <definedName name="hxd.cds.layers.8.area_codes_select.fmy">'Area Code'!$CX$26</definedName>
    <definedName name="hxd.cds.layers.8.area_codes_select.fnp">'Area Code'!$CX$29</definedName>
    <definedName name="hxd.cds.layers.8.area_codes_select.fsk">'Area Code'!$CX$19</definedName>
    <definedName name="hxd.cds.layers.8.area_codes_select.fsp">'Area Code'!$CX$18</definedName>
    <definedName name="hxd.cds.layers.8.area_codes_select.fta">'Area Code'!$CX$20</definedName>
    <definedName name="hxd.cds.layers.8.area_codes_select.fth">'Area Code'!$CX$32</definedName>
    <definedName name="hxd.cds.layers.8.area_codes_select.fvn">'Area Code'!$CX$33</definedName>
    <definedName name="hxd.cds.layers.8.area_codes_select.mae">'Area Code'!$CX$39</definedName>
    <definedName name="hxd.cds.layers.8.area_codes_select.mba">'Area Code'!$CX$40</definedName>
    <definedName name="hxd.cds.layers.8.area_codes_select.mbd">'Area Code'!$CX$23</definedName>
    <definedName name="hxd.cds.layers.8.area_codes_select.min">'Area Code'!$CX$37</definedName>
    <definedName name="hxd.cds.layers.8.area_codes_select.mis">'Area Code'!$CX$36</definedName>
    <definedName name="hxd.cds.layers.8.area_codes_select.mjo">'Area Code'!$CX$46</definedName>
    <definedName name="hxd.cds.layers.8.area_codes_select.mma">'Area Code'!$CX$27</definedName>
    <definedName name="hxd.cds.layers.8.area_codes_select.mom">'Area Code'!$CX$47</definedName>
    <definedName name="hxd.cds.layers.8.area_codes_select.mpk">'Area Code'!$CX$30</definedName>
    <definedName name="hxd.cds.layers.8.area_codes_select.mqa">'Area Code'!$CX$48</definedName>
    <definedName name="hxd.cds.layers.8.area_codes_select.oa1">'Area Code'!$AX$54</definedName>
    <definedName name="hxd.cds.layers.8.area_codes_select.oa2">'Area Code'!$AX$55</definedName>
    <definedName name="hxd.cds.layers.8.area_codes_select.oa3">'Area Code'!$AX$56</definedName>
    <definedName name="hxd.cds.layers.8.area_codes_select.oa4">'Area Code'!$AX$57</definedName>
    <definedName name="hxd.cds.layers.8.area_codes_select.oa5">'Area Code'!$AX$58</definedName>
    <definedName name="hxd.cds.layers.8.area_codes_select.oa6">'Area Code'!$AX$59</definedName>
    <definedName name="hxd.cds.layers.8.area_codes_select.ofj">'Area Code'!$AX$62</definedName>
    <definedName name="hxd.cds.layers.8.area_codes_select.ogm">'Area Code'!$CX$25</definedName>
    <definedName name="hxd.cds.layers.8.area_codes_select.onz">'Area Code'!$AX$61</definedName>
    <definedName name="hxd.cds.layers.8.area_codes_select.opg">'Area Code'!$CX$31</definedName>
    <definedName name="hxd.cds.layers.8.area_codes_select.oph">'Area Code'!$CX$17</definedName>
    <definedName name="hxd.cds.layers.8.area_codes_select.ota">'Area Code'!$AX$60</definedName>
    <definedName name="hxd.cds.layers.8.area_codes_select.sar">'Area Code'!$AX$33</definedName>
    <definedName name="hxd.cds.layers.8.area_codes_select.sbr">'Area Code'!$AX$36</definedName>
    <definedName name="hxd.cds.layers.8.area_codes_select.sbv">'Area Code'!$AX$35</definedName>
    <definedName name="hxd.cds.layers.8.area_codes_select.sbz">'Area Code'!$AX$34</definedName>
    <definedName name="hxd.cds.layers.8.area_codes_select.scl">'Area Code'!$AX$37</definedName>
    <definedName name="hxd.cds.layers.8.area_codes_select.sco">'Area Code'!$AX$38</definedName>
    <definedName name="hxd.cds.layers.8.area_codes_select.scr">'Area Code'!$AX$39</definedName>
    <definedName name="hxd.cds.layers.8.area_codes_select.sec">'Area Code'!$AX$40</definedName>
    <definedName name="hxd.cds.layers.8.area_codes_select.sel">'Area Code'!$AX$41</definedName>
    <definedName name="hxd.cds.layers.8.area_codes_select.sgt">'Area Code'!$AX$42</definedName>
    <definedName name="hxd.cds.layers.8.area_codes_select.sgy">'Area Code'!$AX$43</definedName>
    <definedName name="hxd.cds.layers.8.area_codes_select.shn">'Area Code'!$AX$44</definedName>
    <definedName name="hxd.cds.layers.8.area_codes_select.smx">'Area Code'!$AX$45</definedName>
    <definedName name="hxd.cds.layers.8.area_codes_select.snq">'Area Code'!$AX$46</definedName>
    <definedName name="hxd.cds.layers.8.area_codes_select.spa">'Area Code'!$AX$47</definedName>
    <definedName name="hxd.cds.layers.8.area_codes_select.spe">'Area Code'!$AX$49</definedName>
    <definedName name="hxd.cds.layers.8.area_codes_select.spy">'Area Code'!$AX$48</definedName>
    <definedName name="hxd.cds.layers.8.area_codes_select.suy">'Area Code'!$AX$50</definedName>
    <definedName name="hxd.cds.layers.8.area_codes_select.sve">'Area Code'!$AX$51</definedName>
    <definedName name="hxd.cds.layers.8.area_codes_select.usa01">'Area Code'!$AX$12</definedName>
    <definedName name="hxd.cds.layers.8.area_codes_select.usa02">'Area Code'!$AX$13</definedName>
    <definedName name="hxd.cds.layers.8.area_codes_select.usa03">'Area Code'!$AX$14</definedName>
    <definedName name="hxd.cds.layers.8.area_codes_select.usa04">'Area Code'!$AX$15</definedName>
    <definedName name="hxd.cds.layers.8.area_codes_select.usa05">'Area Code'!$AX$16</definedName>
    <definedName name="hxd.cds.layers.8.area_codes_select.usa06">'Area Code'!$AX$17</definedName>
    <definedName name="hxd.cds.layers.8.area_codes_select.usa07">'Area Code'!$AX$18</definedName>
    <definedName name="hxd.cds.layers.8.area_codes_select.usa08">'Area Code'!$AX$19</definedName>
    <definedName name="hxd.cds.layers.8.area_codes_select.usa09">'Area Code'!$AX$20</definedName>
    <definedName name="hxd.cds.layers.8.area_codes_select.usa10">'Area Code'!$AX$21</definedName>
    <definedName name="hxd.cds.layers.8.area_codes_select.usa11">'Area Code'!$AX$22</definedName>
    <definedName name="hxd.cds.layers.8.area_codes_select.usa12">'Area Code'!$AX$23</definedName>
    <definedName name="hxd.cds.layers.8.area_codes_select.usa13">'Area Code'!$AX$24</definedName>
    <definedName name="hxd.cds.layers.8.area_codes_select.usa14">'Area Code'!$AX$25</definedName>
    <definedName name="hxd.cds.layers.8.area_codes_select.usa15">'Area Code'!$AX$26</definedName>
    <definedName name="hxd.cds.layers.8.area_codes_select.usa16">'Area Code'!$AX$27</definedName>
    <definedName name="hxd.cds.layers.8.area_codes_select.usa20">'Area Code'!$AX$28</definedName>
    <definedName name="hxd.cds.layers.8.area_codes_select.usa21">'Area Code'!$AX$29</definedName>
    <definedName name="hxd.cds.layers.8.area_codes_select.usa22">'Area Code'!$AX$30</definedName>
    <definedName name="hxd.cds.layers.8.excess">'Rate Change'!$AV$16</definedName>
    <definedName name="hxd.cds.layers.8.excess_cnv">Summary!$G$59</definedName>
    <definedName name="hxd.cds.layers.8.layer_description">'Rate Change'!$AT$18</definedName>
    <definedName name="hxd.cds.layers.8.leader">Summary!$D$59</definedName>
    <definedName name="hxd.cds.layers.8.limit">'Rate Change'!$AT$16</definedName>
    <definedName name="hxd.cds.layers.8.limit_cnv">Summary!$F$59</definedName>
    <definedName name="hxd.cds.layers.8.marginal_impacts.treaty_group.mi_10">Modelling!$AT$21</definedName>
    <definedName name="hxd.cds.layers.8.marginal_impacts.treaty_group.mi_250">Modelling!$AS$21</definedName>
    <definedName name="hxd.cds.layers.8.marginal_impacts.treaty_intl.mi_10">Modelling!$AW$21</definedName>
    <definedName name="hxd.cds.layers.8.marginal_impacts.treaty_intl.mi_250">Modelling!$AV$21</definedName>
    <definedName name="hxd.cds.layers.8.marginal_impacts.treaty_us.mi_10">Modelling!$AQ$21</definedName>
    <definedName name="hxd.cds.layers.8.marginal_impacts.treaty_us.mi_250">Modelling!$AP$21</definedName>
    <definedName name="hxd.cds.layers.8.model.air.gross_el">Modelling!$K$21</definedName>
    <definedName name="hxd.cds.layers.8.model.air.gross_sd">Modelling!$L$21</definedName>
    <definedName name="hxd.cds.layers.8.model.ivor.gross_el">Modelling!$H$21</definedName>
    <definedName name="hxd.cds.layers.8.model.ivor.gross_sd">Modelling!$I$21</definedName>
    <definedName name="hxd.cds.layers.8.model.nmp.description">Modelling!$R$21</definedName>
    <definedName name="hxd.cds.layers.8.model.nmp.gross_el_incl_rol">Modelling!$N$21</definedName>
    <definedName name="hxd.cds.layers.8.model.nmp.gross_sd_incl_rol">Modelling!$O$21</definedName>
    <definedName name="hxd.cds.layers.8.model.rms.gross_el">Modelling!$E$21</definedName>
    <definedName name="hxd.cds.layers.8.model.rms.gross_sd">Modelling!$F$21</definedName>
    <definedName name="hxd.cds.layers.8.model.total_air_nmp.gross_el">Modelling!$T$21</definedName>
    <definedName name="hxd.cds.layers.8.model.total_air_nmp.gross_sd">Modelling!$U$21</definedName>
    <definedName name="hxd.cds.layers.8.model.total_rms_nmp.gross_el">Modelling!$B$21</definedName>
    <definedName name="hxd.cds.layers.8.model.total_rms_nmp.gross_sd">Modelling!$C$21</definedName>
    <definedName name="hxd.cds.layers.8.quote.rol_ty.bpi">'Rate Change'!$AS$59</definedName>
    <definedName name="hxd.cds.layers.8.quote.rol_ty.est_sign_written_ratio">'Rate Change'!$AS$55</definedName>
    <definedName name="hxd.cds.layers.8.quote.rol_ty.estimated_signing">Summary!$V$59</definedName>
    <definedName name="hxd.cds.layers.8.quote.rol_ty.roc">Summary!$L$59</definedName>
    <definedName name="hxd.cds.layers.8.quote.rol_ty.rol_afb_tech">Summary!$J$59</definedName>
    <definedName name="hxd.cds.layers.8.quote.rol_ty.rol_fot">'Rate Change'!$AS$51</definedName>
    <definedName name="hxd.cds.layers.8.quote.rol_ty.rol_quote">Summary!$H$59</definedName>
    <definedName name="hxd.cds.layers.8.quote.rol_ty.signed_line">Summary!$X$59</definedName>
    <definedName name="hxd.cds.layers.8.quote.rol_ty.ulr">'Rate Change'!$AS$57</definedName>
    <definedName name="hxd.cds.layers.8.quote.rol_ty.written_line">Summary!$T$59</definedName>
    <definedName name="hxd.cds.layers.8.rate_change.comments">'Rate Change'!$AU$44</definedName>
    <definedName name="hxd.cds.layers.8.rate_change.deductible_change_fixed.final">'Rate Change'!$AS$33</definedName>
    <definedName name="hxd.cds.layers.8.rate_change.exposure_change_fixed.comment">'Rate Change'!$AU$24</definedName>
    <definedName name="hxd.cds.layers.8.rate_change.exposure_change_fixed.final">'Rate Change'!$AS$25</definedName>
    <definedName name="hxd.cds.layers.8.rate_change.limit_change_fixed.comment">'Rate Change'!$AU$36</definedName>
    <definedName name="hxd.cds.layers.8.rate_change.limit_change_fixed.final">'Rate Change'!$AS$37</definedName>
    <definedName name="hxd.cds.layers.8.rate_change.other_change_fixed.final">'Rate Change'!$AS$45</definedName>
    <definedName name="hxd.cds.layers.8.rate_change.rationale_outside_plan">'Rate Change'!$AS$61</definedName>
    <definedName name="hxd.cds.layers.8.rate_change.risk_adjusted_rate_change">'Rate Change'!$AS$53</definedName>
    <definedName name="hxd.cds.layers.8.rate_change.risk_characteristics_change_fixed.final">'Rate Change'!$AS$29</definedName>
    <definedName name="hxd.cds.layers.8.rate_change.rol_ly_to_use">'Rate Change'!$AS$21</definedName>
    <definedName name="hxd.cds.layers.8.rate_change.rol_rebased">'Rate Change'!$AS$49</definedName>
    <definedName name="hxd.cds.layers.8.rate_change.terms_conditions_change_fixed.final">'Rate Change'!$AS$41</definedName>
    <definedName name="hxd.cds.layers.8.rms_regional.al_miss">Modelling!$AB$21</definedName>
    <definedName name="hxd.cds.layers.8.rms_regional.ca_wildfire">Modelling!$AN$21</definedName>
    <definedName name="hxd.cds.layers.8.rms_regional.cal_north">Modelling!$AG$21</definedName>
    <definedName name="hxd.cds.layers.8.rms_regional.cal_south">Modelling!$AF$21</definedName>
    <definedName name="hxd.cds.layers.8.rms_regional.carolinas">Modelling!$Y$21</definedName>
    <definedName name="hxd.cds.layers.8.rms_regional.fl_non_se">Modelling!$AA$21</definedName>
    <definedName name="hxd.cds.layers.8.rms_regional.fl_se">Modelling!$Z$21</definedName>
    <definedName name="hxd.cds.layers.8.rms_regional.hawaii">Modelling!$AJ$21</definedName>
    <definedName name="hxd.cds.layers.8.rms_regional.louisiana">Modelling!$AC$21</definedName>
    <definedName name="hxd.cds.layers.8.rms_regional.mid_atlantic">Modelling!$X$21</definedName>
    <definedName name="hxd.cds.layers.8.rms_regional.mid_west_1">Modelling!$AK$21</definedName>
    <definedName name="hxd.cds.layers.8.rms_regional.mid_west_2">Modelling!$AL$21</definedName>
    <definedName name="hxd.cds.layers.8.rms_regional.new_madrid">Modelling!$AI$21</definedName>
    <definedName name="hxd.cds.layers.8.rms_regional.north_east">Modelling!$W$21</definedName>
    <definedName name="hxd.cds.layers.8.rms_regional.pnw">Modelling!$AH$21</definedName>
    <definedName name="hxd.cds.layers.8.rms_regional.second_event">Modelling!$AM$21</definedName>
    <definedName name="hxd.cds.layers.8.rms_regional.tx_east">Modelling!$AD$21</definedName>
    <definedName name="hxd.cds.layers.8.rms_regional.tx_west">Modelling!$AE$21</definedName>
    <definedName name="hxd.cds.layers.8.section_reference">'Rate Change'!$AT$14</definedName>
    <definedName name="hxd.cds.layers.8.summary.next_year.section_reference">Summary!$C$46</definedName>
    <definedName name="hxd.cds.layers.8.summary.ty.epi_adj_rate">Summary!$R$59</definedName>
    <definedName name="hxd.cds.layers.8.summary.ty.epi_estimated_summary_fx">Summary!$AA$59</definedName>
    <definedName name="hxd.cds.layers.8.summary.ty.epi_signed_summary_fx">Summary!$AB$59</definedName>
    <definedName name="hxd.cds.layers.8.summary.ty.epi_written_summary_fx">Summary!$Z$59</definedName>
    <definedName name="hxd.cds.layers.8.summary.ty.fot_adequacy">Summary!$O$59</definedName>
    <definedName name="hxd.cds.layers.8.summary.ty.line_estimated_summary_fx">Summary!$W$59</definedName>
    <definedName name="hxd.cds.layers.8.summary.ty.line_signed_summary_fx">Summary!$Y$59</definedName>
    <definedName name="hxd.cds.layers.8.summary.ty.line_written_summary_fx">Summary!$U$59</definedName>
    <definedName name="hxd.cds.layers.8.summary.ty.mi_10">Summary!$AE$59</definedName>
    <definedName name="hxd.cds.layers.8.summary.ty.mi_10_prem_ratio">Summary!$AF$59</definedName>
    <definedName name="hxd.cds.layers.8.summary.ty.mi_250">Summary!$AC$59</definedName>
    <definedName name="hxd.cds.layers.8.summary.ty.mi_250_prem_ratio">Summary!$AD$59</definedName>
    <definedName name="hxd.cds.layers.8.summary.ty.multi_year_period">Summary!$B$59</definedName>
    <definedName name="hxd.cds.layers.8.summary.ty.prem_full_line">Summary!$S$59</definedName>
    <definedName name="hxd.cds.layers.8.summary.ty.reinstatement_description">Summary!$K$59</definedName>
    <definedName name="hxd.cds.layers.8.summary.ty.rms_adequacy">Summary!$P$59</definedName>
    <definedName name="hxd.cds.layers.8.summary.year_after_next.section_reference">Summary!$C$33</definedName>
    <definedName name="hxd.cds.modelling_account_level.comments">Modelling!$B$6</definedName>
    <definedName name="hxd.cds.modelling_account_level.rds_gross_loss.previous_year.carolinas_ws">Modelling!$W$8</definedName>
    <definedName name="hxd.cds.modelling_account_level.rds_gross_loss.previous_year.fl_pinnelas_ws">Modelling!$AA$8</definedName>
    <definedName name="hxd.cds.modelling_account_level.rds_gross_loss.previous_year.gulf_ws">Modelling!$Y$8</definedName>
    <definedName name="hxd.cds.modelling_account_level.rds_gross_loss.previous_year.la_eq">Modelling!$AB$8</definedName>
    <definedName name="hxd.cds.modelling_account_level.rds_gross_loss.previous_year.miami_dade_ws">Modelling!$X$8</definedName>
    <definedName name="hxd.cds.modelling_account_level.rds_gross_loss.previous_year.ne_ws">Modelling!$Z$8</definedName>
    <definedName name="hxd.cds.modelling_account_level.rds_gross_loss.previous_year.nm_eq">Modelling!$AC$8</definedName>
    <definedName name="hxd.cds.modelling_account_level.rds_gross_loss.previous_year.nm_stress_eq">Modelling!$AD$8</definedName>
    <definedName name="hxd.cds.modelling_account_level.rds_gross_loss.previous_year.sf_eq">Modelling!$AE$8</definedName>
    <definedName name="hxd.cds.modelling_account_level.rds_gross_loss.this_year.carolinas_ws">Modelling!$W$7</definedName>
    <definedName name="hxd.cds.modelling_account_level.rds_gross_loss.this_year.fl_pinnelas_ws">Modelling!$AA$7</definedName>
    <definedName name="hxd.cds.modelling_account_level.rds_gross_loss.this_year.gulf_ws">Modelling!$Y$7</definedName>
    <definedName name="hxd.cds.modelling_account_level.rds_gross_loss.this_year.la_eq">Modelling!$AB$7</definedName>
    <definedName name="hxd.cds.modelling_account_level.rds_gross_loss.this_year.miami_dade_ws">Modelling!$X$7</definedName>
    <definedName name="hxd.cds.modelling_account_level.rds_gross_loss.this_year.ne_ws">Modelling!$Z$7</definedName>
    <definedName name="hxd.cds.modelling_account_level.rds_gross_loss.this_year.nm_eq">Modelling!$AC$7</definedName>
    <definedName name="hxd.cds.modelling_account_level.rds_gross_loss.this_year.nm_stress_eq">Modelling!$AD$7</definedName>
    <definedName name="hxd.cds.modelling_account_level.rds_gross_loss.this_year.sf_eq">Modelling!$AE$7</definedName>
    <definedName name="hxd.cds.post_bind.answer.q_1">'Post Bind'!$K$8</definedName>
    <definedName name="hxd.cds.post_bind.answer.q_10">'Post Bind'!$K$25</definedName>
    <definedName name="hxd.cds.post_bind.answer.q_11">'Post Bind'!$K$28</definedName>
    <definedName name="hxd.cds.post_bind.answer.q_12">'Post Bind'!$K$29</definedName>
    <definedName name="hxd.cds.post_bind.answer.q_13">'Post Bind'!$K$32</definedName>
    <definedName name="hxd.cds.post_bind.answer.q_14">'Post Bind'!$K$35</definedName>
    <definedName name="hxd.cds.post_bind.answer.q_15">'Post Bind'!$K$38</definedName>
    <definedName name="hxd.cds.post_bind.answer.q_16">'Post Bind'!$K$41</definedName>
    <definedName name="hxd.cds.post_bind.answer.q_17">'Post Bind'!$K$44</definedName>
    <definedName name="hxd.cds.post_bind.answer.q_18">'Post Bind'!$K$47</definedName>
    <definedName name="hxd.cds.post_bind.answer.q_19">'Post Bind'!$K$50</definedName>
    <definedName name="hxd.cds.post_bind.answer.q_2">'Post Bind'!$K$9</definedName>
    <definedName name="hxd.cds.post_bind.answer.q_20">'Post Bind'!$K$51</definedName>
    <definedName name="hxd.cds.post_bind.answer.q_21">'Post Bind'!$K$52</definedName>
    <definedName name="hxd.cds.post_bind.answer.q_22">'Post Bind'!$K$55</definedName>
    <definedName name="hxd.cds.post_bind.answer.q_23">'Post Bind'!$K$56</definedName>
    <definedName name="hxd.cds.post_bind.answer.q_24">'Post Bind'!$K$57</definedName>
    <definedName name="hxd.cds.post_bind.answer.q_25">'Post Bind'!$K$60</definedName>
    <definedName name="hxd.cds.post_bind.answer.q_26">'Post Bind'!$K$63</definedName>
    <definedName name="hxd.cds.post_bind.answer.q_27">'Post Bind'!$K$66</definedName>
    <definedName name="hxd.cds.post_bind.answer.q_28">'Post Bind'!$K$69</definedName>
    <definedName name="hxd.cds.post_bind.answer.q_29">'Post Bind'!$K$72</definedName>
    <definedName name="hxd.cds.post_bind.answer.q_3">'Post Bind'!$K$10</definedName>
    <definedName name="hxd.cds.post_bind.answer.q_30">'Post Bind'!$K$75</definedName>
    <definedName name="hxd.cds.post_bind.answer.q_31">'Post Bind'!$K$78</definedName>
    <definedName name="hxd.cds.post_bind.answer.q_32">'Post Bind'!$K$79</definedName>
    <definedName name="hxd.cds.post_bind.answer.q_33">'Post Bind'!$K$82</definedName>
    <definedName name="hxd.cds.post_bind.answer.q_34">'Post Bind'!$K$85</definedName>
    <definedName name="hxd.cds.post_bind.answer.q_4">'Post Bind'!$K$13</definedName>
    <definedName name="hxd.cds.post_bind.answer.q_5">'Post Bind'!$K$14</definedName>
    <definedName name="hxd.cds.post_bind.answer.q_6">'Post Bind'!$K$15</definedName>
    <definedName name="hxd.cds.post_bind.answer.q_7">'Post Bind'!$K$18</definedName>
    <definedName name="hxd.cds.post_bind.answer.q_8">'Post Bind'!$K$19</definedName>
    <definedName name="hxd.cds.post_bind.answer.q_9">'Post Bind'!$K$22</definedName>
    <definedName name="hxd.cds.post_bind.comments.q_1">'Post Bind'!$L$8</definedName>
    <definedName name="hxd.cds.post_bind.comments.q_10">'Post Bind'!$L$25</definedName>
    <definedName name="hxd.cds.post_bind.comments.q_11">'Post Bind'!$L$28</definedName>
    <definedName name="hxd.cds.post_bind.comments.q_12">'Post Bind'!$L$29</definedName>
    <definedName name="hxd.cds.post_bind.comments.q_13">'Post Bind'!$L$32</definedName>
    <definedName name="hxd.cds.post_bind.comments.q_14">'Post Bind'!$L$35</definedName>
    <definedName name="hxd.cds.post_bind.comments.q_15">'Post Bind'!$L$38</definedName>
    <definedName name="hxd.cds.post_bind.comments.q_16">'Post Bind'!$L$41</definedName>
    <definedName name="hxd.cds.post_bind.comments.q_17">'Post Bind'!$L$44</definedName>
    <definedName name="hxd.cds.post_bind.comments.q_18">'Post Bind'!$L$47</definedName>
    <definedName name="hxd.cds.post_bind.comments.q_19">'Post Bind'!$L$50</definedName>
    <definedName name="hxd.cds.post_bind.comments.q_2">'Post Bind'!$L$9</definedName>
    <definedName name="hxd.cds.post_bind.comments.q_20">'Post Bind'!$L$51</definedName>
    <definedName name="hxd.cds.post_bind.comments.q_21">'Post Bind'!$L$52</definedName>
    <definedName name="hxd.cds.post_bind.comments.q_22">'Post Bind'!$L$55</definedName>
    <definedName name="hxd.cds.post_bind.comments.q_23">'Post Bind'!$L$56</definedName>
    <definedName name="hxd.cds.post_bind.comments.q_24">'Post Bind'!$L$57</definedName>
    <definedName name="hxd.cds.post_bind.comments.q_25">'Post Bind'!$L$60</definedName>
    <definedName name="hxd.cds.post_bind.comments.q_26">'Post Bind'!$L$63</definedName>
    <definedName name="hxd.cds.post_bind.comments.q_27">'Post Bind'!$L$66</definedName>
    <definedName name="hxd.cds.post_bind.comments.q_28">'Post Bind'!$L$69</definedName>
    <definedName name="hxd.cds.post_bind.comments.q_29">'Post Bind'!$L$72</definedName>
    <definedName name="hxd.cds.post_bind.comments.q_3">'Post Bind'!$L$10</definedName>
    <definedName name="hxd.cds.post_bind.comments.q_30">'Post Bind'!$L$75</definedName>
    <definedName name="hxd.cds.post_bind.comments.q_31">'Post Bind'!$L$78</definedName>
    <definedName name="hxd.cds.post_bind.comments.q_32">'Post Bind'!$L$79</definedName>
    <definedName name="hxd.cds.post_bind.comments.q_33">'Post Bind'!$L$82</definedName>
    <definedName name="hxd.cds.post_bind.comments.q_34">'Post Bind'!$L$85</definedName>
    <definedName name="hxd.cds.post_bind.comments.q_4">'Post Bind'!$L$13</definedName>
    <definedName name="hxd.cds.post_bind.comments.q_5">'Post Bind'!$L$14</definedName>
    <definedName name="hxd.cds.post_bind.comments.q_6">'Post Bind'!$L$15</definedName>
    <definedName name="hxd.cds.post_bind.comments.q_7">'Post Bind'!$L$18</definedName>
    <definedName name="hxd.cds.post_bind.comments.q_8">'Post Bind'!$L$19</definedName>
    <definedName name="hxd.cds.post_bind.comments.q_9">'Post Bind'!$L$22</definedName>
    <definedName name="hxd.cds.pre_bind.answer.q_1">'Pre Bind'!$K$7</definedName>
    <definedName name="hxd.cds.pre_bind.answer.q_2">'Pre Bind'!$K$8</definedName>
    <definedName name="hxd.cds.pre_bind.answer.q_3">'Pre Bind'!$K$9</definedName>
    <definedName name="hxd.cds.pre_bind.answer.q_4">'Pre Bind'!$K$10</definedName>
    <definedName name="hxd.cds.pre_bind.answer.q_5">'Pre Bind'!$K$11</definedName>
    <definedName name="hxd.cds.pre_bind.answer.q_6">'Pre Bind'!$K$12</definedName>
    <definedName name="hxd.cds.pre_bind.answer.q_7">'Pre Bind'!$K$13</definedName>
    <definedName name="hxd.cds.pre_bind.date">'Pre Bind'!$G$18</definedName>
    <definedName name="hxd.cds.pre_bind.uw_signature">'Pre Bind'!$D$16</definedName>
    <definedName name="hxd.cds.programme">Summary!$C$5</definedName>
    <definedName name="hxd.cds.rationale.basis_comments" localSheetId="5">'Post Bind'!#REF!</definedName>
    <definedName name="hxd.cds.rationale.basis_comments" localSheetId="4">'Pre Bind'!#REF!</definedName>
    <definedName name="hxd.cds.rationale.basis_comments">Rationale!$B$21</definedName>
    <definedName name="hxd.cds.rationale.facts_comments" localSheetId="5">'Post Bind'!$B$22</definedName>
    <definedName name="hxd.cds.rationale.facts_comments" localSheetId="4">'Pre Bind'!$B$26</definedName>
    <definedName name="hxd.cds.rationale.facts_comments">Rationale!$B$35</definedName>
    <definedName name="hxd.cds.rationale.knowledge_comments" localSheetId="5">'Post Bind'!$B$4</definedName>
    <definedName name="hxd.cds.rationale.knowledge_comments" localSheetId="4">'Pre Bind'!$B$4</definedName>
    <definedName name="hxd.cds.rationale.knowledge_comments">Rationale!$B$7</definedName>
    <definedName name="hxd.cds.rationale.portfolio_comments" localSheetId="5">'Post Bind'!$B$10</definedName>
    <definedName name="hxd.cds.rationale.portfolio_comments" localSheetId="4">'Pre Bind'!$B$11</definedName>
    <definedName name="hxd.cds.rationale.portfolio_comments">Rationale!$B$14</definedName>
    <definedName name="hxd.cds.rationale.unusual_comments" localSheetId="5">'Post Bind'!$B$15</definedName>
    <definedName name="hxd.cds.rationale.unusual_comments" localSheetId="4">'Pre Bind'!$B$19</definedName>
    <definedName name="hxd.cds.rationale.unusual_comments">Rationale!$B$28</definedName>
    <definedName name="hxd.cds.sanctions_clause">Summary!$G$10</definedName>
    <definedName name="hxd.cds.standard_fields.broker">Summary!$G$7</definedName>
    <definedName name="hxd.cds.standard_fields.expiry_date">Summary!$C$8</definedName>
    <definedName name="hxd.cds.standard_fields.inception_date">Summary!$C$7</definedName>
    <definedName name="hxd.cds.standard_fields.insured_name">'Rate Change'!$B$5</definedName>
    <definedName name="hxd.cds.standard_fields.is_renewal">Summary!$C$10</definedName>
    <definedName name="hxd.cds.standard_fields.underwriter">'Rate Change'!$B$9</definedName>
    <definedName name="hxd.cds.summary.multi_year_summary_ly.epi_estimated_summary_fx">Summary!$G$20</definedName>
    <definedName name="hxd.cds.summary.multi_year_summary_ly.epi_signed_summary_fx">Summary!$H$20</definedName>
    <definedName name="hxd.cds.summary.multi_year_summary_ly.epi_written_summary_fx">Summary!$F$20</definedName>
    <definedName name="hxd.cds.summary.multi_year_summary_ly.line_estimated_summary_fx">Summary!$D$20</definedName>
    <definedName name="hxd.cds.summary.multi_year_summary_ly.line_signed_summary_fx">Summary!$E$20</definedName>
    <definedName name="hxd.cds.summary.multi_year_summary_ly.line_written_summary_fx">Summary!$C$20</definedName>
    <definedName name="hxd.cds.summary.multi_year_summary_ly.mi_250">Summary!$I$20</definedName>
    <definedName name="hxd.cds.summary.multi_year_summary_ly.mi_250_estimate_prem_ratio">Summary!$J$20</definedName>
    <definedName name="hxd.cds.summary.multi_year_summary_ly.mi_250_prem_ratio">Summary!$K$20</definedName>
    <definedName name="hxd.cds.summary.multi_year_summary_ty.epi_estimated_summary_fx">Summary!$G$19</definedName>
    <definedName name="hxd.cds.summary.multi_year_summary_ty.epi_signed_summary_fx">Summary!$H$19</definedName>
    <definedName name="hxd.cds.summary.multi_year_summary_ty.epi_written_summary_fx">Summary!$F$19</definedName>
    <definedName name="hxd.cds.summary.multi_year_summary_ty.line_estimated_summary_fx">Summary!$D$19</definedName>
    <definedName name="hxd.cds.summary.multi_year_summary_ty.line_signed_summary_fx">Summary!$E$19</definedName>
    <definedName name="hxd.cds.summary.multi_year_summary_ty.line_written_summary_fx">Summary!$C$19</definedName>
    <definedName name="hxd.cds.summary.multi_year_summary_ty.mi_250">Summary!$I$19</definedName>
    <definedName name="hxd.cds.summary.multi_year_summary_ty.mi_250_estimate_prem_ratio">Summary!$J$19</definedName>
    <definedName name="hxd.cds.summary.multi_year_summary_ty.mi_250_prem_ratio">Summary!$K$19</definedName>
    <definedName name="hxd.cds.summary.ty.bpi">Summary!$N$60</definedName>
    <definedName name="hxd.cds.summary.ty.epi_adj_rate">Summary!$R$60</definedName>
    <definedName name="hxd.cds.summary.ty.epi_estimated_summary_fx">Summary!$AA$60</definedName>
    <definedName name="hxd.cds.summary.ty.epi_signed_summary_fx">Summary!$AB$60</definedName>
    <definedName name="hxd.cds.summary.ty.epi_written_summary_fx">Summary!$Z$60</definedName>
    <definedName name="hxd.cds.summary.ty.fot_adequacy">Summary!$O$60</definedName>
    <definedName name="hxd.cds.summary.ty.line_estimated_summary_fx">Summary!$W$60</definedName>
    <definedName name="hxd.cds.summary.ty.line_signed_summary_fx">Summary!$Y$60</definedName>
    <definedName name="hxd.cds.summary.ty.line_written_summary_fx">Summary!$U$60</definedName>
    <definedName name="hxd.cds.summary.ty.mi_10">Summary!$AE$60</definedName>
    <definedName name="hxd.cds.summary.ty.mi_10_prem_ratio">Summary!$AF$60</definedName>
    <definedName name="hxd.cds.summary.ty.mi_250">Summary!$AC$60</definedName>
    <definedName name="hxd.cds.summary.ty.mi_250_prem_ratio">Summary!$AD$60</definedName>
    <definedName name="hxd.cds.summary.ty.prem_full_line">Summary!$S$60</definedName>
    <definedName name="hxd.cds.summary.ty.risk_adjusted_rate_change">Summary!$M$60</definedName>
    <definedName name="hxd.cds.summary.ty.rms_adequacy">Summary!$P$60</definedName>
    <definedName name="hxd.cds.summary.ty.ulr">Summary!$Q$60</definedName>
    <definedName name="hxd.cds.summary_comments">Summary!$R$10</definedName>
    <definedName name="hxd.cds.summary_fx_conversion">Summary!$S$5</definedName>
    <definedName name="hxd.cds.summary_uwa_exposure">Summary!$S$6</definedName>
    <definedName name="hxd.cds.summary_uwa_premium">Summary!$S$7</definedName>
    <definedName name="hxd.cds.territorial_focus_group">Summary!$C$6</definedName>
    <definedName name="hxd.cds.terrorism_code">'Rate Change'!$K$11</definedName>
    <definedName name="hxd.cds.uwa_limit_label">Summary!$R$6</definedName>
    <definedName name="hxd.cds.uwa_premium_label">Summary!$R$7</definedName>
    <definedName name="IQ_ADDIN" hidden="1">"AUTO"</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"01/01/0001 00:00:00"</definedName>
    <definedName name="IQ_QTD" hidden="1">750000</definedName>
    <definedName name="IQ_TODAY" hidden="1">0</definedName>
    <definedName name="IQ_YTDMONTH" hidden="1">130000</definedName>
    <definedName name="o" hidden="1">"Sheet: RetGraphDataWA (2)"</definedName>
    <definedName name="Pal_Workbook_GUID" localSheetId="1" hidden="1">"PX4VZTVJ8UKE3CG9C75TQTF3"</definedName>
    <definedName name="Pal_Workbook_GUID" hidden="1">"WRLX4RIM5138YTAHDIGW12VL"</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localSheetId="1" hidden="1">1533174143</definedName>
    <definedName name="RiskFixedSeed" hidden="1">1</definedName>
    <definedName name="RiskHasSettings" localSheetId="1" hidden="1">6</definedName>
    <definedName name="RiskHasSettings" hidden="1">5</definedName>
    <definedName name="RiskMinimizeOnStart" hidden="1">FALSE</definedName>
    <definedName name="RiskMonitorConvergence" hidden="1">FALSE</definedName>
    <definedName name="RiskMultipleCPUSupportEnabled" localSheetId="1" hidden="1">FALSE</definedName>
    <definedName name="RiskMultipleCPUSupportEnabled" hidden="1">TRUE</definedName>
    <definedName name="RiskNumIterations" localSheetId="1" hidden="1">10000</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localSheetId="1" hidden="1">TRUE</definedName>
    <definedName name="RiskUseFixedSeed" hidden="1">FALSE</definedName>
    <definedName name="RiskUseMultipleCPUs" hidden="1">FALSE</definedName>
    <definedName name="SettingsCbxFields" hidden="1">"Business Area"</definedName>
    <definedName name="SettingsCbxMonth" hidden="1">"February"</definedName>
    <definedName name="SettingsCbxYear" hidden="1">2001</definedName>
    <definedName name="SettingsChkDrill" hidden="1">TRUE</definedName>
    <definedName name="SettingsChkDrillConsolidate" hidden="1">TRUE</definedName>
    <definedName name="SettingsChkEssbase" hidden="1">TRUE</definedName>
    <definedName name="SettingsChkExtract" hidden="1">TRUE</definedName>
    <definedName name="SettingsChkPivot" hidden="1">TRUE</definedName>
    <definedName name="SettingsChkRefresh" hidden="1">TRUE</definedName>
    <definedName name="SettingsChkSave" hidden="1">TRUE</definedName>
    <definedName name="SettingsChkSaveToFile" hidden="1">TRUE</definedName>
    <definedName name="SettingsOptReports" hidden="1">TRUE</definedName>
    <definedName name="SettingsTxtCSVLoc" hidden="1">"X:\manrep\MGRACC\2001\Monthly Cost Downloads\Expenses11.csv"</definedName>
    <definedName name="SettingsTxtDataLoc" hidden="1">"X:\manrep\MGRACC\Cost Reports\Cost Reports Data.mdb"</definedName>
    <definedName name="SettingsTxtDrillClearIndicator" hidden="1">"Clear"</definedName>
    <definedName name="SettingsTxtDrillConsolidate" hidden="1">"Special"</definedName>
    <definedName name="SettingsTxtEsbIndicator" hidden="1">"EsbQry"</definedName>
    <definedName name="SettingsTxtFileName" hidden="1">"Cost Reports Mar 2002 "</definedName>
    <definedName name="SettingsTxtImportDataLoc" hidden="1">"X:\manrep\MGRACC\2002\Monthly Cost Downloads\Exp03.dbf"</definedName>
    <definedName name="SettingsTxtOutDest" hidden="1">"X:\manrep\MGRACC\Cost Reports"</definedName>
    <definedName name="SettingsTxtSheetsIndicator" hidden="1">"Rpt"</definedName>
    <definedName name="SettingsTxtShtIndicator" hidden="1">"Rpt"</definedName>
    <definedName name="SheetID" hidden="1">"ITG123RO200303R"</definedName>
    <definedName name="wrn.effinf1." localSheetId="6" hidden="1">{"effinf1",#N/A,FALSE,"Forecasts"}</definedName>
    <definedName name="wrn.effinf1." localSheetId="1" hidden="1">{"effinf1",#N/A,FALSE,"Forecasts"}</definedName>
    <definedName name="wrn.effinf1." hidden="1">{"effinf1",#N/A,FALSE,"Forecasts"}</definedName>
    <definedName name="wrn.effinf2." localSheetId="6" hidden="1">{"effinf2",#N/A,FALSE,"Forecasts"}</definedName>
    <definedName name="wrn.effinf2." localSheetId="1" hidden="1">{"effinf2",#N/A,FALSE,"Forecasts"}</definedName>
    <definedName name="wrn.effinf2." hidden="1">{"effinf2",#N/A,FALSE,"Forecasts"}</definedName>
    <definedName name="wrn.effinf3." localSheetId="6" hidden="1">{"effinf3",#N/A,FALSE,"Forecasts"}</definedName>
    <definedName name="wrn.effinf3." localSheetId="1" hidden="1">{"effinf3",#N/A,FALSE,"Forecasts"}</definedName>
    <definedName name="wrn.effinf3." hidden="1">{"effinf3",#N/A,FALSE,"Forecasts"}</definedName>
    <definedName name="wrn.exposure." localSheetId="6" hidden="1">{"exposure",#N/A,FALSE,"Exposure"}</definedName>
    <definedName name="wrn.exposure." localSheetId="1" hidden="1">{"exposure",#N/A,FALSE,"Exposure"}</definedName>
    <definedName name="wrn.exposure." hidden="1">{"exposure",#N/A,FALSE,"Exposure"}</definedName>
    <definedName name="wrn.fore1." localSheetId="6" hidden="1">{"fore1",#N/A,FALSE,"Forecasts"}</definedName>
    <definedName name="wrn.fore1." localSheetId="1" hidden="1">{"fore1",#N/A,FALSE,"Forecasts"}</definedName>
    <definedName name="wrn.fore1." hidden="1">{"fore1",#N/A,FALSE,"Forecasts"}</definedName>
    <definedName name="wrn.fore2." localSheetId="6" hidden="1">{"fore2",#N/A,FALSE,"Forecasts"}</definedName>
    <definedName name="wrn.fore2." localSheetId="1" hidden="1">{"fore2",#N/A,FALSE,"Forecasts"}</definedName>
    <definedName name="wrn.fore2." hidden="1">{"fore2",#N/A,FALSE,"Forecasts"}</definedName>
    <definedName name="wrn.fore3." localSheetId="6" hidden="1">{"fore3",#N/A,FALSE,"Forecasts"}</definedName>
    <definedName name="wrn.fore3." localSheetId="1" hidden="1">{"fore3",#N/A,FALSE,"Forecasts"}</definedName>
    <definedName name="wrn.fore3." hidden="1">{"fore3",#N/A,FALSE,"Forecasts"}</definedName>
    <definedName name="wrn.forebf." localSheetId="6" hidden="1">{"forebf",#N/A,FALSE,"Forecasts"}</definedName>
    <definedName name="wrn.forebf." localSheetId="1" hidden="1">{"forebf",#N/A,FALSE,"Forecasts"}</definedName>
    <definedName name="wrn.forebf." hidden="1">{"forebf",#N/A,FALSE,"Forecasts"}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7" l="1"/>
  <c r="C2" i="9"/>
  <c r="C1" i="9"/>
  <c r="C1" i="8"/>
  <c r="C2" i="8"/>
  <c r="N59" i="7"/>
  <c r="N58" i="7"/>
  <c r="N57" i="7"/>
  <c r="N56" i="7"/>
  <c r="N55" i="7"/>
  <c r="N54" i="7"/>
  <c r="N53" i="7"/>
  <c r="N52" i="7"/>
  <c r="Q59" i="7"/>
  <c r="Q58" i="7"/>
  <c r="Q57" i="7"/>
  <c r="Q56" i="7"/>
  <c r="Q55" i="7"/>
  <c r="Q54" i="7"/>
  <c r="Q53" i="7"/>
  <c r="Q52" i="7"/>
  <c r="M59" i="7"/>
  <c r="M58" i="7"/>
  <c r="M57" i="7"/>
  <c r="M56" i="7"/>
  <c r="M55" i="7"/>
  <c r="M54" i="7"/>
  <c r="M53" i="7"/>
  <c r="M52" i="7"/>
  <c r="I59" i="7" l="1"/>
  <c r="I58" i="7"/>
  <c r="I32" i="7" s="1"/>
  <c r="I57" i="7"/>
  <c r="I44" i="7" s="1"/>
  <c r="I56" i="7"/>
  <c r="I43" i="7" s="1"/>
  <c r="I55" i="7"/>
  <c r="I29" i="7" s="1"/>
  <c r="I54" i="7"/>
  <c r="I41" i="7" s="1"/>
  <c r="I53" i="7"/>
  <c r="I40" i="7" s="1"/>
  <c r="I52" i="7"/>
  <c r="E59" i="7"/>
  <c r="E46" i="7" s="1"/>
  <c r="E58" i="7"/>
  <c r="E32" i="7" s="1"/>
  <c r="E57" i="7"/>
  <c r="E44" i="7" s="1"/>
  <c r="E56" i="7"/>
  <c r="E43" i="7" s="1"/>
  <c r="E55" i="7"/>
  <c r="E42" i="7" s="1"/>
  <c r="E54" i="7"/>
  <c r="E28" i="7" s="1"/>
  <c r="E53" i="7"/>
  <c r="E27" i="7" s="1"/>
  <c r="E52" i="7"/>
  <c r="E39" i="7" s="1"/>
  <c r="AB51" i="7"/>
  <c r="AA51" i="7"/>
  <c r="Z51" i="7"/>
  <c r="Y51" i="7"/>
  <c r="W51" i="7"/>
  <c r="U51" i="7"/>
  <c r="C59" i="7"/>
  <c r="C58" i="7"/>
  <c r="C57" i="7"/>
  <c r="C56" i="7"/>
  <c r="C55" i="7"/>
  <c r="C54" i="7"/>
  <c r="C53" i="7"/>
  <c r="C52" i="7"/>
  <c r="AF46" i="7"/>
  <c r="AE46" i="7"/>
  <c r="AD46" i="7"/>
  <c r="AC46" i="7"/>
  <c r="AB46" i="7"/>
  <c r="AA46" i="7"/>
  <c r="Z46" i="7"/>
  <c r="Y46" i="7"/>
  <c r="X46" i="7"/>
  <c r="W46" i="7"/>
  <c r="V46" i="7"/>
  <c r="U46" i="7"/>
  <c r="T46" i="7"/>
  <c r="S46" i="7"/>
  <c r="R46" i="7"/>
  <c r="Q46" i="7"/>
  <c r="O46" i="7"/>
  <c r="N46" i="7"/>
  <c r="K46" i="7"/>
  <c r="J46" i="7"/>
  <c r="I46" i="7"/>
  <c r="H46" i="7"/>
  <c r="G46" i="7"/>
  <c r="F46" i="7"/>
  <c r="D46" i="7"/>
  <c r="AF45" i="7"/>
  <c r="AE45" i="7"/>
  <c r="AD45" i="7"/>
  <c r="AC45" i="7"/>
  <c r="AB45" i="7"/>
  <c r="AA45" i="7"/>
  <c r="Z45" i="7"/>
  <c r="Y45" i="7"/>
  <c r="X45" i="7"/>
  <c r="W45" i="7"/>
  <c r="V45" i="7"/>
  <c r="U45" i="7"/>
  <c r="T45" i="7"/>
  <c r="S45" i="7"/>
  <c r="R45" i="7"/>
  <c r="Q45" i="7"/>
  <c r="O45" i="7"/>
  <c r="N45" i="7"/>
  <c r="K45" i="7"/>
  <c r="J45" i="7"/>
  <c r="H45" i="7"/>
  <c r="G45" i="7"/>
  <c r="F45" i="7"/>
  <c r="D45" i="7"/>
  <c r="AF44" i="7"/>
  <c r="AE44" i="7"/>
  <c r="AD44" i="7"/>
  <c r="AC44" i="7"/>
  <c r="AB44" i="7"/>
  <c r="AA44" i="7"/>
  <c r="Z44" i="7"/>
  <c r="Y44" i="7"/>
  <c r="X44" i="7"/>
  <c r="W44" i="7"/>
  <c r="V44" i="7"/>
  <c r="U44" i="7"/>
  <c r="T44" i="7"/>
  <c r="S44" i="7"/>
  <c r="R44" i="7"/>
  <c r="Q44" i="7"/>
  <c r="O44" i="7"/>
  <c r="N44" i="7"/>
  <c r="K44" i="7"/>
  <c r="J44" i="7"/>
  <c r="H44" i="7"/>
  <c r="G44" i="7"/>
  <c r="F44" i="7"/>
  <c r="D44" i="7"/>
  <c r="AF43" i="7"/>
  <c r="AE43" i="7"/>
  <c r="AD43" i="7"/>
  <c r="AC43" i="7"/>
  <c r="AB43" i="7"/>
  <c r="AA43" i="7"/>
  <c r="Z43" i="7"/>
  <c r="Y43" i="7"/>
  <c r="X43" i="7"/>
  <c r="W43" i="7"/>
  <c r="V43" i="7"/>
  <c r="U43" i="7"/>
  <c r="T43" i="7"/>
  <c r="S43" i="7"/>
  <c r="R43" i="7"/>
  <c r="Q43" i="7"/>
  <c r="O43" i="7"/>
  <c r="N43" i="7"/>
  <c r="K43" i="7"/>
  <c r="J43" i="7"/>
  <c r="H43" i="7"/>
  <c r="G43" i="7"/>
  <c r="F43" i="7"/>
  <c r="D43" i="7"/>
  <c r="AF42" i="7"/>
  <c r="AE42" i="7"/>
  <c r="AD42" i="7"/>
  <c r="AC42" i="7"/>
  <c r="AB42" i="7"/>
  <c r="AA42" i="7"/>
  <c r="Z42" i="7"/>
  <c r="Y42" i="7"/>
  <c r="X42" i="7"/>
  <c r="W42" i="7"/>
  <c r="V42" i="7"/>
  <c r="U42" i="7"/>
  <c r="T42" i="7"/>
  <c r="S42" i="7"/>
  <c r="R42" i="7"/>
  <c r="Q42" i="7"/>
  <c r="O42" i="7"/>
  <c r="N42" i="7"/>
  <c r="K42" i="7"/>
  <c r="J42" i="7"/>
  <c r="H42" i="7"/>
  <c r="G42" i="7"/>
  <c r="F42" i="7"/>
  <c r="D42" i="7"/>
  <c r="AF41" i="7"/>
  <c r="AE41" i="7"/>
  <c r="AD41" i="7"/>
  <c r="AC41" i="7"/>
  <c r="AB41" i="7"/>
  <c r="AA41" i="7"/>
  <c r="Z41" i="7"/>
  <c r="Y41" i="7"/>
  <c r="X41" i="7"/>
  <c r="W41" i="7"/>
  <c r="V41" i="7"/>
  <c r="U41" i="7"/>
  <c r="T41" i="7"/>
  <c r="S41" i="7"/>
  <c r="R41" i="7"/>
  <c r="Q41" i="7"/>
  <c r="O41" i="7"/>
  <c r="N41" i="7"/>
  <c r="K41" i="7"/>
  <c r="J41" i="7"/>
  <c r="H41" i="7"/>
  <c r="G41" i="7"/>
  <c r="F41" i="7"/>
  <c r="D41" i="7"/>
  <c r="AF40" i="7"/>
  <c r="AE40" i="7"/>
  <c r="AD40" i="7"/>
  <c r="AC40" i="7"/>
  <c r="AB40" i="7"/>
  <c r="AA40" i="7"/>
  <c r="Z40" i="7"/>
  <c r="Y40" i="7"/>
  <c r="X40" i="7"/>
  <c r="W40" i="7"/>
  <c r="V40" i="7"/>
  <c r="U40" i="7"/>
  <c r="T40" i="7"/>
  <c r="S40" i="7"/>
  <c r="R40" i="7"/>
  <c r="Q40" i="7"/>
  <c r="O40" i="7"/>
  <c r="N40" i="7"/>
  <c r="K40" i="7"/>
  <c r="J40" i="7"/>
  <c r="H40" i="7"/>
  <c r="G40" i="7"/>
  <c r="F40" i="7"/>
  <c r="D40" i="7"/>
  <c r="AF39" i="7"/>
  <c r="AE39" i="7"/>
  <c r="AD39" i="7"/>
  <c r="AC39" i="7"/>
  <c r="AB39" i="7"/>
  <c r="AA39" i="7"/>
  <c r="Z39" i="7"/>
  <c r="Y39" i="7"/>
  <c r="X39" i="7"/>
  <c r="W39" i="7"/>
  <c r="V39" i="7"/>
  <c r="U39" i="7"/>
  <c r="T39" i="7"/>
  <c r="S39" i="7"/>
  <c r="R39" i="7"/>
  <c r="Q39" i="7"/>
  <c r="O39" i="7"/>
  <c r="N39" i="7"/>
  <c r="K39" i="7"/>
  <c r="J39" i="7"/>
  <c r="I39" i="7"/>
  <c r="H39" i="7"/>
  <c r="G39" i="7"/>
  <c r="F39" i="7"/>
  <c r="D39" i="7"/>
  <c r="AF33" i="7"/>
  <c r="AE33" i="7"/>
  <c r="AD33" i="7"/>
  <c r="AC33" i="7"/>
  <c r="AB33" i="7"/>
  <c r="AA33" i="7"/>
  <c r="Z33" i="7"/>
  <c r="Y33" i="7"/>
  <c r="X33" i="7"/>
  <c r="W33" i="7"/>
  <c r="V33" i="7"/>
  <c r="U33" i="7"/>
  <c r="T33" i="7"/>
  <c r="S33" i="7"/>
  <c r="R33" i="7"/>
  <c r="Q33" i="7"/>
  <c r="O33" i="7"/>
  <c r="N33" i="7"/>
  <c r="K33" i="7"/>
  <c r="J33" i="7"/>
  <c r="I33" i="7"/>
  <c r="H33" i="7"/>
  <c r="G33" i="7"/>
  <c r="F33" i="7"/>
  <c r="D33" i="7"/>
  <c r="AF32" i="7"/>
  <c r="AE32" i="7"/>
  <c r="AD32" i="7"/>
  <c r="AC32" i="7"/>
  <c r="AB32" i="7"/>
  <c r="AA32" i="7"/>
  <c r="Z32" i="7"/>
  <c r="Y32" i="7"/>
  <c r="X32" i="7"/>
  <c r="W32" i="7"/>
  <c r="V32" i="7"/>
  <c r="U32" i="7"/>
  <c r="T32" i="7"/>
  <c r="S32" i="7"/>
  <c r="R32" i="7"/>
  <c r="Q32" i="7"/>
  <c r="O32" i="7"/>
  <c r="N32" i="7"/>
  <c r="K32" i="7"/>
  <c r="J32" i="7"/>
  <c r="H32" i="7"/>
  <c r="G32" i="7"/>
  <c r="F32" i="7"/>
  <c r="D32" i="7"/>
  <c r="AF31" i="7"/>
  <c r="AE31" i="7"/>
  <c r="AD31" i="7"/>
  <c r="AC31" i="7"/>
  <c r="AB31" i="7"/>
  <c r="AA31" i="7"/>
  <c r="Z31" i="7"/>
  <c r="Y31" i="7"/>
  <c r="X31" i="7"/>
  <c r="W31" i="7"/>
  <c r="V31" i="7"/>
  <c r="U31" i="7"/>
  <c r="T31" i="7"/>
  <c r="S31" i="7"/>
  <c r="R31" i="7"/>
  <c r="Q31" i="7"/>
  <c r="O31" i="7"/>
  <c r="N31" i="7"/>
  <c r="K31" i="7"/>
  <c r="J31" i="7"/>
  <c r="I31" i="7"/>
  <c r="H31" i="7"/>
  <c r="G31" i="7"/>
  <c r="F31" i="7"/>
  <c r="D31" i="7"/>
  <c r="AF30" i="7"/>
  <c r="AE30" i="7"/>
  <c r="AD30" i="7"/>
  <c r="AC30" i="7"/>
  <c r="AB30" i="7"/>
  <c r="AA30" i="7"/>
  <c r="Z30" i="7"/>
  <c r="Y30" i="7"/>
  <c r="X30" i="7"/>
  <c r="W30" i="7"/>
  <c r="V30" i="7"/>
  <c r="U30" i="7"/>
  <c r="T30" i="7"/>
  <c r="S30" i="7"/>
  <c r="R30" i="7"/>
  <c r="Q30" i="7"/>
  <c r="O30" i="7"/>
  <c r="N30" i="7"/>
  <c r="K30" i="7"/>
  <c r="J30" i="7"/>
  <c r="H30" i="7"/>
  <c r="G30" i="7"/>
  <c r="F30" i="7"/>
  <c r="D30" i="7"/>
  <c r="AF29" i="7"/>
  <c r="AE29" i="7"/>
  <c r="AD29" i="7"/>
  <c r="AC29" i="7"/>
  <c r="AB29" i="7"/>
  <c r="AA29" i="7"/>
  <c r="Z29" i="7"/>
  <c r="Y29" i="7"/>
  <c r="X29" i="7"/>
  <c r="W29" i="7"/>
  <c r="V29" i="7"/>
  <c r="U29" i="7"/>
  <c r="T29" i="7"/>
  <c r="S29" i="7"/>
  <c r="R29" i="7"/>
  <c r="Q29" i="7"/>
  <c r="O29" i="7"/>
  <c r="N29" i="7"/>
  <c r="K29" i="7"/>
  <c r="J29" i="7"/>
  <c r="H29" i="7"/>
  <c r="G29" i="7"/>
  <c r="F29" i="7"/>
  <c r="D29" i="7"/>
  <c r="AF28" i="7"/>
  <c r="AE28" i="7"/>
  <c r="AD28" i="7"/>
  <c r="AC28" i="7"/>
  <c r="AB28" i="7"/>
  <c r="AA28" i="7"/>
  <c r="Z28" i="7"/>
  <c r="Y28" i="7"/>
  <c r="X28" i="7"/>
  <c r="W28" i="7"/>
  <c r="V28" i="7"/>
  <c r="U28" i="7"/>
  <c r="T28" i="7"/>
  <c r="S28" i="7"/>
  <c r="R28" i="7"/>
  <c r="Q28" i="7"/>
  <c r="O28" i="7"/>
  <c r="N28" i="7"/>
  <c r="K28" i="7"/>
  <c r="J28" i="7"/>
  <c r="H28" i="7"/>
  <c r="G28" i="7"/>
  <c r="F28" i="7"/>
  <c r="D28" i="7"/>
  <c r="AF27" i="7"/>
  <c r="AE27" i="7"/>
  <c r="AD27" i="7"/>
  <c r="AC27" i="7"/>
  <c r="AB27" i="7"/>
  <c r="AA27" i="7"/>
  <c r="Z27" i="7"/>
  <c r="Y27" i="7"/>
  <c r="X27" i="7"/>
  <c r="W27" i="7"/>
  <c r="V27" i="7"/>
  <c r="U27" i="7"/>
  <c r="T27" i="7"/>
  <c r="S27" i="7"/>
  <c r="R27" i="7"/>
  <c r="Q27" i="7"/>
  <c r="O27" i="7"/>
  <c r="N27" i="7"/>
  <c r="K27" i="7"/>
  <c r="J27" i="7"/>
  <c r="H27" i="7"/>
  <c r="G27" i="7"/>
  <c r="F27" i="7"/>
  <c r="D27" i="7"/>
  <c r="AF26" i="7"/>
  <c r="AE26" i="7"/>
  <c r="AD26" i="7"/>
  <c r="AC26" i="7"/>
  <c r="AB26" i="7"/>
  <c r="AA26" i="7"/>
  <c r="Z26" i="7"/>
  <c r="Y26" i="7"/>
  <c r="X26" i="7"/>
  <c r="W26" i="7"/>
  <c r="V26" i="7"/>
  <c r="U26" i="7"/>
  <c r="T26" i="7"/>
  <c r="S26" i="7"/>
  <c r="R26" i="7"/>
  <c r="Q26" i="7"/>
  <c r="O26" i="7"/>
  <c r="N26" i="7"/>
  <c r="K26" i="7"/>
  <c r="J26" i="7"/>
  <c r="I26" i="7"/>
  <c r="H26" i="7"/>
  <c r="G26" i="7"/>
  <c r="F26" i="7"/>
  <c r="E26" i="7"/>
  <c r="D26" i="7"/>
  <c r="G14" i="7"/>
  <c r="G13" i="7"/>
  <c r="G8" i="7"/>
  <c r="G6" i="7"/>
  <c r="C4" i="7"/>
  <c r="E45" i="7" l="1"/>
  <c r="E31" i="7"/>
  <c r="E30" i="7"/>
  <c r="I28" i="7"/>
  <c r="I45" i="7"/>
  <c r="I30" i="7"/>
  <c r="I42" i="7"/>
  <c r="I27" i="7"/>
  <c r="E33" i="7"/>
  <c r="E29" i="7"/>
  <c r="E41" i="7"/>
  <c r="E40" i="7"/>
  <c r="X7" i="6"/>
  <c r="U7" i="6"/>
  <c r="R7" i="6"/>
  <c r="O7" i="6"/>
  <c r="L7" i="6"/>
  <c r="I7" i="6"/>
  <c r="F7" i="6"/>
  <c r="C7" i="6"/>
  <c r="C4" i="6"/>
  <c r="D4" i="4"/>
  <c r="CX62" i="6"/>
  <c r="CU62" i="6"/>
  <c r="CR62" i="6"/>
  <c r="CO62" i="6"/>
  <c r="CL62" i="6"/>
  <c r="CI62" i="6"/>
  <c r="CF62" i="6"/>
  <c r="CC62" i="6"/>
  <c r="CX61" i="6"/>
  <c r="CU61" i="6"/>
  <c r="CR61" i="6"/>
  <c r="CO61" i="6"/>
  <c r="CL61" i="6"/>
  <c r="CI61" i="6"/>
  <c r="CF61" i="6"/>
  <c r="CC61" i="6"/>
  <c r="CX60" i="6"/>
  <c r="CU60" i="6"/>
  <c r="CR60" i="6"/>
  <c r="CO60" i="6"/>
  <c r="CL60" i="6"/>
  <c r="CI60" i="6"/>
  <c r="CF60" i="6"/>
  <c r="CC60" i="6"/>
  <c r="CX59" i="6"/>
  <c r="CU59" i="6"/>
  <c r="CR59" i="6"/>
  <c r="CO59" i="6"/>
  <c r="CL59" i="6"/>
  <c r="CI59" i="6"/>
  <c r="CF59" i="6"/>
  <c r="CC59" i="6"/>
  <c r="CC9" i="6"/>
  <c r="CA62" i="6" s="1"/>
  <c r="BC9" i="6"/>
  <c r="CA61" i="6" s="1"/>
  <c r="AC9" i="6"/>
  <c r="CA60" i="6" s="1"/>
  <c r="C9" i="6"/>
  <c r="CA59" i="6" s="1"/>
  <c r="CX63" i="6" l="1"/>
  <c r="CO63" i="6"/>
  <c r="CL63" i="6"/>
  <c r="CF63" i="6"/>
  <c r="CU63" i="6"/>
  <c r="CI63" i="6"/>
  <c r="CR63" i="6"/>
  <c r="CC63" i="6"/>
  <c r="AU21" i="3"/>
  <c r="AO21" i="3"/>
  <c r="AI21" i="3"/>
  <c r="AC21" i="3"/>
  <c r="W21" i="3"/>
  <c r="Q21" i="3"/>
  <c r="K21" i="3"/>
  <c r="V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Mark Vaughan</author>
  </authors>
  <commentList>
    <comment ref="A11" authorId="0" shapeId="0" xr:uid="{C0CBF75C-469C-4A08-B696-37F9A0E61246}">
      <text>
        <r>
          <rPr>
            <b/>
            <sz val="9"/>
            <color indexed="81"/>
            <rFont val="Tahoma"/>
            <family val="2"/>
          </rPr>
          <t>Mark Vaughan:</t>
        </r>
        <r>
          <rPr>
            <sz val="9"/>
            <color indexed="81"/>
            <rFont val="Tahoma"/>
            <family val="2"/>
          </rPr>
          <t xml:space="preserve">
write in here:
e.g. " Agreed MDV"</t>
        </r>
      </text>
    </comment>
  </commentList>
</comments>
</file>

<file path=xl/sharedStrings.xml><?xml version="1.0" encoding="utf-8"?>
<sst xmlns="http://schemas.openxmlformats.org/spreadsheetml/2006/main" count="845" uniqueCount="548">
  <si>
    <t>Treaty Model - Modelling</t>
  </si>
  <si>
    <t>Comments</t>
  </si>
  <si>
    <t>Cedant RDS Gross Loss</t>
  </si>
  <si>
    <t>Carolinas WS</t>
  </si>
  <si>
    <t>Miami-Dade WS</t>
  </si>
  <si>
    <t>Gulf WS</t>
  </si>
  <si>
    <t>NE WS</t>
  </si>
  <si>
    <t>FL Pinnelas WS</t>
  </si>
  <si>
    <t>LA EQ</t>
  </si>
  <si>
    <t>NM EQ</t>
  </si>
  <si>
    <t>NM Stress EQ</t>
  </si>
  <si>
    <t>SF EQ</t>
  </si>
  <si>
    <t>Current Year (NA)</t>
  </si>
  <si>
    <t>Previous Year (NA)</t>
  </si>
  <si>
    <t>YOY growth</t>
  </si>
  <si>
    <t>Current Year (2025)</t>
  </si>
  <si>
    <t>RMS Value + NMP</t>
  </si>
  <si>
    <t>Unadjusted RMS Values</t>
  </si>
  <si>
    <t>IVOR</t>
  </si>
  <si>
    <t>Excludes NMP</t>
  </si>
  <si>
    <t>AIR Values</t>
  </si>
  <si>
    <t>Non model Perils</t>
  </si>
  <si>
    <t>AIR Values + NMP</t>
  </si>
  <si>
    <t>RMS Regional Entries</t>
  </si>
  <si>
    <t>Treaty US marginal portfolio impact</t>
  </si>
  <si>
    <t>Group US marginal portfolio impact</t>
  </si>
  <si>
    <t>Treaty Intl marginal portfolio impact</t>
  </si>
  <si>
    <t>USA01</t>
  </si>
  <si>
    <t>USA02</t>
  </si>
  <si>
    <t>USA03</t>
  </si>
  <si>
    <t>USA04</t>
  </si>
  <si>
    <t>USA05</t>
  </si>
  <si>
    <t>USA06</t>
  </si>
  <si>
    <t>USA07</t>
  </si>
  <si>
    <t>USA08</t>
  </si>
  <si>
    <t>USA09</t>
  </si>
  <si>
    <t>USA10</t>
  </si>
  <si>
    <t>USA11</t>
  </si>
  <si>
    <t>USA12</t>
  </si>
  <si>
    <t>USA15</t>
  </si>
  <si>
    <t>USA16</t>
  </si>
  <si>
    <t>USA13</t>
  </si>
  <si>
    <t>USA14</t>
  </si>
  <si>
    <t>USA20</t>
  </si>
  <si>
    <t>USA21</t>
  </si>
  <si>
    <t>Total EL</t>
  </si>
  <si>
    <t>Total SD</t>
  </si>
  <si>
    <t>Gross EL</t>
  </si>
  <si>
    <t>Gross SD</t>
  </si>
  <si>
    <t>EL</t>
  </si>
  <si>
    <t>SD</t>
  </si>
  <si>
    <t>EL - Values</t>
  </si>
  <si>
    <t>SD - Values</t>
  </si>
  <si>
    <t>Description</t>
  </si>
  <si>
    <t>NE</t>
  </si>
  <si>
    <t>MID ATLANTIC</t>
  </si>
  <si>
    <t>CARS</t>
  </si>
  <si>
    <t>FL SE</t>
  </si>
  <si>
    <t>FL NON SE</t>
  </si>
  <si>
    <t>AL + MISS</t>
  </si>
  <si>
    <t>LOUISIANA</t>
  </si>
  <si>
    <t>TX EAST</t>
  </si>
  <si>
    <t>TX WEST</t>
  </si>
  <si>
    <t>CAL SOUTH</t>
  </si>
  <si>
    <t>CAL NORTH</t>
  </si>
  <si>
    <t>PNW</t>
  </si>
  <si>
    <t>NM</t>
  </si>
  <si>
    <t>HAWAII + ALASKA</t>
  </si>
  <si>
    <t>MID WEST 1</t>
  </si>
  <si>
    <t>MID WEST 2</t>
  </si>
  <si>
    <t>2ND EVENT COVER</t>
  </si>
  <si>
    <t>CA WILDFIRE</t>
  </si>
  <si>
    <t>1 in 250</t>
  </si>
  <si>
    <t>1 in 10</t>
  </si>
  <si>
    <t>Total</t>
  </si>
  <si>
    <t>Brokerage</t>
  </si>
  <si>
    <t>Choose currency to view policy financials</t>
  </si>
  <si>
    <t>Adj Base</t>
  </si>
  <si>
    <t>Underwriter</t>
  </si>
  <si>
    <t>Broker</t>
  </si>
  <si>
    <t>Broker Contact</t>
  </si>
  <si>
    <t>Hours Clause</t>
  </si>
  <si>
    <t>Sanctions Clause:</t>
  </si>
  <si>
    <t>US</t>
  </si>
  <si>
    <t>Terrorism Code:</t>
  </si>
  <si>
    <t>Cyber Clause:</t>
  </si>
  <si>
    <t>Com Disease:</t>
  </si>
  <si>
    <t>ULR</t>
  </si>
  <si>
    <t>Multi-year Summary</t>
  </si>
  <si>
    <t xml:space="preserve">Written Line Exsposure </t>
  </si>
  <si>
    <t xml:space="preserve">Estimated Signed line Exsposure </t>
  </si>
  <si>
    <t xml:space="preserve">Signed Line Exsposure </t>
  </si>
  <si>
    <t xml:space="preserve">Written Line Premium </t>
  </si>
  <si>
    <t>Estimated Signed line Premium</t>
  </si>
  <si>
    <t xml:space="preserve">Signed Line Premium </t>
  </si>
  <si>
    <t xml:space="preserve">1 in 250 </t>
  </si>
  <si>
    <t>PML / 
Estimate Prem</t>
  </si>
  <si>
    <t>PML / 
Signed Prem</t>
  </si>
  <si>
    <t>Policy Financials</t>
  </si>
  <si>
    <t>Policy Ref</t>
  </si>
  <si>
    <t>Leader</t>
  </si>
  <si>
    <t>Quoted ROL</t>
  </si>
  <si>
    <t xml:space="preserve"> FOT ROL</t>
  </si>
  <si>
    <t>AFB Tech ROL</t>
  </si>
  <si>
    <t>Reinstatements</t>
  </si>
  <si>
    <t>ROE</t>
  </si>
  <si>
    <t>Rate Change</t>
  </si>
  <si>
    <t>BPI %</t>
  </si>
  <si>
    <t>AFB Tech adequacy</t>
  </si>
  <si>
    <t>EPI ADJ. RATE</t>
  </si>
  <si>
    <t>Premium</t>
  </si>
  <si>
    <t>Written Line %</t>
  </si>
  <si>
    <t>Written Line USD</t>
  </si>
  <si>
    <t>Estmated Signing %</t>
  </si>
  <si>
    <t xml:space="preserve"> Estimated Line USD</t>
  </si>
  <si>
    <t>Signed Line %</t>
  </si>
  <si>
    <t>Signed Line USD</t>
  </si>
  <si>
    <t>Written EPI USD</t>
  </si>
  <si>
    <t>Estimated EPI USD</t>
  </si>
  <si>
    <t>Signed EPI USD</t>
  </si>
  <si>
    <t>1 in 250yr</t>
  </si>
  <si>
    <t>1 in 250 / Premium</t>
  </si>
  <si>
    <t>1 in 10yr</t>
  </si>
  <si>
    <t>1 in 10 / Premium</t>
  </si>
  <si>
    <t>Multi-year Period</t>
  </si>
  <si>
    <t>RMS Adequacy</t>
  </si>
  <si>
    <t>Current Year</t>
  </si>
  <si>
    <t>Previous Year</t>
  </si>
  <si>
    <t>Louisiana</t>
  </si>
  <si>
    <t>Rate change</t>
  </si>
  <si>
    <t>Please fill in COLOURED boxes</t>
  </si>
  <si>
    <t>Account Name:</t>
  </si>
  <si>
    <t>Core Account:</t>
  </si>
  <si>
    <t>Date:</t>
  </si>
  <si>
    <t>Broker contact:</t>
  </si>
  <si>
    <t>Cyber Code:</t>
  </si>
  <si>
    <t>Underwriter:</t>
  </si>
  <si>
    <t>Underwriter Sign-Off</t>
  </si>
  <si>
    <t>Terrorism Code</t>
  </si>
  <si>
    <t>Layer Ref:</t>
  </si>
  <si>
    <t>Structure:</t>
  </si>
  <si>
    <t>xs</t>
  </si>
  <si>
    <t>Structrue:</t>
  </si>
  <si>
    <t>(£/$/€/etc)</t>
  </si>
  <si>
    <t>Please Select</t>
  </si>
  <si>
    <t>a) Annualised expiring Rate</t>
  </si>
  <si>
    <t>b) Exposure Change dictates change of</t>
  </si>
  <si>
    <t>(%)</t>
  </si>
  <si>
    <t>c) Risk characteristics change dictates change of</t>
  </si>
  <si>
    <t>d) Deductible change dictates change of</t>
  </si>
  <si>
    <t>e) Limit and Retention changes dictates change of</t>
  </si>
  <si>
    <t xml:space="preserve">f) Terms and conditions change dictates change of </t>
  </si>
  <si>
    <t xml:space="preserve">g) Other (e.g., brokerage) change dictates change of </t>
  </si>
  <si>
    <t xml:space="preserve">h) New calculated Premium/Rate </t>
  </si>
  <si>
    <t>i) New Rate</t>
  </si>
  <si>
    <t>Rate change therefore</t>
  </si>
  <si>
    <t>Estimated signing %:</t>
  </si>
  <si>
    <t>Benchmarking:</t>
  </si>
  <si>
    <t>N/A</t>
  </si>
  <si>
    <t>Rationale if outside business plan:</t>
  </si>
  <si>
    <t>Treaty Model - Rationale</t>
  </si>
  <si>
    <t>Account Name</t>
  </si>
  <si>
    <t>Knowledge of the reinsured</t>
  </si>
  <si>
    <t>Portfolio fit</t>
  </si>
  <si>
    <t>Basis of risk selection</t>
  </si>
  <si>
    <t>Any unusual or complex considerations</t>
  </si>
  <si>
    <t>Facts which affect the underwriter's decision</t>
  </si>
  <si>
    <t>Treaty Model - Area Code</t>
  </si>
  <si>
    <t>References:</t>
  </si>
  <si>
    <t xml:space="preserve">Layer 1:  </t>
  </si>
  <si>
    <t xml:space="preserve">Layer 2:  </t>
  </si>
  <si>
    <t xml:space="preserve">Layer 3:  </t>
  </si>
  <si>
    <t xml:space="preserve">Layer 4:  </t>
  </si>
  <si>
    <t xml:space="preserve">Layer 5:  </t>
  </si>
  <si>
    <t xml:space="preserve">Layer 6:  </t>
  </si>
  <si>
    <t xml:space="preserve">Layer 7:  </t>
  </si>
  <si>
    <t xml:space="preserve">Layer 8:  </t>
  </si>
  <si>
    <t>% box is for the proportion of premium allocated to that area (excluding US)</t>
  </si>
  <si>
    <t>Northern Europe</t>
  </si>
  <si>
    <t>L1</t>
  </si>
  <si>
    <t>%</t>
  </si>
  <si>
    <t>L2</t>
  </si>
  <si>
    <t>L3</t>
  </si>
  <si>
    <t>L4</t>
  </si>
  <si>
    <t>L5</t>
  </si>
  <si>
    <t>L6</t>
  </si>
  <si>
    <t>L7</t>
  </si>
  <si>
    <t>L8</t>
  </si>
  <si>
    <t>Caribbean</t>
  </si>
  <si>
    <t>Far East</t>
  </si>
  <si>
    <t>Austria</t>
  </si>
  <si>
    <t>EAT</t>
  </si>
  <si>
    <t>North East</t>
  </si>
  <si>
    <t>Antigua &amp; Barbuda</t>
  </si>
  <si>
    <t>BAG</t>
  </si>
  <si>
    <t>China Typhoon</t>
  </si>
  <si>
    <t>FCT</t>
  </si>
  <si>
    <t>Belgium</t>
  </si>
  <si>
    <t>EBE</t>
  </si>
  <si>
    <t>Mid Atlantic</t>
  </si>
  <si>
    <t>Bahamas</t>
  </si>
  <si>
    <t>BAH</t>
  </si>
  <si>
    <t>China Earthquake</t>
  </si>
  <si>
    <t>FCQ</t>
  </si>
  <si>
    <t>Switzerland</t>
  </si>
  <si>
    <t>ECH</t>
  </si>
  <si>
    <t>Carolinas + Georgia</t>
  </si>
  <si>
    <t>Anquilla</t>
  </si>
  <si>
    <t>BAN</t>
  </si>
  <si>
    <t>Korea</t>
  </si>
  <si>
    <t>FKR</t>
  </si>
  <si>
    <t>Denmark</t>
  </si>
  <si>
    <t>EDK</t>
  </si>
  <si>
    <t>Florida South East</t>
  </si>
  <si>
    <t>Barbados</t>
  </si>
  <si>
    <t>BBB</t>
  </si>
  <si>
    <t>Hong Kong</t>
  </si>
  <si>
    <t>FHK</t>
  </si>
  <si>
    <t>Europe Multi zone</t>
  </si>
  <si>
    <t>EMZ</t>
  </si>
  <si>
    <t>Florida North East</t>
  </si>
  <si>
    <t>Turks &amp; Caicos</t>
  </si>
  <si>
    <t>BBH</t>
  </si>
  <si>
    <t>Indonesia</t>
  </si>
  <si>
    <t>FIA</t>
  </si>
  <si>
    <t>Finland</t>
  </si>
  <si>
    <t>EFI</t>
  </si>
  <si>
    <t>AL + MS</t>
  </si>
  <si>
    <t>Bermuda</t>
  </si>
  <si>
    <t>BBM</t>
  </si>
  <si>
    <t>Philippines</t>
  </si>
  <si>
    <t>OPH</t>
  </si>
  <si>
    <t>France</t>
  </si>
  <si>
    <t>EFR</t>
  </si>
  <si>
    <t>Cuba</t>
  </si>
  <si>
    <t>BCB</t>
  </si>
  <si>
    <t>Singapore</t>
  </si>
  <si>
    <t>FSP</t>
  </si>
  <si>
    <t>Germany</t>
  </si>
  <si>
    <t>EGE</t>
  </si>
  <si>
    <t>Texas East</t>
  </si>
  <si>
    <t>Grand Cayman</t>
  </si>
  <si>
    <t>BCM</t>
  </si>
  <si>
    <t>Sri Lanka</t>
  </si>
  <si>
    <t>FSK</t>
  </si>
  <si>
    <t>Iceland</t>
  </si>
  <si>
    <t>EIC</t>
  </si>
  <si>
    <t>Texas West</t>
  </si>
  <si>
    <t>Curacao &amp; Aruba</t>
  </si>
  <si>
    <t>BCU</t>
  </si>
  <si>
    <t>Taiwan</t>
  </si>
  <si>
    <t>FTA</t>
  </si>
  <si>
    <t>Ireland</t>
  </si>
  <si>
    <t>EIE</t>
  </si>
  <si>
    <t>Los Angeles</t>
  </si>
  <si>
    <t>Dominica</t>
  </si>
  <si>
    <t>BDO</t>
  </si>
  <si>
    <t>Japan Quake</t>
  </si>
  <si>
    <t>FJQ</t>
  </si>
  <si>
    <t>Netherlands</t>
  </si>
  <si>
    <t>ENL</t>
  </si>
  <si>
    <t>San Francisco</t>
  </si>
  <si>
    <t>Dominican Republic</t>
  </si>
  <si>
    <t>BDR</t>
  </si>
  <si>
    <t>Japan Wind</t>
  </si>
  <si>
    <t>FJW</t>
  </si>
  <si>
    <t>Norway</t>
  </si>
  <si>
    <t>ENO</t>
  </si>
  <si>
    <t>Pacific NW</t>
  </si>
  <si>
    <t>Greneda</t>
  </si>
  <si>
    <t>BGN</t>
  </si>
  <si>
    <t>Bangladesh</t>
  </si>
  <si>
    <t>MBD</t>
  </si>
  <si>
    <t>Germany Flood</t>
  </si>
  <si>
    <t>EGF</t>
  </si>
  <si>
    <t>T1</t>
  </si>
  <si>
    <t>The Grenadines</t>
  </si>
  <si>
    <t>BGS</t>
  </si>
  <si>
    <t>Cambodia</t>
  </si>
  <si>
    <t>FCY</t>
  </si>
  <si>
    <t>Sweden</t>
  </si>
  <si>
    <t>ESE</t>
  </si>
  <si>
    <t>T2</t>
  </si>
  <si>
    <t>Guadloupe</t>
  </si>
  <si>
    <t>BGU</t>
  </si>
  <si>
    <t>Guam</t>
  </si>
  <si>
    <t>OGM</t>
  </si>
  <si>
    <t>UK</t>
  </si>
  <si>
    <t>EUK</t>
  </si>
  <si>
    <t>New Madrid</t>
  </si>
  <si>
    <t>Haiti</t>
  </si>
  <si>
    <t>BHT</t>
  </si>
  <si>
    <t>Malaysia</t>
  </si>
  <si>
    <t>FMY</t>
  </si>
  <si>
    <t xml:space="preserve">UK Flood </t>
  </si>
  <si>
    <t>EUF</t>
  </si>
  <si>
    <t>Hawaii + Alaska</t>
  </si>
  <si>
    <t>Jamaica</t>
  </si>
  <si>
    <t>BJM</t>
  </si>
  <si>
    <t>Maldives</t>
  </si>
  <si>
    <t>MMA</t>
  </si>
  <si>
    <t>2nd event cover</t>
  </si>
  <si>
    <t>St Kitts &amp; Nevis</t>
  </si>
  <si>
    <t>BKN</t>
  </si>
  <si>
    <t>Myanmar</t>
  </si>
  <si>
    <t>FBY</t>
  </si>
  <si>
    <t>Southern Europe</t>
  </si>
  <si>
    <t>Wildfire</t>
  </si>
  <si>
    <t>Martinique</t>
  </si>
  <si>
    <t>BMQ</t>
  </si>
  <si>
    <t>Nepal</t>
  </si>
  <si>
    <t>FNP</t>
  </si>
  <si>
    <t>Spain</t>
  </si>
  <si>
    <t>EES</t>
  </si>
  <si>
    <t>Flood</t>
  </si>
  <si>
    <t>USA22</t>
  </si>
  <si>
    <t>Montserrat</t>
  </si>
  <si>
    <t>BMS</t>
  </si>
  <si>
    <t>Pakistan</t>
  </si>
  <si>
    <t>MPK</t>
  </si>
  <si>
    <t>Greece</t>
  </si>
  <si>
    <t>EGR</t>
  </si>
  <si>
    <t>Bonaire</t>
  </si>
  <si>
    <t>BON</t>
  </si>
  <si>
    <t>Papua New Guinea</t>
  </si>
  <si>
    <t>OPG</t>
  </si>
  <si>
    <t>Italy</t>
  </si>
  <si>
    <t>EIT</t>
  </si>
  <si>
    <t>Latin America</t>
  </si>
  <si>
    <t>Puerto Rico</t>
  </si>
  <si>
    <t>BPR</t>
  </si>
  <si>
    <t>Thailand</t>
  </si>
  <si>
    <t>FTH</t>
  </si>
  <si>
    <t>Portugal</t>
  </si>
  <si>
    <t>EPT</t>
  </si>
  <si>
    <t>Argentina</t>
  </si>
  <si>
    <t>SAR</t>
  </si>
  <si>
    <t>St Lucia</t>
  </si>
  <si>
    <t>BSL</t>
  </si>
  <si>
    <t>Vietnam</t>
  </si>
  <si>
    <t>FVN</t>
  </si>
  <si>
    <t>Turkey</t>
  </si>
  <si>
    <t>ETU</t>
  </si>
  <si>
    <t>Belize</t>
  </si>
  <si>
    <t>SBZ</t>
  </si>
  <si>
    <t>St Vincent</t>
  </si>
  <si>
    <t>BSV</t>
  </si>
  <si>
    <t>Bolivia</t>
  </si>
  <si>
    <t>SBV</t>
  </si>
  <si>
    <t>Virgin Islands (UK)</t>
  </si>
  <si>
    <t>BV1</t>
  </si>
  <si>
    <t>AMEI</t>
  </si>
  <si>
    <t>Brazil</t>
  </si>
  <si>
    <t>SBR</t>
  </si>
  <si>
    <t>Virgin Islands (US)</t>
  </si>
  <si>
    <t>BVS</t>
  </si>
  <si>
    <t>Israel</t>
  </si>
  <si>
    <t>MIS</t>
  </si>
  <si>
    <t>CEE</t>
  </si>
  <si>
    <t>Chile</t>
  </si>
  <si>
    <t>SCL</t>
  </si>
  <si>
    <t>Trinidad &amp; Tobago</t>
  </si>
  <si>
    <t>BX7</t>
  </si>
  <si>
    <t>India</t>
  </si>
  <si>
    <t>MIN</t>
  </si>
  <si>
    <t>Bulgaria</t>
  </si>
  <si>
    <t>EBG</t>
  </si>
  <si>
    <t>Colombia</t>
  </si>
  <si>
    <t>SCO</t>
  </si>
  <si>
    <t>South Africa</t>
  </si>
  <si>
    <t>ASA</t>
  </si>
  <si>
    <t>CEE Flood</t>
  </si>
  <si>
    <t>CEF</t>
  </si>
  <si>
    <t>Costa Rica</t>
  </si>
  <si>
    <t>SCR</t>
  </si>
  <si>
    <t>Canada</t>
  </si>
  <si>
    <t>United Arab Emirates</t>
  </si>
  <si>
    <t>MAE</t>
  </si>
  <si>
    <t>Croatia</t>
  </si>
  <si>
    <t>ECX</t>
  </si>
  <si>
    <t>Ecuador</t>
  </si>
  <si>
    <t>SEC</t>
  </si>
  <si>
    <t>British Columbia</t>
  </si>
  <si>
    <t>CBC</t>
  </si>
  <si>
    <t>Bahrain</t>
  </si>
  <si>
    <t>MBA</t>
  </si>
  <si>
    <t>Czech Republic</t>
  </si>
  <si>
    <t>ECZ</t>
  </si>
  <si>
    <t>El Salvador</t>
  </si>
  <si>
    <t>SEL</t>
  </si>
  <si>
    <t>Quebec</t>
  </si>
  <si>
    <t>CQU</t>
  </si>
  <si>
    <t>Algeria</t>
  </si>
  <si>
    <t>AAL</t>
  </si>
  <si>
    <t>Hungary</t>
  </si>
  <si>
    <t>EHU</t>
  </si>
  <si>
    <t>Guatemala</t>
  </si>
  <si>
    <t>SGT</t>
  </si>
  <si>
    <t>Ontario</t>
  </si>
  <si>
    <t>CON</t>
  </si>
  <si>
    <t>Morocco</t>
  </si>
  <si>
    <t>AMO</t>
  </si>
  <si>
    <t>Poland</t>
  </si>
  <si>
    <t>EPL</t>
  </si>
  <si>
    <t>Guyana</t>
  </si>
  <si>
    <t>SGY</t>
  </si>
  <si>
    <t>Prairies</t>
  </si>
  <si>
    <t>CPR</t>
  </si>
  <si>
    <t>Egypt</t>
  </si>
  <si>
    <t>AEG</t>
  </si>
  <si>
    <t>Romania</t>
  </si>
  <si>
    <t>ERO</t>
  </si>
  <si>
    <t>Honduras</t>
  </si>
  <si>
    <t>SHN</t>
  </si>
  <si>
    <t>Atlantic</t>
  </si>
  <si>
    <t>CAT</t>
  </si>
  <si>
    <t>Libya</t>
  </si>
  <si>
    <t>ALI</t>
  </si>
  <si>
    <t>Russia</t>
  </si>
  <si>
    <t>ERU</t>
  </si>
  <si>
    <t>Mexico</t>
  </si>
  <si>
    <t>SMX</t>
  </si>
  <si>
    <t>Mauritius</t>
  </si>
  <si>
    <t>AMU</t>
  </si>
  <si>
    <t>Slovenia</t>
  </si>
  <si>
    <t>ESB</t>
  </si>
  <si>
    <t>Nicaragua</t>
  </si>
  <si>
    <t>SNQ</t>
  </si>
  <si>
    <t>Jordan</t>
  </si>
  <si>
    <t>MJO</t>
  </si>
  <si>
    <t>Slovakia</t>
  </si>
  <si>
    <t>ESC</t>
  </si>
  <si>
    <t>Panama</t>
  </si>
  <si>
    <t>SPA</t>
  </si>
  <si>
    <t>Oman</t>
  </si>
  <si>
    <t>MOM</t>
  </si>
  <si>
    <t>Serbia</t>
  </si>
  <si>
    <t>ESR</t>
  </si>
  <si>
    <t>Paraguay</t>
  </si>
  <si>
    <t>SPY</t>
  </si>
  <si>
    <t>Qatar</t>
  </si>
  <si>
    <t>MQA</t>
  </si>
  <si>
    <t>Peru</t>
  </si>
  <si>
    <t>SPE</t>
  </si>
  <si>
    <t>Uruguay</t>
  </si>
  <si>
    <t>SUY</t>
  </si>
  <si>
    <t>Venezuela</t>
  </si>
  <si>
    <t>SVE</t>
  </si>
  <si>
    <t xml:space="preserve">Australia  </t>
  </si>
  <si>
    <t>New South Wales</t>
  </si>
  <si>
    <t>OA1</t>
  </si>
  <si>
    <t>Northern Territory</t>
  </si>
  <si>
    <t>OA2</t>
  </si>
  <si>
    <t>Queensland</t>
  </si>
  <si>
    <t>OA3</t>
  </si>
  <si>
    <t>South Australia</t>
  </si>
  <si>
    <t>OA4</t>
  </si>
  <si>
    <t>Victoria</t>
  </si>
  <si>
    <t>OA5</t>
  </si>
  <si>
    <t>Western Australia</t>
  </si>
  <si>
    <t>OA6</t>
  </si>
  <si>
    <t>Tasmania</t>
  </si>
  <si>
    <t>OTA</t>
  </si>
  <si>
    <t>New Zealand</t>
  </si>
  <si>
    <t>ONZ</t>
  </si>
  <si>
    <t>Fiji</t>
  </si>
  <si>
    <t>OFJ</t>
  </si>
  <si>
    <t>NOT MAPPED</t>
  </si>
  <si>
    <t>Rate</t>
  </si>
  <si>
    <t>Next Year</t>
  </si>
  <si>
    <t>Year After Next</t>
  </si>
  <si>
    <t>Treaty Rater Summary</t>
  </si>
  <si>
    <t>Limit in Application Currency</t>
  </si>
  <si>
    <t>Retention in Application Currency</t>
  </si>
  <si>
    <t>Account name:</t>
  </si>
  <si>
    <t xml:space="preserve"> </t>
  </si>
  <si>
    <t>By signing below I confirm that the answer to all of the following questions is "Yes":</t>
  </si>
  <si>
    <t>Does there exist, attached to the risk at time of bind, a contract or wording on which we can base a judgement of a claim?</t>
  </si>
  <si>
    <t>Are the key parties (insured, reinsured) identified on the slip, including corporate contact information?</t>
  </si>
  <si>
    <t>Are the key components of the contract clearly identified, including : class of insurance, period of coverage, limits of cover provided, territorial limits and choice of law &amp; jurisdiction.</t>
  </si>
  <si>
    <t>Are we licensed to do this class / type of business in the jurisdiction(s) stated in the contract?</t>
  </si>
  <si>
    <t>Does the contract / wording meet any specific regulatory requirements for the jurisdiction / type of business.</t>
  </si>
  <si>
    <t>Have you confirmed that the contract is not in breach of any requirements or prohibitions on economic, trade and financial sanctions?</t>
  </si>
  <si>
    <t>Have you confirmed that all appropriate taxes and responsibility for paying them is detailed in the contract or wording?</t>
  </si>
  <si>
    <t>Question</t>
  </si>
  <si>
    <t>Answer</t>
  </si>
  <si>
    <t>Date (must be pre-bind or on day of binding the contract):</t>
  </si>
  <si>
    <t>Underwriter Signature:</t>
  </si>
  <si>
    <t>APPLICABLE TO ALL SLIP HEADINGS WITHIN THIS SLIP SECTION:</t>
  </si>
  <si>
    <t>Have the wordings and all clauses been attached / referenced in the slip?</t>
  </si>
  <si>
    <t>Where a wording is dependent on another wording (for example, "as expiring" or "as original"), is the latter either attached or identified?</t>
  </si>
  <si>
    <t>Are all broker/insurer arrangements stated?</t>
  </si>
  <si>
    <t>APPLICABLE TO WHOLE SLIP:</t>
  </si>
  <si>
    <t>Are all currencies referenced e.g. via use of three letter ISO currency codes?</t>
  </si>
  <si>
    <t>Are all provisions relevant to the risk and its administration to ensure that the contract is clear and unambiguous?</t>
  </si>
  <si>
    <t>Ensure that there are no terms to be agreed (TBAs) or other terms remaining undefined.</t>
  </si>
  <si>
    <t>CONDITIONS</t>
  </si>
  <si>
    <t xml:space="preserve">Where the perils of radioactive contamination and/or nuclear incident are considered to be relevant to the scope of coverage, and it is the intention not to cover them, check that an appropriate exclusion clause has been included. </t>
  </si>
  <si>
    <t>Some clauses and wordings contain set deductibles and limits. Where this is the case ensure that the currency is consistent with the rest of the contract.</t>
  </si>
  <si>
    <t xml:space="preserve">SUBJECTIVITIES: </t>
  </si>
  <si>
    <t>Are any subjectivities clearly expressed; i.e. do they set out all of 1) the condition/action that needs to occur, by whom and to what standard, 2) the applicable timescale, if any, within which the condition is to be met, 3) the terms which are to apply until the condition is met and 4) any consequences which follow if the condition is not met?</t>
  </si>
  <si>
    <t xml:space="preserve">CHOICE OF LAW &amp; JURISDICTION/CONDITIONS: </t>
  </si>
  <si>
    <t>Where the "Service of Suit" or similar clause is referenced on the submission is the nominee also stated?</t>
  </si>
  <si>
    <t>PREMIUM:</t>
  </si>
  <si>
    <t>Is the premium or rate expressed?</t>
  </si>
  <si>
    <t>Are any payment terms identified?</t>
  </si>
  <si>
    <t xml:space="preserve">INSURER CONTRACT DOCUMENTATION: </t>
  </si>
  <si>
    <t>Does the slip state the type of insurer contract documentation to be produced, by whom it is to be produced and any particular requirements e.g. any requirement for an insurer approved policy? Has consideration been given to contract change documentation?</t>
  </si>
  <si>
    <t xml:space="preserve">INFORMATION: </t>
  </si>
  <si>
    <t>Is the information provided by the insured referenced in the placing documents?</t>
  </si>
  <si>
    <t>(RE)INSURER'S LIABILITY:</t>
  </si>
  <si>
    <t>All open market policies (including MRC slips) must include a suitable several liability/signing clause that establishes the several liability of each underwriting member subscribing to the risk from every other member and of any insurance company.  That clause will ordinarily be in the terms of LMA 3333 (or in respect of a line slip declaration in the terms of LMA 5123).</t>
  </si>
  <si>
    <t xml:space="preserve">SIGNING PROVISIONS: </t>
  </si>
  <si>
    <t>If there is more than one participating insurer check that a signing provisions clause is included.</t>
  </si>
  <si>
    <t xml:space="preserve">INSURER'S WRITTEN LINE:  </t>
  </si>
  <si>
    <t>Wherever possible, line conditions should be shown under the most appropriate contract section and heading. Stamp conditions should be removed and recorded elsewhere in the contract, where there is provision to do so. Ensure that any such conditions applied by an insurer are relevant to the administration of the risk, and are clearly and fully expressed.</t>
  </si>
  <si>
    <t xml:space="preserve">SLIP LEADER: </t>
  </si>
  <si>
    <t>Is the leader identified?</t>
  </si>
  <si>
    <t>CONTRACT CHANGES</t>
  </si>
  <si>
    <t>Is the basis of agreement to contract changes identified?</t>
  </si>
  <si>
    <t>OTHER AGREEMENT PARTIES FOR CONTRACT CHANGES, FOR PART 2 GUA CHANGES ONLY: Where GUA applies to the contract, ensure that this heading is present and that either details of any other parties for part 2 of GUA are identified or it is clear that such changes will be agreed by the slip leader only.</t>
  </si>
  <si>
    <t>AGREEMENT PARTIES FOR CONTRACT CHANGES, FOR THEIR PROPORTION ONLY: Are details of parties who will agree contract changes for their own proportion (if any) clearly identified?</t>
  </si>
  <si>
    <t>CLAIMS</t>
  </si>
  <si>
    <t>Is the Basis of Claims Agreement clearly identified?  For contracts with more than one participating Lloyd's Syndicate this is the Lloyd's 2006 Claims Scheme. [Please note that for certain classes the Lloyd's 2006 Claims Scheme has been amended by the 2010 Pilot Scheme - the scope of this pilot and the applicable slip language relating to this heading are set out in Market Bulletin Y4341 dated 30 November 2009]</t>
  </si>
  <si>
    <t>Are the claims agreement parties identified?  For contracts with more than one participating Lloyd's Syndicate, within the scope of the Lloyd's 2006 Claims Scheme, these are the leading Lloyd's underwriter and XCS, not XIS, (although a second Lloyd's underwriter may opt to be an additional agreement party only on "Special Category claims" and this must be stated as such on the contract) only. [Please note that for certain classes the Lloyd's 2006 Claims Scheme has been amended by the 2010 Pilot Scheme - the scope of this pilot, the applicable slip language relating to this heading, and the requirement to identify which managing agent(s) will fulfil the claims agreement party roles, are set out in Market Bulletin Y4341 dated 30 November 2009]</t>
  </si>
  <si>
    <t>Is the basis of claims administration specified?</t>
  </si>
  <si>
    <t xml:space="preserve">RULES AND EXTENT OF ANY OTHER DELEGATED CLAIMS AUTHORITY: </t>
  </si>
  <si>
    <t>Are the rules and extent of any other delegated claims authority specified?</t>
  </si>
  <si>
    <t xml:space="preserve">EXPERT(S) FEES COLLECTION: </t>
  </si>
  <si>
    <t>Are arrangements for collection of expert fees stated?</t>
  </si>
  <si>
    <t xml:space="preserve">OVERSEAS BROKER: </t>
  </si>
  <si>
    <t xml:space="preserve">Any business placed via a Canadian domiciled intermediary (either open market or delegated authority) will cause the risk to be "insure in Canada a risk" even if it does not cover a Canadian insured or Canadian location. The Canadian domiciled intermediary will need to be an approved Open Market Correspondent or Coverholder. Ensure premium monies are converted into either CAD or USD prior to submission for processing and settlement, and that the contract of insurance (including premium notices and applications for insurance) includes the "made in Canada" wording. Please refer to market bulletin Y4329 and Crystal for further information </t>
  </si>
  <si>
    <t xml:space="preserve">US CLASSIFICATION: </t>
  </si>
  <si>
    <t>Ensure that the contract shows the correct US classification if the original premium is in US Dollars or the original premium is in another currency and the Country of Origin is the US.</t>
  </si>
  <si>
    <t xml:space="preserve">CLIENT CLASSIFICATION: </t>
  </si>
  <si>
    <t>Ensure that the Market Reform Contract includes the Regulatory Client Classification heading in the Fiscal and Regulatory section and check that one of the six available options is stated: Consumer, Consumer exempt, Commercial customer, Large risk, Group risks or Reinsurance.</t>
  </si>
  <si>
    <t xml:space="preserve">DISTANCE MARKETING DIRECTIVE: </t>
  </si>
  <si>
    <t>Where the FSA Client Classification heading shows "Consumer" or "Consumer exempt", ensure that the Distance Marketing Directive heading is included on the Market Reform Contract (Fiscal and Regulatory section) and is completed either 'yes' or 'no'.</t>
  </si>
  <si>
    <t>DEDUCTIONS</t>
  </si>
  <si>
    <t>Is the brokerage expressed?</t>
  </si>
  <si>
    <t>Are other deductions from premium expressed?</t>
  </si>
  <si>
    <t>SYNDICATE SPLIT</t>
  </si>
  <si>
    <t>Does the stamp or contract accurately reflect the correct syndicate split?</t>
  </si>
  <si>
    <t>Regulatory Risk Location</t>
  </si>
  <si>
    <t>Have you confirmed that a section on the regulatory risk location appears in the contract and that it has been completely corrected?</t>
  </si>
  <si>
    <t>Year</t>
  </si>
  <si>
    <t>GNEPI (Actual)</t>
  </si>
  <si>
    <t>GNEPI (Projected)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</si>
</sst>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0.0%"/>
    <numFmt numFmtId="167" formatCode="dd\-mmm\-yyyy"/>
    <numFmt numFmtId="168" formatCode="_-* #,##0_-;\-* #,##0_-;_-* &quot;-&quot;??_-;_-@_-"/>
  </numFmts>
  <fonts count="25" x14ac:knownFonts="1">
    <font>
      <sz val="11"/>
      <color theme="1"/>
      <name val="Aptos Narrow"/>
      <family val="2"/>
      <scheme val="minor"/>
    </font>
    <font>
      <sz val="11"/>
      <color theme="1"/>
      <name val="Aptos Narrow"/>
      <family val="2"/>
      <scheme val="minor"/>
    </font>
    <font>
      <b/>
      <sz val="11"/>
      <color theme="1"/>
      <name val="Aptos Narrow"/>
      <family val="2"/>
      <scheme val="minor"/>
    </font>
    <font>
      <b/>
      <sz val="14"/>
      <color theme="0"/>
      <name val="Calibri"/>
      <family val="2"/>
    </font>
    <font>
      <sz val="8"/>
      <color rgb="FF000000"/>
      <name val="Tahoma"/>
      <family val="2"/>
    </font>
    <font>
      <b/>
      <u/>
      <sz val="11"/>
      <color rgb="FFCF118C"/>
      <name val="Calibri"/>
      <family val="2"/>
    </font>
    <font>
      <sz val="10"/>
      <color rgb="FF000000"/>
      <name val="Calibri"/>
      <family val="2"/>
    </font>
    <font>
      <b/>
      <sz val="10"/>
      <name val="Calibri"/>
      <family val="2"/>
    </font>
    <font>
      <b/>
      <sz val="11"/>
      <name val="Calibri"/>
      <family val="2"/>
    </font>
    <font>
      <sz val="10"/>
      <name val="Calibri"/>
      <family val="2"/>
    </font>
    <font>
      <b/>
      <sz val="8"/>
      <color rgb="FF000000"/>
      <name val="Tahoma"/>
      <family val="2"/>
    </font>
    <font>
      <sz val="8"/>
      <color rgb="FFEBEBEB"/>
      <name val="Tahoma"/>
      <family val="2"/>
    </font>
    <font>
      <sz val="9"/>
      <color indexed="81"/>
      <name val="Tahoma"/>
      <family val="2"/>
    </font>
    <font>
      <b/>
      <sz val="8"/>
      <color rgb="FFFF0000"/>
      <name val="Tahoma"/>
      <family val="2"/>
    </font>
    <font>
      <b/>
      <sz val="13"/>
      <color theme="1"/>
      <name val="Aptos Narrow"/>
      <family val="2"/>
      <scheme val="minor"/>
    </font>
    <font>
      <sz val="10"/>
      <color theme="1"/>
      <name val="Aptos Narrow"/>
      <family val="2"/>
      <scheme val="minor"/>
    </font>
    <font>
      <b/>
      <sz val="12"/>
      <color theme="1"/>
      <name val="Aptos Narrow"/>
      <family val="2"/>
      <scheme val="minor"/>
    </font>
    <font>
      <b/>
      <sz val="10"/>
      <color theme="1"/>
      <name val="Aptos Narrow"/>
      <family val="2"/>
      <scheme val="minor"/>
    </font>
    <font>
      <sz val="12"/>
      <color theme="1"/>
      <name val="Aptos Narrow"/>
      <family val="2"/>
      <scheme val="minor"/>
    </font>
    <font>
      <b/>
      <sz val="9"/>
      <color indexed="81"/>
      <name val="Tahoma"/>
      <family val="2"/>
    </font>
    <font>
      <sz val="11"/>
      <name val="Aptos Narrow"/>
      <family val="2"/>
      <scheme val="minor"/>
    </font>
    <font>
      <sz val="8"/>
      <name val="Aptos Narrow"/>
      <family val="2"/>
      <scheme val="minor"/>
    </font>
    <font>
      <sz val="11"/>
      <name val="Calibri"/>
      <family val="2"/>
    </font>
    <font>
      <b/>
      <sz val="11"/>
      <color rgb="FF000000"/>
      <name val="Calibri"/>
      <family val="2"/>
    </font>
    <font>
      <b/>
      <sz val="11"/>
      <name val="Aptos Narrow"/>
      <family val="2"/>
      <scheme val="minor"/>
    </font>
  </fonts>
  <fills count="14">
    <fill>
      <patternFill patternType="none"/>
    </fill>
    <fill>
      <patternFill patternType="gray125"/>
    </fill>
    <fill>
      <patternFill patternType="solid">
        <fgColor rgb="FF993366"/>
        <bgColor indexed="64"/>
      </patternFill>
    </fill>
    <fill>
      <patternFill patternType="solid">
        <fgColor rgb="FFEBEBEB"/>
        <bgColor indexed="64"/>
      </patternFill>
    </fill>
    <fill>
      <patternFill patternType="solid">
        <fgColor rgb="FFFAEAFA"/>
        <bgColor indexed="64"/>
      </patternFill>
    </fill>
    <fill>
      <patternFill patternType="solid">
        <fgColor rgb="FFBFBFBF"/>
        <bgColor indexed="64"/>
      </patternFill>
    </fill>
    <fill>
      <patternFill patternType="solid">
        <fgColor rgb="FFFCD8EF"/>
        <bgColor indexed="64"/>
      </patternFill>
    </fill>
    <fill>
      <patternFill patternType="solid">
        <fgColor rgb="FFFFFFFF"/>
        <bgColor indexed="64"/>
      </patternFill>
    </fill>
    <fill>
      <patternFill patternType="solid">
        <fgColor theme="4" tint="0.79998168889431442"/>
        <bgColor theme="0"/>
      </patternFill>
    </fill>
    <fill>
      <patternFill patternType="lightUp">
        <fgColor theme="0" tint="-0.24994659260841701"/>
        <bgColor indexed="65"/>
      </patternFill>
    </fill>
    <fill>
      <patternFill patternType="lightUp">
        <fgColor theme="0" tint="-0.24994659260841701"/>
        <bgColor theme="0"/>
      </patternFill>
    </fill>
    <fill>
      <patternFill patternType="solid">
        <fgColor theme="0"/>
        <bgColor theme="0"/>
      </patternFill>
    </fill>
    <fill>
      <patternFill patternType="solid">
        <fgColor theme="0" tint="-4.9989318521683403E-2"/>
        <bgColor indexed="64"/>
      </patternFill>
    </fill>
    <fill>
      <patternFill patternType="solid">
        <fgColor theme="5" tint="0.59999389629810485"/>
        <bgColor indexed="64"/>
      </patternFill>
    </fill>
  </fills>
  <borders count="3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theme="0" tint="-0.24994659260841701"/>
      </bottom>
      <diagonal/>
    </border>
    <border>
      <left style="thin">
        <color auto="1"/>
      </left>
      <right style="thin">
        <color auto="1"/>
      </right>
      <top/>
      <bottom style="thin">
        <color theme="0" tint="-0.24994659260841701"/>
      </bottom>
      <diagonal/>
    </border>
    <border>
      <left/>
      <right style="thin">
        <color auto="1"/>
      </right>
      <top style="thin">
        <color auto="1"/>
      </top>
      <bottom style="thin">
        <color theme="0" tint="-0.24994659260841701"/>
      </bottom>
      <diagonal/>
    </border>
    <border>
      <left style="thin">
        <color auto="1"/>
      </left>
      <right style="thin">
        <color auto="1"/>
      </right>
      <top style="thin">
        <color theme="0" tint="-0.24994659260841701"/>
      </top>
      <bottom style="thin">
        <color theme="0" tint="-0.24994659260841701"/>
      </bottom>
      <diagonal/>
    </border>
    <border>
      <left/>
      <right style="thin">
        <color auto="1"/>
      </right>
      <top style="thin">
        <color theme="0" tint="-0.24994659260841701"/>
      </top>
      <bottom style="thin">
        <color theme="0" tint="-0.24994659260841701"/>
      </bottom>
      <diagonal/>
    </border>
    <border>
      <left style="thin">
        <color auto="1"/>
      </left>
      <right style="thin">
        <color auto="1"/>
      </right>
      <top/>
      <bottom style="thin">
        <color auto="1"/>
      </bottom>
      <diagonal/>
    </border>
    <border>
      <left style="thin">
        <color auto="1"/>
      </left>
      <right style="thin">
        <color auto="1"/>
      </right>
      <top style="thin">
        <color theme="0" tint="-0.24994659260841701"/>
      </top>
      <bottom style="thin">
        <color auto="1"/>
      </bottom>
      <diagonal/>
    </border>
    <border>
      <left/>
      <right style="thin">
        <color auto="1"/>
      </right>
      <top style="thin">
        <color theme="0" tint="-0.24994659260841701"/>
      </top>
      <bottom style="thin">
        <color auto="1"/>
      </bottom>
      <diagonal/>
    </border>
    <border>
      <left/>
      <right/>
      <top style="dashed">
        <color theme="0" tint="-0.499984740745262"/>
      </top>
      <bottom/>
      <diagonal/>
    </border>
    <border>
      <left style="thin">
        <color auto="1"/>
      </left>
      <right/>
      <top style="thin">
        <color auto="1"/>
      </top>
      <bottom style="thin">
        <color theme="0" tint="-0.24994659260841701"/>
      </bottom>
      <diagonal/>
    </border>
    <border>
      <left style="thin">
        <color auto="1"/>
      </left>
      <right/>
      <top style="thin">
        <color theme="0" tint="-0.24994659260841701"/>
      </top>
      <bottom style="thin">
        <color theme="0" tint="-0.24994659260841701"/>
      </bottom>
      <diagonal/>
    </border>
    <border>
      <left style="thin">
        <color indexed="64"/>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theme="0" tint="-0.24994659260841701"/>
      </top>
      <bottom style="thin">
        <color auto="1"/>
      </bottom>
      <diagonal/>
    </border>
    <border>
      <left/>
      <right style="thin">
        <color auto="1"/>
      </right>
      <top/>
      <bottom/>
      <diagonal/>
    </border>
    <border>
      <left/>
      <right/>
      <top style="thin">
        <color theme="0" tint="-0.24994659260841701"/>
      </top>
      <bottom style="thin">
        <color theme="0" tint="-0.24994659260841701"/>
      </bottom>
      <diagonal/>
    </border>
    <border>
      <left style="thin">
        <color auto="1"/>
      </left>
      <right/>
      <top/>
      <bottom style="thin">
        <color auto="1"/>
      </bottom>
      <diagonal/>
    </border>
    <border>
      <left/>
      <right/>
      <top/>
      <bottom style="thin">
        <color indexed="64"/>
      </bottom>
      <diagonal/>
    </border>
    <border>
      <left/>
      <right style="thin">
        <color auto="1"/>
      </right>
      <top/>
      <bottom style="thin">
        <color auto="1"/>
      </bottom>
      <diagonal/>
    </border>
    <border>
      <left style="thin">
        <color indexed="64"/>
      </left>
      <right style="thin">
        <color indexed="64"/>
      </right>
      <top/>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
      <left style="thin">
        <color auto="1"/>
      </left>
      <right style="thin">
        <color theme="0" tint="-0.24994659260841701"/>
      </right>
      <top style="thin">
        <color theme="0" tint="-0.24994659260841701"/>
      </top>
      <bottom style="thin">
        <color auto="1"/>
      </bottom>
      <diagonal/>
    </border>
    <border>
      <left style="thin">
        <color theme="0" tint="-0.24994659260841701"/>
      </left>
      <right style="thin">
        <color auto="1"/>
      </right>
      <top style="thin">
        <color theme="0" tint="-0.24994659260841701"/>
      </top>
      <bottom style="thin">
        <color auto="1"/>
      </bottom>
      <diagonal/>
    </border>
  </borders>
  <cellStyleXfs count="22">
    <xf numFmtId="0" fontId="0" fillId="0" borderId="0"/>
    <xf numFmtId="164" fontId="1" fillId="0" borderId="0" applyFont="0" applyFill="0" applyBorder="0" applyAlignment="0" applyProtection="0"/>
    <xf numFmtId="9" fontId="1" fillId="0" borderId="0" applyFont="0" applyFill="0" applyBorder="0" applyAlignment="0" applyProtection="0"/>
    <xf numFmtId="0" fontId="3" fillId="2" borderId="1" applyBorder="0">
      <alignment horizontal="center" vertical="center"/>
    </xf>
    <xf numFmtId="0" fontId="4" fillId="3" borderId="1" applyBorder="0"/>
    <xf numFmtId="0" fontId="5" fillId="3" borderId="0"/>
    <xf numFmtId="0" fontId="6" fillId="4" borderId="1" applyBorder="0">
      <protection locked="0"/>
    </xf>
    <xf numFmtId="0" fontId="7" fillId="5" borderId="1">
      <alignment horizontal="center" vertical="center" wrapText="1"/>
    </xf>
    <xf numFmtId="0" fontId="8" fillId="3" borderId="0">
      <alignment horizontal="right"/>
    </xf>
    <xf numFmtId="165" fontId="6" fillId="6" borderId="1" applyBorder="0">
      <protection locked="0"/>
    </xf>
    <xf numFmtId="165" fontId="9" fillId="7" borderId="1" applyBorder="0"/>
    <xf numFmtId="9" fontId="9" fillId="7" borderId="1" applyBorder="0"/>
    <xf numFmtId="166" fontId="6" fillId="6" borderId="1" applyBorder="0">
      <protection locked="0"/>
    </xf>
    <xf numFmtId="0" fontId="9" fillId="7" borderId="1" applyBorder="0"/>
    <xf numFmtId="9" fontId="6" fillId="6" borderId="1" applyBorder="0">
      <protection locked="0"/>
    </xf>
    <xf numFmtId="166" fontId="9" fillId="7" borderId="1" applyBorder="0"/>
    <xf numFmtId="164" fontId="9" fillId="7" borderId="1" applyBorder="0"/>
    <xf numFmtId="0" fontId="6" fillId="6" borderId="1" applyBorder="0">
      <protection locked="0"/>
    </xf>
    <xf numFmtId="10" fontId="9" fillId="7" borderId="1" applyBorder="0"/>
    <xf numFmtId="167" fontId="9" fillId="7" borderId="1" applyBorder="0"/>
    <xf numFmtId="10" fontId="6" fillId="6" borderId="1" applyBorder="0">
      <protection locked="0"/>
    </xf>
    <xf numFmtId="0" fontId="6" fillId="6" borderId="1" applyBorder="0">
      <protection locked="0"/>
    </xf>
  </cellStyleXfs>
  <cellXfs count="279">
    <xf numFmtId="0" fontId="0" fillId="0" borderId="0" xfId="0"/>
    <xf numFmtId="0" fontId="4" fillId="3" borderId="0" xfId="4" applyBorder="1"/>
    <xf numFmtId="0" fontId="5" fillId="3" borderId="0" xfId="5"/>
    <xf numFmtId="0" fontId="4" fillId="3" borderId="5" xfId="4" applyBorder="1"/>
    <xf numFmtId="0" fontId="7" fillId="5" borderId="1" xfId="7">
      <alignment horizontal="center" vertical="center" wrapText="1"/>
    </xf>
    <xf numFmtId="0" fontId="8" fillId="3" borderId="0" xfId="8">
      <alignment horizontal="right"/>
    </xf>
    <xf numFmtId="165" fontId="6" fillId="6" borderId="1" xfId="9" applyBorder="1">
      <protection locked="0"/>
    </xf>
    <xf numFmtId="165" fontId="9" fillId="7" borderId="1" xfId="10" applyBorder="1"/>
    <xf numFmtId="9" fontId="9" fillId="7" borderId="1" xfId="11" applyBorder="1"/>
    <xf numFmtId="0" fontId="10" fillId="6" borderId="1" xfId="4" applyFont="1" applyFill="1" applyBorder="1" applyAlignment="1" applyProtection="1">
      <alignment horizontal="center"/>
      <protection locked="0"/>
    </xf>
    <xf numFmtId="0" fontId="11" fillId="3" borderId="0" xfId="4" applyFont="1" applyBorder="1"/>
    <xf numFmtId="0" fontId="7" fillId="5" borderId="6" xfId="7" applyBorder="1">
      <alignment horizontal="center" vertical="center" wrapText="1"/>
    </xf>
    <xf numFmtId="165" fontId="9" fillId="0" borderId="7" xfId="10" applyFill="1" applyBorder="1"/>
    <xf numFmtId="165" fontId="9" fillId="7" borderId="7" xfId="10" applyBorder="1"/>
    <xf numFmtId="9" fontId="9" fillId="7" borderId="7" xfId="11" applyBorder="1"/>
    <xf numFmtId="165" fontId="6" fillId="6" borderId="8" xfId="9" applyBorder="1">
      <protection locked="0"/>
    </xf>
    <xf numFmtId="165" fontId="6" fillId="6" borderId="7" xfId="9" applyBorder="1">
      <protection locked="0"/>
    </xf>
    <xf numFmtId="165" fontId="9" fillId="7" borderId="9" xfId="10" applyBorder="1"/>
    <xf numFmtId="0" fontId="9" fillId="7" borderId="7" xfId="13" applyBorder="1"/>
    <xf numFmtId="0" fontId="6" fillId="4" borderId="7" xfId="6" applyBorder="1">
      <protection locked="0"/>
    </xf>
    <xf numFmtId="166" fontId="6" fillId="6" borderId="7" xfId="12" applyBorder="1">
      <protection locked="0"/>
    </xf>
    <xf numFmtId="9" fontId="6" fillId="6" borderId="7" xfId="14" applyBorder="1">
      <protection locked="0"/>
    </xf>
    <xf numFmtId="165" fontId="9" fillId="0" borderId="8" xfId="10" applyFill="1" applyBorder="1"/>
    <xf numFmtId="165" fontId="9" fillId="7" borderId="8" xfId="10" applyBorder="1"/>
    <xf numFmtId="9" fontId="9" fillId="7" borderId="10" xfId="11" applyBorder="1"/>
    <xf numFmtId="165" fontId="6" fillId="6" borderId="10" xfId="9" applyBorder="1">
      <protection locked="0"/>
    </xf>
    <xf numFmtId="165" fontId="9" fillId="7" borderId="11" xfId="10" applyBorder="1"/>
    <xf numFmtId="0" fontId="9" fillId="7" borderId="10" xfId="13" applyBorder="1"/>
    <xf numFmtId="0" fontId="6" fillId="4" borderId="10" xfId="6" applyBorder="1">
      <protection locked="0"/>
    </xf>
    <xf numFmtId="166" fontId="6" fillId="6" borderId="10" xfId="12" applyBorder="1">
      <protection locked="0"/>
    </xf>
    <xf numFmtId="9" fontId="6" fillId="6" borderId="10" xfId="14" applyBorder="1">
      <protection locked="0"/>
    </xf>
    <xf numFmtId="165" fontId="9" fillId="0" borderId="12" xfId="10" applyFill="1" applyBorder="1"/>
    <xf numFmtId="165" fontId="9" fillId="7" borderId="12" xfId="10" applyBorder="1"/>
    <xf numFmtId="9" fontId="9" fillId="7" borderId="13" xfId="11" applyBorder="1"/>
    <xf numFmtId="165" fontId="6" fillId="6" borderId="13" xfId="9" applyBorder="1">
      <protection locked="0"/>
    </xf>
    <xf numFmtId="165" fontId="9" fillId="7" borderId="14" xfId="10" applyBorder="1"/>
    <xf numFmtId="0" fontId="9" fillId="7" borderId="13" xfId="13" applyBorder="1"/>
    <xf numFmtId="0" fontId="6" fillId="4" borderId="13" xfId="6" applyBorder="1">
      <protection locked="0"/>
    </xf>
    <xf numFmtId="166" fontId="6" fillId="6" borderId="13" xfId="12" applyBorder="1">
      <protection locked="0"/>
    </xf>
    <xf numFmtId="9" fontId="6" fillId="6" borderId="13" xfId="14" applyBorder="1">
      <protection locked="0"/>
    </xf>
    <xf numFmtId="0" fontId="4" fillId="3" borderId="15" xfId="4" applyBorder="1"/>
    <xf numFmtId="0" fontId="5" fillId="3" borderId="15" xfId="5" applyBorder="1"/>
    <xf numFmtId="165" fontId="9" fillId="7" borderId="10" xfId="10" applyBorder="1"/>
    <xf numFmtId="164" fontId="9" fillId="7" borderId="10" xfId="16" applyBorder="1"/>
    <xf numFmtId="165" fontId="9" fillId="0" borderId="10" xfId="10" applyFill="1" applyBorder="1"/>
    <xf numFmtId="165" fontId="9" fillId="7" borderId="13" xfId="10" applyBorder="1"/>
    <xf numFmtId="165" fontId="9" fillId="0" borderId="13" xfId="10" applyFill="1" applyBorder="1"/>
    <xf numFmtId="0" fontId="9" fillId="0" borderId="0" xfId="0" applyFont="1"/>
    <xf numFmtId="0" fontId="9" fillId="2" borderId="0" xfId="0" applyFont="1" applyFill="1"/>
    <xf numFmtId="0" fontId="9" fillId="7" borderId="16" xfId="13" applyBorder="1"/>
    <xf numFmtId="0" fontId="9" fillId="7" borderId="9" xfId="13" applyBorder="1"/>
    <xf numFmtId="9" fontId="9" fillId="7" borderId="16" xfId="11" applyBorder="1"/>
    <xf numFmtId="9" fontId="9" fillId="7" borderId="9" xfId="11" applyBorder="1"/>
    <xf numFmtId="0" fontId="7" fillId="5" borderId="2" xfId="7" applyBorder="1">
      <alignment horizontal="center" vertical="center" wrapText="1"/>
    </xf>
    <xf numFmtId="0" fontId="6" fillId="6" borderId="7" xfId="17" applyBorder="1">
      <protection locked="0"/>
    </xf>
    <xf numFmtId="0" fontId="9" fillId="7" borderId="17" xfId="13" applyBorder="1"/>
    <xf numFmtId="0" fontId="9" fillId="7" borderId="11" xfId="13" applyBorder="1"/>
    <xf numFmtId="10" fontId="9" fillId="7" borderId="7" xfId="18" applyBorder="1"/>
    <xf numFmtId="164" fontId="4" fillId="3" borderId="0" xfId="4" applyNumberFormat="1" applyBorder="1"/>
    <xf numFmtId="10" fontId="9" fillId="7" borderId="10" xfId="18" applyBorder="1"/>
    <xf numFmtId="0" fontId="13" fillId="3" borderId="0" xfId="4" applyFont="1" applyBorder="1" applyAlignment="1">
      <alignment horizontal="left" vertical="center"/>
    </xf>
    <xf numFmtId="167" fontId="9" fillId="7" borderId="17" xfId="19" applyBorder="1"/>
    <xf numFmtId="167" fontId="9" fillId="7" borderId="11" xfId="19" applyBorder="1"/>
    <xf numFmtId="0" fontId="9" fillId="7" borderId="21" xfId="13" applyBorder="1"/>
    <xf numFmtId="0" fontId="9" fillId="7" borderId="14" xfId="13" applyBorder="1"/>
    <xf numFmtId="10" fontId="9" fillId="7" borderId="13" xfId="18" applyBorder="1"/>
    <xf numFmtId="0" fontId="8" fillId="3" borderId="0" xfId="8" applyAlignment="1">
      <alignment horizontal="right" vertical="center"/>
    </xf>
    <xf numFmtId="0" fontId="8" fillId="3" borderId="22" xfId="8" applyBorder="1">
      <alignment horizontal="right"/>
    </xf>
    <xf numFmtId="165" fontId="9" fillId="7" borderId="1" xfId="18" applyNumberFormat="1" applyBorder="1"/>
    <xf numFmtId="4" fontId="9" fillId="7" borderId="1" xfId="18" applyNumberFormat="1" applyBorder="1"/>
    <xf numFmtId="0" fontId="9" fillId="0" borderId="0" xfId="0" applyFont="1" applyProtection="1">
      <protection locked="0"/>
    </xf>
    <xf numFmtId="10" fontId="9" fillId="7" borderId="1" xfId="18" applyBorder="1"/>
    <xf numFmtId="0" fontId="9" fillId="7" borderId="16" xfId="13" quotePrefix="1" applyBorder="1"/>
    <xf numFmtId="10" fontId="9" fillId="0" borderId="7" xfId="18" applyFill="1" applyBorder="1"/>
    <xf numFmtId="164" fontId="9" fillId="7" borderId="7" xfId="1" applyFont="1" applyFill="1" applyBorder="1"/>
    <xf numFmtId="0" fontId="9" fillId="7" borderId="17" xfId="13" quotePrefix="1" applyBorder="1"/>
    <xf numFmtId="10" fontId="9" fillId="0" borderId="10" xfId="18" applyFill="1" applyBorder="1"/>
    <xf numFmtId="164" fontId="9" fillId="7" borderId="10" xfId="1" applyFont="1" applyFill="1" applyBorder="1"/>
    <xf numFmtId="0" fontId="9" fillId="7" borderId="21" xfId="13" quotePrefix="1" applyBorder="1"/>
    <xf numFmtId="10" fontId="9" fillId="0" borderId="13" xfId="18" applyFill="1" applyBorder="1"/>
    <xf numFmtId="164" fontId="9" fillId="7" borderId="13" xfId="1" applyFont="1" applyFill="1" applyBorder="1"/>
    <xf numFmtId="9" fontId="9" fillId="7" borderId="7" xfId="11" quotePrefix="1" applyBorder="1"/>
    <xf numFmtId="9" fontId="9" fillId="0" borderId="0" xfId="0" applyNumberFormat="1" applyFont="1" applyProtection="1">
      <protection locked="0"/>
    </xf>
    <xf numFmtId="0" fontId="6" fillId="6" borderId="10" xfId="17" applyBorder="1">
      <protection locked="0"/>
    </xf>
    <xf numFmtId="0" fontId="6" fillId="6" borderId="13" xfId="17" applyBorder="1">
      <protection locked="0"/>
    </xf>
    <xf numFmtId="0" fontId="0" fillId="9" borderId="0" xfId="0" applyFill="1"/>
    <xf numFmtId="0" fontId="15" fillId="10" borderId="0" xfId="0" applyFont="1" applyFill="1"/>
    <xf numFmtId="0" fontId="0" fillId="10" borderId="0" xfId="0" applyFill="1"/>
    <xf numFmtId="0" fontId="16" fillId="10" borderId="0" xfId="0" applyFont="1" applyFill="1" applyAlignment="1">
      <alignment horizontal="center"/>
    </xf>
    <xf numFmtId="0" fontId="0" fillId="0" borderId="1" xfId="0" applyBorder="1"/>
    <xf numFmtId="0" fontId="15" fillId="10" borderId="0" xfId="0" applyFont="1" applyFill="1" applyAlignment="1" applyProtection="1">
      <alignment horizontal="center"/>
      <protection locked="0"/>
    </xf>
    <xf numFmtId="0" fontId="17" fillId="10" borderId="0" xfId="0" applyFont="1" applyFill="1" applyAlignment="1">
      <alignment horizontal="center"/>
    </xf>
    <xf numFmtId="14" fontId="15" fillId="11" borderId="1" xfId="0" applyNumberFormat="1" applyFont="1" applyFill="1" applyBorder="1" applyProtection="1">
      <protection locked="0"/>
    </xf>
    <xf numFmtId="0" fontId="18" fillId="10" borderId="0" xfId="0" applyFont="1" applyFill="1" applyAlignment="1">
      <alignment horizontal="center"/>
    </xf>
    <xf numFmtId="0" fontId="15" fillId="10" borderId="0" xfId="0" applyFont="1" applyFill="1" applyAlignment="1">
      <alignment horizontal="center"/>
    </xf>
    <xf numFmtId="0" fontId="15" fillId="10" borderId="0" xfId="0" applyFont="1" applyFill="1" applyProtection="1">
      <protection locked="0"/>
    </xf>
    <xf numFmtId="0" fontId="18" fillId="10" borderId="0" xfId="0" applyFont="1" applyFill="1"/>
    <xf numFmtId="0" fontId="15" fillId="10" borderId="18" xfId="0" applyFont="1" applyFill="1" applyBorder="1"/>
    <xf numFmtId="0" fontId="15" fillId="10" borderId="19" xfId="0" applyFont="1" applyFill="1" applyBorder="1"/>
    <xf numFmtId="0" fontId="15" fillId="10" borderId="20" xfId="0" applyFont="1" applyFill="1" applyBorder="1"/>
    <xf numFmtId="0" fontId="15" fillId="10" borderId="5" xfId="0" applyFont="1" applyFill="1" applyBorder="1"/>
    <xf numFmtId="0" fontId="17" fillId="10" borderId="22" xfId="0" applyFont="1" applyFill="1" applyBorder="1" applyAlignment="1">
      <alignment horizontal="right"/>
    </xf>
    <xf numFmtId="0" fontId="15" fillId="10" borderId="22" xfId="0" applyFont="1" applyFill="1" applyBorder="1"/>
    <xf numFmtId="0" fontId="17" fillId="10" borderId="0" xfId="0" applyFont="1" applyFill="1" applyAlignment="1">
      <alignment horizontal="right"/>
    </xf>
    <xf numFmtId="168" fontId="17" fillId="10" borderId="3" xfId="1" applyNumberFormat="1" applyFont="1" applyFill="1" applyBorder="1" applyAlignment="1"/>
    <xf numFmtId="168" fontId="15" fillId="0" borderId="2" xfId="1" applyNumberFormat="1" applyFont="1" applyFill="1" applyBorder="1" applyAlignment="1"/>
    <xf numFmtId="168" fontId="15" fillId="11" borderId="3" xfId="1" applyNumberFormat="1" applyFont="1" applyFill="1" applyBorder="1" applyAlignment="1"/>
    <xf numFmtId="168" fontId="15" fillId="0" borderId="4" xfId="1" applyNumberFormat="1" applyFont="1" applyFill="1" applyBorder="1" applyAlignment="1"/>
    <xf numFmtId="168" fontId="15" fillId="11" borderId="2" xfId="1" applyNumberFormat="1" applyFont="1" applyFill="1" applyBorder="1" applyAlignment="1"/>
    <xf numFmtId="168" fontId="15" fillId="11" borderId="3" xfId="1" applyNumberFormat="1" applyFont="1" applyFill="1" applyBorder="1" applyAlignment="1">
      <alignment horizontal="center"/>
    </xf>
    <xf numFmtId="168" fontId="15" fillId="11" borderId="4" xfId="1" applyNumberFormat="1" applyFont="1" applyFill="1" applyBorder="1" applyAlignment="1"/>
    <xf numFmtId="0" fontId="15" fillId="10" borderId="18" xfId="0" applyFont="1" applyFill="1" applyBorder="1" applyAlignment="1">
      <alignment horizontal="right" vertical="center"/>
    </xf>
    <xf numFmtId="0" fontId="0" fillId="9" borderId="18" xfId="0" applyFill="1" applyBorder="1"/>
    <xf numFmtId="0" fontId="17" fillId="10" borderId="5" xfId="0" applyFont="1" applyFill="1" applyBorder="1" applyAlignment="1">
      <alignment vertical="center" wrapText="1"/>
    </xf>
    <xf numFmtId="0" fontId="15" fillId="10" borderId="5" xfId="0" applyFont="1" applyFill="1" applyBorder="1" applyAlignment="1">
      <alignment horizontal="right" vertical="center"/>
    </xf>
    <xf numFmtId="10" fontId="15" fillId="0" borderId="1" xfId="2" applyNumberFormat="1" applyFont="1" applyFill="1" applyBorder="1" applyAlignment="1" applyProtection="1"/>
    <xf numFmtId="0" fontId="15" fillId="9" borderId="0" xfId="0" applyFont="1" applyFill="1" applyProtection="1">
      <protection locked="0"/>
    </xf>
    <xf numFmtId="0" fontId="17" fillId="10" borderId="5" xfId="0" applyFont="1" applyFill="1" applyBorder="1" applyAlignment="1">
      <alignment vertical="center"/>
    </xf>
    <xf numFmtId="0" fontId="0" fillId="10" borderId="5" xfId="0" applyFill="1" applyBorder="1"/>
    <xf numFmtId="0" fontId="1" fillId="10" borderId="0" xfId="0" applyFont="1" applyFill="1"/>
    <xf numFmtId="0" fontId="1" fillId="10" borderId="5" xfId="0" applyFont="1" applyFill="1" applyBorder="1"/>
    <xf numFmtId="168" fontId="15" fillId="10" borderId="22" xfId="1" applyNumberFormat="1" applyFont="1" applyFill="1" applyBorder="1" applyProtection="1"/>
    <xf numFmtId="0" fontId="0" fillId="9" borderId="5" xfId="0" applyFill="1" applyBorder="1"/>
    <xf numFmtId="168" fontId="1" fillId="10" borderId="0" xfId="1" applyNumberFormat="1" applyFont="1" applyFill="1" applyBorder="1" applyProtection="1"/>
    <xf numFmtId="168" fontId="15" fillId="10" borderId="0" xfId="1" applyNumberFormat="1" applyFont="1" applyFill="1" applyBorder="1" applyProtection="1"/>
    <xf numFmtId="0" fontId="15" fillId="10" borderId="5" xfId="0" applyFont="1" applyFill="1" applyBorder="1" applyAlignment="1">
      <alignment horizontal="right"/>
    </xf>
    <xf numFmtId="9" fontId="15" fillId="10" borderId="5" xfId="2" applyFont="1" applyFill="1" applyBorder="1" applyProtection="1"/>
    <xf numFmtId="9" fontId="15" fillId="10" borderId="0" xfId="2" applyFont="1" applyFill="1" applyBorder="1" applyProtection="1"/>
    <xf numFmtId="9" fontId="1" fillId="10" borderId="0" xfId="2" applyFill="1" applyBorder="1" applyProtection="1"/>
    <xf numFmtId="9" fontId="17" fillId="10" borderId="22" xfId="2" applyFont="1" applyFill="1" applyBorder="1" applyProtection="1"/>
    <xf numFmtId="0" fontId="17" fillId="10" borderId="22" xfId="0" applyFont="1" applyFill="1" applyBorder="1"/>
    <xf numFmtId="10" fontId="15" fillId="10" borderId="5" xfId="2" applyNumberFormat="1" applyFont="1" applyFill="1" applyBorder="1" applyProtection="1"/>
    <xf numFmtId="10" fontId="15" fillId="10" borderId="0" xfId="2" applyNumberFormat="1" applyFont="1" applyFill="1" applyBorder="1" applyProtection="1"/>
    <xf numFmtId="10" fontId="1" fillId="10" borderId="0" xfId="2" applyNumberFormat="1" applyFill="1" applyBorder="1" applyProtection="1"/>
    <xf numFmtId="10" fontId="17" fillId="10" borderId="22" xfId="2" applyNumberFormat="1" applyFont="1" applyFill="1" applyBorder="1" applyProtection="1"/>
    <xf numFmtId="0" fontId="2" fillId="10" borderId="5" xfId="0" applyFont="1" applyFill="1" applyBorder="1" applyAlignment="1">
      <alignment vertical="center"/>
    </xf>
    <xf numFmtId="0" fontId="15" fillId="10" borderId="5" xfId="0" applyFont="1" applyFill="1" applyBorder="1" applyProtection="1">
      <protection locked="0"/>
    </xf>
    <xf numFmtId="0" fontId="0" fillId="10" borderId="22" xfId="0" applyFill="1" applyBorder="1"/>
    <xf numFmtId="0" fontId="15" fillId="10" borderId="5" xfId="0" applyFont="1" applyFill="1" applyBorder="1" applyAlignment="1" applyProtection="1">
      <alignment wrapText="1"/>
      <protection locked="0"/>
    </xf>
    <xf numFmtId="0" fontId="15" fillId="10" borderId="22" xfId="0" applyFont="1" applyFill="1" applyBorder="1" applyAlignment="1">
      <alignment wrapText="1"/>
    </xf>
    <xf numFmtId="0" fontId="0" fillId="9" borderId="24" xfId="0" applyFill="1" applyBorder="1"/>
    <xf numFmtId="0" fontId="0" fillId="10" borderId="24" xfId="0" applyFill="1" applyBorder="1"/>
    <xf numFmtId="0" fontId="0" fillId="10" borderId="25" xfId="0" applyFill="1" applyBorder="1"/>
    <xf numFmtId="0" fontId="0" fillId="10" borderId="26" xfId="0" applyFill="1" applyBorder="1"/>
    <xf numFmtId="0" fontId="8" fillId="3" borderId="0" xfId="8" applyAlignment="1">
      <alignment horizontal="left"/>
    </xf>
    <xf numFmtId="0" fontId="4" fillId="3" borderId="25" xfId="4" applyBorder="1"/>
    <xf numFmtId="0" fontId="4" fillId="3" borderId="22" xfId="4" applyBorder="1"/>
    <xf numFmtId="0" fontId="20" fillId="3" borderId="0" xfId="0" applyFont="1" applyFill="1"/>
    <xf numFmtId="0" fontId="3" fillId="2" borderId="0" xfId="3" applyBorder="1" applyAlignment="1">
      <alignment vertical="center"/>
    </xf>
    <xf numFmtId="0" fontId="5" fillId="3" borderId="0" xfId="5" applyAlignment="1">
      <alignment horizontal="center"/>
    </xf>
    <xf numFmtId="0" fontId="6" fillId="6" borderId="28" xfId="21" applyBorder="1">
      <protection locked="0"/>
    </xf>
    <xf numFmtId="10" fontId="6" fillId="6" borderId="29" xfId="20" applyBorder="1">
      <protection locked="0"/>
    </xf>
    <xf numFmtId="0" fontId="6" fillId="6" borderId="30" xfId="21" applyBorder="1">
      <protection locked="0"/>
    </xf>
    <xf numFmtId="10" fontId="6" fillId="6" borderId="31" xfId="20" applyBorder="1">
      <protection locked="0"/>
    </xf>
    <xf numFmtId="0" fontId="6" fillId="6" borderId="32" xfId="21" applyBorder="1">
      <protection locked="0"/>
    </xf>
    <xf numFmtId="10" fontId="6" fillId="6" borderId="33" xfId="20" applyBorder="1">
      <protection locked="0"/>
    </xf>
    <xf numFmtId="0" fontId="9" fillId="7" borderId="18" xfId="13" applyBorder="1" applyAlignment="1" applyProtection="1">
      <alignment horizontal="left" vertical="top" wrapText="1"/>
      <protection locked="0"/>
    </xf>
    <xf numFmtId="0" fontId="9" fillId="7" borderId="19" xfId="13" applyBorder="1" applyAlignment="1" applyProtection="1">
      <alignment horizontal="left" vertical="top" wrapText="1"/>
      <protection locked="0"/>
    </xf>
    <xf numFmtId="0" fontId="9" fillId="7" borderId="5" xfId="13" applyBorder="1" applyAlignment="1" applyProtection="1">
      <alignment horizontal="left" vertical="top" wrapText="1"/>
      <protection locked="0"/>
    </xf>
    <xf numFmtId="0" fontId="9" fillId="7" borderId="0" xfId="13" applyBorder="1" applyAlignment="1" applyProtection="1">
      <alignment horizontal="left" vertical="top" wrapText="1"/>
      <protection locked="0"/>
    </xf>
    <xf numFmtId="0" fontId="9" fillId="7" borderId="24" xfId="13" applyBorder="1" applyAlignment="1" applyProtection="1">
      <alignment horizontal="left" vertical="top" wrapText="1"/>
      <protection locked="0"/>
    </xf>
    <xf numFmtId="0" fontId="9" fillId="7" borderId="25" xfId="13" applyBorder="1" applyAlignment="1" applyProtection="1">
      <alignment horizontal="left" vertical="top" wrapText="1"/>
      <protection locked="0"/>
    </xf>
    <xf numFmtId="0" fontId="22" fillId="0" borderId="0" xfId="0" applyFont="1"/>
    <xf numFmtId="0" fontId="20" fillId="0" borderId="0" xfId="0" applyFont="1"/>
    <xf numFmtId="0" fontId="4" fillId="0" borderId="0" xfId="4" applyFill="1" applyBorder="1"/>
    <xf numFmtId="0" fontId="8" fillId="0" borderId="0" xfId="0" applyFont="1"/>
    <xf numFmtId="0" fontId="23" fillId="0" borderId="0" xfId="4" applyFont="1" applyFill="1" applyBorder="1"/>
    <xf numFmtId="0" fontId="22" fillId="12" borderId="0" xfId="0" applyFont="1" applyFill="1"/>
    <xf numFmtId="0" fontId="24" fillId="0" borderId="0" xfId="0" applyFont="1"/>
    <xf numFmtId="0" fontId="22" fillId="0" borderId="0" xfId="0" applyFont="1" applyAlignment="1">
      <alignment horizontal="left" wrapText="1"/>
    </xf>
    <xf numFmtId="0" fontId="20" fillId="0" borderId="0" xfId="0" applyFont="1" applyAlignment="1">
      <alignment horizontal="left"/>
    </xf>
    <xf numFmtId="0" fontId="5" fillId="0" borderId="0" xfId="5" applyFill="1"/>
    <xf numFmtId="0" fontId="20" fillId="12" borderId="0" xfId="0" applyFont="1" applyFill="1"/>
    <xf numFmtId="0" fontId="9" fillId="7" borderId="20" xfId="13" applyBorder="1" applyAlignment="1" applyProtection="1">
      <alignment horizontal="left" vertical="top" wrapText="1"/>
      <protection locked="0"/>
    </xf>
    <xf numFmtId="0" fontId="9" fillId="7" borderId="22" xfId="13" applyBorder="1" applyAlignment="1" applyProtection="1">
      <alignment horizontal="left" vertical="top" wrapText="1"/>
      <protection locked="0"/>
    </xf>
    <xf numFmtId="0" fontId="9" fillId="7" borderId="26" xfId="13" applyBorder="1" applyAlignment="1" applyProtection="1">
      <alignment horizontal="left" vertical="top" wrapText="1"/>
      <protection locked="0"/>
    </xf>
    <xf numFmtId="165" fontId="9" fillId="7" borderId="10" xfId="1" applyNumberFormat="1" applyFont="1" applyFill="1" applyBorder="1"/>
    <xf numFmtId="1" fontId="9" fillId="7" borderId="10" xfId="1" applyNumberFormat="1" applyFont="1" applyFill="1" applyBorder="1"/>
    <xf numFmtId="1" fontId="9" fillId="7" borderId="13" xfId="1" applyNumberFormat="1" applyFont="1" applyFill="1" applyBorder="1"/>
    <xf numFmtId="165" fontId="9" fillId="7" borderId="13" xfId="1" applyNumberFormat="1" applyFont="1" applyFill="1" applyBorder="1"/>
    <xf numFmtId="0" fontId="3" fillId="2" borderId="0" xfId="3" applyBorder="1" applyAlignment="1">
      <alignment horizontal="left" vertical="center"/>
    </xf>
    <xf numFmtId="0" fontId="6" fillId="4" borderId="2" xfId="6" applyBorder="1" applyAlignment="1">
      <alignment horizontal="left" vertical="top" wrapText="1"/>
      <protection locked="0"/>
    </xf>
    <xf numFmtId="0" fontId="6" fillId="4" borderId="3" xfId="6" applyBorder="1" applyAlignment="1">
      <alignment horizontal="left" vertical="top" wrapText="1"/>
      <protection locked="0"/>
    </xf>
    <xf numFmtId="0" fontId="6" fillId="4" borderId="4" xfId="6" applyBorder="1" applyAlignment="1">
      <alignment horizontal="left" vertical="top" wrapText="1"/>
      <protection locked="0"/>
    </xf>
    <xf numFmtId="0" fontId="3" fillId="2" borderId="0" xfId="3" applyBorder="1">
      <alignment horizontal="center" vertical="center"/>
    </xf>
    <xf numFmtId="0" fontId="9" fillId="7" borderId="18" xfId="13" applyBorder="1" applyAlignment="1">
      <alignment horizontal="left"/>
    </xf>
    <xf numFmtId="0" fontId="9" fillId="7" borderId="19" xfId="13" applyBorder="1" applyAlignment="1">
      <alignment horizontal="left"/>
    </xf>
    <xf numFmtId="0" fontId="9" fillId="7" borderId="20" xfId="13" applyBorder="1" applyAlignment="1">
      <alignment horizontal="left"/>
    </xf>
    <xf numFmtId="0" fontId="9" fillId="7" borderId="17" xfId="13" applyBorder="1" applyAlignment="1">
      <alignment horizontal="left"/>
    </xf>
    <xf numFmtId="0" fontId="9" fillId="7" borderId="23" xfId="13" applyBorder="1" applyAlignment="1">
      <alignment horizontal="left"/>
    </xf>
    <xf numFmtId="0" fontId="9" fillId="7" borderId="11" xfId="13" applyBorder="1" applyAlignment="1">
      <alignment horizontal="left"/>
    </xf>
    <xf numFmtId="0" fontId="9" fillId="7" borderId="24" xfId="13" applyBorder="1" applyAlignment="1">
      <alignment horizontal="left"/>
    </xf>
    <xf numFmtId="0" fontId="9" fillId="7" borderId="25" xfId="13" applyBorder="1" applyAlignment="1">
      <alignment horizontal="left"/>
    </xf>
    <xf numFmtId="0" fontId="9" fillId="7" borderId="26" xfId="13" applyBorder="1" applyAlignment="1">
      <alignment horizontal="left"/>
    </xf>
    <xf numFmtId="0" fontId="17" fillId="10" borderId="27" xfId="0" applyFont="1" applyFill="1" applyBorder="1" applyAlignment="1">
      <alignment horizontal="left" vertical="center" wrapText="1"/>
    </xf>
    <xf numFmtId="0" fontId="15" fillId="11" borderId="18" xfId="0" applyFont="1" applyFill="1" applyBorder="1" applyAlignment="1" applyProtection="1">
      <alignment vertical="center"/>
      <protection locked="0"/>
    </xf>
    <xf numFmtId="0" fontId="15" fillId="11" borderId="19" xfId="0" applyFont="1" applyFill="1" applyBorder="1" applyAlignment="1" applyProtection="1">
      <alignment vertical="center"/>
      <protection locked="0"/>
    </xf>
    <xf numFmtId="0" fontId="15" fillId="11" borderId="20" xfId="0" applyFont="1" applyFill="1" applyBorder="1" applyAlignment="1" applyProtection="1">
      <alignment vertical="center"/>
      <protection locked="0"/>
    </xf>
    <xf numFmtId="0" fontId="15" fillId="11" borderId="5" xfId="0" applyFont="1" applyFill="1" applyBorder="1" applyAlignment="1" applyProtection="1">
      <alignment vertical="center"/>
      <protection locked="0"/>
    </xf>
    <xf numFmtId="0" fontId="15" fillId="11" borderId="0" xfId="0" applyFont="1" applyFill="1" applyAlignment="1" applyProtection="1">
      <alignment vertical="center"/>
      <protection locked="0"/>
    </xf>
    <xf numFmtId="0" fontId="15" fillId="11" borderId="22" xfId="0" applyFont="1" applyFill="1" applyBorder="1" applyAlignment="1" applyProtection="1">
      <alignment vertical="center"/>
      <protection locked="0"/>
    </xf>
    <xf numFmtId="0" fontId="15" fillId="11" borderId="24" xfId="0" applyFont="1" applyFill="1" applyBorder="1" applyAlignment="1" applyProtection="1">
      <alignment vertical="center"/>
      <protection locked="0"/>
    </xf>
    <xf numFmtId="0" fontId="15" fillId="11" borderId="25" xfId="0" applyFont="1" applyFill="1" applyBorder="1" applyAlignment="1" applyProtection="1">
      <alignment vertical="center"/>
      <protection locked="0"/>
    </xf>
    <xf numFmtId="0" fontId="15" fillId="11" borderId="26" xfId="0" applyFont="1" applyFill="1" applyBorder="1" applyAlignment="1" applyProtection="1">
      <alignment vertical="center"/>
      <protection locked="0"/>
    </xf>
    <xf numFmtId="0" fontId="15" fillId="0" borderId="2" xfId="2" applyNumberFormat="1" applyFont="1" applyFill="1" applyBorder="1" applyAlignment="1" applyProtection="1">
      <alignment horizontal="center"/>
    </xf>
    <xf numFmtId="9" fontId="15" fillId="0" borderId="3" xfId="2" applyFont="1" applyFill="1" applyBorder="1" applyAlignment="1" applyProtection="1">
      <alignment horizontal="center"/>
    </xf>
    <xf numFmtId="9" fontId="15" fillId="0" borderId="4" xfId="2" applyFont="1" applyFill="1" applyBorder="1" applyAlignment="1" applyProtection="1">
      <alignment horizontal="center"/>
    </xf>
    <xf numFmtId="9" fontId="15" fillId="0" borderId="2" xfId="2" applyFont="1" applyFill="1" applyBorder="1" applyAlignment="1" applyProtection="1">
      <alignment horizontal="center"/>
    </xf>
    <xf numFmtId="0" fontId="15" fillId="0" borderId="18" xfId="0" applyFont="1" applyBorder="1" applyAlignment="1" applyProtection="1">
      <alignment wrapText="1"/>
      <protection locked="0"/>
    </xf>
    <xf numFmtId="0" fontId="15" fillId="0" borderId="20" xfId="0" applyFont="1" applyBorder="1" applyAlignment="1" applyProtection="1">
      <alignment wrapText="1"/>
      <protection locked="0"/>
    </xf>
    <xf numFmtId="0" fontId="15" fillId="0" borderId="5" xfId="0" applyFont="1" applyBorder="1" applyAlignment="1" applyProtection="1">
      <alignment wrapText="1"/>
      <protection locked="0"/>
    </xf>
    <xf numFmtId="0" fontId="15" fillId="0" borderId="22" xfId="0" applyFont="1" applyBorder="1" applyAlignment="1" applyProtection="1">
      <alignment wrapText="1"/>
      <protection locked="0"/>
    </xf>
    <xf numFmtId="0" fontId="15" fillId="0" borderId="24" xfId="0" applyFont="1" applyBorder="1" applyAlignment="1" applyProtection="1">
      <alignment wrapText="1"/>
      <protection locked="0"/>
    </xf>
    <xf numFmtId="0" fontId="15" fillId="0" borderId="26" xfId="0" applyFont="1" applyBorder="1" applyAlignment="1" applyProtection="1">
      <alignment wrapText="1"/>
      <protection locked="0"/>
    </xf>
    <xf numFmtId="0" fontId="17" fillId="10" borderId="5" xfId="0" applyFont="1" applyFill="1" applyBorder="1" applyAlignment="1">
      <alignment vertical="center" wrapText="1"/>
    </xf>
    <xf numFmtId="0" fontId="15" fillId="0" borderId="18" xfId="0" applyFont="1" applyBorder="1" applyAlignment="1" applyProtection="1">
      <alignment horizontal="center" vertical="center" wrapText="1"/>
      <protection locked="0"/>
    </xf>
    <xf numFmtId="0" fontId="15" fillId="0" borderId="20" xfId="0" applyFont="1" applyBorder="1" applyAlignment="1" applyProtection="1">
      <alignment horizontal="center" vertical="center" wrapText="1"/>
      <protection locked="0"/>
    </xf>
    <xf numFmtId="0" fontId="15" fillId="0" borderId="5" xfId="0" applyFont="1" applyBorder="1" applyAlignment="1" applyProtection="1">
      <alignment horizontal="center" vertical="center" wrapText="1"/>
      <protection locked="0"/>
    </xf>
    <xf numFmtId="0" fontId="15" fillId="0" borderId="22" xfId="0" applyFont="1" applyBorder="1" applyAlignment="1" applyProtection="1">
      <alignment horizontal="center" vertical="center" wrapText="1"/>
      <protection locked="0"/>
    </xf>
    <xf numFmtId="0" fontId="15" fillId="0" borderId="24" xfId="0" applyFont="1" applyBorder="1" applyAlignment="1" applyProtection="1">
      <alignment horizontal="center" vertical="center" wrapText="1"/>
      <protection locked="0"/>
    </xf>
    <xf numFmtId="0" fontId="15" fillId="0" borderId="26" xfId="0" applyFont="1" applyBorder="1" applyAlignment="1" applyProtection="1">
      <alignment horizontal="center" vertical="center" wrapText="1"/>
      <protection locked="0"/>
    </xf>
    <xf numFmtId="0" fontId="15" fillId="0" borderId="2" xfId="0" applyFont="1" applyBorder="1" applyAlignment="1">
      <alignment horizontal="center"/>
    </xf>
    <xf numFmtId="0" fontId="15" fillId="0" borderId="4" xfId="0" applyFont="1" applyBorder="1" applyAlignment="1">
      <alignment horizontal="center"/>
    </xf>
    <xf numFmtId="0" fontId="15" fillId="0" borderId="3" xfId="0" applyFont="1" applyBorder="1" applyAlignment="1">
      <alignment horizontal="center"/>
    </xf>
    <xf numFmtId="0" fontId="15" fillId="11" borderId="2" xfId="0" applyFont="1" applyFill="1" applyBorder="1" applyAlignment="1">
      <alignment horizontal="center"/>
    </xf>
    <xf numFmtId="0" fontId="15" fillId="11" borderId="3" xfId="0" applyFont="1" applyFill="1" applyBorder="1" applyAlignment="1">
      <alignment horizontal="center"/>
    </xf>
    <xf numFmtId="0" fontId="15" fillId="11" borderId="4" xfId="0" applyFont="1" applyFill="1" applyBorder="1" applyAlignment="1">
      <alignment horizontal="center"/>
    </xf>
    <xf numFmtId="0" fontId="15" fillId="10" borderId="3" xfId="0" applyFont="1" applyFill="1" applyBorder="1" applyAlignment="1">
      <alignment horizontal="center"/>
    </xf>
    <xf numFmtId="0" fontId="15" fillId="11" borderId="2" xfId="0" applyFont="1" applyFill="1" applyBorder="1" applyAlignment="1" applyProtection="1">
      <alignment horizontal="center"/>
      <protection locked="0"/>
    </xf>
    <xf numFmtId="0" fontId="15" fillId="11" borderId="3" xfId="0" applyFont="1" applyFill="1" applyBorder="1" applyAlignment="1" applyProtection="1">
      <alignment horizontal="center"/>
      <protection locked="0"/>
    </xf>
    <xf numFmtId="0" fontId="15" fillId="11" borderId="4" xfId="0" applyFont="1" applyFill="1" applyBorder="1" applyAlignment="1" applyProtection="1">
      <alignment horizontal="center"/>
      <protection locked="0"/>
    </xf>
    <xf numFmtId="0" fontId="15" fillId="0" borderId="2" xfId="0" applyFont="1" applyBorder="1" applyAlignment="1" applyProtection="1">
      <alignment horizontal="left"/>
      <protection locked="0"/>
    </xf>
    <xf numFmtId="0" fontId="15" fillId="0" borderId="3" xfId="0" applyFont="1" applyBorder="1" applyAlignment="1" applyProtection="1">
      <alignment horizontal="left"/>
      <protection locked="0"/>
    </xf>
    <xf numFmtId="0" fontId="15" fillId="0" borderId="4" xfId="0" applyFont="1" applyBorder="1" applyAlignment="1" applyProtection="1">
      <alignment horizontal="left"/>
      <protection locked="0"/>
    </xf>
    <xf numFmtId="0" fontId="14" fillId="8" borderId="2" xfId="0" applyFont="1" applyFill="1" applyBorder="1" applyAlignment="1">
      <alignment horizontal="left"/>
    </xf>
    <xf numFmtId="0" fontId="14" fillId="8" borderId="3" xfId="0" applyFont="1" applyFill="1" applyBorder="1" applyAlignment="1">
      <alignment horizontal="left"/>
    </xf>
    <xf numFmtId="0" fontId="14" fillId="8" borderId="4" xfId="0" applyFont="1" applyFill="1" applyBorder="1" applyAlignment="1">
      <alignment horizontal="left"/>
    </xf>
    <xf numFmtId="0" fontId="15" fillId="0" borderId="2" xfId="1" applyNumberFormat="1" applyFont="1" applyFill="1" applyBorder="1" applyAlignment="1" applyProtection="1">
      <alignment horizontal="center"/>
    </xf>
    <xf numFmtId="0" fontId="15" fillId="0" borderId="3" xfId="1" applyNumberFormat="1" applyFont="1" applyFill="1" applyBorder="1" applyAlignment="1" applyProtection="1">
      <alignment horizontal="center"/>
    </xf>
    <xf numFmtId="0" fontId="15" fillId="0" borderId="4" xfId="1" applyNumberFormat="1" applyFont="1" applyFill="1" applyBorder="1" applyAlignment="1" applyProtection="1">
      <alignment horizontal="center"/>
    </xf>
    <xf numFmtId="0" fontId="15" fillId="0" borderId="2" xfId="0" applyFont="1" applyBorder="1" applyAlignment="1" applyProtection="1">
      <alignment horizontal="center"/>
      <protection locked="0"/>
    </xf>
    <xf numFmtId="0" fontId="15" fillId="0" borderId="3" xfId="0" applyFont="1" applyBorder="1" applyAlignment="1" applyProtection="1">
      <alignment horizontal="center"/>
      <protection locked="0"/>
    </xf>
    <xf numFmtId="0" fontId="15" fillId="0" borderId="4" xfId="0" applyFont="1" applyBorder="1" applyAlignment="1" applyProtection="1">
      <alignment horizontal="center"/>
      <protection locked="0"/>
    </xf>
    <xf numFmtId="0" fontId="6" fillId="4" borderId="18" xfId="6" applyBorder="1" applyAlignment="1">
      <alignment wrapText="1"/>
      <protection locked="0"/>
    </xf>
    <xf numFmtId="0" fontId="6" fillId="4" borderId="19" xfId="6" applyBorder="1">
      <protection locked="0"/>
    </xf>
    <xf numFmtId="0" fontId="6" fillId="4" borderId="20" xfId="6" applyBorder="1">
      <protection locked="0"/>
    </xf>
    <xf numFmtId="0" fontId="6" fillId="4" borderId="5" xfId="6" applyBorder="1">
      <protection locked="0"/>
    </xf>
    <xf numFmtId="0" fontId="6" fillId="4" borderId="0" xfId="6" applyBorder="1">
      <protection locked="0"/>
    </xf>
    <xf numFmtId="0" fontId="6" fillId="4" borderId="22" xfId="6" applyBorder="1">
      <protection locked="0"/>
    </xf>
    <xf numFmtId="0" fontId="6" fillId="4" borderId="24" xfId="6" applyBorder="1">
      <protection locked="0"/>
    </xf>
    <xf numFmtId="0" fontId="6" fillId="4" borderId="25" xfId="6" applyBorder="1">
      <protection locked="0"/>
    </xf>
    <xf numFmtId="0" fontId="6" fillId="4" borderId="26" xfId="6" applyBorder="1">
      <protection locked="0"/>
    </xf>
    <xf numFmtId="0" fontId="3" fillId="2" borderId="25" xfId="3" applyBorder="1">
      <alignment horizontal="center" vertical="center"/>
    </xf>
    <xf numFmtId="0" fontId="9" fillId="7" borderId="2" xfId="13" applyBorder="1"/>
    <xf numFmtId="0" fontId="9" fillId="7" borderId="3" xfId="13" applyBorder="1"/>
    <xf numFmtId="0" fontId="9" fillId="7" borderId="4" xfId="13" applyBorder="1"/>
    <xf numFmtId="0" fontId="22" fillId="0" borderId="0" xfId="0" applyFont="1" applyAlignment="1">
      <alignment wrapText="1"/>
    </xf>
    <xf numFmtId="0" fontId="22" fillId="12" borderId="0" xfId="0" applyFont="1" applyFill="1" applyAlignment="1">
      <alignment wrapText="1"/>
    </xf>
    <xf numFmtId="0" fontId="22" fillId="4" borderId="2" xfId="0" applyFont="1" applyFill="1" applyBorder="1" applyAlignment="1">
      <alignment horizontal="center"/>
    </xf>
    <xf numFmtId="0" fontId="22" fillId="4" borderId="3" xfId="0" applyFont="1" applyFill="1" applyBorder="1" applyAlignment="1">
      <alignment horizontal="center"/>
    </xf>
    <xf numFmtId="0" fontId="22" fillId="4" borderId="4" xfId="0" applyFont="1" applyFill="1" applyBorder="1" applyAlignment="1">
      <alignment horizontal="center"/>
    </xf>
    <xf numFmtId="14" fontId="22" fillId="4" borderId="2" xfId="0" applyNumberFormat="1" applyFont="1" applyFill="1" applyBorder="1" applyAlignment="1">
      <alignment horizontal="center"/>
    </xf>
    <xf numFmtId="14" fontId="22" fillId="4" borderId="3" xfId="0" applyNumberFormat="1" applyFont="1" applyFill="1" applyBorder="1" applyAlignment="1">
      <alignment horizontal="center"/>
    </xf>
    <xf numFmtId="14" fontId="22" fillId="4" borderId="4" xfId="0" applyNumberFormat="1" applyFont="1" applyFill="1" applyBorder="1" applyAlignment="1">
      <alignment horizontal="center"/>
    </xf>
    <xf numFmtId="0" fontId="22" fillId="13" borderId="2" xfId="0" applyFont="1" applyFill="1" applyBorder="1" applyAlignment="1">
      <alignment horizontal="center"/>
    </xf>
    <xf numFmtId="0" fontId="22" fillId="13" borderId="3" xfId="0" applyFont="1" applyFill="1" applyBorder="1" applyAlignment="1">
      <alignment horizontal="center"/>
    </xf>
    <xf numFmtId="0" fontId="22" fillId="13" borderId="4" xfId="0" applyFont="1" applyFill="1" applyBorder="1" applyAlignment="1">
      <alignment horizontal="center"/>
    </xf>
    <xf numFmtId="0" fontId="22" fillId="12" borderId="0" xfId="0" applyFont="1" applyFill="1" applyAlignment="1">
      <alignment horizontal="left" wrapText="1"/>
    </xf>
    <xf numFmtId="0" fontId="22" fillId="0" borderId="0" xfId="0" applyFont="1" applyAlignment="1">
      <alignment horizontal="left" wrapText="1"/>
    </xf>
    <xf numFmtId="10" fontId="9" fillId="7" borderId="17" xfId="18" applyBorder="1"/>
    <xf numFmtId="10" fontId="9" fillId="7" borderId="11" xfId="18" applyBorder="1"/>
    <xf numFmtId="10" fontId="9" fillId="7" borderId="21" xfId="18" applyBorder="1"/>
    <xf numFmtId="10" fontId="9" fillId="7" borderId="14" xfId="18" applyBorder="1"/>
    <xf numFmtId="10" fontId="9" fillId="7" borderId="16" xfId="18" applyBorder="1"/>
    <xf numFmtId="10" fontId="9" fillId="7" borderId="9" xfId="18" applyBorder="1"/>
    <xf numFmtId="0" fontId="7" fillId="5" borderId="1" xfId="7">
      <alignment horizontal="center" vertical="center" wrapText="1"/>
    </xf>
    <xf numFmtId="0" fontId="5" fillId="3" borderId="0" xfId="5" applyAlignment="1">
      <alignment horizontal="center"/>
    </xf>
    <xf numFmtId="0" fontId="4" fillId="3" borderId="0" xfId="4" applyBorder="1"/>
    <xf numFmtId="0" fontId="10" fillId="3" borderId="0" xfId="4" applyFont="1" applyBorder="1" applyAlignment="1">
      <alignment horizontal="center"/>
    </xf>
  </cellXfs>
  <cellStyles count="22">
    <cellStyle name="Comma" xfId="1" builtinId="3"/>
    <cellStyle name="FldHeading" xfId="8" xr:uid="{1C969A3C-1A80-4F7C-B8E8-B95C109D7ACE}"/>
    <cellStyle name="InCom" xfId="6" xr:uid="{55CCF95D-90C2-4FA0-9197-ACA171EF6CAF}"/>
    <cellStyle name="InGen" xfId="21" xr:uid="{E445B29F-F1CB-4A8B-B328-4DCF632169B3}"/>
    <cellStyle name="InGenDrop" xfId="17" xr:uid="{E48F549D-4883-4EDB-893B-2366C4903079}"/>
    <cellStyle name="InNum0dp" xfId="9" xr:uid="{6C35F21E-C343-495D-823B-DDA75D0AD196}"/>
    <cellStyle name="InPerc0dp" xfId="14" xr:uid="{3BB5C855-7D1B-49E6-A22D-6058006CE119}"/>
    <cellStyle name="InPerc1dp" xfId="12" xr:uid="{449C4096-2269-4555-AD3B-9285FFC45C4E}"/>
    <cellStyle name="InPerc2dp" xfId="20" xr:uid="{B5CAAD41-7301-4F1D-817E-2204596B8EBB}"/>
    <cellStyle name="Normal" xfId="0" builtinId="0"/>
    <cellStyle name="OutDate" xfId="19" xr:uid="{17EECFB2-8476-4DDA-A058-82426772ADC4}"/>
    <cellStyle name="OutGen" xfId="13" xr:uid="{9D13611C-5AD9-430A-8300-FFFCDF09BE06}"/>
    <cellStyle name="OutNum0dp" xfId="10" xr:uid="{0B00AE66-1517-48BE-AFDB-ADABB03C9ABD}"/>
    <cellStyle name="OutNum2dp" xfId="16" xr:uid="{DDFBA27C-25A3-433C-9C98-F3319A0FD9AF}"/>
    <cellStyle name="OutPerc0dp" xfId="11" xr:uid="{1786F228-C560-4AAE-8D15-29E047940762}"/>
    <cellStyle name="OutPerc1dp" xfId="15" xr:uid="{6E78A138-5DE6-4A9D-A62C-F51B7FF1044B}"/>
    <cellStyle name="OutPerc2dp" xfId="18" xr:uid="{74B2183E-2B67-4D3B-8F7B-94E9154D6AA9}"/>
    <cellStyle name="Per cent" xfId="2" builtinId="5"/>
    <cellStyle name="SecHeading" xfId="5" xr:uid="{ABFF59DA-6004-43CE-A9D7-1A7B881C44AB}"/>
    <cellStyle name="ShtBack" xfId="4" xr:uid="{DCBDA6C2-3E59-403B-86D5-776C61CD9E8D}"/>
    <cellStyle name="ShtHeading" xfId="3" xr:uid="{3403FCF7-2E2C-42D4-A0F6-CD5082F42D42}"/>
    <cellStyle name="TblHeading" xfId="7" xr:uid="{B17B121A-00A3-416F-947A-B791CB0C8C15}"/>
  </cellStyles>
  <dxfs count="7">
    <dxf>
      <fill>
        <patternFill>
          <bgColor rgb="FFFFFF99"/>
        </patternFill>
      </fill>
    </dxf>
    <dxf>
      <fill>
        <patternFill>
          <bgColor rgb="FFFFFF99"/>
        </patternFill>
      </fill>
    </dxf>
    <dxf>
      <fill>
        <patternFill>
          <bgColor rgb="FFFFFF00"/>
        </patternFill>
      </fill>
    </dxf>
    <dxf>
      <fill>
        <patternFill>
          <bgColor rgb="FFFFFF00"/>
        </patternFill>
      </fill>
    </dxf>
    <dxf>
      <fill>
        <patternFill>
          <bgColor rgb="FFA8C5EB"/>
        </patternFill>
      </fill>
    </dxf>
    <dxf>
      <font>
        <b/>
        <i val="0"/>
      </font>
    </dxf>
    <dxf>
      <fill>
        <patternFill>
          <bgColor rgb="FFA8C5EB"/>
        </patternFill>
      </fill>
    </dxf>
  </dxfs>
  <tableStyles count="0" defaultTableStyle="TableStyleMedium2" defaultPivotStyle="PivotStyleLight16"/>
  <colors>
    <mruColors>
      <color rgb="FFFAEA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xdr:twoCellAnchor>
    <xdr:from>
      <xdr:col>13</xdr:col>
      <xdr:colOff>565439</xdr:colOff>
      <xdr:row>12</xdr:row>
      <xdr:rowOff>183368</xdr:rowOff>
    </xdr:from>
    <xdr:to>
      <xdr:col>16</xdr:col>
      <xdr:colOff>692726</xdr:colOff>
      <xdr:row>14</xdr:row>
      <xdr:rowOff>493567</xdr:rowOff>
    </xdr:to>
    <xdr:sp macro="" textlink="">
      <xdr:nvSpPr>
        <xdr:cNvPr id="2" name="Rectangle: Rounded Corners 1">
          <a:extLst>
            <a:ext uri="{FF2B5EF4-FFF2-40B4-BE49-F238E27FC236}">
              <a16:creationId xmlns:a16="http://schemas.microsoft.com/office/drawing/2014/main" id="{9AF84317-7F5B-4FE8-8C20-55A0BB53FFF1}"/>
            </a:ext>
          </a:extLst>
        </xdr:cNvPr>
        <xdr:cNvSpPr/>
      </xdr:nvSpPr>
      <xdr:spPr>
        <a:xfrm>
          <a:off x="14177530" y="2469368"/>
          <a:ext cx="3616901" cy="691199"/>
        </a:xfrm>
        <a:prstGeom prst="roundRect">
          <a:avLst/>
        </a:prstGeom>
        <a:solidFill>
          <a:schemeClr val="bg1">
            <a:lumMod val="95000"/>
          </a:schemeClr>
        </a:solidFill>
        <a:ln w="9525">
          <a:solidFill>
            <a:srgbClr val="FF3399"/>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chemeClr val="tx1">
                  <a:lumMod val="65000"/>
                  <a:lumOff val="35000"/>
                </a:schemeClr>
              </a:solidFill>
            </a:rPr>
            <a:t>Note on Metrics</a:t>
          </a:r>
          <a:endParaRPr lang="en-GB" sz="1100" b="1" baseline="0">
            <a:solidFill>
              <a:schemeClr val="tx1">
                <a:lumMod val="65000"/>
                <a:lumOff val="35000"/>
              </a:schemeClr>
            </a:solidFill>
          </a:endParaRPr>
        </a:p>
        <a:p>
          <a:pPr algn="l"/>
          <a:r>
            <a:rPr lang="en-GB" sz="1100" baseline="0">
              <a:solidFill>
                <a:schemeClr val="tx1">
                  <a:lumMod val="65000"/>
                  <a:lumOff val="35000"/>
                </a:schemeClr>
              </a:solidFill>
            </a:rPr>
            <a:t>Cat Rater:   1 in X / TOTAL premium</a:t>
          </a:r>
        </a:p>
        <a:p>
          <a:pPr algn="l"/>
          <a:r>
            <a:rPr lang="en-GB" sz="1100" baseline="0">
              <a:solidFill>
                <a:schemeClr val="tx1">
                  <a:lumMod val="65000"/>
                  <a:lumOff val="35000"/>
                </a:schemeClr>
              </a:solidFill>
            </a:rPr>
            <a:t>CMOG:        1 in X / CAT premium</a:t>
          </a:r>
          <a:endParaRPr lang="en-GB" sz="1100">
            <a:solidFill>
              <a:schemeClr val="tx1">
                <a:lumMod val="65000"/>
                <a:lumOff val="3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319088</xdr:colOff>
          <xdr:row>58</xdr:row>
          <xdr:rowOff>19050</xdr:rowOff>
        </xdr:from>
        <xdr:to>
          <xdr:col>5</xdr:col>
          <xdr:colOff>304800</xdr:colOff>
          <xdr:row>60</xdr:row>
          <xdr:rowOff>57150</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11</xdr:col>
          <xdr:colOff>33338</xdr:colOff>
          <xdr:row>58</xdr:row>
          <xdr:rowOff>19050</xdr:rowOff>
        </xdr:from>
        <xdr:to>
          <xdr:col>11</xdr:col>
          <xdr:colOff>566738</xdr:colOff>
          <xdr:row>59</xdr:row>
          <xdr:rowOff>166688</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2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17</xdr:col>
          <xdr:colOff>14288</xdr:colOff>
          <xdr:row>58</xdr:row>
          <xdr:rowOff>19050</xdr:rowOff>
        </xdr:from>
        <xdr:to>
          <xdr:col>17</xdr:col>
          <xdr:colOff>609600</xdr:colOff>
          <xdr:row>59</xdr:row>
          <xdr:rowOff>166688</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2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22</xdr:col>
          <xdr:colOff>533400</xdr:colOff>
          <xdr:row>58</xdr:row>
          <xdr:rowOff>19050</xdr:rowOff>
        </xdr:from>
        <xdr:to>
          <xdr:col>23</xdr:col>
          <xdr:colOff>557213</xdr:colOff>
          <xdr:row>59</xdr:row>
          <xdr:rowOff>166688</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2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28</xdr:col>
          <xdr:colOff>457200</xdr:colOff>
          <xdr:row>58</xdr:row>
          <xdr:rowOff>19050</xdr:rowOff>
        </xdr:from>
        <xdr:to>
          <xdr:col>29</xdr:col>
          <xdr:colOff>261938</xdr:colOff>
          <xdr:row>60</xdr:row>
          <xdr:rowOff>57150</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200-00000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34</xdr:col>
          <xdr:colOff>547688</xdr:colOff>
          <xdr:row>58</xdr:row>
          <xdr:rowOff>19050</xdr:rowOff>
        </xdr:from>
        <xdr:to>
          <xdr:col>35</xdr:col>
          <xdr:colOff>481013</xdr:colOff>
          <xdr:row>59</xdr:row>
          <xdr:rowOff>166688</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200-00000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40</xdr:col>
          <xdr:colOff>514350</xdr:colOff>
          <xdr:row>58</xdr:row>
          <xdr:rowOff>19050</xdr:rowOff>
        </xdr:from>
        <xdr:to>
          <xdr:col>41</xdr:col>
          <xdr:colOff>552450</xdr:colOff>
          <xdr:row>59</xdr:row>
          <xdr:rowOff>166688</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2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46</xdr:col>
          <xdr:colOff>438150</xdr:colOff>
          <xdr:row>58</xdr:row>
          <xdr:rowOff>19050</xdr:rowOff>
        </xdr:from>
        <xdr:to>
          <xdr:col>47</xdr:col>
          <xdr:colOff>538163</xdr:colOff>
          <xdr:row>59</xdr:row>
          <xdr:rowOff>171450</xdr:rowOff>
        </xdr:to>
        <xdr:sp macro="" textlink="">
          <xdr:nvSpPr>
            <xdr:cNvPr id="3080" name="Check Box 8" hidden="1">
              <a:extLst>
                <a:ext uri="{63B3BB69-23CF-44E3-9099-C40C66FF867C}">
                  <a14:compatExt spid="_x0000_s3080"/>
                </a:ext>
                <a:ext uri="{FF2B5EF4-FFF2-40B4-BE49-F238E27FC236}">
                  <a16:creationId xmlns:a16="http://schemas.microsoft.com/office/drawing/2014/main" id="{00000000-0008-0000-0200-00000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10</xdr:col>
          <xdr:colOff>319088</xdr:colOff>
          <xdr:row>58</xdr:row>
          <xdr:rowOff>19050</xdr:rowOff>
        </xdr:from>
        <xdr:to>
          <xdr:col>11</xdr:col>
          <xdr:colOff>304800</xdr:colOff>
          <xdr:row>60</xdr:row>
          <xdr:rowOff>57150</xdr:rowOff>
        </xdr:to>
        <xdr:sp macro="" textlink="">
          <xdr:nvSpPr>
            <xdr:cNvPr id="3083" name="Check Box 11" hidden="1">
              <a:extLst>
                <a:ext uri="{63B3BB69-23CF-44E3-9099-C40C66FF867C}">
                  <a14:compatExt spid="_x0000_s3083"/>
                </a:ext>
                <a:ext uri="{FF2B5EF4-FFF2-40B4-BE49-F238E27FC236}">
                  <a16:creationId xmlns:a16="http://schemas.microsoft.com/office/drawing/2014/main" id="{00000000-0008-0000-0200-00000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16</xdr:col>
          <xdr:colOff>319088</xdr:colOff>
          <xdr:row>58</xdr:row>
          <xdr:rowOff>19050</xdr:rowOff>
        </xdr:from>
        <xdr:to>
          <xdr:col>17</xdr:col>
          <xdr:colOff>304800</xdr:colOff>
          <xdr:row>60</xdr:row>
          <xdr:rowOff>57150</xdr:rowOff>
        </xdr:to>
        <xdr:sp macro="" textlink="">
          <xdr:nvSpPr>
            <xdr:cNvPr id="3084" name="Check Box 12" hidden="1">
              <a:extLst>
                <a:ext uri="{63B3BB69-23CF-44E3-9099-C40C66FF867C}">
                  <a14:compatExt spid="_x0000_s3084"/>
                </a:ext>
                <a:ext uri="{FF2B5EF4-FFF2-40B4-BE49-F238E27FC236}">
                  <a16:creationId xmlns:a16="http://schemas.microsoft.com/office/drawing/2014/main" id="{00000000-0008-0000-0200-00000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22</xdr:col>
          <xdr:colOff>319088</xdr:colOff>
          <xdr:row>58</xdr:row>
          <xdr:rowOff>19050</xdr:rowOff>
        </xdr:from>
        <xdr:to>
          <xdr:col>23</xdr:col>
          <xdr:colOff>304800</xdr:colOff>
          <xdr:row>60</xdr:row>
          <xdr:rowOff>57150</xdr:rowOff>
        </xdr:to>
        <xdr:sp macro="" textlink="">
          <xdr:nvSpPr>
            <xdr:cNvPr id="3085" name="Check Box 13" hidden="1">
              <a:extLst>
                <a:ext uri="{63B3BB69-23CF-44E3-9099-C40C66FF867C}">
                  <a14:compatExt spid="_x0000_s3085"/>
                </a:ext>
                <a:ext uri="{FF2B5EF4-FFF2-40B4-BE49-F238E27FC236}">
                  <a16:creationId xmlns:a16="http://schemas.microsoft.com/office/drawing/2014/main" id="{00000000-0008-0000-0200-00000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28</xdr:col>
          <xdr:colOff>319088</xdr:colOff>
          <xdr:row>58</xdr:row>
          <xdr:rowOff>19050</xdr:rowOff>
        </xdr:from>
        <xdr:to>
          <xdr:col>29</xdr:col>
          <xdr:colOff>304800</xdr:colOff>
          <xdr:row>60</xdr:row>
          <xdr:rowOff>57150</xdr:rowOff>
        </xdr:to>
        <xdr:sp macro="" textlink="">
          <xdr:nvSpPr>
            <xdr:cNvPr id="3086" name="Check Box 14" hidden="1">
              <a:extLst>
                <a:ext uri="{63B3BB69-23CF-44E3-9099-C40C66FF867C}">
                  <a14:compatExt spid="_x0000_s3086"/>
                </a:ext>
                <a:ext uri="{FF2B5EF4-FFF2-40B4-BE49-F238E27FC236}">
                  <a16:creationId xmlns:a16="http://schemas.microsoft.com/office/drawing/2014/main" id="{00000000-0008-0000-0200-00000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34</xdr:col>
          <xdr:colOff>319088</xdr:colOff>
          <xdr:row>58</xdr:row>
          <xdr:rowOff>19050</xdr:rowOff>
        </xdr:from>
        <xdr:to>
          <xdr:col>35</xdr:col>
          <xdr:colOff>304800</xdr:colOff>
          <xdr:row>60</xdr:row>
          <xdr:rowOff>57150</xdr:rowOff>
        </xdr:to>
        <xdr:sp macro="" textlink="">
          <xdr:nvSpPr>
            <xdr:cNvPr id="3087" name="Check Box 15" hidden="1">
              <a:extLst>
                <a:ext uri="{63B3BB69-23CF-44E3-9099-C40C66FF867C}">
                  <a14:compatExt spid="_x0000_s3087"/>
                </a:ext>
                <a:ext uri="{FF2B5EF4-FFF2-40B4-BE49-F238E27FC236}">
                  <a16:creationId xmlns:a16="http://schemas.microsoft.com/office/drawing/2014/main" id="{00000000-0008-0000-0200-00000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40</xdr:col>
          <xdr:colOff>319088</xdr:colOff>
          <xdr:row>58</xdr:row>
          <xdr:rowOff>19050</xdr:rowOff>
        </xdr:from>
        <xdr:to>
          <xdr:col>41</xdr:col>
          <xdr:colOff>304800</xdr:colOff>
          <xdr:row>60</xdr:row>
          <xdr:rowOff>57150</xdr:rowOff>
        </xdr:to>
        <xdr:sp macro="" textlink="">
          <xdr:nvSpPr>
            <xdr:cNvPr id="3088" name="Check Box 16" hidden="1">
              <a:extLst>
                <a:ext uri="{63B3BB69-23CF-44E3-9099-C40C66FF867C}">
                  <a14:compatExt spid="_x0000_s3088"/>
                </a:ext>
                <a:ext uri="{FF2B5EF4-FFF2-40B4-BE49-F238E27FC236}">
                  <a16:creationId xmlns:a16="http://schemas.microsoft.com/office/drawing/2014/main" id="{00000000-0008-0000-0200-00001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46</xdr:col>
          <xdr:colOff>319088</xdr:colOff>
          <xdr:row>58</xdr:row>
          <xdr:rowOff>19050</xdr:rowOff>
        </xdr:from>
        <xdr:to>
          <xdr:col>47</xdr:col>
          <xdr:colOff>304800</xdr:colOff>
          <xdr:row>60</xdr:row>
          <xdr:rowOff>57150</xdr:rowOff>
        </xdr:to>
        <xdr:sp macro="" textlink="">
          <xdr:nvSpPr>
            <xdr:cNvPr id="3089" name="Check Box 17" hidden="1">
              <a:extLst>
                <a:ext uri="{63B3BB69-23CF-44E3-9099-C40C66FF867C}">
                  <a14:compatExt spid="_x0000_s3089"/>
                </a:ext>
                <a:ext uri="{FF2B5EF4-FFF2-40B4-BE49-F238E27FC236}">
                  <a16:creationId xmlns:a16="http://schemas.microsoft.com/office/drawing/2014/main" id="{00000000-0008-0000-0200-00001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2.xml"/><Relationship Id="rId16" Type="http://schemas.openxmlformats.org/officeDocument/2006/relationships/ctrlProp" Target="../ctrlProps/ctrlProp13.xml"/><Relationship Id="rId1" Type="http://schemas.openxmlformats.org/officeDocument/2006/relationships/printerSettings" Target="../printerSettings/printerSettings3.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omments" Target="../comments1.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ED8D7-4635-4390-A854-34B7CAC1FDA6}">
  <sheetPr codeName="Modelling">
    <tabColor rgb="FFFFFF00"/>
    <pageSetUpPr autoPageBreaks="0" fitToPage="1"/>
  </sheetPr>
  <dimension ref="A1:CK23"/>
  <sheetViews>
    <sheetView zoomScale="70" zoomScaleNormal="70" workbookViewId="0">
      <selection sqref="A1:AY2"/>
    </sheetView>
  </sheetViews>
  <sheetFormatPr defaultColWidth="0" defaultRowHeight="14.25" x14ac:dyDescent="0.45"/>
  <cols>
    <col min="1" max="1" width="13.73046875" customWidth="1"/>
    <col min="2" max="3" width="14.53125" customWidth="1"/>
    <col min="4" max="4" width="2.46484375" customWidth="1"/>
    <col min="5" max="6" width="14.53125" customWidth="1"/>
    <col min="7" max="7" width="2.46484375" customWidth="1"/>
    <col min="8" max="9" width="14.53125" customWidth="1"/>
    <col min="10" max="10" width="2.46484375" customWidth="1"/>
    <col min="11" max="12" width="14.53125" customWidth="1"/>
    <col min="13" max="13" width="2.46484375" customWidth="1"/>
    <col min="14" max="15" width="14.53125" customWidth="1"/>
    <col min="16" max="17" width="14.53125" hidden="1" customWidth="1"/>
    <col min="18" max="18" width="13.06640625" customWidth="1"/>
    <col min="19" max="19" width="2.46484375" customWidth="1"/>
    <col min="20" max="21" width="14.53125" customWidth="1"/>
    <col min="22" max="22" width="2.46484375" customWidth="1"/>
    <col min="23" max="28" width="12" customWidth="1"/>
    <col min="29" max="29" width="15.19921875" customWidth="1"/>
    <col min="30" max="40" width="12" customWidth="1"/>
    <col min="41" max="41" width="2.46484375" customWidth="1"/>
    <col min="42" max="42" width="19.796875" customWidth="1"/>
    <col min="43" max="43" width="18.73046875" customWidth="1"/>
    <col min="44" max="44" width="2.46484375" customWidth="1"/>
    <col min="45" max="46" width="14.46484375" customWidth="1"/>
    <col min="47" max="47" width="2.46484375" customWidth="1"/>
    <col min="48" max="49" width="14.46484375" customWidth="1"/>
    <col min="50" max="50" width="2.265625" customWidth="1"/>
    <col min="51" max="51" width="8" customWidth="1"/>
    <col min="52" max="89" width="0" hidden="1" customWidth="1"/>
    <col min="90" max="16384" width="8" hidden="1"/>
  </cols>
  <sheetData>
    <row r="1" spans="1:51" ht="15" customHeight="1" x14ac:dyDescent="0.45">
      <c r="A1" s="180" t="s">
        <v>0</v>
      </c>
      <c r="B1" s="180"/>
      <c r="C1" s="180"/>
      <c r="D1" s="180"/>
      <c r="E1" s="180"/>
      <c r="F1" s="180"/>
      <c r="G1" s="180"/>
      <c r="H1" s="180"/>
      <c r="I1" s="180"/>
      <c r="J1" s="180"/>
      <c r="K1" s="180"/>
      <c r="L1" s="180"/>
      <c r="M1" s="180"/>
      <c r="N1" s="180"/>
      <c r="O1" s="180"/>
      <c r="P1" s="180"/>
      <c r="Q1" s="180"/>
      <c r="R1" s="180"/>
      <c r="S1" s="180"/>
      <c r="T1" s="180"/>
      <c r="U1" s="180"/>
      <c r="V1" s="180"/>
      <c r="W1" s="180"/>
      <c r="X1" s="180"/>
      <c r="Y1" s="180"/>
      <c r="Z1" s="180"/>
      <c r="AA1" s="180"/>
      <c r="AB1" s="180"/>
      <c r="AC1" s="180"/>
      <c r="AD1" s="180"/>
      <c r="AE1" s="180"/>
      <c r="AF1" s="180"/>
      <c r="AG1" s="180"/>
      <c r="AH1" s="180"/>
      <c r="AI1" s="180"/>
      <c r="AJ1" s="180"/>
      <c r="AK1" s="180"/>
      <c r="AL1" s="180"/>
      <c r="AM1" s="180"/>
      <c r="AN1" s="180"/>
      <c r="AO1" s="180"/>
      <c r="AP1" s="180"/>
      <c r="AQ1" s="180"/>
      <c r="AR1" s="180"/>
      <c r="AS1" s="180"/>
      <c r="AT1" s="180"/>
      <c r="AU1" s="180"/>
      <c r="AV1" s="180"/>
      <c r="AW1" s="180"/>
      <c r="AX1" s="180"/>
      <c r="AY1" s="180"/>
    </row>
    <row r="2" spans="1:51" ht="15" customHeight="1" x14ac:dyDescent="0.45">
      <c r="A2" s="180"/>
      <c r="B2" s="180"/>
      <c r="C2" s="180"/>
      <c r="D2" s="180"/>
      <c r="E2" s="180"/>
      <c r="F2" s="180"/>
      <c r="G2" s="180"/>
      <c r="H2" s="180"/>
      <c r="I2" s="180"/>
      <c r="J2" s="180"/>
      <c r="K2" s="180"/>
      <c r="L2" s="180"/>
      <c r="M2" s="180"/>
      <c r="N2" s="180"/>
      <c r="O2" s="180"/>
      <c r="P2" s="180"/>
      <c r="Q2" s="180"/>
      <c r="R2" s="180"/>
      <c r="S2" s="180"/>
      <c r="T2" s="180"/>
      <c r="U2" s="180"/>
      <c r="V2" s="180"/>
      <c r="W2" s="180"/>
      <c r="X2" s="180"/>
      <c r="Y2" s="180"/>
      <c r="Z2" s="180"/>
      <c r="AA2" s="180"/>
      <c r="AB2" s="180"/>
      <c r="AC2" s="180"/>
      <c r="AD2" s="180"/>
      <c r="AE2" s="180"/>
      <c r="AF2" s="180"/>
      <c r="AG2" s="180"/>
      <c r="AH2" s="180"/>
      <c r="AI2" s="180"/>
      <c r="AJ2" s="180"/>
      <c r="AK2" s="180"/>
      <c r="AL2" s="180"/>
      <c r="AM2" s="180"/>
      <c r="AN2" s="180"/>
      <c r="AO2" s="180"/>
      <c r="AP2" s="180"/>
      <c r="AQ2" s="180"/>
      <c r="AR2" s="180"/>
      <c r="AS2" s="180"/>
      <c r="AT2" s="180"/>
      <c r="AU2" s="180"/>
      <c r="AV2" s="180"/>
      <c r="AW2" s="180"/>
      <c r="AX2" s="180"/>
      <c r="AY2" s="180"/>
    </row>
    <row r="3" spans="1:51" ht="5.25" customHeight="1" x14ac:dyDescent="0.4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row>
    <row r="4" spans="1:51" x14ac:dyDescent="0.45">
      <c r="A4" s="1"/>
      <c r="B4" s="2" t="s">
        <v>1</v>
      </c>
      <c r="C4" s="1"/>
      <c r="D4" s="1"/>
      <c r="E4" s="1"/>
      <c r="F4" s="1"/>
      <c r="G4" s="1"/>
      <c r="H4" s="1"/>
      <c r="I4" s="1"/>
      <c r="J4" s="1"/>
      <c r="K4" s="1"/>
      <c r="L4" s="1"/>
      <c r="M4" s="1"/>
      <c r="N4" s="1"/>
      <c r="O4" s="1"/>
      <c r="P4" s="1"/>
      <c r="Q4" s="1"/>
      <c r="R4" s="1"/>
      <c r="S4" s="1"/>
      <c r="T4" s="1"/>
      <c r="U4" s="1"/>
      <c r="V4" s="1"/>
      <c r="W4" s="2" t="s">
        <v>2</v>
      </c>
      <c r="X4" s="1"/>
      <c r="Y4" s="1"/>
      <c r="Z4" s="1"/>
      <c r="AA4" s="1"/>
      <c r="AB4" s="1"/>
      <c r="AC4" s="1"/>
      <c r="AD4" s="1"/>
      <c r="AE4" s="1"/>
      <c r="AF4" s="1"/>
      <c r="AG4" s="1"/>
      <c r="AH4" s="1"/>
      <c r="AI4" s="1"/>
      <c r="AJ4" s="1"/>
      <c r="AK4" s="1"/>
      <c r="AL4" s="1"/>
      <c r="AM4" s="1"/>
      <c r="AN4" s="1"/>
      <c r="AO4" s="1"/>
      <c r="AP4" s="1"/>
      <c r="AQ4" s="1"/>
      <c r="AR4" s="1"/>
      <c r="AS4" s="1"/>
      <c r="AT4" s="1"/>
      <c r="AU4" s="1"/>
      <c r="AV4" s="1"/>
      <c r="AW4" s="1"/>
      <c r="AX4" s="1"/>
      <c r="AY4" s="1"/>
    </row>
    <row r="5" spans="1:51" ht="5.25" customHeight="1" x14ac:dyDescent="0.4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row>
    <row r="6" spans="1:51" ht="27.75" customHeight="1" x14ac:dyDescent="0.45">
      <c r="A6" s="1"/>
      <c r="B6" s="181"/>
      <c r="C6" s="182"/>
      <c r="D6" s="182"/>
      <c r="E6" s="182"/>
      <c r="F6" s="182"/>
      <c r="G6" s="182"/>
      <c r="H6" s="182"/>
      <c r="I6" s="183"/>
      <c r="J6" s="3"/>
      <c r="K6" s="1"/>
      <c r="L6" s="1"/>
      <c r="M6" s="1"/>
      <c r="N6" s="1"/>
      <c r="O6" s="1"/>
      <c r="P6" s="1"/>
      <c r="Q6" s="1"/>
      <c r="R6" s="1"/>
      <c r="S6" s="1"/>
      <c r="T6" s="1"/>
      <c r="U6" s="1"/>
      <c r="V6" s="1"/>
      <c r="W6" s="4" t="s">
        <v>3</v>
      </c>
      <c r="X6" s="4" t="s">
        <v>4</v>
      </c>
      <c r="Y6" s="4" t="s">
        <v>5</v>
      </c>
      <c r="Z6" s="4" t="s">
        <v>6</v>
      </c>
      <c r="AA6" s="4" t="s">
        <v>7</v>
      </c>
      <c r="AB6" s="4" t="s">
        <v>8</v>
      </c>
      <c r="AC6" s="4" t="s">
        <v>9</v>
      </c>
      <c r="AD6" s="4" t="s">
        <v>10</v>
      </c>
      <c r="AE6" s="4" t="s">
        <v>11</v>
      </c>
      <c r="AF6" s="1"/>
      <c r="AG6" s="1"/>
      <c r="AH6" s="1"/>
      <c r="AI6" s="1"/>
      <c r="AJ6" s="1"/>
      <c r="AK6" s="1"/>
      <c r="AL6" s="1"/>
      <c r="AM6" s="1"/>
      <c r="AN6" s="1"/>
      <c r="AO6" s="1"/>
      <c r="AP6" s="1"/>
      <c r="AQ6" s="1"/>
      <c r="AR6" s="1"/>
      <c r="AS6" s="1"/>
      <c r="AT6" s="1"/>
      <c r="AU6" s="1"/>
      <c r="AV6" s="1"/>
      <c r="AW6" s="1"/>
      <c r="AX6" s="1"/>
      <c r="AY6" s="1"/>
    </row>
    <row r="7" spans="1:51" x14ac:dyDescent="0.45">
      <c r="A7" s="1"/>
      <c r="B7" s="1"/>
      <c r="C7" s="1"/>
      <c r="D7" s="1"/>
      <c r="E7" s="1"/>
      <c r="F7" s="1"/>
      <c r="G7" s="1"/>
      <c r="H7" s="1"/>
      <c r="I7" s="1"/>
      <c r="J7" s="1"/>
      <c r="K7" s="1"/>
      <c r="L7" s="1"/>
      <c r="M7" s="1"/>
      <c r="N7" s="1"/>
      <c r="O7" s="1"/>
      <c r="P7" s="1"/>
      <c r="Q7" s="1"/>
      <c r="R7" s="1"/>
      <c r="S7" s="1"/>
      <c r="T7" s="1"/>
      <c r="U7" s="1"/>
      <c r="V7" s="5" t="s">
        <v>12</v>
      </c>
      <c r="W7" s="6"/>
      <c r="X7" s="6"/>
      <c r="Y7" s="6"/>
      <c r="Z7" s="6"/>
      <c r="AA7" s="6"/>
      <c r="AB7" s="6"/>
      <c r="AC7" s="6"/>
      <c r="AD7" s="6"/>
      <c r="AE7" s="6"/>
      <c r="AF7" s="1"/>
      <c r="AG7" s="1"/>
      <c r="AH7" s="1"/>
      <c r="AI7" s="1"/>
      <c r="AJ7" s="1"/>
      <c r="AK7" s="1"/>
      <c r="AL7" s="1"/>
      <c r="AM7" s="1"/>
      <c r="AN7" s="1"/>
      <c r="AO7" s="1"/>
      <c r="AP7" s="1"/>
      <c r="AQ7" s="1"/>
      <c r="AR7" s="1"/>
      <c r="AS7" s="1"/>
      <c r="AT7" s="1"/>
      <c r="AU7" s="1"/>
      <c r="AV7" s="1"/>
      <c r="AW7" s="1"/>
      <c r="AX7" s="1"/>
      <c r="AY7" s="1"/>
    </row>
    <row r="8" spans="1:51" x14ac:dyDescent="0.45">
      <c r="A8" s="1"/>
      <c r="B8" s="1"/>
      <c r="C8" s="1"/>
      <c r="D8" s="1"/>
      <c r="E8" s="1"/>
      <c r="F8" s="1"/>
      <c r="G8" s="1"/>
      <c r="H8" s="1"/>
      <c r="I8" s="1"/>
      <c r="J8" s="1"/>
      <c r="K8" s="1"/>
      <c r="L8" s="1"/>
      <c r="M8" s="1"/>
      <c r="N8" s="1"/>
      <c r="O8" s="1"/>
      <c r="P8" s="1"/>
      <c r="Q8" s="1"/>
      <c r="R8" s="1"/>
      <c r="S8" s="1"/>
      <c r="T8" s="1"/>
      <c r="U8" s="1"/>
      <c r="V8" s="5" t="s">
        <v>13</v>
      </c>
      <c r="W8" s="7"/>
      <c r="X8" s="7"/>
      <c r="Y8" s="7"/>
      <c r="Z8" s="7"/>
      <c r="AA8" s="7"/>
      <c r="AB8" s="7"/>
      <c r="AC8" s="7"/>
      <c r="AD8" s="7"/>
      <c r="AE8" s="7"/>
      <c r="AF8" s="1"/>
      <c r="AG8" s="1"/>
      <c r="AH8" s="1"/>
      <c r="AI8" s="1"/>
      <c r="AJ8" s="1"/>
      <c r="AK8" s="1"/>
      <c r="AL8" s="1"/>
      <c r="AM8" s="1"/>
      <c r="AN8" s="1"/>
      <c r="AO8" s="1"/>
      <c r="AP8" s="1"/>
      <c r="AQ8" s="1"/>
      <c r="AR8" s="1"/>
      <c r="AS8" s="1"/>
      <c r="AT8" s="1"/>
      <c r="AU8" s="1"/>
      <c r="AV8" s="1"/>
      <c r="AW8" s="1"/>
      <c r="AX8" s="1"/>
      <c r="AY8" s="1"/>
    </row>
    <row r="9" spans="1:51" x14ac:dyDescent="0.45">
      <c r="A9" s="1"/>
      <c r="B9" s="1"/>
      <c r="C9" s="1"/>
      <c r="D9" s="1"/>
      <c r="E9" s="1"/>
      <c r="F9" s="1"/>
      <c r="G9" s="1"/>
      <c r="H9" s="1"/>
      <c r="I9" s="1"/>
      <c r="J9" s="1"/>
      <c r="K9" s="1"/>
      <c r="L9" s="1"/>
      <c r="M9" s="1"/>
      <c r="N9" s="1"/>
      <c r="O9" s="1"/>
      <c r="P9" s="1"/>
      <c r="Q9" s="1"/>
      <c r="R9" s="1"/>
      <c r="S9" s="1"/>
      <c r="T9" s="1"/>
      <c r="U9" s="1"/>
      <c r="V9" s="5" t="s">
        <v>14</v>
      </c>
      <c r="W9" s="8"/>
      <c r="X9" s="8"/>
      <c r="Y9" s="8"/>
      <c r="Z9" s="8"/>
      <c r="AA9" s="8"/>
      <c r="AB9" s="8"/>
      <c r="AC9" s="8"/>
      <c r="AD9" s="8"/>
      <c r="AE9" s="8"/>
      <c r="AF9" s="1"/>
      <c r="AG9" s="1"/>
      <c r="AH9" s="1"/>
      <c r="AI9" s="1"/>
      <c r="AJ9" s="1"/>
      <c r="AK9" s="1"/>
      <c r="AL9" s="1"/>
      <c r="AM9" s="1"/>
      <c r="AN9" s="1"/>
      <c r="AO9" s="1"/>
      <c r="AP9" s="1"/>
      <c r="AQ9" s="1"/>
      <c r="AR9" s="1"/>
      <c r="AS9" s="1"/>
      <c r="AT9" s="1"/>
      <c r="AU9" s="1"/>
      <c r="AV9" s="1"/>
      <c r="AW9" s="1"/>
      <c r="AX9" s="1"/>
      <c r="AY9" s="1"/>
    </row>
    <row r="10" spans="1:51" x14ac:dyDescent="0.45">
      <c r="A10" s="1"/>
      <c r="B10" s="2" t="s">
        <v>15</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row>
    <row r="11" spans="1:51" x14ac:dyDescent="0.45">
      <c r="A11" s="1"/>
      <c r="B11" s="2" t="s">
        <v>16</v>
      </c>
      <c r="C11" s="1"/>
      <c r="D11" s="1"/>
      <c r="E11" s="2" t="s">
        <v>17</v>
      </c>
      <c r="F11" s="1"/>
      <c r="G11" s="1"/>
      <c r="H11" s="2" t="s">
        <v>18</v>
      </c>
      <c r="I11" s="9" t="s">
        <v>19</v>
      </c>
      <c r="J11" s="1"/>
      <c r="K11" s="2" t="s">
        <v>20</v>
      </c>
      <c r="L11" s="1"/>
      <c r="M11" s="1"/>
      <c r="N11" s="2" t="s">
        <v>21</v>
      </c>
      <c r="O11" s="1"/>
      <c r="P11" s="1"/>
      <c r="Q11" s="1"/>
      <c r="R11" s="1"/>
      <c r="S11" s="1"/>
      <c r="T11" s="2" t="s">
        <v>22</v>
      </c>
      <c r="U11" s="1"/>
      <c r="V11" s="1"/>
      <c r="W11" s="2" t="s">
        <v>23</v>
      </c>
      <c r="X11" s="1"/>
      <c r="Y11" s="1"/>
      <c r="Z11" s="1"/>
      <c r="AA11" s="1"/>
      <c r="AB11" s="1"/>
      <c r="AC11" s="1"/>
      <c r="AD11" s="1"/>
      <c r="AE11" s="1"/>
      <c r="AF11" s="1"/>
      <c r="AG11" s="1"/>
      <c r="AH11" s="1"/>
      <c r="AI11" s="1"/>
      <c r="AJ11" s="1"/>
      <c r="AK11" s="1"/>
      <c r="AL11" s="1"/>
      <c r="AM11" s="1"/>
      <c r="AN11" s="1"/>
      <c r="AO11" s="1"/>
      <c r="AP11" s="2" t="s">
        <v>24</v>
      </c>
      <c r="AQ11" s="2"/>
      <c r="AR11" s="1"/>
      <c r="AS11" s="2" t="s">
        <v>25</v>
      </c>
      <c r="AT11" s="2"/>
      <c r="AU11" s="1"/>
      <c r="AV11" s="2" t="s">
        <v>26</v>
      </c>
      <c r="AW11" s="2"/>
      <c r="AX11" s="1"/>
      <c r="AY11" s="1"/>
    </row>
    <row r="12" spans="1:51" ht="5.25" customHeight="1" x14ac:dyDescent="0.45">
      <c r="A12" s="1"/>
      <c r="B12" s="1"/>
      <c r="C12" s="1"/>
      <c r="D12" s="1"/>
      <c r="E12" s="1"/>
      <c r="F12" s="1"/>
      <c r="G12" s="1"/>
      <c r="H12" s="1"/>
      <c r="I12" s="1"/>
      <c r="J12" s="1"/>
      <c r="K12" s="1"/>
      <c r="L12" s="1"/>
      <c r="M12" s="1"/>
      <c r="N12" s="1"/>
      <c r="O12" s="1"/>
      <c r="P12" s="1"/>
      <c r="Q12" s="1"/>
      <c r="R12" s="1"/>
      <c r="S12" s="1"/>
      <c r="T12" s="1"/>
      <c r="U12" s="1"/>
      <c r="V12" s="1"/>
      <c r="W12" s="10" t="s">
        <v>27</v>
      </c>
      <c r="X12" s="10" t="s">
        <v>28</v>
      </c>
      <c r="Y12" s="10" t="s">
        <v>29</v>
      </c>
      <c r="Z12" s="10" t="s">
        <v>30</v>
      </c>
      <c r="AA12" s="10" t="s">
        <v>31</v>
      </c>
      <c r="AB12" s="10" t="s">
        <v>32</v>
      </c>
      <c r="AC12" s="10" t="s">
        <v>33</v>
      </c>
      <c r="AD12" s="10" t="s">
        <v>34</v>
      </c>
      <c r="AE12" s="10" t="s">
        <v>35</v>
      </c>
      <c r="AF12" s="10" t="s">
        <v>36</v>
      </c>
      <c r="AG12" s="10" t="s">
        <v>37</v>
      </c>
      <c r="AH12" s="10" t="s">
        <v>38</v>
      </c>
      <c r="AI12" s="10" t="s">
        <v>39</v>
      </c>
      <c r="AJ12" s="10" t="s">
        <v>40</v>
      </c>
      <c r="AK12" s="10" t="s">
        <v>41</v>
      </c>
      <c r="AL12" s="10" t="s">
        <v>42</v>
      </c>
      <c r="AM12" s="10" t="s">
        <v>43</v>
      </c>
      <c r="AN12" s="10" t="s">
        <v>44</v>
      </c>
      <c r="AO12" s="1"/>
      <c r="AP12" s="1"/>
      <c r="AQ12" s="1"/>
      <c r="AR12" s="1"/>
      <c r="AS12" s="1"/>
      <c r="AT12" s="1"/>
      <c r="AU12" s="1"/>
      <c r="AV12" s="1"/>
      <c r="AW12" s="1"/>
      <c r="AX12" s="1"/>
      <c r="AY12" s="1"/>
    </row>
    <row r="13" spans="1:51" ht="26.25" x14ac:dyDescent="0.45">
      <c r="A13" s="1"/>
      <c r="B13" s="4" t="s">
        <v>45</v>
      </c>
      <c r="C13" s="4" t="s">
        <v>46</v>
      </c>
      <c r="D13" s="1"/>
      <c r="E13" s="4" t="s">
        <v>47</v>
      </c>
      <c r="F13" s="4" t="s">
        <v>48</v>
      </c>
      <c r="G13" s="1"/>
      <c r="H13" s="4" t="s">
        <v>47</v>
      </c>
      <c r="I13" s="4" t="s">
        <v>48</v>
      </c>
      <c r="J13" s="1"/>
      <c r="K13" s="4" t="s">
        <v>47</v>
      </c>
      <c r="L13" s="4" t="s">
        <v>48</v>
      </c>
      <c r="M13" s="1"/>
      <c r="N13" s="11" t="s">
        <v>49</v>
      </c>
      <c r="O13" s="11" t="s">
        <v>50</v>
      </c>
      <c r="P13" s="11" t="s">
        <v>51</v>
      </c>
      <c r="Q13" s="11" t="s">
        <v>52</v>
      </c>
      <c r="R13" s="4" t="s">
        <v>53</v>
      </c>
      <c r="S13" s="1"/>
      <c r="T13" s="4" t="s">
        <v>47</v>
      </c>
      <c r="U13" s="4" t="s">
        <v>48</v>
      </c>
      <c r="V13" s="1"/>
      <c r="W13" s="4" t="s">
        <v>54</v>
      </c>
      <c r="X13" s="4" t="s">
        <v>55</v>
      </c>
      <c r="Y13" s="4" t="s">
        <v>56</v>
      </c>
      <c r="Z13" s="4" t="s">
        <v>57</v>
      </c>
      <c r="AA13" s="4" t="s">
        <v>58</v>
      </c>
      <c r="AB13" s="4" t="s">
        <v>59</v>
      </c>
      <c r="AC13" s="4" t="s">
        <v>60</v>
      </c>
      <c r="AD13" s="4" t="s">
        <v>61</v>
      </c>
      <c r="AE13" s="4" t="s">
        <v>62</v>
      </c>
      <c r="AF13" s="4" t="s">
        <v>63</v>
      </c>
      <c r="AG13" s="4" t="s">
        <v>64</v>
      </c>
      <c r="AH13" s="4" t="s">
        <v>65</v>
      </c>
      <c r="AI13" s="4" t="s">
        <v>66</v>
      </c>
      <c r="AJ13" s="4" t="s">
        <v>67</v>
      </c>
      <c r="AK13" s="4" t="s">
        <v>68</v>
      </c>
      <c r="AL13" s="4" t="s">
        <v>69</v>
      </c>
      <c r="AM13" s="4" t="s">
        <v>70</v>
      </c>
      <c r="AN13" s="4" t="s">
        <v>71</v>
      </c>
      <c r="AO13" s="1"/>
      <c r="AP13" s="4" t="s">
        <v>72</v>
      </c>
      <c r="AQ13" s="4" t="s">
        <v>73</v>
      </c>
      <c r="AR13" s="1"/>
      <c r="AS13" s="4" t="s">
        <v>72</v>
      </c>
      <c r="AT13" s="4" t="s">
        <v>73</v>
      </c>
      <c r="AU13" s="1"/>
      <c r="AV13" s="4" t="s">
        <v>72</v>
      </c>
      <c r="AW13" s="4" t="s">
        <v>73</v>
      </c>
      <c r="AX13" s="1"/>
      <c r="AY13" s="1"/>
    </row>
    <row r="14" spans="1:51" x14ac:dyDescent="0.45">
      <c r="A14" s="5"/>
      <c r="B14" s="12"/>
      <c r="C14" s="13"/>
      <c r="D14" s="1"/>
      <c r="E14" s="15"/>
      <c r="F14" s="15"/>
      <c r="G14" s="1"/>
      <c r="H14" s="15"/>
      <c r="I14" s="15"/>
      <c r="J14" s="1"/>
      <c r="K14" s="15"/>
      <c r="L14" s="15"/>
      <c r="M14" s="1"/>
      <c r="N14" s="16"/>
      <c r="O14" s="16"/>
      <c r="P14" s="17"/>
      <c r="Q14" s="17"/>
      <c r="R14" s="19"/>
      <c r="S14" s="1"/>
      <c r="T14" s="13"/>
      <c r="U14" s="13"/>
      <c r="V14" s="1"/>
      <c r="W14" s="20"/>
      <c r="X14" s="20"/>
      <c r="Y14" s="20"/>
      <c r="Z14" s="20"/>
      <c r="AA14" s="20"/>
      <c r="AB14" s="20"/>
      <c r="AC14" s="20"/>
      <c r="AD14" s="20"/>
      <c r="AE14" s="20"/>
      <c r="AF14" s="20"/>
      <c r="AG14" s="20"/>
      <c r="AH14" s="20"/>
      <c r="AI14" s="20"/>
      <c r="AJ14" s="20"/>
      <c r="AK14" s="20"/>
      <c r="AL14" s="20"/>
      <c r="AM14" s="20"/>
      <c r="AN14" s="20"/>
      <c r="AO14" s="1"/>
      <c r="AP14" s="21"/>
      <c r="AQ14" s="21"/>
      <c r="AR14" s="1"/>
      <c r="AS14" s="21"/>
      <c r="AT14" s="21"/>
      <c r="AU14" s="1"/>
      <c r="AV14" s="20"/>
      <c r="AW14" s="20"/>
      <c r="AX14" s="1"/>
      <c r="AY14" s="1"/>
    </row>
    <row r="15" spans="1:51" x14ac:dyDescent="0.45">
      <c r="A15" s="5"/>
      <c r="B15" s="22"/>
      <c r="C15" s="23"/>
      <c r="D15" s="1"/>
      <c r="E15" s="25"/>
      <c r="F15" s="25"/>
      <c r="G15" s="1"/>
      <c r="H15" s="25"/>
      <c r="I15" s="25"/>
      <c r="J15" s="1"/>
      <c r="K15" s="25"/>
      <c r="L15" s="25"/>
      <c r="M15" s="1"/>
      <c r="N15" s="25"/>
      <c r="O15" s="25"/>
      <c r="P15" s="26"/>
      <c r="Q15" s="26"/>
      <c r="R15" s="28"/>
      <c r="S15" s="1"/>
      <c r="T15" s="23"/>
      <c r="U15" s="23"/>
      <c r="V15" s="1"/>
      <c r="W15" s="29"/>
      <c r="X15" s="29"/>
      <c r="Y15" s="29"/>
      <c r="Z15" s="29"/>
      <c r="AA15" s="29"/>
      <c r="AB15" s="29"/>
      <c r="AC15" s="29"/>
      <c r="AD15" s="29"/>
      <c r="AE15" s="29"/>
      <c r="AF15" s="29"/>
      <c r="AG15" s="29"/>
      <c r="AH15" s="29"/>
      <c r="AI15" s="29"/>
      <c r="AJ15" s="29"/>
      <c r="AK15" s="29"/>
      <c r="AL15" s="29"/>
      <c r="AM15" s="29"/>
      <c r="AN15" s="29"/>
      <c r="AO15" s="1"/>
      <c r="AP15" s="30"/>
      <c r="AQ15" s="30"/>
      <c r="AR15" s="1"/>
      <c r="AS15" s="30"/>
      <c r="AT15" s="30"/>
      <c r="AU15" s="1"/>
      <c r="AV15" s="29"/>
      <c r="AW15" s="29"/>
      <c r="AX15" s="1"/>
      <c r="AY15" s="1"/>
    </row>
    <row r="16" spans="1:51" x14ac:dyDescent="0.45">
      <c r="A16" s="5"/>
      <c r="B16" s="22"/>
      <c r="C16" s="23"/>
      <c r="D16" s="1"/>
      <c r="E16" s="25"/>
      <c r="F16" s="25"/>
      <c r="G16" s="1"/>
      <c r="H16" s="25"/>
      <c r="I16" s="25"/>
      <c r="J16" s="1"/>
      <c r="K16" s="25"/>
      <c r="L16" s="25"/>
      <c r="M16" s="1"/>
      <c r="N16" s="25"/>
      <c r="O16" s="25"/>
      <c r="P16" s="26"/>
      <c r="Q16" s="26"/>
      <c r="R16" s="28"/>
      <c r="S16" s="1"/>
      <c r="T16" s="23"/>
      <c r="U16" s="23"/>
      <c r="V16" s="1"/>
      <c r="W16" s="29"/>
      <c r="X16" s="29"/>
      <c r="Y16" s="29"/>
      <c r="Z16" s="29"/>
      <c r="AA16" s="29"/>
      <c r="AB16" s="29"/>
      <c r="AC16" s="29"/>
      <c r="AD16" s="29"/>
      <c r="AE16" s="29"/>
      <c r="AF16" s="29"/>
      <c r="AG16" s="29"/>
      <c r="AH16" s="29"/>
      <c r="AI16" s="29"/>
      <c r="AJ16" s="29"/>
      <c r="AK16" s="29"/>
      <c r="AL16" s="29"/>
      <c r="AM16" s="29"/>
      <c r="AN16" s="29"/>
      <c r="AO16" s="1"/>
      <c r="AP16" s="30"/>
      <c r="AQ16" s="30"/>
      <c r="AR16" s="1"/>
      <c r="AS16" s="30"/>
      <c r="AT16" s="30"/>
      <c r="AU16" s="1"/>
      <c r="AV16" s="29"/>
      <c r="AW16" s="29"/>
      <c r="AX16" s="1"/>
      <c r="AY16" s="1"/>
    </row>
    <row r="17" spans="1:51" x14ac:dyDescent="0.45">
      <c r="A17" s="5"/>
      <c r="B17" s="22"/>
      <c r="C17" s="23"/>
      <c r="D17" s="1"/>
      <c r="E17" s="25"/>
      <c r="F17" s="25"/>
      <c r="G17" s="1"/>
      <c r="H17" s="25"/>
      <c r="I17" s="25"/>
      <c r="J17" s="1"/>
      <c r="K17" s="25"/>
      <c r="L17" s="25"/>
      <c r="M17" s="1"/>
      <c r="N17" s="25"/>
      <c r="O17" s="25"/>
      <c r="P17" s="26"/>
      <c r="Q17" s="26"/>
      <c r="R17" s="28"/>
      <c r="S17" s="1"/>
      <c r="T17" s="23"/>
      <c r="U17" s="23"/>
      <c r="V17" s="1"/>
      <c r="W17" s="29"/>
      <c r="X17" s="29"/>
      <c r="Y17" s="29"/>
      <c r="Z17" s="29"/>
      <c r="AA17" s="29"/>
      <c r="AB17" s="29"/>
      <c r="AC17" s="29"/>
      <c r="AD17" s="29"/>
      <c r="AE17" s="29"/>
      <c r="AF17" s="29"/>
      <c r="AG17" s="29"/>
      <c r="AH17" s="29"/>
      <c r="AI17" s="29"/>
      <c r="AJ17" s="29"/>
      <c r="AK17" s="29"/>
      <c r="AL17" s="29"/>
      <c r="AM17" s="29"/>
      <c r="AN17" s="29"/>
      <c r="AO17" s="1"/>
      <c r="AP17" s="30"/>
      <c r="AQ17" s="30"/>
      <c r="AR17" s="1"/>
      <c r="AS17" s="30"/>
      <c r="AT17" s="30"/>
      <c r="AU17" s="1"/>
      <c r="AV17" s="29"/>
      <c r="AW17" s="29"/>
      <c r="AX17" s="1"/>
      <c r="AY17" s="1"/>
    </row>
    <row r="18" spans="1:51" x14ac:dyDescent="0.45">
      <c r="A18" s="5"/>
      <c r="B18" s="22"/>
      <c r="C18" s="23"/>
      <c r="D18" s="1"/>
      <c r="E18" s="25"/>
      <c r="F18" s="25"/>
      <c r="G18" s="1"/>
      <c r="H18" s="25"/>
      <c r="I18" s="25"/>
      <c r="J18" s="1"/>
      <c r="K18" s="25"/>
      <c r="L18" s="25"/>
      <c r="M18" s="1"/>
      <c r="N18" s="25"/>
      <c r="O18" s="25"/>
      <c r="P18" s="26"/>
      <c r="Q18" s="26"/>
      <c r="R18" s="28"/>
      <c r="S18" s="1"/>
      <c r="T18" s="23"/>
      <c r="U18" s="23"/>
      <c r="V18" s="1"/>
      <c r="W18" s="29"/>
      <c r="X18" s="29"/>
      <c r="Y18" s="29"/>
      <c r="Z18" s="29"/>
      <c r="AA18" s="29"/>
      <c r="AB18" s="29"/>
      <c r="AC18" s="29"/>
      <c r="AD18" s="29"/>
      <c r="AE18" s="29"/>
      <c r="AF18" s="29"/>
      <c r="AG18" s="29"/>
      <c r="AH18" s="29"/>
      <c r="AI18" s="29"/>
      <c r="AJ18" s="29"/>
      <c r="AK18" s="29"/>
      <c r="AL18" s="29"/>
      <c r="AM18" s="29"/>
      <c r="AN18" s="29"/>
      <c r="AO18" s="1"/>
      <c r="AP18" s="30"/>
      <c r="AQ18" s="30"/>
      <c r="AR18" s="1"/>
      <c r="AS18" s="30"/>
      <c r="AT18" s="30"/>
      <c r="AU18" s="1"/>
      <c r="AV18" s="29"/>
      <c r="AW18" s="29"/>
      <c r="AX18" s="1"/>
      <c r="AY18" s="1"/>
    </row>
    <row r="19" spans="1:51" x14ac:dyDescent="0.45">
      <c r="A19" s="5"/>
      <c r="B19" s="22"/>
      <c r="C19" s="23"/>
      <c r="D19" s="1"/>
      <c r="E19" s="25"/>
      <c r="F19" s="25"/>
      <c r="G19" s="1"/>
      <c r="H19" s="25"/>
      <c r="I19" s="25"/>
      <c r="J19" s="1"/>
      <c r="K19" s="25"/>
      <c r="L19" s="25"/>
      <c r="M19" s="1"/>
      <c r="N19" s="25"/>
      <c r="O19" s="25"/>
      <c r="P19" s="26"/>
      <c r="Q19" s="26"/>
      <c r="R19" s="28"/>
      <c r="S19" s="1"/>
      <c r="T19" s="23"/>
      <c r="U19" s="23"/>
      <c r="V19" s="1"/>
      <c r="W19" s="29"/>
      <c r="X19" s="29"/>
      <c r="Y19" s="29"/>
      <c r="Z19" s="29"/>
      <c r="AA19" s="29"/>
      <c r="AB19" s="29"/>
      <c r="AC19" s="29"/>
      <c r="AD19" s="29"/>
      <c r="AE19" s="29"/>
      <c r="AF19" s="29"/>
      <c r="AG19" s="29"/>
      <c r="AH19" s="29"/>
      <c r="AI19" s="29"/>
      <c r="AJ19" s="29"/>
      <c r="AK19" s="29"/>
      <c r="AL19" s="29"/>
      <c r="AM19" s="29"/>
      <c r="AN19" s="29"/>
      <c r="AO19" s="1"/>
      <c r="AP19" s="30"/>
      <c r="AQ19" s="30"/>
      <c r="AR19" s="1"/>
      <c r="AS19" s="30"/>
      <c r="AT19" s="30"/>
      <c r="AU19" s="1"/>
      <c r="AV19" s="29"/>
      <c r="AW19" s="29"/>
      <c r="AX19" s="1"/>
      <c r="AY19" s="1"/>
    </row>
    <row r="20" spans="1:51" x14ac:dyDescent="0.45">
      <c r="A20" s="5"/>
      <c r="B20" s="22"/>
      <c r="C20" s="23"/>
      <c r="D20" s="1"/>
      <c r="E20" s="25"/>
      <c r="F20" s="25"/>
      <c r="G20" s="1"/>
      <c r="H20" s="25"/>
      <c r="I20" s="25"/>
      <c r="J20" s="1"/>
      <c r="K20" s="25"/>
      <c r="L20" s="25"/>
      <c r="M20" s="1"/>
      <c r="N20" s="25"/>
      <c r="O20" s="25"/>
      <c r="P20" s="26"/>
      <c r="Q20" s="26"/>
      <c r="R20" s="28"/>
      <c r="S20" s="1"/>
      <c r="T20" s="23"/>
      <c r="U20" s="23"/>
      <c r="V20" s="1"/>
      <c r="W20" s="29"/>
      <c r="X20" s="29"/>
      <c r="Y20" s="29"/>
      <c r="Z20" s="29"/>
      <c r="AA20" s="29"/>
      <c r="AB20" s="29"/>
      <c r="AC20" s="29"/>
      <c r="AD20" s="29"/>
      <c r="AE20" s="29"/>
      <c r="AF20" s="29"/>
      <c r="AG20" s="29"/>
      <c r="AH20" s="29"/>
      <c r="AI20" s="29"/>
      <c r="AJ20" s="29"/>
      <c r="AK20" s="29"/>
      <c r="AL20" s="29"/>
      <c r="AM20" s="29"/>
      <c r="AN20" s="29"/>
      <c r="AO20" s="1"/>
      <c r="AP20" s="30"/>
      <c r="AQ20" s="30"/>
      <c r="AR20" s="1"/>
      <c r="AS20" s="30"/>
      <c r="AT20" s="30"/>
      <c r="AU20" s="1"/>
      <c r="AV20" s="29"/>
      <c r="AW20" s="29"/>
      <c r="AX20" s="1"/>
      <c r="AY20" s="1"/>
    </row>
    <row r="21" spans="1:51" x14ac:dyDescent="0.45">
      <c r="A21" s="5"/>
      <c r="B21" s="31"/>
      <c r="C21" s="32"/>
      <c r="D21" s="1"/>
      <c r="E21" s="34"/>
      <c r="F21" s="34"/>
      <c r="G21" s="1"/>
      <c r="H21" s="34"/>
      <c r="I21" s="34"/>
      <c r="J21" s="1"/>
      <c r="K21" s="34"/>
      <c r="L21" s="34"/>
      <c r="M21" s="1"/>
      <c r="N21" s="34"/>
      <c r="O21" s="34"/>
      <c r="P21" s="35"/>
      <c r="Q21" s="35"/>
      <c r="R21" s="37"/>
      <c r="S21" s="1"/>
      <c r="T21" s="32"/>
      <c r="U21" s="32"/>
      <c r="V21" s="1"/>
      <c r="W21" s="38"/>
      <c r="X21" s="38"/>
      <c r="Y21" s="38"/>
      <c r="Z21" s="38"/>
      <c r="AA21" s="38"/>
      <c r="AB21" s="38"/>
      <c r="AC21" s="38"/>
      <c r="AD21" s="38"/>
      <c r="AE21" s="38"/>
      <c r="AF21" s="38"/>
      <c r="AG21" s="38"/>
      <c r="AH21" s="38"/>
      <c r="AI21" s="38"/>
      <c r="AJ21" s="38"/>
      <c r="AK21" s="38"/>
      <c r="AL21" s="38"/>
      <c r="AM21" s="38"/>
      <c r="AN21" s="38"/>
      <c r="AO21" s="1"/>
      <c r="AP21" s="39"/>
      <c r="AQ21" s="39"/>
      <c r="AR21" s="1"/>
      <c r="AS21" s="39"/>
      <c r="AT21" s="39"/>
      <c r="AU21" s="1"/>
      <c r="AV21" s="38"/>
      <c r="AW21" s="38"/>
      <c r="AX21" s="1"/>
      <c r="AY21" s="1"/>
    </row>
    <row r="22" spans="1:51" x14ac:dyDescent="0.4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row>
    <row r="23" spans="1:51" x14ac:dyDescent="0.4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row>
  </sheetData>
  <sheetProtection formatCells="0" formatColumns="0"/>
  <mergeCells count="2">
    <mergeCell ref="A1:AY2"/>
    <mergeCell ref="B6:I6"/>
  </mergeCells>
  <conditionalFormatting sqref="B6">
    <cfRule type="expression" dxfId="6" priority="2">
      <formula>DB.Expiry.Application.ModellingComments&lt;&gt;""</formula>
    </cfRule>
  </conditionalFormatting>
  <conditionalFormatting sqref="W9:AE9">
    <cfRule type="expression" dxfId="5" priority="1">
      <formula>W9&gt;0.2</formula>
    </cfRule>
  </conditionalFormatting>
  <dataValidations count="1">
    <dataValidation type="list" allowBlank="1" showInputMessage="1" showErrorMessage="1" sqref="I11" xr:uid="{453211CF-08E8-49CB-92E6-02937C140436}">
      <formula1>"Includes NMP,Excludes NMP"</formula1>
    </dataValidation>
  </dataValidations>
  <pageMargins left="0.25" right="0.25" top="0.75" bottom="0.75" header="0.3" footer="0.3"/>
  <pageSetup paperSize="9" scale="23"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56F38-E91C-43AB-990C-C178645B898B}">
  <sheetPr codeName="Summary">
    <tabColor rgb="FFFFFF00"/>
    <pageSetUpPr autoPageBreaks="0" fitToPage="1"/>
  </sheetPr>
  <dimension ref="A1:BH62"/>
  <sheetViews>
    <sheetView tabSelected="1" zoomScale="55" zoomScaleNormal="55" workbookViewId="0">
      <selection activeCell="G12" sqref="G12:K12"/>
    </sheetView>
  </sheetViews>
  <sheetFormatPr defaultColWidth="0" defaultRowHeight="0" customHeight="1" zeroHeight="1" outlineLevelRow="1" x14ac:dyDescent="0.45"/>
  <cols>
    <col min="1" max="1" width="24.73046875" style="47" customWidth="1"/>
    <col min="2" max="2" width="18" style="47" hidden="1" customWidth="1"/>
    <col min="3" max="3" width="13.59765625" style="47" customWidth="1"/>
    <col min="4" max="5" width="12.265625" style="47" customWidth="1"/>
    <col min="6" max="6" width="14" style="47" customWidth="1"/>
    <col min="7" max="8" width="15.73046875" style="47" customWidth="1"/>
    <col min="9" max="10" width="12.265625" style="47" customWidth="1"/>
    <col min="11" max="11" width="13.59765625" style="47" customWidth="1"/>
    <col min="12" max="12" width="12.265625" style="47" customWidth="1"/>
    <col min="13" max="14" width="13.86328125" style="47" customWidth="1"/>
    <col min="15" max="15" width="15.46484375" style="47" customWidth="1"/>
    <col min="16" max="16" width="19.53125" style="47" customWidth="1"/>
    <col min="17" max="18" width="12.265625" customWidth="1"/>
    <col min="19" max="19" width="11.73046875" customWidth="1"/>
    <col min="20" max="20" width="9.73046875" customWidth="1"/>
    <col min="21" max="21" width="11.73046875" customWidth="1"/>
    <col min="22" max="22" width="17.86328125" customWidth="1"/>
    <col min="23" max="23" width="11.73046875" customWidth="1"/>
    <col min="24" max="24" width="9.73046875" customWidth="1"/>
    <col min="25" max="32" width="11.73046875" customWidth="1"/>
    <col min="33" max="33" width="8" customWidth="1"/>
    <col min="34" max="43" width="9.1328125" style="47" hidden="1" customWidth="1"/>
    <col min="44" max="45" width="0" style="47" hidden="1" customWidth="1"/>
    <col min="46" max="58" width="9.1328125" style="47" hidden="1" customWidth="1"/>
    <col min="59" max="60" width="0" style="47" hidden="1" customWidth="1"/>
    <col min="61" max="16384" width="9.1328125" style="47" hidden="1"/>
  </cols>
  <sheetData>
    <row r="1" spans="1:33" ht="15" customHeight="1" x14ac:dyDescent="0.4">
      <c r="A1" s="184" t="s">
        <v>471</v>
      </c>
      <c r="B1" s="184"/>
      <c r="C1" s="184"/>
      <c r="D1" s="184"/>
      <c r="E1" s="184"/>
      <c r="F1" s="184"/>
      <c r="G1" s="184"/>
      <c r="H1" s="184"/>
      <c r="I1" s="184"/>
      <c r="J1" s="184"/>
      <c r="K1" s="184"/>
      <c r="L1" s="184"/>
      <c r="M1" s="184"/>
      <c r="N1" s="184"/>
      <c r="O1" s="184"/>
      <c r="P1" s="184"/>
      <c r="Q1" s="184"/>
      <c r="R1" s="184"/>
      <c r="S1" s="184"/>
      <c r="T1" s="184"/>
      <c r="U1" s="184"/>
      <c r="V1" s="184"/>
      <c r="W1" s="184"/>
      <c r="X1" s="184"/>
      <c r="Y1" s="184"/>
      <c r="Z1" s="184"/>
      <c r="AA1" s="184"/>
      <c r="AB1" s="184"/>
      <c r="AC1" s="184"/>
      <c r="AD1" s="184"/>
      <c r="AE1" s="184"/>
      <c r="AF1" s="184"/>
      <c r="AG1" s="48"/>
    </row>
    <row r="2" spans="1:33" ht="15" customHeight="1" x14ac:dyDescent="0.4">
      <c r="A2" s="184"/>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48"/>
    </row>
    <row r="3" spans="1:33" ht="15" customHeight="1" x14ac:dyDescent="0.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row>
    <row r="4" spans="1:33" ht="15" customHeight="1" x14ac:dyDescent="0.45">
      <c r="A4" s="1"/>
      <c r="B4" s="1"/>
      <c r="C4" s="49">
        <f>Rationale!D4</f>
        <v>0</v>
      </c>
      <c r="D4" s="50"/>
      <c r="E4" s="1"/>
      <c r="F4" s="5" t="s">
        <v>75</v>
      </c>
      <c r="G4" s="51"/>
      <c r="H4" s="52"/>
      <c r="I4" s="1"/>
      <c r="J4" s="1"/>
      <c r="K4" s="1"/>
      <c r="L4" s="1"/>
      <c r="M4" s="4" t="s">
        <v>545</v>
      </c>
      <c r="N4" s="4" t="s">
        <v>546</v>
      </c>
      <c r="O4" s="4" t="s">
        <v>547</v>
      </c>
      <c r="P4" s="1"/>
      <c r="Q4" s="1"/>
      <c r="R4" s="5" t="s">
        <v>76</v>
      </c>
      <c r="S4" s="42"/>
      <c r="T4" s="1"/>
      <c r="U4" s="1"/>
      <c r="V4" s="1"/>
      <c r="W4" s="1"/>
      <c r="X4" s="1"/>
      <c r="Y4" s="1"/>
      <c r="Z4" s="1"/>
      <c r="AA4" s="1"/>
      <c r="AB4" s="1"/>
      <c r="AC4" s="1"/>
      <c r="AD4" s="1"/>
      <c r="AE4" s="1"/>
      <c r="AF4" s="1"/>
      <c r="AG4" s="1"/>
    </row>
    <row r="5" spans="1:33" ht="15" customHeight="1" x14ac:dyDescent="0.45">
      <c r="A5" s="1"/>
      <c r="B5" s="1"/>
      <c r="C5" s="55"/>
      <c r="D5" s="56"/>
      <c r="E5" s="1"/>
      <c r="F5" s="5" t="s">
        <v>77</v>
      </c>
      <c r="G5" s="55"/>
      <c r="H5" s="56"/>
      <c r="I5" s="1"/>
      <c r="J5" s="1"/>
      <c r="K5" s="1"/>
      <c r="L5" s="1"/>
      <c r="M5" s="177"/>
      <c r="N5" s="176"/>
      <c r="O5" s="176"/>
      <c r="P5" s="1"/>
      <c r="Q5" s="1"/>
      <c r="R5" s="5"/>
      <c r="S5" s="43"/>
      <c r="T5" s="1"/>
      <c r="U5" s="58"/>
      <c r="V5" s="58"/>
      <c r="W5" s="58"/>
      <c r="X5" s="58"/>
      <c r="Y5" s="1"/>
      <c r="Z5" s="1"/>
      <c r="AA5" s="1"/>
      <c r="AB5" s="1"/>
      <c r="AC5" s="1"/>
      <c r="AD5" s="1"/>
      <c r="AE5" s="1"/>
      <c r="AF5" s="1"/>
      <c r="AG5" s="1"/>
    </row>
    <row r="6" spans="1:33" ht="15" customHeight="1" x14ac:dyDescent="0.45">
      <c r="A6" s="1"/>
      <c r="B6" s="1"/>
      <c r="C6" s="55"/>
      <c r="D6" s="56"/>
      <c r="E6" s="1"/>
      <c r="F6" s="5" t="s">
        <v>78</v>
      </c>
      <c r="G6" s="55">
        <f>hxd.cds.standard_fields.underwriter</f>
        <v>0</v>
      </c>
      <c r="H6" s="56"/>
      <c r="I6" s="1"/>
      <c r="J6" s="1"/>
      <c r="K6" s="1"/>
      <c r="L6" s="1"/>
      <c r="M6" s="177"/>
      <c r="N6" s="176"/>
      <c r="O6" s="176"/>
      <c r="P6" s="1"/>
      <c r="Q6" s="1"/>
      <c r="R6" s="5"/>
      <c r="S6" s="42"/>
      <c r="T6" s="1"/>
      <c r="U6" s="60"/>
      <c r="V6" s="60"/>
      <c r="W6" s="60"/>
      <c r="X6" s="60"/>
      <c r="Y6" s="60"/>
      <c r="Z6" s="1"/>
      <c r="AA6" s="1"/>
      <c r="AB6" s="1"/>
      <c r="AC6" s="1"/>
      <c r="AD6" s="1"/>
      <c r="AE6" s="1"/>
      <c r="AF6" s="1"/>
      <c r="AG6" s="1"/>
    </row>
    <row r="7" spans="1:33" ht="15" customHeight="1" x14ac:dyDescent="0.45">
      <c r="A7" s="1"/>
      <c r="B7" s="1"/>
      <c r="C7" s="61"/>
      <c r="D7" s="62"/>
      <c r="E7" s="1"/>
      <c r="F7" s="5" t="s">
        <v>79</v>
      </c>
      <c r="G7" s="55"/>
      <c r="H7" s="56"/>
      <c r="I7" s="1"/>
      <c r="J7" s="1"/>
      <c r="K7" s="1"/>
      <c r="L7" s="1"/>
      <c r="M7" s="177"/>
      <c r="N7" s="176"/>
      <c r="O7" s="176"/>
      <c r="P7" s="1"/>
      <c r="Q7" s="1"/>
      <c r="R7" s="5"/>
      <c r="S7" s="45"/>
      <c r="T7" s="1"/>
      <c r="U7" s="60"/>
      <c r="V7" s="60"/>
      <c r="W7" s="60"/>
      <c r="X7" s="60"/>
      <c r="Y7" s="60"/>
      <c r="Z7" s="1"/>
      <c r="AA7" s="1"/>
      <c r="AB7" s="1"/>
      <c r="AC7" s="1"/>
      <c r="AD7" s="1"/>
      <c r="AE7" s="1"/>
      <c r="AF7" s="1"/>
      <c r="AG7" s="1"/>
    </row>
    <row r="8" spans="1:33" ht="15" customHeight="1" x14ac:dyDescent="0.45">
      <c r="A8" s="1"/>
      <c r="B8" s="1"/>
      <c r="C8" s="61"/>
      <c r="D8" s="62"/>
      <c r="E8" s="1"/>
      <c r="F8" s="5" t="s">
        <v>80</v>
      </c>
      <c r="G8" s="55">
        <f>hxd.cds.broker_contact</f>
        <v>0</v>
      </c>
      <c r="H8" s="56"/>
      <c r="I8" s="1"/>
      <c r="J8" s="1"/>
      <c r="K8" s="1"/>
      <c r="L8" s="1"/>
      <c r="M8" s="177"/>
      <c r="N8" s="176"/>
      <c r="O8" s="176"/>
      <c r="P8" s="1"/>
      <c r="Q8" s="1"/>
      <c r="R8" s="1"/>
      <c r="S8" s="1"/>
      <c r="T8" s="1"/>
      <c r="U8" s="1"/>
      <c r="V8" s="1"/>
      <c r="W8" s="1"/>
      <c r="X8" s="1"/>
      <c r="Y8" s="1"/>
      <c r="Z8" s="1"/>
      <c r="AA8" s="1"/>
      <c r="AB8" s="1"/>
      <c r="AC8" s="1"/>
      <c r="AD8" s="1"/>
      <c r="AE8" s="1"/>
      <c r="AF8" s="1"/>
      <c r="AG8" s="1"/>
    </row>
    <row r="9" spans="1:33" ht="15" customHeight="1" x14ac:dyDescent="0.45">
      <c r="A9" s="1"/>
      <c r="B9" s="1"/>
      <c r="C9" s="55"/>
      <c r="D9" s="56"/>
      <c r="E9" s="1"/>
      <c r="F9" s="5" t="s">
        <v>81</v>
      </c>
      <c r="G9" s="55"/>
      <c r="H9" s="56"/>
      <c r="I9" s="1"/>
      <c r="J9" s="1"/>
      <c r="K9" s="1"/>
      <c r="L9" s="1"/>
      <c r="M9" s="177"/>
      <c r="N9" s="176"/>
      <c r="O9" s="176"/>
      <c r="P9" s="1"/>
      <c r="Q9" s="1"/>
      <c r="R9" s="2" t="s">
        <v>1</v>
      </c>
      <c r="S9" s="1"/>
      <c r="T9" s="1"/>
      <c r="U9" s="1"/>
      <c r="V9" s="1"/>
      <c r="W9" s="1"/>
      <c r="X9" s="1"/>
      <c r="Y9" s="1"/>
      <c r="Z9" s="1"/>
      <c r="AA9" s="1"/>
      <c r="AB9" s="1"/>
      <c r="AC9" s="1"/>
      <c r="AD9" s="1"/>
      <c r="AE9" s="1"/>
      <c r="AF9" s="1"/>
      <c r="AG9" s="1"/>
    </row>
    <row r="10" spans="1:33" ht="15" customHeight="1" x14ac:dyDescent="0.45">
      <c r="A10" s="1"/>
      <c r="B10" s="1"/>
      <c r="C10" s="55"/>
      <c r="D10" s="56"/>
      <c r="E10" s="1"/>
      <c r="F10" s="5" t="s">
        <v>82</v>
      </c>
      <c r="G10" s="63"/>
      <c r="H10" s="64"/>
      <c r="I10" s="1"/>
      <c r="J10" s="1"/>
      <c r="K10" s="1"/>
      <c r="L10" s="1"/>
      <c r="M10" s="177"/>
      <c r="N10" s="176"/>
      <c r="O10" s="176"/>
      <c r="P10" s="1"/>
      <c r="Q10" s="1"/>
      <c r="R10" s="156"/>
      <c r="S10" s="157"/>
      <c r="T10" s="157"/>
      <c r="U10" s="157"/>
      <c r="V10" s="157"/>
      <c r="W10" s="157"/>
      <c r="X10" s="157"/>
      <c r="Y10" s="157"/>
      <c r="Z10" s="157"/>
      <c r="AA10" s="157"/>
      <c r="AB10" s="157"/>
      <c r="AC10" s="173"/>
      <c r="AD10" s="1"/>
      <c r="AE10" s="1"/>
      <c r="AF10" s="1"/>
      <c r="AG10" s="1"/>
    </row>
    <row r="11" spans="1:33" ht="15" customHeight="1" x14ac:dyDescent="0.4">
      <c r="A11" s="1"/>
      <c r="B11" s="1"/>
      <c r="C11" s="63"/>
      <c r="D11" s="64"/>
      <c r="E11" s="1"/>
      <c r="F11" s="1"/>
      <c r="G11" s="1"/>
      <c r="H11" s="1"/>
      <c r="I11" s="1"/>
      <c r="J11" s="1"/>
      <c r="K11" s="1"/>
      <c r="L11" s="1"/>
      <c r="M11" s="177"/>
      <c r="N11" s="176"/>
      <c r="O11" s="176"/>
      <c r="P11" s="1"/>
      <c r="Q11" s="1"/>
      <c r="R11" s="158"/>
      <c r="S11" s="159"/>
      <c r="T11" s="159"/>
      <c r="U11" s="159"/>
      <c r="V11" s="159"/>
      <c r="W11" s="159"/>
      <c r="X11" s="159"/>
      <c r="Y11" s="159"/>
      <c r="Z11" s="159"/>
      <c r="AA11" s="159"/>
      <c r="AB11" s="159"/>
      <c r="AC11" s="174"/>
      <c r="AD11" s="1"/>
      <c r="AE11" s="1"/>
      <c r="AF11" s="1"/>
      <c r="AG11" s="1"/>
    </row>
    <row r="12" spans="1:33" ht="15" customHeight="1" x14ac:dyDescent="0.45">
      <c r="A12" s="1"/>
      <c r="B12" s="1"/>
      <c r="C12" s="1"/>
      <c r="D12" s="1"/>
      <c r="E12" s="1"/>
      <c r="F12" s="5" t="s">
        <v>84</v>
      </c>
      <c r="G12" s="185">
        <f>'Rate Change'!K11</f>
        <v>0</v>
      </c>
      <c r="H12" s="186"/>
      <c r="I12" s="186"/>
      <c r="J12" s="186"/>
      <c r="K12" s="187"/>
      <c r="L12" s="1"/>
      <c r="M12" s="178"/>
      <c r="N12" s="179"/>
      <c r="O12" s="179"/>
      <c r="P12" s="1"/>
      <c r="Q12" s="1"/>
      <c r="R12" s="158"/>
      <c r="S12" s="159"/>
      <c r="T12" s="159"/>
      <c r="U12" s="159"/>
      <c r="V12" s="159"/>
      <c r="W12" s="159"/>
      <c r="X12" s="159"/>
      <c r="Y12" s="159"/>
      <c r="Z12" s="159"/>
      <c r="AA12" s="159"/>
      <c r="AB12" s="159"/>
      <c r="AC12" s="174"/>
      <c r="AD12" s="1"/>
      <c r="AE12" s="1"/>
      <c r="AF12" s="1"/>
      <c r="AG12" s="1"/>
    </row>
    <row r="13" spans="1:33" ht="15" customHeight="1" x14ac:dyDescent="0.45">
      <c r="A13" s="1"/>
      <c r="B13" s="1"/>
      <c r="C13" s="1"/>
      <c r="D13" s="1"/>
      <c r="E13" s="1"/>
      <c r="F13" s="5" t="s">
        <v>85</v>
      </c>
      <c r="G13" s="188">
        <f>'Rate Change'!K7</f>
        <v>0</v>
      </c>
      <c r="H13" s="189"/>
      <c r="I13" s="189"/>
      <c r="J13" s="189"/>
      <c r="K13" s="190"/>
      <c r="L13" s="1"/>
      <c r="M13" s="1"/>
      <c r="N13" s="1"/>
      <c r="O13" s="1"/>
      <c r="P13" s="1"/>
      <c r="Q13" s="1"/>
      <c r="R13" s="158"/>
      <c r="S13" s="159"/>
      <c r="T13" s="159"/>
      <c r="U13" s="159"/>
      <c r="V13" s="159"/>
      <c r="W13" s="159"/>
      <c r="X13" s="159"/>
      <c r="Y13" s="159"/>
      <c r="Z13" s="159"/>
      <c r="AA13" s="159"/>
      <c r="AB13" s="159"/>
      <c r="AC13" s="174"/>
      <c r="AD13" s="1"/>
      <c r="AE13" s="1"/>
      <c r="AF13" s="1"/>
      <c r="AG13" s="1"/>
    </row>
    <row r="14" spans="1:33" ht="15" customHeight="1" x14ac:dyDescent="0.4">
      <c r="A14" s="1"/>
      <c r="B14" s="1"/>
      <c r="C14" s="1"/>
      <c r="D14" s="1"/>
      <c r="E14" s="1"/>
      <c r="F14" s="66" t="s">
        <v>86</v>
      </c>
      <c r="G14" s="191">
        <f>'Rate Change'!K9</f>
        <v>0</v>
      </c>
      <c r="H14" s="192"/>
      <c r="I14" s="192"/>
      <c r="J14" s="192"/>
      <c r="K14" s="193"/>
      <c r="L14" s="1"/>
      <c r="M14" s="1"/>
      <c r="N14" s="1"/>
      <c r="O14" s="1"/>
      <c r="P14" s="1"/>
      <c r="Q14" s="1"/>
      <c r="R14" s="160"/>
      <c r="S14" s="161"/>
      <c r="T14" s="161"/>
      <c r="U14" s="161"/>
      <c r="V14" s="161"/>
      <c r="W14" s="161"/>
      <c r="X14" s="161"/>
      <c r="Y14" s="161"/>
      <c r="Z14" s="161"/>
      <c r="AA14" s="161"/>
      <c r="AB14" s="161"/>
      <c r="AC14" s="175"/>
      <c r="AD14" s="1"/>
      <c r="AE14" s="1"/>
      <c r="AF14" s="1"/>
      <c r="AG14" s="1"/>
    </row>
    <row r="15" spans="1:33" ht="44.1" customHeight="1" x14ac:dyDescent="0.4">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row>
    <row r="16" spans="1:33" ht="15" hidden="1" customHeight="1" x14ac:dyDescent="0.45">
      <c r="A16" s="40"/>
      <c r="B16" s="40"/>
      <c r="C16" s="41" t="s">
        <v>88</v>
      </c>
      <c r="D16" s="40"/>
      <c r="E16" s="40"/>
      <c r="F16" s="40"/>
      <c r="G16" s="40"/>
      <c r="H16" s="40"/>
      <c r="I16" s="40"/>
      <c r="J16" s="40"/>
      <c r="K16" s="40"/>
      <c r="L16" s="40"/>
      <c r="M16" s="40"/>
      <c r="N16" s="40"/>
      <c r="O16" s="40"/>
      <c r="P16" s="40"/>
      <c r="Q16" s="40"/>
      <c r="R16" s="40"/>
      <c r="S16" s="40"/>
      <c r="T16" s="40"/>
      <c r="U16" s="40"/>
      <c r="V16" s="40"/>
      <c r="W16" s="40"/>
      <c r="X16" s="40"/>
      <c r="Y16" s="40"/>
      <c r="Z16" s="40"/>
      <c r="AA16" s="40"/>
      <c r="AB16" s="40"/>
      <c r="AC16" s="40"/>
      <c r="AD16" s="40"/>
      <c r="AE16" s="40"/>
      <c r="AF16" s="40"/>
      <c r="AG16" s="40"/>
    </row>
    <row r="17" spans="1:33" ht="5.0999999999999996" hidden="1" customHeight="1" x14ac:dyDescent="0.4">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row>
    <row r="18" spans="1:33" ht="69" hidden="1" customHeight="1" x14ac:dyDescent="0.4">
      <c r="A18" s="1"/>
      <c r="B18" s="1"/>
      <c r="C18" s="11" t="s">
        <v>89</v>
      </c>
      <c r="D18" s="11" t="s">
        <v>90</v>
      </c>
      <c r="E18" s="11" t="s">
        <v>91</v>
      </c>
      <c r="F18" s="11" t="s">
        <v>92</v>
      </c>
      <c r="G18" s="11" t="s">
        <v>93</v>
      </c>
      <c r="H18" s="11" t="s">
        <v>94</v>
      </c>
      <c r="I18" s="11" t="s">
        <v>95</v>
      </c>
      <c r="J18" s="11" t="s">
        <v>96</v>
      </c>
      <c r="K18" s="11" t="s">
        <v>97</v>
      </c>
      <c r="L18" s="1"/>
      <c r="M18" s="1"/>
      <c r="N18" s="1"/>
      <c r="O18" s="1"/>
      <c r="P18" s="1"/>
      <c r="Q18" s="1"/>
      <c r="R18" s="1"/>
      <c r="S18" s="1"/>
      <c r="T18" s="1"/>
      <c r="U18" s="1"/>
      <c r="V18" s="1"/>
      <c r="W18" s="1"/>
      <c r="X18" s="1"/>
      <c r="Y18" s="1"/>
      <c r="Z18" s="1"/>
      <c r="AA18" s="1"/>
      <c r="AB18" s="1"/>
      <c r="AC18" s="1"/>
      <c r="AD18" s="1"/>
      <c r="AE18" s="1"/>
      <c r="AF18" s="1"/>
      <c r="AG18" s="1"/>
    </row>
    <row r="19" spans="1:33" s="70" customFormat="1" ht="15" hidden="1" customHeight="1" x14ac:dyDescent="0.45">
      <c r="A19" s="5"/>
      <c r="B19" s="67" t="s">
        <v>126</v>
      </c>
      <c r="C19" s="7"/>
      <c r="D19" s="7"/>
      <c r="E19" s="7"/>
      <c r="F19" s="7"/>
      <c r="G19" s="7"/>
      <c r="H19" s="7"/>
      <c r="I19" s="68"/>
      <c r="J19" s="69"/>
      <c r="K19" s="69"/>
      <c r="L19" s="1"/>
      <c r="M19" s="1"/>
      <c r="N19" s="1"/>
      <c r="O19" s="1"/>
      <c r="P19" s="1"/>
      <c r="Q19" s="1"/>
      <c r="R19" s="1"/>
      <c r="S19" s="1"/>
      <c r="T19" s="1"/>
      <c r="U19" s="1"/>
      <c r="V19" s="1"/>
      <c r="W19" s="1"/>
      <c r="X19" s="1"/>
      <c r="Y19" s="1"/>
      <c r="Z19" s="1"/>
      <c r="AA19" s="1"/>
      <c r="AB19" s="1"/>
      <c r="AC19" s="1"/>
      <c r="AD19" s="1"/>
      <c r="AE19" s="1"/>
      <c r="AF19" s="1"/>
      <c r="AG19" s="1"/>
    </row>
    <row r="20" spans="1:33" s="70" customFormat="1" ht="15" hidden="1" customHeight="1" x14ac:dyDescent="0.45">
      <c r="A20" s="5"/>
      <c r="B20" s="5" t="s">
        <v>127</v>
      </c>
      <c r="C20" s="7"/>
      <c r="D20" s="7"/>
      <c r="E20" s="7"/>
      <c r="F20" s="7"/>
      <c r="G20" s="7"/>
      <c r="H20" s="7"/>
      <c r="I20" s="68"/>
      <c r="J20" s="71"/>
      <c r="K20" s="71"/>
      <c r="L20" s="1"/>
      <c r="M20" s="1"/>
      <c r="N20" s="1"/>
      <c r="O20" s="1"/>
      <c r="P20" s="1"/>
      <c r="Q20" s="1"/>
      <c r="R20" s="1"/>
      <c r="S20" s="1"/>
      <c r="T20" s="1"/>
      <c r="U20" s="1"/>
      <c r="V20" s="1"/>
      <c r="W20" s="1"/>
      <c r="X20" s="1"/>
      <c r="Y20" s="1"/>
      <c r="Z20" s="1"/>
      <c r="AA20" s="1"/>
      <c r="AB20" s="1"/>
      <c r="AC20" s="1"/>
      <c r="AD20" s="1"/>
      <c r="AE20" s="1"/>
      <c r="AF20" s="1"/>
      <c r="AG20" s="1"/>
    </row>
    <row r="21" spans="1:33" ht="15" hidden="1" customHeight="1" x14ac:dyDescent="0.4">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row>
    <row r="22" spans="1:33" ht="15" hidden="1" customHeight="1" x14ac:dyDescent="0.45">
      <c r="A22" s="40"/>
      <c r="B22" s="40"/>
      <c r="C22" s="41" t="s">
        <v>470</v>
      </c>
      <c r="D22" s="40"/>
      <c r="E22" s="40"/>
      <c r="F22" s="40"/>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row>
    <row r="23" spans="1:33" ht="15" hidden="1" customHeight="1" x14ac:dyDescent="0.45">
      <c r="A23" s="1"/>
      <c r="B23" s="1"/>
      <c r="C23" s="2" t="s">
        <v>98</v>
      </c>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row>
    <row r="24" spans="1:33" ht="5.0999999999999996" hidden="1" customHeight="1" x14ac:dyDescent="0.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row>
    <row r="25" spans="1:33" ht="43.9" hidden="1" customHeight="1" x14ac:dyDescent="0.4">
      <c r="A25" s="1"/>
      <c r="B25" s="1"/>
      <c r="C25" s="4" t="s">
        <v>99</v>
      </c>
      <c r="D25" s="4" t="s">
        <v>100</v>
      </c>
      <c r="E25" s="4" t="s">
        <v>53</v>
      </c>
      <c r="F25" s="11" t="s">
        <v>472</v>
      </c>
      <c r="G25" s="11" t="s">
        <v>473</v>
      </c>
      <c r="H25" s="4" t="s">
        <v>101</v>
      </c>
      <c r="I25" s="4" t="s">
        <v>102</v>
      </c>
      <c r="J25" s="4" t="s">
        <v>103</v>
      </c>
      <c r="K25" s="53" t="s">
        <v>104</v>
      </c>
      <c r="L25" s="4" t="s">
        <v>105</v>
      </c>
      <c r="M25" s="4" t="s">
        <v>106</v>
      </c>
      <c r="N25" s="4" t="s">
        <v>107</v>
      </c>
      <c r="O25" s="4" t="s">
        <v>108</v>
      </c>
      <c r="P25" s="4"/>
      <c r="Q25" s="4" t="s">
        <v>87</v>
      </c>
      <c r="R25" s="4" t="s">
        <v>109</v>
      </c>
      <c r="S25" s="4" t="s">
        <v>110</v>
      </c>
      <c r="T25" s="4" t="s">
        <v>111</v>
      </c>
      <c r="U25" s="4" t="s">
        <v>112</v>
      </c>
      <c r="V25" s="4" t="s">
        <v>113</v>
      </c>
      <c r="W25" s="4" t="s">
        <v>114</v>
      </c>
      <c r="X25" s="4" t="s">
        <v>115</v>
      </c>
      <c r="Y25" s="4" t="s">
        <v>116</v>
      </c>
      <c r="Z25" s="4" t="s">
        <v>117</v>
      </c>
      <c r="AA25" s="4" t="s">
        <v>118</v>
      </c>
      <c r="AB25" s="4" t="s">
        <v>119</v>
      </c>
      <c r="AC25" s="11" t="s">
        <v>120</v>
      </c>
      <c r="AD25" s="11" t="s">
        <v>121</v>
      </c>
      <c r="AE25" s="11" t="s">
        <v>122</v>
      </c>
      <c r="AF25" s="11" t="s">
        <v>123</v>
      </c>
      <c r="AG25" s="1"/>
    </row>
    <row r="26" spans="1:33" s="70" customFormat="1" ht="14.25" hidden="1" x14ac:dyDescent="0.45">
      <c r="A26" s="5"/>
      <c r="B26" s="67"/>
      <c r="C26" s="18"/>
      <c r="D26" s="18">
        <f t="shared" ref="D26:K26" si="0">D52</f>
        <v>0</v>
      </c>
      <c r="E26" s="18">
        <f t="shared" si="0"/>
        <v>0</v>
      </c>
      <c r="F26" s="13">
        <f t="shared" si="0"/>
        <v>0</v>
      </c>
      <c r="G26" s="13">
        <f t="shared" si="0"/>
        <v>0</v>
      </c>
      <c r="H26" s="13">
        <f t="shared" si="0"/>
        <v>0</v>
      </c>
      <c r="I26" s="57">
        <f t="shared" si="0"/>
        <v>0</v>
      </c>
      <c r="J26" s="57">
        <f t="shared" si="0"/>
        <v>0</v>
      </c>
      <c r="K26" s="72">
        <f t="shared" si="0"/>
        <v>0</v>
      </c>
      <c r="L26" s="14"/>
      <c r="M26" s="57">
        <v>1</v>
      </c>
      <c r="N26" s="57">
        <f>N52</f>
        <v>0</v>
      </c>
      <c r="O26" s="57">
        <f>O52</f>
        <v>0</v>
      </c>
      <c r="P26" s="57"/>
      <c r="Q26" s="57">
        <f t="shared" ref="Q26:AF26" si="1">Q52</f>
        <v>0</v>
      </c>
      <c r="R26" s="57">
        <f t="shared" si="1"/>
        <v>0</v>
      </c>
      <c r="S26" s="13">
        <f t="shared" si="1"/>
        <v>0</v>
      </c>
      <c r="T26" s="73">
        <f t="shared" si="1"/>
        <v>0</v>
      </c>
      <c r="U26" s="12">
        <f t="shared" si="1"/>
        <v>0</v>
      </c>
      <c r="V26" s="73">
        <f t="shared" si="1"/>
        <v>0</v>
      </c>
      <c r="W26" s="12">
        <f t="shared" si="1"/>
        <v>0</v>
      </c>
      <c r="X26" s="73">
        <f t="shared" si="1"/>
        <v>0</v>
      </c>
      <c r="Y26" s="12">
        <f t="shared" si="1"/>
        <v>0</v>
      </c>
      <c r="Z26" s="12">
        <f t="shared" si="1"/>
        <v>0</v>
      </c>
      <c r="AA26" s="12">
        <f t="shared" si="1"/>
        <v>0</v>
      </c>
      <c r="AB26" s="12">
        <f t="shared" si="1"/>
        <v>0</v>
      </c>
      <c r="AC26" s="57">
        <f t="shared" si="1"/>
        <v>0</v>
      </c>
      <c r="AD26" s="74">
        <f t="shared" si="1"/>
        <v>0</v>
      </c>
      <c r="AE26" s="57">
        <f t="shared" si="1"/>
        <v>0</v>
      </c>
      <c r="AF26" s="74">
        <f t="shared" si="1"/>
        <v>0</v>
      </c>
      <c r="AG26" s="1"/>
    </row>
    <row r="27" spans="1:33" s="70" customFormat="1" ht="14.25" hidden="1" x14ac:dyDescent="0.45">
      <c r="A27" s="5"/>
      <c r="B27" s="67"/>
      <c r="C27" s="27"/>
      <c r="D27" s="27">
        <f t="shared" ref="D27:K27" si="2">D53</f>
        <v>0</v>
      </c>
      <c r="E27" s="27">
        <f t="shared" si="2"/>
        <v>0</v>
      </c>
      <c r="F27" s="42">
        <f t="shared" si="2"/>
        <v>0</v>
      </c>
      <c r="G27" s="42">
        <f t="shared" si="2"/>
        <v>0</v>
      </c>
      <c r="H27" s="42">
        <f t="shared" si="2"/>
        <v>0</v>
      </c>
      <c r="I27" s="59">
        <f t="shared" si="2"/>
        <v>0</v>
      </c>
      <c r="J27" s="59">
        <f t="shared" si="2"/>
        <v>0</v>
      </c>
      <c r="K27" s="75">
        <f t="shared" si="2"/>
        <v>0</v>
      </c>
      <c r="L27" s="24"/>
      <c r="M27" s="59">
        <v>1</v>
      </c>
      <c r="N27" s="59">
        <f t="shared" ref="N27:O27" si="3">N53</f>
        <v>0</v>
      </c>
      <c r="O27" s="59">
        <f t="shared" si="3"/>
        <v>0</v>
      </c>
      <c r="P27" s="59"/>
      <c r="Q27" s="59">
        <f t="shared" ref="Q27:AF27" si="4">Q53</f>
        <v>0</v>
      </c>
      <c r="R27" s="59">
        <f t="shared" si="4"/>
        <v>0</v>
      </c>
      <c r="S27" s="42">
        <f t="shared" si="4"/>
        <v>0</v>
      </c>
      <c r="T27" s="76">
        <f t="shared" si="4"/>
        <v>0</v>
      </c>
      <c r="U27" s="44">
        <f t="shared" si="4"/>
        <v>0</v>
      </c>
      <c r="V27" s="76">
        <f t="shared" si="4"/>
        <v>0</v>
      </c>
      <c r="W27" s="44">
        <f t="shared" si="4"/>
        <v>0</v>
      </c>
      <c r="X27" s="76">
        <f t="shared" si="4"/>
        <v>0</v>
      </c>
      <c r="Y27" s="44">
        <f t="shared" si="4"/>
        <v>0</v>
      </c>
      <c r="Z27" s="44">
        <f t="shared" si="4"/>
        <v>0</v>
      </c>
      <c r="AA27" s="44">
        <f t="shared" si="4"/>
        <v>0</v>
      </c>
      <c r="AB27" s="44">
        <f t="shared" si="4"/>
        <v>0</v>
      </c>
      <c r="AC27" s="59">
        <f t="shared" si="4"/>
        <v>0</v>
      </c>
      <c r="AD27" s="77">
        <f t="shared" si="4"/>
        <v>0</v>
      </c>
      <c r="AE27" s="59">
        <f t="shared" si="4"/>
        <v>0</v>
      </c>
      <c r="AF27" s="77">
        <f t="shared" si="4"/>
        <v>0</v>
      </c>
      <c r="AG27" s="1"/>
    </row>
    <row r="28" spans="1:33" s="70" customFormat="1" ht="14.25" hidden="1" x14ac:dyDescent="0.45">
      <c r="A28" s="5"/>
      <c r="B28" s="67"/>
      <c r="C28" s="27"/>
      <c r="D28" s="27">
        <f t="shared" ref="D28:K28" si="5">D54</f>
        <v>0</v>
      </c>
      <c r="E28" s="27">
        <f t="shared" si="5"/>
        <v>0</v>
      </c>
      <c r="F28" s="42">
        <f t="shared" si="5"/>
        <v>0</v>
      </c>
      <c r="G28" s="42">
        <f t="shared" si="5"/>
        <v>0</v>
      </c>
      <c r="H28" s="42">
        <f t="shared" si="5"/>
        <v>0</v>
      </c>
      <c r="I28" s="59">
        <f t="shared" si="5"/>
        <v>0</v>
      </c>
      <c r="J28" s="59">
        <f t="shared" si="5"/>
        <v>0</v>
      </c>
      <c r="K28" s="75">
        <f t="shared" si="5"/>
        <v>0</v>
      </c>
      <c r="L28" s="24"/>
      <c r="M28" s="59">
        <v>1</v>
      </c>
      <c r="N28" s="59">
        <f t="shared" ref="N28:O28" si="6">N54</f>
        <v>0</v>
      </c>
      <c r="O28" s="59">
        <f t="shared" si="6"/>
        <v>0</v>
      </c>
      <c r="P28" s="59"/>
      <c r="Q28" s="59">
        <f t="shared" ref="Q28:AF28" si="7">Q54</f>
        <v>0</v>
      </c>
      <c r="R28" s="59">
        <f t="shared" si="7"/>
        <v>0</v>
      </c>
      <c r="S28" s="42">
        <f t="shared" si="7"/>
        <v>0</v>
      </c>
      <c r="T28" s="76">
        <f t="shared" si="7"/>
        <v>0</v>
      </c>
      <c r="U28" s="44">
        <f t="shared" si="7"/>
        <v>0</v>
      </c>
      <c r="V28" s="76">
        <f t="shared" si="7"/>
        <v>0</v>
      </c>
      <c r="W28" s="44">
        <f t="shared" si="7"/>
        <v>0</v>
      </c>
      <c r="X28" s="76">
        <f t="shared" si="7"/>
        <v>0</v>
      </c>
      <c r="Y28" s="44">
        <f t="shared" si="7"/>
        <v>0</v>
      </c>
      <c r="Z28" s="44">
        <f t="shared" si="7"/>
        <v>0</v>
      </c>
      <c r="AA28" s="44">
        <f t="shared" si="7"/>
        <v>0</v>
      </c>
      <c r="AB28" s="44">
        <f t="shared" si="7"/>
        <v>0</v>
      </c>
      <c r="AC28" s="59">
        <f t="shared" si="7"/>
        <v>0</v>
      </c>
      <c r="AD28" s="77">
        <f t="shared" si="7"/>
        <v>0</v>
      </c>
      <c r="AE28" s="59">
        <f t="shared" si="7"/>
        <v>0</v>
      </c>
      <c r="AF28" s="77">
        <f t="shared" si="7"/>
        <v>0</v>
      </c>
      <c r="AG28" s="1"/>
    </row>
    <row r="29" spans="1:33" s="70" customFormat="1" ht="14.25" hidden="1" x14ac:dyDescent="0.45">
      <c r="A29" s="5"/>
      <c r="B29" s="67"/>
      <c r="C29" s="27"/>
      <c r="D29" s="27">
        <f t="shared" ref="D29:K29" si="8">D55</f>
        <v>0</v>
      </c>
      <c r="E29" s="27">
        <f t="shared" si="8"/>
        <v>0</v>
      </c>
      <c r="F29" s="42">
        <f t="shared" si="8"/>
        <v>0</v>
      </c>
      <c r="G29" s="42">
        <f t="shared" si="8"/>
        <v>0</v>
      </c>
      <c r="H29" s="42">
        <f t="shared" si="8"/>
        <v>0</v>
      </c>
      <c r="I29" s="59">
        <f t="shared" si="8"/>
        <v>0</v>
      </c>
      <c r="J29" s="59">
        <f t="shared" si="8"/>
        <v>0</v>
      </c>
      <c r="K29" s="75">
        <f t="shared" si="8"/>
        <v>0</v>
      </c>
      <c r="L29" s="24"/>
      <c r="M29" s="59">
        <v>1</v>
      </c>
      <c r="N29" s="59">
        <f t="shared" ref="N29:O29" si="9">N55</f>
        <v>0</v>
      </c>
      <c r="O29" s="59">
        <f t="shared" si="9"/>
        <v>0</v>
      </c>
      <c r="P29" s="59"/>
      <c r="Q29" s="59">
        <f t="shared" ref="Q29:AF29" si="10">Q55</f>
        <v>0</v>
      </c>
      <c r="R29" s="59">
        <f t="shared" si="10"/>
        <v>0</v>
      </c>
      <c r="S29" s="42">
        <f t="shared" si="10"/>
        <v>0</v>
      </c>
      <c r="T29" s="76">
        <f t="shared" si="10"/>
        <v>0</v>
      </c>
      <c r="U29" s="44">
        <f t="shared" si="10"/>
        <v>0</v>
      </c>
      <c r="V29" s="76">
        <f t="shared" si="10"/>
        <v>0</v>
      </c>
      <c r="W29" s="44">
        <f t="shared" si="10"/>
        <v>0</v>
      </c>
      <c r="X29" s="76">
        <f t="shared" si="10"/>
        <v>0</v>
      </c>
      <c r="Y29" s="44">
        <f t="shared" si="10"/>
        <v>0</v>
      </c>
      <c r="Z29" s="44">
        <f t="shared" si="10"/>
        <v>0</v>
      </c>
      <c r="AA29" s="44">
        <f t="shared" si="10"/>
        <v>0</v>
      </c>
      <c r="AB29" s="44">
        <f t="shared" si="10"/>
        <v>0</v>
      </c>
      <c r="AC29" s="59">
        <f t="shared" si="10"/>
        <v>0</v>
      </c>
      <c r="AD29" s="77">
        <f t="shared" si="10"/>
        <v>0</v>
      </c>
      <c r="AE29" s="59">
        <f t="shared" si="10"/>
        <v>0</v>
      </c>
      <c r="AF29" s="77">
        <f t="shared" si="10"/>
        <v>0</v>
      </c>
      <c r="AG29" s="1"/>
    </row>
    <row r="30" spans="1:33" s="70" customFormat="1" ht="14.25" hidden="1" x14ac:dyDescent="0.45">
      <c r="A30" s="5"/>
      <c r="B30" s="67"/>
      <c r="C30" s="27"/>
      <c r="D30" s="27">
        <f t="shared" ref="D30:K30" si="11">D56</f>
        <v>0</v>
      </c>
      <c r="E30" s="27">
        <f t="shared" si="11"/>
        <v>0</v>
      </c>
      <c r="F30" s="42">
        <f t="shared" si="11"/>
        <v>0</v>
      </c>
      <c r="G30" s="42">
        <f t="shared" si="11"/>
        <v>0</v>
      </c>
      <c r="H30" s="42">
        <f t="shared" si="11"/>
        <v>0</v>
      </c>
      <c r="I30" s="59">
        <f t="shared" si="11"/>
        <v>0</v>
      </c>
      <c r="J30" s="59">
        <f t="shared" si="11"/>
        <v>0</v>
      </c>
      <c r="K30" s="75">
        <f t="shared" si="11"/>
        <v>0</v>
      </c>
      <c r="L30" s="24"/>
      <c r="M30" s="59">
        <v>1</v>
      </c>
      <c r="N30" s="59">
        <f t="shared" ref="N30:O30" si="12">N56</f>
        <v>0</v>
      </c>
      <c r="O30" s="59">
        <f t="shared" si="12"/>
        <v>0</v>
      </c>
      <c r="P30" s="59"/>
      <c r="Q30" s="59">
        <f t="shared" ref="Q30:AF30" si="13">Q56</f>
        <v>0</v>
      </c>
      <c r="R30" s="59">
        <f t="shared" si="13"/>
        <v>0</v>
      </c>
      <c r="S30" s="42">
        <f t="shared" si="13"/>
        <v>0</v>
      </c>
      <c r="T30" s="76">
        <f t="shared" si="13"/>
        <v>0</v>
      </c>
      <c r="U30" s="44">
        <f t="shared" si="13"/>
        <v>0</v>
      </c>
      <c r="V30" s="76">
        <f t="shared" si="13"/>
        <v>0</v>
      </c>
      <c r="W30" s="44">
        <f t="shared" si="13"/>
        <v>0</v>
      </c>
      <c r="X30" s="76">
        <f t="shared" si="13"/>
        <v>0</v>
      </c>
      <c r="Y30" s="44">
        <f t="shared" si="13"/>
        <v>0</v>
      </c>
      <c r="Z30" s="44">
        <f t="shared" si="13"/>
        <v>0</v>
      </c>
      <c r="AA30" s="44">
        <f t="shared" si="13"/>
        <v>0</v>
      </c>
      <c r="AB30" s="44">
        <f t="shared" si="13"/>
        <v>0</v>
      </c>
      <c r="AC30" s="59">
        <f t="shared" si="13"/>
        <v>0</v>
      </c>
      <c r="AD30" s="77">
        <f t="shared" si="13"/>
        <v>0</v>
      </c>
      <c r="AE30" s="59">
        <f t="shared" si="13"/>
        <v>0</v>
      </c>
      <c r="AF30" s="77">
        <f t="shared" si="13"/>
        <v>0</v>
      </c>
      <c r="AG30" s="1"/>
    </row>
    <row r="31" spans="1:33" s="70" customFormat="1" ht="14.25" hidden="1" x14ac:dyDescent="0.45">
      <c r="A31" s="5"/>
      <c r="B31" s="67"/>
      <c r="C31" s="27"/>
      <c r="D31" s="27">
        <f t="shared" ref="D31:K31" si="14">D57</f>
        <v>0</v>
      </c>
      <c r="E31" s="27">
        <f t="shared" si="14"/>
        <v>0</v>
      </c>
      <c r="F31" s="42">
        <f t="shared" si="14"/>
        <v>0</v>
      </c>
      <c r="G31" s="42">
        <f t="shared" si="14"/>
        <v>0</v>
      </c>
      <c r="H31" s="42">
        <f t="shared" si="14"/>
        <v>0</v>
      </c>
      <c r="I31" s="59">
        <f t="shared" si="14"/>
        <v>0</v>
      </c>
      <c r="J31" s="59">
        <f t="shared" si="14"/>
        <v>0</v>
      </c>
      <c r="K31" s="75">
        <f t="shared" si="14"/>
        <v>0</v>
      </c>
      <c r="L31" s="24"/>
      <c r="M31" s="59">
        <v>1</v>
      </c>
      <c r="N31" s="59">
        <f t="shared" ref="N31:O31" si="15">N57</f>
        <v>0</v>
      </c>
      <c r="O31" s="59">
        <f t="shared" si="15"/>
        <v>0</v>
      </c>
      <c r="P31" s="59"/>
      <c r="Q31" s="59">
        <f t="shared" ref="Q31:AF31" si="16">Q57</f>
        <v>0</v>
      </c>
      <c r="R31" s="59">
        <f t="shared" si="16"/>
        <v>0</v>
      </c>
      <c r="S31" s="42">
        <f t="shared" si="16"/>
        <v>0</v>
      </c>
      <c r="T31" s="76">
        <f t="shared" si="16"/>
        <v>0</v>
      </c>
      <c r="U31" s="44">
        <f t="shared" si="16"/>
        <v>0</v>
      </c>
      <c r="V31" s="76">
        <f t="shared" si="16"/>
        <v>0</v>
      </c>
      <c r="W31" s="44">
        <f t="shared" si="16"/>
        <v>0</v>
      </c>
      <c r="X31" s="76">
        <f t="shared" si="16"/>
        <v>0</v>
      </c>
      <c r="Y31" s="44">
        <f t="shared" si="16"/>
        <v>0</v>
      </c>
      <c r="Z31" s="44">
        <f t="shared" si="16"/>
        <v>0</v>
      </c>
      <c r="AA31" s="44">
        <f t="shared" si="16"/>
        <v>0</v>
      </c>
      <c r="AB31" s="44">
        <f t="shared" si="16"/>
        <v>0</v>
      </c>
      <c r="AC31" s="59">
        <f t="shared" si="16"/>
        <v>0</v>
      </c>
      <c r="AD31" s="77">
        <f t="shared" si="16"/>
        <v>0</v>
      </c>
      <c r="AE31" s="59">
        <f t="shared" si="16"/>
        <v>0</v>
      </c>
      <c r="AF31" s="77">
        <f t="shared" si="16"/>
        <v>0</v>
      </c>
      <c r="AG31" s="1"/>
    </row>
    <row r="32" spans="1:33" s="70" customFormat="1" ht="14.25" hidden="1" x14ac:dyDescent="0.45">
      <c r="A32" s="5"/>
      <c r="B32" s="67"/>
      <c r="C32" s="27"/>
      <c r="D32" s="27">
        <f t="shared" ref="D32:K32" si="17">D58</f>
        <v>0</v>
      </c>
      <c r="E32" s="27">
        <f t="shared" si="17"/>
        <v>0</v>
      </c>
      <c r="F32" s="42">
        <f t="shared" si="17"/>
        <v>0</v>
      </c>
      <c r="G32" s="42">
        <f t="shared" si="17"/>
        <v>0</v>
      </c>
      <c r="H32" s="42">
        <f t="shared" si="17"/>
        <v>0</v>
      </c>
      <c r="I32" s="59">
        <f t="shared" si="17"/>
        <v>0</v>
      </c>
      <c r="J32" s="59">
        <f t="shared" si="17"/>
        <v>0</v>
      </c>
      <c r="K32" s="75">
        <f t="shared" si="17"/>
        <v>0</v>
      </c>
      <c r="L32" s="24"/>
      <c r="M32" s="59">
        <v>1</v>
      </c>
      <c r="N32" s="59">
        <f t="shared" ref="N32:O32" si="18">N58</f>
        <v>0</v>
      </c>
      <c r="O32" s="59">
        <f t="shared" si="18"/>
        <v>0</v>
      </c>
      <c r="P32" s="59"/>
      <c r="Q32" s="59">
        <f t="shared" ref="Q32:AF32" si="19">Q58</f>
        <v>0</v>
      </c>
      <c r="R32" s="59">
        <f t="shared" si="19"/>
        <v>0</v>
      </c>
      <c r="S32" s="42">
        <f t="shared" si="19"/>
        <v>0</v>
      </c>
      <c r="T32" s="76">
        <f t="shared" si="19"/>
        <v>0</v>
      </c>
      <c r="U32" s="44">
        <f t="shared" si="19"/>
        <v>0</v>
      </c>
      <c r="V32" s="76">
        <f t="shared" si="19"/>
        <v>0</v>
      </c>
      <c r="W32" s="44">
        <f t="shared" si="19"/>
        <v>0</v>
      </c>
      <c r="X32" s="76">
        <f t="shared" si="19"/>
        <v>0</v>
      </c>
      <c r="Y32" s="44">
        <f t="shared" si="19"/>
        <v>0</v>
      </c>
      <c r="Z32" s="44">
        <f t="shared" si="19"/>
        <v>0</v>
      </c>
      <c r="AA32" s="44">
        <f t="shared" si="19"/>
        <v>0</v>
      </c>
      <c r="AB32" s="44">
        <f t="shared" si="19"/>
        <v>0</v>
      </c>
      <c r="AC32" s="59">
        <f t="shared" si="19"/>
        <v>0</v>
      </c>
      <c r="AD32" s="77">
        <f t="shared" si="19"/>
        <v>0</v>
      </c>
      <c r="AE32" s="59">
        <f t="shared" si="19"/>
        <v>0</v>
      </c>
      <c r="AF32" s="77">
        <f t="shared" si="19"/>
        <v>0</v>
      </c>
      <c r="AG32" s="1"/>
    </row>
    <row r="33" spans="1:33" s="70" customFormat="1" ht="14.25" hidden="1" x14ac:dyDescent="0.45">
      <c r="A33" s="5"/>
      <c r="B33" s="67"/>
      <c r="C33" s="36"/>
      <c r="D33" s="36">
        <f t="shared" ref="D33:K33" si="20">D59</f>
        <v>0</v>
      </c>
      <c r="E33" s="36">
        <f t="shared" si="20"/>
        <v>0</v>
      </c>
      <c r="F33" s="45">
        <f t="shared" si="20"/>
        <v>0</v>
      </c>
      <c r="G33" s="45">
        <f t="shared" si="20"/>
        <v>0</v>
      </c>
      <c r="H33" s="45">
        <f t="shared" si="20"/>
        <v>0</v>
      </c>
      <c r="I33" s="65">
        <f t="shared" si="20"/>
        <v>0</v>
      </c>
      <c r="J33" s="65">
        <f t="shared" si="20"/>
        <v>0</v>
      </c>
      <c r="K33" s="78">
        <f t="shared" si="20"/>
        <v>0</v>
      </c>
      <c r="L33" s="33"/>
      <c r="M33" s="65">
        <v>1</v>
      </c>
      <c r="N33" s="65">
        <f t="shared" ref="N33:O33" si="21">N59</f>
        <v>0</v>
      </c>
      <c r="O33" s="65">
        <f t="shared" si="21"/>
        <v>0</v>
      </c>
      <c r="P33" s="65"/>
      <c r="Q33" s="65">
        <f t="shared" ref="Q33:AF33" si="22">Q59</f>
        <v>0</v>
      </c>
      <c r="R33" s="65">
        <f t="shared" si="22"/>
        <v>0</v>
      </c>
      <c r="S33" s="45">
        <f t="shared" si="22"/>
        <v>0</v>
      </c>
      <c r="T33" s="79">
        <f t="shared" si="22"/>
        <v>0</v>
      </c>
      <c r="U33" s="46">
        <f t="shared" si="22"/>
        <v>0</v>
      </c>
      <c r="V33" s="79">
        <f t="shared" si="22"/>
        <v>0</v>
      </c>
      <c r="W33" s="46">
        <f t="shared" si="22"/>
        <v>0</v>
      </c>
      <c r="X33" s="79">
        <f t="shared" si="22"/>
        <v>0</v>
      </c>
      <c r="Y33" s="46">
        <f t="shared" si="22"/>
        <v>0</v>
      </c>
      <c r="Z33" s="46">
        <f t="shared" si="22"/>
        <v>0</v>
      </c>
      <c r="AA33" s="46">
        <f t="shared" si="22"/>
        <v>0</v>
      </c>
      <c r="AB33" s="46">
        <f t="shared" si="22"/>
        <v>0</v>
      </c>
      <c r="AC33" s="65">
        <f t="shared" si="22"/>
        <v>0</v>
      </c>
      <c r="AD33" s="80">
        <f t="shared" si="22"/>
        <v>0</v>
      </c>
      <c r="AE33" s="65">
        <f t="shared" si="22"/>
        <v>0</v>
      </c>
      <c r="AF33" s="80">
        <f t="shared" si="22"/>
        <v>0</v>
      </c>
      <c r="AG33" s="1"/>
    </row>
    <row r="34" spans="1:33" ht="15" hidden="1" customHeight="1" x14ac:dyDescent="0.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row>
    <row r="35" spans="1:33" ht="15" hidden="1" customHeight="1" x14ac:dyDescent="0.45">
      <c r="A35" s="40"/>
      <c r="B35" s="40"/>
      <c r="C35" s="41" t="s">
        <v>469</v>
      </c>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row>
    <row r="36" spans="1:33" ht="15" hidden="1" customHeight="1" x14ac:dyDescent="0.45">
      <c r="A36" s="1"/>
      <c r="B36" s="1"/>
      <c r="C36" s="2" t="s">
        <v>98</v>
      </c>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row>
    <row r="37" spans="1:33" ht="5.0999999999999996" hidden="1" customHeight="1" x14ac:dyDescent="0.4">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row>
    <row r="38" spans="1:33" ht="40.9" hidden="1" customHeight="1" x14ac:dyDescent="0.4">
      <c r="A38" s="1"/>
      <c r="B38" s="1"/>
      <c r="C38" s="4" t="s">
        <v>99</v>
      </c>
      <c r="D38" s="4" t="s">
        <v>100</v>
      </c>
      <c r="E38" s="4" t="s">
        <v>53</v>
      </c>
      <c r="F38" s="11" t="s">
        <v>472</v>
      </c>
      <c r="G38" s="11" t="s">
        <v>473</v>
      </c>
      <c r="H38" s="4" t="s">
        <v>101</v>
      </c>
      <c r="I38" s="4" t="s">
        <v>102</v>
      </c>
      <c r="J38" s="4" t="s">
        <v>103</v>
      </c>
      <c r="K38" s="53" t="s">
        <v>104</v>
      </c>
      <c r="L38" s="4" t="s">
        <v>105</v>
      </c>
      <c r="M38" s="4" t="s">
        <v>106</v>
      </c>
      <c r="N38" s="4" t="s">
        <v>107</v>
      </c>
      <c r="O38" s="4" t="s">
        <v>108</v>
      </c>
      <c r="P38" s="4"/>
      <c r="Q38" s="4" t="s">
        <v>87</v>
      </c>
      <c r="R38" s="4" t="s">
        <v>109</v>
      </c>
      <c r="S38" s="4" t="s">
        <v>110</v>
      </c>
      <c r="T38" s="4" t="s">
        <v>111</v>
      </c>
      <c r="U38" s="4" t="s">
        <v>112</v>
      </c>
      <c r="V38" s="4" t="s">
        <v>113</v>
      </c>
      <c r="W38" s="4" t="s">
        <v>114</v>
      </c>
      <c r="X38" s="4" t="s">
        <v>115</v>
      </c>
      <c r="Y38" s="4" t="s">
        <v>116</v>
      </c>
      <c r="Z38" s="4" t="s">
        <v>117</v>
      </c>
      <c r="AA38" s="4" t="s">
        <v>118</v>
      </c>
      <c r="AB38" s="4" t="s">
        <v>119</v>
      </c>
      <c r="AC38" s="11" t="s">
        <v>120</v>
      </c>
      <c r="AD38" s="11" t="s">
        <v>121</v>
      </c>
      <c r="AE38" s="11" t="s">
        <v>122</v>
      </c>
      <c r="AF38" s="11" t="s">
        <v>123</v>
      </c>
      <c r="AG38" s="1"/>
    </row>
    <row r="39" spans="1:33" s="70" customFormat="1" ht="14.25" hidden="1" x14ac:dyDescent="0.45">
      <c r="A39" s="5"/>
      <c r="B39" s="67"/>
      <c r="C39" s="18"/>
      <c r="D39" s="18">
        <f>D52</f>
        <v>0</v>
      </c>
      <c r="E39" s="18">
        <f t="shared" ref="E39:AF39" si="23">E52</f>
        <v>0</v>
      </c>
      <c r="F39" s="13">
        <f t="shared" si="23"/>
        <v>0</v>
      </c>
      <c r="G39" s="13">
        <f t="shared" si="23"/>
        <v>0</v>
      </c>
      <c r="H39" s="13">
        <f t="shared" si="23"/>
        <v>0</v>
      </c>
      <c r="I39" s="57">
        <f t="shared" si="23"/>
        <v>0</v>
      </c>
      <c r="J39" s="57">
        <f t="shared" si="23"/>
        <v>0</v>
      </c>
      <c r="K39" s="72">
        <f t="shared" si="23"/>
        <v>0</v>
      </c>
      <c r="L39" s="14"/>
      <c r="M39" s="57">
        <v>1</v>
      </c>
      <c r="N39" s="57">
        <f t="shared" si="23"/>
        <v>0</v>
      </c>
      <c r="O39" s="57">
        <f t="shared" si="23"/>
        <v>0</v>
      </c>
      <c r="P39" s="57"/>
      <c r="Q39" s="57">
        <f t="shared" si="23"/>
        <v>0</v>
      </c>
      <c r="R39" s="57">
        <f t="shared" si="23"/>
        <v>0</v>
      </c>
      <c r="S39" s="13">
        <f t="shared" si="23"/>
        <v>0</v>
      </c>
      <c r="T39" s="73">
        <f t="shared" si="23"/>
        <v>0</v>
      </c>
      <c r="U39" s="12">
        <f t="shared" si="23"/>
        <v>0</v>
      </c>
      <c r="V39" s="73">
        <f t="shared" si="23"/>
        <v>0</v>
      </c>
      <c r="W39" s="12">
        <f t="shared" si="23"/>
        <v>0</v>
      </c>
      <c r="X39" s="73">
        <f t="shared" si="23"/>
        <v>0</v>
      </c>
      <c r="Y39" s="12">
        <f t="shared" si="23"/>
        <v>0</v>
      </c>
      <c r="Z39" s="12">
        <f t="shared" si="23"/>
        <v>0</v>
      </c>
      <c r="AA39" s="12">
        <f t="shared" si="23"/>
        <v>0</v>
      </c>
      <c r="AB39" s="12">
        <f t="shared" si="23"/>
        <v>0</v>
      </c>
      <c r="AC39" s="57">
        <f t="shared" si="23"/>
        <v>0</v>
      </c>
      <c r="AD39" s="74">
        <f t="shared" si="23"/>
        <v>0</v>
      </c>
      <c r="AE39" s="57">
        <f t="shared" si="23"/>
        <v>0</v>
      </c>
      <c r="AF39" s="74">
        <f t="shared" si="23"/>
        <v>0</v>
      </c>
      <c r="AG39" s="1"/>
    </row>
    <row r="40" spans="1:33" s="70" customFormat="1" ht="14.25" hidden="1" x14ac:dyDescent="0.45">
      <c r="A40" s="5"/>
      <c r="B40" s="67"/>
      <c r="C40" s="27"/>
      <c r="D40" s="27">
        <f t="shared" ref="D40:K40" si="24">D53</f>
        <v>0</v>
      </c>
      <c r="E40" s="27">
        <f t="shared" si="24"/>
        <v>0</v>
      </c>
      <c r="F40" s="42">
        <f t="shared" si="24"/>
        <v>0</v>
      </c>
      <c r="G40" s="42">
        <f t="shared" si="24"/>
        <v>0</v>
      </c>
      <c r="H40" s="42">
        <f t="shared" si="24"/>
        <v>0</v>
      </c>
      <c r="I40" s="59">
        <f t="shared" si="24"/>
        <v>0</v>
      </c>
      <c r="J40" s="59">
        <f t="shared" si="24"/>
        <v>0</v>
      </c>
      <c r="K40" s="75">
        <f t="shared" si="24"/>
        <v>0</v>
      </c>
      <c r="L40" s="24"/>
      <c r="M40" s="59">
        <v>1</v>
      </c>
      <c r="N40" s="59">
        <f t="shared" ref="N40:O40" si="25">N53</f>
        <v>0</v>
      </c>
      <c r="O40" s="59">
        <f t="shared" si="25"/>
        <v>0</v>
      </c>
      <c r="P40" s="59"/>
      <c r="Q40" s="59">
        <f t="shared" ref="Q40:AF40" si="26">Q53</f>
        <v>0</v>
      </c>
      <c r="R40" s="59">
        <f t="shared" si="26"/>
        <v>0</v>
      </c>
      <c r="S40" s="42">
        <f t="shared" si="26"/>
        <v>0</v>
      </c>
      <c r="T40" s="76">
        <f t="shared" si="26"/>
        <v>0</v>
      </c>
      <c r="U40" s="44">
        <f t="shared" si="26"/>
        <v>0</v>
      </c>
      <c r="V40" s="76">
        <f t="shared" si="26"/>
        <v>0</v>
      </c>
      <c r="W40" s="44">
        <f t="shared" si="26"/>
        <v>0</v>
      </c>
      <c r="X40" s="76">
        <f t="shared" si="26"/>
        <v>0</v>
      </c>
      <c r="Y40" s="44">
        <f t="shared" si="26"/>
        <v>0</v>
      </c>
      <c r="Z40" s="44">
        <f t="shared" si="26"/>
        <v>0</v>
      </c>
      <c r="AA40" s="44">
        <f t="shared" si="26"/>
        <v>0</v>
      </c>
      <c r="AB40" s="44">
        <f t="shared" si="26"/>
        <v>0</v>
      </c>
      <c r="AC40" s="59">
        <f t="shared" si="26"/>
        <v>0</v>
      </c>
      <c r="AD40" s="77">
        <f t="shared" si="26"/>
        <v>0</v>
      </c>
      <c r="AE40" s="59">
        <f t="shared" si="26"/>
        <v>0</v>
      </c>
      <c r="AF40" s="77">
        <f t="shared" si="26"/>
        <v>0</v>
      </c>
      <c r="AG40" s="1"/>
    </row>
    <row r="41" spans="1:33" s="70" customFormat="1" ht="14.25" hidden="1" x14ac:dyDescent="0.45">
      <c r="A41" s="5"/>
      <c r="B41" s="67"/>
      <c r="C41" s="27"/>
      <c r="D41" s="27">
        <f t="shared" ref="D41:K41" si="27">D54</f>
        <v>0</v>
      </c>
      <c r="E41" s="27">
        <f t="shared" si="27"/>
        <v>0</v>
      </c>
      <c r="F41" s="42">
        <f t="shared" si="27"/>
        <v>0</v>
      </c>
      <c r="G41" s="42">
        <f t="shared" si="27"/>
        <v>0</v>
      </c>
      <c r="H41" s="42">
        <f t="shared" si="27"/>
        <v>0</v>
      </c>
      <c r="I41" s="59">
        <f t="shared" si="27"/>
        <v>0</v>
      </c>
      <c r="J41" s="59">
        <f t="shared" si="27"/>
        <v>0</v>
      </c>
      <c r="K41" s="75">
        <f t="shared" si="27"/>
        <v>0</v>
      </c>
      <c r="L41" s="24"/>
      <c r="M41" s="59">
        <v>1</v>
      </c>
      <c r="N41" s="59">
        <f t="shared" ref="N41:O41" si="28">N54</f>
        <v>0</v>
      </c>
      <c r="O41" s="59">
        <f t="shared" si="28"/>
        <v>0</v>
      </c>
      <c r="P41" s="59"/>
      <c r="Q41" s="59">
        <f t="shared" ref="Q41:AF41" si="29">Q54</f>
        <v>0</v>
      </c>
      <c r="R41" s="59">
        <f t="shared" si="29"/>
        <v>0</v>
      </c>
      <c r="S41" s="42">
        <f t="shared" si="29"/>
        <v>0</v>
      </c>
      <c r="T41" s="76">
        <f t="shared" si="29"/>
        <v>0</v>
      </c>
      <c r="U41" s="44">
        <f t="shared" si="29"/>
        <v>0</v>
      </c>
      <c r="V41" s="76">
        <f t="shared" si="29"/>
        <v>0</v>
      </c>
      <c r="W41" s="44">
        <f t="shared" si="29"/>
        <v>0</v>
      </c>
      <c r="X41" s="76">
        <f t="shared" si="29"/>
        <v>0</v>
      </c>
      <c r="Y41" s="44">
        <f t="shared" si="29"/>
        <v>0</v>
      </c>
      <c r="Z41" s="44">
        <f t="shared" si="29"/>
        <v>0</v>
      </c>
      <c r="AA41" s="44">
        <f t="shared" si="29"/>
        <v>0</v>
      </c>
      <c r="AB41" s="44">
        <f t="shared" si="29"/>
        <v>0</v>
      </c>
      <c r="AC41" s="59">
        <f t="shared" si="29"/>
        <v>0</v>
      </c>
      <c r="AD41" s="77">
        <f t="shared" si="29"/>
        <v>0</v>
      </c>
      <c r="AE41" s="59">
        <f t="shared" si="29"/>
        <v>0</v>
      </c>
      <c r="AF41" s="77">
        <f t="shared" si="29"/>
        <v>0</v>
      </c>
      <c r="AG41" s="1"/>
    </row>
    <row r="42" spans="1:33" s="70" customFormat="1" ht="14.25" hidden="1" x14ac:dyDescent="0.45">
      <c r="A42" s="5"/>
      <c r="B42" s="67"/>
      <c r="C42" s="27"/>
      <c r="D42" s="27">
        <f t="shared" ref="D42:K42" si="30">D55</f>
        <v>0</v>
      </c>
      <c r="E42" s="27">
        <f t="shared" si="30"/>
        <v>0</v>
      </c>
      <c r="F42" s="42">
        <f t="shared" si="30"/>
        <v>0</v>
      </c>
      <c r="G42" s="42">
        <f t="shared" si="30"/>
        <v>0</v>
      </c>
      <c r="H42" s="42">
        <f t="shared" si="30"/>
        <v>0</v>
      </c>
      <c r="I42" s="59">
        <f t="shared" si="30"/>
        <v>0</v>
      </c>
      <c r="J42" s="59">
        <f t="shared" si="30"/>
        <v>0</v>
      </c>
      <c r="K42" s="75">
        <f t="shared" si="30"/>
        <v>0</v>
      </c>
      <c r="L42" s="24"/>
      <c r="M42" s="59">
        <v>1</v>
      </c>
      <c r="N42" s="59">
        <f t="shared" ref="N42:O42" si="31">N55</f>
        <v>0</v>
      </c>
      <c r="O42" s="59">
        <f t="shared" si="31"/>
        <v>0</v>
      </c>
      <c r="P42" s="59"/>
      <c r="Q42" s="59">
        <f t="shared" ref="Q42:AF42" si="32">Q55</f>
        <v>0</v>
      </c>
      <c r="R42" s="59">
        <f t="shared" si="32"/>
        <v>0</v>
      </c>
      <c r="S42" s="42">
        <f t="shared" si="32"/>
        <v>0</v>
      </c>
      <c r="T42" s="76">
        <f t="shared" si="32"/>
        <v>0</v>
      </c>
      <c r="U42" s="44">
        <f t="shared" si="32"/>
        <v>0</v>
      </c>
      <c r="V42" s="76">
        <f t="shared" si="32"/>
        <v>0</v>
      </c>
      <c r="W42" s="44">
        <f t="shared" si="32"/>
        <v>0</v>
      </c>
      <c r="X42" s="76">
        <f t="shared" si="32"/>
        <v>0</v>
      </c>
      <c r="Y42" s="44">
        <f t="shared" si="32"/>
        <v>0</v>
      </c>
      <c r="Z42" s="44">
        <f t="shared" si="32"/>
        <v>0</v>
      </c>
      <c r="AA42" s="44">
        <f t="shared" si="32"/>
        <v>0</v>
      </c>
      <c r="AB42" s="44">
        <f t="shared" si="32"/>
        <v>0</v>
      </c>
      <c r="AC42" s="59">
        <f t="shared" si="32"/>
        <v>0</v>
      </c>
      <c r="AD42" s="77">
        <f t="shared" si="32"/>
        <v>0</v>
      </c>
      <c r="AE42" s="59">
        <f t="shared" si="32"/>
        <v>0</v>
      </c>
      <c r="AF42" s="77">
        <f t="shared" si="32"/>
        <v>0</v>
      </c>
      <c r="AG42" s="1"/>
    </row>
    <row r="43" spans="1:33" s="70" customFormat="1" ht="14.25" hidden="1" x14ac:dyDescent="0.45">
      <c r="A43" s="5"/>
      <c r="B43" s="67"/>
      <c r="C43" s="27"/>
      <c r="D43" s="27">
        <f t="shared" ref="D43:K43" si="33">D56</f>
        <v>0</v>
      </c>
      <c r="E43" s="27">
        <f t="shared" si="33"/>
        <v>0</v>
      </c>
      <c r="F43" s="42">
        <f t="shared" si="33"/>
        <v>0</v>
      </c>
      <c r="G43" s="42">
        <f t="shared" si="33"/>
        <v>0</v>
      </c>
      <c r="H43" s="42">
        <f t="shared" si="33"/>
        <v>0</v>
      </c>
      <c r="I43" s="59">
        <f t="shared" si="33"/>
        <v>0</v>
      </c>
      <c r="J43" s="59">
        <f t="shared" si="33"/>
        <v>0</v>
      </c>
      <c r="K43" s="75">
        <f t="shared" si="33"/>
        <v>0</v>
      </c>
      <c r="L43" s="24"/>
      <c r="M43" s="59">
        <v>1</v>
      </c>
      <c r="N43" s="59">
        <f t="shared" ref="N43:O43" si="34">N56</f>
        <v>0</v>
      </c>
      <c r="O43" s="59">
        <f t="shared" si="34"/>
        <v>0</v>
      </c>
      <c r="P43" s="59"/>
      <c r="Q43" s="59">
        <f t="shared" ref="Q43:AF43" si="35">Q56</f>
        <v>0</v>
      </c>
      <c r="R43" s="59">
        <f t="shared" si="35"/>
        <v>0</v>
      </c>
      <c r="S43" s="42">
        <f t="shared" si="35"/>
        <v>0</v>
      </c>
      <c r="T43" s="76">
        <f t="shared" si="35"/>
        <v>0</v>
      </c>
      <c r="U43" s="44">
        <f t="shared" si="35"/>
        <v>0</v>
      </c>
      <c r="V43" s="76">
        <f t="shared" si="35"/>
        <v>0</v>
      </c>
      <c r="W43" s="44">
        <f t="shared" si="35"/>
        <v>0</v>
      </c>
      <c r="X43" s="76">
        <f t="shared" si="35"/>
        <v>0</v>
      </c>
      <c r="Y43" s="44">
        <f t="shared" si="35"/>
        <v>0</v>
      </c>
      <c r="Z43" s="44">
        <f t="shared" si="35"/>
        <v>0</v>
      </c>
      <c r="AA43" s="44">
        <f t="shared" si="35"/>
        <v>0</v>
      </c>
      <c r="AB43" s="44">
        <f t="shared" si="35"/>
        <v>0</v>
      </c>
      <c r="AC43" s="59">
        <f t="shared" si="35"/>
        <v>0</v>
      </c>
      <c r="AD43" s="77">
        <f t="shared" si="35"/>
        <v>0</v>
      </c>
      <c r="AE43" s="59">
        <f t="shared" si="35"/>
        <v>0</v>
      </c>
      <c r="AF43" s="77">
        <f t="shared" si="35"/>
        <v>0</v>
      </c>
      <c r="AG43" s="1"/>
    </row>
    <row r="44" spans="1:33" s="70" customFormat="1" ht="14.25" hidden="1" x14ac:dyDescent="0.45">
      <c r="A44" s="5"/>
      <c r="B44" s="67"/>
      <c r="C44" s="27"/>
      <c r="D44" s="27">
        <f t="shared" ref="D44:K44" si="36">D57</f>
        <v>0</v>
      </c>
      <c r="E44" s="27">
        <f t="shared" si="36"/>
        <v>0</v>
      </c>
      <c r="F44" s="42">
        <f t="shared" si="36"/>
        <v>0</v>
      </c>
      <c r="G44" s="42">
        <f t="shared" si="36"/>
        <v>0</v>
      </c>
      <c r="H44" s="42">
        <f t="shared" si="36"/>
        <v>0</v>
      </c>
      <c r="I44" s="59">
        <f t="shared" si="36"/>
        <v>0</v>
      </c>
      <c r="J44" s="59">
        <f t="shared" si="36"/>
        <v>0</v>
      </c>
      <c r="K44" s="75">
        <f t="shared" si="36"/>
        <v>0</v>
      </c>
      <c r="L44" s="24"/>
      <c r="M44" s="59">
        <v>1</v>
      </c>
      <c r="N44" s="59">
        <f t="shared" ref="N44:O44" si="37">N57</f>
        <v>0</v>
      </c>
      <c r="O44" s="59">
        <f t="shared" si="37"/>
        <v>0</v>
      </c>
      <c r="P44" s="59"/>
      <c r="Q44" s="59">
        <f t="shared" ref="Q44:AF44" si="38">Q57</f>
        <v>0</v>
      </c>
      <c r="R44" s="59">
        <f t="shared" si="38"/>
        <v>0</v>
      </c>
      <c r="S44" s="42">
        <f t="shared" si="38"/>
        <v>0</v>
      </c>
      <c r="T44" s="76">
        <f t="shared" si="38"/>
        <v>0</v>
      </c>
      <c r="U44" s="44">
        <f t="shared" si="38"/>
        <v>0</v>
      </c>
      <c r="V44" s="76">
        <f t="shared" si="38"/>
        <v>0</v>
      </c>
      <c r="W44" s="44">
        <f t="shared" si="38"/>
        <v>0</v>
      </c>
      <c r="X44" s="76">
        <f t="shared" si="38"/>
        <v>0</v>
      </c>
      <c r="Y44" s="44">
        <f t="shared" si="38"/>
        <v>0</v>
      </c>
      <c r="Z44" s="44">
        <f t="shared" si="38"/>
        <v>0</v>
      </c>
      <c r="AA44" s="44">
        <f t="shared" si="38"/>
        <v>0</v>
      </c>
      <c r="AB44" s="44">
        <f t="shared" si="38"/>
        <v>0</v>
      </c>
      <c r="AC44" s="59">
        <f t="shared" si="38"/>
        <v>0</v>
      </c>
      <c r="AD44" s="77">
        <f t="shared" si="38"/>
        <v>0</v>
      </c>
      <c r="AE44" s="59">
        <f t="shared" si="38"/>
        <v>0</v>
      </c>
      <c r="AF44" s="77">
        <f t="shared" si="38"/>
        <v>0</v>
      </c>
      <c r="AG44" s="1"/>
    </row>
    <row r="45" spans="1:33" s="70" customFormat="1" ht="14.25" hidden="1" x14ac:dyDescent="0.45">
      <c r="A45" s="5"/>
      <c r="B45" s="67"/>
      <c r="C45" s="27"/>
      <c r="D45" s="27">
        <f t="shared" ref="D45:K45" si="39">D58</f>
        <v>0</v>
      </c>
      <c r="E45" s="27">
        <f t="shared" si="39"/>
        <v>0</v>
      </c>
      <c r="F45" s="42">
        <f t="shared" si="39"/>
        <v>0</v>
      </c>
      <c r="G45" s="42">
        <f t="shared" si="39"/>
        <v>0</v>
      </c>
      <c r="H45" s="42">
        <f t="shared" si="39"/>
        <v>0</v>
      </c>
      <c r="I45" s="59">
        <f t="shared" si="39"/>
        <v>0</v>
      </c>
      <c r="J45" s="59">
        <f t="shared" si="39"/>
        <v>0</v>
      </c>
      <c r="K45" s="75">
        <f t="shared" si="39"/>
        <v>0</v>
      </c>
      <c r="L45" s="24"/>
      <c r="M45" s="59">
        <v>1</v>
      </c>
      <c r="N45" s="59">
        <f t="shared" ref="N45:O45" si="40">N58</f>
        <v>0</v>
      </c>
      <c r="O45" s="59">
        <f t="shared" si="40"/>
        <v>0</v>
      </c>
      <c r="P45" s="59"/>
      <c r="Q45" s="59">
        <f t="shared" ref="Q45:AF45" si="41">Q58</f>
        <v>0</v>
      </c>
      <c r="R45" s="59">
        <f t="shared" si="41"/>
        <v>0</v>
      </c>
      <c r="S45" s="42">
        <f t="shared" si="41"/>
        <v>0</v>
      </c>
      <c r="T45" s="76">
        <f t="shared" si="41"/>
        <v>0</v>
      </c>
      <c r="U45" s="44">
        <f t="shared" si="41"/>
        <v>0</v>
      </c>
      <c r="V45" s="76">
        <f t="shared" si="41"/>
        <v>0</v>
      </c>
      <c r="W45" s="44">
        <f t="shared" si="41"/>
        <v>0</v>
      </c>
      <c r="X45" s="76">
        <f t="shared" si="41"/>
        <v>0</v>
      </c>
      <c r="Y45" s="44">
        <f t="shared" si="41"/>
        <v>0</v>
      </c>
      <c r="Z45" s="44">
        <f t="shared" si="41"/>
        <v>0</v>
      </c>
      <c r="AA45" s="44">
        <f t="shared" si="41"/>
        <v>0</v>
      </c>
      <c r="AB45" s="44">
        <f t="shared" si="41"/>
        <v>0</v>
      </c>
      <c r="AC45" s="59">
        <f t="shared" si="41"/>
        <v>0</v>
      </c>
      <c r="AD45" s="77">
        <f t="shared" si="41"/>
        <v>0</v>
      </c>
      <c r="AE45" s="59">
        <f t="shared" si="41"/>
        <v>0</v>
      </c>
      <c r="AF45" s="77">
        <f t="shared" si="41"/>
        <v>0</v>
      </c>
      <c r="AG45" s="1"/>
    </row>
    <row r="46" spans="1:33" s="70" customFormat="1" ht="14.25" hidden="1" x14ac:dyDescent="0.45">
      <c r="A46" s="5"/>
      <c r="B46" s="67"/>
      <c r="C46" s="36"/>
      <c r="D46" s="36">
        <f t="shared" ref="D46:K46" si="42">D59</f>
        <v>0</v>
      </c>
      <c r="E46" s="36">
        <f t="shared" si="42"/>
        <v>0</v>
      </c>
      <c r="F46" s="45">
        <f t="shared" si="42"/>
        <v>0</v>
      </c>
      <c r="G46" s="45">
        <f t="shared" si="42"/>
        <v>0</v>
      </c>
      <c r="H46" s="45">
        <f t="shared" si="42"/>
        <v>0</v>
      </c>
      <c r="I46" s="65">
        <f t="shared" si="42"/>
        <v>0</v>
      </c>
      <c r="J46" s="65">
        <f t="shared" si="42"/>
        <v>0</v>
      </c>
      <c r="K46" s="78">
        <f t="shared" si="42"/>
        <v>0</v>
      </c>
      <c r="L46" s="33"/>
      <c r="M46" s="65">
        <v>1</v>
      </c>
      <c r="N46" s="65">
        <f t="shared" ref="N46:O46" si="43">N59</f>
        <v>0</v>
      </c>
      <c r="O46" s="65">
        <f t="shared" si="43"/>
        <v>0</v>
      </c>
      <c r="P46" s="65"/>
      <c r="Q46" s="65">
        <f t="shared" ref="Q46:AF46" si="44">Q59</f>
        <v>0</v>
      </c>
      <c r="R46" s="65">
        <f t="shared" si="44"/>
        <v>0</v>
      </c>
      <c r="S46" s="45">
        <f t="shared" si="44"/>
        <v>0</v>
      </c>
      <c r="T46" s="79">
        <f t="shared" si="44"/>
        <v>0</v>
      </c>
      <c r="U46" s="46">
        <f t="shared" si="44"/>
        <v>0</v>
      </c>
      <c r="V46" s="79">
        <f t="shared" si="44"/>
        <v>0</v>
      </c>
      <c r="W46" s="46">
        <f t="shared" si="44"/>
        <v>0</v>
      </c>
      <c r="X46" s="79">
        <f t="shared" si="44"/>
        <v>0</v>
      </c>
      <c r="Y46" s="46">
        <f t="shared" si="44"/>
        <v>0</v>
      </c>
      <c r="Z46" s="46">
        <f t="shared" si="44"/>
        <v>0</v>
      </c>
      <c r="AA46" s="46">
        <f t="shared" si="44"/>
        <v>0</v>
      </c>
      <c r="AB46" s="46">
        <f t="shared" si="44"/>
        <v>0</v>
      </c>
      <c r="AC46" s="65">
        <f t="shared" si="44"/>
        <v>0</v>
      </c>
      <c r="AD46" s="80">
        <f t="shared" si="44"/>
        <v>0</v>
      </c>
      <c r="AE46" s="65">
        <f t="shared" si="44"/>
        <v>0</v>
      </c>
      <c r="AF46" s="80">
        <f t="shared" si="44"/>
        <v>0</v>
      </c>
      <c r="AG46" s="1"/>
    </row>
    <row r="47" spans="1:33" ht="15" hidden="1" customHeight="1" x14ac:dyDescent="0.4">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row>
    <row r="48" spans="1:33" ht="17.100000000000001" customHeight="1" x14ac:dyDescent="0.45">
      <c r="A48" s="40"/>
      <c r="B48" s="40"/>
      <c r="C48" s="41" t="s">
        <v>126</v>
      </c>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row>
    <row r="49" spans="1:43" ht="15" customHeight="1" x14ac:dyDescent="0.45">
      <c r="A49" s="1"/>
      <c r="B49" s="1"/>
      <c r="C49" s="2" t="s">
        <v>98</v>
      </c>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row>
    <row r="50" spans="1:43" ht="5.0999999999999996" customHeight="1" x14ac:dyDescent="0.4">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row>
    <row r="51" spans="1:43" ht="52.15" customHeight="1" x14ac:dyDescent="0.4">
      <c r="A51" s="1"/>
      <c r="B51" s="11" t="s">
        <v>124</v>
      </c>
      <c r="C51" s="11" t="s">
        <v>99</v>
      </c>
      <c r="D51" s="11" t="s">
        <v>100</v>
      </c>
      <c r="E51" s="11" t="s">
        <v>53</v>
      </c>
      <c r="F51" s="11" t="s">
        <v>472</v>
      </c>
      <c r="G51" s="11" t="s">
        <v>473</v>
      </c>
      <c r="H51" s="11" t="s">
        <v>101</v>
      </c>
      <c r="I51" s="11" t="s">
        <v>102</v>
      </c>
      <c r="J51" s="11" t="s">
        <v>103</v>
      </c>
      <c r="K51" s="53" t="s">
        <v>104</v>
      </c>
      <c r="L51" s="11" t="s">
        <v>105</v>
      </c>
      <c r="M51" s="11" t="s">
        <v>106</v>
      </c>
      <c r="N51" s="11" t="s">
        <v>107</v>
      </c>
      <c r="O51" s="11" t="s">
        <v>108</v>
      </c>
      <c r="P51" s="11" t="s">
        <v>125</v>
      </c>
      <c r="Q51" s="11" t="s">
        <v>87</v>
      </c>
      <c r="R51" s="11" t="s">
        <v>109</v>
      </c>
      <c r="S51" s="11" t="s">
        <v>110</v>
      </c>
      <c r="T51" s="11" t="s">
        <v>111</v>
      </c>
      <c r="U51" s="11" t="str">
        <f>"Written Line " &amp; hxd.cds.currency_policy_financials</f>
        <v xml:space="preserve">Written Line </v>
      </c>
      <c r="V51" s="11" t="s">
        <v>113</v>
      </c>
      <c r="W51" s="11" t="str">
        <f>"Estimated Line " &amp; hxd.cds.currency_policy_financials</f>
        <v xml:space="preserve">Estimated Line </v>
      </c>
      <c r="X51" s="11" t="s">
        <v>115</v>
      </c>
      <c r="Y51" s="11" t="str">
        <f>"Signed Line " &amp; hxd.cds.currency_policy_financials</f>
        <v xml:space="preserve">Signed Line </v>
      </c>
      <c r="Z51" s="11" t="str">
        <f>"Written EPI " &amp; hxd.cds.currency_policy_financials</f>
        <v xml:space="preserve">Written EPI </v>
      </c>
      <c r="AA51" s="11" t="str">
        <f>"Estimated EPI " &amp; hxd.cds.currency_policy_financials</f>
        <v xml:space="preserve">Estimated EPI </v>
      </c>
      <c r="AB51" s="11" t="str">
        <f>"Signed EPI " &amp; hxd.cds.currency_policy_financials</f>
        <v xml:space="preserve">Signed EPI </v>
      </c>
      <c r="AC51" s="11" t="s">
        <v>120</v>
      </c>
      <c r="AD51" s="11" t="s">
        <v>121</v>
      </c>
      <c r="AE51" s="11" t="s">
        <v>122</v>
      </c>
      <c r="AF51" s="11" t="s">
        <v>123</v>
      </c>
      <c r="AG51" s="1"/>
    </row>
    <row r="52" spans="1:43" s="70" customFormat="1" ht="15" customHeight="1" x14ac:dyDescent="0.45">
      <c r="A52" s="5">
        <v>1</v>
      </c>
      <c r="B52" s="54"/>
      <c r="C52" s="18">
        <f>hxd.cds.layers.1.section_reference</f>
        <v>0</v>
      </c>
      <c r="D52" s="18"/>
      <c r="E52" s="18">
        <f>hxd.cds.layers.1.layer_description</f>
        <v>0</v>
      </c>
      <c r="F52" s="13"/>
      <c r="G52" s="13"/>
      <c r="H52" s="57"/>
      <c r="I52" s="57">
        <f>hxd.cds.layers.1.quote.rol_ty.rol_fot</f>
        <v>0</v>
      </c>
      <c r="J52" s="57"/>
      <c r="K52" s="72"/>
      <c r="L52" s="81"/>
      <c r="M52" s="57">
        <f>hxd.cds.layers.1.rate_change.risk_adjusted_rate_change</f>
        <v>0</v>
      </c>
      <c r="N52" s="57">
        <f>hxd.cds.layers.1.quote.rol_ty.bpi</f>
        <v>0</v>
      </c>
      <c r="O52" s="57"/>
      <c r="P52" s="57"/>
      <c r="Q52" s="57">
        <f>hxd.cds.layers.1.quote.rol_ty.ulr</f>
        <v>0</v>
      </c>
      <c r="R52" s="57"/>
      <c r="S52" s="13"/>
      <c r="T52" s="57"/>
      <c r="U52" s="13"/>
      <c r="V52" s="57"/>
      <c r="W52" s="13"/>
      <c r="X52" s="57"/>
      <c r="Y52" s="13"/>
      <c r="Z52" s="13"/>
      <c r="AA52" s="13"/>
      <c r="AB52" s="13"/>
      <c r="AC52" s="57"/>
      <c r="AD52" s="74"/>
      <c r="AE52" s="57"/>
      <c r="AF52" s="74"/>
      <c r="AG52" s="1"/>
      <c r="AJ52" s="82"/>
      <c r="AK52" s="82"/>
      <c r="AL52" s="82"/>
      <c r="AM52" s="82"/>
      <c r="AN52" s="82"/>
      <c r="AO52" s="82"/>
      <c r="AP52" s="82"/>
      <c r="AQ52" s="82"/>
    </row>
    <row r="53" spans="1:43" s="70" customFormat="1" ht="15" customHeight="1" x14ac:dyDescent="0.45">
      <c r="A53" s="5">
        <v>2</v>
      </c>
      <c r="B53" s="83"/>
      <c r="C53" s="27">
        <f>hxd.cds.layers.2.section_reference</f>
        <v>0</v>
      </c>
      <c r="D53" s="27"/>
      <c r="E53" s="27">
        <f>hxd.cds.layers.2.layer_description</f>
        <v>0</v>
      </c>
      <c r="F53" s="42"/>
      <c r="G53" s="42"/>
      <c r="H53" s="59"/>
      <c r="I53" s="59">
        <f>hxd.cds.layers.2.quote.rol_ty.rol_fot</f>
        <v>0</v>
      </c>
      <c r="J53" s="59"/>
      <c r="K53" s="75"/>
      <c r="L53" s="24"/>
      <c r="M53" s="59">
        <f>hxd.cds.layers.2.rate_change.risk_adjusted_rate_change</f>
        <v>0</v>
      </c>
      <c r="N53" s="59">
        <f>hxd.cds.layers.2.quote.rol_ty.bpi</f>
        <v>0</v>
      </c>
      <c r="O53" s="59"/>
      <c r="P53" s="59"/>
      <c r="Q53" s="59">
        <f>hxd.cds.layers.2.quote.rol_ty.ulr</f>
        <v>0</v>
      </c>
      <c r="R53" s="59"/>
      <c r="S53" s="42"/>
      <c r="T53" s="59"/>
      <c r="U53" s="42"/>
      <c r="V53" s="59"/>
      <c r="W53" s="42"/>
      <c r="X53" s="42"/>
      <c r="Y53" s="42"/>
      <c r="Z53" s="42"/>
      <c r="AA53" s="42"/>
      <c r="AB53" s="42"/>
      <c r="AC53" s="59"/>
      <c r="AD53" s="77"/>
      <c r="AE53" s="59"/>
      <c r="AF53" s="77"/>
      <c r="AG53" s="1"/>
      <c r="AJ53" s="82"/>
      <c r="AK53" s="82"/>
      <c r="AL53" s="82"/>
      <c r="AM53" s="82"/>
      <c r="AN53" s="82"/>
      <c r="AO53" s="82"/>
      <c r="AP53" s="82"/>
      <c r="AQ53" s="82"/>
    </row>
    <row r="54" spans="1:43" s="70" customFormat="1" ht="15" customHeight="1" x14ac:dyDescent="0.45">
      <c r="A54" s="5">
        <v>3</v>
      </c>
      <c r="B54" s="83"/>
      <c r="C54" s="27">
        <f>hxd.cds.layers.3.section_reference</f>
        <v>0</v>
      </c>
      <c r="D54" s="27"/>
      <c r="E54" s="27">
        <f>hxd.cds.layers.3.layer_description</f>
        <v>0</v>
      </c>
      <c r="F54" s="42"/>
      <c r="G54" s="42"/>
      <c r="H54" s="59"/>
      <c r="I54" s="59">
        <f>hxd.cds.layers.3.quote.rol_ty.rol_fot</f>
        <v>0</v>
      </c>
      <c r="J54" s="59"/>
      <c r="K54" s="75"/>
      <c r="L54" s="24"/>
      <c r="M54" s="59">
        <f>hxd.cds.layers.3.rate_change.risk_adjusted_rate_change</f>
        <v>0</v>
      </c>
      <c r="N54" s="59">
        <f>hxd.cds.layers.3.quote.rol_ty.bpi</f>
        <v>0</v>
      </c>
      <c r="O54" s="59"/>
      <c r="P54" s="59"/>
      <c r="Q54" s="59">
        <f>hxd.cds.layers.3.quote.rol_ty.ulr</f>
        <v>0</v>
      </c>
      <c r="R54" s="59"/>
      <c r="S54" s="42"/>
      <c r="T54" s="59"/>
      <c r="U54" s="42"/>
      <c r="V54" s="59"/>
      <c r="W54" s="42"/>
      <c r="X54" s="42"/>
      <c r="Y54" s="42"/>
      <c r="Z54" s="42"/>
      <c r="AA54" s="42"/>
      <c r="AB54" s="42"/>
      <c r="AC54" s="59"/>
      <c r="AD54" s="77"/>
      <c r="AE54" s="59"/>
      <c r="AF54" s="77"/>
      <c r="AG54" s="1"/>
      <c r="AJ54" s="82"/>
      <c r="AK54" s="82"/>
      <c r="AL54" s="82"/>
      <c r="AM54" s="82"/>
      <c r="AN54" s="82"/>
      <c r="AO54" s="82"/>
      <c r="AP54" s="82"/>
      <c r="AQ54" s="82"/>
    </row>
    <row r="55" spans="1:43" s="70" customFormat="1" ht="15" customHeight="1" x14ac:dyDescent="0.45">
      <c r="A55" s="5">
        <v>4</v>
      </c>
      <c r="B55" s="83"/>
      <c r="C55" s="27">
        <f>hxd.cds.layers.4.section_reference</f>
        <v>0</v>
      </c>
      <c r="D55" s="27"/>
      <c r="E55" s="27">
        <f>hxd.cds.layers.4.layer_description</f>
        <v>0</v>
      </c>
      <c r="F55" s="42"/>
      <c r="G55" s="42"/>
      <c r="H55" s="59"/>
      <c r="I55" s="59">
        <f>hxd.cds.layers.4.quote.rol_ty.rol_fot</f>
        <v>0</v>
      </c>
      <c r="J55" s="59"/>
      <c r="K55" s="75"/>
      <c r="L55" s="24"/>
      <c r="M55" s="59">
        <f>hxd.cds.layers.4.rate_change.risk_adjusted_rate_change</f>
        <v>0</v>
      </c>
      <c r="N55" s="59">
        <f>hxd.cds.layers.4.quote.rol_ty.bpi</f>
        <v>0</v>
      </c>
      <c r="O55" s="59"/>
      <c r="P55" s="59"/>
      <c r="Q55" s="59">
        <f>hxd.cds.layers.4.quote.rol_ty.ulr</f>
        <v>0</v>
      </c>
      <c r="R55" s="59"/>
      <c r="S55" s="42"/>
      <c r="T55" s="59"/>
      <c r="U55" s="42"/>
      <c r="V55" s="59"/>
      <c r="W55" s="42"/>
      <c r="X55" s="42"/>
      <c r="Y55" s="42"/>
      <c r="Z55" s="42"/>
      <c r="AA55" s="42"/>
      <c r="AB55" s="42"/>
      <c r="AC55" s="59"/>
      <c r="AD55" s="77"/>
      <c r="AE55" s="59"/>
      <c r="AF55" s="77"/>
      <c r="AG55" s="1"/>
      <c r="AJ55" s="82"/>
      <c r="AK55" s="82"/>
      <c r="AL55" s="82"/>
      <c r="AM55" s="82"/>
      <c r="AN55" s="82"/>
      <c r="AO55" s="82"/>
      <c r="AP55" s="82"/>
      <c r="AQ55" s="82"/>
    </row>
    <row r="56" spans="1:43" s="70" customFormat="1" ht="15" customHeight="1" x14ac:dyDescent="0.45">
      <c r="A56" s="5">
        <v>5</v>
      </c>
      <c r="B56" s="83"/>
      <c r="C56" s="27">
        <f>hxd.cds.layers.5.section_reference</f>
        <v>0</v>
      </c>
      <c r="D56" s="27"/>
      <c r="E56" s="27">
        <f>hxd.cds.layers.5.layer_description</f>
        <v>0</v>
      </c>
      <c r="F56" s="42"/>
      <c r="G56" s="42"/>
      <c r="H56" s="59"/>
      <c r="I56" s="59">
        <f>hxd.cds.layers.5.quote.rol_ty.rol_fot</f>
        <v>0</v>
      </c>
      <c r="J56" s="59"/>
      <c r="K56" s="75"/>
      <c r="L56" s="24"/>
      <c r="M56" s="59">
        <f>hxd.cds.layers.5.rate_change.risk_adjusted_rate_change</f>
        <v>0</v>
      </c>
      <c r="N56" s="59">
        <f>hxd.cds.layers.5.quote.rol_ty.bpi</f>
        <v>0</v>
      </c>
      <c r="O56" s="59"/>
      <c r="P56" s="59"/>
      <c r="Q56" s="59">
        <f>hxd.cds.layers.5.quote.rol_ty.ulr</f>
        <v>0</v>
      </c>
      <c r="R56" s="59"/>
      <c r="S56" s="42"/>
      <c r="T56" s="59"/>
      <c r="U56" s="42"/>
      <c r="V56" s="59"/>
      <c r="W56" s="42"/>
      <c r="X56" s="42"/>
      <c r="Y56" s="42"/>
      <c r="Z56" s="42"/>
      <c r="AA56" s="42"/>
      <c r="AB56" s="42"/>
      <c r="AC56" s="59"/>
      <c r="AD56" s="77"/>
      <c r="AE56" s="59"/>
      <c r="AF56" s="77"/>
      <c r="AG56" s="1"/>
      <c r="AJ56" s="82"/>
      <c r="AK56" s="82"/>
      <c r="AL56" s="82"/>
      <c r="AM56" s="82"/>
      <c r="AN56" s="82"/>
      <c r="AO56" s="82"/>
      <c r="AP56" s="82"/>
      <c r="AQ56" s="82"/>
    </row>
    <row r="57" spans="1:43" s="70" customFormat="1" ht="15" customHeight="1" x14ac:dyDescent="0.45">
      <c r="A57" s="5">
        <v>6</v>
      </c>
      <c r="B57" s="83"/>
      <c r="C57" s="27">
        <f>hxd.cds.layers.6.section_reference</f>
        <v>0</v>
      </c>
      <c r="D57" s="27"/>
      <c r="E57" s="27">
        <f>hxd.cds.layers.6.layer_description</f>
        <v>0</v>
      </c>
      <c r="F57" s="42"/>
      <c r="G57" s="42"/>
      <c r="H57" s="59"/>
      <c r="I57" s="59">
        <f>hxd.cds.layers.6.quote.rol_ty.rol_fot</f>
        <v>0</v>
      </c>
      <c r="J57" s="59"/>
      <c r="K57" s="75"/>
      <c r="L57" s="24"/>
      <c r="M57" s="59">
        <f>hxd.cds.layers.6.rate_change.risk_adjusted_rate_change</f>
        <v>0</v>
      </c>
      <c r="N57" s="59">
        <f>hxd.cds.layers.6.quote.rol_ty.bpi</f>
        <v>0</v>
      </c>
      <c r="O57" s="59"/>
      <c r="P57" s="59"/>
      <c r="Q57" s="59">
        <f>hxd.cds.layers.6.quote.rol_ty.ulr</f>
        <v>0</v>
      </c>
      <c r="R57" s="59"/>
      <c r="S57" s="42"/>
      <c r="T57" s="59"/>
      <c r="U57" s="42"/>
      <c r="V57" s="59"/>
      <c r="W57" s="42"/>
      <c r="X57" s="42"/>
      <c r="Y57" s="42"/>
      <c r="Z57" s="42"/>
      <c r="AA57" s="42"/>
      <c r="AB57" s="42"/>
      <c r="AC57" s="59"/>
      <c r="AD57" s="77"/>
      <c r="AE57" s="59"/>
      <c r="AF57" s="77"/>
      <c r="AG57" s="1"/>
      <c r="AJ57" s="82"/>
      <c r="AK57" s="82"/>
      <c r="AL57" s="82"/>
      <c r="AM57" s="82"/>
      <c r="AN57" s="82"/>
      <c r="AO57" s="82"/>
      <c r="AP57" s="82"/>
      <c r="AQ57" s="82"/>
    </row>
    <row r="58" spans="1:43" s="70" customFormat="1" ht="15" customHeight="1" x14ac:dyDescent="0.45">
      <c r="A58" s="5">
        <v>7</v>
      </c>
      <c r="B58" s="83"/>
      <c r="C58" s="27">
        <f>hxd.cds.layers.7.section_reference</f>
        <v>0</v>
      </c>
      <c r="D58" s="27"/>
      <c r="E58" s="27">
        <f>hxd.cds.layers.7.layer_description</f>
        <v>0</v>
      </c>
      <c r="F58" s="42"/>
      <c r="G58" s="42"/>
      <c r="H58" s="59"/>
      <c r="I58" s="59">
        <f>hxd.cds.layers.7.quote.rol_ty.rol_fot</f>
        <v>0</v>
      </c>
      <c r="J58" s="59"/>
      <c r="K58" s="75"/>
      <c r="L58" s="24"/>
      <c r="M58" s="59">
        <f>hxd.cds.layers.7.rate_change.risk_adjusted_rate_change</f>
        <v>0</v>
      </c>
      <c r="N58" s="59">
        <f>hxd.cds.layers.7.quote.rol_ty.bpi</f>
        <v>0</v>
      </c>
      <c r="O58" s="59"/>
      <c r="P58" s="59"/>
      <c r="Q58" s="59">
        <f>hxd.cds.layers.7.quote.rol_ty.ulr</f>
        <v>0</v>
      </c>
      <c r="R58" s="59"/>
      <c r="S58" s="42"/>
      <c r="T58" s="59"/>
      <c r="U58" s="42"/>
      <c r="V58" s="59"/>
      <c r="W58" s="42"/>
      <c r="X58" s="42"/>
      <c r="Y58" s="42"/>
      <c r="Z58" s="42"/>
      <c r="AA58" s="42"/>
      <c r="AB58" s="42"/>
      <c r="AC58" s="59"/>
      <c r="AD58" s="77"/>
      <c r="AE58" s="59"/>
      <c r="AF58" s="77"/>
      <c r="AG58" s="1"/>
      <c r="AJ58" s="82"/>
      <c r="AK58" s="82"/>
      <c r="AL58" s="82"/>
      <c r="AM58" s="82"/>
      <c r="AN58" s="82"/>
      <c r="AO58" s="82"/>
      <c r="AP58" s="82"/>
      <c r="AQ58" s="82"/>
    </row>
    <row r="59" spans="1:43" s="70" customFormat="1" ht="15" customHeight="1" x14ac:dyDescent="0.45">
      <c r="A59" s="5">
        <v>8</v>
      </c>
      <c r="B59" s="84"/>
      <c r="C59" s="36">
        <f>hxd.cds.layers.8.section_reference</f>
        <v>0</v>
      </c>
      <c r="D59" s="36"/>
      <c r="E59" s="36">
        <f>hxd.cds.layers.8.layer_description</f>
        <v>0</v>
      </c>
      <c r="F59" s="45"/>
      <c r="G59" s="45"/>
      <c r="H59" s="65"/>
      <c r="I59" s="65">
        <f>hxd.cds.layers.8.quote.rol_ty.rol_fot</f>
        <v>0</v>
      </c>
      <c r="J59" s="65"/>
      <c r="K59" s="78"/>
      <c r="L59" s="33"/>
      <c r="M59" s="65">
        <f>hxd.cds.layers.8.rate_change.risk_adjusted_rate_change</f>
        <v>0</v>
      </c>
      <c r="N59" s="65">
        <f>hxd.cds.layers.8.quote.rol_ty.bpi</f>
        <v>0</v>
      </c>
      <c r="O59" s="65"/>
      <c r="P59" s="65"/>
      <c r="Q59" s="65">
        <f>hxd.cds.layers.8.quote.rol_ty.ulr</f>
        <v>0</v>
      </c>
      <c r="R59" s="65"/>
      <c r="S59" s="45"/>
      <c r="T59" s="65"/>
      <c r="U59" s="45"/>
      <c r="V59" s="65"/>
      <c r="W59" s="45"/>
      <c r="X59" s="45"/>
      <c r="Y59" s="45"/>
      <c r="Z59" s="45"/>
      <c r="AA59" s="45"/>
      <c r="AB59" s="45"/>
      <c r="AC59" s="65"/>
      <c r="AD59" s="80"/>
      <c r="AE59" s="65"/>
      <c r="AF59" s="80"/>
      <c r="AG59" s="1"/>
      <c r="AJ59" s="82"/>
      <c r="AK59" s="82"/>
      <c r="AL59" s="82"/>
      <c r="AM59" s="82"/>
      <c r="AN59" s="82"/>
      <c r="AO59" s="82"/>
      <c r="AP59" s="82"/>
      <c r="AQ59" s="82"/>
    </row>
    <row r="60" spans="1:43" ht="15" customHeight="1" x14ac:dyDescent="0.4">
      <c r="A60" s="1"/>
      <c r="B60" s="1"/>
      <c r="C60" s="1"/>
      <c r="D60" s="1"/>
      <c r="E60" s="1"/>
      <c r="F60" s="1"/>
      <c r="G60" s="1"/>
      <c r="H60" s="1"/>
      <c r="I60" s="1"/>
      <c r="J60" s="1"/>
      <c r="K60" s="1"/>
      <c r="L60" s="1"/>
      <c r="M60" s="71"/>
      <c r="N60" s="71"/>
      <c r="O60" s="71"/>
      <c r="P60" s="71"/>
      <c r="Q60" s="71"/>
      <c r="R60" s="71"/>
      <c r="S60" s="7"/>
      <c r="T60" s="1"/>
      <c r="U60" s="7"/>
      <c r="V60" s="1"/>
      <c r="W60" s="7"/>
      <c r="X60" s="1"/>
      <c r="Y60" s="7"/>
      <c r="Z60" s="7"/>
      <c r="AA60" s="7"/>
      <c r="AB60" s="7"/>
      <c r="AC60" s="7"/>
      <c r="AD60" s="80"/>
      <c r="AE60" s="7"/>
      <c r="AF60" s="80"/>
      <c r="AG60" s="1"/>
      <c r="AJ60" s="82"/>
      <c r="AK60" s="82"/>
      <c r="AL60" s="82"/>
      <c r="AM60" s="82"/>
      <c r="AN60" s="82"/>
      <c r="AO60" s="82"/>
      <c r="AP60" s="82"/>
      <c r="AQ60" s="82"/>
    </row>
    <row r="61" spans="1:43" ht="15" customHeight="1" x14ac:dyDescent="0.4">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row>
    <row r="62" spans="1:43" customFormat="1" ht="5.25" customHeight="1" outlineLevel="1" x14ac:dyDescent="0.4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row>
  </sheetData>
  <sheetProtection formatCells="0" formatColumns="0"/>
  <mergeCells count="4">
    <mergeCell ref="A1:AF2"/>
    <mergeCell ref="G12:K12"/>
    <mergeCell ref="G13:K13"/>
    <mergeCell ref="G14:K14"/>
  </mergeCells>
  <conditionalFormatting sqref="R10">
    <cfRule type="expression" dxfId="4" priority="1">
      <formula>DB.Expiry.Application.QuoteComments&lt;&gt;""</formula>
    </cfRule>
  </conditionalFormatting>
  <dataValidations disablePrompts="1" count="3">
    <dataValidation type="list" allowBlank="1" showInputMessage="1" showErrorMessage="1" sqref="B52:B58" xr:uid="{4B091D29-40FC-4D2F-9650-9E7A67FA16D1}">
      <formula1>"1,2,3,4,5"</formula1>
    </dataValidation>
    <dataValidation type="list" allowBlank="1" showInputMessage="1" showErrorMessage="1" sqref="B59" xr:uid="{96B0D8C2-00D5-4389-8FF6-1951F0AF0333}">
      <formula1>"1, 2, 3, 4, 5"</formula1>
    </dataValidation>
    <dataValidation type="list" allowBlank="1" showInputMessage="1" showErrorMessage="1" sqref="S4" xr:uid="{2DC60FE3-EC03-4B36-BF65-3B09B8F19ED7}">
      <formula1>Globals.CCYFx</formula1>
    </dataValidation>
  </dataValidations>
  <pageMargins left="0.25" right="0.25" top="0.75" bottom="0.75" header="0.3" footer="0.3"/>
  <pageSetup paperSize="8" scale="39" orientation="landscape"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2209-4725-43B1-8603-644E56ACDC60}">
  <sheetPr codeName="RateChange">
    <tabColor rgb="FF00B0F0"/>
    <pageSetUpPr fitToPage="1"/>
  </sheetPr>
  <dimension ref="A1:AW68"/>
  <sheetViews>
    <sheetView zoomScale="55" zoomScaleNormal="55" workbookViewId="0">
      <selection activeCell="K11" sqref="K11:Q11"/>
    </sheetView>
  </sheetViews>
  <sheetFormatPr defaultColWidth="8" defaultRowHeight="14.25" x14ac:dyDescent="0.45"/>
  <cols>
    <col min="1" max="1" width="23.796875" style="85" customWidth="1"/>
    <col min="2" max="2" width="8.796875" style="85" bestFit="1" customWidth="1"/>
    <col min="3" max="3" width="12.46484375" style="85" bestFit="1" customWidth="1"/>
    <col min="4" max="4" width="11.19921875" style="85" customWidth="1"/>
    <col min="5" max="5" width="4.265625" style="85" bestFit="1" customWidth="1"/>
    <col min="6" max="6" width="11.19921875" style="85" customWidth="1"/>
    <col min="7" max="8" width="8" style="85" customWidth="1"/>
    <col min="9" max="9" width="10.53125" style="85" customWidth="1"/>
    <col min="10" max="10" width="11.19921875" style="85" customWidth="1"/>
    <col min="11" max="11" width="4.265625" style="85" bestFit="1" customWidth="1"/>
    <col min="12" max="12" width="11.19921875" style="85" customWidth="1"/>
    <col min="13" max="14" width="8" style="85" customWidth="1"/>
    <col min="15" max="15" width="10.53125" style="85" bestFit="1" customWidth="1"/>
    <col min="16" max="16" width="11.19921875" style="85" customWidth="1"/>
    <col min="17" max="17" width="4.265625" style="85" bestFit="1" customWidth="1"/>
    <col min="18" max="18" width="11.19921875" style="85" customWidth="1"/>
    <col min="19" max="20" width="8" style="85" customWidth="1"/>
    <col min="21" max="21" width="10.53125" style="85" bestFit="1" customWidth="1"/>
    <col min="22" max="22" width="11.19921875" style="85" customWidth="1"/>
    <col min="23" max="23" width="4.265625" style="85" bestFit="1" customWidth="1"/>
    <col min="24" max="24" width="11.19921875" style="85" customWidth="1"/>
    <col min="25" max="26" width="8" style="85" customWidth="1"/>
    <col min="27" max="27" width="10.53125" style="85" bestFit="1" customWidth="1"/>
    <col min="28" max="28" width="11.19921875" style="85" customWidth="1"/>
    <col min="29" max="29" width="4.265625" style="85" bestFit="1" customWidth="1"/>
    <col min="30" max="30" width="11.19921875" style="85" customWidth="1"/>
    <col min="31" max="32" width="8" style="85"/>
    <col min="33" max="33" width="11.46484375" style="85" customWidth="1"/>
    <col min="34" max="34" width="11.19921875" style="85" customWidth="1"/>
    <col min="35" max="35" width="4.265625" style="85" bestFit="1" customWidth="1"/>
    <col min="36" max="36" width="11.19921875" style="85" customWidth="1"/>
    <col min="37" max="38" width="8" style="85"/>
    <col min="39" max="40" width="11.19921875" style="85" customWidth="1"/>
    <col min="41" max="41" width="4.265625" style="85" bestFit="1" customWidth="1"/>
    <col min="42" max="42" width="11.19921875" style="85" customWidth="1"/>
    <col min="43" max="44" width="8" style="85"/>
    <col min="45" max="45" width="11.796875" style="85" customWidth="1"/>
    <col min="46" max="46" width="11.19921875" style="85" customWidth="1"/>
    <col min="47" max="47" width="4.265625" style="85" bestFit="1" customWidth="1"/>
    <col min="48" max="48" width="11.19921875" style="85" customWidth="1"/>
    <col min="49" max="16384" width="8" style="85"/>
  </cols>
  <sheetData>
    <row r="1" spans="1:49" ht="17.25" x14ac:dyDescent="0.55000000000000004">
      <c r="A1" s="234" t="s">
        <v>129</v>
      </c>
      <c r="B1" s="235"/>
      <c r="C1" s="235"/>
      <c r="D1" s="235"/>
      <c r="E1" s="235"/>
      <c r="F1" s="235"/>
      <c r="G1" s="235"/>
      <c r="H1" s="235"/>
      <c r="I1" s="235"/>
      <c r="J1" s="235"/>
      <c r="K1" s="235"/>
      <c r="L1" s="235"/>
      <c r="M1" s="235"/>
      <c r="N1" s="235"/>
      <c r="O1" s="235"/>
      <c r="P1" s="235"/>
      <c r="Q1" s="235"/>
      <c r="R1" s="235"/>
      <c r="S1" s="235"/>
      <c r="T1" s="235"/>
      <c r="U1" s="235"/>
      <c r="V1" s="235"/>
      <c r="W1" s="235"/>
      <c r="X1" s="235"/>
      <c r="Y1" s="235"/>
      <c r="Z1" s="235"/>
      <c r="AA1" s="235"/>
      <c r="AB1" s="235"/>
      <c r="AC1" s="235"/>
      <c r="AD1" s="235"/>
      <c r="AE1" s="235"/>
      <c r="AF1" s="235"/>
      <c r="AG1" s="235"/>
      <c r="AH1" s="235"/>
      <c r="AI1" s="235"/>
      <c r="AJ1" s="235"/>
      <c r="AK1" s="235"/>
      <c r="AL1" s="235"/>
      <c r="AM1" s="235"/>
      <c r="AN1" s="235"/>
      <c r="AO1" s="235"/>
      <c r="AP1" s="235"/>
      <c r="AQ1" s="235"/>
      <c r="AR1" s="235"/>
      <c r="AS1" s="235"/>
      <c r="AT1" s="235"/>
      <c r="AU1" s="235"/>
      <c r="AV1" s="235"/>
      <c r="AW1" s="236"/>
    </row>
    <row r="3" spans="1:49" x14ac:dyDescent="0.45">
      <c r="A3" s="86" t="s">
        <v>130</v>
      </c>
      <c r="B3" s="87"/>
      <c r="C3" s="87"/>
      <c r="D3" s="87"/>
      <c r="E3" s="87"/>
      <c r="F3" s="87"/>
      <c r="G3" s="87"/>
      <c r="H3" s="87"/>
      <c r="I3" s="87"/>
      <c r="J3" s="87"/>
      <c r="K3" s="87"/>
      <c r="L3" s="87"/>
      <c r="M3" s="87"/>
      <c r="N3" s="87"/>
      <c r="O3" s="87"/>
      <c r="P3" s="87"/>
      <c r="Q3" s="87"/>
      <c r="R3" s="87"/>
      <c r="S3" s="87"/>
      <c r="T3" s="87"/>
      <c r="U3" s="87"/>
      <c r="V3" s="87"/>
      <c r="W3" s="87"/>
      <c r="X3" s="87"/>
    </row>
    <row r="4" spans="1:49" x14ac:dyDescent="0.45">
      <c r="A4" s="87"/>
      <c r="B4" s="87"/>
      <c r="C4" s="87"/>
      <c r="D4" s="87"/>
      <c r="E4" s="87"/>
      <c r="F4" s="87"/>
      <c r="G4" s="87"/>
      <c r="H4" s="87"/>
      <c r="I4" s="87"/>
      <c r="J4" s="87"/>
      <c r="K4" s="87"/>
      <c r="L4" s="87"/>
      <c r="M4" s="87"/>
      <c r="N4" s="87"/>
      <c r="O4" s="87"/>
      <c r="P4" s="87"/>
      <c r="Q4" s="87"/>
      <c r="R4" s="87"/>
      <c r="S4" s="87"/>
      <c r="T4" s="87"/>
      <c r="U4" s="87"/>
      <c r="V4" s="87"/>
      <c r="W4" s="87"/>
      <c r="X4" s="87"/>
    </row>
    <row r="5" spans="1:49" ht="15.75" x14ac:dyDescent="0.5">
      <c r="A5" s="88" t="s">
        <v>131</v>
      </c>
      <c r="B5" s="221"/>
      <c r="C5" s="223"/>
      <c r="D5" s="223"/>
      <c r="E5" s="223"/>
      <c r="F5" s="222"/>
      <c r="I5" s="88" t="s">
        <v>132</v>
      </c>
      <c r="K5" s="89"/>
      <c r="M5" s="90"/>
      <c r="P5" s="86"/>
      <c r="T5" s="87"/>
      <c r="U5" s="91" t="s">
        <v>133</v>
      </c>
      <c r="V5" s="92">
        <f ca="1">TODAY()</f>
        <v>46147</v>
      </c>
      <c r="W5" s="87"/>
      <c r="X5" s="87"/>
    </row>
    <row r="6" spans="1:49" ht="15.75" x14ac:dyDescent="0.5">
      <c r="A6" s="93"/>
      <c r="B6" s="94"/>
      <c r="C6" s="94"/>
      <c r="D6" s="94"/>
      <c r="E6" s="94"/>
      <c r="F6" s="94"/>
      <c r="G6" s="94"/>
      <c r="H6" s="94"/>
      <c r="I6" s="94"/>
      <c r="J6" s="94"/>
      <c r="K6" s="90"/>
      <c r="L6" s="90"/>
      <c r="M6" s="90"/>
      <c r="N6" s="90"/>
      <c r="O6" s="90"/>
      <c r="P6" s="86"/>
      <c r="Q6" s="94"/>
      <c r="R6" s="95"/>
      <c r="S6" s="95"/>
      <c r="T6" s="87"/>
      <c r="U6" s="87"/>
      <c r="V6" s="87"/>
      <c r="W6" s="87"/>
      <c r="X6" s="87"/>
    </row>
    <row r="7" spans="1:49" ht="15.75" x14ac:dyDescent="0.5">
      <c r="A7" s="88" t="s">
        <v>134</v>
      </c>
      <c r="B7" s="237"/>
      <c r="C7" s="238"/>
      <c r="D7" s="238"/>
      <c r="E7" s="238"/>
      <c r="F7" s="239"/>
      <c r="I7" s="85" t="s">
        <v>135</v>
      </c>
      <c r="J7" s="95"/>
      <c r="K7" s="231"/>
      <c r="L7" s="232"/>
      <c r="M7" s="232"/>
      <c r="N7" s="232"/>
      <c r="O7" s="232"/>
      <c r="P7" s="232"/>
      <c r="Q7" s="233"/>
      <c r="R7" s="87"/>
      <c r="S7" s="87"/>
      <c r="T7" s="87"/>
      <c r="U7" s="87"/>
      <c r="V7" s="87"/>
      <c r="W7" s="87"/>
      <c r="X7" s="87"/>
    </row>
    <row r="8" spans="1:49" ht="15.75" x14ac:dyDescent="0.5">
      <c r="A8" s="96"/>
      <c r="B8" s="86"/>
      <c r="C8" s="86"/>
      <c r="D8" s="86"/>
      <c r="E8" s="86"/>
      <c r="F8" s="86"/>
      <c r="G8" s="86"/>
      <c r="H8" s="86"/>
      <c r="I8" s="86"/>
      <c r="J8" s="86"/>
      <c r="K8" s="86"/>
      <c r="L8" s="86"/>
      <c r="M8" s="86"/>
      <c r="N8" s="86"/>
      <c r="O8" s="86"/>
      <c r="P8" s="86"/>
      <c r="Q8" s="86"/>
      <c r="R8" s="86"/>
      <c r="S8" s="86"/>
      <c r="T8" s="87"/>
      <c r="U8" s="87"/>
      <c r="V8" s="87"/>
      <c r="W8" s="87"/>
      <c r="X8" s="87"/>
    </row>
    <row r="9" spans="1:49" ht="15.75" x14ac:dyDescent="0.5">
      <c r="A9" s="88" t="s">
        <v>136</v>
      </c>
      <c r="B9" s="240"/>
      <c r="C9" s="241"/>
      <c r="D9" s="241"/>
      <c r="E9" s="241"/>
      <c r="F9" s="242"/>
      <c r="I9" s="85" t="s">
        <v>86</v>
      </c>
      <c r="J9" s="95"/>
      <c r="K9" s="231"/>
      <c r="L9" s="232"/>
      <c r="M9" s="232"/>
      <c r="N9" s="232"/>
      <c r="O9" s="232"/>
      <c r="P9" s="232"/>
      <c r="Q9" s="233"/>
      <c r="R9" s="86"/>
      <c r="S9" s="86"/>
      <c r="T9" s="87"/>
      <c r="U9" s="87"/>
      <c r="V9" s="87"/>
      <c r="W9" s="87"/>
      <c r="X9" s="87"/>
    </row>
    <row r="10" spans="1:49" ht="15.75" x14ac:dyDescent="0.5">
      <c r="A10" s="96"/>
      <c r="B10" s="86"/>
      <c r="C10" s="86"/>
      <c r="D10" s="86"/>
      <c r="E10" s="86"/>
      <c r="F10" s="86"/>
      <c r="G10" s="86"/>
      <c r="H10" s="86"/>
      <c r="I10" s="86"/>
      <c r="J10" s="86"/>
      <c r="K10" s="86"/>
      <c r="L10" s="86"/>
      <c r="M10" s="86"/>
      <c r="N10" s="86"/>
      <c r="O10" s="86"/>
      <c r="P10" s="86"/>
      <c r="Q10" s="86"/>
      <c r="R10" s="86"/>
      <c r="S10" s="86"/>
      <c r="T10" s="87"/>
      <c r="U10" s="87"/>
      <c r="V10" s="87"/>
      <c r="W10" s="87"/>
      <c r="X10" s="87"/>
    </row>
    <row r="11" spans="1:49" ht="15.75" x14ac:dyDescent="0.5">
      <c r="A11" s="88" t="s">
        <v>137</v>
      </c>
      <c r="B11" s="228"/>
      <c r="C11" s="229"/>
      <c r="D11" s="229"/>
      <c r="E11" s="229"/>
      <c r="F11" s="230"/>
      <c r="G11" s="86"/>
      <c r="H11" s="86"/>
      <c r="I11" s="85" t="s">
        <v>138</v>
      </c>
      <c r="J11" s="95"/>
      <c r="K11" s="231"/>
      <c r="L11" s="232"/>
      <c r="M11" s="232"/>
      <c r="N11" s="232"/>
      <c r="O11" s="232"/>
      <c r="P11" s="232"/>
      <c r="Q11" s="233"/>
      <c r="R11" s="86"/>
      <c r="S11" s="86"/>
      <c r="T11" s="87"/>
      <c r="U11" s="87"/>
      <c r="V11" s="87"/>
      <c r="W11" s="87"/>
      <c r="X11" s="87"/>
    </row>
    <row r="12" spans="1:49" x14ac:dyDescent="0.45">
      <c r="A12" s="86"/>
      <c r="B12" s="86"/>
      <c r="C12" s="86"/>
      <c r="D12" s="86"/>
      <c r="E12" s="86"/>
      <c r="F12" s="86"/>
      <c r="G12" s="86"/>
      <c r="H12" s="86"/>
      <c r="I12" s="86"/>
      <c r="J12" s="86"/>
      <c r="K12" s="86"/>
      <c r="L12" s="86"/>
      <c r="M12" s="86"/>
      <c r="N12" s="86"/>
      <c r="O12" s="86"/>
      <c r="P12" s="86"/>
      <c r="Q12" s="86"/>
      <c r="R12" s="86"/>
      <c r="S12" s="86"/>
      <c r="T12" s="87"/>
      <c r="U12" s="87"/>
      <c r="V12" s="87"/>
      <c r="W12" s="87"/>
      <c r="X12" s="87"/>
    </row>
    <row r="13" spans="1:49" x14ac:dyDescent="0.45">
      <c r="A13" s="86"/>
      <c r="B13" s="97"/>
      <c r="C13" s="98"/>
      <c r="D13" s="98"/>
      <c r="E13" s="98"/>
      <c r="F13" s="98"/>
      <c r="G13" s="99"/>
      <c r="H13" s="97"/>
      <c r="I13" s="98"/>
      <c r="J13" s="98"/>
      <c r="K13" s="98"/>
      <c r="L13" s="98"/>
      <c r="M13" s="99"/>
      <c r="N13" s="97"/>
      <c r="O13" s="98"/>
      <c r="P13" s="98"/>
      <c r="Q13" s="98"/>
      <c r="R13" s="98"/>
      <c r="S13" s="99"/>
      <c r="T13" s="97"/>
      <c r="U13" s="98"/>
      <c r="V13" s="98"/>
      <c r="W13" s="98"/>
      <c r="X13" s="98"/>
      <c r="Y13" s="99"/>
      <c r="Z13" s="97"/>
      <c r="AA13" s="98"/>
      <c r="AB13" s="98"/>
      <c r="AC13" s="98"/>
      <c r="AD13" s="98"/>
      <c r="AE13" s="99"/>
      <c r="AF13" s="97"/>
      <c r="AG13" s="98"/>
      <c r="AH13" s="98"/>
      <c r="AI13" s="98"/>
      <c r="AJ13" s="98"/>
      <c r="AK13" s="99"/>
      <c r="AL13" s="97"/>
      <c r="AM13" s="98"/>
      <c r="AN13" s="98"/>
      <c r="AO13" s="98"/>
      <c r="AP13" s="98"/>
      <c r="AQ13" s="99"/>
      <c r="AR13" s="97"/>
      <c r="AS13" s="98"/>
      <c r="AT13" s="98"/>
      <c r="AU13" s="98"/>
      <c r="AV13" s="98"/>
      <c r="AW13" s="99"/>
    </row>
    <row r="14" spans="1:49" x14ac:dyDescent="0.45">
      <c r="A14" s="86"/>
      <c r="B14" s="100"/>
      <c r="C14" s="101" t="s">
        <v>139</v>
      </c>
      <c r="D14" s="221"/>
      <c r="E14" s="223"/>
      <c r="F14" s="222"/>
      <c r="G14" s="102"/>
      <c r="H14" s="100"/>
      <c r="I14" s="101" t="s">
        <v>139</v>
      </c>
      <c r="J14" s="224"/>
      <c r="K14" s="225"/>
      <c r="L14" s="226"/>
      <c r="M14" s="102"/>
      <c r="N14" s="100"/>
      <c r="O14" s="101" t="s">
        <v>139</v>
      </c>
      <c r="P14" s="224"/>
      <c r="Q14" s="225"/>
      <c r="R14" s="226"/>
      <c r="S14" s="102"/>
      <c r="T14" s="100"/>
      <c r="U14" s="101" t="s">
        <v>139</v>
      </c>
      <c r="V14" s="224"/>
      <c r="W14" s="225"/>
      <c r="X14" s="226"/>
      <c r="Y14" s="102"/>
      <c r="Z14" s="100"/>
      <c r="AA14" s="101" t="s">
        <v>139</v>
      </c>
      <c r="AB14" s="224"/>
      <c r="AC14" s="225"/>
      <c r="AD14" s="226"/>
      <c r="AE14" s="102"/>
      <c r="AF14" s="100"/>
      <c r="AG14" s="101" t="s">
        <v>139</v>
      </c>
      <c r="AH14" s="224"/>
      <c r="AI14" s="225"/>
      <c r="AJ14" s="226"/>
      <c r="AK14" s="102"/>
      <c r="AL14" s="100"/>
      <c r="AM14" s="101" t="s">
        <v>139</v>
      </c>
      <c r="AN14" s="224"/>
      <c r="AO14" s="225"/>
      <c r="AP14" s="226"/>
      <c r="AQ14" s="102"/>
      <c r="AR14" s="100"/>
      <c r="AS14" s="101" t="s">
        <v>139</v>
      </c>
      <c r="AT14" s="224"/>
      <c r="AU14" s="225"/>
      <c r="AV14" s="226"/>
      <c r="AW14" s="102"/>
    </row>
    <row r="15" spans="1:49" x14ac:dyDescent="0.45">
      <c r="B15" s="100"/>
      <c r="C15" s="103"/>
      <c r="D15" s="104"/>
      <c r="E15" s="104"/>
      <c r="F15" s="104"/>
      <c r="G15" s="102"/>
      <c r="H15" s="100"/>
      <c r="I15" s="103"/>
      <c r="J15" s="104"/>
      <c r="K15" s="104"/>
      <c r="L15" s="104"/>
      <c r="M15" s="102"/>
      <c r="N15" s="100"/>
      <c r="O15" s="103"/>
      <c r="P15" s="104"/>
      <c r="Q15" s="104"/>
      <c r="R15" s="104"/>
      <c r="S15" s="102"/>
      <c r="T15" s="100"/>
      <c r="U15" s="103"/>
      <c r="V15" s="104"/>
      <c r="W15" s="104"/>
      <c r="X15" s="104"/>
      <c r="Y15" s="102"/>
      <c r="Z15" s="100"/>
      <c r="AA15" s="103"/>
      <c r="AB15" s="104"/>
      <c r="AC15" s="104"/>
      <c r="AD15" s="104"/>
      <c r="AE15" s="102"/>
      <c r="AF15" s="100"/>
      <c r="AG15" s="103"/>
      <c r="AH15" s="104"/>
      <c r="AI15" s="104"/>
      <c r="AJ15" s="104"/>
      <c r="AK15" s="102"/>
      <c r="AL15" s="100"/>
      <c r="AM15" s="103"/>
      <c r="AN15" s="104"/>
      <c r="AO15" s="104"/>
      <c r="AP15" s="104"/>
      <c r="AQ15" s="102"/>
      <c r="AR15" s="100"/>
      <c r="AS15" s="103"/>
      <c r="AT15" s="104"/>
      <c r="AU15" s="104"/>
      <c r="AV15" s="104"/>
      <c r="AW15" s="102"/>
    </row>
    <row r="16" spans="1:49" x14ac:dyDescent="0.45">
      <c r="B16" s="100"/>
      <c r="C16" s="103" t="s">
        <v>140</v>
      </c>
      <c r="D16" s="105"/>
      <c r="E16" s="106" t="s">
        <v>141</v>
      </c>
      <c r="F16" s="107"/>
      <c r="G16" s="102"/>
      <c r="H16" s="100"/>
      <c r="I16" s="103" t="s">
        <v>140</v>
      </c>
      <c r="J16" s="108"/>
      <c r="K16" s="109" t="s">
        <v>141</v>
      </c>
      <c r="L16" s="110"/>
      <c r="M16" s="102"/>
      <c r="N16" s="100"/>
      <c r="O16" s="103" t="s">
        <v>140</v>
      </c>
      <c r="P16" s="108"/>
      <c r="Q16" s="109" t="s">
        <v>141</v>
      </c>
      <c r="R16" s="110"/>
      <c r="S16" s="102"/>
      <c r="T16" s="100"/>
      <c r="U16" s="103" t="s">
        <v>142</v>
      </c>
      <c r="V16" s="108"/>
      <c r="W16" s="109" t="s">
        <v>141</v>
      </c>
      <c r="X16" s="110"/>
      <c r="Y16" s="102"/>
      <c r="Z16" s="100"/>
      <c r="AA16" s="103" t="s">
        <v>142</v>
      </c>
      <c r="AB16" s="108"/>
      <c r="AC16" s="109" t="s">
        <v>141</v>
      </c>
      <c r="AD16" s="110"/>
      <c r="AE16" s="102"/>
      <c r="AF16" s="100"/>
      <c r="AG16" s="103" t="s">
        <v>142</v>
      </c>
      <c r="AH16" s="108"/>
      <c r="AI16" s="109" t="s">
        <v>141</v>
      </c>
      <c r="AJ16" s="110"/>
      <c r="AK16" s="102"/>
      <c r="AL16" s="100"/>
      <c r="AM16" s="103" t="s">
        <v>142</v>
      </c>
      <c r="AN16" s="108"/>
      <c r="AO16" s="109" t="s">
        <v>141</v>
      </c>
      <c r="AP16" s="110"/>
      <c r="AQ16" s="102"/>
      <c r="AR16" s="100"/>
      <c r="AS16" s="103" t="s">
        <v>142</v>
      </c>
      <c r="AT16" s="108"/>
      <c r="AU16" s="106" t="s">
        <v>141</v>
      </c>
      <c r="AV16" s="110"/>
      <c r="AW16" s="102"/>
    </row>
    <row r="17" spans="1:49" x14ac:dyDescent="0.45">
      <c r="B17" s="100"/>
      <c r="C17" s="103"/>
      <c r="D17" s="103"/>
      <c r="E17" s="103"/>
      <c r="F17" s="103"/>
      <c r="G17" s="102"/>
      <c r="H17" s="100"/>
      <c r="I17" s="103"/>
      <c r="J17" s="103"/>
      <c r="K17" s="103"/>
      <c r="L17" s="103"/>
      <c r="M17" s="102"/>
      <c r="N17" s="100"/>
      <c r="O17" s="103"/>
      <c r="P17" s="103"/>
      <c r="Q17" s="103"/>
      <c r="R17" s="103"/>
      <c r="S17" s="102"/>
      <c r="T17" s="100"/>
      <c r="U17" s="103"/>
      <c r="V17" s="103"/>
      <c r="W17" s="103"/>
      <c r="X17" s="103"/>
      <c r="Y17" s="102"/>
      <c r="Z17" s="100"/>
      <c r="AA17" s="103"/>
      <c r="AB17" s="103"/>
      <c r="AC17" s="103"/>
      <c r="AD17" s="103"/>
      <c r="AE17" s="102"/>
      <c r="AF17" s="100"/>
      <c r="AG17" s="103"/>
      <c r="AH17" s="103"/>
      <c r="AI17" s="103"/>
      <c r="AJ17" s="103"/>
      <c r="AK17" s="102"/>
      <c r="AL17" s="100"/>
      <c r="AM17" s="103"/>
      <c r="AN17" s="103"/>
      <c r="AO17" s="103"/>
      <c r="AP17" s="103"/>
      <c r="AQ17" s="102"/>
      <c r="AR17" s="100"/>
      <c r="AS17" s="103"/>
      <c r="AT17" s="103"/>
      <c r="AU17" s="103"/>
      <c r="AV17" s="103"/>
      <c r="AW17" s="102"/>
    </row>
    <row r="18" spans="1:49" x14ac:dyDescent="0.45">
      <c r="A18" s="86"/>
      <c r="B18" s="100"/>
      <c r="C18" s="101" t="s">
        <v>53</v>
      </c>
      <c r="D18" s="221"/>
      <c r="E18" s="223"/>
      <c r="F18" s="222"/>
      <c r="G18" s="102"/>
      <c r="H18" s="100"/>
      <c r="I18" s="101" t="s">
        <v>53</v>
      </c>
      <c r="J18" s="224"/>
      <c r="K18" s="225"/>
      <c r="L18" s="226"/>
      <c r="M18" s="102"/>
      <c r="N18" s="100"/>
      <c r="O18" s="101" t="s">
        <v>53</v>
      </c>
      <c r="P18" s="224"/>
      <c r="Q18" s="225"/>
      <c r="R18" s="226"/>
      <c r="S18" s="102"/>
      <c r="T18" s="100"/>
      <c r="U18" s="101" t="s">
        <v>53</v>
      </c>
      <c r="V18" s="224"/>
      <c r="W18" s="225"/>
      <c r="X18" s="226"/>
      <c r="Y18" s="102"/>
      <c r="Z18" s="100"/>
      <c r="AA18" s="101" t="s">
        <v>53</v>
      </c>
      <c r="AB18" s="224"/>
      <c r="AC18" s="225"/>
      <c r="AD18" s="226"/>
      <c r="AE18" s="102"/>
      <c r="AF18" s="100"/>
      <c r="AG18" s="101" t="s">
        <v>53</v>
      </c>
      <c r="AH18" s="224"/>
      <c r="AI18" s="225"/>
      <c r="AJ18" s="226"/>
      <c r="AK18" s="102"/>
      <c r="AL18" s="100"/>
      <c r="AM18" s="101" t="s">
        <v>53</v>
      </c>
      <c r="AN18" s="224"/>
      <c r="AO18" s="225"/>
      <c r="AP18" s="226"/>
      <c r="AQ18" s="102"/>
      <c r="AR18" s="100"/>
      <c r="AS18" s="101" t="s">
        <v>53</v>
      </c>
      <c r="AT18" s="224"/>
      <c r="AU18" s="225"/>
      <c r="AV18" s="226"/>
      <c r="AW18" s="102"/>
    </row>
    <row r="19" spans="1:49" x14ac:dyDescent="0.45">
      <c r="A19" s="86"/>
      <c r="B19" s="100"/>
      <c r="C19" s="103"/>
      <c r="D19" s="86"/>
      <c r="E19" s="86"/>
      <c r="F19" s="86"/>
      <c r="G19" s="102"/>
      <c r="H19" s="100"/>
      <c r="I19" s="103"/>
      <c r="J19" s="86"/>
      <c r="K19" s="86"/>
      <c r="L19" s="86"/>
      <c r="M19" s="102"/>
      <c r="N19" s="100"/>
      <c r="O19" s="103"/>
      <c r="P19" s="86"/>
      <c r="Q19" s="86"/>
      <c r="R19" s="86"/>
      <c r="S19" s="102"/>
      <c r="T19" s="100"/>
      <c r="U19" s="103"/>
      <c r="V19" s="86"/>
      <c r="W19" s="86"/>
      <c r="X19" s="86"/>
      <c r="Y19" s="102"/>
      <c r="Z19" s="100"/>
      <c r="AA19" s="103"/>
      <c r="AB19" s="86"/>
      <c r="AC19" s="86"/>
      <c r="AD19" s="86"/>
      <c r="AE19" s="102"/>
      <c r="AF19" s="100"/>
      <c r="AG19" s="103"/>
      <c r="AH19" s="86"/>
      <c r="AI19" s="86"/>
      <c r="AJ19" s="86"/>
      <c r="AK19" s="102"/>
      <c r="AL19" s="100"/>
      <c r="AM19" s="103"/>
      <c r="AN19" s="86"/>
      <c r="AO19" s="86"/>
      <c r="AP19" s="86"/>
      <c r="AQ19" s="102"/>
      <c r="AR19" s="100"/>
      <c r="AS19" s="103"/>
      <c r="AT19" s="86"/>
      <c r="AU19" s="86"/>
      <c r="AV19" s="86"/>
      <c r="AW19" s="102"/>
    </row>
    <row r="20" spans="1:49" x14ac:dyDescent="0.45">
      <c r="A20" s="111" t="s">
        <v>143</v>
      </c>
      <c r="B20" s="112"/>
      <c r="C20" s="98"/>
      <c r="D20" s="98"/>
      <c r="E20" s="227"/>
      <c r="F20" s="227"/>
      <c r="G20" s="99"/>
      <c r="H20" s="112"/>
      <c r="I20" s="98"/>
      <c r="J20" s="98"/>
      <c r="K20" s="227"/>
      <c r="L20" s="227"/>
      <c r="M20" s="99"/>
      <c r="N20" s="112"/>
      <c r="O20" s="98"/>
      <c r="P20" s="98"/>
      <c r="Q20" s="227"/>
      <c r="R20" s="227"/>
      <c r="S20" s="99"/>
      <c r="T20" s="112"/>
      <c r="U20" s="98"/>
      <c r="V20" s="98"/>
      <c r="W20" s="227"/>
      <c r="X20" s="227"/>
      <c r="Y20" s="99"/>
      <c r="Z20" s="112"/>
      <c r="AA20" s="98"/>
      <c r="AB20" s="98"/>
      <c r="AC20" s="227" t="s">
        <v>144</v>
      </c>
      <c r="AD20" s="227"/>
      <c r="AE20" s="99"/>
      <c r="AF20" s="112"/>
      <c r="AG20" s="98"/>
      <c r="AH20" s="98"/>
      <c r="AI20" s="227"/>
      <c r="AJ20" s="227"/>
      <c r="AK20" s="99"/>
      <c r="AL20" s="112"/>
      <c r="AM20" s="98"/>
      <c r="AN20" s="98"/>
      <c r="AO20" s="227"/>
      <c r="AP20" s="227"/>
      <c r="AQ20" s="99"/>
      <c r="AR20" s="112"/>
      <c r="AS20" s="98"/>
      <c r="AT20" s="98"/>
      <c r="AU20" s="227"/>
      <c r="AV20" s="227"/>
      <c r="AW20" s="99"/>
    </row>
    <row r="21" spans="1:49" ht="29.25" customHeight="1" x14ac:dyDescent="0.45">
      <c r="A21" s="113" t="s">
        <v>145</v>
      </c>
      <c r="B21" s="114"/>
      <c r="C21" s="115"/>
      <c r="D21" s="116"/>
      <c r="E21" s="221" t="s">
        <v>468</v>
      </c>
      <c r="F21" s="222"/>
      <c r="G21" s="102"/>
      <c r="H21" s="114"/>
      <c r="I21" s="115"/>
      <c r="J21" s="116"/>
      <c r="K21" s="221" t="str">
        <f>E21</f>
        <v>Rate</v>
      </c>
      <c r="L21" s="222"/>
      <c r="M21" s="102"/>
      <c r="N21" s="114"/>
      <c r="O21" s="115"/>
      <c r="P21" s="116"/>
      <c r="Q21" s="221" t="str">
        <f>E21</f>
        <v>Rate</v>
      </c>
      <c r="R21" s="222"/>
      <c r="S21" s="102"/>
      <c r="T21" s="114"/>
      <c r="U21" s="115"/>
      <c r="V21" s="116"/>
      <c r="W21" s="221" t="str">
        <f>E21</f>
        <v>Rate</v>
      </c>
      <c r="X21" s="222"/>
      <c r="Y21" s="102"/>
      <c r="Z21" s="114"/>
      <c r="AA21" s="115"/>
      <c r="AB21" s="116"/>
      <c r="AC21" s="221" t="str">
        <f>E21</f>
        <v>Rate</v>
      </c>
      <c r="AD21" s="222"/>
      <c r="AE21" s="102"/>
      <c r="AF21" s="114"/>
      <c r="AG21" s="115"/>
      <c r="AH21" s="116"/>
      <c r="AI21" s="221" t="str">
        <f>E21</f>
        <v>Rate</v>
      </c>
      <c r="AJ21" s="222"/>
      <c r="AK21" s="102"/>
      <c r="AL21" s="114"/>
      <c r="AM21" s="115"/>
      <c r="AN21" s="116"/>
      <c r="AO21" s="221" t="str">
        <f>E21</f>
        <v>Rate</v>
      </c>
      <c r="AP21" s="222"/>
      <c r="AQ21" s="102"/>
      <c r="AR21" s="114"/>
      <c r="AS21" s="115"/>
      <c r="AT21" s="116"/>
      <c r="AU21" s="221" t="str">
        <f>E21</f>
        <v>Rate</v>
      </c>
      <c r="AV21" s="222"/>
      <c r="AW21" s="102"/>
    </row>
    <row r="22" spans="1:49" x14ac:dyDescent="0.45">
      <c r="A22" s="113"/>
      <c r="B22" s="114"/>
      <c r="C22" s="86"/>
      <c r="D22" s="86"/>
      <c r="E22" s="86"/>
      <c r="F22" s="86"/>
      <c r="G22" s="102"/>
      <c r="H22" s="114"/>
      <c r="I22" s="86"/>
      <c r="J22" s="86"/>
      <c r="K22" s="86"/>
      <c r="L22" s="86"/>
      <c r="M22" s="102"/>
      <c r="N22" s="114"/>
      <c r="O22" s="86"/>
      <c r="P22" s="86"/>
      <c r="Q22" s="86"/>
      <c r="R22" s="86"/>
      <c r="S22" s="102"/>
      <c r="T22" s="114"/>
      <c r="U22" s="86"/>
      <c r="V22" s="86"/>
      <c r="W22" s="86"/>
      <c r="X22" s="86"/>
      <c r="Y22" s="102"/>
      <c r="Z22" s="114"/>
      <c r="AA22" s="86"/>
      <c r="AB22" s="86"/>
      <c r="AC22" s="86"/>
      <c r="AD22" s="86"/>
      <c r="AE22" s="102"/>
      <c r="AF22" s="114"/>
      <c r="AG22" s="86"/>
      <c r="AH22" s="86"/>
      <c r="AI22" s="86"/>
      <c r="AJ22" s="86"/>
      <c r="AK22" s="102"/>
      <c r="AL22" s="114"/>
      <c r="AM22" s="86"/>
      <c r="AN22" s="86"/>
      <c r="AO22" s="86"/>
      <c r="AP22" s="86"/>
      <c r="AQ22" s="102"/>
      <c r="AR22" s="114"/>
      <c r="AS22" s="86"/>
      <c r="AT22" s="86"/>
      <c r="AU22" s="86"/>
      <c r="AV22" s="86"/>
      <c r="AW22" s="102"/>
    </row>
    <row r="23" spans="1:49" x14ac:dyDescent="0.45">
      <c r="A23" s="117"/>
      <c r="B23" s="114"/>
      <c r="C23" s="86"/>
      <c r="D23" s="86"/>
      <c r="E23" s="86"/>
      <c r="F23" s="86"/>
      <c r="G23" s="102"/>
      <c r="H23" s="114"/>
      <c r="I23" s="86"/>
      <c r="J23" s="86"/>
      <c r="K23" s="86"/>
      <c r="L23" s="86"/>
      <c r="M23" s="102"/>
      <c r="N23" s="114"/>
      <c r="O23" s="86"/>
      <c r="P23" s="86"/>
      <c r="Q23" s="86"/>
      <c r="R23" s="86"/>
      <c r="S23" s="102"/>
      <c r="T23" s="114"/>
      <c r="U23" s="86"/>
      <c r="V23" s="86"/>
      <c r="W23" s="86"/>
      <c r="X23" s="86"/>
      <c r="Y23" s="102"/>
      <c r="Z23" s="114"/>
      <c r="AA23" s="86"/>
      <c r="AB23" s="86"/>
      <c r="AC23" s="86"/>
      <c r="AD23" s="86"/>
      <c r="AE23" s="102"/>
      <c r="AF23" s="114"/>
      <c r="AG23" s="86"/>
      <c r="AH23" s="86"/>
      <c r="AI23" s="86"/>
      <c r="AJ23" s="86"/>
      <c r="AK23" s="102"/>
      <c r="AL23" s="114"/>
      <c r="AM23" s="86"/>
      <c r="AN23" s="86"/>
      <c r="AO23" s="86"/>
      <c r="AP23" s="86"/>
      <c r="AQ23" s="102"/>
      <c r="AR23" s="114"/>
      <c r="AS23" s="86"/>
      <c r="AT23" s="86"/>
      <c r="AU23" s="86"/>
      <c r="AV23" s="86"/>
      <c r="AW23" s="102"/>
    </row>
    <row r="24" spans="1:49" ht="15" customHeight="1" x14ac:dyDescent="0.45">
      <c r="A24" s="214" t="s">
        <v>146</v>
      </c>
      <c r="B24" s="118"/>
      <c r="C24" s="87"/>
      <c r="D24" s="86"/>
      <c r="E24" s="215"/>
      <c r="F24" s="216"/>
      <c r="G24" s="102"/>
      <c r="H24" s="118"/>
      <c r="I24" s="87"/>
      <c r="J24" s="86"/>
      <c r="K24" s="215"/>
      <c r="L24" s="216"/>
      <c r="M24" s="102"/>
      <c r="N24" s="118"/>
      <c r="O24" s="87"/>
      <c r="P24" s="86"/>
      <c r="Q24" s="215"/>
      <c r="R24" s="216"/>
      <c r="S24" s="102"/>
      <c r="T24" s="118"/>
      <c r="U24" s="87"/>
      <c r="V24" s="86"/>
      <c r="W24" s="215"/>
      <c r="X24" s="216"/>
      <c r="Y24" s="102"/>
      <c r="Z24" s="118"/>
      <c r="AA24" s="87"/>
      <c r="AB24" s="86"/>
      <c r="AC24" s="215"/>
      <c r="AD24" s="216"/>
      <c r="AE24" s="102"/>
      <c r="AF24" s="118"/>
      <c r="AG24" s="87"/>
      <c r="AH24" s="86"/>
      <c r="AI24" s="215"/>
      <c r="AJ24" s="216"/>
      <c r="AK24" s="102"/>
      <c r="AL24" s="118"/>
      <c r="AM24" s="87"/>
      <c r="AN24" s="86"/>
      <c r="AO24" s="215"/>
      <c r="AP24" s="216"/>
      <c r="AQ24" s="102"/>
      <c r="AR24" s="118"/>
      <c r="AS24" s="87"/>
      <c r="AT24" s="86"/>
      <c r="AU24" s="215"/>
      <c r="AV24" s="216"/>
      <c r="AW24" s="102"/>
    </row>
    <row r="25" spans="1:49" x14ac:dyDescent="0.45">
      <c r="A25" s="214"/>
      <c r="B25" s="114" t="s">
        <v>147</v>
      </c>
      <c r="C25" s="115"/>
      <c r="D25" s="86"/>
      <c r="E25" s="217"/>
      <c r="F25" s="218"/>
      <c r="G25" s="102"/>
      <c r="H25" s="114"/>
      <c r="I25" s="115"/>
      <c r="J25" s="86"/>
      <c r="K25" s="217"/>
      <c r="L25" s="218"/>
      <c r="M25" s="102"/>
      <c r="N25" s="114"/>
      <c r="O25" s="115"/>
      <c r="P25" s="86"/>
      <c r="Q25" s="217"/>
      <c r="R25" s="218"/>
      <c r="S25" s="102"/>
      <c r="T25" s="114"/>
      <c r="U25" s="115"/>
      <c r="V25" s="86"/>
      <c r="W25" s="217"/>
      <c r="X25" s="218"/>
      <c r="Y25" s="102"/>
      <c r="Z25" s="114"/>
      <c r="AA25" s="115"/>
      <c r="AB25" s="86"/>
      <c r="AC25" s="217"/>
      <c r="AD25" s="218"/>
      <c r="AE25" s="102"/>
      <c r="AF25" s="114"/>
      <c r="AG25" s="115"/>
      <c r="AH25" s="86"/>
      <c r="AI25" s="217"/>
      <c r="AJ25" s="218"/>
      <c r="AK25" s="102"/>
      <c r="AL25" s="114"/>
      <c r="AM25" s="115"/>
      <c r="AN25" s="86"/>
      <c r="AO25" s="217"/>
      <c r="AP25" s="218"/>
      <c r="AQ25" s="102"/>
      <c r="AR25" s="114"/>
      <c r="AS25" s="115"/>
      <c r="AT25" s="86"/>
      <c r="AU25" s="217"/>
      <c r="AV25" s="218"/>
      <c r="AW25" s="102"/>
    </row>
    <row r="26" spans="1:49" x14ac:dyDescent="0.45">
      <c r="A26" s="214"/>
      <c r="B26" s="114"/>
      <c r="C26" s="86"/>
      <c r="D26" s="86"/>
      <c r="E26" s="219"/>
      <c r="F26" s="220"/>
      <c r="G26" s="102"/>
      <c r="H26" s="114"/>
      <c r="I26" s="86"/>
      <c r="J26" s="86"/>
      <c r="K26" s="219"/>
      <c r="L26" s="220"/>
      <c r="M26" s="102"/>
      <c r="N26" s="114"/>
      <c r="O26" s="86"/>
      <c r="P26" s="86"/>
      <c r="Q26" s="219"/>
      <c r="R26" s="220"/>
      <c r="S26" s="102"/>
      <c r="T26" s="114"/>
      <c r="U26" s="86"/>
      <c r="V26" s="86"/>
      <c r="W26" s="219"/>
      <c r="X26" s="220"/>
      <c r="Y26" s="102"/>
      <c r="Z26" s="114"/>
      <c r="AA26" s="86"/>
      <c r="AB26" s="86"/>
      <c r="AC26" s="219"/>
      <c r="AD26" s="220"/>
      <c r="AE26" s="102"/>
      <c r="AF26" s="114"/>
      <c r="AG26" s="86"/>
      <c r="AH26" s="86"/>
      <c r="AI26" s="219"/>
      <c r="AJ26" s="220"/>
      <c r="AK26" s="102"/>
      <c r="AL26" s="114"/>
      <c r="AM26" s="86"/>
      <c r="AN26" s="86"/>
      <c r="AO26" s="219"/>
      <c r="AP26" s="220"/>
      <c r="AQ26" s="102"/>
      <c r="AR26" s="114"/>
      <c r="AS26" s="86"/>
      <c r="AT26" s="86"/>
      <c r="AU26" s="219"/>
      <c r="AV26" s="220"/>
      <c r="AW26" s="102"/>
    </row>
    <row r="27" spans="1:49" x14ac:dyDescent="0.45">
      <c r="A27" s="117"/>
      <c r="B27" s="114"/>
      <c r="C27" s="86"/>
      <c r="D27" s="86"/>
      <c r="E27" s="86"/>
      <c r="F27" s="86"/>
      <c r="G27" s="102"/>
      <c r="H27" s="114"/>
      <c r="I27" s="86"/>
      <c r="J27" s="86"/>
      <c r="K27" s="86"/>
      <c r="L27" s="86"/>
      <c r="M27" s="102"/>
      <c r="N27" s="114"/>
      <c r="O27" s="86"/>
      <c r="P27" s="86"/>
      <c r="Q27" s="86"/>
      <c r="R27" s="86"/>
      <c r="S27" s="102"/>
      <c r="T27" s="114"/>
      <c r="U27" s="86"/>
      <c r="V27" s="86"/>
      <c r="W27" s="86"/>
      <c r="X27" s="86"/>
      <c r="Y27" s="102"/>
      <c r="Z27" s="114"/>
      <c r="AA27" s="86"/>
      <c r="AB27" s="86"/>
      <c r="AC27" s="86"/>
      <c r="AD27" s="86"/>
      <c r="AE27" s="102"/>
      <c r="AF27" s="114"/>
      <c r="AG27" s="86"/>
      <c r="AH27" s="86"/>
      <c r="AI27" s="86"/>
      <c r="AJ27" s="86"/>
      <c r="AK27" s="102"/>
      <c r="AL27" s="114"/>
      <c r="AM27" s="86"/>
      <c r="AN27" s="86"/>
      <c r="AO27" s="86"/>
      <c r="AP27" s="86"/>
      <c r="AQ27" s="102"/>
      <c r="AR27" s="114"/>
      <c r="AS27" s="86"/>
      <c r="AT27" s="86"/>
      <c r="AU27" s="86"/>
      <c r="AV27" s="86"/>
      <c r="AW27" s="102"/>
    </row>
    <row r="28" spans="1:49" x14ac:dyDescent="0.45">
      <c r="A28" s="214" t="s">
        <v>148</v>
      </c>
      <c r="B28" s="118"/>
      <c r="C28" s="87"/>
      <c r="D28" s="86"/>
      <c r="E28" s="208"/>
      <c r="F28" s="209"/>
      <c r="G28" s="102"/>
      <c r="H28" s="118"/>
      <c r="I28" s="87"/>
      <c r="J28" s="86"/>
      <c r="K28" s="208"/>
      <c r="L28" s="209"/>
      <c r="M28" s="102"/>
      <c r="N28" s="118"/>
      <c r="O28" s="87"/>
      <c r="P28" s="86"/>
      <c r="Q28" s="208"/>
      <c r="R28" s="209"/>
      <c r="S28" s="102"/>
      <c r="T28" s="118"/>
      <c r="U28" s="87"/>
      <c r="V28" s="86"/>
      <c r="W28" s="208"/>
      <c r="X28" s="209"/>
      <c r="Y28" s="102"/>
      <c r="Z28" s="118"/>
      <c r="AA28" s="87"/>
      <c r="AB28" s="86"/>
      <c r="AC28" s="208"/>
      <c r="AD28" s="209"/>
      <c r="AE28" s="102"/>
      <c r="AF28" s="118"/>
      <c r="AG28" s="87"/>
      <c r="AH28" s="86"/>
      <c r="AI28" s="208"/>
      <c r="AJ28" s="209"/>
      <c r="AK28" s="102"/>
      <c r="AL28" s="118"/>
      <c r="AM28" s="87"/>
      <c r="AN28" s="86"/>
      <c r="AO28" s="208"/>
      <c r="AP28" s="209"/>
      <c r="AQ28" s="102"/>
      <c r="AR28" s="118"/>
      <c r="AS28" s="87"/>
      <c r="AT28" s="86"/>
      <c r="AU28" s="208"/>
      <c r="AV28" s="209"/>
      <c r="AW28" s="102"/>
    </row>
    <row r="29" spans="1:49" x14ac:dyDescent="0.45">
      <c r="A29" s="214"/>
      <c r="B29" s="114" t="s">
        <v>147</v>
      </c>
      <c r="C29" s="115"/>
      <c r="D29" s="86"/>
      <c r="E29" s="210"/>
      <c r="F29" s="211"/>
      <c r="G29" s="102"/>
      <c r="H29" s="114"/>
      <c r="I29" s="115"/>
      <c r="J29" s="86"/>
      <c r="K29" s="210"/>
      <c r="L29" s="211"/>
      <c r="M29" s="102"/>
      <c r="N29" s="114"/>
      <c r="O29" s="115"/>
      <c r="P29" s="86"/>
      <c r="Q29" s="210"/>
      <c r="R29" s="211"/>
      <c r="S29" s="102"/>
      <c r="T29" s="114"/>
      <c r="U29" s="115"/>
      <c r="V29" s="86"/>
      <c r="W29" s="210"/>
      <c r="X29" s="211"/>
      <c r="Y29" s="102"/>
      <c r="Z29" s="114"/>
      <c r="AA29" s="115"/>
      <c r="AB29" s="86"/>
      <c r="AC29" s="210"/>
      <c r="AD29" s="211"/>
      <c r="AE29" s="102"/>
      <c r="AF29" s="114"/>
      <c r="AG29" s="115"/>
      <c r="AH29" s="86"/>
      <c r="AI29" s="210"/>
      <c r="AJ29" s="211"/>
      <c r="AK29" s="102"/>
      <c r="AL29" s="114"/>
      <c r="AM29" s="115"/>
      <c r="AN29" s="86"/>
      <c r="AO29" s="210"/>
      <c r="AP29" s="211"/>
      <c r="AQ29" s="102"/>
      <c r="AR29" s="114"/>
      <c r="AS29" s="115"/>
      <c r="AT29" s="86"/>
      <c r="AU29" s="210"/>
      <c r="AV29" s="211"/>
      <c r="AW29" s="102"/>
    </row>
    <row r="30" spans="1:49" x14ac:dyDescent="0.45">
      <c r="A30" s="214"/>
      <c r="B30" s="114"/>
      <c r="C30" s="86"/>
      <c r="D30" s="86"/>
      <c r="E30" s="212"/>
      <c r="F30" s="213"/>
      <c r="G30" s="102"/>
      <c r="H30" s="114"/>
      <c r="I30" s="86"/>
      <c r="J30" s="86"/>
      <c r="K30" s="212"/>
      <c r="L30" s="213"/>
      <c r="M30" s="102"/>
      <c r="N30" s="114"/>
      <c r="O30" s="86"/>
      <c r="P30" s="86"/>
      <c r="Q30" s="212"/>
      <c r="R30" s="213"/>
      <c r="S30" s="102"/>
      <c r="T30" s="114"/>
      <c r="U30" s="86"/>
      <c r="V30" s="86"/>
      <c r="W30" s="212"/>
      <c r="X30" s="213"/>
      <c r="Y30" s="102"/>
      <c r="Z30" s="114"/>
      <c r="AA30" s="86"/>
      <c r="AB30" s="86"/>
      <c r="AC30" s="212"/>
      <c r="AD30" s="213"/>
      <c r="AE30" s="102"/>
      <c r="AF30" s="114"/>
      <c r="AG30" s="86"/>
      <c r="AH30" s="86"/>
      <c r="AI30" s="212"/>
      <c r="AJ30" s="213"/>
      <c r="AK30" s="102"/>
      <c r="AL30" s="114"/>
      <c r="AM30" s="86"/>
      <c r="AN30" s="86"/>
      <c r="AO30" s="212"/>
      <c r="AP30" s="213"/>
      <c r="AQ30" s="102"/>
      <c r="AR30" s="114"/>
      <c r="AS30" s="86"/>
      <c r="AT30" s="86"/>
      <c r="AU30" s="212"/>
      <c r="AV30" s="213"/>
      <c r="AW30" s="102"/>
    </row>
    <row r="31" spans="1:49" x14ac:dyDescent="0.45">
      <c r="A31" s="117"/>
      <c r="B31" s="114"/>
      <c r="C31" s="86"/>
      <c r="D31" s="86"/>
      <c r="E31" s="86"/>
      <c r="F31" s="86"/>
      <c r="G31" s="102"/>
      <c r="H31" s="114"/>
      <c r="I31" s="86"/>
      <c r="J31" s="86"/>
      <c r="K31" s="86"/>
      <c r="L31" s="86"/>
      <c r="M31" s="102"/>
      <c r="N31" s="114"/>
      <c r="O31" s="86"/>
      <c r="P31" s="86"/>
      <c r="Q31" s="86"/>
      <c r="R31" s="86"/>
      <c r="S31" s="102"/>
      <c r="T31" s="114"/>
      <c r="U31" s="86"/>
      <c r="V31" s="86"/>
      <c r="W31" s="86"/>
      <c r="X31" s="86"/>
      <c r="Y31" s="102"/>
      <c r="Z31" s="114"/>
      <c r="AA31" s="86"/>
      <c r="AB31" s="86"/>
      <c r="AC31" s="86"/>
      <c r="AD31" s="86"/>
      <c r="AE31" s="102"/>
      <c r="AF31" s="114"/>
      <c r="AG31" s="86"/>
      <c r="AH31" s="86"/>
      <c r="AI31" s="86"/>
      <c r="AJ31" s="86"/>
      <c r="AK31" s="102"/>
      <c r="AL31" s="114"/>
      <c r="AM31" s="86"/>
      <c r="AN31" s="86"/>
      <c r="AO31" s="86"/>
      <c r="AP31" s="86"/>
      <c r="AQ31" s="102"/>
      <c r="AR31" s="114"/>
      <c r="AS31" s="86"/>
      <c r="AT31" s="86"/>
      <c r="AU31" s="86"/>
      <c r="AV31" s="86"/>
      <c r="AW31" s="102"/>
    </row>
    <row r="32" spans="1:49" ht="15" customHeight="1" x14ac:dyDescent="0.45">
      <c r="A32" s="214" t="s">
        <v>149</v>
      </c>
      <c r="B32" s="118"/>
      <c r="C32" s="87"/>
      <c r="D32" s="86"/>
      <c r="E32" s="215"/>
      <c r="F32" s="216"/>
      <c r="G32" s="102"/>
      <c r="H32" s="118"/>
      <c r="I32" s="87"/>
      <c r="J32" s="86"/>
      <c r="K32" s="215"/>
      <c r="L32" s="216"/>
      <c r="M32" s="102"/>
      <c r="N32" s="118"/>
      <c r="O32" s="87"/>
      <c r="P32" s="86"/>
      <c r="Q32" s="215"/>
      <c r="R32" s="216"/>
      <c r="S32" s="102"/>
      <c r="T32" s="118"/>
      <c r="U32" s="87"/>
      <c r="V32" s="86"/>
      <c r="W32" s="215"/>
      <c r="X32" s="216"/>
      <c r="Y32" s="102"/>
      <c r="Z32" s="118"/>
      <c r="AA32" s="87"/>
      <c r="AB32" s="86"/>
      <c r="AC32" s="215"/>
      <c r="AD32" s="216"/>
      <c r="AE32" s="102"/>
      <c r="AF32" s="118"/>
      <c r="AG32" s="87"/>
      <c r="AH32" s="86"/>
      <c r="AI32" s="215"/>
      <c r="AJ32" s="216"/>
      <c r="AK32" s="102"/>
      <c r="AL32" s="118"/>
      <c r="AM32" s="87"/>
      <c r="AN32" s="86"/>
      <c r="AO32" s="215"/>
      <c r="AP32" s="216"/>
      <c r="AQ32" s="102"/>
      <c r="AR32" s="118"/>
      <c r="AS32" s="87"/>
      <c r="AT32" s="86"/>
      <c r="AU32" s="215"/>
      <c r="AV32" s="216"/>
      <c r="AW32" s="102"/>
    </row>
    <row r="33" spans="1:49" x14ac:dyDescent="0.45">
      <c r="A33" s="214"/>
      <c r="B33" s="114" t="s">
        <v>147</v>
      </c>
      <c r="C33" s="115"/>
      <c r="D33" s="86"/>
      <c r="E33" s="217"/>
      <c r="F33" s="218"/>
      <c r="G33" s="102"/>
      <c r="H33" s="114"/>
      <c r="I33" s="115"/>
      <c r="J33" s="86"/>
      <c r="K33" s="217"/>
      <c r="L33" s="218"/>
      <c r="M33" s="102"/>
      <c r="N33" s="114"/>
      <c r="O33" s="115"/>
      <c r="P33" s="86"/>
      <c r="Q33" s="217"/>
      <c r="R33" s="218"/>
      <c r="S33" s="102"/>
      <c r="T33" s="114"/>
      <c r="U33" s="115"/>
      <c r="V33" s="86"/>
      <c r="W33" s="217"/>
      <c r="X33" s="218"/>
      <c r="Y33" s="102"/>
      <c r="Z33" s="114"/>
      <c r="AA33" s="115"/>
      <c r="AB33" s="86"/>
      <c r="AC33" s="217"/>
      <c r="AD33" s="218"/>
      <c r="AE33" s="102"/>
      <c r="AF33" s="114"/>
      <c r="AG33" s="115"/>
      <c r="AH33" s="86"/>
      <c r="AI33" s="217"/>
      <c r="AJ33" s="218"/>
      <c r="AK33" s="102"/>
      <c r="AL33" s="114"/>
      <c r="AM33" s="115"/>
      <c r="AN33" s="86"/>
      <c r="AO33" s="217"/>
      <c r="AP33" s="218"/>
      <c r="AQ33" s="102"/>
      <c r="AR33" s="114"/>
      <c r="AS33" s="115"/>
      <c r="AT33" s="86"/>
      <c r="AU33" s="217"/>
      <c r="AV33" s="218"/>
      <c r="AW33" s="102"/>
    </row>
    <row r="34" spans="1:49" x14ac:dyDescent="0.45">
      <c r="A34" s="214"/>
      <c r="B34" s="114"/>
      <c r="C34" s="86"/>
      <c r="D34" s="86"/>
      <c r="E34" s="219"/>
      <c r="F34" s="220"/>
      <c r="G34" s="102"/>
      <c r="H34" s="114"/>
      <c r="I34" s="86"/>
      <c r="J34" s="86"/>
      <c r="K34" s="219"/>
      <c r="L34" s="220"/>
      <c r="M34" s="102"/>
      <c r="N34" s="114"/>
      <c r="O34" s="86"/>
      <c r="P34" s="86"/>
      <c r="Q34" s="219"/>
      <c r="R34" s="220"/>
      <c r="S34" s="102"/>
      <c r="T34" s="114"/>
      <c r="U34" s="86"/>
      <c r="V34" s="86"/>
      <c r="W34" s="219"/>
      <c r="X34" s="220"/>
      <c r="Y34" s="102"/>
      <c r="Z34" s="114"/>
      <c r="AA34" s="86"/>
      <c r="AB34" s="86"/>
      <c r="AC34" s="219"/>
      <c r="AD34" s="220"/>
      <c r="AE34" s="102"/>
      <c r="AF34" s="114"/>
      <c r="AG34" s="86"/>
      <c r="AH34" s="86"/>
      <c r="AI34" s="219"/>
      <c r="AJ34" s="220"/>
      <c r="AK34" s="102"/>
      <c r="AL34" s="114"/>
      <c r="AM34" s="86"/>
      <c r="AN34" s="86"/>
      <c r="AO34" s="219"/>
      <c r="AP34" s="220"/>
      <c r="AQ34" s="102"/>
      <c r="AR34" s="114"/>
      <c r="AS34" s="86"/>
      <c r="AT34" s="86"/>
      <c r="AU34" s="219"/>
      <c r="AV34" s="220"/>
      <c r="AW34" s="102"/>
    </row>
    <row r="35" spans="1:49" x14ac:dyDescent="0.45">
      <c r="A35" s="117"/>
      <c r="B35" s="114"/>
      <c r="C35" s="86"/>
      <c r="D35" s="86"/>
      <c r="E35" s="86"/>
      <c r="F35" s="86"/>
      <c r="G35" s="102"/>
      <c r="H35" s="114"/>
      <c r="I35" s="86"/>
      <c r="J35" s="86"/>
      <c r="K35" s="86"/>
      <c r="L35" s="86"/>
      <c r="M35" s="102"/>
      <c r="N35" s="114"/>
      <c r="O35" s="86"/>
      <c r="P35" s="86"/>
      <c r="Q35" s="86"/>
      <c r="R35" s="86"/>
      <c r="S35" s="102"/>
      <c r="T35" s="114"/>
      <c r="U35" s="86"/>
      <c r="V35" s="86"/>
      <c r="W35" s="86"/>
      <c r="X35" s="86"/>
      <c r="Y35" s="102"/>
      <c r="Z35" s="114"/>
      <c r="AA35" s="86"/>
      <c r="AB35" s="86"/>
      <c r="AC35" s="86"/>
      <c r="AD35" s="86"/>
      <c r="AE35" s="102"/>
      <c r="AF35" s="114"/>
      <c r="AG35" s="86"/>
      <c r="AH35" s="86"/>
      <c r="AI35" s="86"/>
      <c r="AJ35" s="86"/>
      <c r="AK35" s="102"/>
      <c r="AL35" s="114"/>
      <c r="AM35" s="86"/>
      <c r="AN35" s="86"/>
      <c r="AO35" s="86"/>
      <c r="AP35" s="86"/>
      <c r="AQ35" s="102"/>
      <c r="AR35" s="114"/>
      <c r="AS35" s="86"/>
      <c r="AT35" s="86"/>
      <c r="AU35" s="86"/>
      <c r="AV35" s="86"/>
      <c r="AW35" s="102"/>
    </row>
    <row r="36" spans="1:49" ht="15" customHeight="1" x14ac:dyDescent="0.45">
      <c r="A36" s="214" t="s">
        <v>150</v>
      </c>
      <c r="B36" s="118"/>
      <c r="C36" s="87"/>
      <c r="D36" s="86"/>
      <c r="E36" s="215"/>
      <c r="F36" s="216"/>
      <c r="G36" s="102"/>
      <c r="H36" s="118"/>
      <c r="I36" s="87"/>
      <c r="J36" s="86"/>
      <c r="K36" s="215"/>
      <c r="L36" s="216"/>
      <c r="M36" s="102"/>
      <c r="N36" s="118"/>
      <c r="O36" s="87"/>
      <c r="P36" s="86"/>
      <c r="Q36" s="215"/>
      <c r="R36" s="216"/>
      <c r="S36" s="102"/>
      <c r="T36" s="118"/>
      <c r="U36" s="87"/>
      <c r="V36" s="86"/>
      <c r="W36" s="215"/>
      <c r="X36" s="216"/>
      <c r="Y36" s="102"/>
      <c r="Z36" s="118"/>
      <c r="AA36" s="87"/>
      <c r="AB36" s="86"/>
      <c r="AC36" s="215"/>
      <c r="AD36" s="216"/>
      <c r="AE36" s="102"/>
      <c r="AF36" s="118"/>
      <c r="AG36" s="87"/>
      <c r="AH36" s="86"/>
      <c r="AI36" s="215"/>
      <c r="AJ36" s="216"/>
      <c r="AK36" s="102"/>
      <c r="AL36" s="118"/>
      <c r="AM36" s="87"/>
      <c r="AN36" s="86"/>
      <c r="AO36" s="215"/>
      <c r="AP36" s="216"/>
      <c r="AQ36" s="102"/>
      <c r="AR36" s="118"/>
      <c r="AS36" s="87"/>
      <c r="AT36" s="86"/>
      <c r="AU36" s="215"/>
      <c r="AV36" s="216"/>
      <c r="AW36" s="102"/>
    </row>
    <row r="37" spans="1:49" x14ac:dyDescent="0.45">
      <c r="A37" s="214"/>
      <c r="B37" s="114" t="s">
        <v>147</v>
      </c>
      <c r="C37" s="115"/>
      <c r="D37" s="86"/>
      <c r="E37" s="217"/>
      <c r="F37" s="218"/>
      <c r="G37" s="102"/>
      <c r="H37" s="114"/>
      <c r="I37" s="115"/>
      <c r="J37" s="86"/>
      <c r="K37" s="217"/>
      <c r="L37" s="218"/>
      <c r="M37" s="102"/>
      <c r="N37" s="114"/>
      <c r="O37" s="115"/>
      <c r="P37" s="86"/>
      <c r="Q37" s="217"/>
      <c r="R37" s="218"/>
      <c r="S37" s="102"/>
      <c r="T37" s="114"/>
      <c r="U37" s="115"/>
      <c r="V37" s="86"/>
      <c r="W37" s="217"/>
      <c r="X37" s="218"/>
      <c r="Y37" s="102"/>
      <c r="Z37" s="114"/>
      <c r="AA37" s="115"/>
      <c r="AB37" s="86"/>
      <c r="AC37" s="217"/>
      <c r="AD37" s="218"/>
      <c r="AE37" s="102"/>
      <c r="AF37" s="114"/>
      <c r="AG37" s="115"/>
      <c r="AH37" s="86"/>
      <c r="AI37" s="217"/>
      <c r="AJ37" s="218"/>
      <c r="AK37" s="102"/>
      <c r="AL37" s="114"/>
      <c r="AM37" s="115"/>
      <c r="AN37" s="86"/>
      <c r="AO37" s="217"/>
      <c r="AP37" s="218"/>
      <c r="AQ37" s="102"/>
      <c r="AR37" s="114"/>
      <c r="AS37" s="115"/>
      <c r="AT37" s="86"/>
      <c r="AU37" s="217"/>
      <c r="AV37" s="218"/>
      <c r="AW37" s="102"/>
    </row>
    <row r="38" spans="1:49" x14ac:dyDescent="0.45">
      <c r="A38" s="214"/>
      <c r="B38" s="114"/>
      <c r="C38" s="86"/>
      <c r="D38" s="86"/>
      <c r="E38" s="219"/>
      <c r="F38" s="220"/>
      <c r="G38" s="102"/>
      <c r="H38" s="114"/>
      <c r="I38" s="86"/>
      <c r="J38" s="86"/>
      <c r="K38" s="219"/>
      <c r="L38" s="220"/>
      <c r="M38" s="102"/>
      <c r="N38" s="114"/>
      <c r="O38" s="86"/>
      <c r="P38" s="86"/>
      <c r="Q38" s="219"/>
      <c r="R38" s="220"/>
      <c r="S38" s="102"/>
      <c r="T38" s="114"/>
      <c r="U38" s="86"/>
      <c r="V38" s="86"/>
      <c r="W38" s="219"/>
      <c r="X38" s="220"/>
      <c r="Y38" s="102"/>
      <c r="Z38" s="114"/>
      <c r="AA38" s="86"/>
      <c r="AB38" s="86"/>
      <c r="AC38" s="219"/>
      <c r="AD38" s="220"/>
      <c r="AE38" s="102"/>
      <c r="AF38" s="114"/>
      <c r="AG38" s="86"/>
      <c r="AH38" s="86"/>
      <c r="AI38" s="219"/>
      <c r="AJ38" s="220"/>
      <c r="AK38" s="102"/>
      <c r="AL38" s="114"/>
      <c r="AM38" s="86"/>
      <c r="AN38" s="86"/>
      <c r="AO38" s="219"/>
      <c r="AP38" s="220"/>
      <c r="AQ38" s="102"/>
      <c r="AR38" s="114"/>
      <c r="AS38" s="86"/>
      <c r="AT38" s="86"/>
      <c r="AU38" s="219"/>
      <c r="AV38" s="220"/>
      <c r="AW38" s="102"/>
    </row>
    <row r="39" spans="1:49" x14ac:dyDescent="0.45">
      <c r="A39" s="117"/>
      <c r="B39" s="114"/>
      <c r="C39" s="86"/>
      <c r="D39" s="86"/>
      <c r="E39" s="86"/>
      <c r="F39" s="86"/>
      <c r="G39" s="102"/>
      <c r="H39" s="114"/>
      <c r="I39" s="86"/>
      <c r="J39" s="86"/>
      <c r="K39" s="86"/>
      <c r="L39" s="86"/>
      <c r="M39" s="102"/>
      <c r="N39" s="114"/>
      <c r="O39" s="86"/>
      <c r="P39" s="86"/>
      <c r="Q39" s="86"/>
      <c r="R39" s="86"/>
      <c r="S39" s="102"/>
      <c r="T39" s="114"/>
      <c r="U39" s="86"/>
      <c r="V39" s="86"/>
      <c r="W39" s="86"/>
      <c r="X39" s="86"/>
      <c r="Y39" s="102"/>
      <c r="Z39" s="114"/>
      <c r="AA39" s="86"/>
      <c r="AB39" s="86"/>
      <c r="AC39" s="86"/>
      <c r="AD39" s="86"/>
      <c r="AE39" s="102"/>
      <c r="AF39" s="114"/>
      <c r="AG39" s="86"/>
      <c r="AH39" s="86"/>
      <c r="AI39" s="86"/>
      <c r="AJ39" s="86"/>
      <c r="AK39" s="102"/>
      <c r="AL39" s="114"/>
      <c r="AM39" s="86"/>
      <c r="AN39" s="86"/>
      <c r="AO39" s="86"/>
      <c r="AP39" s="86"/>
      <c r="AQ39" s="102"/>
      <c r="AR39" s="114"/>
      <c r="AS39" s="86"/>
      <c r="AT39" s="86"/>
      <c r="AU39" s="86"/>
      <c r="AV39" s="86"/>
      <c r="AW39" s="102"/>
    </row>
    <row r="40" spans="1:49" x14ac:dyDescent="0.45">
      <c r="A40" s="214" t="s">
        <v>151</v>
      </c>
      <c r="B40" s="118"/>
      <c r="C40" s="87"/>
      <c r="D40" s="86"/>
      <c r="E40" s="208"/>
      <c r="F40" s="209"/>
      <c r="G40" s="102"/>
      <c r="H40" s="118"/>
      <c r="I40" s="87"/>
      <c r="J40" s="86"/>
      <c r="K40" s="208"/>
      <c r="L40" s="209"/>
      <c r="M40" s="102"/>
      <c r="N40" s="118"/>
      <c r="O40" s="87"/>
      <c r="P40" s="86"/>
      <c r="Q40" s="208"/>
      <c r="R40" s="209"/>
      <c r="S40" s="102"/>
      <c r="T40" s="118"/>
      <c r="U40" s="87"/>
      <c r="V40" s="86"/>
      <c r="W40" s="208"/>
      <c r="X40" s="209"/>
      <c r="Y40" s="102"/>
      <c r="Z40" s="118"/>
      <c r="AA40" s="87"/>
      <c r="AB40" s="86"/>
      <c r="AC40" s="208"/>
      <c r="AD40" s="209"/>
      <c r="AE40" s="102"/>
      <c r="AF40" s="118"/>
      <c r="AG40" s="87"/>
      <c r="AH40" s="86"/>
      <c r="AI40" s="208"/>
      <c r="AJ40" s="209"/>
      <c r="AK40" s="102"/>
      <c r="AL40" s="118"/>
      <c r="AM40" s="87"/>
      <c r="AN40" s="86"/>
      <c r="AO40" s="208"/>
      <c r="AP40" s="209"/>
      <c r="AQ40" s="102"/>
      <c r="AR40" s="118"/>
      <c r="AS40" s="87"/>
      <c r="AT40" s="86"/>
      <c r="AU40" s="208"/>
      <c r="AV40" s="209"/>
      <c r="AW40" s="102"/>
    </row>
    <row r="41" spans="1:49" x14ac:dyDescent="0.45">
      <c r="A41" s="214"/>
      <c r="B41" s="114" t="s">
        <v>147</v>
      </c>
      <c r="C41" s="115"/>
      <c r="D41" s="86"/>
      <c r="E41" s="210"/>
      <c r="F41" s="211"/>
      <c r="G41" s="102"/>
      <c r="H41" s="114"/>
      <c r="I41" s="115"/>
      <c r="J41" s="86"/>
      <c r="K41" s="210"/>
      <c r="L41" s="211"/>
      <c r="M41" s="102"/>
      <c r="N41" s="114"/>
      <c r="O41" s="115"/>
      <c r="P41" s="86"/>
      <c r="Q41" s="210"/>
      <c r="R41" s="211"/>
      <c r="S41" s="102"/>
      <c r="T41" s="114"/>
      <c r="U41" s="115"/>
      <c r="V41" s="86"/>
      <c r="W41" s="210"/>
      <c r="X41" s="211"/>
      <c r="Y41" s="102"/>
      <c r="Z41" s="114"/>
      <c r="AA41" s="115"/>
      <c r="AB41" s="86"/>
      <c r="AC41" s="210"/>
      <c r="AD41" s="211"/>
      <c r="AE41" s="102"/>
      <c r="AF41" s="114"/>
      <c r="AG41" s="115"/>
      <c r="AH41" s="86"/>
      <c r="AI41" s="210"/>
      <c r="AJ41" s="211"/>
      <c r="AK41" s="102"/>
      <c r="AL41" s="114"/>
      <c r="AM41" s="115"/>
      <c r="AN41" s="86"/>
      <c r="AO41" s="210"/>
      <c r="AP41" s="211"/>
      <c r="AQ41" s="102"/>
      <c r="AR41" s="114"/>
      <c r="AS41" s="115"/>
      <c r="AT41" s="86"/>
      <c r="AU41" s="210"/>
      <c r="AV41" s="211"/>
      <c r="AW41" s="102"/>
    </row>
    <row r="42" spans="1:49" x14ac:dyDescent="0.45">
      <c r="A42" s="214"/>
      <c r="B42" s="114"/>
      <c r="C42" s="86"/>
      <c r="D42" s="86"/>
      <c r="E42" s="212"/>
      <c r="F42" s="213"/>
      <c r="G42" s="102"/>
      <c r="H42" s="114"/>
      <c r="I42" s="86"/>
      <c r="J42" s="86"/>
      <c r="K42" s="212"/>
      <c r="L42" s="213"/>
      <c r="M42" s="102"/>
      <c r="N42" s="114"/>
      <c r="O42" s="86"/>
      <c r="P42" s="86"/>
      <c r="Q42" s="212"/>
      <c r="R42" s="213"/>
      <c r="S42" s="102"/>
      <c r="T42" s="114"/>
      <c r="U42" s="86"/>
      <c r="V42" s="86"/>
      <c r="W42" s="212"/>
      <c r="X42" s="213"/>
      <c r="Y42" s="102"/>
      <c r="Z42" s="114"/>
      <c r="AA42" s="86"/>
      <c r="AB42" s="86"/>
      <c r="AC42" s="212"/>
      <c r="AD42" s="213"/>
      <c r="AE42" s="102"/>
      <c r="AF42" s="114"/>
      <c r="AG42" s="86"/>
      <c r="AH42" s="86"/>
      <c r="AI42" s="212"/>
      <c r="AJ42" s="213"/>
      <c r="AK42" s="102"/>
      <c r="AL42" s="114"/>
      <c r="AM42" s="86"/>
      <c r="AN42" s="86"/>
      <c r="AO42" s="212"/>
      <c r="AP42" s="213"/>
      <c r="AQ42" s="102"/>
      <c r="AR42" s="114"/>
      <c r="AS42" s="86"/>
      <c r="AT42" s="86"/>
      <c r="AU42" s="212"/>
      <c r="AV42" s="213"/>
      <c r="AW42" s="102"/>
    </row>
    <row r="43" spans="1:49" x14ac:dyDescent="0.45">
      <c r="A43" s="117"/>
      <c r="B43" s="114"/>
      <c r="C43" s="86"/>
      <c r="D43" s="86"/>
      <c r="E43" s="86"/>
      <c r="F43" s="86"/>
      <c r="G43" s="102"/>
      <c r="H43" s="114"/>
      <c r="I43" s="86"/>
      <c r="J43" s="86"/>
      <c r="K43" s="86"/>
      <c r="L43" s="86"/>
      <c r="M43" s="102"/>
      <c r="N43" s="114"/>
      <c r="O43" s="86"/>
      <c r="P43" s="86"/>
      <c r="Q43" s="86"/>
      <c r="R43" s="86"/>
      <c r="S43" s="102"/>
      <c r="T43" s="114"/>
      <c r="U43" s="86"/>
      <c r="V43" s="86"/>
      <c r="W43" s="86"/>
      <c r="X43" s="86"/>
      <c r="Y43" s="102"/>
      <c r="Z43" s="114"/>
      <c r="AA43" s="86"/>
      <c r="AB43" s="86"/>
      <c r="AC43" s="86"/>
      <c r="AD43" s="86"/>
      <c r="AE43" s="102"/>
      <c r="AF43" s="114"/>
      <c r="AG43" s="86"/>
      <c r="AH43" s="86"/>
      <c r="AI43" s="86"/>
      <c r="AJ43" s="86"/>
      <c r="AK43" s="102"/>
      <c r="AL43" s="114"/>
      <c r="AM43" s="86"/>
      <c r="AN43" s="86"/>
      <c r="AO43" s="86"/>
      <c r="AP43" s="86"/>
      <c r="AQ43" s="102"/>
      <c r="AR43" s="114"/>
      <c r="AS43" s="86"/>
      <c r="AT43" s="86"/>
      <c r="AU43" s="86"/>
      <c r="AV43" s="86"/>
      <c r="AW43" s="102"/>
    </row>
    <row r="44" spans="1:49" x14ac:dyDescent="0.45">
      <c r="A44" s="214" t="s">
        <v>152</v>
      </c>
      <c r="B44" s="118"/>
      <c r="C44" s="87"/>
      <c r="D44" s="86"/>
      <c r="E44" s="208"/>
      <c r="F44" s="209"/>
      <c r="G44" s="102"/>
      <c r="H44" s="118"/>
      <c r="I44" s="87"/>
      <c r="J44" s="86"/>
      <c r="K44" s="208"/>
      <c r="L44" s="209"/>
      <c r="M44" s="102"/>
      <c r="N44" s="118"/>
      <c r="O44" s="87"/>
      <c r="P44" s="86"/>
      <c r="Q44" s="208"/>
      <c r="R44" s="209"/>
      <c r="S44" s="102"/>
      <c r="T44" s="118"/>
      <c r="U44" s="87"/>
      <c r="V44" s="86"/>
      <c r="W44" s="208"/>
      <c r="X44" s="209"/>
      <c r="Y44" s="102"/>
      <c r="Z44" s="118"/>
      <c r="AA44" s="87"/>
      <c r="AB44" s="86"/>
      <c r="AC44" s="208"/>
      <c r="AD44" s="209"/>
      <c r="AE44" s="102"/>
      <c r="AF44" s="118"/>
      <c r="AG44" s="87"/>
      <c r="AH44" s="86"/>
      <c r="AI44" s="208"/>
      <c r="AJ44" s="209"/>
      <c r="AK44" s="102"/>
      <c r="AL44" s="118"/>
      <c r="AM44" s="87"/>
      <c r="AN44" s="86"/>
      <c r="AO44" s="208"/>
      <c r="AP44" s="209"/>
      <c r="AQ44" s="102"/>
      <c r="AR44" s="118"/>
      <c r="AS44" s="87"/>
      <c r="AT44" s="86"/>
      <c r="AU44" s="208"/>
      <c r="AV44" s="209"/>
      <c r="AW44" s="102"/>
    </row>
    <row r="45" spans="1:49" x14ac:dyDescent="0.45">
      <c r="A45" s="214"/>
      <c r="B45" s="114" t="s">
        <v>147</v>
      </c>
      <c r="C45" s="115"/>
      <c r="D45" s="86"/>
      <c r="E45" s="210"/>
      <c r="F45" s="211"/>
      <c r="G45" s="102"/>
      <c r="H45" s="114"/>
      <c r="I45" s="115"/>
      <c r="J45" s="86"/>
      <c r="K45" s="210"/>
      <c r="L45" s="211"/>
      <c r="M45" s="102"/>
      <c r="N45" s="114"/>
      <c r="O45" s="115"/>
      <c r="P45" s="86"/>
      <c r="Q45" s="210"/>
      <c r="R45" s="211"/>
      <c r="S45" s="102"/>
      <c r="T45" s="114"/>
      <c r="U45" s="115"/>
      <c r="V45" s="86"/>
      <c r="W45" s="210"/>
      <c r="X45" s="211"/>
      <c r="Y45" s="102"/>
      <c r="Z45" s="114"/>
      <c r="AA45" s="115"/>
      <c r="AB45" s="86"/>
      <c r="AC45" s="210"/>
      <c r="AD45" s="211"/>
      <c r="AE45" s="102"/>
      <c r="AF45" s="114"/>
      <c r="AG45" s="115"/>
      <c r="AH45" s="86"/>
      <c r="AI45" s="210"/>
      <c r="AJ45" s="211"/>
      <c r="AK45" s="102"/>
      <c r="AL45" s="114"/>
      <c r="AM45" s="115"/>
      <c r="AN45" s="86"/>
      <c r="AO45" s="210"/>
      <c r="AP45" s="211"/>
      <c r="AQ45" s="102"/>
      <c r="AR45" s="114"/>
      <c r="AS45" s="115"/>
      <c r="AT45" s="86"/>
      <c r="AU45" s="210"/>
      <c r="AV45" s="211"/>
      <c r="AW45" s="102"/>
    </row>
    <row r="46" spans="1:49" x14ac:dyDescent="0.45">
      <c r="A46" s="214"/>
      <c r="B46" s="114"/>
      <c r="C46" s="86"/>
      <c r="D46" s="86"/>
      <c r="E46" s="212"/>
      <c r="F46" s="213"/>
      <c r="G46" s="102"/>
      <c r="H46" s="114"/>
      <c r="I46" s="86"/>
      <c r="J46" s="86"/>
      <c r="K46" s="212"/>
      <c r="L46" s="213"/>
      <c r="M46" s="102"/>
      <c r="N46" s="114"/>
      <c r="O46" s="86"/>
      <c r="P46" s="86"/>
      <c r="Q46" s="212"/>
      <c r="R46" s="213"/>
      <c r="S46" s="102"/>
      <c r="T46" s="114"/>
      <c r="U46" s="86"/>
      <c r="V46" s="86"/>
      <c r="W46" s="212"/>
      <c r="X46" s="213"/>
      <c r="Y46" s="102"/>
      <c r="Z46" s="114"/>
      <c r="AA46" s="86"/>
      <c r="AB46" s="86"/>
      <c r="AC46" s="212"/>
      <c r="AD46" s="213"/>
      <c r="AE46" s="102"/>
      <c r="AF46" s="114"/>
      <c r="AG46" s="86"/>
      <c r="AH46" s="86"/>
      <c r="AI46" s="212"/>
      <c r="AJ46" s="213"/>
      <c r="AK46" s="102"/>
      <c r="AL46" s="114"/>
      <c r="AM46" s="86"/>
      <c r="AN46" s="86"/>
      <c r="AO46" s="212"/>
      <c r="AP46" s="213"/>
      <c r="AQ46" s="102"/>
      <c r="AR46" s="114"/>
      <c r="AS46" s="86"/>
      <c r="AT46" s="86"/>
      <c r="AU46" s="212"/>
      <c r="AV46" s="213"/>
      <c r="AW46" s="102"/>
    </row>
    <row r="47" spans="1:49" x14ac:dyDescent="0.45">
      <c r="A47" s="117"/>
      <c r="B47" s="114"/>
      <c r="C47" s="86"/>
      <c r="D47" s="86"/>
      <c r="E47" s="86"/>
      <c r="F47" s="86"/>
      <c r="G47" s="102"/>
      <c r="H47" s="114"/>
      <c r="I47" s="86"/>
      <c r="J47" s="86"/>
      <c r="K47" s="86"/>
      <c r="L47" s="86"/>
      <c r="M47" s="102"/>
      <c r="N47" s="114"/>
      <c r="O47" s="86"/>
      <c r="P47" s="86"/>
      <c r="Q47" s="86"/>
      <c r="R47" s="86"/>
      <c r="S47" s="102"/>
      <c r="T47" s="114"/>
      <c r="U47" s="86"/>
      <c r="V47" s="86"/>
      <c r="W47" s="86"/>
      <c r="X47" s="86"/>
      <c r="Y47" s="102"/>
      <c r="Z47" s="114"/>
      <c r="AA47" s="86"/>
      <c r="AB47" s="86"/>
      <c r="AC47" s="86"/>
      <c r="AD47" s="86"/>
      <c r="AE47" s="102"/>
      <c r="AF47" s="114"/>
      <c r="AG47" s="86"/>
      <c r="AH47" s="86"/>
      <c r="AI47" s="86"/>
      <c r="AJ47" s="86"/>
      <c r="AK47" s="102"/>
      <c r="AL47" s="114"/>
      <c r="AM47" s="86"/>
      <c r="AN47" s="86"/>
      <c r="AO47" s="86"/>
      <c r="AP47" s="86"/>
      <c r="AQ47" s="102"/>
      <c r="AR47" s="114"/>
      <c r="AS47" s="86"/>
      <c r="AT47" s="86"/>
      <c r="AU47" s="86"/>
      <c r="AV47" s="86"/>
      <c r="AW47" s="102"/>
    </row>
    <row r="48" spans="1:49" x14ac:dyDescent="0.45">
      <c r="A48" s="214" t="s">
        <v>153</v>
      </c>
      <c r="B48" s="114"/>
      <c r="C48" s="119"/>
      <c r="D48" s="86"/>
      <c r="E48" s="86"/>
      <c r="F48" s="86"/>
      <c r="G48" s="102"/>
      <c r="H48" s="114"/>
      <c r="I48" s="119"/>
      <c r="J48" s="86"/>
      <c r="K48" s="86"/>
      <c r="L48" s="86"/>
      <c r="M48" s="102"/>
      <c r="N48" s="114"/>
      <c r="O48" s="119"/>
      <c r="P48" s="86"/>
      <c r="Q48" s="86"/>
      <c r="R48" s="86"/>
      <c r="S48" s="102"/>
      <c r="T48" s="114"/>
      <c r="U48" s="119"/>
      <c r="V48" s="86"/>
      <c r="W48" s="86"/>
      <c r="X48" s="86"/>
      <c r="Y48" s="102"/>
      <c r="Z48" s="114"/>
      <c r="AA48" s="119"/>
      <c r="AB48" s="86"/>
      <c r="AC48" s="86"/>
      <c r="AD48" s="86"/>
      <c r="AE48" s="102"/>
      <c r="AF48" s="114"/>
      <c r="AG48" s="119"/>
      <c r="AH48" s="86"/>
      <c r="AI48" s="86"/>
      <c r="AJ48" s="86"/>
      <c r="AK48" s="102"/>
      <c r="AL48" s="114"/>
      <c r="AM48" s="119"/>
      <c r="AN48" s="86"/>
      <c r="AO48" s="86"/>
      <c r="AP48" s="86"/>
      <c r="AQ48" s="102"/>
      <c r="AR48" s="114"/>
      <c r="AS48" s="119"/>
      <c r="AT48" s="86"/>
      <c r="AU48" s="86"/>
      <c r="AV48" s="86"/>
      <c r="AW48" s="102"/>
    </row>
    <row r="49" spans="1:49" x14ac:dyDescent="0.45">
      <c r="A49" s="214"/>
      <c r="B49" s="120"/>
      <c r="C49" s="204"/>
      <c r="D49" s="205"/>
      <c r="E49" s="205"/>
      <c r="F49" s="206"/>
      <c r="G49" s="121"/>
      <c r="H49" s="120"/>
      <c r="I49" s="204"/>
      <c r="J49" s="205"/>
      <c r="K49" s="205"/>
      <c r="L49" s="206"/>
      <c r="M49" s="121"/>
      <c r="N49" s="120"/>
      <c r="O49" s="204"/>
      <c r="P49" s="205"/>
      <c r="Q49" s="205"/>
      <c r="R49" s="206"/>
      <c r="S49" s="121"/>
      <c r="T49" s="120"/>
      <c r="U49" s="204"/>
      <c r="V49" s="205"/>
      <c r="W49" s="205"/>
      <c r="X49" s="206"/>
      <c r="Y49" s="121"/>
      <c r="Z49" s="120"/>
      <c r="AA49" s="204"/>
      <c r="AB49" s="205"/>
      <c r="AC49" s="205"/>
      <c r="AD49" s="206"/>
      <c r="AE49" s="121"/>
      <c r="AF49" s="120"/>
      <c r="AG49" s="204"/>
      <c r="AH49" s="205"/>
      <c r="AI49" s="205"/>
      <c r="AJ49" s="206"/>
      <c r="AK49" s="121"/>
      <c r="AL49" s="120"/>
      <c r="AM49" s="204"/>
      <c r="AN49" s="205"/>
      <c r="AO49" s="205"/>
      <c r="AP49" s="206"/>
      <c r="AQ49" s="121"/>
      <c r="AR49" s="120"/>
      <c r="AS49" s="204"/>
      <c r="AT49" s="205"/>
      <c r="AU49" s="205"/>
      <c r="AV49" s="206"/>
      <c r="AW49" s="121"/>
    </row>
    <row r="50" spans="1:49" x14ac:dyDescent="0.45">
      <c r="A50" s="122"/>
      <c r="B50" s="114"/>
      <c r="C50" s="123"/>
      <c r="D50" s="124"/>
      <c r="E50" s="124"/>
      <c r="F50" s="124"/>
      <c r="G50" s="121"/>
      <c r="H50" s="114"/>
      <c r="I50" s="123"/>
      <c r="J50" s="124"/>
      <c r="K50" s="124"/>
      <c r="L50" s="124"/>
      <c r="M50" s="121"/>
      <c r="N50" s="114"/>
      <c r="O50" s="123"/>
      <c r="P50" s="124"/>
      <c r="Q50" s="124"/>
      <c r="R50" s="124"/>
      <c r="S50" s="121"/>
      <c r="T50" s="114"/>
      <c r="U50" s="123"/>
      <c r="V50" s="124"/>
      <c r="W50" s="124"/>
      <c r="X50" s="124"/>
      <c r="Y50" s="121"/>
      <c r="Z50" s="114"/>
      <c r="AA50" s="123"/>
      <c r="AB50" s="124"/>
      <c r="AC50" s="124"/>
      <c r="AD50" s="124"/>
      <c r="AE50" s="121"/>
      <c r="AF50" s="114"/>
      <c r="AG50" s="123"/>
      <c r="AH50" s="124"/>
      <c r="AI50" s="124"/>
      <c r="AJ50" s="124"/>
      <c r="AK50" s="121"/>
      <c r="AL50" s="114"/>
      <c r="AM50" s="123"/>
      <c r="AN50" s="124"/>
      <c r="AO50" s="124"/>
      <c r="AP50" s="124"/>
      <c r="AQ50" s="121"/>
      <c r="AR50" s="114"/>
      <c r="AS50" s="123"/>
      <c r="AT50" s="124"/>
      <c r="AU50" s="124"/>
      <c r="AV50" s="124"/>
      <c r="AW50" s="121"/>
    </row>
    <row r="51" spans="1:49" x14ac:dyDescent="0.45">
      <c r="A51" s="117" t="s">
        <v>154</v>
      </c>
      <c r="B51" s="114"/>
      <c r="C51" s="207"/>
      <c r="D51" s="205"/>
      <c r="E51" s="205"/>
      <c r="F51" s="206"/>
      <c r="G51" s="121"/>
      <c r="H51" s="114"/>
      <c r="I51" s="207"/>
      <c r="J51" s="205"/>
      <c r="K51" s="205"/>
      <c r="L51" s="206"/>
      <c r="M51" s="121"/>
      <c r="N51" s="114"/>
      <c r="O51" s="207"/>
      <c r="P51" s="205"/>
      <c r="Q51" s="205"/>
      <c r="R51" s="206"/>
      <c r="S51" s="121"/>
      <c r="T51" s="114"/>
      <c r="U51" s="207"/>
      <c r="V51" s="205"/>
      <c r="W51" s="205"/>
      <c r="X51" s="206"/>
      <c r="Y51" s="121"/>
      <c r="Z51" s="114"/>
      <c r="AA51" s="207"/>
      <c r="AB51" s="205"/>
      <c r="AC51" s="205"/>
      <c r="AD51" s="206"/>
      <c r="AE51" s="121"/>
      <c r="AF51" s="114"/>
      <c r="AG51" s="207"/>
      <c r="AH51" s="205"/>
      <c r="AI51" s="205"/>
      <c r="AJ51" s="206"/>
      <c r="AK51" s="121"/>
      <c r="AL51" s="114"/>
      <c r="AM51" s="207"/>
      <c r="AN51" s="205"/>
      <c r="AO51" s="205"/>
      <c r="AP51" s="206"/>
      <c r="AQ51" s="121"/>
      <c r="AR51" s="114"/>
      <c r="AS51" s="207"/>
      <c r="AT51" s="205"/>
      <c r="AU51" s="205"/>
      <c r="AV51" s="206"/>
      <c r="AW51" s="121"/>
    </row>
    <row r="52" spans="1:49" x14ac:dyDescent="0.45">
      <c r="A52" s="117"/>
      <c r="B52" s="100"/>
      <c r="C52" s="86"/>
      <c r="D52" s="86"/>
      <c r="E52" s="86"/>
      <c r="F52" s="86"/>
      <c r="G52" s="102"/>
      <c r="H52" s="100"/>
      <c r="I52" s="86"/>
      <c r="J52" s="86"/>
      <c r="K52" s="86"/>
      <c r="L52" s="86"/>
      <c r="M52" s="102"/>
      <c r="N52" s="100"/>
      <c r="O52" s="86"/>
      <c r="P52" s="86"/>
      <c r="Q52" s="86"/>
      <c r="R52" s="86"/>
      <c r="S52" s="102"/>
      <c r="T52" s="100"/>
      <c r="U52" s="86"/>
      <c r="V52" s="86"/>
      <c r="W52" s="86"/>
      <c r="X52" s="86"/>
      <c r="Y52" s="102"/>
      <c r="Z52" s="100"/>
      <c r="AA52" s="86"/>
      <c r="AB52" s="86"/>
      <c r="AC52" s="86"/>
      <c r="AD52" s="86"/>
      <c r="AE52" s="102"/>
      <c r="AF52" s="100"/>
      <c r="AG52" s="86"/>
      <c r="AH52" s="86"/>
      <c r="AI52" s="86"/>
      <c r="AJ52" s="86"/>
      <c r="AK52" s="102"/>
      <c r="AL52" s="100"/>
      <c r="AM52" s="86"/>
      <c r="AN52" s="86"/>
      <c r="AO52" s="86"/>
      <c r="AP52" s="86"/>
      <c r="AQ52" s="102"/>
      <c r="AR52" s="100"/>
      <c r="AS52" s="86"/>
      <c r="AT52" s="86"/>
      <c r="AU52" s="86"/>
      <c r="AV52" s="86"/>
      <c r="AW52" s="102"/>
    </row>
    <row r="53" spans="1:49" x14ac:dyDescent="0.45">
      <c r="A53" s="117" t="s">
        <v>155</v>
      </c>
      <c r="B53" s="125"/>
      <c r="C53" s="115"/>
      <c r="D53" s="86"/>
      <c r="E53" s="86"/>
      <c r="F53" s="86"/>
      <c r="G53" s="102"/>
      <c r="H53" s="125"/>
      <c r="I53" s="115"/>
      <c r="J53" s="86"/>
      <c r="K53" s="86"/>
      <c r="L53" s="86"/>
      <c r="M53" s="102"/>
      <c r="N53" s="125"/>
      <c r="O53" s="115"/>
      <c r="P53" s="86"/>
      <c r="Q53" s="86"/>
      <c r="R53" s="86"/>
      <c r="S53" s="102"/>
      <c r="T53" s="125"/>
      <c r="U53" s="115"/>
      <c r="V53" s="86"/>
      <c r="W53" s="86"/>
      <c r="X53" s="86"/>
      <c r="Y53" s="102"/>
      <c r="Z53" s="125"/>
      <c r="AA53" s="115"/>
      <c r="AB53" s="86"/>
      <c r="AC53" s="86"/>
      <c r="AD53" s="86"/>
      <c r="AE53" s="102"/>
      <c r="AF53" s="125"/>
      <c r="AG53" s="115"/>
      <c r="AH53" s="86"/>
      <c r="AI53" s="86"/>
      <c r="AJ53" s="86"/>
      <c r="AK53" s="102"/>
      <c r="AL53" s="125"/>
      <c r="AM53" s="115"/>
      <c r="AN53" s="86"/>
      <c r="AO53" s="86"/>
      <c r="AP53" s="86"/>
      <c r="AQ53" s="102"/>
      <c r="AR53" s="125"/>
      <c r="AS53" s="115"/>
      <c r="AT53" s="86"/>
      <c r="AU53" s="86"/>
      <c r="AV53" s="86"/>
      <c r="AW53" s="102"/>
    </row>
    <row r="54" spans="1:49" x14ac:dyDescent="0.45">
      <c r="A54" s="117"/>
      <c r="B54" s="100"/>
      <c r="C54" s="86"/>
      <c r="D54" s="86"/>
      <c r="E54" s="87"/>
      <c r="F54" s="87"/>
      <c r="G54" s="102"/>
      <c r="H54" s="100"/>
      <c r="I54" s="86"/>
      <c r="J54" s="86"/>
      <c r="K54" s="87"/>
      <c r="L54" s="87"/>
      <c r="M54" s="102"/>
      <c r="N54" s="100"/>
      <c r="O54" s="86"/>
      <c r="P54" s="86"/>
      <c r="Q54" s="87"/>
      <c r="R54" s="87"/>
      <c r="S54" s="102"/>
      <c r="T54" s="100"/>
      <c r="U54" s="86"/>
      <c r="V54" s="86"/>
      <c r="W54" s="87"/>
      <c r="X54" s="87"/>
      <c r="Y54" s="102"/>
      <c r="Z54" s="100"/>
      <c r="AA54" s="86"/>
      <c r="AB54" s="86"/>
      <c r="AC54" s="87"/>
      <c r="AD54" s="87"/>
      <c r="AE54" s="102"/>
      <c r="AF54" s="100"/>
      <c r="AG54" s="86"/>
      <c r="AH54" s="86"/>
      <c r="AI54" s="87"/>
      <c r="AJ54" s="87"/>
      <c r="AK54" s="102"/>
      <c r="AL54" s="100"/>
      <c r="AM54" s="86"/>
      <c r="AN54" s="86"/>
      <c r="AO54" s="87"/>
      <c r="AP54" s="87"/>
      <c r="AQ54" s="102"/>
      <c r="AR54" s="100"/>
      <c r="AS54" s="86"/>
      <c r="AT54" s="86"/>
      <c r="AU54" s="87"/>
      <c r="AV54" s="87"/>
      <c r="AW54" s="102"/>
    </row>
    <row r="55" spans="1:49" x14ac:dyDescent="0.45">
      <c r="A55" s="117" t="s">
        <v>156</v>
      </c>
      <c r="B55" s="126"/>
      <c r="C55" s="115"/>
      <c r="D55" s="127"/>
      <c r="E55" s="128"/>
      <c r="F55" s="128"/>
      <c r="G55" s="129"/>
      <c r="H55" s="126"/>
      <c r="I55" s="115"/>
      <c r="J55" s="127"/>
      <c r="K55" s="128"/>
      <c r="L55" s="128"/>
      <c r="M55" s="129"/>
      <c r="N55" s="126"/>
      <c r="O55" s="115"/>
      <c r="P55" s="127"/>
      <c r="Q55" s="128"/>
      <c r="R55" s="128"/>
      <c r="S55" s="129"/>
      <c r="T55" s="126"/>
      <c r="U55" s="115"/>
      <c r="V55" s="127"/>
      <c r="W55" s="128"/>
      <c r="X55" s="128"/>
      <c r="Y55" s="129"/>
      <c r="Z55" s="126"/>
      <c r="AA55" s="115"/>
      <c r="AB55" s="127"/>
      <c r="AC55" s="128"/>
      <c r="AD55" s="128"/>
      <c r="AE55" s="129"/>
      <c r="AF55" s="126"/>
      <c r="AG55" s="115"/>
      <c r="AH55" s="127"/>
      <c r="AI55" s="128"/>
      <c r="AJ55" s="128"/>
      <c r="AK55" s="129"/>
      <c r="AL55" s="126"/>
      <c r="AM55" s="115"/>
      <c r="AN55" s="127"/>
      <c r="AO55" s="128"/>
      <c r="AP55" s="128"/>
      <c r="AQ55" s="129"/>
      <c r="AR55" s="126"/>
      <c r="AS55" s="115"/>
      <c r="AT55" s="127"/>
      <c r="AU55" s="128"/>
      <c r="AV55" s="128"/>
      <c r="AW55" s="129"/>
    </row>
    <row r="56" spans="1:49" ht="15" customHeight="1" x14ac:dyDescent="0.45">
      <c r="A56" s="117"/>
      <c r="B56" s="100"/>
      <c r="C56" s="86"/>
      <c r="D56" s="86"/>
      <c r="E56" s="87"/>
      <c r="F56" s="87"/>
      <c r="G56" s="130"/>
      <c r="H56" s="100"/>
      <c r="I56" s="86"/>
      <c r="J56" s="86"/>
      <c r="K56" s="87"/>
      <c r="L56" s="87"/>
      <c r="M56" s="130"/>
      <c r="N56" s="100"/>
      <c r="O56" s="86"/>
      <c r="P56" s="86"/>
      <c r="Q56" s="87"/>
      <c r="R56" s="87"/>
      <c r="S56" s="130"/>
      <c r="T56" s="100"/>
      <c r="U56" s="86"/>
      <c r="V56" s="86"/>
      <c r="W56" s="87"/>
      <c r="X56" s="87"/>
      <c r="Y56" s="130"/>
      <c r="Z56" s="100"/>
      <c r="AA56" s="86"/>
      <c r="AB56" s="86"/>
      <c r="AC56" s="87"/>
      <c r="AD56" s="87"/>
      <c r="AE56" s="130"/>
      <c r="AF56" s="100"/>
      <c r="AG56" s="86"/>
      <c r="AH56" s="86"/>
      <c r="AI56" s="87"/>
      <c r="AJ56" s="87"/>
      <c r="AK56" s="130"/>
      <c r="AL56" s="100"/>
      <c r="AM56" s="86"/>
      <c r="AN56" s="86"/>
      <c r="AO56" s="87"/>
      <c r="AP56" s="87"/>
      <c r="AQ56" s="130"/>
      <c r="AR56" s="100"/>
      <c r="AS56" s="86"/>
      <c r="AT56" s="86"/>
      <c r="AU56" s="87"/>
      <c r="AV56" s="87"/>
      <c r="AW56" s="130"/>
    </row>
    <row r="57" spans="1:49" ht="15" customHeight="1" x14ac:dyDescent="0.45">
      <c r="A57" s="117" t="s">
        <v>87</v>
      </c>
      <c r="B57" s="131"/>
      <c r="C57" s="115"/>
      <c r="D57" s="132"/>
      <c r="E57" s="133"/>
      <c r="F57" s="133"/>
      <c r="G57" s="134"/>
      <c r="H57" s="131"/>
      <c r="I57" s="115"/>
      <c r="J57" s="132"/>
      <c r="K57" s="133"/>
      <c r="L57" s="133"/>
      <c r="M57" s="134"/>
      <c r="N57" s="131"/>
      <c r="O57" s="115"/>
      <c r="P57" s="132"/>
      <c r="Q57" s="133"/>
      <c r="R57" s="133"/>
      <c r="S57" s="134"/>
      <c r="T57" s="131"/>
      <c r="U57" s="115"/>
      <c r="V57" s="132"/>
      <c r="W57" s="133"/>
      <c r="X57" s="133"/>
      <c r="Y57" s="134"/>
      <c r="Z57" s="131"/>
      <c r="AA57" s="115"/>
      <c r="AB57" s="132"/>
      <c r="AC57" s="133"/>
      <c r="AD57" s="133"/>
      <c r="AE57" s="134"/>
      <c r="AF57" s="131"/>
      <c r="AG57" s="115"/>
      <c r="AH57" s="132"/>
      <c r="AI57" s="133"/>
      <c r="AJ57" s="133"/>
      <c r="AK57" s="134"/>
      <c r="AL57" s="131"/>
      <c r="AM57" s="115"/>
      <c r="AN57" s="132"/>
      <c r="AO57" s="133"/>
      <c r="AP57" s="133"/>
      <c r="AQ57" s="134"/>
      <c r="AR57" s="131"/>
      <c r="AS57" s="115"/>
      <c r="AT57" s="132"/>
      <c r="AU57" s="133"/>
      <c r="AV57" s="133"/>
      <c r="AW57" s="134"/>
    </row>
    <row r="58" spans="1:49" ht="15" customHeight="1" x14ac:dyDescent="0.45">
      <c r="A58" s="117"/>
      <c r="B58" s="100"/>
      <c r="C58" s="86"/>
      <c r="D58" s="86"/>
      <c r="E58" s="87"/>
      <c r="F58" s="87"/>
      <c r="G58" s="130"/>
      <c r="H58" s="100"/>
      <c r="I58" s="86"/>
      <c r="J58" s="86"/>
      <c r="K58" s="87"/>
      <c r="L58" s="87"/>
      <c r="M58" s="130"/>
      <c r="N58" s="100"/>
      <c r="O58" s="86"/>
      <c r="P58" s="86"/>
      <c r="Q58" s="87"/>
      <c r="R58" s="87"/>
      <c r="S58" s="130"/>
      <c r="T58" s="100"/>
      <c r="U58" s="86"/>
      <c r="V58" s="86"/>
      <c r="W58" s="87"/>
      <c r="X58" s="87"/>
      <c r="Y58" s="130"/>
      <c r="Z58" s="100"/>
      <c r="AA58" s="86"/>
      <c r="AB58" s="86"/>
      <c r="AC58" s="87"/>
      <c r="AD58" s="87"/>
      <c r="AE58" s="130"/>
      <c r="AF58" s="100"/>
      <c r="AG58" s="86"/>
      <c r="AH58" s="86"/>
      <c r="AI58" s="87"/>
      <c r="AJ58" s="87"/>
      <c r="AK58" s="130"/>
      <c r="AL58" s="100"/>
      <c r="AM58" s="86"/>
      <c r="AN58" s="86"/>
      <c r="AO58" s="87"/>
      <c r="AP58" s="87"/>
      <c r="AQ58" s="130"/>
      <c r="AR58" s="100"/>
      <c r="AS58" s="86"/>
      <c r="AT58" s="86"/>
      <c r="AU58" s="87"/>
      <c r="AV58" s="87"/>
      <c r="AW58" s="130"/>
    </row>
    <row r="59" spans="1:49" x14ac:dyDescent="0.45">
      <c r="A59" s="117" t="s">
        <v>157</v>
      </c>
      <c r="B59" s="100"/>
      <c r="C59" s="115"/>
      <c r="D59" s="87"/>
      <c r="E59" s="87" t="s">
        <v>158</v>
      </c>
      <c r="F59" s="87"/>
      <c r="G59" s="130"/>
      <c r="H59" s="100"/>
      <c r="I59" s="115"/>
      <c r="J59" s="87"/>
      <c r="K59" s="87" t="s">
        <v>158</v>
      </c>
      <c r="L59" s="87"/>
      <c r="M59" s="130"/>
      <c r="N59" s="100"/>
      <c r="O59" s="115"/>
      <c r="P59" s="87"/>
      <c r="Q59" s="87" t="s">
        <v>158</v>
      </c>
      <c r="R59" s="87"/>
      <c r="S59" s="130"/>
      <c r="T59" s="100"/>
      <c r="U59" s="115"/>
      <c r="V59" s="87"/>
      <c r="W59" s="87" t="s">
        <v>158</v>
      </c>
      <c r="X59" s="87"/>
      <c r="Y59" s="130"/>
      <c r="Z59" s="100"/>
      <c r="AA59" s="115"/>
      <c r="AB59" s="87"/>
      <c r="AC59" s="87" t="s">
        <v>158</v>
      </c>
      <c r="AD59" s="87"/>
      <c r="AE59" s="130"/>
      <c r="AF59" s="100"/>
      <c r="AG59" s="115"/>
      <c r="AH59" s="87"/>
      <c r="AI59" s="87" t="s">
        <v>158</v>
      </c>
      <c r="AJ59" s="87"/>
      <c r="AK59" s="130"/>
      <c r="AL59" s="100"/>
      <c r="AM59" s="115"/>
      <c r="AN59" s="87"/>
      <c r="AO59" s="87" t="s">
        <v>158</v>
      </c>
      <c r="AP59" s="87"/>
      <c r="AQ59" s="130"/>
      <c r="AR59" s="100"/>
      <c r="AS59" s="115"/>
      <c r="AT59" s="87"/>
      <c r="AU59" s="87" t="s">
        <v>158</v>
      </c>
      <c r="AV59" s="87"/>
      <c r="AW59" s="130"/>
    </row>
    <row r="60" spans="1:49" x14ac:dyDescent="0.45">
      <c r="A60" s="135"/>
      <c r="B60" s="136"/>
      <c r="C60" s="95"/>
      <c r="D60" s="87"/>
      <c r="E60" s="87"/>
      <c r="F60" s="87"/>
      <c r="G60" s="137"/>
      <c r="H60" s="136"/>
      <c r="I60" s="95"/>
      <c r="J60" s="87"/>
      <c r="K60" s="87"/>
      <c r="L60" s="87"/>
      <c r="M60" s="137"/>
      <c r="N60" s="136"/>
      <c r="O60" s="95"/>
      <c r="P60" s="87"/>
      <c r="Q60" s="87"/>
      <c r="R60" s="87"/>
      <c r="S60" s="137"/>
      <c r="T60" s="136"/>
      <c r="U60" s="95"/>
      <c r="V60" s="87"/>
      <c r="W60" s="87"/>
      <c r="X60" s="87"/>
      <c r="Y60" s="137"/>
      <c r="Z60" s="136"/>
      <c r="AA60" s="95"/>
      <c r="AB60" s="87"/>
      <c r="AC60" s="87"/>
      <c r="AD60" s="87"/>
      <c r="AE60" s="137"/>
      <c r="AF60" s="136"/>
      <c r="AG60" s="95"/>
      <c r="AH60" s="87"/>
      <c r="AI60" s="87"/>
      <c r="AJ60" s="87"/>
      <c r="AK60" s="137"/>
      <c r="AL60" s="136"/>
      <c r="AM60" s="95"/>
      <c r="AN60" s="87"/>
      <c r="AO60" s="87"/>
      <c r="AP60" s="87"/>
      <c r="AQ60" s="137"/>
      <c r="AR60" s="136"/>
      <c r="AS60" s="95"/>
      <c r="AT60" s="87"/>
      <c r="AU60" s="87"/>
      <c r="AV60" s="87"/>
      <c r="AW60" s="137"/>
    </row>
    <row r="61" spans="1:49" ht="25.5" customHeight="1" x14ac:dyDescent="0.45">
      <c r="A61" s="194" t="s">
        <v>159</v>
      </c>
      <c r="B61" s="138"/>
      <c r="C61" s="195"/>
      <c r="D61" s="196"/>
      <c r="E61" s="196"/>
      <c r="F61" s="197"/>
      <c r="G61" s="139"/>
      <c r="H61" s="138"/>
      <c r="I61" s="195" t="s">
        <v>467</v>
      </c>
      <c r="J61" s="196"/>
      <c r="K61" s="196"/>
      <c r="L61" s="197"/>
      <c r="M61" s="139"/>
      <c r="N61" s="138"/>
      <c r="O61" s="195" t="s">
        <v>467</v>
      </c>
      <c r="P61" s="196"/>
      <c r="Q61" s="196"/>
      <c r="R61" s="197"/>
      <c r="S61" s="139"/>
      <c r="T61" s="138"/>
      <c r="U61" s="195" t="s">
        <v>467</v>
      </c>
      <c r="V61" s="196"/>
      <c r="W61" s="196"/>
      <c r="X61" s="197"/>
      <c r="Y61" s="139"/>
      <c r="Z61" s="138"/>
      <c r="AA61" s="195"/>
      <c r="AB61" s="196"/>
      <c r="AC61" s="196"/>
      <c r="AD61" s="197"/>
      <c r="AE61" s="139"/>
      <c r="AF61" s="138"/>
      <c r="AG61" s="195"/>
      <c r="AH61" s="196"/>
      <c r="AI61" s="196"/>
      <c r="AJ61" s="197"/>
      <c r="AK61" s="139"/>
      <c r="AL61" s="138"/>
      <c r="AM61" s="195"/>
      <c r="AN61" s="196"/>
      <c r="AO61" s="196"/>
      <c r="AP61" s="197"/>
      <c r="AQ61" s="139"/>
      <c r="AR61" s="138"/>
      <c r="AS61" s="195"/>
      <c r="AT61" s="196"/>
      <c r="AU61" s="196"/>
      <c r="AV61" s="197"/>
      <c r="AW61" s="139"/>
    </row>
    <row r="62" spans="1:49" x14ac:dyDescent="0.45">
      <c r="A62" s="194"/>
      <c r="B62" s="136"/>
      <c r="C62" s="198"/>
      <c r="D62" s="199"/>
      <c r="E62" s="199"/>
      <c r="F62" s="200"/>
      <c r="G62" s="137"/>
      <c r="H62" s="136"/>
      <c r="I62" s="198"/>
      <c r="J62" s="199"/>
      <c r="K62" s="199"/>
      <c r="L62" s="200"/>
      <c r="M62" s="137"/>
      <c r="N62" s="136"/>
      <c r="O62" s="198"/>
      <c r="P62" s="199"/>
      <c r="Q62" s="199"/>
      <c r="R62" s="200"/>
      <c r="S62" s="137"/>
      <c r="T62" s="136"/>
      <c r="U62" s="198"/>
      <c r="V62" s="199"/>
      <c r="W62" s="199"/>
      <c r="X62" s="200"/>
      <c r="Y62" s="137"/>
      <c r="Z62" s="136"/>
      <c r="AA62" s="198"/>
      <c r="AB62" s="199"/>
      <c r="AC62" s="199"/>
      <c r="AD62" s="200"/>
      <c r="AE62" s="137"/>
      <c r="AF62" s="136"/>
      <c r="AG62" s="198"/>
      <c r="AH62" s="199"/>
      <c r="AI62" s="199"/>
      <c r="AJ62" s="200"/>
      <c r="AK62" s="137"/>
      <c r="AL62" s="136"/>
      <c r="AM62" s="198"/>
      <c r="AN62" s="199"/>
      <c r="AO62" s="199"/>
      <c r="AP62" s="200"/>
      <c r="AQ62" s="137"/>
      <c r="AR62" s="136"/>
      <c r="AS62" s="198"/>
      <c r="AT62" s="199"/>
      <c r="AU62" s="199"/>
      <c r="AV62" s="200"/>
      <c r="AW62" s="137"/>
    </row>
    <row r="63" spans="1:49" x14ac:dyDescent="0.45">
      <c r="A63" s="194"/>
      <c r="B63" s="136"/>
      <c r="C63" s="198"/>
      <c r="D63" s="199"/>
      <c r="E63" s="199"/>
      <c r="F63" s="200"/>
      <c r="G63" s="137"/>
      <c r="H63" s="136"/>
      <c r="I63" s="198"/>
      <c r="J63" s="199"/>
      <c r="K63" s="199"/>
      <c r="L63" s="200"/>
      <c r="M63" s="137"/>
      <c r="N63" s="136"/>
      <c r="O63" s="198"/>
      <c r="P63" s="199"/>
      <c r="Q63" s="199"/>
      <c r="R63" s="200"/>
      <c r="S63" s="137"/>
      <c r="T63" s="136"/>
      <c r="U63" s="198"/>
      <c r="V63" s="199"/>
      <c r="W63" s="199"/>
      <c r="X63" s="200"/>
      <c r="Y63" s="137"/>
      <c r="Z63" s="136"/>
      <c r="AA63" s="198"/>
      <c r="AB63" s="199"/>
      <c r="AC63" s="199"/>
      <c r="AD63" s="200"/>
      <c r="AE63" s="137"/>
      <c r="AF63" s="136"/>
      <c r="AG63" s="198"/>
      <c r="AH63" s="199"/>
      <c r="AI63" s="199"/>
      <c r="AJ63" s="200"/>
      <c r="AK63" s="137"/>
      <c r="AL63" s="136"/>
      <c r="AM63" s="198"/>
      <c r="AN63" s="199"/>
      <c r="AO63" s="199"/>
      <c r="AP63" s="200"/>
      <c r="AQ63" s="137"/>
      <c r="AR63" s="136"/>
      <c r="AS63" s="198"/>
      <c r="AT63" s="199"/>
      <c r="AU63" s="199"/>
      <c r="AV63" s="200"/>
      <c r="AW63" s="137"/>
    </row>
    <row r="64" spans="1:49" x14ac:dyDescent="0.45">
      <c r="A64" s="194"/>
      <c r="B64" s="136"/>
      <c r="C64" s="201"/>
      <c r="D64" s="202"/>
      <c r="E64" s="202"/>
      <c r="F64" s="203"/>
      <c r="G64" s="137"/>
      <c r="H64" s="136"/>
      <c r="I64" s="201"/>
      <c r="J64" s="202"/>
      <c r="K64" s="202"/>
      <c r="L64" s="203"/>
      <c r="M64" s="137"/>
      <c r="N64" s="136"/>
      <c r="O64" s="201"/>
      <c r="P64" s="202"/>
      <c r="Q64" s="202"/>
      <c r="R64" s="203"/>
      <c r="S64" s="137"/>
      <c r="T64" s="136"/>
      <c r="U64" s="201"/>
      <c r="V64" s="202"/>
      <c r="W64" s="202"/>
      <c r="X64" s="203"/>
      <c r="Y64" s="137"/>
      <c r="Z64" s="136"/>
      <c r="AA64" s="201"/>
      <c r="AB64" s="202"/>
      <c r="AC64" s="202"/>
      <c r="AD64" s="203"/>
      <c r="AE64" s="137"/>
      <c r="AF64" s="136"/>
      <c r="AG64" s="201"/>
      <c r="AH64" s="202"/>
      <c r="AI64" s="202"/>
      <c r="AJ64" s="203"/>
      <c r="AK64" s="137"/>
      <c r="AL64" s="136"/>
      <c r="AM64" s="201"/>
      <c r="AN64" s="202"/>
      <c r="AO64" s="202"/>
      <c r="AP64" s="203"/>
      <c r="AQ64" s="137"/>
      <c r="AR64" s="136"/>
      <c r="AS64" s="201"/>
      <c r="AT64" s="202"/>
      <c r="AU64" s="202"/>
      <c r="AV64" s="203"/>
      <c r="AW64" s="137"/>
    </row>
    <row r="65" spans="1:49" x14ac:dyDescent="0.45">
      <c r="A65" s="140"/>
      <c r="B65" s="141"/>
      <c r="C65" s="142"/>
      <c r="D65" s="142"/>
      <c r="E65" s="142"/>
      <c r="F65" s="142"/>
      <c r="G65" s="143"/>
      <c r="H65" s="141"/>
      <c r="I65" s="142"/>
      <c r="J65" s="142"/>
      <c r="K65" s="142"/>
      <c r="L65" s="142"/>
      <c r="M65" s="143"/>
      <c r="N65" s="141"/>
      <c r="O65" s="142"/>
      <c r="P65" s="142"/>
      <c r="Q65" s="142"/>
      <c r="R65" s="142"/>
      <c r="S65" s="143"/>
      <c r="T65" s="141"/>
      <c r="U65" s="142"/>
      <c r="V65" s="142"/>
      <c r="W65" s="142"/>
      <c r="X65" s="142"/>
      <c r="Y65" s="143"/>
      <c r="Z65" s="141"/>
      <c r="AA65" s="142"/>
      <c r="AB65" s="142"/>
      <c r="AC65" s="142"/>
      <c r="AD65" s="142"/>
      <c r="AE65" s="143"/>
      <c r="AF65" s="141"/>
      <c r="AG65" s="142"/>
      <c r="AH65" s="142"/>
      <c r="AI65" s="142"/>
      <c r="AJ65" s="142"/>
      <c r="AK65" s="143"/>
      <c r="AL65" s="141"/>
      <c r="AM65" s="142"/>
      <c r="AN65" s="142"/>
      <c r="AO65" s="142"/>
      <c r="AP65" s="142"/>
      <c r="AQ65" s="143"/>
      <c r="AR65" s="141"/>
      <c r="AS65" s="142"/>
      <c r="AT65" s="142"/>
      <c r="AU65" s="142"/>
      <c r="AV65" s="142"/>
      <c r="AW65" s="143"/>
    </row>
    <row r="68" spans="1:49" x14ac:dyDescent="0.45">
      <c r="C68" s="85">
        <v>1</v>
      </c>
      <c r="I68" s="85">
        <v>2</v>
      </c>
      <c r="O68" s="85">
        <v>3</v>
      </c>
      <c r="U68" s="85">
        <v>4</v>
      </c>
      <c r="AA68" s="85">
        <v>5</v>
      </c>
      <c r="AG68" s="85">
        <v>6</v>
      </c>
      <c r="AM68" s="85">
        <v>7</v>
      </c>
      <c r="AS68" s="85">
        <v>8</v>
      </c>
    </row>
  </sheetData>
  <sheetProtection algorithmName="SHA-512" hashValue="iaqVueqKPrIyMyN++N/g5hyND2//7HEMKGPNgt7UioRtATSd/lNribcV2Xq6gYPBWyqSTRgUlE4QNxxLI5BnvQ==" saltValue="mH3vAB3mSvcTsXo8v0Mc6Q==" spinCount="100000" formatCells="0" formatColumns="0"/>
  <mergeCells count="120">
    <mergeCell ref="B11:F11"/>
    <mergeCell ref="K11:Q11"/>
    <mergeCell ref="D14:F14"/>
    <mergeCell ref="J14:L14"/>
    <mergeCell ref="P14:R14"/>
    <mergeCell ref="V14:X14"/>
    <mergeCell ref="A1:AW1"/>
    <mergeCell ref="B5:F5"/>
    <mergeCell ref="B7:F7"/>
    <mergeCell ref="K7:Q7"/>
    <mergeCell ref="B9:F9"/>
    <mergeCell ref="K9:Q9"/>
    <mergeCell ref="AB14:AD14"/>
    <mergeCell ref="AH14:AJ14"/>
    <mergeCell ref="AN14:AP14"/>
    <mergeCell ref="AT14:AV14"/>
    <mergeCell ref="D18:F18"/>
    <mergeCell ref="J18:L18"/>
    <mergeCell ref="P18:R18"/>
    <mergeCell ref="V18:X18"/>
    <mergeCell ref="AB18:AD18"/>
    <mergeCell ref="AH18:AJ18"/>
    <mergeCell ref="AN18:AP18"/>
    <mergeCell ref="AT18:AV18"/>
    <mergeCell ref="E20:F20"/>
    <mergeCell ref="K20:L20"/>
    <mergeCell ref="Q20:R20"/>
    <mergeCell ref="W20:X20"/>
    <mergeCell ref="AC20:AD20"/>
    <mergeCell ref="AI20:AJ20"/>
    <mergeCell ref="AO20:AP20"/>
    <mergeCell ref="AU20:AV20"/>
    <mergeCell ref="AO21:AP21"/>
    <mergeCell ref="AU21:AV21"/>
    <mergeCell ref="A24:A26"/>
    <mergeCell ref="E24:F26"/>
    <mergeCell ref="K24:L26"/>
    <mergeCell ref="Q24:R26"/>
    <mergeCell ref="W24:X26"/>
    <mergeCell ref="AC24:AD26"/>
    <mergeCell ref="AI24:AJ26"/>
    <mergeCell ref="AO24:AP26"/>
    <mergeCell ref="E21:F21"/>
    <mergeCell ref="K21:L21"/>
    <mergeCell ref="Q21:R21"/>
    <mergeCell ref="W21:X21"/>
    <mergeCell ref="AC21:AD21"/>
    <mergeCell ref="AI21:AJ21"/>
    <mergeCell ref="AU24:AV26"/>
    <mergeCell ref="A28:A30"/>
    <mergeCell ref="E28:F30"/>
    <mergeCell ref="K28:L30"/>
    <mergeCell ref="Q28:R30"/>
    <mergeCell ref="W28:X30"/>
    <mergeCell ref="AC28:AD30"/>
    <mergeCell ref="AI28:AJ30"/>
    <mergeCell ref="AO28:AP30"/>
    <mergeCell ref="AU28:AV30"/>
    <mergeCell ref="AU32:AV34"/>
    <mergeCell ref="A36:A38"/>
    <mergeCell ref="E36:F38"/>
    <mergeCell ref="K36:L38"/>
    <mergeCell ref="Q36:R38"/>
    <mergeCell ref="W36:X38"/>
    <mergeCell ref="AC36:AD38"/>
    <mergeCell ref="AI36:AJ38"/>
    <mergeCell ref="A32:A34"/>
    <mergeCell ref="E32:F34"/>
    <mergeCell ref="K32:L34"/>
    <mergeCell ref="Q32:R34"/>
    <mergeCell ref="W32:X34"/>
    <mergeCell ref="AC32:AD34"/>
    <mergeCell ref="AO36:AP38"/>
    <mergeCell ref="AU36:AV38"/>
    <mergeCell ref="A48:A49"/>
    <mergeCell ref="C49:F49"/>
    <mergeCell ref="I49:L49"/>
    <mergeCell ref="O49:R49"/>
    <mergeCell ref="U49:X49"/>
    <mergeCell ref="AA49:AD49"/>
    <mergeCell ref="AG49:AJ49"/>
    <mergeCell ref="AM49:AP49"/>
    <mergeCell ref="AI32:AJ34"/>
    <mergeCell ref="AO32:AP34"/>
    <mergeCell ref="AU40:AV42"/>
    <mergeCell ref="A44:A46"/>
    <mergeCell ref="E44:F46"/>
    <mergeCell ref="K44:L46"/>
    <mergeCell ref="Q44:R46"/>
    <mergeCell ref="W44:X46"/>
    <mergeCell ref="AC44:AD46"/>
    <mergeCell ref="AI44:AJ46"/>
    <mergeCell ref="AO44:AP46"/>
    <mergeCell ref="AU44:AV46"/>
    <mergeCell ref="A40:A42"/>
    <mergeCell ref="E40:F42"/>
    <mergeCell ref="K40:L42"/>
    <mergeCell ref="Q40:R42"/>
    <mergeCell ref="W40:X42"/>
    <mergeCell ref="AC40:AD42"/>
    <mergeCell ref="AI40:AJ42"/>
    <mergeCell ref="AO40:AP42"/>
    <mergeCell ref="AS49:AV49"/>
    <mergeCell ref="C51:F51"/>
    <mergeCell ref="I51:L51"/>
    <mergeCell ref="O51:R51"/>
    <mergeCell ref="U51:X51"/>
    <mergeCell ref="AA51:AD51"/>
    <mergeCell ref="AG51:AJ51"/>
    <mergeCell ref="AM51:AP51"/>
    <mergeCell ref="AS51:AV51"/>
    <mergeCell ref="A61:A64"/>
    <mergeCell ref="C61:F64"/>
    <mergeCell ref="I61:L64"/>
    <mergeCell ref="O61:R64"/>
    <mergeCell ref="U61:X64"/>
    <mergeCell ref="AA61:AD64"/>
    <mergeCell ref="AG61:AJ64"/>
    <mergeCell ref="AM61:AP64"/>
    <mergeCell ref="AS61:AV64"/>
  </mergeCells>
  <dataValidations count="1">
    <dataValidation type="list" allowBlank="1" showInputMessage="1" showErrorMessage="1" sqref="E21 AO21 K21 Q21 W21 AC21 AI21 AU21" xr:uid="{2CA98CA2-336C-400A-9576-912D0A70FC7E}">
      <formula1>"Premium,Rate"</formula1>
    </dataValidation>
  </dataValidations>
  <pageMargins left="0.25" right="0.25" top="0.75" bottom="0.75" header="0.3" footer="0.3"/>
  <pageSetup paperSize="9" scale="28"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3080" r:id="rId4" name="Check Box 8">
              <controlPr locked="0" defaultSize="0" autoFill="0" autoLine="0" autoPict="0">
                <anchor moveWithCells="1">
                  <from>
                    <xdr:col>46</xdr:col>
                    <xdr:colOff>438150</xdr:colOff>
                    <xdr:row>58</xdr:row>
                    <xdr:rowOff>19050</xdr:rowOff>
                  </from>
                  <to>
                    <xdr:col>47</xdr:col>
                    <xdr:colOff>538163</xdr:colOff>
                    <xdr:row>59</xdr:row>
                    <xdr:rowOff>171450</xdr:rowOff>
                  </to>
                </anchor>
              </controlPr>
            </control>
          </mc:Choice>
        </mc:AlternateContent>
        <mc:AlternateContent xmlns:mc="http://schemas.openxmlformats.org/markup-compatibility/2006">
          <mc:Choice Requires="x14">
            <control shapeId="3089" r:id="rId5" name="Check Box 17">
              <controlPr locked="0" defaultSize="0" autoFill="0" autoLine="0" autoPict="0">
                <anchor moveWithCells="1">
                  <from>
                    <xdr:col>46</xdr:col>
                    <xdr:colOff>319088</xdr:colOff>
                    <xdr:row>58</xdr:row>
                    <xdr:rowOff>19050</xdr:rowOff>
                  </from>
                  <to>
                    <xdr:col>47</xdr:col>
                    <xdr:colOff>304800</xdr:colOff>
                    <xdr:row>60</xdr:row>
                    <xdr:rowOff>57150</xdr:rowOff>
                  </to>
                </anchor>
              </controlPr>
            </control>
          </mc:Choice>
        </mc:AlternateContent>
        <mc:AlternateContent xmlns:mc="http://schemas.openxmlformats.org/markup-compatibility/2006">
          <mc:Choice Requires="x14">
            <control shapeId="3073" r:id="rId6" name="Check Box 1">
              <controlPr locked="0" defaultSize="0" autoFill="0" autoLine="0" autoPict="0">
                <anchor moveWithCells="1">
                  <from>
                    <xdr:col>4</xdr:col>
                    <xdr:colOff>319088</xdr:colOff>
                    <xdr:row>58</xdr:row>
                    <xdr:rowOff>19050</xdr:rowOff>
                  </from>
                  <to>
                    <xdr:col>5</xdr:col>
                    <xdr:colOff>304800</xdr:colOff>
                    <xdr:row>60</xdr:row>
                    <xdr:rowOff>57150</xdr:rowOff>
                  </to>
                </anchor>
              </controlPr>
            </control>
          </mc:Choice>
        </mc:AlternateContent>
        <mc:AlternateContent xmlns:mc="http://schemas.openxmlformats.org/markup-compatibility/2006">
          <mc:Choice Requires="x14">
            <control shapeId="3074" r:id="rId7" name="Check Box 2">
              <controlPr locked="0" defaultSize="0" autoFill="0" autoLine="0" autoPict="0">
                <anchor moveWithCells="1">
                  <from>
                    <xdr:col>11</xdr:col>
                    <xdr:colOff>33338</xdr:colOff>
                    <xdr:row>58</xdr:row>
                    <xdr:rowOff>19050</xdr:rowOff>
                  </from>
                  <to>
                    <xdr:col>11</xdr:col>
                    <xdr:colOff>566738</xdr:colOff>
                    <xdr:row>59</xdr:row>
                    <xdr:rowOff>166688</xdr:rowOff>
                  </to>
                </anchor>
              </controlPr>
            </control>
          </mc:Choice>
        </mc:AlternateContent>
        <mc:AlternateContent xmlns:mc="http://schemas.openxmlformats.org/markup-compatibility/2006">
          <mc:Choice Requires="x14">
            <control shapeId="3083" r:id="rId8" name="Check Box 11">
              <controlPr locked="0" defaultSize="0" autoFill="0" autoLine="0" autoPict="0">
                <anchor moveWithCells="1">
                  <from>
                    <xdr:col>10</xdr:col>
                    <xdr:colOff>319088</xdr:colOff>
                    <xdr:row>58</xdr:row>
                    <xdr:rowOff>19050</xdr:rowOff>
                  </from>
                  <to>
                    <xdr:col>11</xdr:col>
                    <xdr:colOff>304800</xdr:colOff>
                    <xdr:row>60</xdr:row>
                    <xdr:rowOff>57150</xdr:rowOff>
                  </to>
                </anchor>
              </controlPr>
            </control>
          </mc:Choice>
        </mc:AlternateContent>
        <mc:AlternateContent xmlns:mc="http://schemas.openxmlformats.org/markup-compatibility/2006">
          <mc:Choice Requires="x14">
            <control shapeId="3075" r:id="rId9" name="Check Box 3">
              <controlPr locked="0" defaultSize="0" autoFill="0" autoLine="0" autoPict="0">
                <anchor moveWithCells="1">
                  <from>
                    <xdr:col>17</xdr:col>
                    <xdr:colOff>14288</xdr:colOff>
                    <xdr:row>58</xdr:row>
                    <xdr:rowOff>19050</xdr:rowOff>
                  </from>
                  <to>
                    <xdr:col>17</xdr:col>
                    <xdr:colOff>609600</xdr:colOff>
                    <xdr:row>59</xdr:row>
                    <xdr:rowOff>166688</xdr:rowOff>
                  </to>
                </anchor>
              </controlPr>
            </control>
          </mc:Choice>
        </mc:AlternateContent>
        <mc:AlternateContent xmlns:mc="http://schemas.openxmlformats.org/markup-compatibility/2006">
          <mc:Choice Requires="x14">
            <control shapeId="3084" r:id="rId10" name="Check Box 12">
              <controlPr locked="0" defaultSize="0" autoFill="0" autoLine="0" autoPict="0">
                <anchor moveWithCells="1">
                  <from>
                    <xdr:col>16</xdr:col>
                    <xdr:colOff>319088</xdr:colOff>
                    <xdr:row>58</xdr:row>
                    <xdr:rowOff>19050</xdr:rowOff>
                  </from>
                  <to>
                    <xdr:col>17</xdr:col>
                    <xdr:colOff>304800</xdr:colOff>
                    <xdr:row>60</xdr:row>
                    <xdr:rowOff>57150</xdr:rowOff>
                  </to>
                </anchor>
              </controlPr>
            </control>
          </mc:Choice>
        </mc:AlternateContent>
        <mc:AlternateContent xmlns:mc="http://schemas.openxmlformats.org/markup-compatibility/2006">
          <mc:Choice Requires="x14">
            <control shapeId="3076" r:id="rId11" name="Check Box 4">
              <controlPr locked="0" defaultSize="0" autoFill="0" autoLine="0" autoPict="0">
                <anchor moveWithCells="1">
                  <from>
                    <xdr:col>22</xdr:col>
                    <xdr:colOff>533400</xdr:colOff>
                    <xdr:row>58</xdr:row>
                    <xdr:rowOff>19050</xdr:rowOff>
                  </from>
                  <to>
                    <xdr:col>23</xdr:col>
                    <xdr:colOff>557213</xdr:colOff>
                    <xdr:row>59</xdr:row>
                    <xdr:rowOff>166688</xdr:rowOff>
                  </to>
                </anchor>
              </controlPr>
            </control>
          </mc:Choice>
        </mc:AlternateContent>
        <mc:AlternateContent xmlns:mc="http://schemas.openxmlformats.org/markup-compatibility/2006">
          <mc:Choice Requires="x14">
            <control shapeId="3085" r:id="rId12" name="Check Box 13">
              <controlPr locked="0" defaultSize="0" autoFill="0" autoLine="0" autoPict="0">
                <anchor moveWithCells="1">
                  <from>
                    <xdr:col>22</xdr:col>
                    <xdr:colOff>319088</xdr:colOff>
                    <xdr:row>58</xdr:row>
                    <xdr:rowOff>19050</xdr:rowOff>
                  </from>
                  <to>
                    <xdr:col>23</xdr:col>
                    <xdr:colOff>304800</xdr:colOff>
                    <xdr:row>60</xdr:row>
                    <xdr:rowOff>57150</xdr:rowOff>
                  </to>
                </anchor>
              </controlPr>
            </control>
          </mc:Choice>
        </mc:AlternateContent>
        <mc:AlternateContent xmlns:mc="http://schemas.openxmlformats.org/markup-compatibility/2006">
          <mc:Choice Requires="x14">
            <control shapeId="3077" r:id="rId13" name="Check Box 5">
              <controlPr locked="0" defaultSize="0" autoFill="0" autoLine="0" autoPict="0">
                <anchor moveWithCells="1">
                  <from>
                    <xdr:col>28</xdr:col>
                    <xdr:colOff>457200</xdr:colOff>
                    <xdr:row>58</xdr:row>
                    <xdr:rowOff>19050</xdr:rowOff>
                  </from>
                  <to>
                    <xdr:col>29</xdr:col>
                    <xdr:colOff>261938</xdr:colOff>
                    <xdr:row>60</xdr:row>
                    <xdr:rowOff>57150</xdr:rowOff>
                  </to>
                </anchor>
              </controlPr>
            </control>
          </mc:Choice>
        </mc:AlternateContent>
        <mc:AlternateContent xmlns:mc="http://schemas.openxmlformats.org/markup-compatibility/2006">
          <mc:Choice Requires="x14">
            <control shapeId="3086" r:id="rId14" name="Check Box 14">
              <controlPr locked="0" defaultSize="0" autoFill="0" autoLine="0" autoPict="0">
                <anchor moveWithCells="1">
                  <from>
                    <xdr:col>28</xdr:col>
                    <xdr:colOff>319088</xdr:colOff>
                    <xdr:row>58</xdr:row>
                    <xdr:rowOff>19050</xdr:rowOff>
                  </from>
                  <to>
                    <xdr:col>29</xdr:col>
                    <xdr:colOff>304800</xdr:colOff>
                    <xdr:row>60</xdr:row>
                    <xdr:rowOff>57150</xdr:rowOff>
                  </to>
                </anchor>
              </controlPr>
            </control>
          </mc:Choice>
        </mc:AlternateContent>
        <mc:AlternateContent xmlns:mc="http://schemas.openxmlformats.org/markup-compatibility/2006">
          <mc:Choice Requires="x14">
            <control shapeId="3078" r:id="rId15" name="Check Box 6">
              <controlPr locked="0" defaultSize="0" autoFill="0" autoLine="0" autoPict="0">
                <anchor moveWithCells="1">
                  <from>
                    <xdr:col>34</xdr:col>
                    <xdr:colOff>547688</xdr:colOff>
                    <xdr:row>58</xdr:row>
                    <xdr:rowOff>19050</xdr:rowOff>
                  </from>
                  <to>
                    <xdr:col>35</xdr:col>
                    <xdr:colOff>481013</xdr:colOff>
                    <xdr:row>59</xdr:row>
                    <xdr:rowOff>166688</xdr:rowOff>
                  </to>
                </anchor>
              </controlPr>
            </control>
          </mc:Choice>
        </mc:AlternateContent>
        <mc:AlternateContent xmlns:mc="http://schemas.openxmlformats.org/markup-compatibility/2006">
          <mc:Choice Requires="x14">
            <control shapeId="3087" r:id="rId16" name="Check Box 15">
              <controlPr locked="0" defaultSize="0" autoFill="0" autoLine="0" autoPict="0">
                <anchor moveWithCells="1">
                  <from>
                    <xdr:col>34</xdr:col>
                    <xdr:colOff>319088</xdr:colOff>
                    <xdr:row>58</xdr:row>
                    <xdr:rowOff>19050</xdr:rowOff>
                  </from>
                  <to>
                    <xdr:col>35</xdr:col>
                    <xdr:colOff>304800</xdr:colOff>
                    <xdr:row>60</xdr:row>
                    <xdr:rowOff>57150</xdr:rowOff>
                  </to>
                </anchor>
              </controlPr>
            </control>
          </mc:Choice>
        </mc:AlternateContent>
        <mc:AlternateContent xmlns:mc="http://schemas.openxmlformats.org/markup-compatibility/2006">
          <mc:Choice Requires="x14">
            <control shapeId="3079" r:id="rId17" name="Check Box 7">
              <controlPr locked="0" defaultSize="0" autoFill="0" autoLine="0" autoPict="0">
                <anchor moveWithCells="1">
                  <from>
                    <xdr:col>40</xdr:col>
                    <xdr:colOff>514350</xdr:colOff>
                    <xdr:row>58</xdr:row>
                    <xdr:rowOff>19050</xdr:rowOff>
                  </from>
                  <to>
                    <xdr:col>41</xdr:col>
                    <xdr:colOff>552450</xdr:colOff>
                    <xdr:row>59</xdr:row>
                    <xdr:rowOff>166688</xdr:rowOff>
                  </to>
                </anchor>
              </controlPr>
            </control>
          </mc:Choice>
        </mc:AlternateContent>
        <mc:AlternateContent xmlns:mc="http://schemas.openxmlformats.org/markup-compatibility/2006">
          <mc:Choice Requires="x14">
            <control shapeId="3088" r:id="rId18" name="Check Box 16">
              <controlPr locked="0" defaultSize="0" autoFill="0" autoLine="0" autoPict="0">
                <anchor moveWithCells="1">
                  <from>
                    <xdr:col>40</xdr:col>
                    <xdr:colOff>319088</xdr:colOff>
                    <xdr:row>58</xdr:row>
                    <xdr:rowOff>19050</xdr:rowOff>
                  </from>
                  <to>
                    <xdr:col>41</xdr:col>
                    <xdr:colOff>304800</xdr:colOff>
                    <xdr:row>60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D20F5-A9F5-48FE-8B3B-D3A387E37DF0}">
  <sheetPr codeName="Rationale">
    <tabColor rgb="FF00B0F0"/>
    <pageSetUpPr fitToPage="1"/>
  </sheetPr>
  <dimension ref="A1:M65"/>
  <sheetViews>
    <sheetView workbookViewId="0">
      <selection activeCell="B7" sqref="B7:L10"/>
    </sheetView>
  </sheetViews>
  <sheetFormatPr defaultColWidth="0" defaultRowHeight="15" customHeight="1" zeroHeight="1" x14ac:dyDescent="0.45"/>
  <cols>
    <col min="1" max="13" width="8" customWidth="1"/>
    <col min="14" max="16384" width="8" hidden="1"/>
  </cols>
  <sheetData>
    <row r="1" spans="1:13" ht="14.25" x14ac:dyDescent="0.45">
      <c r="A1" s="184" t="s">
        <v>160</v>
      </c>
      <c r="B1" s="184"/>
      <c r="C1" s="184"/>
      <c r="D1" s="184"/>
      <c r="E1" s="184"/>
      <c r="F1" s="184"/>
      <c r="G1" s="184"/>
      <c r="H1" s="184"/>
      <c r="I1" s="184"/>
      <c r="J1" s="184"/>
      <c r="K1" s="184"/>
      <c r="L1" s="184"/>
      <c r="M1" s="184"/>
    </row>
    <row r="2" spans="1:13" ht="14.25" x14ac:dyDescent="0.45">
      <c r="A2" s="252"/>
      <c r="B2" s="252"/>
      <c r="C2" s="252"/>
      <c r="D2" s="252"/>
      <c r="E2" s="252"/>
      <c r="F2" s="252"/>
      <c r="G2" s="252"/>
      <c r="H2" s="252"/>
      <c r="I2" s="252"/>
      <c r="J2" s="252"/>
      <c r="K2" s="252"/>
      <c r="L2" s="252"/>
      <c r="M2" s="252"/>
    </row>
    <row r="3" spans="1:13" s="1" customFormat="1" ht="9.75" x14ac:dyDescent="0.25"/>
    <row r="4" spans="1:13" s="1" customFormat="1" ht="14.25" x14ac:dyDescent="0.45">
      <c r="B4" s="144" t="s">
        <v>161</v>
      </c>
      <c r="D4" s="253">
        <f>'Rate Change'!B5</f>
        <v>0</v>
      </c>
      <c r="E4" s="254"/>
      <c r="F4" s="254"/>
      <c r="G4" s="255"/>
    </row>
    <row r="5" spans="1:13" s="1" customFormat="1" ht="9.75" x14ac:dyDescent="0.25"/>
    <row r="6" spans="1:13" s="1" customFormat="1" ht="14.25" x14ac:dyDescent="0.45">
      <c r="B6" s="2" t="s">
        <v>162</v>
      </c>
      <c r="C6" s="145"/>
      <c r="D6" s="145"/>
      <c r="E6" s="145"/>
      <c r="F6" s="145"/>
      <c r="G6" s="145"/>
      <c r="H6" s="145"/>
      <c r="I6" s="145"/>
      <c r="J6" s="145"/>
      <c r="K6" s="145"/>
      <c r="L6" s="145"/>
    </row>
    <row r="7" spans="1:13" s="1" customFormat="1" ht="9.75" x14ac:dyDescent="0.25">
      <c r="A7" s="146"/>
      <c r="B7" s="243"/>
      <c r="C7" s="244"/>
      <c r="D7" s="244"/>
      <c r="E7" s="244"/>
      <c r="F7" s="244"/>
      <c r="G7" s="244"/>
      <c r="H7" s="244"/>
      <c r="I7" s="244"/>
      <c r="J7" s="244"/>
      <c r="K7" s="244"/>
      <c r="L7" s="245"/>
    </row>
    <row r="8" spans="1:13" s="1" customFormat="1" ht="9.75" x14ac:dyDescent="0.25">
      <c r="A8" s="146"/>
      <c r="B8" s="246"/>
      <c r="C8" s="247"/>
      <c r="D8" s="247"/>
      <c r="E8" s="247"/>
      <c r="F8" s="247"/>
      <c r="G8" s="247"/>
      <c r="H8" s="247"/>
      <c r="I8" s="247"/>
      <c r="J8" s="247"/>
      <c r="K8" s="247"/>
      <c r="L8" s="248"/>
    </row>
    <row r="9" spans="1:13" s="1" customFormat="1" ht="9.75" x14ac:dyDescent="0.25">
      <c r="A9" s="146"/>
      <c r="B9" s="246"/>
      <c r="C9" s="247"/>
      <c r="D9" s="247"/>
      <c r="E9" s="247"/>
      <c r="F9" s="247"/>
      <c r="G9" s="247"/>
      <c r="H9" s="247"/>
      <c r="I9" s="247"/>
      <c r="J9" s="247"/>
      <c r="K9" s="247"/>
      <c r="L9" s="248"/>
    </row>
    <row r="10" spans="1:13" s="1" customFormat="1" ht="9.75" x14ac:dyDescent="0.25">
      <c r="A10" s="146"/>
      <c r="B10" s="249"/>
      <c r="C10" s="250"/>
      <c r="D10" s="250"/>
      <c r="E10" s="250"/>
      <c r="F10" s="250"/>
      <c r="G10" s="250"/>
      <c r="H10" s="250"/>
      <c r="I10" s="250"/>
      <c r="J10" s="250"/>
      <c r="K10" s="250"/>
      <c r="L10" s="251"/>
    </row>
    <row r="11" spans="1:13" s="1" customFormat="1" ht="9.75" x14ac:dyDescent="0.25"/>
    <row r="12" spans="1:13" s="1" customFormat="1" ht="4.5" customHeight="1" x14ac:dyDescent="0.25"/>
    <row r="13" spans="1:13" s="1" customFormat="1" ht="14.25" x14ac:dyDescent="0.45">
      <c r="B13" s="2" t="s">
        <v>163</v>
      </c>
    </row>
    <row r="14" spans="1:13" s="1" customFormat="1" ht="9.75" x14ac:dyDescent="0.25">
      <c r="A14" s="146"/>
      <c r="B14" s="243"/>
      <c r="C14" s="244"/>
      <c r="D14" s="244"/>
      <c r="E14" s="244"/>
      <c r="F14" s="244"/>
      <c r="G14" s="244"/>
      <c r="H14" s="244"/>
      <c r="I14" s="244"/>
      <c r="J14" s="244"/>
      <c r="K14" s="244"/>
      <c r="L14" s="245"/>
    </row>
    <row r="15" spans="1:13" s="1" customFormat="1" ht="9.75" x14ac:dyDescent="0.25">
      <c r="A15" s="146"/>
      <c r="B15" s="246"/>
      <c r="C15" s="247"/>
      <c r="D15" s="247"/>
      <c r="E15" s="247"/>
      <c r="F15" s="247"/>
      <c r="G15" s="247"/>
      <c r="H15" s="247"/>
      <c r="I15" s="247"/>
      <c r="J15" s="247"/>
      <c r="K15" s="247"/>
      <c r="L15" s="248"/>
    </row>
    <row r="16" spans="1:13" s="1" customFormat="1" ht="9.75" x14ac:dyDescent="0.25">
      <c r="A16" s="146"/>
      <c r="B16" s="246"/>
      <c r="C16" s="247"/>
      <c r="D16" s="247"/>
      <c r="E16" s="247"/>
      <c r="F16" s="247"/>
      <c r="G16" s="247"/>
      <c r="H16" s="247"/>
      <c r="I16" s="247"/>
      <c r="J16" s="247"/>
      <c r="K16" s="247"/>
      <c r="L16" s="248"/>
    </row>
    <row r="17" spans="1:12" s="1" customFormat="1" ht="9.75" x14ac:dyDescent="0.25">
      <c r="A17" s="146"/>
      <c r="B17" s="249"/>
      <c r="C17" s="250"/>
      <c r="D17" s="250"/>
      <c r="E17" s="250"/>
      <c r="F17" s="250"/>
      <c r="G17" s="250"/>
      <c r="H17" s="250"/>
      <c r="I17" s="250"/>
      <c r="J17" s="250"/>
      <c r="K17" s="250"/>
      <c r="L17" s="251"/>
    </row>
    <row r="18" spans="1:12" s="1" customFormat="1" ht="9.75" x14ac:dyDescent="0.25"/>
    <row r="19" spans="1:12" s="1" customFormat="1" ht="4.5" customHeight="1" x14ac:dyDescent="0.25"/>
    <row r="20" spans="1:12" s="1" customFormat="1" ht="14.25" x14ac:dyDescent="0.45">
      <c r="B20" s="2" t="s">
        <v>164</v>
      </c>
    </row>
    <row r="21" spans="1:12" s="1" customFormat="1" ht="9.75" x14ac:dyDescent="0.25">
      <c r="A21" s="146"/>
      <c r="B21" s="243"/>
      <c r="C21" s="244"/>
      <c r="D21" s="244"/>
      <c r="E21" s="244"/>
      <c r="F21" s="244"/>
      <c r="G21" s="244"/>
      <c r="H21" s="244"/>
      <c r="I21" s="244"/>
      <c r="J21" s="244"/>
      <c r="K21" s="244"/>
      <c r="L21" s="245"/>
    </row>
    <row r="22" spans="1:12" s="1" customFormat="1" ht="9.75" x14ac:dyDescent="0.25">
      <c r="A22" s="146"/>
      <c r="B22" s="246"/>
      <c r="C22" s="247"/>
      <c r="D22" s="247"/>
      <c r="E22" s="247"/>
      <c r="F22" s="247"/>
      <c r="G22" s="247"/>
      <c r="H22" s="247"/>
      <c r="I22" s="247"/>
      <c r="J22" s="247"/>
      <c r="K22" s="247"/>
      <c r="L22" s="248"/>
    </row>
    <row r="23" spans="1:12" s="1" customFormat="1" ht="9.75" x14ac:dyDescent="0.25">
      <c r="A23" s="146"/>
      <c r="B23" s="246"/>
      <c r="C23" s="247"/>
      <c r="D23" s="247"/>
      <c r="E23" s="247"/>
      <c r="F23" s="247"/>
      <c r="G23" s="247"/>
      <c r="H23" s="247"/>
      <c r="I23" s="247"/>
      <c r="J23" s="247"/>
      <c r="K23" s="247"/>
      <c r="L23" s="248"/>
    </row>
    <row r="24" spans="1:12" s="1" customFormat="1" ht="9.75" x14ac:dyDescent="0.25">
      <c r="A24" s="146"/>
      <c r="B24" s="249"/>
      <c r="C24" s="250"/>
      <c r="D24" s="250"/>
      <c r="E24" s="250"/>
      <c r="F24" s="250"/>
      <c r="G24" s="250"/>
      <c r="H24" s="250"/>
      <c r="I24" s="250"/>
      <c r="J24" s="250"/>
      <c r="K24" s="250"/>
      <c r="L24" s="251"/>
    </row>
    <row r="25" spans="1:12" s="1" customFormat="1" ht="9.75" x14ac:dyDescent="0.25"/>
    <row r="26" spans="1:12" s="1" customFormat="1" ht="4.5" customHeight="1" x14ac:dyDescent="0.25"/>
    <row r="27" spans="1:12" s="1" customFormat="1" ht="14.25" x14ac:dyDescent="0.45">
      <c r="B27" s="2" t="s">
        <v>165</v>
      </c>
    </row>
    <row r="28" spans="1:12" s="1" customFormat="1" ht="9.75" x14ac:dyDescent="0.25">
      <c r="A28" s="146"/>
      <c r="B28" s="243"/>
      <c r="C28" s="244"/>
      <c r="D28" s="244"/>
      <c r="E28" s="244"/>
      <c r="F28" s="244"/>
      <c r="G28" s="244"/>
      <c r="H28" s="244"/>
      <c r="I28" s="244"/>
      <c r="J28" s="244"/>
      <c r="K28" s="244"/>
      <c r="L28" s="245"/>
    </row>
    <row r="29" spans="1:12" s="1" customFormat="1" ht="9.75" x14ac:dyDescent="0.25">
      <c r="A29" s="146"/>
      <c r="B29" s="246"/>
      <c r="C29" s="247"/>
      <c r="D29" s="247"/>
      <c r="E29" s="247"/>
      <c r="F29" s="247"/>
      <c r="G29" s="247"/>
      <c r="H29" s="247"/>
      <c r="I29" s="247"/>
      <c r="J29" s="247"/>
      <c r="K29" s="247"/>
      <c r="L29" s="248"/>
    </row>
    <row r="30" spans="1:12" s="1" customFormat="1" ht="9.75" x14ac:dyDescent="0.25">
      <c r="A30" s="146"/>
      <c r="B30" s="246"/>
      <c r="C30" s="247"/>
      <c r="D30" s="247"/>
      <c r="E30" s="247"/>
      <c r="F30" s="247"/>
      <c r="G30" s="247"/>
      <c r="H30" s="247"/>
      <c r="I30" s="247"/>
      <c r="J30" s="247"/>
      <c r="K30" s="247"/>
      <c r="L30" s="248"/>
    </row>
    <row r="31" spans="1:12" s="1" customFormat="1" ht="9.75" x14ac:dyDescent="0.25">
      <c r="A31" s="146"/>
      <c r="B31" s="249"/>
      <c r="C31" s="250"/>
      <c r="D31" s="250"/>
      <c r="E31" s="250"/>
      <c r="F31" s="250"/>
      <c r="G31" s="250"/>
      <c r="H31" s="250"/>
      <c r="I31" s="250"/>
      <c r="J31" s="250"/>
      <c r="K31" s="250"/>
      <c r="L31" s="251"/>
    </row>
    <row r="32" spans="1:12" s="1" customFormat="1" ht="9.75" x14ac:dyDescent="0.25"/>
    <row r="33" spans="1:13" s="1" customFormat="1" ht="4.5" customHeight="1" x14ac:dyDescent="0.25"/>
    <row r="34" spans="1:13" s="1" customFormat="1" ht="14.25" x14ac:dyDescent="0.45">
      <c r="B34" s="2" t="s">
        <v>166</v>
      </c>
      <c r="C34" s="145"/>
      <c r="D34" s="145"/>
      <c r="E34" s="145"/>
      <c r="F34" s="145"/>
      <c r="G34" s="145"/>
      <c r="H34" s="145"/>
      <c r="I34" s="145"/>
      <c r="J34" s="145"/>
      <c r="K34" s="145"/>
      <c r="L34" s="145"/>
    </row>
    <row r="35" spans="1:13" s="1" customFormat="1" ht="9.75" x14ac:dyDescent="0.25">
      <c r="A35" s="146"/>
      <c r="B35" s="243"/>
      <c r="C35" s="244"/>
      <c r="D35" s="244"/>
      <c r="E35" s="244"/>
      <c r="F35" s="244"/>
      <c r="G35" s="244"/>
      <c r="H35" s="244"/>
      <c r="I35" s="244"/>
      <c r="J35" s="244"/>
      <c r="K35" s="244"/>
      <c r="L35" s="245"/>
    </row>
    <row r="36" spans="1:13" s="1" customFormat="1" ht="9.75" x14ac:dyDescent="0.25">
      <c r="A36" s="146"/>
      <c r="B36" s="246"/>
      <c r="C36" s="247"/>
      <c r="D36" s="247"/>
      <c r="E36" s="247"/>
      <c r="F36" s="247"/>
      <c r="G36" s="247"/>
      <c r="H36" s="247"/>
      <c r="I36" s="247"/>
      <c r="J36" s="247"/>
      <c r="K36" s="247"/>
      <c r="L36" s="248"/>
    </row>
    <row r="37" spans="1:13" s="1" customFormat="1" ht="9.75" x14ac:dyDescent="0.25">
      <c r="A37" s="146"/>
      <c r="B37" s="246"/>
      <c r="C37" s="247"/>
      <c r="D37" s="247"/>
      <c r="E37" s="247"/>
      <c r="F37" s="247"/>
      <c r="G37" s="247"/>
      <c r="H37" s="247"/>
      <c r="I37" s="247"/>
      <c r="J37" s="247"/>
      <c r="K37" s="247"/>
      <c r="L37" s="248"/>
    </row>
    <row r="38" spans="1:13" s="1" customFormat="1" ht="9.75" x14ac:dyDescent="0.25">
      <c r="A38" s="146"/>
      <c r="B38" s="249"/>
      <c r="C38" s="250"/>
      <c r="D38" s="250"/>
      <c r="E38" s="250"/>
      <c r="F38" s="250"/>
      <c r="G38" s="250"/>
      <c r="H38" s="250"/>
      <c r="I38" s="250"/>
      <c r="J38" s="250"/>
      <c r="K38" s="250"/>
      <c r="L38" s="251"/>
    </row>
    <row r="39" spans="1:13" s="1" customFormat="1" ht="9.75" x14ac:dyDescent="0.25"/>
    <row r="40" spans="1:13" s="1" customFormat="1" ht="9.75" x14ac:dyDescent="0.25"/>
    <row r="41" spans="1:13" ht="14.25" hidden="1" x14ac:dyDescent="0.45">
      <c r="A41" s="147"/>
      <c r="B41" s="147"/>
      <c r="C41" s="147"/>
      <c r="D41" s="147"/>
      <c r="E41" s="147"/>
      <c r="F41" s="147"/>
      <c r="G41" s="147"/>
      <c r="H41" s="147"/>
      <c r="I41" s="147"/>
      <c r="J41" s="147"/>
      <c r="K41" s="147"/>
      <c r="L41" s="147"/>
      <c r="M41" s="147"/>
    </row>
    <row r="42" spans="1:13" ht="14.25" hidden="1" x14ac:dyDescent="0.45">
      <c r="A42" s="147"/>
      <c r="B42" s="147"/>
      <c r="C42" s="147"/>
      <c r="D42" s="147"/>
      <c r="E42" s="147"/>
      <c r="F42" s="147"/>
      <c r="G42" s="147"/>
      <c r="H42" s="147"/>
      <c r="I42" s="147"/>
      <c r="J42" s="147"/>
      <c r="K42" s="147"/>
      <c r="L42" s="147"/>
      <c r="M42" s="147"/>
    </row>
    <row r="43" spans="1:13" ht="14.25" hidden="1" x14ac:dyDescent="0.45">
      <c r="A43" s="147"/>
      <c r="B43" s="147"/>
      <c r="C43" s="147"/>
      <c r="D43" s="147"/>
      <c r="E43" s="147"/>
      <c r="F43" s="147"/>
      <c r="G43" s="147"/>
      <c r="H43" s="147"/>
      <c r="I43" s="147"/>
      <c r="J43" s="147"/>
      <c r="K43" s="147"/>
      <c r="L43" s="147"/>
      <c r="M43" s="147"/>
    </row>
    <row r="44" spans="1:13" ht="14.25" hidden="1" x14ac:dyDescent="0.45">
      <c r="A44" s="147"/>
      <c r="B44" s="147"/>
      <c r="C44" s="147"/>
      <c r="D44" s="147"/>
      <c r="E44" s="147"/>
      <c r="F44" s="147"/>
      <c r="G44" s="147"/>
      <c r="H44" s="147"/>
      <c r="I44" s="147"/>
      <c r="J44" s="147"/>
      <c r="K44" s="147"/>
      <c r="L44" s="147"/>
      <c r="M44" s="147"/>
    </row>
    <row r="45" spans="1:13" ht="14.25" hidden="1" x14ac:dyDescent="0.45">
      <c r="A45" s="147"/>
      <c r="B45" s="147"/>
      <c r="C45" s="147"/>
      <c r="D45" s="147"/>
      <c r="E45" s="147"/>
      <c r="F45" s="147"/>
      <c r="G45" s="147"/>
      <c r="H45" s="147"/>
      <c r="I45" s="147"/>
      <c r="J45" s="147"/>
      <c r="K45" s="147"/>
      <c r="L45" s="147"/>
      <c r="M45" s="147"/>
    </row>
    <row r="46" spans="1:13" ht="14.25" hidden="1" x14ac:dyDescent="0.45">
      <c r="A46" s="147"/>
      <c r="B46" s="147"/>
      <c r="C46" s="147"/>
      <c r="D46" s="147"/>
      <c r="E46" s="147"/>
      <c r="F46" s="147"/>
      <c r="G46" s="147"/>
      <c r="H46" s="147"/>
      <c r="I46" s="147"/>
      <c r="J46" s="147"/>
      <c r="K46" s="147"/>
      <c r="L46" s="147"/>
      <c r="M46" s="147"/>
    </row>
    <row r="47" spans="1:13" ht="14.25" hidden="1" x14ac:dyDescent="0.45">
      <c r="A47" s="147"/>
      <c r="B47" s="147"/>
      <c r="C47" s="147"/>
      <c r="D47" s="147"/>
      <c r="E47" s="147"/>
      <c r="F47" s="147"/>
      <c r="G47" s="147"/>
      <c r="H47" s="147"/>
      <c r="I47" s="147"/>
      <c r="J47" s="147"/>
      <c r="K47" s="147"/>
      <c r="L47" s="147"/>
      <c r="M47" s="147"/>
    </row>
    <row r="48" spans="1:13" ht="14.25" hidden="1" x14ac:dyDescent="0.45">
      <c r="A48" s="147"/>
      <c r="B48" s="147"/>
      <c r="C48" s="147"/>
      <c r="D48" s="147"/>
      <c r="E48" s="147"/>
      <c r="F48" s="147"/>
      <c r="G48" s="147"/>
      <c r="H48" s="147"/>
      <c r="I48" s="147"/>
      <c r="J48" s="147"/>
      <c r="K48" s="147"/>
      <c r="L48" s="147"/>
      <c r="M48" s="147"/>
    </row>
    <row r="49" spans="1:13" ht="14.25" hidden="1" x14ac:dyDescent="0.45">
      <c r="A49" s="147"/>
      <c r="B49" s="147"/>
      <c r="C49" s="147"/>
      <c r="D49" s="147"/>
      <c r="E49" s="147"/>
      <c r="F49" s="147"/>
      <c r="G49" s="147"/>
      <c r="H49" s="147"/>
      <c r="I49" s="147"/>
      <c r="J49" s="147"/>
      <c r="K49" s="147"/>
      <c r="L49" s="147"/>
      <c r="M49" s="147"/>
    </row>
    <row r="50" spans="1:13" ht="14.25" hidden="1" x14ac:dyDescent="0.45">
      <c r="A50" s="147"/>
      <c r="B50" s="147"/>
      <c r="C50" s="147"/>
      <c r="D50" s="147"/>
      <c r="E50" s="147"/>
      <c r="F50" s="147"/>
      <c r="G50" s="147"/>
      <c r="H50" s="147"/>
      <c r="I50" s="147"/>
      <c r="J50" s="147"/>
      <c r="K50" s="147"/>
      <c r="L50" s="147"/>
      <c r="M50" s="147"/>
    </row>
    <row r="51" spans="1:13" ht="14.25" hidden="1" x14ac:dyDescent="0.45">
      <c r="A51" s="147"/>
      <c r="B51" s="147"/>
      <c r="C51" s="147"/>
      <c r="D51" s="147"/>
      <c r="E51" s="147"/>
      <c r="F51" s="147"/>
      <c r="G51" s="147"/>
      <c r="H51" s="147"/>
      <c r="I51" s="147"/>
      <c r="J51" s="147"/>
      <c r="K51" s="147"/>
      <c r="L51" s="147"/>
      <c r="M51" s="147"/>
    </row>
    <row r="52" spans="1:13" ht="14.25" hidden="1" x14ac:dyDescent="0.45">
      <c r="A52" s="147"/>
      <c r="B52" s="147"/>
      <c r="C52" s="147"/>
      <c r="D52" s="147"/>
      <c r="E52" s="147"/>
      <c r="F52" s="147"/>
      <c r="G52" s="147"/>
      <c r="H52" s="147"/>
      <c r="I52" s="147"/>
      <c r="J52" s="147"/>
      <c r="K52" s="147"/>
      <c r="L52" s="147"/>
      <c r="M52" s="147"/>
    </row>
    <row r="53" spans="1:13" ht="14.25" hidden="1" x14ac:dyDescent="0.45">
      <c r="A53" s="147"/>
      <c r="B53" s="147"/>
      <c r="C53" s="147"/>
      <c r="D53" s="147"/>
      <c r="E53" s="147"/>
      <c r="F53" s="147"/>
      <c r="G53" s="147"/>
      <c r="H53" s="147"/>
      <c r="I53" s="147"/>
      <c r="J53" s="147"/>
      <c r="K53" s="147"/>
      <c r="L53" s="147"/>
      <c r="M53" s="147"/>
    </row>
    <row r="54" spans="1:13" ht="14.25" hidden="1" x14ac:dyDescent="0.45">
      <c r="A54" s="147"/>
      <c r="B54" s="147"/>
      <c r="C54" s="147"/>
      <c r="D54" s="147"/>
      <c r="E54" s="147"/>
      <c r="F54" s="147"/>
      <c r="G54" s="147"/>
      <c r="H54" s="147"/>
      <c r="I54" s="147"/>
      <c r="J54" s="147"/>
      <c r="K54" s="147"/>
      <c r="L54" s="147"/>
      <c r="M54" s="147"/>
    </row>
    <row r="55" spans="1:13" ht="14.25" hidden="1" x14ac:dyDescent="0.45">
      <c r="A55" s="147"/>
      <c r="B55" s="147"/>
      <c r="C55" s="147"/>
      <c r="D55" s="147"/>
      <c r="E55" s="147"/>
      <c r="F55" s="147"/>
      <c r="G55" s="147"/>
      <c r="H55" s="147"/>
      <c r="I55" s="147"/>
      <c r="J55" s="147"/>
      <c r="K55" s="147"/>
      <c r="L55" s="147"/>
      <c r="M55" s="147"/>
    </row>
    <row r="56" spans="1:13" ht="14.25" hidden="1" x14ac:dyDescent="0.45">
      <c r="A56" s="147"/>
      <c r="B56" s="147"/>
      <c r="C56" s="147"/>
      <c r="D56" s="147"/>
      <c r="E56" s="147"/>
      <c r="F56" s="147"/>
      <c r="G56" s="147"/>
      <c r="H56" s="147"/>
      <c r="I56" s="147"/>
      <c r="J56" s="147"/>
      <c r="K56" s="147"/>
      <c r="L56" s="147"/>
      <c r="M56" s="147"/>
    </row>
    <row r="57" spans="1:13" ht="14.25" hidden="1" x14ac:dyDescent="0.45">
      <c r="A57" s="147"/>
      <c r="B57" s="147"/>
      <c r="C57" s="147"/>
      <c r="D57" s="147"/>
      <c r="E57" s="147"/>
      <c r="F57" s="147"/>
      <c r="G57" s="147"/>
      <c r="H57" s="147"/>
      <c r="I57" s="147"/>
      <c r="J57" s="147"/>
      <c r="K57" s="147"/>
      <c r="L57" s="147"/>
      <c r="M57" s="147"/>
    </row>
    <row r="58" spans="1:13" ht="14.25" hidden="1" x14ac:dyDescent="0.45">
      <c r="A58" s="147"/>
      <c r="B58" s="147"/>
      <c r="C58" s="147"/>
      <c r="D58" s="147"/>
      <c r="E58" s="147"/>
      <c r="F58" s="147"/>
      <c r="G58" s="147"/>
      <c r="H58" s="147"/>
      <c r="I58" s="147"/>
      <c r="J58" s="147"/>
      <c r="K58" s="147"/>
      <c r="L58" s="147"/>
      <c r="M58" s="147"/>
    </row>
    <row r="59" spans="1:13" ht="14.25" hidden="1" x14ac:dyDescent="0.45">
      <c r="A59" s="147"/>
      <c r="B59" s="147"/>
      <c r="C59" s="147"/>
      <c r="D59" s="147"/>
      <c r="E59" s="147"/>
      <c r="F59" s="147"/>
      <c r="G59" s="147"/>
      <c r="H59" s="147"/>
      <c r="I59" s="147"/>
      <c r="J59" s="147"/>
      <c r="K59" s="147"/>
      <c r="L59" s="147"/>
      <c r="M59" s="147"/>
    </row>
    <row r="60" spans="1:13" ht="14.25" hidden="1" x14ac:dyDescent="0.45">
      <c r="A60" s="147"/>
      <c r="B60" s="147"/>
      <c r="C60" s="147"/>
      <c r="D60" s="147"/>
      <c r="E60" s="147"/>
      <c r="F60" s="147"/>
      <c r="G60" s="147"/>
      <c r="H60" s="147"/>
      <c r="I60" s="147"/>
      <c r="J60" s="147"/>
      <c r="K60" s="147"/>
      <c r="L60" s="147"/>
      <c r="M60" s="147"/>
    </row>
    <row r="61" spans="1:13" ht="14.25" hidden="1" x14ac:dyDescent="0.45">
      <c r="L61" s="147"/>
      <c r="M61" s="147"/>
    </row>
    <row r="62" spans="1:13" ht="14.25" hidden="1" x14ac:dyDescent="0.45">
      <c r="M62" s="147"/>
    </row>
    <row r="63" spans="1:13" ht="14.25" hidden="1" x14ac:dyDescent="0.45">
      <c r="M63" s="147"/>
    </row>
    <row r="64" spans="1:13" ht="14.25" hidden="1" x14ac:dyDescent="0.45">
      <c r="M64" s="147"/>
    </row>
    <row r="65" spans="13:13" ht="14.25" hidden="1" x14ac:dyDescent="0.45">
      <c r="M65" s="147"/>
    </row>
  </sheetData>
  <sheetProtection formatCells="0" formatColumns="0"/>
  <mergeCells count="7">
    <mergeCell ref="B35:L38"/>
    <mergeCell ref="A1:M2"/>
    <mergeCell ref="D4:G4"/>
    <mergeCell ref="B7:L10"/>
    <mergeCell ref="B14:L17"/>
    <mergeCell ref="B21:L24"/>
    <mergeCell ref="B28:L31"/>
  </mergeCells>
  <pageMargins left="0.25" right="0.25"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0DEA5-299F-4B9D-8714-5059255F3089}">
  <sheetPr>
    <tabColor rgb="FF00B0F0"/>
    <pageSetUpPr fitToPage="1"/>
  </sheetPr>
  <dimension ref="A1:M65"/>
  <sheetViews>
    <sheetView showGridLines="0" zoomScaleNormal="100" workbookViewId="0">
      <selection activeCell="J19" sqref="J19"/>
    </sheetView>
  </sheetViews>
  <sheetFormatPr defaultColWidth="0" defaultRowHeight="15" customHeight="1" zeroHeight="1" x14ac:dyDescent="0.45"/>
  <cols>
    <col min="1" max="13" width="8" customWidth="1"/>
    <col min="14" max="16384" width="8" hidden="1"/>
  </cols>
  <sheetData>
    <row r="1" spans="1:13" s="164" customFormat="1" ht="14.25" x14ac:dyDescent="0.45">
      <c r="A1" s="166" t="s">
        <v>474</v>
      </c>
      <c r="B1" s="162"/>
      <c r="C1" s="264">
        <f>'Rate Change'!B5</f>
        <v>0</v>
      </c>
      <c r="D1" s="265"/>
      <c r="E1" s="265"/>
      <c r="F1" s="265"/>
      <c r="G1" s="266"/>
      <c r="H1" s="162"/>
      <c r="I1" s="162"/>
      <c r="J1" s="162"/>
      <c r="K1" s="162"/>
      <c r="L1" s="162"/>
      <c r="M1" s="163"/>
    </row>
    <row r="2" spans="1:13" s="164" customFormat="1" ht="14.25" x14ac:dyDescent="0.45">
      <c r="A2" s="166" t="s">
        <v>136</v>
      </c>
      <c r="B2" s="162"/>
      <c r="C2" s="264">
        <f>'Rate Change'!B9</f>
        <v>0</v>
      </c>
      <c r="D2" s="265"/>
      <c r="E2" s="265"/>
      <c r="F2" s="265"/>
      <c r="G2" s="266"/>
      <c r="H2" s="162"/>
      <c r="I2" s="162"/>
      <c r="J2" s="162"/>
      <c r="K2" s="162"/>
      <c r="L2" s="162"/>
      <c r="M2" s="163"/>
    </row>
    <row r="3" spans="1:13" s="164" customFormat="1" ht="14.25" x14ac:dyDescent="0.45">
      <c r="A3" s="162" t="s">
        <v>475</v>
      </c>
      <c r="B3" s="162"/>
      <c r="C3" s="162"/>
      <c r="D3" s="162"/>
      <c r="E3" s="162"/>
      <c r="F3" s="162"/>
      <c r="G3" s="162"/>
      <c r="H3" s="162"/>
      <c r="I3" s="162"/>
      <c r="J3" s="162"/>
      <c r="K3" s="162"/>
      <c r="L3" s="162"/>
      <c r="M3" s="163"/>
    </row>
    <row r="4" spans="1:13" s="164" customFormat="1" ht="14.25" x14ac:dyDescent="0.45">
      <c r="A4" s="165" t="s">
        <v>476</v>
      </c>
      <c r="B4" s="162"/>
      <c r="C4" s="162"/>
      <c r="D4" s="162"/>
      <c r="E4" s="162"/>
      <c r="F4" s="162"/>
      <c r="G4" s="162"/>
      <c r="H4" s="162"/>
      <c r="I4" s="162"/>
      <c r="J4" s="162"/>
      <c r="K4" s="162"/>
      <c r="L4" s="162"/>
      <c r="M4" s="163"/>
    </row>
    <row r="5" spans="1:13" s="164" customFormat="1" ht="14.25" x14ac:dyDescent="0.45">
      <c r="A5" s="162"/>
      <c r="B5" s="162"/>
      <c r="C5" s="162"/>
      <c r="D5" s="162"/>
      <c r="E5" s="162"/>
      <c r="F5" s="162"/>
      <c r="G5" s="162"/>
      <c r="H5" s="162"/>
      <c r="I5" s="162"/>
      <c r="J5" s="162"/>
      <c r="K5" s="162"/>
      <c r="L5" s="162"/>
      <c r="M5" s="163"/>
    </row>
    <row r="6" spans="1:13" s="164" customFormat="1" ht="14.25" x14ac:dyDescent="0.45">
      <c r="A6" s="165" t="s">
        <v>484</v>
      </c>
      <c r="B6" s="162"/>
      <c r="C6" s="162"/>
      <c r="D6" s="162"/>
      <c r="E6" s="162"/>
      <c r="F6" s="162"/>
      <c r="G6" s="162"/>
      <c r="H6" s="162"/>
      <c r="I6" s="162"/>
      <c r="J6" s="162"/>
      <c r="K6" s="165" t="s">
        <v>485</v>
      </c>
      <c r="L6" s="162"/>
      <c r="M6" s="163"/>
    </row>
    <row r="7" spans="1:13" s="164" customFormat="1" ht="33.4" customHeight="1" x14ac:dyDescent="0.45">
      <c r="A7" s="257" t="s">
        <v>477</v>
      </c>
      <c r="B7" s="257"/>
      <c r="C7" s="257"/>
      <c r="D7" s="257"/>
      <c r="E7" s="257"/>
      <c r="F7" s="257"/>
      <c r="G7" s="257"/>
      <c r="H7" s="257"/>
      <c r="I7" s="257"/>
      <c r="J7" s="167"/>
      <c r="K7" s="167"/>
      <c r="L7" s="162"/>
      <c r="M7" s="163"/>
    </row>
    <row r="8" spans="1:13" s="164" customFormat="1" ht="31.5" customHeight="1" x14ac:dyDescent="0.45">
      <c r="A8" s="256" t="s">
        <v>478</v>
      </c>
      <c r="B8" s="256"/>
      <c r="C8" s="256"/>
      <c r="D8" s="256"/>
      <c r="E8" s="256"/>
      <c r="F8" s="256"/>
      <c r="G8" s="256"/>
      <c r="H8" s="256"/>
      <c r="I8" s="256"/>
      <c r="J8" s="162"/>
      <c r="K8" s="162"/>
      <c r="L8" s="162"/>
      <c r="M8" s="163"/>
    </row>
    <row r="9" spans="1:13" s="164" customFormat="1" ht="30.4" customHeight="1" x14ac:dyDescent="0.45">
      <c r="A9" s="257" t="s">
        <v>479</v>
      </c>
      <c r="B9" s="257"/>
      <c r="C9" s="257"/>
      <c r="D9" s="257"/>
      <c r="E9" s="257"/>
      <c r="F9" s="257"/>
      <c r="G9" s="257"/>
      <c r="H9" s="257"/>
      <c r="I9" s="257"/>
      <c r="J9" s="167"/>
      <c r="K9" s="167"/>
      <c r="L9" s="162"/>
      <c r="M9" s="163"/>
    </row>
    <row r="10" spans="1:13" s="164" customFormat="1" ht="29.65" customHeight="1" x14ac:dyDescent="0.45">
      <c r="A10" s="256" t="s">
        <v>480</v>
      </c>
      <c r="B10" s="256"/>
      <c r="C10" s="256"/>
      <c r="D10" s="256"/>
      <c r="E10" s="256"/>
      <c r="F10" s="256"/>
      <c r="G10" s="256"/>
      <c r="H10" s="256"/>
      <c r="I10" s="256"/>
      <c r="J10" s="162"/>
      <c r="K10" s="162"/>
      <c r="L10" s="162"/>
      <c r="M10" s="163"/>
    </row>
    <row r="11" spans="1:13" s="164" customFormat="1" ht="27.4" customHeight="1" x14ac:dyDescent="0.45">
      <c r="A11" s="257" t="s">
        <v>481</v>
      </c>
      <c r="B11" s="257"/>
      <c r="C11" s="257"/>
      <c r="D11" s="257"/>
      <c r="E11" s="257"/>
      <c r="F11" s="257"/>
      <c r="G11" s="257"/>
      <c r="H11" s="257"/>
      <c r="I11" s="257"/>
      <c r="J11" s="167"/>
      <c r="K11" s="167"/>
      <c r="L11" s="162"/>
      <c r="M11" s="163"/>
    </row>
    <row r="12" spans="1:13" s="164" customFormat="1" ht="28.9" customHeight="1" x14ac:dyDescent="0.45">
      <c r="A12" s="256" t="s">
        <v>482</v>
      </c>
      <c r="B12" s="256"/>
      <c r="C12" s="256"/>
      <c r="D12" s="256"/>
      <c r="E12" s="256"/>
      <c r="F12" s="256"/>
      <c r="G12" s="256"/>
      <c r="H12" s="256"/>
      <c r="I12" s="256"/>
      <c r="J12" s="162"/>
      <c r="K12" s="162"/>
      <c r="L12" s="162"/>
      <c r="M12" s="163"/>
    </row>
    <row r="13" spans="1:13" s="164" customFormat="1" ht="31.15" customHeight="1" x14ac:dyDescent="0.45">
      <c r="A13" s="257" t="s">
        <v>483</v>
      </c>
      <c r="B13" s="257"/>
      <c r="C13" s="257"/>
      <c r="D13" s="257"/>
      <c r="E13" s="257"/>
      <c r="F13" s="257"/>
      <c r="G13" s="257"/>
      <c r="H13" s="257"/>
      <c r="I13" s="257"/>
      <c r="J13" s="167"/>
      <c r="K13" s="167"/>
      <c r="L13" s="162"/>
      <c r="M13" s="163"/>
    </row>
    <row r="14" spans="1:13" s="164" customFormat="1" ht="14.25" x14ac:dyDescent="0.45">
      <c r="A14" s="162"/>
      <c r="B14" s="162"/>
      <c r="C14" s="162"/>
      <c r="D14" s="162"/>
      <c r="E14" s="162"/>
      <c r="F14" s="162"/>
      <c r="G14" s="162"/>
      <c r="H14" s="162"/>
      <c r="I14" s="162"/>
      <c r="J14" s="162"/>
      <c r="K14" s="162"/>
      <c r="L14" s="162"/>
      <c r="M14" s="163"/>
    </row>
    <row r="15" spans="1:13" s="164" customFormat="1" ht="14.25" x14ac:dyDescent="0.45">
      <c r="A15" s="162"/>
      <c r="B15" s="162"/>
      <c r="C15" s="162"/>
      <c r="D15" s="162"/>
      <c r="E15" s="162"/>
      <c r="F15" s="162"/>
      <c r="G15" s="162"/>
      <c r="H15" s="162"/>
      <c r="I15" s="162"/>
      <c r="J15" s="162"/>
      <c r="K15" s="162"/>
      <c r="L15" s="162"/>
      <c r="M15" s="163"/>
    </row>
    <row r="16" spans="1:13" s="164" customFormat="1" ht="14.25" x14ac:dyDescent="0.45">
      <c r="A16" s="165" t="s">
        <v>487</v>
      </c>
      <c r="B16" s="162"/>
      <c r="C16" s="162"/>
      <c r="D16" s="258"/>
      <c r="E16" s="259"/>
      <c r="F16" s="259"/>
      <c r="G16" s="260"/>
      <c r="H16" s="162"/>
      <c r="I16" s="162"/>
      <c r="J16" s="162"/>
      <c r="K16" s="162"/>
      <c r="L16" s="162"/>
      <c r="M16" s="163"/>
    </row>
    <row r="17" spans="1:13" s="164" customFormat="1" ht="14.25" x14ac:dyDescent="0.45">
      <c r="A17" s="162"/>
      <c r="B17" s="162"/>
      <c r="C17" s="162"/>
      <c r="D17" s="162"/>
      <c r="E17" s="162"/>
      <c r="F17" s="162"/>
      <c r="G17" s="162"/>
      <c r="H17" s="162"/>
      <c r="I17" s="162"/>
      <c r="J17" s="162"/>
      <c r="K17" s="162"/>
      <c r="L17" s="162"/>
      <c r="M17" s="163"/>
    </row>
    <row r="18" spans="1:13" s="164" customFormat="1" ht="14.25" x14ac:dyDescent="0.45">
      <c r="A18" s="168" t="s">
        <v>486</v>
      </c>
      <c r="B18" s="163"/>
      <c r="C18" s="163"/>
      <c r="D18" s="163"/>
      <c r="E18" s="163"/>
      <c r="F18" s="163"/>
      <c r="G18" s="261"/>
      <c r="H18" s="262"/>
      <c r="I18" s="262"/>
      <c r="J18" s="263"/>
      <c r="K18" s="163"/>
      <c r="L18" s="163"/>
      <c r="M18" s="163"/>
    </row>
    <row r="19" spans="1:13" s="164" customFormat="1" ht="14.25" x14ac:dyDescent="0.45">
      <c r="A19" s="163"/>
      <c r="B19" s="163"/>
      <c r="C19" s="163"/>
      <c r="D19" s="163"/>
      <c r="E19" s="163"/>
      <c r="F19" s="163"/>
      <c r="G19" s="163"/>
      <c r="H19" s="163"/>
      <c r="I19" s="163"/>
      <c r="J19" s="163"/>
      <c r="K19" s="163"/>
      <c r="L19" s="163"/>
      <c r="M19" s="163"/>
    </row>
    <row r="20" spans="1:13" s="164" customFormat="1" ht="14.25" x14ac:dyDescent="0.45">
      <c r="A20" s="163"/>
      <c r="B20" s="163"/>
      <c r="C20" s="163"/>
      <c r="D20" s="163"/>
      <c r="E20" s="163"/>
      <c r="F20" s="163"/>
      <c r="G20" s="163"/>
      <c r="H20" s="163"/>
      <c r="I20" s="163"/>
      <c r="J20" s="163"/>
      <c r="K20" s="163"/>
      <c r="L20" s="163"/>
      <c r="M20" s="163"/>
    </row>
    <row r="21" spans="1:13" s="164" customFormat="1" ht="14.25" x14ac:dyDescent="0.45">
      <c r="A21" s="163"/>
      <c r="B21" s="163"/>
      <c r="C21" s="163"/>
      <c r="D21" s="163"/>
      <c r="E21" s="163"/>
      <c r="F21" s="163"/>
      <c r="G21" s="163"/>
      <c r="H21" s="163"/>
      <c r="I21" s="163"/>
      <c r="J21" s="163"/>
      <c r="K21" s="163"/>
      <c r="L21" s="163"/>
      <c r="M21" s="163"/>
    </row>
    <row r="22" spans="1:13" s="164" customFormat="1" ht="14.25" x14ac:dyDescent="0.45">
      <c r="A22" s="163"/>
      <c r="B22" s="163"/>
      <c r="C22" s="163"/>
      <c r="D22" s="163"/>
      <c r="E22" s="163"/>
      <c r="F22" s="163"/>
      <c r="G22" s="163"/>
      <c r="H22" s="163"/>
      <c r="I22" s="163"/>
      <c r="J22" s="163"/>
      <c r="K22" s="163"/>
      <c r="L22" s="163"/>
      <c r="M22" s="163"/>
    </row>
    <row r="23" spans="1:13" s="164" customFormat="1" ht="14.25" x14ac:dyDescent="0.45">
      <c r="A23" s="163"/>
      <c r="B23" s="163"/>
      <c r="C23" s="163"/>
      <c r="D23" s="163"/>
      <c r="E23" s="163"/>
      <c r="F23" s="163"/>
      <c r="G23" s="163"/>
      <c r="H23" s="163"/>
      <c r="I23" s="163"/>
      <c r="J23" s="163"/>
      <c r="K23" s="163"/>
      <c r="L23" s="163"/>
      <c r="M23" s="163"/>
    </row>
    <row r="24" spans="1:13" s="164" customFormat="1" ht="14.25" x14ac:dyDescent="0.45">
      <c r="A24" s="163"/>
      <c r="B24" s="163"/>
      <c r="C24" s="163"/>
      <c r="D24" s="163"/>
      <c r="E24" s="163"/>
      <c r="F24" s="163"/>
      <c r="G24" s="163"/>
      <c r="H24" s="163"/>
      <c r="I24" s="163"/>
      <c r="J24" s="163"/>
      <c r="K24" s="163"/>
      <c r="L24" s="163"/>
      <c r="M24" s="163"/>
    </row>
    <row r="25" spans="1:13" s="164" customFormat="1" ht="14.25" x14ac:dyDescent="0.45">
      <c r="A25" s="163"/>
      <c r="B25" s="163"/>
      <c r="C25" s="163"/>
      <c r="D25" s="163"/>
      <c r="E25" s="163"/>
      <c r="F25" s="163"/>
      <c r="G25" s="163"/>
      <c r="H25" s="163"/>
      <c r="I25" s="163"/>
      <c r="J25" s="163"/>
      <c r="K25" s="163"/>
      <c r="L25" s="163"/>
      <c r="M25" s="163"/>
    </row>
    <row r="26" spans="1:13" s="164" customFormat="1" ht="14.25" x14ac:dyDescent="0.45">
      <c r="A26" s="163"/>
      <c r="B26" s="163"/>
      <c r="C26" s="163"/>
      <c r="D26" s="163"/>
      <c r="E26" s="163"/>
      <c r="F26" s="163"/>
      <c r="G26" s="163"/>
      <c r="H26" s="163"/>
      <c r="I26" s="163"/>
      <c r="J26" s="163"/>
      <c r="K26" s="163"/>
      <c r="L26" s="163"/>
      <c r="M26" s="163"/>
    </row>
    <row r="27" spans="1:13" s="164" customFormat="1" ht="14.25" x14ac:dyDescent="0.45">
      <c r="A27" s="163"/>
      <c r="B27" s="163"/>
      <c r="C27" s="163"/>
      <c r="D27" s="163"/>
      <c r="E27" s="163"/>
      <c r="F27" s="163"/>
      <c r="G27" s="163"/>
      <c r="H27" s="163"/>
      <c r="I27" s="163"/>
      <c r="J27" s="163"/>
      <c r="K27" s="163"/>
      <c r="L27" s="163"/>
      <c r="M27" s="163"/>
    </row>
    <row r="28" spans="1:13" s="164" customFormat="1" ht="14.25" x14ac:dyDescent="0.45">
      <c r="A28" s="163"/>
      <c r="B28" s="163"/>
      <c r="C28" s="163"/>
      <c r="D28" s="163"/>
      <c r="E28" s="163"/>
      <c r="F28" s="163"/>
      <c r="G28" s="163"/>
      <c r="H28" s="163"/>
      <c r="I28" s="163"/>
      <c r="J28" s="163"/>
      <c r="K28" s="163"/>
      <c r="L28" s="163"/>
      <c r="M28" s="163"/>
    </row>
    <row r="29" spans="1:13" s="164" customFormat="1" ht="14.25" x14ac:dyDescent="0.45">
      <c r="A29" s="163"/>
      <c r="B29" s="163"/>
      <c r="C29" s="163"/>
      <c r="D29" s="163"/>
      <c r="E29" s="163"/>
      <c r="F29" s="163"/>
      <c r="G29" s="163"/>
      <c r="H29" s="163"/>
      <c r="I29" s="163"/>
      <c r="J29" s="163"/>
      <c r="K29" s="163"/>
      <c r="L29" s="163"/>
      <c r="M29" s="163"/>
    </row>
    <row r="30" spans="1:13" s="164" customFormat="1" ht="14.25" x14ac:dyDescent="0.45">
      <c r="A30" s="163"/>
      <c r="B30" s="163"/>
      <c r="C30" s="163"/>
      <c r="D30" s="163"/>
      <c r="E30" s="163"/>
      <c r="F30" s="163"/>
      <c r="G30" s="163"/>
      <c r="H30" s="163"/>
      <c r="I30" s="163"/>
      <c r="J30" s="163"/>
      <c r="K30" s="163"/>
      <c r="L30" s="163"/>
      <c r="M30" s="163"/>
    </row>
    <row r="31" spans="1:13" s="164" customFormat="1" ht="14.25" x14ac:dyDescent="0.45">
      <c r="A31" s="163"/>
      <c r="B31" s="163"/>
      <c r="C31" s="163"/>
      <c r="D31" s="163"/>
      <c r="E31" s="163"/>
      <c r="F31" s="163"/>
      <c r="G31" s="163"/>
      <c r="H31" s="163"/>
      <c r="I31" s="163"/>
      <c r="J31" s="163"/>
      <c r="K31" s="163"/>
      <c r="L31" s="163"/>
      <c r="M31" s="163"/>
    </row>
    <row r="32" spans="1:13" ht="14.25" x14ac:dyDescent="0.45">
      <c r="A32" s="163"/>
      <c r="B32" s="163"/>
      <c r="C32" s="163"/>
      <c r="D32" s="163"/>
      <c r="E32" s="163"/>
      <c r="F32" s="163"/>
      <c r="G32" s="163"/>
      <c r="H32" s="163"/>
      <c r="I32" s="163"/>
      <c r="J32" s="163"/>
      <c r="K32" s="163"/>
      <c r="L32" s="163"/>
      <c r="M32" s="163"/>
    </row>
    <row r="33" spans="1:13" ht="14.25" x14ac:dyDescent="0.45">
      <c r="A33" s="163"/>
      <c r="B33" s="163"/>
      <c r="C33" s="163"/>
      <c r="D33" s="163"/>
      <c r="E33" s="163"/>
      <c r="F33" s="163"/>
      <c r="G33" s="163"/>
      <c r="H33" s="163"/>
      <c r="I33" s="163"/>
      <c r="J33" s="163"/>
      <c r="K33" s="163"/>
      <c r="L33" s="163"/>
      <c r="M33" s="163"/>
    </row>
    <row r="34" spans="1:13" ht="14.25" x14ac:dyDescent="0.45">
      <c r="A34" s="163"/>
      <c r="B34" s="163"/>
      <c r="C34" s="163"/>
      <c r="D34" s="163"/>
      <c r="E34" s="163"/>
      <c r="F34" s="163"/>
      <c r="G34" s="163"/>
      <c r="H34" s="163"/>
      <c r="I34" s="163"/>
      <c r="J34" s="163"/>
      <c r="K34" s="163"/>
      <c r="L34" s="163"/>
      <c r="M34" s="163"/>
    </row>
    <row r="35" spans="1:13" ht="14.25" x14ac:dyDescent="0.45">
      <c r="A35" s="163"/>
      <c r="B35" s="163"/>
      <c r="C35" s="163"/>
      <c r="D35" s="163"/>
      <c r="E35" s="163"/>
      <c r="F35" s="163"/>
      <c r="G35" s="163"/>
      <c r="H35" s="163"/>
      <c r="I35" s="163"/>
      <c r="J35" s="163"/>
      <c r="K35" s="163"/>
      <c r="L35" s="163"/>
      <c r="M35" s="163"/>
    </row>
    <row r="36" spans="1:13" ht="14.25" x14ac:dyDescent="0.45">
      <c r="A36" s="163"/>
      <c r="B36" s="163"/>
      <c r="C36" s="163"/>
      <c r="D36" s="163"/>
      <c r="E36" s="163"/>
      <c r="F36" s="163"/>
      <c r="G36" s="163"/>
      <c r="H36" s="163"/>
      <c r="I36" s="163"/>
      <c r="J36" s="163"/>
      <c r="K36" s="163"/>
      <c r="L36" s="163"/>
      <c r="M36" s="163"/>
    </row>
    <row r="37" spans="1:13" ht="14.25" x14ac:dyDescent="0.45">
      <c r="A37" s="163"/>
      <c r="B37" s="163"/>
      <c r="C37" s="163"/>
      <c r="D37" s="163"/>
      <c r="E37" s="163"/>
      <c r="F37" s="163"/>
      <c r="G37" s="163"/>
      <c r="H37" s="163"/>
      <c r="I37" s="163"/>
      <c r="J37" s="163"/>
      <c r="K37" s="163"/>
      <c r="L37" s="163"/>
      <c r="M37" s="163"/>
    </row>
    <row r="38" spans="1:13" ht="14.25" x14ac:dyDescent="0.45">
      <c r="A38" s="163"/>
      <c r="B38" s="163"/>
      <c r="C38" s="163"/>
      <c r="D38" s="163"/>
      <c r="E38" s="163"/>
      <c r="F38" s="163"/>
      <c r="G38" s="163"/>
      <c r="H38" s="163"/>
      <c r="I38" s="163"/>
      <c r="J38" s="163"/>
      <c r="K38" s="163"/>
      <c r="L38" s="163"/>
      <c r="M38" s="163"/>
    </row>
    <row r="39" spans="1:13" ht="14.25" x14ac:dyDescent="0.45">
      <c r="A39" s="163"/>
      <c r="B39" s="163"/>
      <c r="C39" s="163"/>
      <c r="D39" s="163"/>
      <c r="E39" s="163"/>
      <c r="F39" s="163"/>
      <c r="G39" s="163"/>
      <c r="H39" s="163"/>
      <c r="I39" s="163"/>
      <c r="J39" s="163"/>
      <c r="K39" s="163"/>
      <c r="L39" s="163"/>
      <c r="M39" s="163"/>
    </row>
    <row r="40" spans="1:13" ht="14.25" x14ac:dyDescent="0.45">
      <c r="A40" s="163"/>
      <c r="B40" s="163"/>
      <c r="C40" s="163"/>
      <c r="D40" s="163"/>
      <c r="E40" s="163"/>
      <c r="F40" s="163"/>
      <c r="G40" s="163"/>
      <c r="H40" s="163"/>
      <c r="I40" s="163"/>
      <c r="J40" s="163"/>
      <c r="K40" s="163"/>
      <c r="L40" s="163"/>
      <c r="M40" s="163"/>
    </row>
    <row r="41" spans="1:13" ht="14.25" x14ac:dyDescent="0.45">
      <c r="A41" s="163"/>
      <c r="B41" s="163"/>
      <c r="C41" s="163"/>
      <c r="D41" s="163"/>
      <c r="E41" s="163"/>
      <c r="F41" s="163"/>
      <c r="G41" s="163"/>
      <c r="H41" s="163"/>
      <c r="I41" s="163"/>
      <c r="J41" s="163"/>
      <c r="K41" s="163"/>
      <c r="L41" s="163"/>
      <c r="M41" s="163"/>
    </row>
    <row r="42" spans="1:13" ht="14.25" x14ac:dyDescent="0.45">
      <c r="A42" s="163"/>
      <c r="B42" s="163"/>
      <c r="C42" s="163"/>
      <c r="D42" s="163"/>
      <c r="E42" s="163"/>
      <c r="F42" s="163"/>
      <c r="G42" s="163"/>
      <c r="H42" s="163"/>
      <c r="I42" s="163"/>
      <c r="J42" s="163"/>
      <c r="K42" s="163"/>
      <c r="L42" s="163"/>
      <c r="M42" s="163"/>
    </row>
    <row r="43" spans="1:13" ht="14.25" x14ac:dyDescent="0.45">
      <c r="A43" s="163"/>
      <c r="B43" s="163"/>
      <c r="C43" s="163"/>
      <c r="D43" s="163"/>
      <c r="E43" s="163"/>
      <c r="F43" s="163"/>
      <c r="G43" s="163"/>
      <c r="H43" s="163"/>
      <c r="I43" s="163"/>
      <c r="J43" s="163"/>
      <c r="K43" s="163"/>
      <c r="L43" s="163"/>
      <c r="M43" s="163"/>
    </row>
    <row r="44" spans="1:13" ht="14.25" x14ac:dyDescent="0.45">
      <c r="A44" s="163"/>
      <c r="B44" s="163"/>
      <c r="C44" s="163"/>
      <c r="D44" s="163"/>
      <c r="E44" s="163"/>
      <c r="F44" s="163"/>
      <c r="G44" s="163"/>
      <c r="H44" s="163"/>
      <c r="I44" s="163"/>
      <c r="J44" s="163"/>
      <c r="K44" s="163"/>
      <c r="L44" s="163"/>
      <c r="M44" s="163"/>
    </row>
    <row r="45" spans="1:13" ht="14.25" x14ac:dyDescent="0.45">
      <c r="A45" s="163"/>
      <c r="B45" s="163"/>
      <c r="C45" s="163"/>
      <c r="D45" s="163"/>
      <c r="E45" s="163"/>
      <c r="F45" s="163"/>
      <c r="G45" s="163"/>
      <c r="H45" s="163"/>
      <c r="I45" s="163"/>
      <c r="J45" s="163"/>
      <c r="K45" s="163"/>
      <c r="L45" s="163"/>
      <c r="M45" s="163"/>
    </row>
    <row r="46" spans="1:13" ht="14.25" x14ac:dyDescent="0.45">
      <c r="A46" s="163"/>
      <c r="B46" s="163"/>
      <c r="C46" s="163"/>
      <c r="D46" s="163"/>
      <c r="E46" s="163"/>
      <c r="F46" s="163"/>
      <c r="G46" s="163"/>
      <c r="H46" s="163"/>
      <c r="I46" s="163"/>
      <c r="J46" s="163"/>
      <c r="K46" s="163"/>
      <c r="L46" s="163"/>
      <c r="M46" s="163"/>
    </row>
    <row r="47" spans="1:13" ht="14.25" x14ac:dyDescent="0.45">
      <c r="A47" s="163"/>
      <c r="B47" s="163"/>
      <c r="C47" s="163"/>
      <c r="D47" s="163"/>
      <c r="E47" s="163"/>
      <c r="F47" s="163"/>
      <c r="G47" s="163"/>
      <c r="H47" s="163"/>
      <c r="I47" s="163"/>
      <c r="J47" s="163"/>
      <c r="K47" s="163"/>
      <c r="L47" s="163"/>
      <c r="M47" s="163"/>
    </row>
    <row r="48" spans="1:13" ht="14.25" x14ac:dyDescent="0.45">
      <c r="A48" s="163"/>
      <c r="B48" s="163"/>
      <c r="C48" s="163"/>
      <c r="D48" s="163"/>
      <c r="E48" s="163"/>
      <c r="F48" s="163"/>
      <c r="G48" s="163"/>
      <c r="H48" s="163"/>
      <c r="I48" s="163"/>
      <c r="J48" s="163"/>
      <c r="K48" s="163"/>
      <c r="L48" s="163"/>
      <c r="M48" s="163"/>
    </row>
    <row r="49" spans="1:13" ht="14.25" x14ac:dyDescent="0.45">
      <c r="A49" s="163"/>
      <c r="B49" s="163"/>
      <c r="C49" s="163"/>
      <c r="D49" s="163"/>
      <c r="E49" s="163"/>
      <c r="F49" s="163"/>
      <c r="G49" s="163"/>
      <c r="H49" s="163"/>
      <c r="I49" s="163"/>
      <c r="J49" s="163"/>
      <c r="K49" s="163"/>
      <c r="L49" s="163"/>
      <c r="M49" s="163"/>
    </row>
    <row r="50" spans="1:13" ht="14.25" x14ac:dyDescent="0.45">
      <c r="A50" s="163"/>
      <c r="B50" s="163"/>
      <c r="C50" s="163"/>
      <c r="D50" s="163"/>
      <c r="E50" s="163"/>
      <c r="F50" s="163"/>
      <c r="G50" s="163"/>
      <c r="H50" s="163"/>
      <c r="I50" s="163"/>
      <c r="J50" s="163"/>
      <c r="K50" s="163"/>
      <c r="L50" s="163"/>
      <c r="M50" s="163"/>
    </row>
    <row r="51" spans="1:13" ht="14.25" x14ac:dyDescent="0.45">
      <c r="A51" s="163"/>
      <c r="B51" s="163"/>
      <c r="C51" s="163"/>
      <c r="D51" s="163"/>
      <c r="E51" s="163"/>
      <c r="F51" s="163"/>
      <c r="G51" s="163"/>
      <c r="H51" s="163"/>
      <c r="I51" s="163"/>
      <c r="J51" s="163"/>
      <c r="K51" s="163"/>
      <c r="L51" s="163"/>
      <c r="M51" s="163"/>
    </row>
    <row r="52" spans="1:13" ht="14.25" x14ac:dyDescent="0.45">
      <c r="A52" s="163"/>
      <c r="B52" s="163"/>
      <c r="C52" s="163"/>
      <c r="D52" s="163"/>
      <c r="E52" s="163"/>
      <c r="F52" s="163"/>
      <c r="G52" s="163"/>
      <c r="H52" s="163"/>
      <c r="I52" s="163"/>
      <c r="J52" s="163"/>
      <c r="K52" s="163"/>
      <c r="L52" s="163"/>
      <c r="M52" s="163"/>
    </row>
    <row r="53" spans="1:13" ht="14.25" x14ac:dyDescent="0.45">
      <c r="A53" s="163"/>
      <c r="B53" s="163"/>
      <c r="C53" s="163"/>
      <c r="D53" s="163"/>
      <c r="E53" s="163"/>
      <c r="F53" s="163"/>
      <c r="G53" s="163"/>
      <c r="H53" s="163"/>
      <c r="I53" s="163"/>
      <c r="J53" s="163"/>
      <c r="K53" s="163"/>
      <c r="L53" s="163"/>
      <c r="M53" s="163"/>
    </row>
    <row r="54" spans="1:13" ht="14.25" x14ac:dyDescent="0.45">
      <c r="A54" s="163"/>
      <c r="B54" s="163"/>
      <c r="C54" s="163"/>
      <c r="D54" s="163"/>
      <c r="E54" s="163"/>
      <c r="F54" s="163"/>
      <c r="G54" s="163"/>
      <c r="H54" s="163"/>
      <c r="I54" s="163"/>
      <c r="J54" s="163"/>
      <c r="K54" s="163"/>
      <c r="L54" s="163"/>
      <c r="M54" s="163"/>
    </row>
    <row r="55" spans="1:13" ht="14.25" x14ac:dyDescent="0.45">
      <c r="A55" s="163"/>
      <c r="B55" s="163"/>
      <c r="C55" s="163"/>
      <c r="D55" s="163"/>
      <c r="E55" s="163"/>
      <c r="F55" s="163"/>
      <c r="G55" s="163"/>
      <c r="H55" s="163"/>
      <c r="I55" s="163"/>
      <c r="J55" s="163"/>
      <c r="K55" s="163"/>
      <c r="L55" s="163"/>
      <c r="M55" s="163"/>
    </row>
    <row r="56" spans="1:13" ht="14.25" x14ac:dyDescent="0.45">
      <c r="A56" s="163"/>
      <c r="B56" s="163"/>
      <c r="C56" s="163"/>
      <c r="D56" s="163"/>
      <c r="E56" s="163"/>
      <c r="F56" s="163"/>
      <c r="G56" s="163"/>
      <c r="H56" s="163"/>
      <c r="I56" s="163"/>
      <c r="J56" s="163"/>
      <c r="K56" s="163"/>
      <c r="L56" s="163"/>
      <c r="M56" s="163"/>
    </row>
    <row r="57" spans="1:13" ht="15" customHeight="1" x14ac:dyDescent="0.45">
      <c r="A57" s="163"/>
      <c r="B57" s="163"/>
      <c r="C57" s="163"/>
      <c r="D57" s="163"/>
      <c r="E57" s="163"/>
      <c r="F57" s="163"/>
      <c r="G57" s="163"/>
      <c r="H57" s="163"/>
      <c r="I57" s="163"/>
      <c r="J57" s="163"/>
      <c r="K57" s="163"/>
      <c r="L57" s="163"/>
      <c r="M57" s="163"/>
    </row>
    <row r="58" spans="1:13" ht="15" customHeight="1" x14ac:dyDescent="0.45">
      <c r="A58" s="164"/>
      <c r="B58" s="164"/>
      <c r="C58" s="164"/>
      <c r="D58" s="164"/>
      <c r="E58" s="164"/>
      <c r="F58" s="164"/>
      <c r="G58" s="164"/>
      <c r="H58" s="164"/>
      <c r="I58" s="164"/>
      <c r="J58" s="164"/>
      <c r="K58" s="164"/>
      <c r="L58" s="164"/>
      <c r="M58" s="164"/>
    </row>
    <row r="59" spans="1:13" ht="15" customHeight="1" x14ac:dyDescent="0.45"/>
    <row r="60" spans="1:13" ht="15" customHeight="1" x14ac:dyDescent="0.45"/>
    <row r="61" spans="1:13" ht="15" customHeight="1" x14ac:dyDescent="0.45"/>
    <row r="62" spans="1:13" ht="15" customHeight="1" x14ac:dyDescent="0.45"/>
    <row r="63" spans="1:13" ht="15" customHeight="1" x14ac:dyDescent="0.45"/>
    <row r="64" spans="1:13" ht="15" customHeight="1" x14ac:dyDescent="0.45"/>
    <row r="65" ht="15" customHeight="1" x14ac:dyDescent="0.45"/>
  </sheetData>
  <sheetProtection formatCells="0" formatColumns="0"/>
  <mergeCells count="11">
    <mergeCell ref="A12:I12"/>
    <mergeCell ref="A13:I13"/>
    <mergeCell ref="D16:G16"/>
    <mergeCell ref="G18:J18"/>
    <mergeCell ref="C1:G1"/>
    <mergeCell ref="C2:G2"/>
    <mergeCell ref="A7:I7"/>
    <mergeCell ref="A8:I8"/>
    <mergeCell ref="A9:I9"/>
    <mergeCell ref="A10:I10"/>
    <mergeCell ref="A11:I11"/>
  </mergeCells>
  <pageMargins left="0.25" right="0.25" top="0.75" bottom="0.75" header="0.3" footer="0.3"/>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895DB-7D05-4DB2-91EC-BCC5EFF12AD7}">
  <sheetPr>
    <tabColor rgb="FF00B0F0"/>
    <pageSetUpPr fitToPage="1"/>
  </sheetPr>
  <dimension ref="A1:M98"/>
  <sheetViews>
    <sheetView showGridLines="0" zoomScaleNormal="100" workbookViewId="0">
      <selection activeCell="L66" sqref="L66"/>
    </sheetView>
  </sheetViews>
  <sheetFormatPr defaultColWidth="0" defaultRowHeight="15" customHeight="1" zeroHeight="1" x14ac:dyDescent="0.45"/>
  <cols>
    <col min="1" max="8" width="8" customWidth="1"/>
    <col min="9" max="9" width="42.265625" customWidth="1"/>
    <col min="10" max="10" width="8" customWidth="1"/>
    <col min="11" max="11" width="25.86328125" bestFit="1" customWidth="1"/>
    <col min="12" max="12" width="38.53125" customWidth="1"/>
    <col min="13" max="13" width="8" customWidth="1"/>
    <col min="14" max="16384" width="8" hidden="1"/>
  </cols>
  <sheetData>
    <row r="1" spans="1:13" s="164" customFormat="1" ht="14.25" x14ac:dyDescent="0.45">
      <c r="A1" s="166" t="s">
        <v>474</v>
      </c>
      <c r="B1" s="162"/>
      <c r="C1" s="264">
        <f>'Rate Change'!B5</f>
        <v>0</v>
      </c>
      <c r="D1" s="265"/>
      <c r="E1" s="265"/>
      <c r="F1" s="265"/>
      <c r="G1" s="266"/>
      <c r="H1" s="162"/>
      <c r="I1" s="162"/>
      <c r="J1" s="162"/>
      <c r="K1" s="162"/>
      <c r="L1" s="162"/>
      <c r="M1" s="163"/>
    </row>
    <row r="2" spans="1:13" s="164" customFormat="1" ht="14.25" x14ac:dyDescent="0.45">
      <c r="A2" s="166" t="s">
        <v>136</v>
      </c>
      <c r="B2" s="162"/>
      <c r="C2" s="264">
        <f>'Rate Change'!B9</f>
        <v>0</v>
      </c>
      <c r="D2" s="265"/>
      <c r="E2" s="265"/>
      <c r="F2" s="265"/>
      <c r="G2" s="266"/>
      <c r="H2" s="162"/>
      <c r="I2" s="162"/>
      <c r="J2" s="162"/>
      <c r="K2" s="162"/>
      <c r="L2" s="162"/>
      <c r="M2" s="163"/>
    </row>
    <row r="3" spans="1:13" s="164" customFormat="1" ht="14.25" x14ac:dyDescent="0.45">
      <c r="A3" s="162" t="s">
        <v>475</v>
      </c>
      <c r="B3" s="162"/>
      <c r="C3" s="162"/>
      <c r="D3" s="162"/>
      <c r="E3" s="162"/>
      <c r="F3" s="162"/>
      <c r="G3" s="162"/>
      <c r="H3" s="162"/>
      <c r="I3" s="162"/>
      <c r="J3" s="162"/>
      <c r="K3" s="162"/>
      <c r="L3" s="162"/>
      <c r="M3" s="163"/>
    </row>
    <row r="4" spans="1:13" s="164" customFormat="1" ht="14.25" x14ac:dyDescent="0.45">
      <c r="A4" s="165" t="s">
        <v>476</v>
      </c>
      <c r="B4" s="162"/>
      <c r="C4" s="162"/>
      <c r="D4" s="162"/>
      <c r="E4" s="162"/>
      <c r="F4" s="162"/>
      <c r="G4" s="162"/>
      <c r="H4" s="162"/>
      <c r="I4" s="162"/>
      <c r="J4" s="162"/>
      <c r="K4" s="162"/>
      <c r="L4" s="162"/>
      <c r="M4" s="163"/>
    </row>
    <row r="5" spans="1:13" s="164" customFormat="1" ht="14.25" x14ac:dyDescent="0.45">
      <c r="A5" s="162"/>
      <c r="B5" s="162"/>
      <c r="C5" s="162"/>
      <c r="D5" s="162"/>
      <c r="E5" s="162"/>
      <c r="F5" s="162"/>
      <c r="G5" s="162"/>
      <c r="H5" s="162"/>
      <c r="I5" s="162"/>
      <c r="J5" s="162"/>
      <c r="K5" s="162"/>
      <c r="L5" s="162"/>
      <c r="M5" s="163"/>
    </row>
    <row r="6" spans="1:13" s="164" customFormat="1" ht="14.25" x14ac:dyDescent="0.45">
      <c r="A6" s="165" t="s">
        <v>484</v>
      </c>
      <c r="B6" s="162"/>
      <c r="C6" s="162"/>
      <c r="D6" s="162"/>
      <c r="E6" s="162"/>
      <c r="F6" s="162"/>
      <c r="G6" s="162"/>
      <c r="H6" s="162"/>
      <c r="I6" s="162"/>
      <c r="J6" s="162"/>
      <c r="K6" s="165" t="s">
        <v>485</v>
      </c>
      <c r="L6" s="165" t="s">
        <v>1</v>
      </c>
      <c r="M6" s="163"/>
    </row>
    <row r="7" spans="1:13" s="164" customFormat="1" ht="14.25" x14ac:dyDescent="0.45">
      <c r="A7" s="171" t="s">
        <v>488</v>
      </c>
      <c r="B7" s="171"/>
      <c r="C7" s="171"/>
      <c r="D7" s="171"/>
      <c r="E7" s="171"/>
      <c r="F7" s="171"/>
      <c r="G7" s="171"/>
      <c r="H7" s="171"/>
      <c r="I7" s="171"/>
      <c r="J7" s="162"/>
      <c r="K7" s="162"/>
      <c r="L7" s="162"/>
      <c r="M7" s="163"/>
    </row>
    <row r="8" spans="1:13" s="164" customFormat="1" ht="14.25" x14ac:dyDescent="0.45">
      <c r="A8" s="267" t="s">
        <v>489</v>
      </c>
      <c r="B8" s="267"/>
      <c r="C8" s="267"/>
      <c r="D8" s="267"/>
      <c r="E8" s="267"/>
      <c r="F8" s="267"/>
      <c r="G8" s="267"/>
      <c r="H8" s="267"/>
      <c r="I8" s="267"/>
      <c r="J8" s="167"/>
      <c r="K8" s="167"/>
      <c r="L8" s="167"/>
      <c r="M8" s="163"/>
    </row>
    <row r="9" spans="1:13" s="164" customFormat="1" ht="29.65" customHeight="1" x14ac:dyDescent="0.45">
      <c r="A9" s="268" t="s">
        <v>490</v>
      </c>
      <c r="B9" s="268"/>
      <c r="C9" s="268"/>
      <c r="D9" s="268"/>
      <c r="E9" s="268"/>
      <c r="F9" s="268"/>
      <c r="G9" s="268"/>
      <c r="H9" s="268"/>
      <c r="I9" s="268"/>
      <c r="J9" s="162"/>
      <c r="K9" s="162"/>
      <c r="L9" s="162"/>
      <c r="M9" s="163"/>
    </row>
    <row r="10" spans="1:13" s="164" customFormat="1" ht="14.25" x14ac:dyDescent="0.45">
      <c r="A10" s="267" t="s">
        <v>491</v>
      </c>
      <c r="B10" s="267"/>
      <c r="C10" s="267"/>
      <c r="D10" s="267"/>
      <c r="E10" s="267"/>
      <c r="F10" s="267"/>
      <c r="G10" s="267"/>
      <c r="H10" s="267"/>
      <c r="I10" s="267"/>
      <c r="J10" s="167"/>
      <c r="K10" s="167"/>
      <c r="L10" s="167"/>
      <c r="M10" s="163"/>
    </row>
    <row r="11" spans="1:13" s="164" customFormat="1" ht="14.25" x14ac:dyDescent="0.45">
      <c r="A11" s="169"/>
      <c r="B11" s="169"/>
      <c r="C11" s="169"/>
      <c r="D11" s="169"/>
      <c r="E11" s="169"/>
      <c r="F11" s="169"/>
      <c r="G11" s="169"/>
      <c r="H11" s="169"/>
      <c r="I11" s="169"/>
      <c r="J11" s="162"/>
      <c r="K11" s="162"/>
      <c r="L11" s="162"/>
      <c r="M11" s="163"/>
    </row>
    <row r="12" spans="1:13" s="164" customFormat="1" ht="14.25" customHeight="1" x14ac:dyDescent="0.45">
      <c r="A12" s="171" t="s">
        <v>492</v>
      </c>
      <c r="B12" s="171"/>
      <c r="C12" s="171"/>
      <c r="D12" s="171"/>
      <c r="E12" s="171"/>
      <c r="F12" s="171"/>
      <c r="G12" s="171"/>
      <c r="H12" s="171"/>
      <c r="I12" s="171"/>
      <c r="J12" s="162"/>
      <c r="K12" s="162"/>
      <c r="L12" s="162"/>
      <c r="M12" s="163"/>
    </row>
    <row r="13" spans="1:13" s="164" customFormat="1" ht="14.25" x14ac:dyDescent="0.45">
      <c r="A13" s="267" t="s">
        <v>493</v>
      </c>
      <c r="B13" s="267"/>
      <c r="C13" s="267"/>
      <c r="D13" s="267"/>
      <c r="E13" s="267"/>
      <c r="F13" s="267"/>
      <c r="G13" s="267"/>
      <c r="H13" s="267"/>
      <c r="I13" s="267"/>
      <c r="J13" s="167"/>
      <c r="K13" s="167"/>
      <c r="L13" s="167"/>
      <c r="M13" s="163"/>
    </row>
    <row r="14" spans="1:13" s="164" customFormat="1" ht="14.25" x14ac:dyDescent="0.45">
      <c r="A14" s="268" t="s">
        <v>494</v>
      </c>
      <c r="B14" s="268"/>
      <c r="C14" s="268"/>
      <c r="D14" s="268"/>
      <c r="E14" s="268"/>
      <c r="F14" s="268"/>
      <c r="G14" s="268"/>
      <c r="H14" s="268"/>
      <c r="I14" s="268"/>
      <c r="J14" s="162"/>
      <c r="K14" s="162"/>
      <c r="L14" s="162"/>
      <c r="M14" s="163"/>
    </row>
    <row r="15" spans="1:13" s="164" customFormat="1" ht="14.25" x14ac:dyDescent="0.45">
      <c r="A15" s="267" t="s">
        <v>495</v>
      </c>
      <c r="B15" s="267"/>
      <c r="C15" s="267"/>
      <c r="D15" s="267"/>
      <c r="E15" s="267"/>
      <c r="F15" s="267"/>
      <c r="G15" s="267"/>
      <c r="H15" s="267"/>
      <c r="I15" s="267"/>
      <c r="J15" s="172"/>
      <c r="K15" s="172"/>
      <c r="L15" s="172"/>
      <c r="M15" s="163"/>
    </row>
    <row r="16" spans="1:13" s="164" customFormat="1" ht="14.25" x14ac:dyDescent="0.45">
      <c r="A16" s="170"/>
      <c r="B16" s="170"/>
      <c r="C16" s="170"/>
      <c r="D16" s="170"/>
      <c r="E16" s="170"/>
      <c r="F16" s="170"/>
      <c r="G16" s="170"/>
      <c r="H16" s="170"/>
      <c r="I16" s="170"/>
      <c r="J16" s="163"/>
      <c r="K16" s="163"/>
      <c r="L16" s="163"/>
      <c r="M16" s="163"/>
    </row>
    <row r="17" spans="1:13" s="164" customFormat="1" ht="14.25" customHeight="1" x14ac:dyDescent="0.45">
      <c r="A17" s="171" t="s">
        <v>496</v>
      </c>
      <c r="B17" s="171"/>
      <c r="C17" s="171"/>
      <c r="D17" s="171"/>
      <c r="E17" s="171"/>
      <c r="F17" s="171"/>
      <c r="G17" s="171"/>
      <c r="H17" s="171"/>
      <c r="I17" s="171"/>
      <c r="J17" s="163"/>
      <c r="K17" s="163"/>
      <c r="L17" s="163"/>
      <c r="M17" s="163"/>
    </row>
    <row r="18" spans="1:13" s="164" customFormat="1" ht="28.15" customHeight="1" x14ac:dyDescent="0.45">
      <c r="A18" s="267" t="s">
        <v>497</v>
      </c>
      <c r="B18" s="267"/>
      <c r="C18" s="267"/>
      <c r="D18" s="267"/>
      <c r="E18" s="267"/>
      <c r="F18" s="267"/>
      <c r="G18" s="267"/>
      <c r="H18" s="267"/>
      <c r="I18" s="267"/>
      <c r="J18" s="172"/>
      <c r="K18" s="172"/>
      <c r="L18" s="172"/>
      <c r="M18" s="163"/>
    </row>
    <row r="19" spans="1:13" s="164" customFormat="1" ht="28.5" customHeight="1" x14ac:dyDescent="0.45">
      <c r="A19" s="268" t="s">
        <v>498</v>
      </c>
      <c r="B19" s="268"/>
      <c r="C19" s="268"/>
      <c r="D19" s="268"/>
      <c r="E19" s="268"/>
      <c r="F19" s="268"/>
      <c r="G19" s="268"/>
      <c r="H19" s="268"/>
      <c r="I19" s="268"/>
      <c r="J19" s="163"/>
      <c r="K19" s="163"/>
      <c r="L19" s="163"/>
      <c r="M19" s="163"/>
    </row>
    <row r="20" spans="1:13" s="164" customFormat="1" ht="14.25" x14ac:dyDescent="0.45">
      <c r="A20" s="170"/>
      <c r="B20" s="170"/>
      <c r="C20" s="170"/>
      <c r="D20" s="170"/>
      <c r="E20" s="170"/>
      <c r="F20" s="170"/>
      <c r="G20" s="170"/>
      <c r="H20" s="170"/>
      <c r="I20" s="170"/>
      <c r="J20" s="163"/>
      <c r="K20" s="163"/>
      <c r="L20" s="163"/>
      <c r="M20" s="163"/>
    </row>
    <row r="21" spans="1:13" s="164" customFormat="1" ht="14.25" customHeight="1" x14ac:dyDescent="0.45">
      <c r="A21" s="171" t="s">
        <v>499</v>
      </c>
      <c r="B21" s="171"/>
      <c r="C21" s="171"/>
      <c r="D21" s="171"/>
      <c r="E21" s="171"/>
      <c r="F21" s="171"/>
      <c r="G21" s="171"/>
      <c r="H21" s="171"/>
      <c r="I21" s="171"/>
      <c r="J21" s="163"/>
      <c r="K21" s="163"/>
      <c r="L21" s="163"/>
      <c r="M21" s="163"/>
    </row>
    <row r="22" spans="1:13" s="164" customFormat="1" ht="44.25" customHeight="1" x14ac:dyDescent="0.45">
      <c r="A22" s="267" t="s">
        <v>500</v>
      </c>
      <c r="B22" s="267"/>
      <c r="C22" s="267"/>
      <c r="D22" s="267"/>
      <c r="E22" s="267"/>
      <c r="F22" s="267"/>
      <c r="G22" s="267"/>
      <c r="H22" s="267"/>
      <c r="I22" s="267"/>
      <c r="J22" s="172"/>
      <c r="K22" s="172"/>
      <c r="L22" s="172"/>
      <c r="M22" s="163"/>
    </row>
    <row r="23" spans="1:13" s="164" customFormat="1" ht="14.25" x14ac:dyDescent="0.45">
      <c r="A23" s="170"/>
      <c r="B23" s="170"/>
      <c r="C23" s="170"/>
      <c r="D23" s="170"/>
      <c r="E23" s="170"/>
      <c r="F23" s="170"/>
      <c r="G23" s="170"/>
      <c r="H23" s="170"/>
      <c r="I23" s="170"/>
      <c r="J23" s="163"/>
      <c r="K23" s="163"/>
      <c r="L23" s="163"/>
      <c r="M23" s="163"/>
    </row>
    <row r="24" spans="1:13" s="164" customFormat="1" ht="14.25" customHeight="1" x14ac:dyDescent="0.45">
      <c r="A24" s="171" t="s">
        <v>501</v>
      </c>
      <c r="B24" s="171"/>
      <c r="C24" s="171"/>
      <c r="D24" s="171"/>
      <c r="E24" s="171"/>
      <c r="F24" s="171"/>
      <c r="G24" s="171"/>
      <c r="H24" s="171"/>
      <c r="I24" s="171"/>
      <c r="J24" s="163"/>
      <c r="K24" s="163"/>
      <c r="L24" s="163"/>
      <c r="M24" s="163"/>
    </row>
    <row r="25" spans="1:13" s="164" customFormat="1" ht="14.25" x14ac:dyDescent="0.45">
      <c r="A25" s="267" t="s">
        <v>502</v>
      </c>
      <c r="B25" s="267"/>
      <c r="C25" s="267"/>
      <c r="D25" s="267"/>
      <c r="E25" s="267"/>
      <c r="F25" s="267"/>
      <c r="G25" s="267"/>
      <c r="H25" s="267"/>
      <c r="I25" s="267"/>
      <c r="J25" s="172"/>
      <c r="K25" s="172"/>
      <c r="L25" s="172"/>
      <c r="M25" s="163"/>
    </row>
    <row r="26" spans="1:13" s="164" customFormat="1" ht="14.25" x14ac:dyDescent="0.45">
      <c r="A26" s="170"/>
      <c r="B26" s="170"/>
      <c r="C26" s="170"/>
      <c r="D26" s="170"/>
      <c r="E26" s="170"/>
      <c r="F26" s="170"/>
      <c r="G26" s="170"/>
      <c r="H26" s="170"/>
      <c r="I26" s="170"/>
      <c r="J26" s="163"/>
      <c r="K26" s="163"/>
      <c r="L26" s="163"/>
      <c r="M26" s="163"/>
    </row>
    <row r="27" spans="1:13" s="164" customFormat="1" ht="14.25" customHeight="1" x14ac:dyDescent="0.45">
      <c r="A27" s="171" t="s">
        <v>503</v>
      </c>
      <c r="B27" s="171"/>
      <c r="C27" s="171"/>
      <c r="D27" s="171"/>
      <c r="E27" s="171"/>
      <c r="F27" s="171"/>
      <c r="G27" s="171"/>
      <c r="H27" s="171"/>
      <c r="I27" s="171"/>
      <c r="J27" s="163"/>
      <c r="K27" s="163"/>
      <c r="L27" s="163"/>
      <c r="M27" s="163"/>
    </row>
    <row r="28" spans="1:13" ht="14.25" x14ac:dyDescent="0.45">
      <c r="A28" s="267" t="s">
        <v>504</v>
      </c>
      <c r="B28" s="267"/>
      <c r="C28" s="267"/>
      <c r="D28" s="267"/>
      <c r="E28" s="267"/>
      <c r="F28" s="267"/>
      <c r="G28" s="267"/>
      <c r="H28" s="267"/>
      <c r="I28" s="267"/>
      <c r="J28" s="172"/>
      <c r="K28" s="172"/>
      <c r="L28" s="172"/>
      <c r="M28" s="163"/>
    </row>
    <row r="29" spans="1:13" ht="14.25" x14ac:dyDescent="0.45">
      <c r="A29" s="268" t="s">
        <v>505</v>
      </c>
      <c r="B29" s="268"/>
      <c r="C29" s="268"/>
      <c r="D29" s="268"/>
      <c r="E29" s="268"/>
      <c r="F29" s="268"/>
      <c r="G29" s="268"/>
      <c r="H29" s="268"/>
      <c r="I29" s="268"/>
      <c r="J29" s="163"/>
      <c r="K29" s="163"/>
      <c r="L29" s="163"/>
      <c r="M29" s="163"/>
    </row>
    <row r="30" spans="1:13" ht="14.25" x14ac:dyDescent="0.45">
      <c r="A30" s="170"/>
      <c r="B30" s="170"/>
      <c r="C30" s="170"/>
      <c r="D30" s="170"/>
      <c r="E30" s="170"/>
      <c r="F30" s="170"/>
      <c r="G30" s="170"/>
      <c r="H30" s="170"/>
      <c r="I30" s="170"/>
      <c r="J30" s="163"/>
      <c r="K30" s="163"/>
      <c r="L30" s="163"/>
      <c r="M30" s="163"/>
    </row>
    <row r="31" spans="1:13" ht="14.25" customHeight="1" x14ac:dyDescent="0.45">
      <c r="A31" s="171" t="s">
        <v>506</v>
      </c>
      <c r="B31" s="171"/>
      <c r="C31" s="171"/>
      <c r="D31" s="171"/>
      <c r="E31" s="171"/>
      <c r="F31" s="171"/>
      <c r="G31" s="171"/>
      <c r="H31" s="171"/>
      <c r="I31" s="171"/>
      <c r="J31" s="163"/>
      <c r="K31" s="163"/>
      <c r="L31" s="163"/>
      <c r="M31" s="163"/>
    </row>
    <row r="32" spans="1:13" ht="31.9" customHeight="1" x14ac:dyDescent="0.45">
      <c r="A32" s="267" t="s">
        <v>507</v>
      </c>
      <c r="B32" s="267"/>
      <c r="C32" s="267"/>
      <c r="D32" s="267"/>
      <c r="E32" s="267"/>
      <c r="F32" s="267"/>
      <c r="G32" s="267"/>
      <c r="H32" s="267"/>
      <c r="I32" s="267"/>
      <c r="J32" s="172"/>
      <c r="K32" s="172"/>
      <c r="L32" s="172"/>
      <c r="M32" s="163"/>
    </row>
    <row r="33" spans="1:13" ht="14.25" x14ac:dyDescent="0.45">
      <c r="A33" s="170"/>
      <c r="B33" s="170"/>
      <c r="C33" s="170"/>
      <c r="D33" s="170"/>
      <c r="E33" s="170"/>
      <c r="F33" s="170"/>
      <c r="G33" s="170"/>
      <c r="H33" s="170"/>
      <c r="I33" s="170"/>
      <c r="J33" s="163"/>
      <c r="K33" s="163"/>
      <c r="L33" s="163"/>
      <c r="M33" s="163"/>
    </row>
    <row r="34" spans="1:13" ht="14.25" customHeight="1" x14ac:dyDescent="0.45">
      <c r="A34" s="171" t="s">
        <v>508</v>
      </c>
      <c r="B34" s="171"/>
      <c r="C34" s="171"/>
      <c r="D34" s="171"/>
      <c r="E34" s="171"/>
      <c r="F34" s="171"/>
      <c r="G34" s="171"/>
      <c r="H34" s="171"/>
      <c r="I34" s="171"/>
      <c r="J34" s="163"/>
      <c r="K34" s="163"/>
      <c r="L34" s="163"/>
      <c r="M34" s="163"/>
    </row>
    <row r="35" spans="1:13" ht="14.25" x14ac:dyDescent="0.45">
      <c r="A35" s="267" t="s">
        <v>509</v>
      </c>
      <c r="B35" s="267"/>
      <c r="C35" s="267"/>
      <c r="D35" s="267"/>
      <c r="E35" s="267"/>
      <c r="F35" s="267"/>
      <c r="G35" s="267"/>
      <c r="H35" s="267"/>
      <c r="I35" s="267"/>
      <c r="J35" s="172"/>
      <c r="K35" s="172"/>
      <c r="L35" s="172"/>
      <c r="M35" s="163"/>
    </row>
    <row r="36" spans="1:13" ht="14.25" x14ac:dyDescent="0.45">
      <c r="A36" s="170"/>
      <c r="B36" s="170"/>
      <c r="C36" s="170"/>
      <c r="D36" s="170"/>
      <c r="E36" s="170"/>
      <c r="F36" s="170"/>
      <c r="G36" s="170"/>
      <c r="H36" s="170"/>
      <c r="I36" s="170"/>
      <c r="J36" s="163"/>
      <c r="K36" s="163"/>
      <c r="L36" s="163"/>
      <c r="M36" s="163"/>
    </row>
    <row r="37" spans="1:13" ht="14.25" customHeight="1" x14ac:dyDescent="0.45">
      <c r="A37" s="171" t="s">
        <v>510</v>
      </c>
      <c r="B37" s="171"/>
      <c r="C37" s="171"/>
      <c r="D37" s="171"/>
      <c r="E37" s="171"/>
      <c r="F37" s="171"/>
      <c r="G37" s="171"/>
      <c r="H37" s="171"/>
      <c r="I37" s="171"/>
      <c r="J37" s="163"/>
      <c r="K37" s="163"/>
      <c r="L37" s="163"/>
      <c r="M37" s="163"/>
    </row>
    <row r="38" spans="1:13" ht="46.15" customHeight="1" x14ac:dyDescent="0.45">
      <c r="A38" s="267" t="s">
        <v>511</v>
      </c>
      <c r="B38" s="267"/>
      <c r="C38" s="267"/>
      <c r="D38" s="267"/>
      <c r="E38" s="267"/>
      <c r="F38" s="267"/>
      <c r="G38" s="267"/>
      <c r="H38" s="267"/>
      <c r="I38" s="267"/>
      <c r="J38" s="172"/>
      <c r="K38" s="172"/>
      <c r="L38" s="172"/>
      <c r="M38" s="163"/>
    </row>
    <row r="39" spans="1:13" ht="14.25" x14ac:dyDescent="0.45">
      <c r="A39" s="170"/>
      <c r="B39" s="170"/>
      <c r="C39" s="170"/>
      <c r="D39" s="170"/>
      <c r="E39" s="170"/>
      <c r="F39" s="170"/>
      <c r="G39" s="170"/>
      <c r="H39" s="170"/>
      <c r="I39" s="170"/>
      <c r="J39" s="163"/>
      <c r="K39" s="163"/>
      <c r="L39" s="163"/>
      <c r="M39" s="163"/>
    </row>
    <row r="40" spans="1:13" ht="14.25" customHeight="1" x14ac:dyDescent="0.45">
      <c r="A40" s="171" t="s">
        <v>512</v>
      </c>
      <c r="B40" s="171"/>
      <c r="C40" s="171"/>
      <c r="D40" s="171"/>
      <c r="E40" s="171"/>
      <c r="F40" s="171"/>
      <c r="G40" s="171"/>
      <c r="H40" s="171"/>
      <c r="I40" s="171"/>
      <c r="J40" s="163"/>
      <c r="K40" s="163"/>
      <c r="L40" s="163"/>
      <c r="M40" s="163"/>
    </row>
    <row r="41" spans="1:13" ht="14.25" x14ac:dyDescent="0.45">
      <c r="A41" s="267" t="s">
        <v>513</v>
      </c>
      <c r="B41" s="267"/>
      <c r="C41" s="267"/>
      <c r="D41" s="267"/>
      <c r="E41" s="267"/>
      <c r="F41" s="267"/>
      <c r="G41" s="267"/>
      <c r="H41" s="267"/>
      <c r="I41" s="267"/>
      <c r="J41" s="172"/>
      <c r="K41" s="172"/>
      <c r="L41" s="172"/>
      <c r="M41" s="163"/>
    </row>
    <row r="42" spans="1:13" ht="14.25" x14ac:dyDescent="0.45">
      <c r="A42" s="170"/>
      <c r="B42" s="170"/>
      <c r="C42" s="170"/>
      <c r="D42" s="170"/>
      <c r="E42" s="170"/>
      <c r="F42" s="170"/>
      <c r="G42" s="170"/>
      <c r="H42" s="170"/>
      <c r="I42" s="170"/>
      <c r="J42" s="163"/>
      <c r="K42" s="163"/>
      <c r="L42" s="163"/>
      <c r="M42" s="163"/>
    </row>
    <row r="43" spans="1:13" ht="14.25" customHeight="1" x14ac:dyDescent="0.45">
      <c r="A43" s="171" t="s">
        <v>514</v>
      </c>
      <c r="B43" s="171"/>
      <c r="C43" s="171"/>
      <c r="D43" s="171"/>
      <c r="E43" s="171"/>
      <c r="F43" s="171"/>
      <c r="G43" s="171"/>
      <c r="H43" s="171"/>
      <c r="I43" s="171"/>
      <c r="J43" s="163"/>
      <c r="K43" s="163"/>
      <c r="L43" s="163"/>
      <c r="M43" s="163"/>
    </row>
    <row r="44" spans="1:13" ht="45" customHeight="1" x14ac:dyDescent="0.45">
      <c r="A44" s="267" t="s">
        <v>515</v>
      </c>
      <c r="B44" s="267"/>
      <c r="C44" s="267"/>
      <c r="D44" s="267"/>
      <c r="E44" s="267"/>
      <c r="F44" s="267"/>
      <c r="G44" s="267"/>
      <c r="H44" s="267"/>
      <c r="I44" s="267"/>
      <c r="J44" s="172"/>
      <c r="K44" s="172"/>
      <c r="L44" s="172"/>
      <c r="M44" s="163"/>
    </row>
    <row r="45" spans="1:13" ht="14.25" x14ac:dyDescent="0.45">
      <c r="A45" s="170"/>
      <c r="B45" s="170"/>
      <c r="C45" s="170"/>
      <c r="D45" s="170"/>
      <c r="E45" s="170"/>
      <c r="F45" s="170"/>
      <c r="G45" s="170"/>
      <c r="H45" s="170"/>
      <c r="I45" s="170"/>
      <c r="J45" s="163"/>
      <c r="K45" s="163"/>
      <c r="L45" s="163"/>
      <c r="M45" s="163"/>
    </row>
    <row r="46" spans="1:13" ht="14.25" customHeight="1" x14ac:dyDescent="0.45">
      <c r="A46" s="171" t="s">
        <v>516</v>
      </c>
      <c r="B46" s="171"/>
      <c r="C46" s="171"/>
      <c r="D46" s="171"/>
      <c r="E46" s="171"/>
      <c r="F46" s="171"/>
      <c r="G46" s="171"/>
      <c r="H46" s="171"/>
      <c r="I46" s="171"/>
      <c r="J46" s="163"/>
      <c r="K46" s="163"/>
      <c r="L46" s="163"/>
      <c r="M46" s="163"/>
    </row>
    <row r="47" spans="1:13" ht="14.25" x14ac:dyDescent="0.45">
      <c r="A47" s="267" t="s">
        <v>517</v>
      </c>
      <c r="B47" s="267"/>
      <c r="C47" s="267"/>
      <c r="D47" s="267"/>
      <c r="E47" s="267"/>
      <c r="F47" s="267"/>
      <c r="G47" s="267"/>
      <c r="H47" s="267"/>
      <c r="I47" s="267"/>
      <c r="J47" s="172"/>
      <c r="K47" s="172"/>
      <c r="L47" s="172"/>
      <c r="M47" s="163"/>
    </row>
    <row r="48" spans="1:13" ht="14.25" x14ac:dyDescent="0.45">
      <c r="A48" s="170"/>
      <c r="B48" s="170"/>
      <c r="C48" s="170"/>
      <c r="D48" s="170"/>
      <c r="E48" s="170"/>
      <c r="F48" s="170"/>
      <c r="G48" s="170"/>
      <c r="H48" s="170"/>
      <c r="I48" s="170"/>
      <c r="J48" s="163"/>
      <c r="K48" s="163"/>
      <c r="L48" s="163"/>
      <c r="M48" s="163"/>
    </row>
    <row r="49" spans="1:13" ht="14.25" customHeight="1" x14ac:dyDescent="0.45">
      <c r="A49" s="171" t="s">
        <v>518</v>
      </c>
      <c r="B49" s="171"/>
      <c r="C49" s="171"/>
      <c r="D49" s="171"/>
      <c r="E49" s="171"/>
      <c r="F49" s="171"/>
      <c r="G49" s="171"/>
      <c r="H49" s="171"/>
      <c r="I49" s="171"/>
      <c r="J49" s="163"/>
      <c r="K49" s="163"/>
      <c r="L49" s="163"/>
      <c r="M49" s="163"/>
    </row>
    <row r="50" spans="1:13" ht="14.25" x14ac:dyDescent="0.45">
      <c r="A50" s="267" t="s">
        <v>519</v>
      </c>
      <c r="B50" s="267"/>
      <c r="C50" s="267"/>
      <c r="D50" s="267"/>
      <c r="E50" s="267"/>
      <c r="F50" s="267"/>
      <c r="G50" s="267"/>
      <c r="H50" s="267"/>
      <c r="I50" s="267"/>
      <c r="J50" s="172"/>
      <c r="K50" s="172"/>
      <c r="L50" s="172"/>
      <c r="M50" s="163"/>
    </row>
    <row r="51" spans="1:13" ht="46.9" customHeight="1" x14ac:dyDescent="0.45">
      <c r="A51" s="268" t="s">
        <v>520</v>
      </c>
      <c r="B51" s="268"/>
      <c r="C51" s="268"/>
      <c r="D51" s="268"/>
      <c r="E51" s="268"/>
      <c r="F51" s="268"/>
      <c r="G51" s="268"/>
      <c r="H51" s="268"/>
      <c r="I51" s="268"/>
      <c r="J51" s="163"/>
      <c r="K51" s="163"/>
      <c r="L51" s="163"/>
      <c r="M51" s="163"/>
    </row>
    <row r="52" spans="1:13" ht="33" customHeight="1" x14ac:dyDescent="0.45">
      <c r="A52" s="267" t="s">
        <v>521</v>
      </c>
      <c r="B52" s="267"/>
      <c r="C52" s="267"/>
      <c r="D52" s="267"/>
      <c r="E52" s="267"/>
      <c r="F52" s="267"/>
      <c r="G52" s="267"/>
      <c r="H52" s="267"/>
      <c r="I52" s="267"/>
      <c r="J52" s="172"/>
      <c r="K52" s="172"/>
      <c r="L52" s="172"/>
      <c r="M52" s="163"/>
    </row>
    <row r="53" spans="1:13" ht="14.25" x14ac:dyDescent="0.45">
      <c r="A53" s="170"/>
      <c r="B53" s="170"/>
      <c r="C53" s="170"/>
      <c r="D53" s="170"/>
      <c r="E53" s="170"/>
      <c r="F53" s="170"/>
      <c r="G53" s="170"/>
      <c r="H53" s="170"/>
      <c r="I53" s="170"/>
      <c r="J53" s="163"/>
      <c r="K53" s="163"/>
      <c r="L53" s="163"/>
      <c r="M53" s="163"/>
    </row>
    <row r="54" spans="1:13" ht="14.25" x14ac:dyDescent="0.45">
      <c r="A54" s="171" t="s">
        <v>522</v>
      </c>
      <c r="B54" s="171"/>
      <c r="C54" s="171"/>
      <c r="D54" s="171"/>
      <c r="E54" s="171"/>
      <c r="F54" s="171"/>
      <c r="G54" s="171"/>
      <c r="H54" s="171"/>
      <c r="I54" s="171"/>
      <c r="J54" s="163"/>
      <c r="K54" s="163"/>
      <c r="L54" s="163"/>
      <c r="M54" s="163"/>
    </row>
    <row r="55" spans="1:13" ht="57" customHeight="1" x14ac:dyDescent="0.45">
      <c r="A55" s="267" t="s">
        <v>523</v>
      </c>
      <c r="B55" s="267"/>
      <c r="C55" s="267"/>
      <c r="D55" s="267"/>
      <c r="E55" s="267"/>
      <c r="F55" s="267"/>
      <c r="G55" s="267"/>
      <c r="H55" s="267"/>
      <c r="I55" s="267"/>
      <c r="J55" s="172"/>
      <c r="K55" s="172"/>
      <c r="L55" s="172"/>
      <c r="M55" s="163"/>
    </row>
    <row r="56" spans="1:13" ht="92.65" customHeight="1" x14ac:dyDescent="0.45">
      <c r="A56" s="268" t="s">
        <v>524</v>
      </c>
      <c r="B56" s="268"/>
      <c r="C56" s="268"/>
      <c r="D56" s="268"/>
      <c r="E56" s="268"/>
      <c r="F56" s="268"/>
      <c r="G56" s="268"/>
      <c r="H56" s="268"/>
      <c r="I56" s="268"/>
      <c r="J56" s="163"/>
      <c r="K56" s="163"/>
      <c r="L56" s="163"/>
      <c r="M56" s="163"/>
    </row>
    <row r="57" spans="1:13" ht="14.25" x14ac:dyDescent="0.45">
      <c r="A57" s="267" t="s">
        <v>525</v>
      </c>
      <c r="B57" s="267"/>
      <c r="C57" s="267"/>
      <c r="D57" s="267"/>
      <c r="E57" s="267"/>
      <c r="F57" s="267"/>
      <c r="G57" s="267"/>
      <c r="H57" s="267"/>
      <c r="I57" s="267"/>
      <c r="J57" s="172"/>
      <c r="K57" s="172"/>
      <c r="L57" s="172"/>
      <c r="M57" s="163"/>
    </row>
    <row r="58" spans="1:13" ht="14.25" x14ac:dyDescent="0.45">
      <c r="A58" s="170"/>
      <c r="B58" s="170"/>
      <c r="C58" s="170"/>
      <c r="D58" s="170"/>
      <c r="E58" s="170"/>
      <c r="F58" s="170"/>
      <c r="G58" s="170"/>
      <c r="H58" s="170"/>
      <c r="I58" s="170"/>
      <c r="J58" s="163"/>
      <c r="K58" s="163"/>
      <c r="L58" s="163"/>
      <c r="M58" s="163"/>
    </row>
    <row r="59" spans="1:13" ht="14.25" customHeight="1" x14ac:dyDescent="0.45">
      <c r="A59" s="171" t="s">
        <v>526</v>
      </c>
      <c r="B59" s="171"/>
      <c r="C59" s="171"/>
      <c r="D59" s="171"/>
      <c r="E59" s="171"/>
      <c r="F59" s="171"/>
      <c r="G59" s="171"/>
      <c r="H59" s="171"/>
      <c r="I59" s="171"/>
      <c r="J59" s="163"/>
      <c r="K59" s="163"/>
      <c r="L59" s="163"/>
      <c r="M59" s="163"/>
    </row>
    <row r="60" spans="1:13" ht="14.25" x14ac:dyDescent="0.45">
      <c r="A60" s="267" t="s">
        <v>527</v>
      </c>
      <c r="B60" s="267"/>
      <c r="C60" s="267"/>
      <c r="D60" s="267"/>
      <c r="E60" s="267"/>
      <c r="F60" s="267"/>
      <c r="G60" s="267"/>
      <c r="H60" s="267"/>
      <c r="I60" s="267"/>
      <c r="J60" s="172"/>
      <c r="K60" s="172"/>
      <c r="L60" s="172"/>
      <c r="M60" s="163"/>
    </row>
    <row r="61" spans="1:13" ht="14.25" x14ac:dyDescent="0.45">
      <c r="A61" s="170"/>
      <c r="B61" s="170"/>
      <c r="C61" s="170"/>
      <c r="D61" s="170"/>
      <c r="E61" s="170"/>
      <c r="F61" s="170"/>
      <c r="G61" s="170"/>
      <c r="H61" s="170"/>
      <c r="I61" s="170"/>
      <c r="J61" s="163"/>
      <c r="K61" s="163"/>
      <c r="L61" s="163"/>
      <c r="M61" s="163"/>
    </row>
    <row r="62" spans="1:13" ht="14.25" customHeight="1" x14ac:dyDescent="0.45">
      <c r="A62" s="171" t="s">
        <v>528</v>
      </c>
      <c r="B62" s="171"/>
      <c r="C62" s="171"/>
      <c r="D62" s="171"/>
      <c r="E62" s="171"/>
      <c r="F62" s="171"/>
      <c r="G62" s="171"/>
      <c r="H62" s="171"/>
      <c r="I62" s="171"/>
      <c r="J62" s="163"/>
      <c r="K62" s="163"/>
      <c r="L62" s="163"/>
      <c r="M62" s="163"/>
    </row>
    <row r="63" spans="1:13" ht="14.25" x14ac:dyDescent="0.45">
      <c r="A63" s="267" t="s">
        <v>529</v>
      </c>
      <c r="B63" s="267"/>
      <c r="C63" s="267"/>
      <c r="D63" s="267"/>
      <c r="E63" s="267"/>
      <c r="F63" s="267"/>
      <c r="G63" s="267"/>
      <c r="H63" s="267"/>
      <c r="I63" s="267"/>
      <c r="J63" s="172"/>
      <c r="K63" s="172"/>
      <c r="L63" s="172"/>
      <c r="M63" s="163"/>
    </row>
    <row r="64" spans="1:13" ht="14.25" x14ac:dyDescent="0.45">
      <c r="A64" s="170"/>
      <c r="B64" s="170"/>
      <c r="C64" s="170"/>
      <c r="D64" s="170"/>
      <c r="E64" s="170"/>
      <c r="F64" s="170"/>
      <c r="G64" s="170"/>
      <c r="H64" s="170"/>
      <c r="I64" s="170"/>
      <c r="J64" s="163"/>
      <c r="K64" s="163"/>
      <c r="L64" s="163"/>
      <c r="M64" s="163"/>
    </row>
    <row r="65" spans="1:13" ht="14.25" customHeight="1" x14ac:dyDescent="0.45">
      <c r="A65" s="171" t="s">
        <v>530</v>
      </c>
      <c r="B65" s="171"/>
      <c r="C65" s="171"/>
      <c r="D65" s="171"/>
      <c r="E65" s="171"/>
      <c r="F65" s="171"/>
      <c r="G65" s="171"/>
      <c r="H65" s="171"/>
      <c r="I65" s="171"/>
      <c r="J65" s="163"/>
      <c r="K65" s="163"/>
      <c r="L65" s="163"/>
      <c r="M65" s="163"/>
    </row>
    <row r="66" spans="1:13" ht="72" customHeight="1" x14ac:dyDescent="0.45">
      <c r="A66" s="267" t="s">
        <v>531</v>
      </c>
      <c r="B66" s="267"/>
      <c r="C66" s="267"/>
      <c r="D66" s="267"/>
      <c r="E66" s="267"/>
      <c r="F66" s="267"/>
      <c r="G66" s="267"/>
      <c r="H66" s="267"/>
      <c r="I66" s="267"/>
      <c r="J66" s="172"/>
      <c r="K66" s="172"/>
      <c r="L66" s="172"/>
      <c r="M66" s="163"/>
    </row>
    <row r="67" spans="1:13" ht="14.25" x14ac:dyDescent="0.45">
      <c r="A67" s="170"/>
      <c r="B67" s="170"/>
      <c r="C67" s="170"/>
      <c r="D67" s="170"/>
      <c r="E67" s="170"/>
      <c r="F67" s="170"/>
      <c r="G67" s="170"/>
      <c r="H67" s="170"/>
      <c r="I67" s="170"/>
      <c r="J67" s="163"/>
      <c r="K67" s="163"/>
      <c r="L67" s="163"/>
      <c r="M67" s="163"/>
    </row>
    <row r="68" spans="1:13" ht="14.25" customHeight="1" x14ac:dyDescent="0.45">
      <c r="A68" s="171" t="s">
        <v>532</v>
      </c>
      <c r="B68" s="171"/>
      <c r="C68" s="171"/>
      <c r="D68" s="171"/>
      <c r="E68" s="171"/>
      <c r="F68" s="171"/>
      <c r="G68" s="171"/>
      <c r="H68" s="171"/>
      <c r="I68" s="171"/>
      <c r="J68" s="163"/>
      <c r="K68" s="163"/>
      <c r="L68" s="163"/>
      <c r="M68" s="163"/>
    </row>
    <row r="69" spans="1:13" ht="28.9" customHeight="1" x14ac:dyDescent="0.45">
      <c r="A69" s="267" t="s">
        <v>533</v>
      </c>
      <c r="B69" s="267"/>
      <c r="C69" s="267"/>
      <c r="D69" s="267"/>
      <c r="E69" s="267"/>
      <c r="F69" s="267"/>
      <c r="G69" s="267"/>
      <c r="H69" s="267"/>
      <c r="I69" s="267"/>
      <c r="J69" s="172"/>
      <c r="K69" s="172"/>
      <c r="L69" s="172"/>
      <c r="M69" s="163"/>
    </row>
    <row r="70" spans="1:13" ht="14.25" x14ac:dyDescent="0.45">
      <c r="A70" s="170"/>
      <c r="B70" s="170"/>
      <c r="C70" s="170"/>
      <c r="D70" s="170"/>
      <c r="E70" s="170"/>
      <c r="F70" s="170"/>
      <c r="G70" s="170"/>
      <c r="H70" s="170"/>
      <c r="I70" s="170"/>
      <c r="J70" s="163"/>
      <c r="K70" s="163"/>
      <c r="L70" s="163"/>
      <c r="M70" s="163"/>
    </row>
    <row r="71" spans="1:13" ht="14.25" customHeight="1" x14ac:dyDescent="0.45">
      <c r="A71" s="171" t="s">
        <v>534</v>
      </c>
      <c r="B71" s="171"/>
      <c r="C71" s="171"/>
      <c r="D71" s="171"/>
      <c r="E71" s="171"/>
      <c r="F71" s="171"/>
      <c r="G71" s="171"/>
      <c r="H71" s="171"/>
      <c r="I71" s="171"/>
      <c r="J71" s="163"/>
      <c r="K71" s="163"/>
      <c r="L71" s="163"/>
      <c r="M71" s="163"/>
    </row>
    <row r="72" spans="1:13" ht="42.4" customHeight="1" x14ac:dyDescent="0.45">
      <c r="A72" s="267" t="s">
        <v>535</v>
      </c>
      <c r="B72" s="267"/>
      <c r="C72" s="267"/>
      <c r="D72" s="267"/>
      <c r="E72" s="267"/>
      <c r="F72" s="267"/>
      <c r="G72" s="267"/>
      <c r="H72" s="267"/>
      <c r="I72" s="267"/>
      <c r="J72" s="172"/>
      <c r="K72" s="172"/>
      <c r="L72" s="172"/>
      <c r="M72" s="163"/>
    </row>
    <row r="73" spans="1:13" ht="14.25" x14ac:dyDescent="0.45">
      <c r="A73" s="170"/>
      <c r="B73" s="170"/>
      <c r="C73" s="170"/>
      <c r="D73" s="170"/>
      <c r="E73" s="170"/>
      <c r="F73" s="170"/>
      <c r="G73" s="170"/>
      <c r="H73" s="170"/>
      <c r="I73" s="170"/>
      <c r="J73" s="163"/>
      <c r="K73" s="163"/>
      <c r="L73" s="163"/>
      <c r="M73" s="163"/>
    </row>
    <row r="74" spans="1:13" ht="14.25" customHeight="1" x14ac:dyDescent="0.45">
      <c r="A74" s="171" t="s">
        <v>536</v>
      </c>
      <c r="B74" s="171"/>
      <c r="C74" s="171"/>
      <c r="D74" s="171"/>
      <c r="E74" s="171"/>
      <c r="F74" s="171"/>
      <c r="G74" s="171"/>
      <c r="H74" s="171"/>
      <c r="I74" s="171"/>
      <c r="J74" s="163"/>
      <c r="K74" s="163"/>
      <c r="L74" s="163"/>
      <c r="M74" s="163"/>
    </row>
    <row r="75" spans="1:13" ht="29.65" customHeight="1" x14ac:dyDescent="0.45">
      <c r="A75" s="267" t="s">
        <v>537</v>
      </c>
      <c r="B75" s="267"/>
      <c r="C75" s="267"/>
      <c r="D75" s="267"/>
      <c r="E75" s="267"/>
      <c r="F75" s="267"/>
      <c r="G75" s="267"/>
      <c r="H75" s="267"/>
      <c r="I75" s="267"/>
      <c r="J75" s="172"/>
      <c r="K75" s="172"/>
      <c r="L75" s="172"/>
      <c r="M75" s="163"/>
    </row>
    <row r="76" spans="1:13" ht="14.25" x14ac:dyDescent="0.45">
      <c r="A76" s="170"/>
      <c r="B76" s="170"/>
      <c r="C76" s="170"/>
      <c r="D76" s="170"/>
      <c r="E76" s="170"/>
      <c r="F76" s="170"/>
      <c r="G76" s="170"/>
      <c r="H76" s="170"/>
      <c r="I76" s="170"/>
      <c r="J76" s="163"/>
      <c r="K76" s="163"/>
      <c r="L76" s="163"/>
      <c r="M76" s="163"/>
    </row>
    <row r="77" spans="1:13" ht="14.25" customHeight="1" x14ac:dyDescent="0.45">
      <c r="A77" s="171" t="s">
        <v>538</v>
      </c>
      <c r="B77" s="171"/>
      <c r="C77" s="171"/>
      <c r="D77" s="171"/>
      <c r="E77" s="171"/>
      <c r="F77" s="171"/>
      <c r="G77" s="171"/>
      <c r="H77" s="171"/>
      <c r="I77" s="171"/>
      <c r="J77" s="163"/>
      <c r="K77" s="163"/>
      <c r="L77" s="163"/>
      <c r="M77" s="163"/>
    </row>
    <row r="78" spans="1:13" ht="14.25" x14ac:dyDescent="0.45">
      <c r="A78" s="267" t="s">
        <v>539</v>
      </c>
      <c r="B78" s="267"/>
      <c r="C78" s="267"/>
      <c r="D78" s="267"/>
      <c r="E78" s="267"/>
      <c r="F78" s="267"/>
      <c r="G78" s="267"/>
      <c r="H78" s="267"/>
      <c r="I78" s="267"/>
      <c r="J78" s="172"/>
      <c r="K78" s="172"/>
      <c r="L78" s="172"/>
      <c r="M78" s="163"/>
    </row>
    <row r="79" spans="1:13" ht="14.25" x14ac:dyDescent="0.45">
      <c r="A79" s="268" t="s">
        <v>540</v>
      </c>
      <c r="B79" s="268"/>
      <c r="C79" s="268"/>
      <c r="D79" s="268"/>
      <c r="E79" s="268"/>
      <c r="F79" s="268"/>
      <c r="G79" s="268"/>
      <c r="H79" s="268"/>
      <c r="I79" s="268"/>
      <c r="J79" s="163"/>
      <c r="K79" s="163"/>
      <c r="L79" s="163"/>
      <c r="M79" s="163"/>
    </row>
    <row r="80" spans="1:13" ht="14.25" x14ac:dyDescent="0.45">
      <c r="A80" s="170"/>
      <c r="B80" s="170"/>
      <c r="C80" s="170"/>
      <c r="D80" s="170"/>
      <c r="E80" s="170"/>
      <c r="F80" s="170"/>
      <c r="G80" s="170"/>
      <c r="H80" s="170"/>
      <c r="I80" s="170"/>
      <c r="J80" s="163"/>
      <c r="K80" s="163"/>
      <c r="L80" s="163"/>
      <c r="M80" s="163"/>
    </row>
    <row r="81" spans="1:13" ht="14.25" customHeight="1" x14ac:dyDescent="0.45">
      <c r="A81" s="171" t="s">
        <v>541</v>
      </c>
      <c r="B81" s="171"/>
      <c r="C81" s="171"/>
      <c r="D81" s="171"/>
      <c r="E81" s="171"/>
      <c r="F81" s="171"/>
      <c r="G81" s="171"/>
      <c r="H81" s="171"/>
      <c r="I81" s="171"/>
      <c r="J81" s="163"/>
      <c r="K81" s="163"/>
      <c r="L81" s="163"/>
      <c r="M81" s="163"/>
    </row>
    <row r="82" spans="1:13" ht="14.25" x14ac:dyDescent="0.45">
      <c r="A82" s="267" t="s">
        <v>542</v>
      </c>
      <c r="B82" s="267"/>
      <c r="C82" s="267"/>
      <c r="D82" s="267"/>
      <c r="E82" s="267"/>
      <c r="F82" s="267"/>
      <c r="G82" s="267"/>
      <c r="H82" s="267"/>
      <c r="I82" s="267"/>
      <c r="J82" s="172"/>
      <c r="K82" s="172"/>
      <c r="L82" s="172"/>
      <c r="M82" s="163"/>
    </row>
    <row r="83" spans="1:13" ht="14.25" x14ac:dyDescent="0.45">
      <c r="A83" s="170"/>
      <c r="B83" s="170"/>
      <c r="C83" s="170"/>
      <c r="D83" s="170"/>
      <c r="E83" s="170"/>
      <c r="F83" s="170"/>
      <c r="G83" s="170"/>
      <c r="H83" s="170"/>
      <c r="I83" s="170"/>
      <c r="J83" s="163"/>
      <c r="K83" s="163"/>
      <c r="L83" s="163"/>
      <c r="M83" s="163"/>
    </row>
    <row r="84" spans="1:13" ht="14.25" customHeight="1" x14ac:dyDescent="0.45">
      <c r="A84" s="171" t="s">
        <v>543</v>
      </c>
      <c r="B84" s="171"/>
      <c r="C84" s="171"/>
      <c r="D84" s="171"/>
      <c r="E84" s="171"/>
      <c r="F84" s="171"/>
      <c r="G84" s="171"/>
      <c r="H84" s="171"/>
      <c r="I84" s="171"/>
      <c r="J84" s="163"/>
      <c r="K84" s="163"/>
      <c r="L84" s="163"/>
      <c r="M84" s="163"/>
    </row>
    <row r="85" spans="1:13" ht="14.25" x14ac:dyDescent="0.45">
      <c r="A85" s="267" t="s">
        <v>544</v>
      </c>
      <c r="B85" s="267"/>
      <c r="C85" s="267"/>
      <c r="D85" s="267"/>
      <c r="E85" s="267"/>
      <c r="F85" s="267"/>
      <c r="G85" s="267"/>
      <c r="H85" s="267"/>
      <c r="I85" s="267"/>
      <c r="J85" s="172"/>
      <c r="K85" s="172"/>
      <c r="L85" s="172"/>
      <c r="M85" s="163"/>
    </row>
    <row r="86" spans="1:13" ht="15" customHeight="1" x14ac:dyDescent="0.45">
      <c r="A86" s="163"/>
      <c r="B86" s="163"/>
      <c r="C86" s="163"/>
      <c r="D86" s="163"/>
      <c r="E86" s="163"/>
      <c r="F86" s="163"/>
      <c r="G86" s="163"/>
      <c r="H86" s="163"/>
      <c r="I86" s="163"/>
      <c r="J86" s="163"/>
      <c r="K86" s="163"/>
      <c r="L86" s="163"/>
      <c r="M86" s="163"/>
    </row>
    <row r="87" spans="1:13" ht="15" customHeight="1" x14ac:dyDescent="0.45">
      <c r="A87" s="164"/>
      <c r="B87" s="164"/>
      <c r="C87" s="164"/>
      <c r="D87" s="164"/>
      <c r="E87" s="164"/>
      <c r="F87" s="164"/>
      <c r="G87" s="164"/>
      <c r="H87" s="164"/>
      <c r="I87" s="164"/>
      <c r="J87" s="164"/>
      <c r="K87" s="164"/>
      <c r="L87" s="164"/>
      <c r="M87" s="164"/>
    </row>
    <row r="88" spans="1:13" ht="15" customHeight="1" x14ac:dyDescent="0.45"/>
    <row r="89" spans="1:13" ht="15" customHeight="1" x14ac:dyDescent="0.45"/>
    <row r="90" spans="1:13" ht="15" customHeight="1" x14ac:dyDescent="0.45"/>
    <row r="91" spans="1:13" ht="15" customHeight="1" x14ac:dyDescent="0.45"/>
    <row r="92" spans="1:13" ht="15" customHeight="1" x14ac:dyDescent="0.45"/>
    <row r="93" spans="1:13" ht="15" customHeight="1" x14ac:dyDescent="0.45"/>
    <row r="94" spans="1:13" ht="15" customHeight="1" x14ac:dyDescent="0.45"/>
    <row r="95" spans="1:13" ht="15" customHeight="1" x14ac:dyDescent="0.45"/>
    <row r="96" spans="1:13" ht="15" customHeight="1" x14ac:dyDescent="0.45"/>
    <row r="97" ht="15" customHeight="1" x14ac:dyDescent="0.45"/>
    <row r="98" ht="15" customHeight="1" x14ac:dyDescent="0.45"/>
  </sheetData>
  <sheetProtection formatCells="0" formatColumns="0"/>
  <mergeCells count="36">
    <mergeCell ref="A82:I82"/>
    <mergeCell ref="A85:I85"/>
    <mergeCell ref="A72:I72"/>
    <mergeCell ref="A75:I75"/>
    <mergeCell ref="A78:I78"/>
    <mergeCell ref="A79:I79"/>
    <mergeCell ref="A63:I63"/>
    <mergeCell ref="A66:I66"/>
    <mergeCell ref="A69:I69"/>
    <mergeCell ref="A55:I55"/>
    <mergeCell ref="A56:I56"/>
    <mergeCell ref="A57:I57"/>
    <mergeCell ref="A60:I60"/>
    <mergeCell ref="A47:I47"/>
    <mergeCell ref="A50:I50"/>
    <mergeCell ref="A51:I51"/>
    <mergeCell ref="A52:I52"/>
    <mergeCell ref="A38:I38"/>
    <mergeCell ref="A41:I41"/>
    <mergeCell ref="A44:I44"/>
    <mergeCell ref="A29:I29"/>
    <mergeCell ref="A32:I32"/>
    <mergeCell ref="A35:I35"/>
    <mergeCell ref="A22:I22"/>
    <mergeCell ref="A25:I25"/>
    <mergeCell ref="A28:I28"/>
    <mergeCell ref="A13:I13"/>
    <mergeCell ref="A14:I14"/>
    <mergeCell ref="A15:I15"/>
    <mergeCell ref="A18:I18"/>
    <mergeCell ref="A19:I19"/>
    <mergeCell ref="A10:I10"/>
    <mergeCell ref="C1:G1"/>
    <mergeCell ref="C2:G2"/>
    <mergeCell ref="A8:I8"/>
    <mergeCell ref="A9:I9"/>
  </mergeCells>
  <pageMargins left="0.25" right="0.25"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A67FF-C016-4F08-84A9-336F271B4371}">
  <sheetPr codeName="AreaCode">
    <tabColor rgb="FF00B0F0"/>
    <pageSetUpPr fitToPage="1"/>
  </sheetPr>
  <dimension ref="A1:CZ73"/>
  <sheetViews>
    <sheetView zoomScale="40" zoomScaleNormal="40" workbookViewId="0">
      <selection activeCell="BG43" sqref="BG43"/>
    </sheetView>
  </sheetViews>
  <sheetFormatPr defaultColWidth="0" defaultRowHeight="14.25" customHeight="1" zeroHeight="1" x14ac:dyDescent="0.45"/>
  <cols>
    <col min="1" max="1" width="14.73046875" customWidth="1"/>
    <col min="2" max="2" width="4.73046875" customWidth="1"/>
    <col min="3" max="3" width="7.46484375" customWidth="1"/>
    <col min="4" max="4" width="7.33203125" customWidth="1"/>
    <col min="5" max="5" width="0.86328125" customWidth="1"/>
    <col min="6" max="6" width="6.265625" customWidth="1"/>
    <col min="7" max="7" width="7.73046875" customWidth="1"/>
    <col min="8" max="8" width="0.86328125" customWidth="1"/>
    <col min="9" max="9" width="5.73046875" customWidth="1"/>
    <col min="10" max="10" width="7.73046875" customWidth="1"/>
    <col min="11" max="11" width="0.86328125" customWidth="1"/>
    <col min="12" max="12" width="5.73046875" customWidth="1"/>
    <col min="13" max="13" width="7.73046875" customWidth="1"/>
    <col min="14" max="14" width="0.86328125" customWidth="1"/>
    <col min="15" max="15" width="5.73046875" customWidth="1"/>
    <col min="16" max="16" width="7.73046875" customWidth="1"/>
    <col min="17" max="17" width="0.86328125" customWidth="1"/>
    <col min="18" max="18" width="5.73046875" customWidth="1"/>
    <col min="19" max="19" width="7.73046875" customWidth="1"/>
    <col min="20" max="20" width="0.86328125" customWidth="1"/>
    <col min="21" max="21" width="5.73046875" customWidth="1"/>
    <col min="22" max="22" width="7.73046875" customWidth="1"/>
    <col min="23" max="23" width="0.86328125" customWidth="1"/>
    <col min="24" max="24" width="5.73046875" customWidth="1"/>
    <col min="25" max="26" width="7.73046875" customWidth="1"/>
    <col min="27" max="27" width="14.73046875" customWidth="1"/>
    <col min="28" max="28" width="5.73046875" customWidth="1"/>
    <col min="29" max="29" width="9.19921875" customWidth="1"/>
    <col min="30" max="30" width="7.73046875" customWidth="1"/>
    <col min="31" max="31" width="0.86328125" customWidth="1"/>
    <col min="32" max="32" width="5.73046875" customWidth="1"/>
    <col min="33" max="33" width="7.73046875" customWidth="1"/>
    <col min="34" max="34" width="0.86328125" customWidth="1"/>
    <col min="35" max="35" width="5.73046875" customWidth="1"/>
    <col min="36" max="36" width="7.73046875" customWidth="1"/>
    <col min="37" max="37" width="0.86328125" customWidth="1"/>
    <col min="38" max="38" width="5.73046875" customWidth="1"/>
    <col min="39" max="39" width="7.73046875" customWidth="1"/>
    <col min="40" max="40" width="0.86328125" customWidth="1"/>
    <col min="41" max="41" width="5.73046875" customWidth="1"/>
    <col min="42" max="42" width="7.73046875" customWidth="1"/>
    <col min="43" max="43" width="0.86328125" customWidth="1"/>
    <col min="44" max="44" width="5.73046875" customWidth="1"/>
    <col min="45" max="45" width="7.73046875" customWidth="1"/>
    <col min="46" max="46" width="0.86328125" customWidth="1"/>
    <col min="47" max="47" width="5.73046875" customWidth="1"/>
    <col min="48" max="48" width="7.73046875" customWidth="1"/>
    <col min="49" max="49" width="0.86328125" customWidth="1"/>
    <col min="50" max="50" width="5.73046875" customWidth="1"/>
    <col min="51" max="52" width="7.73046875" customWidth="1"/>
    <col min="53" max="53" width="14.73046875" customWidth="1"/>
    <col min="54" max="54" width="4.73046875" customWidth="1"/>
    <col min="55" max="55" width="6.3984375" customWidth="1"/>
    <col min="56" max="56" width="7.73046875" customWidth="1"/>
    <col min="57" max="57" width="0.86328125" customWidth="1"/>
    <col min="58" max="58" width="6.9296875" customWidth="1"/>
    <col min="59" max="59" width="7.73046875" customWidth="1"/>
    <col min="60" max="60" width="0.86328125" customWidth="1"/>
    <col min="61" max="61" width="6.3984375" customWidth="1"/>
    <col min="62" max="62" width="7.73046875" customWidth="1"/>
    <col min="63" max="63" width="0.86328125" customWidth="1"/>
    <col min="64" max="64" width="5.73046875" customWidth="1"/>
    <col min="65" max="65" width="7.73046875" customWidth="1"/>
    <col min="66" max="66" width="0.86328125" customWidth="1"/>
    <col min="67" max="67" width="5.73046875" customWidth="1"/>
    <col min="68" max="68" width="7.73046875" customWidth="1"/>
    <col min="69" max="69" width="0.86328125" customWidth="1"/>
    <col min="70" max="70" width="5.73046875" customWidth="1"/>
    <col min="71" max="71" width="7.73046875" customWidth="1"/>
    <col min="72" max="72" width="0.86328125" customWidth="1"/>
    <col min="73" max="73" width="5.73046875" customWidth="1"/>
    <col min="74" max="74" width="7.73046875" customWidth="1"/>
    <col min="75" max="75" width="0.86328125" customWidth="1"/>
    <col min="76" max="76" width="5.73046875" customWidth="1"/>
    <col min="77" max="78" width="7.73046875" customWidth="1"/>
    <col min="79" max="79" width="14.73046875" customWidth="1"/>
    <col min="80" max="80" width="4.73046875" customWidth="1"/>
    <col min="81" max="81" width="5.73046875" customWidth="1"/>
    <col min="82" max="82" width="7.73046875" customWidth="1"/>
    <col min="83" max="83" width="0.86328125" customWidth="1"/>
    <col min="84" max="84" width="5.73046875" customWidth="1"/>
    <col min="85" max="85" width="7.73046875" customWidth="1"/>
    <col min="86" max="86" width="0.86328125" customWidth="1"/>
    <col min="87" max="87" width="5.73046875" customWidth="1"/>
    <col min="88" max="88" width="7.73046875" customWidth="1"/>
    <col min="89" max="89" width="0.86328125" customWidth="1"/>
    <col min="90" max="90" width="5.73046875" customWidth="1"/>
    <col min="91" max="91" width="7.73046875" customWidth="1"/>
    <col min="92" max="92" width="0.86328125" customWidth="1"/>
    <col min="93" max="93" width="5.73046875" customWidth="1"/>
    <col min="94" max="94" width="7.73046875" customWidth="1"/>
    <col min="95" max="95" width="0.86328125" customWidth="1"/>
    <col min="96" max="96" width="5.73046875" customWidth="1"/>
    <col min="97" max="97" width="7.73046875" customWidth="1"/>
    <col min="98" max="98" width="0.86328125" customWidth="1"/>
    <col min="99" max="99" width="5.73046875" customWidth="1"/>
    <col min="100" max="100" width="7.73046875" customWidth="1"/>
    <col min="101" max="101" width="0.86328125" customWidth="1"/>
    <col min="102" max="102" width="5.73046875" customWidth="1"/>
    <col min="103" max="103" width="7.73046875" customWidth="1"/>
    <col min="104" max="104" width="5.73046875" customWidth="1"/>
    <col min="105" max="16384" width="9.1328125" hidden="1"/>
  </cols>
  <sheetData>
    <row r="1" spans="1:104" ht="15" customHeight="1" x14ac:dyDescent="0.45">
      <c r="A1" s="184" t="s">
        <v>167</v>
      </c>
      <c r="B1" s="184"/>
      <c r="C1" s="184"/>
      <c r="D1" s="184"/>
      <c r="E1" s="184"/>
      <c r="F1" s="184"/>
      <c r="G1" s="184"/>
      <c r="H1" s="184"/>
      <c r="I1" s="184"/>
      <c r="J1" s="184"/>
      <c r="K1" s="184"/>
      <c r="L1" s="184"/>
      <c r="M1" s="184"/>
      <c r="N1" s="184"/>
      <c r="O1" s="184"/>
      <c r="P1" s="184"/>
      <c r="Q1" s="184"/>
      <c r="R1" s="184"/>
      <c r="S1" s="184"/>
      <c r="T1" s="184"/>
      <c r="U1" s="184"/>
      <c r="V1" s="184"/>
      <c r="W1" s="184"/>
      <c r="X1" s="184"/>
      <c r="Y1" s="184"/>
      <c r="Z1" s="184"/>
      <c r="AA1" s="184"/>
      <c r="AB1" s="184"/>
      <c r="AC1" s="184"/>
      <c r="AD1" s="184"/>
      <c r="AE1" s="184"/>
      <c r="AF1" s="184"/>
      <c r="AG1" s="184"/>
      <c r="AH1" s="184"/>
      <c r="AI1" s="184"/>
      <c r="AJ1" s="184"/>
      <c r="AK1" s="184"/>
      <c r="AL1" s="184"/>
      <c r="AM1" s="184"/>
      <c r="AN1" s="184"/>
      <c r="AO1" s="184"/>
      <c r="AP1" s="184"/>
      <c r="AQ1" s="184"/>
      <c r="AR1" s="184"/>
      <c r="AS1" s="184"/>
      <c r="AT1" s="184"/>
      <c r="AU1" s="184"/>
      <c r="AV1" s="184"/>
      <c r="AW1" s="184"/>
      <c r="AX1" s="184"/>
      <c r="AY1" s="184"/>
      <c r="AZ1" s="184"/>
      <c r="BA1" s="184"/>
      <c r="BB1" s="184"/>
      <c r="BC1" s="184"/>
      <c r="BD1" s="184"/>
      <c r="BE1" s="184"/>
      <c r="BF1" s="184"/>
      <c r="BG1" s="184"/>
      <c r="BH1" s="184"/>
      <c r="BI1" s="184"/>
      <c r="BJ1" s="184"/>
      <c r="BK1" s="184"/>
      <c r="BL1" s="184"/>
      <c r="BM1" s="184"/>
      <c r="BN1" s="184"/>
      <c r="BO1" s="184"/>
      <c r="BP1" s="184"/>
      <c r="BQ1" s="184"/>
      <c r="BR1" s="184"/>
      <c r="BS1" s="184"/>
      <c r="BT1" s="184"/>
      <c r="BU1" s="184"/>
      <c r="BV1" s="184"/>
      <c r="BW1" s="184"/>
      <c r="BX1" s="184"/>
      <c r="BY1" s="184"/>
      <c r="BZ1" s="184"/>
      <c r="CA1" s="184"/>
      <c r="CB1" s="184"/>
      <c r="CC1" s="184"/>
      <c r="CD1" s="184"/>
      <c r="CE1" s="184"/>
      <c r="CF1" s="184"/>
      <c r="CG1" s="184"/>
      <c r="CH1" s="184"/>
      <c r="CI1" s="184"/>
      <c r="CJ1" s="184"/>
      <c r="CK1" s="184"/>
      <c r="CL1" s="184"/>
      <c r="CM1" s="184"/>
      <c r="CN1" s="184"/>
      <c r="CO1" s="184"/>
      <c r="CP1" s="184"/>
      <c r="CQ1" s="184"/>
      <c r="CR1" s="184"/>
      <c r="CS1" s="184"/>
      <c r="CT1" s="184"/>
      <c r="CU1" s="184"/>
      <c r="CV1" s="184"/>
      <c r="CW1" s="184"/>
      <c r="CX1" s="184"/>
      <c r="CY1" s="184"/>
      <c r="CZ1" s="148"/>
    </row>
    <row r="2" spans="1:104" ht="15" customHeight="1" x14ac:dyDescent="0.45">
      <c r="A2" s="184"/>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4"/>
      <c r="AV2" s="184"/>
      <c r="AW2" s="184"/>
      <c r="AX2" s="184"/>
      <c r="AY2" s="184"/>
      <c r="AZ2" s="184"/>
      <c r="BA2" s="184"/>
      <c r="BB2" s="184"/>
      <c r="BC2" s="184"/>
      <c r="BD2" s="184"/>
      <c r="BE2" s="184"/>
      <c r="BF2" s="184"/>
      <c r="BG2" s="184"/>
      <c r="BH2" s="184"/>
      <c r="BI2" s="184"/>
      <c r="BJ2" s="184"/>
      <c r="BK2" s="184"/>
      <c r="BL2" s="184"/>
      <c r="BM2" s="184"/>
      <c r="BN2" s="184"/>
      <c r="BO2" s="184"/>
      <c r="BP2" s="184"/>
      <c r="BQ2" s="184"/>
      <c r="BR2" s="184"/>
      <c r="BS2" s="184"/>
      <c r="BT2" s="184"/>
      <c r="BU2" s="184"/>
      <c r="BV2" s="184"/>
      <c r="BW2" s="184"/>
      <c r="BX2" s="184"/>
      <c r="BY2" s="184"/>
      <c r="BZ2" s="184"/>
      <c r="CA2" s="184"/>
      <c r="CB2" s="184"/>
      <c r="CC2" s="184"/>
      <c r="CD2" s="184"/>
      <c r="CE2" s="184"/>
      <c r="CF2" s="184"/>
      <c r="CG2" s="184"/>
      <c r="CH2" s="184"/>
      <c r="CI2" s="184"/>
      <c r="CJ2" s="184"/>
      <c r="CK2" s="184"/>
      <c r="CL2" s="184"/>
      <c r="CM2" s="184"/>
      <c r="CN2" s="184"/>
      <c r="CO2" s="184"/>
      <c r="CP2" s="184"/>
      <c r="CQ2" s="184"/>
      <c r="CR2" s="184"/>
      <c r="CS2" s="184"/>
      <c r="CT2" s="184"/>
      <c r="CU2" s="184"/>
      <c r="CV2" s="184"/>
      <c r="CW2" s="184"/>
      <c r="CX2" s="184"/>
      <c r="CY2" s="184"/>
      <c r="CZ2" s="148"/>
    </row>
    <row r="3" spans="1:104" x14ac:dyDescent="0.4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row>
    <row r="4" spans="1:104" ht="15.75" customHeight="1" x14ac:dyDescent="0.45">
      <c r="A4" s="144" t="s">
        <v>131</v>
      </c>
      <c r="B4" s="1"/>
      <c r="C4" s="253">
        <f>Rationale!D4</f>
        <v>0</v>
      </c>
      <c r="D4" s="254"/>
      <c r="E4" s="254"/>
      <c r="F4" s="254"/>
      <c r="G4" s="254"/>
      <c r="H4" s="254"/>
      <c r="I4" s="254"/>
      <c r="J4" s="254"/>
      <c r="K4" s="254"/>
      <c r="L4" s="255"/>
      <c r="M4" s="1"/>
      <c r="N4" s="1"/>
      <c r="O4" s="1"/>
      <c r="P4" s="1"/>
      <c r="Q4" s="1"/>
      <c r="R4" s="1"/>
      <c r="S4" s="1"/>
      <c r="T4" s="1"/>
      <c r="U4" s="1"/>
      <c r="V4" s="1"/>
      <c r="W4" s="1"/>
      <c r="X4" s="1"/>
      <c r="Y4" s="277"/>
      <c r="Z4" s="277"/>
      <c r="AA4" s="277"/>
      <c r="AB4" s="277"/>
      <c r="AC4" s="277"/>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row>
    <row r="5" spans="1:104" x14ac:dyDescent="0.4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row>
    <row r="6" spans="1:104" x14ac:dyDescent="0.45">
      <c r="A6" s="144" t="s">
        <v>168</v>
      </c>
      <c r="B6" s="1"/>
      <c r="C6" s="1" t="s">
        <v>169</v>
      </c>
      <c r="D6" s="1"/>
      <c r="E6" s="1"/>
      <c r="F6" s="1" t="s">
        <v>170</v>
      </c>
      <c r="G6" s="1"/>
      <c r="H6" s="1"/>
      <c r="I6" s="1" t="s">
        <v>171</v>
      </c>
      <c r="J6" s="1"/>
      <c r="K6" s="1"/>
      <c r="L6" s="1" t="s">
        <v>172</v>
      </c>
      <c r="M6" s="1"/>
      <c r="N6" s="1"/>
      <c r="O6" s="1" t="s">
        <v>173</v>
      </c>
      <c r="P6" s="1"/>
      <c r="Q6" s="1"/>
      <c r="R6" s="1" t="s">
        <v>174</v>
      </c>
      <c r="S6" s="1"/>
      <c r="T6" s="1"/>
      <c r="U6" s="1" t="s">
        <v>175</v>
      </c>
      <c r="V6" s="1"/>
      <c r="W6" s="1"/>
      <c r="X6" s="1" t="s">
        <v>176</v>
      </c>
      <c r="Y6" s="1"/>
      <c r="Z6" s="1"/>
      <c r="AA6" s="1"/>
      <c r="AB6" s="1"/>
      <c r="AC6" s="278" t="s">
        <v>177</v>
      </c>
      <c r="AD6" s="278"/>
      <c r="AE6" s="278"/>
      <c r="AF6" s="278"/>
      <c r="AG6" s="278"/>
      <c r="AH6" s="278"/>
      <c r="AI6" s="278"/>
      <c r="AJ6" s="278"/>
      <c r="AK6" s="278"/>
      <c r="AL6" s="278"/>
      <c r="AM6" s="278"/>
      <c r="AN6" s="278"/>
      <c r="AO6" s="278"/>
      <c r="AP6" s="278"/>
      <c r="AQ6" s="278"/>
      <c r="AR6" s="278"/>
      <c r="AS6" s="278"/>
      <c r="AT6" s="278"/>
      <c r="AU6" s="278"/>
      <c r="AV6" s="278"/>
      <c r="AW6" s="278"/>
      <c r="AX6" s="278"/>
      <c r="AY6" s="278"/>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row>
    <row r="7" spans="1:104" x14ac:dyDescent="0.45">
      <c r="A7" s="1"/>
      <c r="B7" s="1"/>
      <c r="C7" s="253">
        <f>'Rate Change'!D14</f>
        <v>0</v>
      </c>
      <c r="D7" s="255"/>
      <c r="E7" s="1"/>
      <c r="F7" s="253">
        <f>'Rate Change'!J14</f>
        <v>0</v>
      </c>
      <c r="G7" s="255"/>
      <c r="H7" s="1"/>
      <c r="I7" s="253">
        <f>'Rate Change'!P14</f>
        <v>0</v>
      </c>
      <c r="J7" s="255"/>
      <c r="K7" s="1"/>
      <c r="L7" s="253">
        <f>'Rate Change'!V14</f>
        <v>0</v>
      </c>
      <c r="M7" s="255"/>
      <c r="N7" s="1"/>
      <c r="O7" s="253">
        <f>'Rate Change'!AB14</f>
        <v>0</v>
      </c>
      <c r="P7" s="255"/>
      <c r="Q7" s="1"/>
      <c r="R7" s="253">
        <f>'Rate Change'!AH14</f>
        <v>0</v>
      </c>
      <c r="S7" s="255"/>
      <c r="T7" s="1"/>
      <c r="U7" s="253">
        <f>'Rate Change'!AN14</f>
        <v>0</v>
      </c>
      <c r="V7" s="255"/>
      <c r="W7" s="1"/>
      <c r="X7" s="253">
        <f>'Rate Change'!AT14</f>
        <v>0</v>
      </c>
      <c r="Y7" s="255"/>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row>
    <row r="8" spans="1:104" x14ac:dyDescent="0.45">
      <c r="A8" s="1"/>
      <c r="B8" s="1"/>
      <c r="C8" s="1"/>
      <c r="D8" s="1"/>
      <c r="E8" s="1"/>
      <c r="F8" s="1"/>
      <c r="G8" s="1"/>
      <c r="H8" s="1"/>
      <c r="I8" s="1"/>
      <c r="J8" s="1"/>
      <c r="K8" s="1"/>
      <c r="L8" s="1"/>
      <c r="M8" s="1"/>
      <c r="N8" s="1"/>
      <c r="O8" s="1"/>
      <c r="P8" s="1"/>
      <c r="Q8" s="1"/>
      <c r="R8" s="1"/>
      <c r="S8" s="1"/>
      <c r="T8" s="1"/>
      <c r="U8" s="1"/>
      <c r="V8" s="1"/>
      <c r="W8" s="1"/>
      <c r="X8" s="1"/>
      <c r="Y8" s="1"/>
      <c r="Z8" s="1"/>
      <c r="AA8" s="1"/>
      <c r="AB8" s="1"/>
      <c r="AC8" s="1">
        <v>1</v>
      </c>
      <c r="AD8" s="1">
        <v>1</v>
      </c>
      <c r="AE8" s="1"/>
      <c r="AF8" s="1">
        <v>2</v>
      </c>
      <c r="AG8" s="1">
        <v>2</v>
      </c>
      <c r="AH8" s="1"/>
      <c r="AI8" s="1">
        <v>3</v>
      </c>
      <c r="AJ8" s="1">
        <v>3</v>
      </c>
      <c r="AK8" s="1"/>
      <c r="AL8" s="1">
        <v>4</v>
      </c>
      <c r="AM8" s="1">
        <v>4</v>
      </c>
      <c r="AN8" s="1"/>
      <c r="AO8" s="1">
        <v>5</v>
      </c>
      <c r="AP8" s="1">
        <v>5</v>
      </c>
      <c r="AQ8" s="1"/>
      <c r="AR8" s="1">
        <v>6</v>
      </c>
      <c r="AS8" s="1">
        <v>6</v>
      </c>
      <c r="AT8" s="1"/>
      <c r="AU8" s="1">
        <v>7</v>
      </c>
      <c r="AV8" s="1">
        <v>7</v>
      </c>
      <c r="AW8" s="1"/>
      <c r="AX8" s="1">
        <v>8</v>
      </c>
      <c r="AY8" s="1">
        <v>8</v>
      </c>
      <c r="AZ8" s="1"/>
      <c r="BA8" s="1"/>
      <c r="BB8" s="1"/>
      <c r="BC8" s="1">
        <v>1</v>
      </c>
      <c r="BD8" s="1">
        <v>1</v>
      </c>
      <c r="BE8" s="1"/>
      <c r="BF8" s="1">
        <v>2</v>
      </c>
      <c r="BG8" s="1">
        <v>2</v>
      </c>
      <c r="BH8" s="1"/>
      <c r="BI8" s="1">
        <v>3</v>
      </c>
      <c r="BJ8" s="1">
        <v>3</v>
      </c>
      <c r="BK8" s="1"/>
      <c r="BL8" s="1">
        <v>4</v>
      </c>
      <c r="BM8" s="1">
        <v>4</v>
      </c>
      <c r="BN8" s="1"/>
      <c r="BO8" s="1">
        <v>5</v>
      </c>
      <c r="BP8" s="1">
        <v>5</v>
      </c>
      <c r="BQ8" s="1"/>
      <c r="BR8" s="1">
        <v>6</v>
      </c>
      <c r="BS8" s="1">
        <v>6</v>
      </c>
      <c r="BT8" s="1"/>
      <c r="BU8" s="1">
        <v>7</v>
      </c>
      <c r="BV8" s="1">
        <v>7</v>
      </c>
      <c r="BW8" s="1"/>
      <c r="BX8" s="1">
        <v>8</v>
      </c>
      <c r="BY8" s="1">
        <v>8</v>
      </c>
      <c r="BZ8" s="1"/>
      <c r="CA8" s="1"/>
      <c r="CB8" s="1"/>
      <c r="CC8" s="1">
        <v>1</v>
      </c>
      <c r="CD8" s="1">
        <v>1</v>
      </c>
      <c r="CE8" s="1"/>
      <c r="CF8" s="1">
        <v>2</v>
      </c>
      <c r="CG8" s="1">
        <v>2</v>
      </c>
      <c r="CH8" s="1"/>
      <c r="CI8" s="1">
        <v>3</v>
      </c>
      <c r="CJ8" s="1">
        <v>3</v>
      </c>
      <c r="CK8" s="1"/>
      <c r="CL8" s="1">
        <v>4</v>
      </c>
      <c r="CM8" s="1">
        <v>4</v>
      </c>
      <c r="CN8" s="1"/>
      <c r="CO8" s="1">
        <v>5</v>
      </c>
      <c r="CP8" s="1">
        <v>5</v>
      </c>
      <c r="CQ8" s="1"/>
      <c r="CR8" s="1">
        <v>6</v>
      </c>
      <c r="CS8" s="1">
        <v>6</v>
      </c>
      <c r="CT8" s="1"/>
      <c r="CU8" s="1">
        <v>7</v>
      </c>
      <c r="CV8" s="1">
        <v>7</v>
      </c>
      <c r="CW8" s="1"/>
      <c r="CX8" s="1">
        <v>8</v>
      </c>
      <c r="CY8" s="1">
        <v>8</v>
      </c>
      <c r="CZ8" s="1"/>
    </row>
    <row r="9" spans="1:104" x14ac:dyDescent="0.45">
      <c r="A9" s="1"/>
      <c r="B9" s="1"/>
      <c r="C9" s="276" t="str">
        <f>A11&amp;", "&amp;A29&amp;" and "&amp;A37</f>
        <v>Northern Europe, Southern Europe and CEE</v>
      </c>
      <c r="D9" s="276"/>
      <c r="E9" s="276"/>
      <c r="F9" s="276"/>
      <c r="G9" s="276"/>
      <c r="H9" s="276"/>
      <c r="I9" s="276"/>
      <c r="J9" s="276"/>
      <c r="K9" s="276"/>
      <c r="L9" s="276"/>
      <c r="M9" s="276"/>
      <c r="N9" s="276"/>
      <c r="O9" s="276"/>
      <c r="P9" s="276"/>
      <c r="Q9" s="276"/>
      <c r="R9" s="276"/>
      <c r="S9" s="276"/>
      <c r="T9" s="276"/>
      <c r="U9" s="276"/>
      <c r="V9" s="276"/>
      <c r="W9" s="276"/>
      <c r="X9" s="276"/>
      <c r="Y9" s="276"/>
      <c r="Z9" s="1"/>
      <c r="AA9" s="1"/>
      <c r="AB9" s="1"/>
      <c r="AC9" s="276" t="str">
        <f>AA11&amp;", "&amp;AA32&amp;" and "&amp;AA53</f>
        <v xml:space="preserve">US, Latin America and Australia  </v>
      </c>
      <c r="AD9" s="276"/>
      <c r="AE9" s="276"/>
      <c r="AF9" s="276"/>
      <c r="AG9" s="276"/>
      <c r="AH9" s="276"/>
      <c r="AI9" s="276"/>
      <c r="AJ9" s="276"/>
      <c r="AK9" s="276"/>
      <c r="AL9" s="276"/>
      <c r="AM9" s="276"/>
      <c r="AN9" s="276"/>
      <c r="AO9" s="276"/>
      <c r="AP9" s="276"/>
      <c r="AQ9" s="276"/>
      <c r="AR9" s="276"/>
      <c r="AS9" s="276"/>
      <c r="AT9" s="276"/>
      <c r="AU9" s="276"/>
      <c r="AV9" s="276"/>
      <c r="AW9" s="276"/>
      <c r="AX9" s="276"/>
      <c r="AY9" s="276"/>
      <c r="AZ9" s="1"/>
      <c r="BA9" s="1"/>
      <c r="BB9" s="1"/>
      <c r="BC9" s="2" t="str">
        <f>BA11&amp;" and "&amp;BA39</f>
        <v>Caribbean and Canada</v>
      </c>
      <c r="BD9" s="2"/>
      <c r="BE9" s="2"/>
      <c r="BF9" s="2"/>
      <c r="BG9" s="2"/>
      <c r="BH9" s="2"/>
      <c r="BI9" s="2"/>
      <c r="BJ9" s="2"/>
      <c r="BK9" s="2"/>
      <c r="BL9" s="2"/>
      <c r="BM9" s="2"/>
      <c r="BN9" s="2"/>
      <c r="BO9" s="2"/>
      <c r="BP9" s="2"/>
      <c r="BQ9" s="2"/>
      <c r="BR9" s="2"/>
      <c r="BS9" s="2"/>
      <c r="BT9" s="2"/>
      <c r="BU9" s="2"/>
      <c r="BV9" s="2"/>
      <c r="BW9" s="2"/>
      <c r="BX9" s="2"/>
      <c r="BY9" s="2"/>
      <c r="BZ9" s="1"/>
      <c r="CA9" s="1"/>
      <c r="CB9" s="1"/>
      <c r="CC9" s="276" t="str">
        <f>CA11&amp;" and "&amp;CA35</f>
        <v>Far East and AMEI</v>
      </c>
      <c r="CD9" s="276"/>
      <c r="CE9" s="276"/>
      <c r="CF9" s="276"/>
      <c r="CG9" s="276"/>
      <c r="CH9" s="276"/>
      <c r="CI9" s="276"/>
      <c r="CJ9" s="276"/>
      <c r="CK9" s="276"/>
      <c r="CL9" s="276"/>
      <c r="CM9" s="276"/>
      <c r="CN9" s="276"/>
      <c r="CO9" s="276"/>
      <c r="CP9" s="276"/>
      <c r="CQ9" s="276"/>
      <c r="CR9" s="276"/>
      <c r="CS9" s="276"/>
      <c r="CT9" s="276"/>
      <c r="CU9" s="276"/>
      <c r="CV9" s="276"/>
      <c r="CW9" s="276"/>
      <c r="CX9" s="276"/>
      <c r="CY9" s="276"/>
      <c r="CZ9" s="1"/>
    </row>
    <row r="10" spans="1:104" ht="5.0999999999999996" customHeight="1" x14ac:dyDescent="0.45">
      <c r="A10" s="1"/>
      <c r="B10" s="1"/>
      <c r="C10" s="149"/>
      <c r="D10" s="149"/>
      <c r="E10" s="149"/>
      <c r="F10" s="149"/>
      <c r="G10" s="149"/>
      <c r="H10" s="149"/>
      <c r="I10" s="149"/>
      <c r="J10" s="149"/>
      <c r="K10" s="149"/>
      <c r="L10" s="149"/>
      <c r="M10" s="149"/>
      <c r="N10" s="149"/>
      <c r="O10" s="149"/>
      <c r="P10" s="149"/>
      <c r="Q10" s="149"/>
      <c r="R10" s="149"/>
      <c r="S10" s="149"/>
      <c r="T10" s="149"/>
      <c r="U10" s="149"/>
      <c r="V10" s="149"/>
      <c r="W10" s="149"/>
      <c r="X10" s="149"/>
      <c r="Y10" s="149"/>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row>
    <row r="11" spans="1:104" x14ac:dyDescent="0.45">
      <c r="A11" s="2" t="s">
        <v>178</v>
      </c>
      <c r="B11" s="1"/>
      <c r="C11" s="4" t="s">
        <v>179</v>
      </c>
      <c r="D11" s="4" t="s">
        <v>180</v>
      </c>
      <c r="E11" s="1"/>
      <c r="F11" s="4" t="s">
        <v>181</v>
      </c>
      <c r="G11" s="4" t="s">
        <v>180</v>
      </c>
      <c r="H11" s="1"/>
      <c r="I11" s="4" t="s">
        <v>182</v>
      </c>
      <c r="J11" s="4" t="s">
        <v>180</v>
      </c>
      <c r="K11" s="1"/>
      <c r="L11" s="4" t="s">
        <v>183</v>
      </c>
      <c r="M11" s="4" t="s">
        <v>180</v>
      </c>
      <c r="N11" s="1"/>
      <c r="O11" s="4" t="s">
        <v>184</v>
      </c>
      <c r="P11" s="4" t="s">
        <v>180</v>
      </c>
      <c r="Q11" s="1"/>
      <c r="R11" s="4" t="s">
        <v>185</v>
      </c>
      <c r="S11" s="4" t="s">
        <v>180</v>
      </c>
      <c r="T11" s="1"/>
      <c r="U11" s="4" t="s">
        <v>186</v>
      </c>
      <c r="V11" s="4" t="s">
        <v>180</v>
      </c>
      <c r="W11" s="1"/>
      <c r="X11" s="4" t="s">
        <v>187</v>
      </c>
      <c r="Y11" s="4" t="s">
        <v>180</v>
      </c>
      <c r="Z11" s="1"/>
      <c r="AA11" s="2" t="s">
        <v>83</v>
      </c>
      <c r="AB11" s="1"/>
      <c r="AC11" s="4" t="s">
        <v>179</v>
      </c>
      <c r="AD11" s="4" t="s">
        <v>180</v>
      </c>
      <c r="AE11" s="1"/>
      <c r="AF11" s="4" t="s">
        <v>181</v>
      </c>
      <c r="AG11" s="4" t="s">
        <v>180</v>
      </c>
      <c r="AH11" s="1"/>
      <c r="AI11" s="4" t="s">
        <v>182</v>
      </c>
      <c r="AJ11" s="4" t="s">
        <v>180</v>
      </c>
      <c r="AK11" s="1"/>
      <c r="AL11" s="4" t="s">
        <v>183</v>
      </c>
      <c r="AM11" s="4" t="s">
        <v>180</v>
      </c>
      <c r="AN11" s="1"/>
      <c r="AO11" s="4" t="s">
        <v>184</v>
      </c>
      <c r="AP11" s="4" t="s">
        <v>180</v>
      </c>
      <c r="AQ11" s="1"/>
      <c r="AR11" s="4" t="s">
        <v>185</v>
      </c>
      <c r="AS11" s="4" t="s">
        <v>180</v>
      </c>
      <c r="AT11" s="1"/>
      <c r="AU11" s="4" t="s">
        <v>186</v>
      </c>
      <c r="AV11" s="4" t="s">
        <v>180</v>
      </c>
      <c r="AW11" s="1"/>
      <c r="AX11" s="4" t="s">
        <v>187</v>
      </c>
      <c r="AY11" s="4" t="s">
        <v>180</v>
      </c>
      <c r="AZ11" s="1"/>
      <c r="BA11" s="2" t="s">
        <v>188</v>
      </c>
      <c r="BB11" s="1"/>
      <c r="BC11" s="4" t="s">
        <v>179</v>
      </c>
      <c r="BD11" s="4" t="s">
        <v>180</v>
      </c>
      <c r="BE11" s="1"/>
      <c r="BF11" s="4" t="s">
        <v>181</v>
      </c>
      <c r="BG11" s="4" t="s">
        <v>180</v>
      </c>
      <c r="BH11" s="1"/>
      <c r="BI11" s="4" t="s">
        <v>182</v>
      </c>
      <c r="BJ11" s="4" t="s">
        <v>180</v>
      </c>
      <c r="BK11" s="1"/>
      <c r="BL11" s="4" t="s">
        <v>183</v>
      </c>
      <c r="BM11" s="4" t="s">
        <v>180</v>
      </c>
      <c r="BN11" s="1"/>
      <c r="BO11" s="4" t="s">
        <v>184</v>
      </c>
      <c r="BP11" s="4" t="s">
        <v>180</v>
      </c>
      <c r="BQ11" s="1"/>
      <c r="BR11" s="4" t="s">
        <v>185</v>
      </c>
      <c r="BS11" s="4" t="s">
        <v>180</v>
      </c>
      <c r="BT11" s="1"/>
      <c r="BU11" s="4" t="s">
        <v>186</v>
      </c>
      <c r="BV11" s="4" t="s">
        <v>180</v>
      </c>
      <c r="BW11" s="1"/>
      <c r="BX11" s="4" t="s">
        <v>187</v>
      </c>
      <c r="BY11" s="4" t="s">
        <v>180</v>
      </c>
      <c r="BZ11" s="1"/>
      <c r="CA11" s="2" t="s">
        <v>189</v>
      </c>
      <c r="CB11" s="1"/>
      <c r="CC11" s="4" t="s">
        <v>179</v>
      </c>
      <c r="CD11" s="4" t="s">
        <v>180</v>
      </c>
      <c r="CE11" s="1"/>
      <c r="CF11" s="4" t="s">
        <v>181</v>
      </c>
      <c r="CG11" s="4" t="s">
        <v>180</v>
      </c>
      <c r="CH11" s="1"/>
      <c r="CI11" s="4" t="s">
        <v>182</v>
      </c>
      <c r="CJ11" s="4" t="s">
        <v>180</v>
      </c>
      <c r="CK11" s="1"/>
      <c r="CL11" s="4" t="s">
        <v>183</v>
      </c>
      <c r="CM11" s="4" t="s">
        <v>180</v>
      </c>
      <c r="CN11" s="1"/>
      <c r="CO11" s="4" t="s">
        <v>184</v>
      </c>
      <c r="CP11" s="4" t="s">
        <v>180</v>
      </c>
      <c r="CQ11" s="1"/>
      <c r="CR11" s="4" t="s">
        <v>185</v>
      </c>
      <c r="CS11" s="4" t="s">
        <v>180</v>
      </c>
      <c r="CT11" s="1"/>
      <c r="CU11" s="4" t="s">
        <v>186</v>
      </c>
      <c r="CV11" s="4" t="s">
        <v>180</v>
      </c>
      <c r="CW11" s="1"/>
      <c r="CX11" s="4" t="s">
        <v>187</v>
      </c>
      <c r="CY11" s="4" t="s">
        <v>180</v>
      </c>
      <c r="CZ11" s="1"/>
    </row>
    <row r="12" spans="1:104" x14ac:dyDescent="0.45">
      <c r="A12" s="1" t="s">
        <v>190</v>
      </c>
      <c r="B12" s="1" t="s">
        <v>191</v>
      </c>
      <c r="C12" s="150"/>
      <c r="D12" s="151"/>
      <c r="E12" s="1"/>
      <c r="F12" s="150"/>
      <c r="G12" s="151"/>
      <c r="H12" s="1"/>
      <c r="I12" s="150"/>
      <c r="J12" s="151"/>
      <c r="K12" s="1"/>
      <c r="L12" s="150"/>
      <c r="M12" s="151"/>
      <c r="N12" s="1"/>
      <c r="O12" s="150"/>
      <c r="P12" s="151"/>
      <c r="Q12" s="1"/>
      <c r="R12" s="150"/>
      <c r="S12" s="151"/>
      <c r="T12" s="1"/>
      <c r="U12" s="150"/>
      <c r="V12" s="151"/>
      <c r="W12" s="1"/>
      <c r="X12" s="150"/>
      <c r="Y12" s="151"/>
      <c r="Z12" s="1"/>
      <c r="AA12" s="1" t="s">
        <v>192</v>
      </c>
      <c r="AB12" s="1" t="s">
        <v>27</v>
      </c>
      <c r="AC12" s="150"/>
      <c r="AD12" s="151"/>
      <c r="AE12" s="1"/>
      <c r="AF12" s="150"/>
      <c r="AG12" s="151"/>
      <c r="AH12" s="1"/>
      <c r="AI12" s="150"/>
      <c r="AJ12" s="151"/>
      <c r="AK12" s="1"/>
      <c r="AL12" s="150"/>
      <c r="AM12" s="151"/>
      <c r="AN12" s="1"/>
      <c r="AO12" s="150"/>
      <c r="AP12" s="151"/>
      <c r="AQ12" s="1"/>
      <c r="AR12" s="150"/>
      <c r="AS12" s="151"/>
      <c r="AT12" s="1"/>
      <c r="AU12" s="150"/>
      <c r="AV12" s="151"/>
      <c r="AW12" s="1"/>
      <c r="AX12" s="150"/>
      <c r="AY12" s="151"/>
      <c r="AZ12" s="1"/>
      <c r="BA12" s="1" t="s">
        <v>193</v>
      </c>
      <c r="BB12" s="1" t="s">
        <v>194</v>
      </c>
      <c r="BC12" s="150"/>
      <c r="BD12" s="151"/>
      <c r="BE12" s="1"/>
      <c r="BF12" s="150"/>
      <c r="BG12" s="151"/>
      <c r="BH12" s="1"/>
      <c r="BI12" s="150"/>
      <c r="BJ12" s="151"/>
      <c r="BK12" s="1"/>
      <c r="BL12" s="150"/>
      <c r="BM12" s="151"/>
      <c r="BN12" s="1"/>
      <c r="BO12" s="150"/>
      <c r="BP12" s="151"/>
      <c r="BQ12" s="1"/>
      <c r="BR12" s="150"/>
      <c r="BS12" s="151"/>
      <c r="BT12" s="1"/>
      <c r="BU12" s="150"/>
      <c r="BV12" s="151"/>
      <c r="BW12" s="1"/>
      <c r="BX12" s="150"/>
      <c r="BY12" s="151"/>
      <c r="BZ12" s="1"/>
      <c r="CA12" s="1" t="s">
        <v>195</v>
      </c>
      <c r="CB12" s="1" t="s">
        <v>196</v>
      </c>
      <c r="CC12" s="150"/>
      <c r="CD12" s="151"/>
      <c r="CE12" s="1"/>
      <c r="CF12" s="150"/>
      <c r="CG12" s="151"/>
      <c r="CH12" s="1"/>
      <c r="CI12" s="150"/>
      <c r="CJ12" s="151"/>
      <c r="CK12" s="1"/>
      <c r="CL12" s="150"/>
      <c r="CM12" s="151"/>
      <c r="CN12" s="1"/>
      <c r="CO12" s="150"/>
      <c r="CP12" s="151"/>
      <c r="CQ12" s="1"/>
      <c r="CR12" s="150"/>
      <c r="CS12" s="151"/>
      <c r="CT12" s="1"/>
      <c r="CU12" s="150"/>
      <c r="CV12" s="151"/>
      <c r="CW12" s="1"/>
      <c r="CX12" s="150"/>
      <c r="CY12" s="151"/>
      <c r="CZ12" s="1"/>
    </row>
    <row r="13" spans="1:104" x14ac:dyDescent="0.45">
      <c r="A13" s="1" t="s">
        <v>197</v>
      </c>
      <c r="B13" s="1" t="s">
        <v>198</v>
      </c>
      <c r="C13" s="152"/>
      <c r="D13" s="153"/>
      <c r="E13" s="1"/>
      <c r="F13" s="152"/>
      <c r="G13" s="153"/>
      <c r="H13" s="1"/>
      <c r="I13" s="152"/>
      <c r="J13" s="153"/>
      <c r="K13" s="1"/>
      <c r="L13" s="152"/>
      <c r="M13" s="153"/>
      <c r="N13" s="1"/>
      <c r="O13" s="152"/>
      <c r="P13" s="153"/>
      <c r="Q13" s="1"/>
      <c r="R13" s="152"/>
      <c r="S13" s="153"/>
      <c r="T13" s="1"/>
      <c r="U13" s="152"/>
      <c r="V13" s="153"/>
      <c r="W13" s="1"/>
      <c r="X13" s="152"/>
      <c r="Y13" s="153"/>
      <c r="Z13" s="1"/>
      <c r="AA13" s="1" t="s">
        <v>199</v>
      </c>
      <c r="AB13" s="1" t="s">
        <v>28</v>
      </c>
      <c r="AC13" s="152"/>
      <c r="AD13" s="153"/>
      <c r="AE13" s="1"/>
      <c r="AF13" s="152"/>
      <c r="AG13" s="153"/>
      <c r="AH13" s="1"/>
      <c r="AI13" s="152"/>
      <c r="AJ13" s="153"/>
      <c r="AK13" s="1"/>
      <c r="AL13" s="152"/>
      <c r="AM13" s="153"/>
      <c r="AN13" s="1"/>
      <c r="AO13" s="152"/>
      <c r="AP13" s="153"/>
      <c r="AQ13" s="1"/>
      <c r="AR13" s="152"/>
      <c r="AS13" s="153"/>
      <c r="AT13" s="1"/>
      <c r="AU13" s="152"/>
      <c r="AV13" s="153"/>
      <c r="AW13" s="1"/>
      <c r="AX13" s="152"/>
      <c r="AY13" s="153"/>
      <c r="AZ13" s="1"/>
      <c r="BA13" s="1" t="s">
        <v>200</v>
      </c>
      <c r="BB13" s="1" t="s">
        <v>201</v>
      </c>
      <c r="BC13" s="152"/>
      <c r="BD13" s="153"/>
      <c r="BE13" s="1"/>
      <c r="BF13" s="152"/>
      <c r="BG13" s="153"/>
      <c r="BH13" s="1"/>
      <c r="BI13" s="152"/>
      <c r="BJ13" s="153"/>
      <c r="BK13" s="1"/>
      <c r="BL13" s="152"/>
      <c r="BM13" s="153"/>
      <c r="BN13" s="1"/>
      <c r="BO13" s="152"/>
      <c r="BP13" s="153"/>
      <c r="BQ13" s="1"/>
      <c r="BR13" s="152"/>
      <c r="BS13" s="153"/>
      <c r="BT13" s="1"/>
      <c r="BU13" s="152"/>
      <c r="BV13" s="153"/>
      <c r="BW13" s="1"/>
      <c r="BX13" s="152"/>
      <c r="BY13" s="153"/>
      <c r="BZ13" s="1"/>
      <c r="CA13" s="1" t="s">
        <v>202</v>
      </c>
      <c r="CB13" s="1" t="s">
        <v>203</v>
      </c>
      <c r="CC13" s="152"/>
      <c r="CD13" s="153"/>
      <c r="CE13" s="1"/>
      <c r="CF13" s="152"/>
      <c r="CG13" s="153"/>
      <c r="CH13" s="1"/>
      <c r="CI13" s="152"/>
      <c r="CJ13" s="153"/>
      <c r="CK13" s="1"/>
      <c r="CL13" s="152"/>
      <c r="CM13" s="153"/>
      <c r="CN13" s="1"/>
      <c r="CO13" s="152"/>
      <c r="CP13" s="153"/>
      <c r="CQ13" s="1"/>
      <c r="CR13" s="152"/>
      <c r="CS13" s="153"/>
      <c r="CT13" s="1"/>
      <c r="CU13" s="152"/>
      <c r="CV13" s="153"/>
      <c r="CW13" s="1"/>
      <c r="CX13" s="152"/>
      <c r="CY13" s="153"/>
      <c r="CZ13" s="1"/>
    </row>
    <row r="14" spans="1:104" x14ac:dyDescent="0.45">
      <c r="A14" s="1" t="s">
        <v>204</v>
      </c>
      <c r="B14" s="1" t="s">
        <v>205</v>
      </c>
      <c r="C14" s="152"/>
      <c r="D14" s="153"/>
      <c r="E14" s="1"/>
      <c r="F14" s="152"/>
      <c r="G14" s="153"/>
      <c r="H14" s="1"/>
      <c r="I14" s="152"/>
      <c r="J14" s="153"/>
      <c r="K14" s="1"/>
      <c r="L14" s="152"/>
      <c r="M14" s="153"/>
      <c r="N14" s="1"/>
      <c r="O14" s="152"/>
      <c r="P14" s="153"/>
      <c r="Q14" s="1"/>
      <c r="R14" s="152"/>
      <c r="S14" s="153"/>
      <c r="T14" s="1"/>
      <c r="U14" s="152"/>
      <c r="V14" s="153"/>
      <c r="W14" s="1"/>
      <c r="X14" s="152"/>
      <c r="Y14" s="153"/>
      <c r="Z14" s="1"/>
      <c r="AA14" s="1" t="s">
        <v>206</v>
      </c>
      <c r="AB14" s="1" t="s">
        <v>29</v>
      </c>
      <c r="AC14" s="152"/>
      <c r="AD14" s="153"/>
      <c r="AE14" s="1"/>
      <c r="AF14" s="152"/>
      <c r="AG14" s="153"/>
      <c r="AH14" s="1"/>
      <c r="AI14" s="152"/>
      <c r="AJ14" s="153"/>
      <c r="AK14" s="1"/>
      <c r="AL14" s="152"/>
      <c r="AM14" s="153"/>
      <c r="AN14" s="1"/>
      <c r="AO14" s="152"/>
      <c r="AP14" s="153"/>
      <c r="AQ14" s="1"/>
      <c r="AR14" s="152"/>
      <c r="AS14" s="153"/>
      <c r="AT14" s="1"/>
      <c r="AU14" s="152"/>
      <c r="AV14" s="153"/>
      <c r="AW14" s="1"/>
      <c r="AX14" s="152"/>
      <c r="AY14" s="153"/>
      <c r="AZ14" s="1"/>
      <c r="BA14" s="1" t="s">
        <v>207</v>
      </c>
      <c r="BB14" s="1" t="s">
        <v>208</v>
      </c>
      <c r="BC14" s="152"/>
      <c r="BD14" s="153"/>
      <c r="BE14" s="1"/>
      <c r="BF14" s="152"/>
      <c r="BG14" s="153"/>
      <c r="BH14" s="1"/>
      <c r="BI14" s="152"/>
      <c r="BJ14" s="153"/>
      <c r="BK14" s="1"/>
      <c r="BL14" s="152"/>
      <c r="BM14" s="153"/>
      <c r="BN14" s="1"/>
      <c r="BO14" s="152"/>
      <c r="BP14" s="153"/>
      <c r="BQ14" s="1"/>
      <c r="BR14" s="152"/>
      <c r="BS14" s="153"/>
      <c r="BT14" s="1"/>
      <c r="BU14" s="152"/>
      <c r="BV14" s="153"/>
      <c r="BW14" s="1"/>
      <c r="BX14" s="152"/>
      <c r="BY14" s="153"/>
      <c r="BZ14" s="1"/>
      <c r="CA14" s="1" t="s">
        <v>209</v>
      </c>
      <c r="CB14" s="1" t="s">
        <v>210</v>
      </c>
      <c r="CC14" s="152"/>
      <c r="CD14" s="153"/>
      <c r="CE14" s="1"/>
      <c r="CF14" s="152"/>
      <c r="CG14" s="153"/>
      <c r="CH14" s="1"/>
      <c r="CI14" s="152"/>
      <c r="CJ14" s="153"/>
      <c r="CK14" s="1"/>
      <c r="CL14" s="152"/>
      <c r="CM14" s="153"/>
      <c r="CN14" s="1"/>
      <c r="CO14" s="152"/>
      <c r="CP14" s="153"/>
      <c r="CQ14" s="1"/>
      <c r="CR14" s="152"/>
      <c r="CS14" s="153"/>
      <c r="CT14" s="1"/>
      <c r="CU14" s="152"/>
      <c r="CV14" s="153"/>
      <c r="CW14" s="1"/>
      <c r="CX14" s="152"/>
      <c r="CY14" s="153"/>
      <c r="CZ14" s="1"/>
    </row>
    <row r="15" spans="1:104" x14ac:dyDescent="0.45">
      <c r="A15" s="1" t="s">
        <v>211</v>
      </c>
      <c r="B15" s="1" t="s">
        <v>212</v>
      </c>
      <c r="C15" s="152"/>
      <c r="D15" s="153"/>
      <c r="E15" s="1"/>
      <c r="F15" s="152"/>
      <c r="G15" s="153"/>
      <c r="H15" s="1"/>
      <c r="I15" s="152"/>
      <c r="J15" s="153"/>
      <c r="K15" s="1"/>
      <c r="L15" s="152"/>
      <c r="M15" s="153"/>
      <c r="N15" s="1"/>
      <c r="O15" s="152"/>
      <c r="P15" s="153"/>
      <c r="Q15" s="1"/>
      <c r="R15" s="152"/>
      <c r="S15" s="153"/>
      <c r="T15" s="1"/>
      <c r="U15" s="152"/>
      <c r="V15" s="153"/>
      <c r="W15" s="1"/>
      <c r="X15" s="152"/>
      <c r="Y15" s="153"/>
      <c r="Z15" s="1"/>
      <c r="AA15" s="1" t="s">
        <v>213</v>
      </c>
      <c r="AB15" s="1" t="s">
        <v>30</v>
      </c>
      <c r="AC15" s="152"/>
      <c r="AD15" s="153"/>
      <c r="AE15" s="1"/>
      <c r="AF15" s="152"/>
      <c r="AG15" s="153"/>
      <c r="AH15" s="1"/>
      <c r="AI15" s="152"/>
      <c r="AJ15" s="153"/>
      <c r="AK15" s="1"/>
      <c r="AL15" s="152"/>
      <c r="AM15" s="153"/>
      <c r="AN15" s="1"/>
      <c r="AO15" s="152"/>
      <c r="AP15" s="153"/>
      <c r="AQ15" s="1"/>
      <c r="AR15" s="152"/>
      <c r="AS15" s="153"/>
      <c r="AT15" s="1"/>
      <c r="AU15" s="152"/>
      <c r="AV15" s="153"/>
      <c r="AW15" s="1"/>
      <c r="AX15" s="152"/>
      <c r="AY15" s="153"/>
      <c r="AZ15" s="1"/>
      <c r="BA15" s="1" t="s">
        <v>214</v>
      </c>
      <c r="BB15" s="1" t="s">
        <v>215</v>
      </c>
      <c r="BC15" s="152"/>
      <c r="BD15" s="153"/>
      <c r="BE15" s="1"/>
      <c r="BF15" s="152"/>
      <c r="BG15" s="153"/>
      <c r="BH15" s="1"/>
      <c r="BI15" s="152"/>
      <c r="BJ15" s="153"/>
      <c r="BK15" s="1"/>
      <c r="BL15" s="152"/>
      <c r="BM15" s="153"/>
      <c r="BN15" s="1"/>
      <c r="BO15" s="152"/>
      <c r="BP15" s="153"/>
      <c r="BQ15" s="1"/>
      <c r="BR15" s="152"/>
      <c r="BS15" s="153"/>
      <c r="BT15" s="1"/>
      <c r="BU15" s="152"/>
      <c r="BV15" s="153"/>
      <c r="BW15" s="1"/>
      <c r="BX15" s="152"/>
      <c r="BY15" s="153"/>
      <c r="BZ15" s="1"/>
      <c r="CA15" s="1" t="s">
        <v>216</v>
      </c>
      <c r="CB15" s="1" t="s">
        <v>217</v>
      </c>
      <c r="CC15" s="152"/>
      <c r="CD15" s="153"/>
      <c r="CE15" s="1"/>
      <c r="CF15" s="152"/>
      <c r="CG15" s="153"/>
      <c r="CH15" s="1"/>
      <c r="CI15" s="152"/>
      <c r="CJ15" s="153"/>
      <c r="CK15" s="1"/>
      <c r="CL15" s="152"/>
      <c r="CM15" s="153"/>
      <c r="CN15" s="1"/>
      <c r="CO15" s="152"/>
      <c r="CP15" s="153"/>
      <c r="CQ15" s="1"/>
      <c r="CR15" s="152"/>
      <c r="CS15" s="153"/>
      <c r="CT15" s="1"/>
      <c r="CU15" s="152"/>
      <c r="CV15" s="153"/>
      <c r="CW15" s="1"/>
      <c r="CX15" s="152"/>
      <c r="CY15" s="153"/>
      <c r="CZ15" s="1"/>
    </row>
    <row r="16" spans="1:104" x14ac:dyDescent="0.45">
      <c r="A16" s="1" t="s">
        <v>218</v>
      </c>
      <c r="B16" s="1" t="s">
        <v>219</v>
      </c>
      <c r="C16" s="152"/>
      <c r="D16" s="153"/>
      <c r="E16" s="1"/>
      <c r="F16" s="152"/>
      <c r="G16" s="153"/>
      <c r="H16" s="1"/>
      <c r="I16" s="152"/>
      <c r="J16" s="153"/>
      <c r="K16" s="1"/>
      <c r="L16" s="152"/>
      <c r="M16" s="153"/>
      <c r="N16" s="1"/>
      <c r="O16" s="152"/>
      <c r="P16" s="153"/>
      <c r="Q16" s="1"/>
      <c r="R16" s="152"/>
      <c r="S16" s="153"/>
      <c r="T16" s="1"/>
      <c r="U16" s="152"/>
      <c r="V16" s="153"/>
      <c r="W16" s="1"/>
      <c r="X16" s="152"/>
      <c r="Y16" s="153"/>
      <c r="Z16" s="1"/>
      <c r="AA16" s="1" t="s">
        <v>220</v>
      </c>
      <c r="AB16" s="1" t="s">
        <v>31</v>
      </c>
      <c r="AC16" s="152"/>
      <c r="AD16" s="153"/>
      <c r="AE16" s="1"/>
      <c r="AF16" s="152"/>
      <c r="AG16" s="153"/>
      <c r="AH16" s="1"/>
      <c r="AI16" s="152"/>
      <c r="AJ16" s="153"/>
      <c r="AK16" s="1"/>
      <c r="AL16" s="152"/>
      <c r="AM16" s="153"/>
      <c r="AN16" s="1"/>
      <c r="AO16" s="152"/>
      <c r="AP16" s="153"/>
      <c r="AQ16" s="1"/>
      <c r="AR16" s="152"/>
      <c r="AS16" s="153"/>
      <c r="AT16" s="1"/>
      <c r="AU16" s="152"/>
      <c r="AV16" s="153"/>
      <c r="AW16" s="1"/>
      <c r="AX16" s="152"/>
      <c r="AY16" s="153"/>
      <c r="AZ16" s="1"/>
      <c r="BA16" s="1" t="s">
        <v>221</v>
      </c>
      <c r="BB16" s="1" t="s">
        <v>222</v>
      </c>
      <c r="BC16" s="152"/>
      <c r="BD16" s="153"/>
      <c r="BE16" s="1"/>
      <c r="BF16" s="152"/>
      <c r="BG16" s="153"/>
      <c r="BH16" s="1"/>
      <c r="BI16" s="152"/>
      <c r="BJ16" s="153"/>
      <c r="BK16" s="1"/>
      <c r="BL16" s="152"/>
      <c r="BM16" s="153"/>
      <c r="BN16" s="1"/>
      <c r="BO16" s="152"/>
      <c r="BP16" s="153"/>
      <c r="BQ16" s="1"/>
      <c r="BR16" s="152"/>
      <c r="BS16" s="153"/>
      <c r="BT16" s="1"/>
      <c r="BU16" s="152"/>
      <c r="BV16" s="153"/>
      <c r="BW16" s="1"/>
      <c r="BX16" s="152"/>
      <c r="BY16" s="153"/>
      <c r="BZ16" s="1"/>
      <c r="CA16" s="1" t="s">
        <v>223</v>
      </c>
      <c r="CB16" s="1" t="s">
        <v>224</v>
      </c>
      <c r="CC16" s="152"/>
      <c r="CD16" s="153"/>
      <c r="CE16" s="1"/>
      <c r="CF16" s="152"/>
      <c r="CG16" s="153"/>
      <c r="CH16" s="1"/>
      <c r="CI16" s="152"/>
      <c r="CJ16" s="153"/>
      <c r="CK16" s="1"/>
      <c r="CL16" s="152"/>
      <c r="CM16" s="153"/>
      <c r="CN16" s="1"/>
      <c r="CO16" s="152"/>
      <c r="CP16" s="153"/>
      <c r="CQ16" s="1"/>
      <c r="CR16" s="152"/>
      <c r="CS16" s="153"/>
      <c r="CT16" s="1"/>
      <c r="CU16" s="152"/>
      <c r="CV16" s="153"/>
      <c r="CW16" s="1"/>
      <c r="CX16" s="152"/>
      <c r="CY16" s="153"/>
      <c r="CZ16" s="1"/>
    </row>
    <row r="17" spans="1:104" x14ac:dyDescent="0.45">
      <c r="A17" s="1" t="s">
        <v>225</v>
      </c>
      <c r="B17" s="1" t="s">
        <v>226</v>
      </c>
      <c r="C17" s="152"/>
      <c r="D17" s="153"/>
      <c r="E17" s="1"/>
      <c r="F17" s="152"/>
      <c r="G17" s="153"/>
      <c r="H17" s="1"/>
      <c r="I17" s="152"/>
      <c r="J17" s="153"/>
      <c r="K17" s="1"/>
      <c r="L17" s="152"/>
      <c r="M17" s="153"/>
      <c r="N17" s="1"/>
      <c r="O17" s="152"/>
      <c r="P17" s="153"/>
      <c r="Q17" s="1"/>
      <c r="R17" s="152"/>
      <c r="S17" s="153"/>
      <c r="T17" s="1"/>
      <c r="U17" s="152"/>
      <c r="V17" s="153"/>
      <c r="W17" s="1"/>
      <c r="X17" s="152"/>
      <c r="Y17" s="153"/>
      <c r="Z17" s="1"/>
      <c r="AA17" s="1" t="s">
        <v>227</v>
      </c>
      <c r="AB17" s="1" t="s">
        <v>32</v>
      </c>
      <c r="AC17" s="152"/>
      <c r="AD17" s="153"/>
      <c r="AE17" s="1"/>
      <c r="AF17" s="152"/>
      <c r="AG17" s="153"/>
      <c r="AH17" s="1"/>
      <c r="AI17" s="152"/>
      <c r="AJ17" s="153"/>
      <c r="AK17" s="1"/>
      <c r="AL17" s="152"/>
      <c r="AM17" s="153"/>
      <c r="AN17" s="1"/>
      <c r="AO17" s="152"/>
      <c r="AP17" s="153"/>
      <c r="AQ17" s="1"/>
      <c r="AR17" s="152"/>
      <c r="AS17" s="153"/>
      <c r="AT17" s="1"/>
      <c r="AU17" s="152"/>
      <c r="AV17" s="153"/>
      <c r="AW17" s="1"/>
      <c r="AX17" s="152"/>
      <c r="AY17" s="153"/>
      <c r="AZ17" s="1"/>
      <c r="BA17" s="1" t="s">
        <v>228</v>
      </c>
      <c r="BB17" s="1" t="s">
        <v>229</v>
      </c>
      <c r="BC17" s="152"/>
      <c r="BD17" s="153"/>
      <c r="BE17" s="1"/>
      <c r="BF17" s="152"/>
      <c r="BG17" s="153"/>
      <c r="BH17" s="1"/>
      <c r="BI17" s="152"/>
      <c r="BJ17" s="153"/>
      <c r="BK17" s="1"/>
      <c r="BL17" s="152"/>
      <c r="BM17" s="153"/>
      <c r="BN17" s="1"/>
      <c r="BO17" s="152"/>
      <c r="BP17" s="153"/>
      <c r="BQ17" s="1"/>
      <c r="BR17" s="152"/>
      <c r="BS17" s="153"/>
      <c r="BT17" s="1"/>
      <c r="BU17" s="152"/>
      <c r="BV17" s="153"/>
      <c r="BW17" s="1"/>
      <c r="BX17" s="152"/>
      <c r="BY17" s="153"/>
      <c r="BZ17" s="1"/>
      <c r="CA17" s="1" t="s">
        <v>230</v>
      </c>
      <c r="CB17" s="1" t="s">
        <v>231</v>
      </c>
      <c r="CC17" s="152"/>
      <c r="CD17" s="153"/>
      <c r="CE17" s="1"/>
      <c r="CF17" s="152"/>
      <c r="CG17" s="153"/>
      <c r="CH17" s="1"/>
      <c r="CI17" s="152"/>
      <c r="CJ17" s="153"/>
      <c r="CK17" s="1"/>
      <c r="CL17" s="152"/>
      <c r="CM17" s="153"/>
      <c r="CN17" s="1"/>
      <c r="CO17" s="152"/>
      <c r="CP17" s="153"/>
      <c r="CQ17" s="1"/>
      <c r="CR17" s="152"/>
      <c r="CS17" s="153"/>
      <c r="CT17" s="1"/>
      <c r="CU17" s="152"/>
      <c r="CV17" s="153"/>
      <c r="CW17" s="1"/>
      <c r="CX17" s="152"/>
      <c r="CY17" s="153"/>
      <c r="CZ17" s="1"/>
    </row>
    <row r="18" spans="1:104" x14ac:dyDescent="0.45">
      <c r="A18" s="1" t="s">
        <v>232</v>
      </c>
      <c r="B18" s="1" t="s">
        <v>233</v>
      </c>
      <c r="C18" s="152"/>
      <c r="D18" s="153"/>
      <c r="E18" s="1"/>
      <c r="F18" s="152"/>
      <c r="G18" s="153"/>
      <c r="H18" s="1"/>
      <c r="I18" s="152"/>
      <c r="J18" s="153"/>
      <c r="K18" s="1"/>
      <c r="L18" s="152"/>
      <c r="M18" s="153"/>
      <c r="N18" s="1"/>
      <c r="O18" s="152"/>
      <c r="P18" s="153"/>
      <c r="Q18" s="1"/>
      <c r="R18" s="152"/>
      <c r="S18" s="153"/>
      <c r="T18" s="1"/>
      <c r="U18" s="152"/>
      <c r="V18" s="153"/>
      <c r="W18" s="1"/>
      <c r="X18" s="152"/>
      <c r="Y18" s="153"/>
      <c r="Z18" s="1"/>
      <c r="AA18" s="1" t="s">
        <v>128</v>
      </c>
      <c r="AB18" s="1" t="s">
        <v>33</v>
      </c>
      <c r="AC18" s="152"/>
      <c r="AD18" s="153"/>
      <c r="AE18" s="1"/>
      <c r="AF18" s="152"/>
      <c r="AG18" s="153"/>
      <c r="AH18" s="1"/>
      <c r="AI18" s="152"/>
      <c r="AJ18" s="153"/>
      <c r="AK18" s="1"/>
      <c r="AL18" s="152"/>
      <c r="AM18" s="153"/>
      <c r="AN18" s="1"/>
      <c r="AO18" s="152"/>
      <c r="AP18" s="153"/>
      <c r="AQ18" s="1"/>
      <c r="AR18" s="152"/>
      <c r="AS18" s="153"/>
      <c r="AT18" s="1"/>
      <c r="AU18" s="152"/>
      <c r="AV18" s="153"/>
      <c r="AW18" s="1"/>
      <c r="AX18" s="152"/>
      <c r="AY18" s="153"/>
      <c r="AZ18" s="1"/>
      <c r="BA18" s="1" t="s">
        <v>234</v>
      </c>
      <c r="BB18" s="1" t="s">
        <v>235</v>
      </c>
      <c r="BC18" s="152"/>
      <c r="BD18" s="153"/>
      <c r="BE18" s="1"/>
      <c r="BF18" s="152"/>
      <c r="BG18" s="153"/>
      <c r="BH18" s="1"/>
      <c r="BI18" s="152"/>
      <c r="BJ18" s="153"/>
      <c r="BK18" s="1"/>
      <c r="BL18" s="152"/>
      <c r="BM18" s="153"/>
      <c r="BN18" s="1"/>
      <c r="BO18" s="152"/>
      <c r="BP18" s="153"/>
      <c r="BQ18" s="1"/>
      <c r="BR18" s="152"/>
      <c r="BS18" s="153"/>
      <c r="BT18" s="1"/>
      <c r="BU18" s="152"/>
      <c r="BV18" s="153"/>
      <c r="BW18" s="1"/>
      <c r="BX18" s="152"/>
      <c r="BY18" s="153"/>
      <c r="BZ18" s="1"/>
      <c r="CA18" s="1" t="s">
        <v>236</v>
      </c>
      <c r="CB18" s="1" t="s">
        <v>237</v>
      </c>
      <c r="CC18" s="152"/>
      <c r="CD18" s="153"/>
      <c r="CE18" s="1"/>
      <c r="CF18" s="152"/>
      <c r="CG18" s="153"/>
      <c r="CH18" s="1"/>
      <c r="CI18" s="152"/>
      <c r="CJ18" s="153"/>
      <c r="CK18" s="1"/>
      <c r="CL18" s="152"/>
      <c r="CM18" s="153"/>
      <c r="CN18" s="1"/>
      <c r="CO18" s="152"/>
      <c r="CP18" s="153"/>
      <c r="CQ18" s="1"/>
      <c r="CR18" s="152"/>
      <c r="CS18" s="153"/>
      <c r="CT18" s="1"/>
      <c r="CU18" s="152"/>
      <c r="CV18" s="153"/>
      <c r="CW18" s="1"/>
      <c r="CX18" s="152"/>
      <c r="CY18" s="153"/>
      <c r="CZ18" s="1"/>
    </row>
    <row r="19" spans="1:104" x14ac:dyDescent="0.45">
      <c r="A19" s="1" t="s">
        <v>238</v>
      </c>
      <c r="B19" s="1" t="s">
        <v>239</v>
      </c>
      <c r="C19" s="152"/>
      <c r="D19" s="153"/>
      <c r="E19" s="1"/>
      <c r="F19" s="152"/>
      <c r="G19" s="153"/>
      <c r="H19" s="1"/>
      <c r="I19" s="152"/>
      <c r="J19" s="153"/>
      <c r="K19" s="1"/>
      <c r="L19" s="152"/>
      <c r="M19" s="153"/>
      <c r="N19" s="1"/>
      <c r="O19" s="152"/>
      <c r="P19" s="153"/>
      <c r="Q19" s="1"/>
      <c r="R19" s="152"/>
      <c r="S19" s="153"/>
      <c r="T19" s="1"/>
      <c r="U19" s="152"/>
      <c r="V19" s="153"/>
      <c r="W19" s="1"/>
      <c r="X19" s="152"/>
      <c r="Y19" s="153"/>
      <c r="Z19" s="1"/>
      <c r="AA19" s="1" t="s">
        <v>240</v>
      </c>
      <c r="AB19" s="1" t="s">
        <v>34</v>
      </c>
      <c r="AC19" s="152"/>
      <c r="AD19" s="153"/>
      <c r="AE19" s="1"/>
      <c r="AF19" s="152"/>
      <c r="AG19" s="153"/>
      <c r="AH19" s="1"/>
      <c r="AI19" s="152"/>
      <c r="AJ19" s="153"/>
      <c r="AK19" s="1"/>
      <c r="AL19" s="152"/>
      <c r="AM19" s="153"/>
      <c r="AN19" s="1"/>
      <c r="AO19" s="152"/>
      <c r="AP19" s="153"/>
      <c r="AQ19" s="1"/>
      <c r="AR19" s="152"/>
      <c r="AS19" s="153"/>
      <c r="AT19" s="1"/>
      <c r="AU19" s="152"/>
      <c r="AV19" s="153"/>
      <c r="AW19" s="1"/>
      <c r="AX19" s="152"/>
      <c r="AY19" s="153"/>
      <c r="AZ19" s="1"/>
      <c r="BA19" s="1" t="s">
        <v>241</v>
      </c>
      <c r="BB19" s="1" t="s">
        <v>242</v>
      </c>
      <c r="BC19" s="152"/>
      <c r="BD19" s="153"/>
      <c r="BE19" s="1"/>
      <c r="BF19" s="152"/>
      <c r="BG19" s="153"/>
      <c r="BH19" s="1"/>
      <c r="BI19" s="152"/>
      <c r="BJ19" s="153"/>
      <c r="BK19" s="1"/>
      <c r="BL19" s="152"/>
      <c r="BM19" s="153"/>
      <c r="BN19" s="1"/>
      <c r="BO19" s="152"/>
      <c r="BP19" s="153"/>
      <c r="BQ19" s="1"/>
      <c r="BR19" s="152"/>
      <c r="BS19" s="153"/>
      <c r="BT19" s="1"/>
      <c r="BU19" s="152"/>
      <c r="BV19" s="153"/>
      <c r="BW19" s="1"/>
      <c r="BX19" s="152"/>
      <c r="BY19" s="153"/>
      <c r="BZ19" s="1"/>
      <c r="CA19" s="1" t="s">
        <v>243</v>
      </c>
      <c r="CB19" s="1" t="s">
        <v>244</v>
      </c>
      <c r="CC19" s="152"/>
      <c r="CD19" s="153"/>
      <c r="CE19" s="1"/>
      <c r="CF19" s="152"/>
      <c r="CG19" s="153"/>
      <c r="CH19" s="1"/>
      <c r="CI19" s="152"/>
      <c r="CJ19" s="153"/>
      <c r="CK19" s="1"/>
      <c r="CL19" s="152"/>
      <c r="CM19" s="153"/>
      <c r="CN19" s="1"/>
      <c r="CO19" s="152"/>
      <c r="CP19" s="153"/>
      <c r="CQ19" s="1"/>
      <c r="CR19" s="152"/>
      <c r="CS19" s="153"/>
      <c r="CT19" s="1"/>
      <c r="CU19" s="152"/>
      <c r="CV19" s="153"/>
      <c r="CW19" s="1"/>
      <c r="CX19" s="152"/>
      <c r="CY19" s="153"/>
      <c r="CZ19" s="1"/>
    </row>
    <row r="20" spans="1:104" x14ac:dyDescent="0.45">
      <c r="A20" s="1" t="s">
        <v>245</v>
      </c>
      <c r="B20" s="1" t="s">
        <v>246</v>
      </c>
      <c r="C20" s="152"/>
      <c r="D20" s="153"/>
      <c r="E20" s="1"/>
      <c r="F20" s="152"/>
      <c r="G20" s="153"/>
      <c r="H20" s="1"/>
      <c r="I20" s="152"/>
      <c r="J20" s="153"/>
      <c r="K20" s="1"/>
      <c r="L20" s="152"/>
      <c r="M20" s="153"/>
      <c r="N20" s="1"/>
      <c r="O20" s="152"/>
      <c r="P20" s="153"/>
      <c r="Q20" s="1"/>
      <c r="R20" s="152"/>
      <c r="S20" s="153"/>
      <c r="T20" s="1"/>
      <c r="U20" s="152"/>
      <c r="V20" s="153"/>
      <c r="W20" s="1"/>
      <c r="X20" s="152"/>
      <c r="Y20" s="153"/>
      <c r="Z20" s="1"/>
      <c r="AA20" s="1" t="s">
        <v>247</v>
      </c>
      <c r="AB20" s="1" t="s">
        <v>35</v>
      </c>
      <c r="AC20" s="152"/>
      <c r="AD20" s="153"/>
      <c r="AE20" s="1"/>
      <c r="AF20" s="152"/>
      <c r="AG20" s="153"/>
      <c r="AH20" s="1"/>
      <c r="AI20" s="152"/>
      <c r="AJ20" s="153"/>
      <c r="AK20" s="1"/>
      <c r="AL20" s="152"/>
      <c r="AM20" s="153"/>
      <c r="AN20" s="1"/>
      <c r="AO20" s="152"/>
      <c r="AP20" s="153"/>
      <c r="AQ20" s="1"/>
      <c r="AR20" s="152"/>
      <c r="AS20" s="153"/>
      <c r="AT20" s="1"/>
      <c r="AU20" s="152"/>
      <c r="AV20" s="153"/>
      <c r="AW20" s="1"/>
      <c r="AX20" s="152"/>
      <c r="AY20" s="153"/>
      <c r="AZ20" s="1"/>
      <c r="BA20" s="1" t="s">
        <v>248</v>
      </c>
      <c r="BB20" s="1" t="s">
        <v>249</v>
      </c>
      <c r="BC20" s="152"/>
      <c r="BD20" s="153"/>
      <c r="BE20" s="1"/>
      <c r="BF20" s="152"/>
      <c r="BG20" s="153"/>
      <c r="BH20" s="1"/>
      <c r="BI20" s="152"/>
      <c r="BJ20" s="153"/>
      <c r="BK20" s="1"/>
      <c r="BL20" s="152"/>
      <c r="BM20" s="153"/>
      <c r="BN20" s="1"/>
      <c r="BO20" s="152"/>
      <c r="BP20" s="153"/>
      <c r="BQ20" s="1"/>
      <c r="BR20" s="152"/>
      <c r="BS20" s="153"/>
      <c r="BT20" s="1"/>
      <c r="BU20" s="152"/>
      <c r="BV20" s="153"/>
      <c r="BW20" s="1"/>
      <c r="BX20" s="152"/>
      <c r="BY20" s="153"/>
      <c r="BZ20" s="1"/>
      <c r="CA20" s="1" t="s">
        <v>250</v>
      </c>
      <c r="CB20" s="1" t="s">
        <v>251</v>
      </c>
      <c r="CC20" s="152"/>
      <c r="CD20" s="153"/>
      <c r="CE20" s="1"/>
      <c r="CF20" s="152"/>
      <c r="CG20" s="153"/>
      <c r="CH20" s="1"/>
      <c r="CI20" s="152"/>
      <c r="CJ20" s="153"/>
      <c r="CK20" s="1"/>
      <c r="CL20" s="152"/>
      <c r="CM20" s="153"/>
      <c r="CN20" s="1"/>
      <c r="CO20" s="152"/>
      <c r="CP20" s="153"/>
      <c r="CQ20" s="1"/>
      <c r="CR20" s="152"/>
      <c r="CS20" s="153"/>
      <c r="CT20" s="1"/>
      <c r="CU20" s="152"/>
      <c r="CV20" s="153"/>
      <c r="CW20" s="1"/>
      <c r="CX20" s="152"/>
      <c r="CY20" s="153"/>
      <c r="CZ20" s="1"/>
    </row>
    <row r="21" spans="1:104" x14ac:dyDescent="0.45">
      <c r="A21" s="1" t="s">
        <v>252</v>
      </c>
      <c r="B21" s="1" t="s">
        <v>253</v>
      </c>
      <c r="C21" s="152"/>
      <c r="D21" s="153"/>
      <c r="E21" s="1"/>
      <c r="F21" s="152"/>
      <c r="G21" s="153"/>
      <c r="H21" s="1"/>
      <c r="I21" s="152"/>
      <c r="J21" s="153"/>
      <c r="K21" s="1"/>
      <c r="L21" s="152"/>
      <c r="M21" s="153"/>
      <c r="N21" s="1"/>
      <c r="O21" s="152"/>
      <c r="P21" s="153"/>
      <c r="Q21" s="1"/>
      <c r="R21" s="152"/>
      <c r="S21" s="153"/>
      <c r="T21" s="1"/>
      <c r="U21" s="152"/>
      <c r="V21" s="153"/>
      <c r="W21" s="1"/>
      <c r="X21" s="152"/>
      <c r="Y21" s="153"/>
      <c r="Z21" s="1"/>
      <c r="AA21" s="1" t="s">
        <v>254</v>
      </c>
      <c r="AB21" s="1" t="s">
        <v>36</v>
      </c>
      <c r="AC21" s="152"/>
      <c r="AD21" s="153"/>
      <c r="AE21" s="1"/>
      <c r="AF21" s="152"/>
      <c r="AG21" s="153"/>
      <c r="AH21" s="1"/>
      <c r="AI21" s="152"/>
      <c r="AJ21" s="153"/>
      <c r="AK21" s="1"/>
      <c r="AL21" s="152"/>
      <c r="AM21" s="153"/>
      <c r="AN21" s="1"/>
      <c r="AO21" s="152"/>
      <c r="AP21" s="153"/>
      <c r="AQ21" s="1"/>
      <c r="AR21" s="152"/>
      <c r="AS21" s="153"/>
      <c r="AT21" s="1"/>
      <c r="AU21" s="152"/>
      <c r="AV21" s="153"/>
      <c r="AW21" s="1"/>
      <c r="AX21" s="152"/>
      <c r="AY21" s="153"/>
      <c r="AZ21" s="1"/>
      <c r="BA21" s="1" t="s">
        <v>255</v>
      </c>
      <c r="BB21" s="1" t="s">
        <v>256</v>
      </c>
      <c r="BC21" s="152"/>
      <c r="BD21" s="153"/>
      <c r="BE21" s="1"/>
      <c r="BF21" s="152"/>
      <c r="BG21" s="153"/>
      <c r="BH21" s="1"/>
      <c r="BI21" s="152"/>
      <c r="BJ21" s="153"/>
      <c r="BK21" s="1"/>
      <c r="BL21" s="152"/>
      <c r="BM21" s="153"/>
      <c r="BN21" s="1"/>
      <c r="BO21" s="152"/>
      <c r="BP21" s="153"/>
      <c r="BQ21" s="1"/>
      <c r="BR21" s="152"/>
      <c r="BS21" s="153"/>
      <c r="BT21" s="1"/>
      <c r="BU21" s="152"/>
      <c r="BV21" s="153"/>
      <c r="BW21" s="1"/>
      <c r="BX21" s="152"/>
      <c r="BY21" s="153"/>
      <c r="BZ21" s="1"/>
      <c r="CA21" s="1" t="s">
        <v>257</v>
      </c>
      <c r="CB21" s="1" t="s">
        <v>258</v>
      </c>
      <c r="CC21" s="152"/>
      <c r="CD21" s="153"/>
      <c r="CE21" s="1"/>
      <c r="CF21" s="152"/>
      <c r="CG21" s="153"/>
      <c r="CH21" s="1"/>
      <c r="CI21" s="152"/>
      <c r="CJ21" s="153"/>
      <c r="CK21" s="1"/>
      <c r="CL21" s="152"/>
      <c r="CM21" s="153"/>
      <c r="CN21" s="1"/>
      <c r="CO21" s="152"/>
      <c r="CP21" s="153"/>
      <c r="CQ21" s="1"/>
      <c r="CR21" s="152"/>
      <c r="CS21" s="153"/>
      <c r="CT21" s="1"/>
      <c r="CU21" s="152"/>
      <c r="CV21" s="153"/>
      <c r="CW21" s="1"/>
      <c r="CX21" s="152"/>
      <c r="CY21" s="153"/>
      <c r="CZ21" s="1"/>
    </row>
    <row r="22" spans="1:104" x14ac:dyDescent="0.45">
      <c r="A22" s="1" t="s">
        <v>259</v>
      </c>
      <c r="B22" s="1" t="s">
        <v>260</v>
      </c>
      <c r="C22" s="152"/>
      <c r="D22" s="153"/>
      <c r="E22" s="1"/>
      <c r="F22" s="152"/>
      <c r="G22" s="153"/>
      <c r="H22" s="1"/>
      <c r="I22" s="152"/>
      <c r="J22" s="153"/>
      <c r="K22" s="1"/>
      <c r="L22" s="152"/>
      <c r="M22" s="153"/>
      <c r="N22" s="1"/>
      <c r="O22" s="152"/>
      <c r="P22" s="153"/>
      <c r="Q22" s="1"/>
      <c r="R22" s="152"/>
      <c r="S22" s="153"/>
      <c r="T22" s="1"/>
      <c r="U22" s="152"/>
      <c r="V22" s="153"/>
      <c r="W22" s="1"/>
      <c r="X22" s="152"/>
      <c r="Y22" s="153"/>
      <c r="Z22" s="1"/>
      <c r="AA22" s="1" t="s">
        <v>261</v>
      </c>
      <c r="AB22" s="1" t="s">
        <v>37</v>
      </c>
      <c r="AC22" s="152"/>
      <c r="AD22" s="153"/>
      <c r="AE22" s="1"/>
      <c r="AF22" s="152"/>
      <c r="AG22" s="153"/>
      <c r="AH22" s="1"/>
      <c r="AI22" s="152"/>
      <c r="AJ22" s="153"/>
      <c r="AK22" s="1"/>
      <c r="AL22" s="152"/>
      <c r="AM22" s="153"/>
      <c r="AN22" s="1"/>
      <c r="AO22" s="152"/>
      <c r="AP22" s="153"/>
      <c r="AQ22" s="1"/>
      <c r="AR22" s="152"/>
      <c r="AS22" s="153"/>
      <c r="AT22" s="1"/>
      <c r="AU22" s="152"/>
      <c r="AV22" s="153"/>
      <c r="AW22" s="1"/>
      <c r="AX22" s="152"/>
      <c r="AY22" s="153"/>
      <c r="AZ22" s="1"/>
      <c r="BA22" s="1" t="s">
        <v>262</v>
      </c>
      <c r="BB22" s="1" t="s">
        <v>263</v>
      </c>
      <c r="BC22" s="152"/>
      <c r="BD22" s="153"/>
      <c r="BE22" s="1"/>
      <c r="BF22" s="152"/>
      <c r="BG22" s="153"/>
      <c r="BH22" s="1"/>
      <c r="BI22" s="152"/>
      <c r="BJ22" s="153"/>
      <c r="BK22" s="1"/>
      <c r="BL22" s="152"/>
      <c r="BM22" s="153"/>
      <c r="BN22" s="1"/>
      <c r="BO22" s="152"/>
      <c r="BP22" s="153"/>
      <c r="BQ22" s="1"/>
      <c r="BR22" s="152"/>
      <c r="BS22" s="153"/>
      <c r="BT22" s="1"/>
      <c r="BU22" s="152"/>
      <c r="BV22" s="153"/>
      <c r="BW22" s="1"/>
      <c r="BX22" s="152"/>
      <c r="BY22" s="153"/>
      <c r="BZ22" s="1"/>
      <c r="CA22" s="1" t="s">
        <v>264</v>
      </c>
      <c r="CB22" s="1" t="s">
        <v>265</v>
      </c>
      <c r="CC22" s="152"/>
      <c r="CD22" s="153"/>
      <c r="CE22" s="1"/>
      <c r="CF22" s="152"/>
      <c r="CG22" s="153"/>
      <c r="CH22" s="1"/>
      <c r="CI22" s="152"/>
      <c r="CJ22" s="153"/>
      <c r="CK22" s="1"/>
      <c r="CL22" s="152"/>
      <c r="CM22" s="153"/>
      <c r="CN22" s="1"/>
      <c r="CO22" s="152"/>
      <c r="CP22" s="153"/>
      <c r="CQ22" s="1"/>
      <c r="CR22" s="152"/>
      <c r="CS22" s="153"/>
      <c r="CT22" s="1"/>
      <c r="CU22" s="152"/>
      <c r="CV22" s="153"/>
      <c r="CW22" s="1"/>
      <c r="CX22" s="152"/>
      <c r="CY22" s="153"/>
      <c r="CZ22" s="1"/>
    </row>
    <row r="23" spans="1:104" x14ac:dyDescent="0.45">
      <c r="A23" s="1" t="s">
        <v>266</v>
      </c>
      <c r="B23" s="1" t="s">
        <v>267</v>
      </c>
      <c r="C23" s="152"/>
      <c r="D23" s="153"/>
      <c r="E23" s="1"/>
      <c r="F23" s="152"/>
      <c r="G23" s="153"/>
      <c r="H23" s="1"/>
      <c r="I23" s="152"/>
      <c r="J23" s="153"/>
      <c r="K23" s="1"/>
      <c r="L23" s="152"/>
      <c r="M23" s="153"/>
      <c r="N23" s="1"/>
      <c r="O23" s="152"/>
      <c r="P23" s="153"/>
      <c r="Q23" s="1"/>
      <c r="R23" s="152"/>
      <c r="S23" s="153"/>
      <c r="T23" s="1"/>
      <c r="U23" s="152"/>
      <c r="V23" s="153"/>
      <c r="W23" s="1"/>
      <c r="X23" s="152"/>
      <c r="Y23" s="153"/>
      <c r="Z23" s="1"/>
      <c r="AA23" s="1" t="s">
        <v>268</v>
      </c>
      <c r="AB23" s="1" t="s">
        <v>38</v>
      </c>
      <c r="AC23" s="152"/>
      <c r="AD23" s="153"/>
      <c r="AE23" s="1"/>
      <c r="AF23" s="152"/>
      <c r="AG23" s="153"/>
      <c r="AH23" s="1"/>
      <c r="AI23" s="152"/>
      <c r="AJ23" s="153"/>
      <c r="AK23" s="1"/>
      <c r="AL23" s="152"/>
      <c r="AM23" s="153"/>
      <c r="AN23" s="1"/>
      <c r="AO23" s="152"/>
      <c r="AP23" s="153"/>
      <c r="AQ23" s="1"/>
      <c r="AR23" s="152"/>
      <c r="AS23" s="153"/>
      <c r="AT23" s="1"/>
      <c r="AU23" s="152"/>
      <c r="AV23" s="153"/>
      <c r="AW23" s="1"/>
      <c r="AX23" s="152"/>
      <c r="AY23" s="153"/>
      <c r="AZ23" s="1"/>
      <c r="BA23" s="1" t="s">
        <v>269</v>
      </c>
      <c r="BB23" s="1" t="s">
        <v>270</v>
      </c>
      <c r="BC23" s="152"/>
      <c r="BD23" s="153"/>
      <c r="BE23" s="1"/>
      <c r="BF23" s="152"/>
      <c r="BG23" s="153"/>
      <c r="BH23" s="1"/>
      <c r="BI23" s="152"/>
      <c r="BJ23" s="153"/>
      <c r="BK23" s="1"/>
      <c r="BL23" s="152"/>
      <c r="BM23" s="153"/>
      <c r="BN23" s="1"/>
      <c r="BO23" s="152"/>
      <c r="BP23" s="153"/>
      <c r="BQ23" s="1"/>
      <c r="BR23" s="152"/>
      <c r="BS23" s="153"/>
      <c r="BT23" s="1"/>
      <c r="BU23" s="152"/>
      <c r="BV23" s="153"/>
      <c r="BW23" s="1"/>
      <c r="BX23" s="152"/>
      <c r="BY23" s="153"/>
      <c r="BZ23" s="1"/>
      <c r="CA23" s="1" t="s">
        <v>271</v>
      </c>
      <c r="CB23" s="1" t="s">
        <v>272</v>
      </c>
      <c r="CC23" s="152"/>
      <c r="CD23" s="153"/>
      <c r="CE23" s="1"/>
      <c r="CF23" s="152"/>
      <c r="CG23" s="153"/>
      <c r="CH23" s="1"/>
      <c r="CI23" s="152"/>
      <c r="CJ23" s="153"/>
      <c r="CK23" s="1"/>
      <c r="CL23" s="152"/>
      <c r="CM23" s="153"/>
      <c r="CN23" s="1"/>
      <c r="CO23" s="152"/>
      <c r="CP23" s="153"/>
      <c r="CQ23" s="1"/>
      <c r="CR23" s="152"/>
      <c r="CS23" s="153"/>
      <c r="CT23" s="1"/>
      <c r="CU23" s="152"/>
      <c r="CV23" s="153"/>
      <c r="CW23" s="1"/>
      <c r="CX23" s="152"/>
      <c r="CY23" s="153"/>
      <c r="CZ23" s="1"/>
    </row>
    <row r="24" spans="1:104" x14ac:dyDescent="0.45">
      <c r="A24" s="1" t="s">
        <v>273</v>
      </c>
      <c r="B24" s="1" t="s">
        <v>274</v>
      </c>
      <c r="C24" s="152"/>
      <c r="D24" s="153"/>
      <c r="E24" s="1"/>
      <c r="F24" s="152"/>
      <c r="G24" s="153"/>
      <c r="H24" s="1"/>
      <c r="I24" s="152"/>
      <c r="J24" s="153"/>
      <c r="K24" s="1"/>
      <c r="L24" s="152"/>
      <c r="M24" s="153"/>
      <c r="N24" s="1"/>
      <c r="O24" s="152"/>
      <c r="P24" s="153"/>
      <c r="Q24" s="1"/>
      <c r="R24" s="152"/>
      <c r="S24" s="153"/>
      <c r="T24" s="1"/>
      <c r="U24" s="152"/>
      <c r="V24" s="153"/>
      <c r="W24" s="1"/>
      <c r="X24" s="152"/>
      <c r="Y24" s="153"/>
      <c r="Z24" s="1"/>
      <c r="AA24" s="1" t="s">
        <v>275</v>
      </c>
      <c r="AB24" s="1" t="s">
        <v>41</v>
      </c>
      <c r="AC24" s="152"/>
      <c r="AD24" s="153"/>
      <c r="AE24" s="1"/>
      <c r="AF24" s="152"/>
      <c r="AG24" s="153"/>
      <c r="AH24" s="1"/>
      <c r="AI24" s="152"/>
      <c r="AJ24" s="153"/>
      <c r="AK24" s="1"/>
      <c r="AL24" s="152"/>
      <c r="AM24" s="153"/>
      <c r="AN24" s="1"/>
      <c r="AO24" s="152"/>
      <c r="AP24" s="153"/>
      <c r="AQ24" s="1"/>
      <c r="AR24" s="152"/>
      <c r="AS24" s="153"/>
      <c r="AT24" s="1"/>
      <c r="AU24" s="152"/>
      <c r="AV24" s="153"/>
      <c r="AW24" s="1"/>
      <c r="AX24" s="152"/>
      <c r="AY24" s="153"/>
      <c r="AZ24" s="1"/>
      <c r="BA24" s="1" t="s">
        <v>276</v>
      </c>
      <c r="BB24" s="1" t="s">
        <v>277</v>
      </c>
      <c r="BC24" s="152"/>
      <c r="BD24" s="153"/>
      <c r="BE24" s="1"/>
      <c r="BF24" s="152"/>
      <c r="BG24" s="153"/>
      <c r="BH24" s="1"/>
      <c r="BI24" s="152"/>
      <c r="BJ24" s="153"/>
      <c r="BK24" s="1"/>
      <c r="BL24" s="152"/>
      <c r="BM24" s="153"/>
      <c r="BN24" s="1"/>
      <c r="BO24" s="152"/>
      <c r="BP24" s="153"/>
      <c r="BQ24" s="1"/>
      <c r="BR24" s="152"/>
      <c r="BS24" s="153"/>
      <c r="BT24" s="1"/>
      <c r="BU24" s="152"/>
      <c r="BV24" s="153"/>
      <c r="BW24" s="1"/>
      <c r="BX24" s="152"/>
      <c r="BY24" s="153"/>
      <c r="BZ24" s="1"/>
      <c r="CA24" s="1" t="s">
        <v>278</v>
      </c>
      <c r="CB24" s="1" t="s">
        <v>279</v>
      </c>
      <c r="CC24" s="152"/>
      <c r="CD24" s="153"/>
      <c r="CE24" s="1"/>
      <c r="CF24" s="152"/>
      <c r="CG24" s="153"/>
      <c r="CH24" s="1"/>
      <c r="CI24" s="152"/>
      <c r="CJ24" s="153"/>
      <c r="CK24" s="1"/>
      <c r="CL24" s="152"/>
      <c r="CM24" s="153"/>
      <c r="CN24" s="1"/>
      <c r="CO24" s="152"/>
      <c r="CP24" s="153"/>
      <c r="CQ24" s="1"/>
      <c r="CR24" s="152"/>
      <c r="CS24" s="153"/>
      <c r="CT24" s="1"/>
      <c r="CU24" s="152"/>
      <c r="CV24" s="153"/>
      <c r="CW24" s="1"/>
      <c r="CX24" s="152"/>
      <c r="CY24" s="153"/>
      <c r="CZ24" s="1"/>
    </row>
    <row r="25" spans="1:104" x14ac:dyDescent="0.45">
      <c r="A25" s="1" t="s">
        <v>280</v>
      </c>
      <c r="B25" s="1" t="s">
        <v>281</v>
      </c>
      <c r="C25" s="152"/>
      <c r="D25" s="153"/>
      <c r="E25" s="1"/>
      <c r="F25" s="152"/>
      <c r="G25" s="153"/>
      <c r="H25" s="1"/>
      <c r="I25" s="152"/>
      <c r="J25" s="153"/>
      <c r="K25" s="1"/>
      <c r="L25" s="152"/>
      <c r="M25" s="153"/>
      <c r="N25" s="1"/>
      <c r="O25" s="152"/>
      <c r="P25" s="153"/>
      <c r="Q25" s="1"/>
      <c r="R25" s="152"/>
      <c r="S25" s="153"/>
      <c r="T25" s="1"/>
      <c r="U25" s="152"/>
      <c r="V25" s="153"/>
      <c r="W25" s="1"/>
      <c r="X25" s="152"/>
      <c r="Y25" s="153"/>
      <c r="Z25" s="1"/>
      <c r="AA25" s="1" t="s">
        <v>282</v>
      </c>
      <c r="AB25" s="1" t="s">
        <v>42</v>
      </c>
      <c r="AC25" s="152"/>
      <c r="AD25" s="153"/>
      <c r="AE25" s="1"/>
      <c r="AF25" s="152"/>
      <c r="AG25" s="153"/>
      <c r="AH25" s="1"/>
      <c r="AI25" s="152"/>
      <c r="AJ25" s="153"/>
      <c r="AK25" s="1"/>
      <c r="AL25" s="152"/>
      <c r="AM25" s="153"/>
      <c r="AN25" s="1"/>
      <c r="AO25" s="152"/>
      <c r="AP25" s="153"/>
      <c r="AQ25" s="1"/>
      <c r="AR25" s="152"/>
      <c r="AS25" s="153"/>
      <c r="AT25" s="1"/>
      <c r="AU25" s="152"/>
      <c r="AV25" s="153"/>
      <c r="AW25" s="1"/>
      <c r="AX25" s="152"/>
      <c r="AY25" s="153"/>
      <c r="AZ25" s="1"/>
      <c r="BA25" s="1" t="s">
        <v>283</v>
      </c>
      <c r="BB25" s="1" t="s">
        <v>284</v>
      </c>
      <c r="BC25" s="152"/>
      <c r="BD25" s="153"/>
      <c r="BE25" s="1"/>
      <c r="BF25" s="152"/>
      <c r="BG25" s="153"/>
      <c r="BH25" s="1"/>
      <c r="BI25" s="152"/>
      <c r="BJ25" s="153"/>
      <c r="BK25" s="1"/>
      <c r="BL25" s="152"/>
      <c r="BM25" s="153"/>
      <c r="BN25" s="1"/>
      <c r="BO25" s="152"/>
      <c r="BP25" s="153"/>
      <c r="BQ25" s="1"/>
      <c r="BR25" s="152"/>
      <c r="BS25" s="153"/>
      <c r="BT25" s="1"/>
      <c r="BU25" s="152"/>
      <c r="BV25" s="153"/>
      <c r="BW25" s="1"/>
      <c r="BX25" s="152"/>
      <c r="BY25" s="153"/>
      <c r="BZ25" s="1"/>
      <c r="CA25" s="1" t="s">
        <v>285</v>
      </c>
      <c r="CB25" s="1" t="s">
        <v>286</v>
      </c>
      <c r="CC25" s="152"/>
      <c r="CD25" s="153"/>
      <c r="CE25" s="1"/>
      <c r="CF25" s="152"/>
      <c r="CG25" s="153"/>
      <c r="CH25" s="1"/>
      <c r="CI25" s="152"/>
      <c r="CJ25" s="153"/>
      <c r="CK25" s="1"/>
      <c r="CL25" s="152"/>
      <c r="CM25" s="153"/>
      <c r="CN25" s="1"/>
      <c r="CO25" s="152"/>
      <c r="CP25" s="153"/>
      <c r="CQ25" s="1"/>
      <c r="CR25" s="152"/>
      <c r="CS25" s="153"/>
      <c r="CT25" s="1"/>
      <c r="CU25" s="152"/>
      <c r="CV25" s="153"/>
      <c r="CW25" s="1"/>
      <c r="CX25" s="152"/>
      <c r="CY25" s="153"/>
      <c r="CZ25" s="1"/>
    </row>
    <row r="26" spans="1:104" x14ac:dyDescent="0.45">
      <c r="A26" s="1" t="s">
        <v>287</v>
      </c>
      <c r="B26" s="1" t="s">
        <v>288</v>
      </c>
      <c r="C26" s="152"/>
      <c r="D26" s="153"/>
      <c r="E26" s="1"/>
      <c r="F26" s="152"/>
      <c r="G26" s="153"/>
      <c r="H26" s="1"/>
      <c r="I26" s="152"/>
      <c r="J26" s="153"/>
      <c r="K26" s="1"/>
      <c r="L26" s="152"/>
      <c r="M26" s="153"/>
      <c r="N26" s="1"/>
      <c r="O26" s="152"/>
      <c r="P26" s="153"/>
      <c r="Q26" s="1"/>
      <c r="R26" s="152"/>
      <c r="S26" s="153"/>
      <c r="T26" s="1"/>
      <c r="U26" s="152"/>
      <c r="V26" s="153"/>
      <c r="W26" s="1"/>
      <c r="X26" s="152"/>
      <c r="Y26" s="153"/>
      <c r="Z26" s="1"/>
      <c r="AA26" s="1" t="s">
        <v>289</v>
      </c>
      <c r="AB26" s="1" t="s">
        <v>39</v>
      </c>
      <c r="AC26" s="152"/>
      <c r="AD26" s="153"/>
      <c r="AE26" s="1"/>
      <c r="AF26" s="152"/>
      <c r="AG26" s="153"/>
      <c r="AH26" s="1"/>
      <c r="AI26" s="152"/>
      <c r="AJ26" s="153"/>
      <c r="AK26" s="1"/>
      <c r="AL26" s="152"/>
      <c r="AM26" s="153"/>
      <c r="AN26" s="1"/>
      <c r="AO26" s="152"/>
      <c r="AP26" s="153"/>
      <c r="AQ26" s="1"/>
      <c r="AR26" s="152"/>
      <c r="AS26" s="153"/>
      <c r="AT26" s="1"/>
      <c r="AU26" s="152"/>
      <c r="AV26" s="153"/>
      <c r="AW26" s="1"/>
      <c r="AX26" s="152"/>
      <c r="AY26" s="153"/>
      <c r="AZ26" s="1"/>
      <c r="BA26" s="1" t="s">
        <v>290</v>
      </c>
      <c r="BB26" s="1" t="s">
        <v>291</v>
      </c>
      <c r="BC26" s="152"/>
      <c r="BD26" s="153"/>
      <c r="BE26" s="1"/>
      <c r="BF26" s="152"/>
      <c r="BG26" s="153"/>
      <c r="BH26" s="1"/>
      <c r="BI26" s="152"/>
      <c r="BJ26" s="153"/>
      <c r="BK26" s="1"/>
      <c r="BL26" s="152"/>
      <c r="BM26" s="153"/>
      <c r="BN26" s="1"/>
      <c r="BO26" s="152"/>
      <c r="BP26" s="153"/>
      <c r="BQ26" s="1"/>
      <c r="BR26" s="152"/>
      <c r="BS26" s="153"/>
      <c r="BT26" s="1"/>
      <c r="BU26" s="152"/>
      <c r="BV26" s="153"/>
      <c r="BW26" s="1"/>
      <c r="BX26" s="152"/>
      <c r="BY26" s="153"/>
      <c r="BZ26" s="1"/>
      <c r="CA26" s="1" t="s">
        <v>292</v>
      </c>
      <c r="CB26" s="1" t="s">
        <v>293</v>
      </c>
      <c r="CC26" s="152"/>
      <c r="CD26" s="153"/>
      <c r="CE26" s="1"/>
      <c r="CF26" s="152"/>
      <c r="CG26" s="153"/>
      <c r="CH26" s="1"/>
      <c r="CI26" s="152"/>
      <c r="CJ26" s="153"/>
      <c r="CK26" s="1"/>
      <c r="CL26" s="152"/>
      <c r="CM26" s="153"/>
      <c r="CN26" s="1"/>
      <c r="CO26" s="152"/>
      <c r="CP26" s="153"/>
      <c r="CQ26" s="1"/>
      <c r="CR26" s="152"/>
      <c r="CS26" s="153"/>
      <c r="CT26" s="1"/>
      <c r="CU26" s="152"/>
      <c r="CV26" s="153"/>
      <c r="CW26" s="1"/>
      <c r="CX26" s="152"/>
      <c r="CY26" s="153"/>
      <c r="CZ26" s="1"/>
    </row>
    <row r="27" spans="1:104" x14ac:dyDescent="0.45">
      <c r="A27" s="1" t="s">
        <v>294</v>
      </c>
      <c r="B27" s="1" t="s">
        <v>295</v>
      </c>
      <c r="C27" s="154"/>
      <c r="D27" s="155"/>
      <c r="E27" s="1"/>
      <c r="F27" s="154"/>
      <c r="G27" s="155"/>
      <c r="H27" s="1"/>
      <c r="I27" s="154"/>
      <c r="J27" s="155"/>
      <c r="K27" s="1"/>
      <c r="L27" s="154"/>
      <c r="M27" s="155"/>
      <c r="N27" s="1"/>
      <c r="O27" s="154"/>
      <c r="P27" s="155"/>
      <c r="Q27" s="1"/>
      <c r="R27" s="154"/>
      <c r="S27" s="155"/>
      <c r="T27" s="1"/>
      <c r="U27" s="154"/>
      <c r="V27" s="155"/>
      <c r="W27" s="1"/>
      <c r="X27" s="154"/>
      <c r="Y27" s="155"/>
      <c r="Z27" s="1"/>
      <c r="AA27" s="1" t="s">
        <v>296</v>
      </c>
      <c r="AB27" s="1" t="s">
        <v>40</v>
      </c>
      <c r="AC27" s="152"/>
      <c r="AD27" s="153"/>
      <c r="AE27" s="1"/>
      <c r="AF27" s="152"/>
      <c r="AG27" s="153"/>
      <c r="AH27" s="1"/>
      <c r="AI27" s="152"/>
      <c r="AJ27" s="153"/>
      <c r="AK27" s="1"/>
      <c r="AL27" s="152"/>
      <c r="AM27" s="153"/>
      <c r="AN27" s="1"/>
      <c r="AO27" s="152"/>
      <c r="AP27" s="153"/>
      <c r="AQ27" s="1"/>
      <c r="AR27" s="152"/>
      <c r="AS27" s="153"/>
      <c r="AT27" s="1"/>
      <c r="AU27" s="152"/>
      <c r="AV27" s="153"/>
      <c r="AW27" s="1"/>
      <c r="AX27" s="152"/>
      <c r="AY27" s="153"/>
      <c r="AZ27" s="1"/>
      <c r="BA27" s="1" t="s">
        <v>297</v>
      </c>
      <c r="BB27" s="1" t="s">
        <v>298</v>
      </c>
      <c r="BC27" s="152"/>
      <c r="BD27" s="153"/>
      <c r="BE27" s="1"/>
      <c r="BF27" s="152"/>
      <c r="BG27" s="153"/>
      <c r="BH27" s="1"/>
      <c r="BI27" s="152"/>
      <c r="BJ27" s="153"/>
      <c r="BK27" s="1"/>
      <c r="BL27" s="152"/>
      <c r="BM27" s="153"/>
      <c r="BN27" s="1"/>
      <c r="BO27" s="152"/>
      <c r="BP27" s="153"/>
      <c r="BQ27" s="1"/>
      <c r="BR27" s="152"/>
      <c r="BS27" s="153"/>
      <c r="BT27" s="1"/>
      <c r="BU27" s="152"/>
      <c r="BV27" s="153"/>
      <c r="BW27" s="1"/>
      <c r="BX27" s="152"/>
      <c r="BY27" s="153"/>
      <c r="BZ27" s="1"/>
      <c r="CA27" s="1" t="s">
        <v>299</v>
      </c>
      <c r="CB27" s="1" t="s">
        <v>300</v>
      </c>
      <c r="CC27" s="152"/>
      <c r="CD27" s="153"/>
      <c r="CE27" s="1"/>
      <c r="CF27" s="152"/>
      <c r="CG27" s="153"/>
      <c r="CH27" s="1"/>
      <c r="CI27" s="152"/>
      <c r="CJ27" s="153"/>
      <c r="CK27" s="1"/>
      <c r="CL27" s="152"/>
      <c r="CM27" s="153"/>
      <c r="CN27" s="1"/>
      <c r="CO27" s="152"/>
      <c r="CP27" s="153"/>
      <c r="CQ27" s="1"/>
      <c r="CR27" s="152"/>
      <c r="CS27" s="153"/>
      <c r="CT27" s="1"/>
      <c r="CU27" s="152"/>
      <c r="CV27" s="153"/>
      <c r="CW27" s="1"/>
      <c r="CX27" s="152"/>
      <c r="CY27" s="153"/>
      <c r="CZ27" s="1"/>
    </row>
    <row r="28" spans="1:104" x14ac:dyDescent="0.45">
      <c r="A28" s="1"/>
      <c r="B28" s="1"/>
      <c r="C28" s="1"/>
      <c r="D28" s="1"/>
      <c r="E28" s="1"/>
      <c r="F28" s="1"/>
      <c r="G28" s="1"/>
      <c r="H28" s="1"/>
      <c r="I28" s="1"/>
      <c r="J28" s="1"/>
      <c r="K28" s="1"/>
      <c r="L28" s="1"/>
      <c r="M28" s="1"/>
      <c r="N28" s="1"/>
      <c r="O28" s="1"/>
      <c r="P28" s="1"/>
      <c r="Q28" s="1"/>
      <c r="R28" s="1"/>
      <c r="S28" s="1"/>
      <c r="T28" s="1"/>
      <c r="U28" s="1"/>
      <c r="V28" s="1"/>
      <c r="W28" s="1"/>
      <c r="X28" s="1"/>
      <c r="Y28" s="1"/>
      <c r="Z28" s="1"/>
      <c r="AA28" s="1" t="s">
        <v>301</v>
      </c>
      <c r="AB28" s="1" t="s">
        <v>43</v>
      </c>
      <c r="AC28" s="152"/>
      <c r="AD28" s="153"/>
      <c r="AE28" s="1"/>
      <c r="AF28" s="152"/>
      <c r="AG28" s="153"/>
      <c r="AH28" s="1"/>
      <c r="AI28" s="152"/>
      <c r="AJ28" s="153"/>
      <c r="AK28" s="1"/>
      <c r="AL28" s="152"/>
      <c r="AM28" s="153"/>
      <c r="AN28" s="1"/>
      <c r="AO28" s="152"/>
      <c r="AP28" s="153"/>
      <c r="AQ28" s="1"/>
      <c r="AR28" s="152"/>
      <c r="AS28" s="153"/>
      <c r="AT28" s="1"/>
      <c r="AU28" s="152"/>
      <c r="AV28" s="153"/>
      <c r="AW28" s="1"/>
      <c r="AX28" s="152"/>
      <c r="AY28" s="153"/>
      <c r="AZ28" s="1"/>
      <c r="BA28" s="1" t="s">
        <v>302</v>
      </c>
      <c r="BB28" s="1" t="s">
        <v>303</v>
      </c>
      <c r="BC28" s="152"/>
      <c r="BD28" s="153"/>
      <c r="BE28" s="1"/>
      <c r="BF28" s="152"/>
      <c r="BG28" s="153"/>
      <c r="BH28" s="1"/>
      <c r="BI28" s="152"/>
      <c r="BJ28" s="153"/>
      <c r="BK28" s="1"/>
      <c r="BL28" s="152"/>
      <c r="BM28" s="153"/>
      <c r="BN28" s="1"/>
      <c r="BO28" s="152"/>
      <c r="BP28" s="153"/>
      <c r="BQ28" s="1"/>
      <c r="BR28" s="152"/>
      <c r="BS28" s="153"/>
      <c r="BT28" s="1"/>
      <c r="BU28" s="152"/>
      <c r="BV28" s="153"/>
      <c r="BW28" s="1"/>
      <c r="BX28" s="152"/>
      <c r="BY28" s="153"/>
      <c r="BZ28" s="1"/>
      <c r="CA28" s="1" t="s">
        <v>304</v>
      </c>
      <c r="CB28" s="1" t="s">
        <v>305</v>
      </c>
      <c r="CC28" s="152"/>
      <c r="CD28" s="153"/>
      <c r="CE28" s="1"/>
      <c r="CF28" s="152"/>
      <c r="CG28" s="153"/>
      <c r="CH28" s="1"/>
      <c r="CI28" s="152"/>
      <c r="CJ28" s="153"/>
      <c r="CK28" s="1"/>
      <c r="CL28" s="152"/>
      <c r="CM28" s="153"/>
      <c r="CN28" s="1"/>
      <c r="CO28" s="152"/>
      <c r="CP28" s="153"/>
      <c r="CQ28" s="1"/>
      <c r="CR28" s="152"/>
      <c r="CS28" s="153"/>
      <c r="CT28" s="1"/>
      <c r="CU28" s="152"/>
      <c r="CV28" s="153"/>
      <c r="CW28" s="1"/>
      <c r="CX28" s="152"/>
      <c r="CY28" s="153"/>
      <c r="CZ28" s="1"/>
    </row>
    <row r="29" spans="1:104" x14ac:dyDescent="0.45">
      <c r="A29" s="2" t="s">
        <v>306</v>
      </c>
      <c r="B29" s="1"/>
      <c r="C29" s="4" t="s">
        <v>179</v>
      </c>
      <c r="D29" s="4" t="s">
        <v>180</v>
      </c>
      <c r="E29" s="1"/>
      <c r="F29" s="4" t="s">
        <v>181</v>
      </c>
      <c r="G29" s="4" t="s">
        <v>180</v>
      </c>
      <c r="H29" s="1"/>
      <c r="I29" s="4" t="s">
        <v>182</v>
      </c>
      <c r="J29" s="4" t="s">
        <v>180</v>
      </c>
      <c r="K29" s="1"/>
      <c r="L29" s="4" t="s">
        <v>183</v>
      </c>
      <c r="M29" s="4" t="s">
        <v>180</v>
      </c>
      <c r="N29" s="1"/>
      <c r="O29" s="4" t="s">
        <v>184</v>
      </c>
      <c r="P29" s="4" t="s">
        <v>180</v>
      </c>
      <c r="Q29" s="1"/>
      <c r="R29" s="4" t="s">
        <v>185</v>
      </c>
      <c r="S29" s="4" t="s">
        <v>180</v>
      </c>
      <c r="T29" s="1"/>
      <c r="U29" s="4" t="s">
        <v>186</v>
      </c>
      <c r="V29" s="4" t="s">
        <v>180</v>
      </c>
      <c r="W29" s="1"/>
      <c r="X29" s="4" t="s">
        <v>187</v>
      </c>
      <c r="Y29" s="4" t="s">
        <v>180</v>
      </c>
      <c r="Z29" s="1"/>
      <c r="AA29" s="1" t="s">
        <v>307</v>
      </c>
      <c r="AB29" s="1" t="s">
        <v>44</v>
      </c>
      <c r="AC29" s="152"/>
      <c r="AD29" s="153"/>
      <c r="AE29" s="1"/>
      <c r="AF29" s="152"/>
      <c r="AG29" s="153"/>
      <c r="AH29" s="1"/>
      <c r="AI29" s="152"/>
      <c r="AJ29" s="153"/>
      <c r="AK29" s="1"/>
      <c r="AL29" s="152"/>
      <c r="AM29" s="153"/>
      <c r="AN29" s="1"/>
      <c r="AO29" s="152"/>
      <c r="AP29" s="153"/>
      <c r="AQ29" s="1"/>
      <c r="AR29" s="152"/>
      <c r="AS29" s="153"/>
      <c r="AT29" s="1"/>
      <c r="AU29" s="152"/>
      <c r="AV29" s="153"/>
      <c r="AW29" s="1"/>
      <c r="AX29" s="152"/>
      <c r="AY29" s="153"/>
      <c r="AZ29" s="1"/>
      <c r="BA29" s="1" t="s">
        <v>308</v>
      </c>
      <c r="BB29" s="1" t="s">
        <v>309</v>
      </c>
      <c r="BC29" s="152"/>
      <c r="BD29" s="153"/>
      <c r="BE29" s="1"/>
      <c r="BF29" s="152"/>
      <c r="BG29" s="153"/>
      <c r="BH29" s="1"/>
      <c r="BI29" s="152"/>
      <c r="BJ29" s="153"/>
      <c r="BK29" s="1"/>
      <c r="BL29" s="152"/>
      <c r="BM29" s="153"/>
      <c r="BN29" s="1"/>
      <c r="BO29" s="152"/>
      <c r="BP29" s="153"/>
      <c r="BQ29" s="1"/>
      <c r="BR29" s="152"/>
      <c r="BS29" s="153"/>
      <c r="BT29" s="1"/>
      <c r="BU29" s="152"/>
      <c r="BV29" s="153"/>
      <c r="BW29" s="1"/>
      <c r="BX29" s="152"/>
      <c r="BY29" s="153"/>
      <c r="BZ29" s="1"/>
      <c r="CA29" s="1" t="s">
        <v>310</v>
      </c>
      <c r="CB29" s="1" t="s">
        <v>311</v>
      </c>
      <c r="CC29" s="152"/>
      <c r="CD29" s="153"/>
      <c r="CE29" s="1"/>
      <c r="CF29" s="152"/>
      <c r="CG29" s="153"/>
      <c r="CH29" s="1"/>
      <c r="CI29" s="152"/>
      <c r="CJ29" s="153"/>
      <c r="CK29" s="1"/>
      <c r="CL29" s="152"/>
      <c r="CM29" s="153"/>
      <c r="CN29" s="1"/>
      <c r="CO29" s="152"/>
      <c r="CP29" s="153"/>
      <c r="CQ29" s="1"/>
      <c r="CR29" s="152"/>
      <c r="CS29" s="153"/>
      <c r="CT29" s="1"/>
      <c r="CU29" s="152"/>
      <c r="CV29" s="153"/>
      <c r="CW29" s="1"/>
      <c r="CX29" s="152"/>
      <c r="CY29" s="153"/>
      <c r="CZ29" s="1"/>
    </row>
    <row r="30" spans="1:104" x14ac:dyDescent="0.45">
      <c r="A30" s="1" t="s">
        <v>312</v>
      </c>
      <c r="B30" s="1" t="s">
        <v>313</v>
      </c>
      <c r="C30" s="150"/>
      <c r="D30" s="151"/>
      <c r="E30" s="1"/>
      <c r="F30" s="150"/>
      <c r="G30" s="151"/>
      <c r="H30" s="1"/>
      <c r="I30" s="150"/>
      <c r="J30" s="151"/>
      <c r="K30" s="1"/>
      <c r="L30" s="150"/>
      <c r="M30" s="151"/>
      <c r="N30" s="1"/>
      <c r="O30" s="150"/>
      <c r="P30" s="151"/>
      <c r="Q30" s="1"/>
      <c r="R30" s="150"/>
      <c r="S30" s="151"/>
      <c r="T30" s="1"/>
      <c r="U30" s="150"/>
      <c r="V30" s="151"/>
      <c r="W30" s="1"/>
      <c r="X30" s="150"/>
      <c r="Y30" s="151"/>
      <c r="Z30" s="1"/>
      <c r="AA30" s="1" t="s">
        <v>314</v>
      </c>
      <c r="AB30" s="1" t="s">
        <v>315</v>
      </c>
      <c r="AC30" s="154"/>
      <c r="AD30" s="155"/>
      <c r="AE30" s="1"/>
      <c r="AF30" s="154"/>
      <c r="AG30" s="155"/>
      <c r="AH30" s="1"/>
      <c r="AI30" s="154"/>
      <c r="AJ30" s="155"/>
      <c r="AK30" s="1"/>
      <c r="AL30" s="154"/>
      <c r="AM30" s="155"/>
      <c r="AN30" s="1"/>
      <c r="AO30" s="154"/>
      <c r="AP30" s="155"/>
      <c r="AQ30" s="1"/>
      <c r="AR30" s="154"/>
      <c r="AS30" s="155"/>
      <c r="AT30" s="1"/>
      <c r="AU30" s="154"/>
      <c r="AV30" s="155"/>
      <c r="AW30" s="1"/>
      <c r="AX30" s="154"/>
      <c r="AY30" s="155"/>
      <c r="AZ30" s="1"/>
      <c r="BA30" s="1" t="s">
        <v>316</v>
      </c>
      <c r="BB30" s="1" t="s">
        <v>317</v>
      </c>
      <c r="BC30" s="152"/>
      <c r="BD30" s="153"/>
      <c r="BE30" s="1"/>
      <c r="BF30" s="152"/>
      <c r="BG30" s="153"/>
      <c r="BH30" s="1"/>
      <c r="BI30" s="152"/>
      <c r="BJ30" s="153"/>
      <c r="BK30" s="1"/>
      <c r="BL30" s="152"/>
      <c r="BM30" s="153"/>
      <c r="BN30" s="1"/>
      <c r="BO30" s="152"/>
      <c r="BP30" s="153"/>
      <c r="BQ30" s="1"/>
      <c r="BR30" s="152"/>
      <c r="BS30" s="153"/>
      <c r="BT30" s="1"/>
      <c r="BU30" s="152"/>
      <c r="BV30" s="153"/>
      <c r="BW30" s="1"/>
      <c r="BX30" s="152"/>
      <c r="BY30" s="153"/>
      <c r="BZ30" s="1"/>
      <c r="CA30" s="1" t="s">
        <v>318</v>
      </c>
      <c r="CB30" s="1" t="s">
        <v>319</v>
      </c>
      <c r="CC30" s="152"/>
      <c r="CD30" s="153"/>
      <c r="CE30" s="1"/>
      <c r="CF30" s="152"/>
      <c r="CG30" s="153"/>
      <c r="CH30" s="1"/>
      <c r="CI30" s="152"/>
      <c r="CJ30" s="153"/>
      <c r="CK30" s="1"/>
      <c r="CL30" s="152"/>
      <c r="CM30" s="153"/>
      <c r="CN30" s="1"/>
      <c r="CO30" s="152"/>
      <c r="CP30" s="153"/>
      <c r="CQ30" s="1"/>
      <c r="CR30" s="152"/>
      <c r="CS30" s="153"/>
      <c r="CT30" s="1"/>
      <c r="CU30" s="152"/>
      <c r="CV30" s="153"/>
      <c r="CW30" s="1"/>
      <c r="CX30" s="152"/>
      <c r="CY30" s="153"/>
      <c r="CZ30" s="1"/>
    </row>
    <row r="31" spans="1:104" x14ac:dyDescent="0.45">
      <c r="A31" s="1" t="s">
        <v>320</v>
      </c>
      <c r="B31" s="1" t="s">
        <v>321</v>
      </c>
      <c r="C31" s="152"/>
      <c r="D31" s="153"/>
      <c r="E31" s="1"/>
      <c r="F31" s="152"/>
      <c r="G31" s="153"/>
      <c r="H31" s="1"/>
      <c r="I31" s="152"/>
      <c r="J31" s="153"/>
      <c r="K31" s="1"/>
      <c r="L31" s="152"/>
      <c r="M31" s="153"/>
      <c r="N31" s="1"/>
      <c r="O31" s="152"/>
      <c r="P31" s="153"/>
      <c r="Q31" s="1"/>
      <c r="R31" s="152"/>
      <c r="S31" s="153"/>
      <c r="T31" s="1"/>
      <c r="U31" s="152"/>
      <c r="V31" s="153"/>
      <c r="W31" s="1"/>
      <c r="X31" s="152"/>
      <c r="Y31" s="153"/>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t="s">
        <v>322</v>
      </c>
      <c r="BB31" s="1" t="s">
        <v>323</v>
      </c>
      <c r="BC31" s="152"/>
      <c r="BD31" s="153"/>
      <c r="BE31" s="1"/>
      <c r="BF31" s="152"/>
      <c r="BG31" s="153"/>
      <c r="BH31" s="1"/>
      <c r="BI31" s="152"/>
      <c r="BJ31" s="153"/>
      <c r="BK31" s="1"/>
      <c r="BL31" s="152"/>
      <c r="BM31" s="153"/>
      <c r="BN31" s="1"/>
      <c r="BO31" s="152"/>
      <c r="BP31" s="153"/>
      <c r="BQ31" s="1"/>
      <c r="BR31" s="152"/>
      <c r="BS31" s="153"/>
      <c r="BT31" s="1"/>
      <c r="BU31" s="152"/>
      <c r="BV31" s="153"/>
      <c r="BW31" s="1"/>
      <c r="BX31" s="152"/>
      <c r="BY31" s="153"/>
      <c r="BZ31" s="1"/>
      <c r="CA31" s="1" t="s">
        <v>324</v>
      </c>
      <c r="CB31" s="1" t="s">
        <v>325</v>
      </c>
      <c r="CC31" s="152"/>
      <c r="CD31" s="153"/>
      <c r="CE31" s="1"/>
      <c r="CF31" s="152"/>
      <c r="CG31" s="153"/>
      <c r="CH31" s="1"/>
      <c r="CI31" s="152"/>
      <c r="CJ31" s="153"/>
      <c r="CK31" s="1"/>
      <c r="CL31" s="152"/>
      <c r="CM31" s="153"/>
      <c r="CN31" s="1"/>
      <c r="CO31" s="152"/>
      <c r="CP31" s="153"/>
      <c r="CQ31" s="1"/>
      <c r="CR31" s="152"/>
      <c r="CS31" s="153"/>
      <c r="CT31" s="1"/>
      <c r="CU31" s="152"/>
      <c r="CV31" s="153"/>
      <c r="CW31" s="1"/>
      <c r="CX31" s="152"/>
      <c r="CY31" s="153"/>
      <c r="CZ31" s="1"/>
    </row>
    <row r="32" spans="1:104" x14ac:dyDescent="0.45">
      <c r="A32" s="1" t="s">
        <v>326</v>
      </c>
      <c r="B32" s="1" t="s">
        <v>327</v>
      </c>
      <c r="C32" s="152"/>
      <c r="D32" s="153"/>
      <c r="E32" s="1"/>
      <c r="F32" s="152"/>
      <c r="G32" s="153"/>
      <c r="H32" s="1"/>
      <c r="I32" s="152"/>
      <c r="J32" s="153"/>
      <c r="K32" s="1"/>
      <c r="L32" s="152"/>
      <c r="M32" s="153"/>
      <c r="N32" s="1"/>
      <c r="O32" s="152"/>
      <c r="P32" s="153"/>
      <c r="Q32" s="1"/>
      <c r="R32" s="152"/>
      <c r="S32" s="153"/>
      <c r="T32" s="1"/>
      <c r="U32" s="152"/>
      <c r="V32" s="153"/>
      <c r="W32" s="1"/>
      <c r="X32" s="152"/>
      <c r="Y32" s="153"/>
      <c r="Z32" s="1"/>
      <c r="AA32" s="2" t="s">
        <v>328</v>
      </c>
      <c r="AB32" s="1"/>
      <c r="AC32" s="4" t="s">
        <v>179</v>
      </c>
      <c r="AD32" s="4" t="s">
        <v>180</v>
      </c>
      <c r="AE32" s="1"/>
      <c r="AF32" s="4" t="s">
        <v>181</v>
      </c>
      <c r="AG32" s="4" t="s">
        <v>180</v>
      </c>
      <c r="AH32" s="1"/>
      <c r="AI32" s="4" t="s">
        <v>182</v>
      </c>
      <c r="AJ32" s="4" t="s">
        <v>180</v>
      </c>
      <c r="AK32" s="1"/>
      <c r="AL32" s="4" t="s">
        <v>183</v>
      </c>
      <c r="AM32" s="4" t="s">
        <v>180</v>
      </c>
      <c r="AN32" s="1"/>
      <c r="AO32" s="4" t="s">
        <v>184</v>
      </c>
      <c r="AP32" s="4" t="s">
        <v>180</v>
      </c>
      <c r="AQ32" s="1"/>
      <c r="AR32" s="4" t="s">
        <v>185</v>
      </c>
      <c r="AS32" s="4" t="s">
        <v>180</v>
      </c>
      <c r="AT32" s="1"/>
      <c r="AU32" s="4" t="s">
        <v>186</v>
      </c>
      <c r="AV32" s="4" t="s">
        <v>180</v>
      </c>
      <c r="AW32" s="1"/>
      <c r="AX32" s="4" t="s">
        <v>187</v>
      </c>
      <c r="AY32" s="4" t="s">
        <v>180</v>
      </c>
      <c r="AZ32" s="1"/>
      <c r="BA32" s="1" t="s">
        <v>329</v>
      </c>
      <c r="BB32" s="1" t="s">
        <v>330</v>
      </c>
      <c r="BC32" s="152"/>
      <c r="BD32" s="153"/>
      <c r="BE32" s="1"/>
      <c r="BF32" s="152"/>
      <c r="BG32" s="153"/>
      <c r="BH32" s="1"/>
      <c r="BI32" s="152"/>
      <c r="BJ32" s="153"/>
      <c r="BK32" s="1"/>
      <c r="BL32" s="152"/>
      <c r="BM32" s="153"/>
      <c r="BN32" s="1"/>
      <c r="BO32" s="152"/>
      <c r="BP32" s="153"/>
      <c r="BQ32" s="1"/>
      <c r="BR32" s="152"/>
      <c r="BS32" s="153"/>
      <c r="BT32" s="1"/>
      <c r="BU32" s="152"/>
      <c r="BV32" s="153"/>
      <c r="BW32" s="1"/>
      <c r="BX32" s="152"/>
      <c r="BY32" s="153"/>
      <c r="BZ32" s="1"/>
      <c r="CA32" s="1" t="s">
        <v>331</v>
      </c>
      <c r="CB32" s="1" t="s">
        <v>332</v>
      </c>
      <c r="CC32" s="152"/>
      <c r="CD32" s="153"/>
      <c r="CE32" s="1"/>
      <c r="CF32" s="152"/>
      <c r="CG32" s="153"/>
      <c r="CH32" s="1"/>
      <c r="CI32" s="152"/>
      <c r="CJ32" s="153"/>
      <c r="CK32" s="1"/>
      <c r="CL32" s="152"/>
      <c r="CM32" s="153"/>
      <c r="CN32" s="1"/>
      <c r="CO32" s="152"/>
      <c r="CP32" s="153"/>
      <c r="CQ32" s="1"/>
      <c r="CR32" s="152"/>
      <c r="CS32" s="153"/>
      <c r="CT32" s="1"/>
      <c r="CU32" s="152"/>
      <c r="CV32" s="153"/>
      <c r="CW32" s="1"/>
      <c r="CX32" s="152"/>
      <c r="CY32" s="153"/>
      <c r="CZ32" s="1"/>
    </row>
    <row r="33" spans="1:104" x14ac:dyDescent="0.45">
      <c r="A33" s="1" t="s">
        <v>333</v>
      </c>
      <c r="B33" s="1" t="s">
        <v>334</v>
      </c>
      <c r="C33" s="152"/>
      <c r="D33" s="153"/>
      <c r="E33" s="1"/>
      <c r="F33" s="152"/>
      <c r="G33" s="153"/>
      <c r="H33" s="1"/>
      <c r="I33" s="152"/>
      <c r="J33" s="153"/>
      <c r="K33" s="1"/>
      <c r="L33" s="152"/>
      <c r="M33" s="153"/>
      <c r="N33" s="1"/>
      <c r="O33" s="152"/>
      <c r="P33" s="153"/>
      <c r="Q33" s="1"/>
      <c r="R33" s="152"/>
      <c r="S33" s="153"/>
      <c r="T33" s="1"/>
      <c r="U33" s="152"/>
      <c r="V33" s="153"/>
      <c r="W33" s="1"/>
      <c r="X33" s="152"/>
      <c r="Y33" s="153"/>
      <c r="Z33" s="1"/>
      <c r="AA33" s="1" t="s">
        <v>335</v>
      </c>
      <c r="AB33" s="1" t="s">
        <v>336</v>
      </c>
      <c r="AC33" s="150"/>
      <c r="AD33" s="151"/>
      <c r="AE33" s="1"/>
      <c r="AF33" s="150"/>
      <c r="AG33" s="151"/>
      <c r="AH33" s="1"/>
      <c r="AI33" s="150"/>
      <c r="AJ33" s="151"/>
      <c r="AK33" s="1"/>
      <c r="AL33" s="150"/>
      <c r="AM33" s="151"/>
      <c r="AN33" s="1"/>
      <c r="AO33" s="150"/>
      <c r="AP33" s="151"/>
      <c r="AQ33" s="1"/>
      <c r="AR33" s="150"/>
      <c r="AS33" s="151"/>
      <c r="AT33" s="1"/>
      <c r="AU33" s="150"/>
      <c r="AV33" s="151"/>
      <c r="AW33" s="1"/>
      <c r="AX33" s="150"/>
      <c r="AY33" s="151"/>
      <c r="AZ33" s="1"/>
      <c r="BA33" s="1" t="s">
        <v>337</v>
      </c>
      <c r="BB33" s="1" t="s">
        <v>338</v>
      </c>
      <c r="BC33" s="152"/>
      <c r="BD33" s="153"/>
      <c r="BE33" s="1"/>
      <c r="BF33" s="152"/>
      <c r="BG33" s="153"/>
      <c r="BH33" s="1"/>
      <c r="BI33" s="152"/>
      <c r="BJ33" s="153"/>
      <c r="BK33" s="1"/>
      <c r="BL33" s="152"/>
      <c r="BM33" s="153"/>
      <c r="BN33" s="1"/>
      <c r="BO33" s="152"/>
      <c r="BP33" s="153"/>
      <c r="BQ33" s="1"/>
      <c r="BR33" s="152"/>
      <c r="BS33" s="153"/>
      <c r="BT33" s="1"/>
      <c r="BU33" s="152"/>
      <c r="BV33" s="153"/>
      <c r="BW33" s="1"/>
      <c r="BX33" s="152"/>
      <c r="BY33" s="153"/>
      <c r="BZ33" s="1"/>
      <c r="CA33" s="1" t="s">
        <v>339</v>
      </c>
      <c r="CB33" s="1" t="s">
        <v>340</v>
      </c>
      <c r="CC33" s="154"/>
      <c r="CD33" s="155"/>
      <c r="CE33" s="1"/>
      <c r="CF33" s="154"/>
      <c r="CG33" s="155"/>
      <c r="CH33" s="1"/>
      <c r="CI33" s="154"/>
      <c r="CJ33" s="155"/>
      <c r="CK33" s="1"/>
      <c r="CL33" s="154"/>
      <c r="CM33" s="155"/>
      <c r="CN33" s="1"/>
      <c r="CO33" s="154"/>
      <c r="CP33" s="155"/>
      <c r="CQ33" s="1"/>
      <c r="CR33" s="154"/>
      <c r="CS33" s="155"/>
      <c r="CT33" s="1"/>
      <c r="CU33" s="154"/>
      <c r="CV33" s="155"/>
      <c r="CW33" s="1"/>
      <c r="CX33" s="154"/>
      <c r="CY33" s="155"/>
      <c r="CZ33" s="1"/>
    </row>
    <row r="34" spans="1:104" x14ac:dyDescent="0.45">
      <c r="A34" s="1" t="s">
        <v>341</v>
      </c>
      <c r="B34" s="1" t="s">
        <v>342</v>
      </c>
      <c r="C34" s="154"/>
      <c r="D34" s="155"/>
      <c r="E34" s="1"/>
      <c r="F34" s="154"/>
      <c r="G34" s="155"/>
      <c r="H34" s="1"/>
      <c r="I34" s="154"/>
      <c r="J34" s="155"/>
      <c r="K34" s="1"/>
      <c r="L34" s="154"/>
      <c r="M34" s="155"/>
      <c r="N34" s="1"/>
      <c r="O34" s="154"/>
      <c r="P34" s="155"/>
      <c r="Q34" s="1"/>
      <c r="R34" s="154"/>
      <c r="S34" s="155"/>
      <c r="T34" s="1"/>
      <c r="U34" s="154"/>
      <c r="V34" s="155"/>
      <c r="W34" s="1"/>
      <c r="X34" s="154"/>
      <c r="Y34" s="155"/>
      <c r="Z34" s="1"/>
      <c r="AA34" s="1" t="s">
        <v>343</v>
      </c>
      <c r="AB34" s="1" t="s">
        <v>344</v>
      </c>
      <c r="AC34" s="152"/>
      <c r="AD34" s="153"/>
      <c r="AE34" s="1"/>
      <c r="AF34" s="152"/>
      <c r="AG34" s="153"/>
      <c r="AH34" s="1"/>
      <c r="AI34" s="152"/>
      <c r="AJ34" s="153"/>
      <c r="AK34" s="1"/>
      <c r="AL34" s="152"/>
      <c r="AM34" s="153"/>
      <c r="AN34" s="1"/>
      <c r="AO34" s="152"/>
      <c r="AP34" s="153"/>
      <c r="AQ34" s="1"/>
      <c r="AR34" s="152"/>
      <c r="AS34" s="153"/>
      <c r="AT34" s="1"/>
      <c r="AU34" s="152"/>
      <c r="AV34" s="153"/>
      <c r="AW34" s="1"/>
      <c r="AX34" s="152"/>
      <c r="AY34" s="153"/>
      <c r="AZ34" s="1"/>
      <c r="BA34" s="1" t="s">
        <v>345</v>
      </c>
      <c r="BB34" s="1" t="s">
        <v>346</v>
      </c>
      <c r="BC34" s="152"/>
      <c r="BD34" s="153"/>
      <c r="BE34" s="1"/>
      <c r="BF34" s="152"/>
      <c r="BG34" s="153"/>
      <c r="BH34" s="1"/>
      <c r="BI34" s="152"/>
      <c r="BJ34" s="153"/>
      <c r="BK34" s="1"/>
      <c r="BL34" s="152"/>
      <c r="BM34" s="153"/>
      <c r="BN34" s="1"/>
      <c r="BO34" s="152"/>
      <c r="BP34" s="153"/>
      <c r="BQ34" s="1"/>
      <c r="BR34" s="152"/>
      <c r="BS34" s="153"/>
      <c r="BT34" s="1"/>
      <c r="BU34" s="152"/>
      <c r="BV34" s="153"/>
      <c r="BW34" s="1"/>
      <c r="BX34" s="152"/>
      <c r="BY34" s="153"/>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row>
    <row r="35" spans="1:104" x14ac:dyDescent="0.45">
      <c r="A35" s="1"/>
      <c r="B35" s="1"/>
      <c r="C35" s="1"/>
      <c r="D35" s="1"/>
      <c r="E35" s="1"/>
      <c r="F35" s="1"/>
      <c r="G35" s="1"/>
      <c r="H35" s="1"/>
      <c r="I35" s="1"/>
      <c r="J35" s="1"/>
      <c r="K35" s="1"/>
      <c r="L35" s="1"/>
      <c r="M35" s="1"/>
      <c r="N35" s="1"/>
      <c r="O35" s="1"/>
      <c r="P35" s="1"/>
      <c r="Q35" s="1"/>
      <c r="R35" s="1"/>
      <c r="S35" s="1"/>
      <c r="T35" s="1"/>
      <c r="U35" s="1"/>
      <c r="V35" s="1"/>
      <c r="W35" s="1"/>
      <c r="X35" s="1"/>
      <c r="Y35" s="1"/>
      <c r="Z35" s="1"/>
      <c r="AA35" s="1" t="s">
        <v>347</v>
      </c>
      <c r="AB35" s="1" t="s">
        <v>348</v>
      </c>
      <c r="AC35" s="152"/>
      <c r="AD35" s="153"/>
      <c r="AE35" s="1"/>
      <c r="AF35" s="152"/>
      <c r="AG35" s="153"/>
      <c r="AH35" s="1"/>
      <c r="AI35" s="152"/>
      <c r="AJ35" s="153"/>
      <c r="AK35" s="1"/>
      <c r="AL35" s="152"/>
      <c r="AM35" s="153"/>
      <c r="AN35" s="1"/>
      <c r="AO35" s="152"/>
      <c r="AP35" s="153"/>
      <c r="AQ35" s="1"/>
      <c r="AR35" s="152"/>
      <c r="AS35" s="153"/>
      <c r="AT35" s="1"/>
      <c r="AU35" s="152"/>
      <c r="AV35" s="153"/>
      <c r="AW35" s="1"/>
      <c r="AX35" s="152"/>
      <c r="AY35" s="153"/>
      <c r="AZ35" s="1"/>
      <c r="BA35" s="1" t="s">
        <v>349</v>
      </c>
      <c r="BB35" s="1" t="s">
        <v>350</v>
      </c>
      <c r="BC35" s="152"/>
      <c r="BD35" s="153"/>
      <c r="BE35" s="1"/>
      <c r="BF35" s="152"/>
      <c r="BG35" s="153"/>
      <c r="BH35" s="1"/>
      <c r="BI35" s="152"/>
      <c r="BJ35" s="153"/>
      <c r="BK35" s="1"/>
      <c r="BL35" s="152"/>
      <c r="BM35" s="153"/>
      <c r="BN35" s="1"/>
      <c r="BO35" s="152"/>
      <c r="BP35" s="153"/>
      <c r="BQ35" s="1"/>
      <c r="BR35" s="152"/>
      <c r="BS35" s="153"/>
      <c r="BT35" s="1"/>
      <c r="BU35" s="152"/>
      <c r="BV35" s="153"/>
      <c r="BW35" s="1"/>
      <c r="BX35" s="152"/>
      <c r="BY35" s="153"/>
      <c r="BZ35" s="1"/>
      <c r="CA35" s="2" t="s">
        <v>351</v>
      </c>
      <c r="CB35" s="1"/>
      <c r="CC35" s="4" t="s">
        <v>179</v>
      </c>
      <c r="CD35" s="4" t="s">
        <v>180</v>
      </c>
      <c r="CE35" s="1"/>
      <c r="CF35" s="4" t="s">
        <v>181</v>
      </c>
      <c r="CG35" s="4" t="s">
        <v>180</v>
      </c>
      <c r="CH35" s="1"/>
      <c r="CI35" s="4" t="s">
        <v>182</v>
      </c>
      <c r="CJ35" s="4" t="s">
        <v>180</v>
      </c>
      <c r="CK35" s="1"/>
      <c r="CL35" s="4" t="s">
        <v>183</v>
      </c>
      <c r="CM35" s="4" t="s">
        <v>180</v>
      </c>
      <c r="CN35" s="1"/>
      <c r="CO35" s="4" t="s">
        <v>184</v>
      </c>
      <c r="CP35" s="4" t="s">
        <v>180</v>
      </c>
      <c r="CQ35" s="1"/>
      <c r="CR35" s="4" t="s">
        <v>185</v>
      </c>
      <c r="CS35" s="4" t="s">
        <v>180</v>
      </c>
      <c r="CT35" s="1"/>
      <c r="CU35" s="4" t="s">
        <v>186</v>
      </c>
      <c r="CV35" s="4" t="s">
        <v>180</v>
      </c>
      <c r="CW35" s="1"/>
      <c r="CX35" s="4" t="s">
        <v>187</v>
      </c>
      <c r="CY35" s="4" t="s">
        <v>180</v>
      </c>
      <c r="CZ35" s="1"/>
    </row>
    <row r="36" spans="1:104" x14ac:dyDescent="0.45">
      <c r="A36" s="1"/>
      <c r="B36" s="1"/>
      <c r="C36" s="1"/>
      <c r="D36" s="1"/>
      <c r="E36" s="1"/>
      <c r="F36" s="1"/>
      <c r="G36" s="1"/>
      <c r="H36" s="1"/>
      <c r="I36" s="1"/>
      <c r="J36" s="1"/>
      <c r="K36" s="1"/>
      <c r="L36" s="1"/>
      <c r="M36" s="1"/>
      <c r="N36" s="1"/>
      <c r="O36" s="1"/>
      <c r="P36" s="1"/>
      <c r="Q36" s="1"/>
      <c r="R36" s="1"/>
      <c r="S36" s="1"/>
      <c r="T36" s="1"/>
      <c r="U36" s="1"/>
      <c r="V36" s="1"/>
      <c r="W36" s="1"/>
      <c r="X36" s="1"/>
      <c r="Y36" s="1"/>
      <c r="Z36" s="1"/>
      <c r="AA36" s="1" t="s">
        <v>352</v>
      </c>
      <c r="AB36" s="1" t="s">
        <v>353</v>
      </c>
      <c r="AC36" s="152"/>
      <c r="AD36" s="153"/>
      <c r="AE36" s="1"/>
      <c r="AF36" s="152"/>
      <c r="AG36" s="153"/>
      <c r="AH36" s="1"/>
      <c r="AI36" s="152"/>
      <c r="AJ36" s="153"/>
      <c r="AK36" s="1"/>
      <c r="AL36" s="152"/>
      <c r="AM36" s="153"/>
      <c r="AN36" s="1"/>
      <c r="AO36" s="152"/>
      <c r="AP36" s="153"/>
      <c r="AQ36" s="1"/>
      <c r="AR36" s="152"/>
      <c r="AS36" s="153"/>
      <c r="AT36" s="1"/>
      <c r="AU36" s="152"/>
      <c r="AV36" s="153"/>
      <c r="AW36" s="1"/>
      <c r="AX36" s="152"/>
      <c r="AY36" s="153"/>
      <c r="AZ36" s="1"/>
      <c r="BA36" s="1" t="s">
        <v>354</v>
      </c>
      <c r="BB36" s="1" t="s">
        <v>355</v>
      </c>
      <c r="BC36" s="152"/>
      <c r="BD36" s="153"/>
      <c r="BE36" s="1"/>
      <c r="BF36" s="152"/>
      <c r="BG36" s="153"/>
      <c r="BH36" s="1"/>
      <c r="BI36" s="152"/>
      <c r="BJ36" s="153"/>
      <c r="BK36" s="1"/>
      <c r="BL36" s="152"/>
      <c r="BM36" s="153"/>
      <c r="BN36" s="1"/>
      <c r="BO36" s="152"/>
      <c r="BP36" s="153"/>
      <c r="BQ36" s="1"/>
      <c r="BR36" s="152"/>
      <c r="BS36" s="153"/>
      <c r="BT36" s="1"/>
      <c r="BU36" s="152"/>
      <c r="BV36" s="153"/>
      <c r="BW36" s="1"/>
      <c r="BX36" s="152"/>
      <c r="BY36" s="153"/>
      <c r="BZ36" s="1"/>
      <c r="CA36" s="1" t="s">
        <v>356</v>
      </c>
      <c r="CB36" s="1" t="s">
        <v>357</v>
      </c>
      <c r="CC36" s="150"/>
      <c r="CD36" s="151"/>
      <c r="CE36" s="1"/>
      <c r="CF36" s="150"/>
      <c r="CG36" s="151"/>
      <c r="CH36" s="1"/>
      <c r="CI36" s="150"/>
      <c r="CJ36" s="151"/>
      <c r="CK36" s="1"/>
      <c r="CL36" s="150"/>
      <c r="CM36" s="151"/>
      <c r="CN36" s="1"/>
      <c r="CO36" s="150"/>
      <c r="CP36" s="151"/>
      <c r="CQ36" s="1"/>
      <c r="CR36" s="150"/>
      <c r="CS36" s="151"/>
      <c r="CT36" s="1"/>
      <c r="CU36" s="150"/>
      <c r="CV36" s="151"/>
      <c r="CW36" s="1"/>
      <c r="CX36" s="150"/>
      <c r="CY36" s="151"/>
      <c r="CZ36" s="1"/>
    </row>
    <row r="37" spans="1:104" x14ac:dyDescent="0.45">
      <c r="A37" s="2" t="s">
        <v>358</v>
      </c>
      <c r="B37" s="1"/>
      <c r="C37" s="4" t="s">
        <v>179</v>
      </c>
      <c r="D37" s="4" t="s">
        <v>180</v>
      </c>
      <c r="E37" s="1"/>
      <c r="F37" s="4" t="s">
        <v>181</v>
      </c>
      <c r="G37" s="4" t="s">
        <v>180</v>
      </c>
      <c r="H37" s="1"/>
      <c r="I37" s="4" t="s">
        <v>182</v>
      </c>
      <c r="J37" s="4" t="s">
        <v>180</v>
      </c>
      <c r="K37" s="1"/>
      <c r="L37" s="4" t="s">
        <v>183</v>
      </c>
      <c r="M37" s="4" t="s">
        <v>180</v>
      </c>
      <c r="N37" s="1"/>
      <c r="O37" s="4" t="s">
        <v>184</v>
      </c>
      <c r="P37" s="4" t="s">
        <v>180</v>
      </c>
      <c r="Q37" s="1"/>
      <c r="R37" s="4" t="s">
        <v>185</v>
      </c>
      <c r="S37" s="4" t="s">
        <v>180</v>
      </c>
      <c r="T37" s="1"/>
      <c r="U37" s="4" t="s">
        <v>186</v>
      </c>
      <c r="V37" s="4" t="s">
        <v>180</v>
      </c>
      <c r="W37" s="1"/>
      <c r="X37" s="4" t="s">
        <v>187</v>
      </c>
      <c r="Y37" s="4" t="s">
        <v>180</v>
      </c>
      <c r="Z37" s="1"/>
      <c r="AA37" s="1" t="s">
        <v>359</v>
      </c>
      <c r="AB37" s="1" t="s">
        <v>360</v>
      </c>
      <c r="AC37" s="152"/>
      <c r="AD37" s="153"/>
      <c r="AE37" s="1"/>
      <c r="AF37" s="152"/>
      <c r="AG37" s="153"/>
      <c r="AH37" s="1"/>
      <c r="AI37" s="152"/>
      <c r="AJ37" s="153"/>
      <c r="AK37" s="1"/>
      <c r="AL37" s="152"/>
      <c r="AM37" s="153"/>
      <c r="AN37" s="1"/>
      <c r="AO37" s="152"/>
      <c r="AP37" s="153"/>
      <c r="AQ37" s="1"/>
      <c r="AR37" s="152"/>
      <c r="AS37" s="153"/>
      <c r="AT37" s="1"/>
      <c r="AU37" s="152"/>
      <c r="AV37" s="153"/>
      <c r="AW37" s="1"/>
      <c r="AX37" s="152"/>
      <c r="AY37" s="153"/>
      <c r="AZ37" s="1"/>
      <c r="BA37" s="1" t="s">
        <v>361</v>
      </c>
      <c r="BB37" s="1" t="s">
        <v>362</v>
      </c>
      <c r="BC37" s="154"/>
      <c r="BD37" s="155"/>
      <c r="BE37" s="1"/>
      <c r="BF37" s="154"/>
      <c r="BG37" s="155"/>
      <c r="BH37" s="1"/>
      <c r="BI37" s="154"/>
      <c r="BJ37" s="155"/>
      <c r="BK37" s="1"/>
      <c r="BL37" s="154"/>
      <c r="BM37" s="155"/>
      <c r="BN37" s="1"/>
      <c r="BO37" s="154"/>
      <c r="BP37" s="155"/>
      <c r="BQ37" s="1"/>
      <c r="BR37" s="154"/>
      <c r="BS37" s="155"/>
      <c r="BT37" s="1"/>
      <c r="BU37" s="154"/>
      <c r="BV37" s="155"/>
      <c r="BW37" s="1"/>
      <c r="BX37" s="154"/>
      <c r="BY37" s="155"/>
      <c r="BZ37" s="1"/>
      <c r="CA37" s="1" t="s">
        <v>363</v>
      </c>
      <c r="CB37" s="1" t="s">
        <v>364</v>
      </c>
      <c r="CC37" s="152"/>
      <c r="CD37" s="153"/>
      <c r="CE37" s="1"/>
      <c r="CF37" s="152"/>
      <c r="CG37" s="153"/>
      <c r="CH37" s="1"/>
      <c r="CI37" s="152"/>
      <c r="CJ37" s="153"/>
      <c r="CK37" s="1"/>
      <c r="CL37" s="152"/>
      <c r="CM37" s="153"/>
      <c r="CN37" s="1"/>
      <c r="CO37" s="152"/>
      <c r="CP37" s="153"/>
      <c r="CQ37" s="1"/>
      <c r="CR37" s="152"/>
      <c r="CS37" s="153"/>
      <c r="CT37" s="1"/>
      <c r="CU37" s="152"/>
      <c r="CV37" s="153"/>
      <c r="CW37" s="1"/>
      <c r="CX37" s="152"/>
      <c r="CY37" s="153"/>
      <c r="CZ37" s="1"/>
    </row>
    <row r="38" spans="1:104" x14ac:dyDescent="0.45">
      <c r="A38" s="1" t="s">
        <v>365</v>
      </c>
      <c r="B38" s="1" t="s">
        <v>366</v>
      </c>
      <c r="C38" s="150"/>
      <c r="D38" s="151"/>
      <c r="E38" s="1"/>
      <c r="F38" s="150"/>
      <c r="G38" s="151"/>
      <c r="H38" s="1"/>
      <c r="I38" s="150"/>
      <c r="J38" s="151"/>
      <c r="K38" s="1"/>
      <c r="L38" s="150"/>
      <c r="M38" s="151"/>
      <c r="N38" s="1"/>
      <c r="O38" s="150"/>
      <c r="P38" s="151"/>
      <c r="Q38" s="1"/>
      <c r="R38" s="150"/>
      <c r="S38" s="151"/>
      <c r="T38" s="1"/>
      <c r="U38" s="150"/>
      <c r="V38" s="151"/>
      <c r="W38" s="1"/>
      <c r="X38" s="150"/>
      <c r="Y38" s="151"/>
      <c r="Z38" s="1"/>
      <c r="AA38" s="1" t="s">
        <v>367</v>
      </c>
      <c r="AB38" s="1" t="s">
        <v>368</v>
      </c>
      <c r="AC38" s="152"/>
      <c r="AD38" s="153"/>
      <c r="AE38" s="1"/>
      <c r="AF38" s="152"/>
      <c r="AG38" s="153"/>
      <c r="AH38" s="1"/>
      <c r="AI38" s="152"/>
      <c r="AJ38" s="153"/>
      <c r="AK38" s="1"/>
      <c r="AL38" s="152"/>
      <c r="AM38" s="153"/>
      <c r="AN38" s="1"/>
      <c r="AO38" s="152"/>
      <c r="AP38" s="153"/>
      <c r="AQ38" s="1"/>
      <c r="AR38" s="152"/>
      <c r="AS38" s="153"/>
      <c r="AT38" s="1"/>
      <c r="AU38" s="152"/>
      <c r="AV38" s="153"/>
      <c r="AW38" s="1"/>
      <c r="AX38" s="152"/>
      <c r="AY38" s="153"/>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t="s">
        <v>369</v>
      </c>
      <c r="CB38" s="1" t="s">
        <v>370</v>
      </c>
      <c r="CC38" s="152"/>
      <c r="CD38" s="153"/>
      <c r="CE38" s="1"/>
      <c r="CF38" s="152"/>
      <c r="CG38" s="153"/>
      <c r="CH38" s="1"/>
      <c r="CI38" s="152"/>
      <c r="CJ38" s="153"/>
      <c r="CK38" s="1"/>
      <c r="CL38" s="152"/>
      <c r="CM38" s="153"/>
      <c r="CN38" s="1"/>
      <c r="CO38" s="152"/>
      <c r="CP38" s="153"/>
      <c r="CQ38" s="1"/>
      <c r="CR38" s="152"/>
      <c r="CS38" s="153"/>
      <c r="CT38" s="1"/>
      <c r="CU38" s="152"/>
      <c r="CV38" s="153"/>
      <c r="CW38" s="1"/>
      <c r="CX38" s="152"/>
      <c r="CY38" s="153"/>
      <c r="CZ38" s="1"/>
    </row>
    <row r="39" spans="1:104" x14ac:dyDescent="0.45">
      <c r="A39" s="1" t="s">
        <v>371</v>
      </c>
      <c r="B39" s="1" t="s">
        <v>372</v>
      </c>
      <c r="C39" s="152"/>
      <c r="D39" s="153"/>
      <c r="E39" s="1"/>
      <c r="F39" s="152"/>
      <c r="G39" s="153"/>
      <c r="H39" s="1"/>
      <c r="I39" s="152"/>
      <c r="J39" s="153"/>
      <c r="K39" s="1"/>
      <c r="L39" s="152"/>
      <c r="M39" s="153"/>
      <c r="N39" s="1"/>
      <c r="O39" s="152"/>
      <c r="P39" s="153"/>
      <c r="Q39" s="1"/>
      <c r="R39" s="152"/>
      <c r="S39" s="153"/>
      <c r="T39" s="1"/>
      <c r="U39" s="152"/>
      <c r="V39" s="153"/>
      <c r="W39" s="1"/>
      <c r="X39" s="152"/>
      <c r="Y39" s="153"/>
      <c r="Z39" s="1"/>
      <c r="AA39" s="1" t="s">
        <v>373</v>
      </c>
      <c r="AB39" s="1" t="s">
        <v>374</v>
      </c>
      <c r="AC39" s="152"/>
      <c r="AD39" s="153"/>
      <c r="AE39" s="1"/>
      <c r="AF39" s="152"/>
      <c r="AG39" s="153"/>
      <c r="AH39" s="1"/>
      <c r="AI39" s="152"/>
      <c r="AJ39" s="153"/>
      <c r="AK39" s="1"/>
      <c r="AL39" s="152"/>
      <c r="AM39" s="153"/>
      <c r="AN39" s="1"/>
      <c r="AO39" s="152"/>
      <c r="AP39" s="153"/>
      <c r="AQ39" s="1"/>
      <c r="AR39" s="152"/>
      <c r="AS39" s="153"/>
      <c r="AT39" s="1"/>
      <c r="AU39" s="152"/>
      <c r="AV39" s="153"/>
      <c r="AW39" s="1"/>
      <c r="AX39" s="152"/>
      <c r="AY39" s="153"/>
      <c r="AZ39" s="1"/>
      <c r="BA39" s="2" t="s">
        <v>375</v>
      </c>
      <c r="BB39" s="1"/>
      <c r="BC39" s="4" t="s">
        <v>179</v>
      </c>
      <c r="BD39" s="4" t="s">
        <v>180</v>
      </c>
      <c r="BE39" s="1"/>
      <c r="BF39" s="4" t="s">
        <v>181</v>
      </c>
      <c r="BG39" s="4" t="s">
        <v>180</v>
      </c>
      <c r="BH39" s="1"/>
      <c r="BI39" s="4" t="s">
        <v>182</v>
      </c>
      <c r="BJ39" s="4" t="s">
        <v>180</v>
      </c>
      <c r="BK39" s="1"/>
      <c r="BL39" s="4" t="s">
        <v>183</v>
      </c>
      <c r="BM39" s="4" t="s">
        <v>180</v>
      </c>
      <c r="BN39" s="1"/>
      <c r="BO39" s="4" t="s">
        <v>184</v>
      </c>
      <c r="BP39" s="4" t="s">
        <v>180</v>
      </c>
      <c r="BQ39" s="1"/>
      <c r="BR39" s="4" t="s">
        <v>185</v>
      </c>
      <c r="BS39" s="4" t="s">
        <v>180</v>
      </c>
      <c r="BT39" s="1"/>
      <c r="BU39" s="4" t="s">
        <v>186</v>
      </c>
      <c r="BV39" s="4" t="s">
        <v>180</v>
      </c>
      <c r="BW39" s="1"/>
      <c r="BX39" s="4" t="s">
        <v>187</v>
      </c>
      <c r="BY39" s="4" t="s">
        <v>180</v>
      </c>
      <c r="BZ39" s="1"/>
      <c r="CA39" s="1" t="s">
        <v>376</v>
      </c>
      <c r="CB39" s="1" t="s">
        <v>377</v>
      </c>
      <c r="CC39" s="152"/>
      <c r="CD39" s="153"/>
      <c r="CE39" s="1"/>
      <c r="CF39" s="152"/>
      <c r="CG39" s="153"/>
      <c r="CH39" s="1"/>
      <c r="CI39" s="152"/>
      <c r="CJ39" s="153"/>
      <c r="CK39" s="1"/>
      <c r="CL39" s="152"/>
      <c r="CM39" s="153"/>
      <c r="CN39" s="1"/>
      <c r="CO39" s="152"/>
      <c r="CP39" s="153"/>
      <c r="CQ39" s="1"/>
      <c r="CR39" s="152"/>
      <c r="CS39" s="153"/>
      <c r="CT39" s="1"/>
      <c r="CU39" s="152"/>
      <c r="CV39" s="153"/>
      <c r="CW39" s="1"/>
      <c r="CX39" s="152"/>
      <c r="CY39" s="153"/>
      <c r="CZ39" s="1"/>
    </row>
    <row r="40" spans="1:104" x14ac:dyDescent="0.45">
      <c r="A40" s="1" t="s">
        <v>378</v>
      </c>
      <c r="B40" s="1" t="s">
        <v>379</v>
      </c>
      <c r="C40" s="152"/>
      <c r="D40" s="153"/>
      <c r="E40" s="1"/>
      <c r="F40" s="152"/>
      <c r="G40" s="153"/>
      <c r="H40" s="1"/>
      <c r="I40" s="152"/>
      <c r="J40" s="153"/>
      <c r="K40" s="1"/>
      <c r="L40" s="152"/>
      <c r="M40" s="153"/>
      <c r="N40" s="1"/>
      <c r="O40" s="152"/>
      <c r="P40" s="153"/>
      <c r="Q40" s="1"/>
      <c r="R40" s="152"/>
      <c r="S40" s="153"/>
      <c r="T40" s="1"/>
      <c r="U40" s="152"/>
      <c r="V40" s="153"/>
      <c r="W40" s="1"/>
      <c r="X40" s="152"/>
      <c r="Y40" s="153"/>
      <c r="Z40" s="1"/>
      <c r="AA40" s="1" t="s">
        <v>380</v>
      </c>
      <c r="AB40" s="1" t="s">
        <v>381</v>
      </c>
      <c r="AC40" s="152"/>
      <c r="AD40" s="153"/>
      <c r="AE40" s="1"/>
      <c r="AF40" s="152"/>
      <c r="AG40" s="153"/>
      <c r="AH40" s="1"/>
      <c r="AI40" s="152"/>
      <c r="AJ40" s="153"/>
      <c r="AK40" s="1"/>
      <c r="AL40" s="152"/>
      <c r="AM40" s="153"/>
      <c r="AN40" s="1"/>
      <c r="AO40" s="152"/>
      <c r="AP40" s="153"/>
      <c r="AQ40" s="1"/>
      <c r="AR40" s="152"/>
      <c r="AS40" s="153"/>
      <c r="AT40" s="1"/>
      <c r="AU40" s="152"/>
      <c r="AV40" s="153"/>
      <c r="AW40" s="1"/>
      <c r="AX40" s="152"/>
      <c r="AY40" s="153"/>
      <c r="AZ40" s="1"/>
      <c r="BA40" s="1" t="s">
        <v>382</v>
      </c>
      <c r="BB40" s="1" t="s">
        <v>383</v>
      </c>
      <c r="BC40" s="150"/>
      <c r="BD40" s="151"/>
      <c r="BE40" s="1"/>
      <c r="BF40" s="150"/>
      <c r="BG40" s="151"/>
      <c r="BH40" s="1"/>
      <c r="BI40" s="150"/>
      <c r="BJ40" s="151"/>
      <c r="BK40" s="1"/>
      <c r="BL40" s="150"/>
      <c r="BM40" s="151"/>
      <c r="BN40" s="1"/>
      <c r="BO40" s="150"/>
      <c r="BP40" s="151"/>
      <c r="BQ40" s="1"/>
      <c r="BR40" s="150"/>
      <c r="BS40" s="151"/>
      <c r="BT40" s="1"/>
      <c r="BU40" s="150"/>
      <c r="BV40" s="151"/>
      <c r="BW40" s="1"/>
      <c r="BX40" s="150"/>
      <c r="BY40" s="151"/>
      <c r="BZ40" s="1"/>
      <c r="CA40" s="1" t="s">
        <v>384</v>
      </c>
      <c r="CB40" s="1" t="s">
        <v>385</v>
      </c>
      <c r="CC40" s="152"/>
      <c r="CD40" s="153"/>
      <c r="CE40" s="1"/>
      <c r="CF40" s="152"/>
      <c r="CG40" s="153"/>
      <c r="CH40" s="1"/>
      <c r="CI40" s="152"/>
      <c r="CJ40" s="153"/>
      <c r="CK40" s="1"/>
      <c r="CL40" s="152"/>
      <c r="CM40" s="153"/>
      <c r="CN40" s="1"/>
      <c r="CO40" s="152"/>
      <c r="CP40" s="153"/>
      <c r="CQ40" s="1"/>
      <c r="CR40" s="152"/>
      <c r="CS40" s="153"/>
      <c r="CT40" s="1"/>
      <c r="CU40" s="152"/>
      <c r="CV40" s="153"/>
      <c r="CW40" s="1"/>
      <c r="CX40" s="152"/>
      <c r="CY40" s="153"/>
      <c r="CZ40" s="1"/>
    </row>
    <row r="41" spans="1:104" x14ac:dyDescent="0.45">
      <c r="A41" s="1" t="s">
        <v>386</v>
      </c>
      <c r="B41" s="1" t="s">
        <v>387</v>
      </c>
      <c r="C41" s="152"/>
      <c r="D41" s="153"/>
      <c r="E41" s="1"/>
      <c r="F41" s="152"/>
      <c r="G41" s="153"/>
      <c r="H41" s="1"/>
      <c r="I41" s="152"/>
      <c r="J41" s="153"/>
      <c r="K41" s="1"/>
      <c r="L41" s="152"/>
      <c r="M41" s="153"/>
      <c r="N41" s="1"/>
      <c r="O41" s="152"/>
      <c r="P41" s="153"/>
      <c r="Q41" s="1"/>
      <c r="R41" s="152"/>
      <c r="S41" s="153"/>
      <c r="T41" s="1"/>
      <c r="U41" s="152"/>
      <c r="V41" s="153"/>
      <c r="W41" s="1"/>
      <c r="X41" s="152"/>
      <c r="Y41" s="153"/>
      <c r="Z41" s="1"/>
      <c r="AA41" s="1" t="s">
        <v>388</v>
      </c>
      <c r="AB41" s="1" t="s">
        <v>389</v>
      </c>
      <c r="AC41" s="152"/>
      <c r="AD41" s="153"/>
      <c r="AE41" s="1"/>
      <c r="AF41" s="152"/>
      <c r="AG41" s="153"/>
      <c r="AH41" s="1"/>
      <c r="AI41" s="152"/>
      <c r="AJ41" s="153"/>
      <c r="AK41" s="1"/>
      <c r="AL41" s="152"/>
      <c r="AM41" s="153"/>
      <c r="AN41" s="1"/>
      <c r="AO41" s="152"/>
      <c r="AP41" s="153"/>
      <c r="AQ41" s="1"/>
      <c r="AR41" s="152"/>
      <c r="AS41" s="153"/>
      <c r="AT41" s="1"/>
      <c r="AU41" s="152"/>
      <c r="AV41" s="153"/>
      <c r="AW41" s="1"/>
      <c r="AX41" s="152"/>
      <c r="AY41" s="153"/>
      <c r="AZ41" s="1"/>
      <c r="BA41" s="1" t="s">
        <v>390</v>
      </c>
      <c r="BB41" s="1" t="s">
        <v>391</v>
      </c>
      <c r="BC41" s="152"/>
      <c r="BD41" s="153"/>
      <c r="BE41" s="1"/>
      <c r="BF41" s="152"/>
      <c r="BG41" s="153"/>
      <c r="BH41" s="1"/>
      <c r="BI41" s="152"/>
      <c r="BJ41" s="153"/>
      <c r="BK41" s="1"/>
      <c r="BL41" s="152"/>
      <c r="BM41" s="153"/>
      <c r="BN41" s="1"/>
      <c r="BO41" s="152"/>
      <c r="BP41" s="153"/>
      <c r="BQ41" s="1"/>
      <c r="BR41" s="152"/>
      <c r="BS41" s="153"/>
      <c r="BT41" s="1"/>
      <c r="BU41" s="152"/>
      <c r="BV41" s="153"/>
      <c r="BW41" s="1"/>
      <c r="BX41" s="152"/>
      <c r="BY41" s="153"/>
      <c r="BZ41" s="1"/>
      <c r="CA41" s="1" t="s">
        <v>392</v>
      </c>
      <c r="CB41" s="1" t="s">
        <v>393</v>
      </c>
      <c r="CC41" s="152"/>
      <c r="CD41" s="153"/>
      <c r="CE41" s="1"/>
      <c r="CF41" s="152"/>
      <c r="CG41" s="153"/>
      <c r="CH41" s="1"/>
      <c r="CI41" s="152"/>
      <c r="CJ41" s="153"/>
      <c r="CK41" s="1"/>
      <c r="CL41" s="152"/>
      <c r="CM41" s="153"/>
      <c r="CN41" s="1"/>
      <c r="CO41" s="152"/>
      <c r="CP41" s="153"/>
      <c r="CQ41" s="1"/>
      <c r="CR41" s="152"/>
      <c r="CS41" s="153"/>
      <c r="CT41" s="1"/>
      <c r="CU41" s="152"/>
      <c r="CV41" s="153"/>
      <c r="CW41" s="1"/>
      <c r="CX41" s="152"/>
      <c r="CY41" s="153"/>
      <c r="CZ41" s="1"/>
    </row>
    <row r="42" spans="1:104" x14ac:dyDescent="0.45">
      <c r="A42" s="1" t="s">
        <v>394</v>
      </c>
      <c r="B42" s="1" t="s">
        <v>395</v>
      </c>
      <c r="C42" s="152"/>
      <c r="D42" s="153"/>
      <c r="E42" s="1"/>
      <c r="F42" s="152"/>
      <c r="G42" s="153"/>
      <c r="H42" s="1"/>
      <c r="I42" s="152"/>
      <c r="J42" s="153"/>
      <c r="K42" s="1"/>
      <c r="L42" s="152"/>
      <c r="M42" s="153"/>
      <c r="N42" s="1"/>
      <c r="O42" s="152"/>
      <c r="P42" s="153"/>
      <c r="Q42" s="1"/>
      <c r="R42" s="152"/>
      <c r="S42" s="153"/>
      <c r="T42" s="1"/>
      <c r="U42" s="152"/>
      <c r="V42" s="153"/>
      <c r="W42" s="1"/>
      <c r="X42" s="152"/>
      <c r="Y42" s="153"/>
      <c r="Z42" s="1"/>
      <c r="AA42" s="1" t="s">
        <v>396</v>
      </c>
      <c r="AB42" s="1" t="s">
        <v>397</v>
      </c>
      <c r="AC42" s="152"/>
      <c r="AD42" s="153"/>
      <c r="AE42" s="1"/>
      <c r="AF42" s="152"/>
      <c r="AG42" s="153"/>
      <c r="AH42" s="1"/>
      <c r="AI42" s="152"/>
      <c r="AJ42" s="153"/>
      <c r="AK42" s="1"/>
      <c r="AL42" s="152"/>
      <c r="AM42" s="153"/>
      <c r="AN42" s="1"/>
      <c r="AO42" s="152"/>
      <c r="AP42" s="153"/>
      <c r="AQ42" s="1"/>
      <c r="AR42" s="152"/>
      <c r="AS42" s="153"/>
      <c r="AT42" s="1"/>
      <c r="AU42" s="152"/>
      <c r="AV42" s="153"/>
      <c r="AW42" s="1"/>
      <c r="AX42" s="152"/>
      <c r="AY42" s="153"/>
      <c r="AZ42" s="1"/>
      <c r="BA42" s="1" t="s">
        <v>398</v>
      </c>
      <c r="BB42" s="1" t="s">
        <v>399</v>
      </c>
      <c r="BC42" s="152"/>
      <c r="BD42" s="153"/>
      <c r="BE42" s="1"/>
      <c r="BF42" s="152"/>
      <c r="BG42" s="153"/>
      <c r="BH42" s="1"/>
      <c r="BI42" s="152"/>
      <c r="BJ42" s="153"/>
      <c r="BK42" s="1"/>
      <c r="BL42" s="152"/>
      <c r="BM42" s="153"/>
      <c r="BN42" s="1"/>
      <c r="BO42" s="152"/>
      <c r="BP42" s="153"/>
      <c r="BQ42" s="1"/>
      <c r="BR42" s="152"/>
      <c r="BS42" s="153"/>
      <c r="BT42" s="1"/>
      <c r="BU42" s="152"/>
      <c r="BV42" s="153"/>
      <c r="BW42" s="1"/>
      <c r="BX42" s="152"/>
      <c r="BY42" s="153"/>
      <c r="BZ42" s="1"/>
      <c r="CA42" s="1" t="s">
        <v>400</v>
      </c>
      <c r="CB42" s="1" t="s">
        <v>401</v>
      </c>
      <c r="CC42" s="152"/>
      <c r="CD42" s="153"/>
      <c r="CE42" s="1"/>
      <c r="CF42" s="152"/>
      <c r="CG42" s="153"/>
      <c r="CH42" s="1"/>
      <c r="CI42" s="152"/>
      <c r="CJ42" s="153"/>
      <c r="CK42" s="1"/>
      <c r="CL42" s="152"/>
      <c r="CM42" s="153"/>
      <c r="CN42" s="1"/>
      <c r="CO42" s="152"/>
      <c r="CP42" s="153"/>
      <c r="CQ42" s="1"/>
      <c r="CR42" s="152"/>
      <c r="CS42" s="153"/>
      <c r="CT42" s="1"/>
      <c r="CU42" s="152"/>
      <c r="CV42" s="153"/>
      <c r="CW42" s="1"/>
      <c r="CX42" s="152"/>
      <c r="CY42" s="153"/>
      <c r="CZ42" s="1"/>
    </row>
    <row r="43" spans="1:104" x14ac:dyDescent="0.45">
      <c r="A43" s="1" t="s">
        <v>402</v>
      </c>
      <c r="B43" s="1" t="s">
        <v>403</v>
      </c>
      <c r="C43" s="152"/>
      <c r="D43" s="153"/>
      <c r="E43" s="1"/>
      <c r="F43" s="152"/>
      <c r="G43" s="153"/>
      <c r="H43" s="1"/>
      <c r="I43" s="152"/>
      <c r="J43" s="153"/>
      <c r="K43" s="1"/>
      <c r="L43" s="152"/>
      <c r="M43" s="153"/>
      <c r="N43" s="1"/>
      <c r="O43" s="152"/>
      <c r="P43" s="153"/>
      <c r="Q43" s="1"/>
      <c r="R43" s="152"/>
      <c r="S43" s="153"/>
      <c r="T43" s="1"/>
      <c r="U43" s="152"/>
      <c r="V43" s="153"/>
      <c r="W43" s="1"/>
      <c r="X43" s="152"/>
      <c r="Y43" s="153"/>
      <c r="Z43" s="1"/>
      <c r="AA43" s="1" t="s">
        <v>404</v>
      </c>
      <c r="AB43" s="1" t="s">
        <v>405</v>
      </c>
      <c r="AC43" s="152"/>
      <c r="AD43" s="153"/>
      <c r="AE43" s="1"/>
      <c r="AF43" s="152"/>
      <c r="AG43" s="153"/>
      <c r="AH43" s="1"/>
      <c r="AI43" s="152"/>
      <c r="AJ43" s="153"/>
      <c r="AK43" s="1"/>
      <c r="AL43" s="152"/>
      <c r="AM43" s="153"/>
      <c r="AN43" s="1"/>
      <c r="AO43" s="152"/>
      <c r="AP43" s="153"/>
      <c r="AQ43" s="1"/>
      <c r="AR43" s="152"/>
      <c r="AS43" s="153"/>
      <c r="AT43" s="1"/>
      <c r="AU43" s="152"/>
      <c r="AV43" s="153"/>
      <c r="AW43" s="1"/>
      <c r="AX43" s="152"/>
      <c r="AY43" s="153"/>
      <c r="AZ43" s="1"/>
      <c r="BA43" s="1" t="s">
        <v>406</v>
      </c>
      <c r="BB43" s="1" t="s">
        <v>407</v>
      </c>
      <c r="BC43" s="152"/>
      <c r="BD43" s="153"/>
      <c r="BE43" s="1"/>
      <c r="BF43" s="152"/>
      <c r="BG43" s="153"/>
      <c r="BH43" s="1"/>
      <c r="BI43" s="152"/>
      <c r="BJ43" s="153"/>
      <c r="BK43" s="1"/>
      <c r="BL43" s="152"/>
      <c r="BM43" s="153"/>
      <c r="BN43" s="1"/>
      <c r="BO43" s="152"/>
      <c r="BP43" s="153"/>
      <c r="BQ43" s="1"/>
      <c r="BR43" s="152"/>
      <c r="BS43" s="153"/>
      <c r="BT43" s="1"/>
      <c r="BU43" s="152"/>
      <c r="BV43" s="153"/>
      <c r="BW43" s="1"/>
      <c r="BX43" s="152"/>
      <c r="BY43" s="153"/>
      <c r="BZ43" s="1"/>
      <c r="CA43" s="1" t="s">
        <v>408</v>
      </c>
      <c r="CB43" s="1" t="s">
        <v>409</v>
      </c>
      <c r="CC43" s="152"/>
      <c r="CD43" s="153"/>
      <c r="CE43" s="1"/>
      <c r="CF43" s="152"/>
      <c r="CG43" s="153"/>
      <c r="CH43" s="1"/>
      <c r="CI43" s="152"/>
      <c r="CJ43" s="153"/>
      <c r="CK43" s="1"/>
      <c r="CL43" s="152"/>
      <c r="CM43" s="153"/>
      <c r="CN43" s="1"/>
      <c r="CO43" s="152"/>
      <c r="CP43" s="153"/>
      <c r="CQ43" s="1"/>
      <c r="CR43" s="152"/>
      <c r="CS43" s="153"/>
      <c r="CT43" s="1"/>
      <c r="CU43" s="152"/>
      <c r="CV43" s="153"/>
      <c r="CW43" s="1"/>
      <c r="CX43" s="152"/>
      <c r="CY43" s="153"/>
      <c r="CZ43" s="1"/>
    </row>
    <row r="44" spans="1:104" x14ac:dyDescent="0.45">
      <c r="A44" s="1" t="s">
        <v>410</v>
      </c>
      <c r="B44" s="1" t="s">
        <v>411</v>
      </c>
      <c r="C44" s="152"/>
      <c r="D44" s="153"/>
      <c r="E44" s="1"/>
      <c r="F44" s="152"/>
      <c r="G44" s="153"/>
      <c r="H44" s="1"/>
      <c r="I44" s="152"/>
      <c r="J44" s="153"/>
      <c r="K44" s="1"/>
      <c r="L44" s="152"/>
      <c r="M44" s="153"/>
      <c r="N44" s="1"/>
      <c r="O44" s="152"/>
      <c r="P44" s="153"/>
      <c r="Q44" s="1"/>
      <c r="R44" s="152"/>
      <c r="S44" s="153"/>
      <c r="T44" s="1"/>
      <c r="U44" s="152"/>
      <c r="V44" s="153"/>
      <c r="W44" s="1"/>
      <c r="X44" s="152"/>
      <c r="Y44" s="153"/>
      <c r="Z44" s="1"/>
      <c r="AA44" s="1" t="s">
        <v>412</v>
      </c>
      <c r="AB44" s="1" t="s">
        <v>413</v>
      </c>
      <c r="AC44" s="152"/>
      <c r="AD44" s="153"/>
      <c r="AE44" s="1"/>
      <c r="AF44" s="152"/>
      <c r="AG44" s="153"/>
      <c r="AH44" s="1"/>
      <c r="AI44" s="152"/>
      <c r="AJ44" s="153"/>
      <c r="AK44" s="1"/>
      <c r="AL44" s="152"/>
      <c r="AM44" s="153"/>
      <c r="AN44" s="1"/>
      <c r="AO44" s="152"/>
      <c r="AP44" s="153"/>
      <c r="AQ44" s="1"/>
      <c r="AR44" s="152"/>
      <c r="AS44" s="153"/>
      <c r="AT44" s="1"/>
      <c r="AU44" s="152"/>
      <c r="AV44" s="153"/>
      <c r="AW44" s="1"/>
      <c r="AX44" s="152"/>
      <c r="AY44" s="153"/>
      <c r="AZ44" s="1"/>
      <c r="BA44" s="1" t="s">
        <v>414</v>
      </c>
      <c r="BB44" s="1" t="s">
        <v>415</v>
      </c>
      <c r="BC44" s="154"/>
      <c r="BD44" s="155"/>
      <c r="BE44" s="1"/>
      <c r="BF44" s="154"/>
      <c r="BG44" s="155"/>
      <c r="BH44" s="1"/>
      <c r="BI44" s="154"/>
      <c r="BJ44" s="155"/>
      <c r="BK44" s="1"/>
      <c r="BL44" s="154"/>
      <c r="BM44" s="155"/>
      <c r="BN44" s="1"/>
      <c r="BO44" s="154"/>
      <c r="BP44" s="155"/>
      <c r="BQ44" s="1"/>
      <c r="BR44" s="154"/>
      <c r="BS44" s="155"/>
      <c r="BT44" s="1"/>
      <c r="BU44" s="154"/>
      <c r="BV44" s="155"/>
      <c r="BW44" s="1"/>
      <c r="BX44" s="154"/>
      <c r="BY44" s="155"/>
      <c r="BZ44" s="1"/>
      <c r="CA44" s="1" t="s">
        <v>416</v>
      </c>
      <c r="CB44" s="1" t="s">
        <v>417</v>
      </c>
      <c r="CC44" s="152"/>
      <c r="CD44" s="153"/>
      <c r="CE44" s="1"/>
      <c r="CF44" s="152"/>
      <c r="CG44" s="153"/>
      <c r="CH44" s="1"/>
      <c r="CI44" s="152"/>
      <c r="CJ44" s="153"/>
      <c r="CK44" s="1"/>
      <c r="CL44" s="152"/>
      <c r="CM44" s="153"/>
      <c r="CN44" s="1"/>
      <c r="CO44" s="152"/>
      <c r="CP44" s="153"/>
      <c r="CQ44" s="1"/>
      <c r="CR44" s="152"/>
      <c r="CS44" s="153"/>
      <c r="CT44" s="1"/>
      <c r="CU44" s="152"/>
      <c r="CV44" s="153"/>
      <c r="CW44" s="1"/>
      <c r="CX44" s="152"/>
      <c r="CY44" s="153"/>
      <c r="CZ44" s="1"/>
    </row>
    <row r="45" spans="1:104" s="1" customFormat="1" ht="13.15" x14ac:dyDescent="0.4">
      <c r="A45" s="1" t="s">
        <v>418</v>
      </c>
      <c r="B45" s="1" t="s">
        <v>419</v>
      </c>
      <c r="C45" s="152"/>
      <c r="D45" s="153"/>
      <c r="F45" s="152"/>
      <c r="G45" s="153"/>
      <c r="I45" s="152"/>
      <c r="J45" s="153"/>
      <c r="L45" s="152"/>
      <c r="M45" s="153"/>
      <c r="O45" s="152"/>
      <c r="P45" s="153"/>
      <c r="R45" s="152"/>
      <c r="S45" s="153"/>
      <c r="U45" s="152"/>
      <c r="V45" s="153"/>
      <c r="X45" s="152"/>
      <c r="Y45" s="153"/>
      <c r="AA45" s="1" t="s">
        <v>420</v>
      </c>
      <c r="AB45" s="1" t="s">
        <v>421</v>
      </c>
      <c r="AC45" s="152"/>
      <c r="AD45" s="153"/>
      <c r="AF45" s="152"/>
      <c r="AG45" s="153"/>
      <c r="AI45" s="152"/>
      <c r="AJ45" s="153"/>
      <c r="AL45" s="152"/>
      <c r="AM45" s="153"/>
      <c r="AO45" s="152"/>
      <c r="AP45" s="153"/>
      <c r="AR45" s="152"/>
      <c r="AS45" s="153"/>
      <c r="AU45" s="152"/>
      <c r="AV45" s="153"/>
      <c r="AX45" s="152"/>
      <c r="AY45" s="153"/>
      <c r="CA45" s="1" t="s">
        <v>422</v>
      </c>
      <c r="CB45" s="1" t="s">
        <v>423</v>
      </c>
      <c r="CC45" s="152"/>
      <c r="CD45" s="153"/>
      <c r="CF45" s="152"/>
      <c r="CG45" s="153"/>
      <c r="CI45" s="152"/>
      <c r="CJ45" s="153"/>
      <c r="CL45" s="152"/>
      <c r="CM45" s="153"/>
      <c r="CO45" s="152"/>
      <c r="CP45" s="153"/>
      <c r="CR45" s="152"/>
      <c r="CS45" s="153"/>
      <c r="CU45" s="152"/>
      <c r="CV45" s="153"/>
      <c r="CX45" s="152"/>
      <c r="CY45" s="153"/>
    </row>
    <row r="46" spans="1:104" s="1" customFormat="1" ht="13.15" x14ac:dyDescent="0.4">
      <c r="A46" s="1" t="s">
        <v>424</v>
      </c>
      <c r="B46" s="1" t="s">
        <v>425</v>
      </c>
      <c r="C46" s="152"/>
      <c r="D46" s="153"/>
      <c r="F46" s="152"/>
      <c r="G46" s="153"/>
      <c r="I46" s="152"/>
      <c r="J46" s="153"/>
      <c r="L46" s="152"/>
      <c r="M46" s="153"/>
      <c r="O46" s="152"/>
      <c r="P46" s="153"/>
      <c r="R46" s="152"/>
      <c r="S46" s="153"/>
      <c r="U46" s="152"/>
      <c r="V46" s="153"/>
      <c r="X46" s="152"/>
      <c r="Y46" s="153"/>
      <c r="AA46" s="1" t="s">
        <v>426</v>
      </c>
      <c r="AB46" s="1" t="s">
        <v>427</v>
      </c>
      <c r="AC46" s="152"/>
      <c r="AD46" s="153"/>
      <c r="AF46" s="152"/>
      <c r="AG46" s="153"/>
      <c r="AI46" s="152"/>
      <c r="AJ46" s="153"/>
      <c r="AL46" s="152"/>
      <c r="AM46" s="153"/>
      <c r="AO46" s="152"/>
      <c r="AP46" s="153"/>
      <c r="AR46" s="152"/>
      <c r="AS46" s="153"/>
      <c r="AU46" s="152"/>
      <c r="AV46" s="153"/>
      <c r="AX46" s="152"/>
      <c r="AY46" s="153"/>
      <c r="CA46" s="1" t="s">
        <v>428</v>
      </c>
      <c r="CB46" s="1" t="s">
        <v>429</v>
      </c>
      <c r="CC46" s="152"/>
      <c r="CD46" s="153"/>
      <c r="CF46" s="152"/>
      <c r="CG46" s="153"/>
      <c r="CI46" s="152"/>
      <c r="CJ46" s="153"/>
      <c r="CL46" s="152"/>
      <c r="CM46" s="153"/>
      <c r="CO46" s="152"/>
      <c r="CP46" s="153"/>
      <c r="CR46" s="152"/>
      <c r="CS46" s="153"/>
      <c r="CU46" s="152"/>
      <c r="CV46" s="153"/>
      <c r="CX46" s="152"/>
      <c r="CY46" s="153"/>
    </row>
    <row r="47" spans="1:104" s="1" customFormat="1" ht="13.15" x14ac:dyDescent="0.4">
      <c r="A47" s="1" t="s">
        <v>430</v>
      </c>
      <c r="B47" s="1" t="s">
        <v>431</v>
      </c>
      <c r="C47" s="152"/>
      <c r="D47" s="153"/>
      <c r="F47" s="152"/>
      <c r="G47" s="153"/>
      <c r="I47" s="152"/>
      <c r="J47" s="153"/>
      <c r="L47" s="152"/>
      <c r="M47" s="153"/>
      <c r="O47" s="152"/>
      <c r="P47" s="153"/>
      <c r="R47" s="152"/>
      <c r="S47" s="153"/>
      <c r="U47" s="152"/>
      <c r="V47" s="153"/>
      <c r="X47" s="152"/>
      <c r="Y47" s="153"/>
      <c r="AA47" s="1" t="s">
        <v>432</v>
      </c>
      <c r="AB47" s="1" t="s">
        <v>433</v>
      </c>
      <c r="AC47" s="152"/>
      <c r="AD47" s="153"/>
      <c r="AF47" s="152"/>
      <c r="AG47" s="153"/>
      <c r="AI47" s="152"/>
      <c r="AJ47" s="153"/>
      <c r="AL47" s="152"/>
      <c r="AM47" s="153"/>
      <c r="AO47" s="152"/>
      <c r="AP47" s="153"/>
      <c r="AR47" s="152"/>
      <c r="AS47" s="153"/>
      <c r="AU47" s="152"/>
      <c r="AV47" s="153"/>
      <c r="AX47" s="152"/>
      <c r="AY47" s="153"/>
      <c r="CA47" s="1" t="s">
        <v>434</v>
      </c>
      <c r="CB47" s="1" t="s">
        <v>435</v>
      </c>
      <c r="CC47" s="152"/>
      <c r="CD47" s="153"/>
      <c r="CF47" s="152"/>
      <c r="CG47" s="153"/>
      <c r="CI47" s="152"/>
      <c r="CJ47" s="153"/>
      <c r="CL47" s="152"/>
      <c r="CM47" s="153"/>
      <c r="CO47" s="152"/>
      <c r="CP47" s="153"/>
      <c r="CR47" s="152"/>
      <c r="CS47" s="153"/>
      <c r="CU47" s="152"/>
      <c r="CV47" s="153"/>
      <c r="CX47" s="152"/>
      <c r="CY47" s="153"/>
    </row>
    <row r="48" spans="1:104" s="1" customFormat="1" ht="13.15" x14ac:dyDescent="0.4">
      <c r="A48" s="1" t="s">
        <v>436</v>
      </c>
      <c r="B48" s="1" t="s">
        <v>437</v>
      </c>
      <c r="C48" s="154"/>
      <c r="D48" s="155"/>
      <c r="F48" s="154"/>
      <c r="G48" s="155"/>
      <c r="I48" s="154"/>
      <c r="J48" s="155"/>
      <c r="L48" s="154"/>
      <c r="M48" s="155"/>
      <c r="O48" s="154"/>
      <c r="P48" s="155"/>
      <c r="R48" s="154"/>
      <c r="S48" s="155"/>
      <c r="U48" s="154"/>
      <c r="V48" s="155"/>
      <c r="X48" s="154"/>
      <c r="Y48" s="155"/>
      <c r="AA48" s="1" t="s">
        <v>438</v>
      </c>
      <c r="AB48" s="1" t="s">
        <v>439</v>
      </c>
      <c r="AC48" s="152"/>
      <c r="AD48" s="153"/>
      <c r="AF48" s="152"/>
      <c r="AG48" s="153"/>
      <c r="AI48" s="152"/>
      <c r="AJ48" s="153"/>
      <c r="AL48" s="152"/>
      <c r="AM48" s="153"/>
      <c r="AO48" s="152"/>
      <c r="AP48" s="153"/>
      <c r="AR48" s="152"/>
      <c r="AS48" s="153"/>
      <c r="AU48" s="152"/>
      <c r="AV48" s="153"/>
      <c r="AX48" s="152"/>
      <c r="AY48" s="153"/>
      <c r="CA48" s="1" t="s">
        <v>440</v>
      </c>
      <c r="CB48" s="1" t="s">
        <v>441</v>
      </c>
      <c r="CC48" s="154"/>
      <c r="CD48" s="155"/>
      <c r="CF48" s="154"/>
      <c r="CG48" s="155"/>
      <c r="CI48" s="154"/>
      <c r="CJ48" s="155"/>
      <c r="CL48" s="154"/>
      <c r="CM48" s="155"/>
      <c r="CO48" s="154"/>
      <c r="CP48" s="155"/>
      <c r="CR48" s="154"/>
      <c r="CS48" s="155"/>
      <c r="CU48" s="154"/>
      <c r="CV48" s="155"/>
      <c r="CX48" s="154"/>
      <c r="CY48" s="155"/>
    </row>
    <row r="49" spans="1:104" s="1" customFormat="1" ht="13.15" x14ac:dyDescent="0.4">
      <c r="AA49" s="1" t="s">
        <v>442</v>
      </c>
      <c r="AB49" s="1" t="s">
        <v>443</v>
      </c>
      <c r="AC49" s="152"/>
      <c r="AD49" s="153"/>
      <c r="AF49" s="152"/>
      <c r="AG49" s="153"/>
      <c r="AI49" s="152"/>
      <c r="AJ49" s="153"/>
      <c r="AL49" s="152"/>
      <c r="AM49" s="153"/>
      <c r="AO49" s="152"/>
      <c r="AP49" s="153"/>
      <c r="AR49" s="152"/>
      <c r="AS49" s="153"/>
      <c r="AU49" s="152"/>
      <c r="AV49" s="153"/>
      <c r="AX49" s="152"/>
      <c r="AY49" s="153"/>
    </row>
    <row r="50" spans="1:104" s="1" customFormat="1" ht="13.15" x14ac:dyDescent="0.4">
      <c r="AA50" s="1" t="s">
        <v>444</v>
      </c>
      <c r="AB50" s="1" t="s">
        <v>445</v>
      </c>
      <c r="AC50" s="152"/>
      <c r="AD50" s="153"/>
      <c r="AF50" s="152"/>
      <c r="AG50" s="153"/>
      <c r="AI50" s="152"/>
      <c r="AJ50" s="153"/>
      <c r="AL50" s="152"/>
      <c r="AM50" s="153"/>
      <c r="AO50" s="152"/>
      <c r="AP50" s="153"/>
      <c r="AR50" s="152"/>
      <c r="AS50" s="153"/>
      <c r="AU50" s="152"/>
      <c r="AV50" s="153"/>
      <c r="AX50" s="152"/>
      <c r="AY50" s="153"/>
    </row>
    <row r="51" spans="1:104" s="1" customFormat="1" ht="13.15" x14ac:dyDescent="0.4">
      <c r="AA51" s="1" t="s">
        <v>446</v>
      </c>
      <c r="AB51" s="1" t="s">
        <v>447</v>
      </c>
      <c r="AC51" s="154"/>
      <c r="AD51" s="155"/>
      <c r="AF51" s="154"/>
      <c r="AG51" s="155"/>
      <c r="AI51" s="154"/>
      <c r="AJ51" s="155"/>
      <c r="AL51" s="154"/>
      <c r="AM51" s="155"/>
      <c r="AO51" s="154"/>
      <c r="AP51" s="155"/>
      <c r="AR51" s="154"/>
      <c r="AS51" s="155"/>
      <c r="AU51" s="154"/>
      <c r="AV51" s="155"/>
      <c r="AX51" s="154"/>
      <c r="AY51" s="155"/>
    </row>
    <row r="52" spans="1:104" s="1" customFormat="1" ht="9.75" customHeight="1" x14ac:dyDescent="0.25"/>
    <row r="53" spans="1:104" s="1" customFormat="1" x14ac:dyDescent="0.45">
      <c r="AA53" s="2" t="s">
        <v>448</v>
      </c>
      <c r="AC53" s="4" t="s">
        <v>179</v>
      </c>
      <c r="AD53" s="4" t="s">
        <v>180</v>
      </c>
      <c r="AF53" s="4" t="s">
        <v>181</v>
      </c>
      <c r="AG53" s="4" t="s">
        <v>180</v>
      </c>
      <c r="AI53" s="4" t="s">
        <v>182</v>
      </c>
      <c r="AJ53" s="4" t="s">
        <v>180</v>
      </c>
      <c r="AL53" s="4" t="s">
        <v>183</v>
      </c>
      <c r="AM53" s="4" t="s">
        <v>180</v>
      </c>
      <c r="AO53" s="4" t="s">
        <v>184</v>
      </c>
      <c r="AP53" s="4" t="s">
        <v>180</v>
      </c>
      <c r="AR53" s="4" t="s">
        <v>185</v>
      </c>
      <c r="AS53" s="4" t="s">
        <v>180</v>
      </c>
      <c r="AU53" s="4" t="s">
        <v>186</v>
      </c>
      <c r="AV53" s="4" t="s">
        <v>180</v>
      </c>
      <c r="AX53" s="4" t="s">
        <v>187</v>
      </c>
      <c r="AY53" s="4" t="s">
        <v>180</v>
      </c>
    </row>
    <row r="54" spans="1:104" s="1" customFormat="1" ht="13.15" x14ac:dyDescent="0.4">
      <c r="AA54" s="1" t="s">
        <v>449</v>
      </c>
      <c r="AB54" s="1" t="s">
        <v>450</v>
      </c>
      <c r="AC54" s="150"/>
      <c r="AD54" s="151"/>
      <c r="AF54" s="150"/>
      <c r="AG54" s="151"/>
      <c r="AI54" s="150"/>
      <c r="AJ54" s="151"/>
      <c r="AL54" s="150"/>
      <c r="AM54" s="151"/>
      <c r="AO54" s="150"/>
      <c r="AP54" s="151"/>
      <c r="AR54" s="150"/>
      <c r="AS54" s="151"/>
      <c r="AU54" s="150"/>
      <c r="AV54" s="151"/>
      <c r="AX54" s="150"/>
      <c r="AY54" s="151"/>
    </row>
    <row r="55" spans="1:104" s="1" customFormat="1" ht="13.15" x14ac:dyDescent="0.4">
      <c r="AA55" s="1" t="s">
        <v>451</v>
      </c>
      <c r="AB55" s="1" t="s">
        <v>452</v>
      </c>
      <c r="AC55" s="152"/>
      <c r="AD55" s="153"/>
      <c r="AF55" s="152"/>
      <c r="AG55" s="153"/>
      <c r="AI55" s="152"/>
      <c r="AJ55" s="153"/>
      <c r="AL55" s="152"/>
      <c r="AM55" s="153"/>
      <c r="AO55" s="152"/>
      <c r="AP55" s="153"/>
      <c r="AR55" s="152"/>
      <c r="AS55" s="153"/>
      <c r="AU55" s="152"/>
      <c r="AV55" s="153"/>
      <c r="AX55" s="152"/>
      <c r="AY55" s="153"/>
    </row>
    <row r="56" spans="1:104" x14ac:dyDescent="0.45">
      <c r="A56" s="1"/>
      <c r="B56" s="1"/>
      <c r="C56" s="1"/>
      <c r="D56" s="1"/>
      <c r="E56" s="1"/>
      <c r="F56" s="1"/>
      <c r="G56" s="1"/>
      <c r="H56" s="1"/>
      <c r="I56" s="1"/>
      <c r="J56" s="1"/>
      <c r="K56" s="1"/>
      <c r="L56" s="1"/>
      <c r="M56" s="1"/>
      <c r="N56" s="1"/>
      <c r="O56" s="1"/>
      <c r="P56" s="1"/>
      <c r="Q56" s="1"/>
      <c r="R56" s="1"/>
      <c r="S56" s="1"/>
      <c r="T56" s="1"/>
      <c r="U56" s="1"/>
      <c r="V56" s="1"/>
      <c r="W56" s="1"/>
      <c r="X56" s="1"/>
      <c r="Y56" s="1"/>
      <c r="Z56" s="1"/>
      <c r="AA56" s="1" t="s">
        <v>453</v>
      </c>
      <c r="AB56" s="1" t="s">
        <v>454</v>
      </c>
      <c r="AC56" s="152"/>
      <c r="AD56" s="153"/>
      <c r="AE56" s="1"/>
      <c r="AF56" s="152"/>
      <c r="AG56" s="153"/>
      <c r="AH56" s="1"/>
      <c r="AI56" s="152"/>
      <c r="AJ56" s="153"/>
      <c r="AK56" s="1"/>
      <c r="AL56" s="152"/>
      <c r="AM56" s="153"/>
      <c r="AN56" s="1"/>
      <c r="AO56" s="152"/>
      <c r="AP56" s="153"/>
      <c r="AQ56" s="1"/>
      <c r="AR56" s="152"/>
      <c r="AS56" s="153"/>
      <c r="AT56" s="1"/>
      <c r="AU56" s="152"/>
      <c r="AV56" s="153"/>
      <c r="AW56" s="1"/>
      <c r="AX56" s="152"/>
      <c r="AY56" s="153"/>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row>
    <row r="57" spans="1:104" x14ac:dyDescent="0.45">
      <c r="A57" s="1"/>
      <c r="B57" s="1"/>
      <c r="C57" s="1"/>
      <c r="D57" s="1"/>
      <c r="E57" s="1"/>
      <c r="F57" s="1"/>
      <c r="G57" s="1"/>
      <c r="H57" s="1"/>
      <c r="I57" s="1"/>
      <c r="J57" s="1"/>
      <c r="K57" s="1"/>
      <c r="L57" s="1"/>
      <c r="M57" s="1"/>
      <c r="N57" s="1"/>
      <c r="O57" s="1"/>
      <c r="P57" s="1"/>
      <c r="Q57" s="1"/>
      <c r="R57" s="1"/>
      <c r="S57" s="1"/>
      <c r="T57" s="1"/>
      <c r="U57" s="1"/>
      <c r="V57" s="1"/>
      <c r="W57" s="1"/>
      <c r="X57" s="1"/>
      <c r="Y57" s="1"/>
      <c r="Z57" s="1"/>
      <c r="AA57" s="1" t="s">
        <v>455</v>
      </c>
      <c r="AB57" s="1" t="s">
        <v>456</v>
      </c>
      <c r="AC57" s="152"/>
      <c r="AD57" s="153"/>
      <c r="AE57" s="1"/>
      <c r="AF57" s="152"/>
      <c r="AG57" s="153"/>
      <c r="AH57" s="1"/>
      <c r="AI57" s="152"/>
      <c r="AJ57" s="153"/>
      <c r="AK57" s="1"/>
      <c r="AL57" s="152"/>
      <c r="AM57" s="153"/>
      <c r="AN57" s="1"/>
      <c r="AO57" s="152"/>
      <c r="AP57" s="153"/>
      <c r="AQ57" s="1"/>
      <c r="AR57" s="152"/>
      <c r="AS57" s="153"/>
      <c r="AT57" s="1"/>
      <c r="AU57" s="152"/>
      <c r="AV57" s="153"/>
      <c r="AW57" s="1"/>
      <c r="AX57" s="152"/>
      <c r="AY57" s="153"/>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row>
    <row r="58" spans="1:104" x14ac:dyDescent="0.45">
      <c r="A58" s="1"/>
      <c r="B58" s="1"/>
      <c r="C58" s="1"/>
      <c r="D58" s="1"/>
      <c r="E58" s="1"/>
      <c r="F58" s="1"/>
      <c r="G58" s="1"/>
      <c r="H58" s="1"/>
      <c r="I58" s="1"/>
      <c r="J58" s="1"/>
      <c r="K58" s="1"/>
      <c r="L58" s="1"/>
      <c r="M58" s="1"/>
      <c r="N58" s="1"/>
      <c r="O58" s="1"/>
      <c r="P58" s="1"/>
      <c r="Q58" s="1"/>
      <c r="R58" s="1"/>
      <c r="S58" s="1"/>
      <c r="T58" s="1"/>
      <c r="U58" s="1"/>
      <c r="V58" s="1"/>
      <c r="W58" s="1"/>
      <c r="X58" s="1"/>
      <c r="Y58" s="1"/>
      <c r="Z58" s="1"/>
      <c r="AA58" s="1" t="s">
        <v>457</v>
      </c>
      <c r="AB58" s="1" t="s">
        <v>458</v>
      </c>
      <c r="AC58" s="152"/>
      <c r="AD58" s="153"/>
      <c r="AE58" s="1"/>
      <c r="AF58" s="152"/>
      <c r="AG58" s="153"/>
      <c r="AH58" s="1"/>
      <c r="AI58" s="152"/>
      <c r="AJ58" s="153"/>
      <c r="AK58" s="1"/>
      <c r="AL58" s="152"/>
      <c r="AM58" s="153"/>
      <c r="AN58" s="1"/>
      <c r="AO58" s="152"/>
      <c r="AP58" s="153"/>
      <c r="AQ58" s="1"/>
      <c r="AR58" s="152"/>
      <c r="AS58" s="153"/>
      <c r="AT58" s="1"/>
      <c r="AU58" s="152"/>
      <c r="AV58" s="153"/>
      <c r="AW58" s="1"/>
      <c r="AX58" s="152"/>
      <c r="AY58" s="153"/>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275" t="s">
        <v>179</v>
      </c>
      <c r="CD58" s="275"/>
      <c r="CE58" s="1"/>
      <c r="CF58" s="275" t="s">
        <v>181</v>
      </c>
      <c r="CG58" s="275"/>
      <c r="CH58" s="1"/>
      <c r="CI58" s="275" t="s">
        <v>182</v>
      </c>
      <c r="CJ58" s="275"/>
      <c r="CK58" s="1"/>
      <c r="CL58" s="275" t="s">
        <v>183</v>
      </c>
      <c r="CM58" s="275"/>
      <c r="CN58" s="1"/>
      <c r="CO58" s="275" t="s">
        <v>184</v>
      </c>
      <c r="CP58" s="275"/>
      <c r="CQ58" s="1"/>
      <c r="CR58" s="275" t="s">
        <v>185</v>
      </c>
      <c r="CS58" s="275"/>
      <c r="CT58" s="1"/>
      <c r="CU58" s="275" t="s">
        <v>186</v>
      </c>
      <c r="CV58" s="275"/>
      <c r="CW58" s="1"/>
      <c r="CX58" s="275" t="s">
        <v>187</v>
      </c>
      <c r="CY58" s="275"/>
      <c r="CZ58" s="1"/>
    </row>
    <row r="59" spans="1:104" x14ac:dyDescent="0.45">
      <c r="A59" s="1"/>
      <c r="B59" s="1"/>
      <c r="C59" s="1"/>
      <c r="D59" s="1"/>
      <c r="E59" s="1"/>
      <c r="F59" s="1"/>
      <c r="G59" s="1"/>
      <c r="H59" s="1"/>
      <c r="I59" s="1"/>
      <c r="J59" s="1"/>
      <c r="K59" s="1"/>
      <c r="L59" s="1"/>
      <c r="M59" s="1"/>
      <c r="N59" s="1"/>
      <c r="O59" s="1"/>
      <c r="P59" s="1"/>
      <c r="Q59" s="1"/>
      <c r="R59" s="1"/>
      <c r="S59" s="1"/>
      <c r="T59" s="1"/>
      <c r="U59" s="1"/>
      <c r="V59" s="1"/>
      <c r="W59" s="1"/>
      <c r="X59" s="1"/>
      <c r="Y59" s="1"/>
      <c r="Z59" s="1"/>
      <c r="AA59" s="1" t="s">
        <v>459</v>
      </c>
      <c r="AB59" s="1" t="s">
        <v>460</v>
      </c>
      <c r="AC59" s="152"/>
      <c r="AD59" s="153"/>
      <c r="AE59" s="1"/>
      <c r="AF59" s="152"/>
      <c r="AG59" s="153"/>
      <c r="AH59" s="1"/>
      <c r="AI59" s="152"/>
      <c r="AJ59" s="153"/>
      <c r="AK59" s="1"/>
      <c r="AL59" s="152"/>
      <c r="AM59" s="153"/>
      <c r="AN59" s="1"/>
      <c r="AO59" s="152"/>
      <c r="AP59" s="153"/>
      <c r="AQ59" s="1"/>
      <c r="AR59" s="152"/>
      <c r="AS59" s="153"/>
      <c r="AT59" s="1"/>
      <c r="AU59" s="152"/>
      <c r="AV59" s="153"/>
      <c r="AW59" s="1"/>
      <c r="AX59" s="152"/>
      <c r="AY59" s="153"/>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5" t="str">
        <f>C9</f>
        <v>Northern Europe, Southern Europe and CEE</v>
      </c>
      <c r="CB59" s="1"/>
      <c r="CC59" s="273">
        <f>SUM(D12:D48)</f>
        <v>0</v>
      </c>
      <c r="CD59" s="274"/>
      <c r="CE59" s="1"/>
      <c r="CF59" s="273">
        <f>SUM(G12:G48)</f>
        <v>0</v>
      </c>
      <c r="CG59" s="274"/>
      <c r="CH59" s="1"/>
      <c r="CI59" s="273">
        <f>SUM(J12:J48)</f>
        <v>0</v>
      </c>
      <c r="CJ59" s="274"/>
      <c r="CK59" s="1"/>
      <c r="CL59" s="273">
        <f>SUM(M12:M48)</f>
        <v>0</v>
      </c>
      <c r="CM59" s="274"/>
      <c r="CN59" s="1"/>
      <c r="CO59" s="273">
        <f>SUM(P12:P48)</f>
        <v>0</v>
      </c>
      <c r="CP59" s="274"/>
      <c r="CQ59" s="1"/>
      <c r="CR59" s="273">
        <f>SUM(S12:S48)</f>
        <v>0</v>
      </c>
      <c r="CS59" s="274"/>
      <c r="CT59" s="1"/>
      <c r="CU59" s="273">
        <f>SUM(V12:V48)</f>
        <v>0</v>
      </c>
      <c r="CV59" s="274"/>
      <c r="CW59" s="1"/>
      <c r="CX59" s="273">
        <f>SUM(Y12:Y48)</f>
        <v>0</v>
      </c>
      <c r="CY59" s="274"/>
      <c r="CZ59" s="1"/>
    </row>
    <row r="60" spans="1:104" x14ac:dyDescent="0.45">
      <c r="A60" s="1"/>
      <c r="B60" s="1"/>
      <c r="C60" s="1"/>
      <c r="D60" s="1"/>
      <c r="E60" s="1"/>
      <c r="F60" s="1"/>
      <c r="G60" s="1"/>
      <c r="H60" s="1"/>
      <c r="I60" s="1"/>
      <c r="J60" s="1"/>
      <c r="K60" s="1"/>
      <c r="L60" s="1"/>
      <c r="M60" s="1"/>
      <c r="N60" s="1"/>
      <c r="O60" s="1"/>
      <c r="P60" s="1"/>
      <c r="Q60" s="1"/>
      <c r="R60" s="1"/>
      <c r="S60" s="1"/>
      <c r="T60" s="1"/>
      <c r="U60" s="1"/>
      <c r="V60" s="1"/>
      <c r="W60" s="1"/>
      <c r="X60" s="1"/>
      <c r="Y60" s="1"/>
      <c r="Z60" s="1"/>
      <c r="AA60" s="1" t="s">
        <v>461</v>
      </c>
      <c r="AB60" s="1" t="s">
        <v>462</v>
      </c>
      <c r="AC60" s="152"/>
      <c r="AD60" s="153"/>
      <c r="AE60" s="1"/>
      <c r="AF60" s="152"/>
      <c r="AG60" s="153"/>
      <c r="AH60" s="1"/>
      <c r="AI60" s="152"/>
      <c r="AJ60" s="153"/>
      <c r="AK60" s="1"/>
      <c r="AL60" s="152"/>
      <c r="AM60" s="153"/>
      <c r="AN60" s="1"/>
      <c r="AO60" s="152"/>
      <c r="AP60" s="153"/>
      <c r="AQ60" s="1"/>
      <c r="AR60" s="152"/>
      <c r="AS60" s="153"/>
      <c r="AT60" s="1"/>
      <c r="AU60" s="152"/>
      <c r="AV60" s="153"/>
      <c r="AW60" s="1"/>
      <c r="AX60" s="152"/>
      <c r="AY60" s="153"/>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5" t="str">
        <f>AC9</f>
        <v xml:space="preserve">US, Latin America and Australia  </v>
      </c>
      <c r="CB60" s="1"/>
      <c r="CC60" s="269">
        <f>SUM(AD12:AD62)</f>
        <v>0</v>
      </c>
      <c r="CD60" s="270"/>
      <c r="CE60" s="1"/>
      <c r="CF60" s="269">
        <f>SUM(AG12:AG62)</f>
        <v>0</v>
      </c>
      <c r="CG60" s="270"/>
      <c r="CH60" s="1"/>
      <c r="CI60" s="269">
        <f>SUM(AJ12:AJ62)</f>
        <v>0</v>
      </c>
      <c r="CJ60" s="270"/>
      <c r="CK60" s="1"/>
      <c r="CL60" s="269">
        <f>SUM(AM12:AM62)</f>
        <v>0</v>
      </c>
      <c r="CM60" s="270"/>
      <c r="CN60" s="1"/>
      <c r="CO60" s="269">
        <f>SUM(AP12:AP62)</f>
        <v>0</v>
      </c>
      <c r="CP60" s="270"/>
      <c r="CQ60" s="1"/>
      <c r="CR60" s="269">
        <f>SUM(AS12:AS62)</f>
        <v>0</v>
      </c>
      <c r="CS60" s="270"/>
      <c r="CT60" s="1"/>
      <c r="CU60" s="269">
        <f>SUM(AV12:AV62)</f>
        <v>0</v>
      </c>
      <c r="CV60" s="270"/>
      <c r="CW60" s="1"/>
      <c r="CX60" s="269">
        <f>SUM(AY12:AY62)</f>
        <v>0</v>
      </c>
      <c r="CY60" s="270"/>
      <c r="CZ60" s="1"/>
    </row>
    <row r="61" spans="1:104" x14ac:dyDescent="0.45">
      <c r="A61" s="1"/>
      <c r="B61" s="1"/>
      <c r="C61" s="1"/>
      <c r="D61" s="1"/>
      <c r="E61" s="1"/>
      <c r="F61" s="1"/>
      <c r="G61" s="1"/>
      <c r="H61" s="1"/>
      <c r="I61" s="1"/>
      <c r="J61" s="1"/>
      <c r="K61" s="1"/>
      <c r="L61" s="1"/>
      <c r="M61" s="1"/>
      <c r="N61" s="1"/>
      <c r="O61" s="1"/>
      <c r="P61" s="1"/>
      <c r="Q61" s="1"/>
      <c r="R61" s="1"/>
      <c r="S61" s="1"/>
      <c r="T61" s="1"/>
      <c r="U61" s="1"/>
      <c r="V61" s="1"/>
      <c r="W61" s="1"/>
      <c r="X61" s="1"/>
      <c r="Y61" s="1"/>
      <c r="Z61" s="1"/>
      <c r="AA61" s="1" t="s">
        <v>463</v>
      </c>
      <c r="AB61" s="1" t="s">
        <v>464</v>
      </c>
      <c r="AC61" s="152"/>
      <c r="AD61" s="153"/>
      <c r="AE61" s="1"/>
      <c r="AF61" s="152"/>
      <c r="AG61" s="153"/>
      <c r="AH61" s="1"/>
      <c r="AI61" s="152"/>
      <c r="AJ61" s="153"/>
      <c r="AK61" s="1"/>
      <c r="AL61" s="152"/>
      <c r="AM61" s="153"/>
      <c r="AN61" s="1"/>
      <c r="AO61" s="152"/>
      <c r="AP61" s="153"/>
      <c r="AQ61" s="1"/>
      <c r="AR61" s="152"/>
      <c r="AS61" s="153"/>
      <c r="AT61" s="1"/>
      <c r="AU61" s="152"/>
      <c r="AV61" s="153"/>
      <c r="AW61" s="1"/>
      <c r="AX61" s="152"/>
      <c r="AY61" s="153"/>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5" t="str">
        <f>BC9</f>
        <v>Caribbean and Canada</v>
      </c>
      <c r="CB61" s="1"/>
      <c r="CC61" s="269">
        <f>SUM(BD12:BD44)</f>
        <v>0</v>
      </c>
      <c r="CD61" s="270"/>
      <c r="CE61" s="1"/>
      <c r="CF61" s="269">
        <f>SUM(BG12:BG44)</f>
        <v>0</v>
      </c>
      <c r="CG61" s="270"/>
      <c r="CH61" s="1"/>
      <c r="CI61" s="269">
        <f>SUM(BJ12:BJ44)</f>
        <v>0</v>
      </c>
      <c r="CJ61" s="270"/>
      <c r="CK61" s="1"/>
      <c r="CL61" s="269">
        <f>SUM(BM12:BM44)</f>
        <v>0</v>
      </c>
      <c r="CM61" s="270"/>
      <c r="CN61" s="1"/>
      <c r="CO61" s="269">
        <f>SUM(BP12:BP44)</f>
        <v>0</v>
      </c>
      <c r="CP61" s="270"/>
      <c r="CQ61" s="1"/>
      <c r="CR61" s="269">
        <f>SUM(BS12:BS44)</f>
        <v>0</v>
      </c>
      <c r="CS61" s="270"/>
      <c r="CT61" s="1"/>
      <c r="CU61" s="269">
        <f>SUM(BV12:BV44)</f>
        <v>0</v>
      </c>
      <c r="CV61" s="270"/>
      <c r="CW61" s="1"/>
      <c r="CX61" s="269">
        <f>SUM(BY12:BY44)</f>
        <v>0</v>
      </c>
      <c r="CY61" s="270"/>
      <c r="CZ61" s="1"/>
    </row>
    <row r="62" spans="1:104" x14ac:dyDescent="0.45">
      <c r="A62" s="1"/>
      <c r="B62" s="1"/>
      <c r="C62" s="1"/>
      <c r="D62" s="1"/>
      <c r="E62" s="1"/>
      <c r="F62" s="1"/>
      <c r="G62" s="1"/>
      <c r="H62" s="1"/>
      <c r="I62" s="1"/>
      <c r="J62" s="1"/>
      <c r="K62" s="1"/>
      <c r="L62" s="1"/>
      <c r="M62" s="1"/>
      <c r="N62" s="1"/>
      <c r="O62" s="1"/>
      <c r="P62" s="1"/>
      <c r="Q62" s="1"/>
      <c r="R62" s="1"/>
      <c r="S62" s="1"/>
      <c r="T62" s="1"/>
      <c r="U62" s="1"/>
      <c r="V62" s="1"/>
      <c r="W62" s="1"/>
      <c r="X62" s="1"/>
      <c r="Y62" s="1"/>
      <c r="Z62" s="1"/>
      <c r="AA62" s="1" t="s">
        <v>465</v>
      </c>
      <c r="AB62" s="1" t="s">
        <v>466</v>
      </c>
      <c r="AC62" s="154"/>
      <c r="AD62" s="155"/>
      <c r="AE62" s="1"/>
      <c r="AF62" s="154"/>
      <c r="AG62" s="155"/>
      <c r="AH62" s="1"/>
      <c r="AI62" s="154"/>
      <c r="AJ62" s="155"/>
      <c r="AK62" s="1"/>
      <c r="AL62" s="154"/>
      <c r="AM62" s="155"/>
      <c r="AN62" s="1"/>
      <c r="AO62" s="154"/>
      <c r="AP62" s="155"/>
      <c r="AQ62" s="1"/>
      <c r="AR62" s="154"/>
      <c r="AS62" s="155"/>
      <c r="AT62" s="1"/>
      <c r="AU62" s="154"/>
      <c r="AV62" s="155"/>
      <c r="AW62" s="1"/>
      <c r="AX62" s="154"/>
      <c r="AY62" s="155"/>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5" t="str">
        <f>CC9</f>
        <v>Far East and AMEI</v>
      </c>
      <c r="CB62" s="1"/>
      <c r="CC62" s="269">
        <f>SUM(CD12:CD48)</f>
        <v>0</v>
      </c>
      <c r="CD62" s="270"/>
      <c r="CE62" s="1"/>
      <c r="CF62" s="269">
        <f>SUM(CG12:CG48)</f>
        <v>0</v>
      </c>
      <c r="CG62" s="270"/>
      <c r="CH62" s="1"/>
      <c r="CI62" s="269">
        <f>SUM(CJ12:CJ48)</f>
        <v>0</v>
      </c>
      <c r="CJ62" s="270"/>
      <c r="CK62" s="1"/>
      <c r="CL62" s="269">
        <f>SUM(CM12:CM48)</f>
        <v>0</v>
      </c>
      <c r="CM62" s="270"/>
      <c r="CN62" s="1"/>
      <c r="CO62" s="269">
        <f>SUM(CP12:CP48)</f>
        <v>0</v>
      </c>
      <c r="CP62" s="270"/>
      <c r="CQ62" s="1"/>
      <c r="CR62" s="269">
        <f>SUM(CS12:CS48)</f>
        <v>0</v>
      </c>
      <c r="CS62" s="270"/>
      <c r="CT62" s="1"/>
      <c r="CU62" s="269">
        <f>SUM(CV12:CV48)</f>
        <v>0</v>
      </c>
      <c r="CV62" s="270"/>
      <c r="CW62" s="1"/>
      <c r="CX62" s="269">
        <f>SUM(CY12:CY48)</f>
        <v>0</v>
      </c>
      <c r="CY62" s="270"/>
      <c r="CZ62" s="1"/>
    </row>
    <row r="63" spans="1:104" hidden="1" x14ac:dyDescent="0.45">
      <c r="AA63" s="1"/>
      <c r="AB63" s="1"/>
      <c r="AC63" s="1"/>
      <c r="AD63" s="1"/>
      <c r="AE63" s="1"/>
      <c r="AF63" s="1"/>
      <c r="AG63" s="1"/>
      <c r="AH63" s="1"/>
      <c r="AI63" s="1"/>
      <c r="AJ63" s="1"/>
      <c r="AK63" s="1"/>
      <c r="AL63" s="1"/>
      <c r="AM63" s="1"/>
      <c r="AN63" s="1"/>
      <c r="AO63" s="1"/>
      <c r="AP63" s="1"/>
      <c r="AQ63" s="1"/>
      <c r="AR63" s="1"/>
      <c r="AS63" s="1"/>
      <c r="AT63" s="1"/>
      <c r="AU63" s="1"/>
      <c r="AV63" s="1"/>
      <c r="AW63" s="1"/>
      <c r="AX63" s="1"/>
      <c r="AY63" s="1"/>
      <c r="CA63" s="5" t="s">
        <v>74</v>
      </c>
      <c r="CB63" s="1"/>
      <c r="CC63" s="271">
        <f>SUM(CC59:CC62)</f>
        <v>0</v>
      </c>
      <c r="CD63" s="272"/>
      <c r="CE63" s="1"/>
      <c r="CF63" s="271">
        <f>SUM(CF59:CF62)</f>
        <v>0</v>
      </c>
      <c r="CG63" s="272"/>
      <c r="CH63" s="1"/>
      <c r="CI63" s="271">
        <f>SUM(CI59:CI62)</f>
        <v>0</v>
      </c>
      <c r="CJ63" s="272"/>
      <c r="CK63" s="1"/>
      <c r="CL63" s="271">
        <f>SUM(CL59:CL62)</f>
        <v>0</v>
      </c>
      <c r="CM63" s="272"/>
      <c r="CN63" s="1"/>
      <c r="CO63" s="271">
        <f>SUM(CO59:CO62)</f>
        <v>0</v>
      </c>
      <c r="CP63" s="272"/>
      <c r="CQ63" s="1"/>
      <c r="CR63" s="271">
        <f>SUM(CR59:CR62)</f>
        <v>0</v>
      </c>
      <c r="CS63" s="272"/>
      <c r="CT63" s="1"/>
      <c r="CU63" s="271">
        <f>SUM(CU59:CU62)</f>
        <v>0</v>
      </c>
      <c r="CV63" s="272"/>
      <c r="CW63" s="1"/>
      <c r="CX63" s="271">
        <f>SUM(CX59:CX62)</f>
        <v>0</v>
      </c>
      <c r="CY63" s="272"/>
      <c r="CZ63" s="1"/>
    </row>
    <row r="64" spans="1:104" hidden="1" x14ac:dyDescent="0.45">
      <c r="AA64" s="1"/>
      <c r="AB64" s="1"/>
      <c r="AC64" s="1"/>
      <c r="AD64" s="1"/>
      <c r="AE64" s="1"/>
      <c r="AF64" s="1"/>
      <c r="AG64" s="1"/>
      <c r="AH64" s="1"/>
      <c r="AI64" s="1"/>
      <c r="AJ64" s="1"/>
      <c r="AK64" s="1"/>
      <c r="AL64" s="1"/>
      <c r="AM64" s="1"/>
      <c r="AN64" s="1"/>
      <c r="AO64" s="1"/>
      <c r="AP64" s="1"/>
      <c r="AQ64" s="1"/>
      <c r="AR64" s="1"/>
      <c r="AS64" s="1"/>
      <c r="AT64" s="1"/>
      <c r="AU64" s="1"/>
      <c r="AV64" s="1"/>
      <c r="AW64" s="1"/>
      <c r="AX64" s="1"/>
      <c r="AY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row>
    <row r="65" spans="79:104" hidden="1" x14ac:dyDescent="0.45">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row>
    <row r="66" spans="79:104" hidden="1" x14ac:dyDescent="0.45">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row>
    <row r="67" spans="79:104" hidden="1" x14ac:dyDescent="0.45">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row>
    <row r="68" spans="79:104" hidden="1" x14ac:dyDescent="0.45">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row>
    <row r="69" spans="79:104" hidden="1" x14ac:dyDescent="0.45">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row>
    <row r="70" spans="79:104" hidden="1" x14ac:dyDescent="0.45">
      <c r="CA70" s="1"/>
      <c r="CB70" s="1"/>
      <c r="CC70" s="1"/>
      <c r="CD70" s="1"/>
      <c r="CE70" s="1"/>
      <c r="CF70" s="1"/>
      <c r="CG70" s="1"/>
      <c r="CH70" s="1"/>
      <c r="CI70" s="1"/>
      <c r="CJ70" s="1"/>
      <c r="CK70" s="1"/>
      <c r="CL70" s="1"/>
      <c r="CM70" s="1"/>
      <c r="CN70" s="1"/>
      <c r="CO70" s="1"/>
      <c r="CP70" s="1"/>
      <c r="CQ70" s="1"/>
      <c r="CR70" s="1"/>
      <c r="CS70" s="1"/>
      <c r="CT70" s="1"/>
      <c r="CU70" s="1"/>
      <c r="CV70" s="1"/>
      <c r="CW70" s="1"/>
      <c r="CX70" s="1"/>
      <c r="CY70" s="1"/>
    </row>
    <row r="71" spans="79:104" hidden="1" x14ac:dyDescent="0.45">
      <c r="CA71" s="1"/>
      <c r="CB71" s="1"/>
      <c r="CC71" s="1"/>
      <c r="CD71" s="1"/>
      <c r="CE71" s="1"/>
      <c r="CF71" s="1"/>
      <c r="CG71" s="1"/>
      <c r="CH71" s="1"/>
      <c r="CI71" s="1"/>
      <c r="CJ71" s="1"/>
      <c r="CK71" s="1"/>
      <c r="CL71" s="1"/>
      <c r="CM71" s="1"/>
      <c r="CN71" s="1"/>
      <c r="CO71" s="1"/>
      <c r="CP71" s="1"/>
      <c r="CQ71" s="1"/>
      <c r="CR71" s="1"/>
      <c r="CS71" s="1"/>
      <c r="CT71" s="1"/>
      <c r="CU71" s="1"/>
      <c r="CV71" s="1"/>
      <c r="CW71" s="1"/>
      <c r="CX71" s="1"/>
      <c r="CY71" s="1"/>
    </row>
    <row r="72" spans="79:104" hidden="1" x14ac:dyDescent="0.45">
      <c r="CA72" s="1"/>
      <c r="CB72" s="1"/>
      <c r="CC72" s="1"/>
      <c r="CD72" s="1"/>
      <c r="CE72" s="1"/>
      <c r="CF72" s="1"/>
      <c r="CG72" s="1"/>
      <c r="CH72" s="1"/>
      <c r="CI72" s="1"/>
      <c r="CJ72" s="1"/>
      <c r="CK72" s="1"/>
      <c r="CL72" s="1"/>
      <c r="CM72" s="1"/>
      <c r="CN72" s="1"/>
      <c r="CO72" s="1"/>
      <c r="CP72" s="1"/>
      <c r="CQ72" s="1"/>
      <c r="CR72" s="1"/>
      <c r="CS72" s="1"/>
      <c r="CT72" s="1"/>
      <c r="CU72" s="1"/>
      <c r="CV72" s="1"/>
      <c r="CW72" s="1"/>
      <c r="CX72" s="1"/>
      <c r="CY72" s="1"/>
    </row>
    <row r="73" spans="79:104" hidden="1" x14ac:dyDescent="0.45">
      <c r="CA73" s="1"/>
      <c r="CB73" s="1"/>
      <c r="CC73" s="1"/>
      <c r="CD73" s="1"/>
      <c r="CE73" s="1"/>
      <c r="CF73" s="1"/>
      <c r="CG73" s="1"/>
      <c r="CH73" s="1"/>
      <c r="CI73" s="1"/>
      <c r="CJ73" s="1"/>
      <c r="CK73" s="1"/>
      <c r="CL73" s="1"/>
      <c r="CM73" s="1"/>
      <c r="CN73" s="1"/>
      <c r="CO73" s="1"/>
      <c r="CP73" s="1"/>
      <c r="CQ73" s="1"/>
      <c r="CR73" s="1"/>
      <c r="CS73" s="1"/>
      <c r="CT73" s="1"/>
      <c r="CU73" s="1"/>
      <c r="CV73" s="1"/>
      <c r="CW73" s="1"/>
      <c r="CX73" s="1"/>
      <c r="CY73" s="1"/>
    </row>
  </sheetData>
  <sheetProtection formatCells="0" formatColumns="0" selectLockedCells="1"/>
  <mergeCells count="63">
    <mergeCell ref="A1:CY2"/>
    <mergeCell ref="C4:L4"/>
    <mergeCell ref="Y4:AC4"/>
    <mergeCell ref="AC6:AY6"/>
    <mergeCell ref="C7:D7"/>
    <mergeCell ref="F7:G7"/>
    <mergeCell ref="I7:J7"/>
    <mergeCell ref="L7:M7"/>
    <mergeCell ref="O7:P7"/>
    <mergeCell ref="R7:S7"/>
    <mergeCell ref="U7:V7"/>
    <mergeCell ref="X7:Y7"/>
    <mergeCell ref="C9:Y9"/>
    <mergeCell ref="AC9:AY9"/>
    <mergeCell ref="CC9:CY9"/>
    <mergeCell ref="CU58:CV58"/>
    <mergeCell ref="CX58:CY58"/>
    <mergeCell ref="CR59:CS59"/>
    <mergeCell ref="CU59:CV59"/>
    <mergeCell ref="CX59:CY59"/>
    <mergeCell ref="CC58:CD58"/>
    <mergeCell ref="CF58:CG58"/>
    <mergeCell ref="CI58:CJ58"/>
    <mergeCell ref="CL58:CM58"/>
    <mergeCell ref="CO58:CP58"/>
    <mergeCell ref="CR58:CS58"/>
    <mergeCell ref="CC59:CD59"/>
    <mergeCell ref="CF59:CG59"/>
    <mergeCell ref="CI59:CJ59"/>
    <mergeCell ref="CL59:CM59"/>
    <mergeCell ref="CO59:CP59"/>
    <mergeCell ref="CU60:CV60"/>
    <mergeCell ref="CX60:CY60"/>
    <mergeCell ref="CC61:CD61"/>
    <mergeCell ref="CF61:CG61"/>
    <mergeCell ref="CI61:CJ61"/>
    <mergeCell ref="CL61:CM61"/>
    <mergeCell ref="CO61:CP61"/>
    <mergeCell ref="CR61:CS61"/>
    <mergeCell ref="CU61:CV61"/>
    <mergeCell ref="CX61:CY61"/>
    <mergeCell ref="CC60:CD60"/>
    <mergeCell ref="CF60:CG60"/>
    <mergeCell ref="CI60:CJ60"/>
    <mergeCell ref="CL60:CM60"/>
    <mergeCell ref="CO60:CP60"/>
    <mergeCell ref="CR60:CS60"/>
    <mergeCell ref="CU62:CV62"/>
    <mergeCell ref="CX62:CY62"/>
    <mergeCell ref="CC63:CD63"/>
    <mergeCell ref="CF63:CG63"/>
    <mergeCell ref="CI63:CJ63"/>
    <mergeCell ref="CL63:CM63"/>
    <mergeCell ref="CO63:CP63"/>
    <mergeCell ref="CR63:CS63"/>
    <mergeCell ref="CU63:CV63"/>
    <mergeCell ref="CX63:CY63"/>
    <mergeCell ref="CC62:CD62"/>
    <mergeCell ref="CF62:CG62"/>
    <mergeCell ref="CI62:CJ62"/>
    <mergeCell ref="CL62:CM62"/>
    <mergeCell ref="CO62:CP62"/>
    <mergeCell ref="CR62:CS62"/>
  </mergeCells>
  <phoneticPr fontId="21" type="noConversion"/>
  <conditionalFormatting sqref="A8:CY62">
    <cfRule type="containsText" dxfId="3" priority="1" operator="containsText" text="Yes">
      <formula>NOT(ISERROR(SEARCH("Yes",A8)))</formula>
    </cfRule>
    <cfRule type="containsText" dxfId="2" priority="2" operator="containsText" text="TRUE">
      <formula>NOT(ISERROR(SEARCH("TRUE",A8)))</formula>
    </cfRule>
  </conditionalFormatting>
  <conditionalFormatting sqref="AA30:AY30">
    <cfRule type="cellIs" dxfId="1" priority="5" operator="equal">
      <formula>"Y"</formula>
    </cfRule>
  </conditionalFormatting>
  <conditionalFormatting sqref="AC30:AY30">
    <cfRule type="expression" dxfId="0" priority="6">
      <formula>INDEX(Behavior.Modelling.RMSRegionalEntries,MID(AC$11,2,1),MATCH($AB30,Behavior.Modelling.RMSRegionalEntries.Codes,0))&gt;=0.1</formula>
    </cfRule>
  </conditionalFormatting>
  <pageMargins left="0.25" right="0.25" top="0.75" bottom="0.75" header="0.3" footer="0.3"/>
  <pageSetup paperSize="9" scale="26"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9c760984-cacb-4784-86d6-3dfa1a4561a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A28AC32A8EB114FAF4517D124A5FA74" ma:contentTypeVersion="18" ma:contentTypeDescription="Create a new document." ma:contentTypeScope="" ma:versionID="75959edd472912c2b7ae8f2383523566">
  <xsd:schema xmlns:xsd="http://www.w3.org/2001/XMLSchema" xmlns:xs="http://www.w3.org/2001/XMLSchema" xmlns:p="http://schemas.microsoft.com/office/2006/metadata/properties" xmlns:ns3="19446080-2fbe-4c8a-9561-fb0ea749adee" xmlns:ns4="9c760984-cacb-4784-86d6-3dfa1a4561a4" targetNamespace="http://schemas.microsoft.com/office/2006/metadata/properties" ma:root="true" ma:fieldsID="ed3578b79bd6dc8c30fc4a56673503f7" ns3:_="" ns4:_="">
    <xsd:import namespace="19446080-2fbe-4c8a-9561-fb0ea749adee"/>
    <xsd:import namespace="9c760984-cacb-4784-86d6-3dfa1a4561a4"/>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AutoKeyPoints" minOccurs="0"/>
                <xsd:element ref="ns4:MediaServiceKeyPoints" minOccurs="0"/>
                <xsd:element ref="ns4:MediaServiceDateTaken" minOccurs="0"/>
                <xsd:element ref="ns4:MediaLengthInSeconds" minOccurs="0"/>
                <xsd:element ref="ns4:MediaServiceLocation" minOccurs="0"/>
                <xsd:element ref="ns4:MediaServiceSearchProperties" minOccurs="0"/>
                <xsd:element ref="ns4:_activity" minOccurs="0"/>
                <xsd:element ref="ns4:MediaServiceObjectDetectorVersions" minOccurs="0"/>
                <xsd:element ref="ns4: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446080-2fbe-4c8a-9561-fb0ea749ade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c760984-cacb-4784-86d6-3dfa1a4561a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activity" ma:index="23" nillable="true" ma:displayName="_activity" ma:hidden="true" ma:internalName="_activity">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ystemTags" ma:index="25" nillable="true" ma:displayName="MediaServiceSystemTags" ma:hidden="true" ma:internalName="MediaServiceSystemTag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894BC4-71AA-4837-A90E-DE6BF7A69674}">
  <ds:schemaRefs>
    <ds:schemaRef ds:uri="http://schemas.microsoft.com/office/2006/documentManagement/types"/>
    <ds:schemaRef ds:uri="http://schemas.openxmlformats.org/package/2006/metadata/core-properties"/>
    <ds:schemaRef ds:uri="http://purl.org/dc/terms/"/>
    <ds:schemaRef ds:uri="http://purl.org/dc/elements/1.1/"/>
    <ds:schemaRef ds:uri="http://schemas.microsoft.com/office/infopath/2007/PartnerControls"/>
    <ds:schemaRef ds:uri="9c760984-cacb-4784-86d6-3dfa1a4561a4"/>
    <ds:schemaRef ds:uri="http://schemas.microsoft.com/office/2006/metadata/properties"/>
    <ds:schemaRef ds:uri="19446080-2fbe-4c8a-9561-fb0ea749adee"/>
    <ds:schemaRef ds:uri="http://www.w3.org/XML/1998/namespace"/>
    <ds:schemaRef ds:uri="http://purl.org/dc/dcmitype/"/>
  </ds:schemaRefs>
</ds:datastoreItem>
</file>

<file path=customXml/itemProps2.xml><?xml version="1.0" encoding="utf-8"?>
<ds:datastoreItem xmlns:ds="http://schemas.openxmlformats.org/officeDocument/2006/customXml" ds:itemID="{03D1E9D3-C284-4060-BDEF-7ABE88CD697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446080-2fbe-4c8a-9561-fb0ea749adee"/>
    <ds:schemaRef ds:uri="9c760984-cacb-4784-86d6-3dfa1a4561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4F4DB44-6B22-497F-A421-109CFF57EF4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3195</vt:i4>
      </vt:variant>
    </vt:vector>
  </HeadingPairs>
  <TitlesOfParts>
    <vt:vector size="3202" baseType="lpstr">
      <vt:lpstr>Modelling</vt:lpstr>
      <vt:lpstr>Summary</vt:lpstr>
      <vt:lpstr>Rate Change</vt:lpstr>
      <vt:lpstr>Rationale</vt:lpstr>
      <vt:lpstr>Pre Bind</vt:lpstr>
      <vt:lpstr>Post Bind</vt:lpstr>
      <vt:lpstr>Area Code</vt:lpstr>
      <vt:lpstr>hxd.cds.adj_base</vt:lpstr>
      <vt:lpstr>hxd.cds.broker_contact</vt:lpstr>
      <vt:lpstr>hxd.cds.brokerage</vt:lpstr>
      <vt:lpstr>hxd.cds.calc_type</vt:lpstr>
      <vt:lpstr>hxd.cds.com_disease</vt:lpstr>
      <vt:lpstr>hxd.cds.core_account</vt:lpstr>
      <vt:lpstr>hxd.cds.currency</vt:lpstr>
      <vt:lpstr>hxd.cds.currency_policy_financials</vt:lpstr>
      <vt:lpstr>hxd.cds.cyber_code</vt:lpstr>
      <vt:lpstr>hxd.cds.experience_rating.exposure.last_eight.1.gnepi_actual</vt:lpstr>
      <vt:lpstr>hxd.cds.experience_rating.exposure.last_eight.1.gnepi_projected</vt:lpstr>
      <vt:lpstr>hxd.cds.experience_rating.exposure.last_eight.1.year</vt:lpstr>
      <vt:lpstr>hxd.cds.experience_rating.exposure.last_eight.2.gnepi_actual</vt:lpstr>
      <vt:lpstr>hxd.cds.experience_rating.exposure.last_eight.2.gnepi_projected</vt:lpstr>
      <vt:lpstr>hxd.cds.experience_rating.exposure.last_eight.2.year</vt:lpstr>
      <vt:lpstr>hxd.cds.experience_rating.exposure.last_eight.3.gnepi_actual</vt:lpstr>
      <vt:lpstr>hxd.cds.experience_rating.exposure.last_eight.3.gnepi_projected</vt:lpstr>
      <vt:lpstr>hxd.cds.experience_rating.exposure.last_eight.3.year</vt:lpstr>
      <vt:lpstr>hxd.cds.experience_rating.exposure.last_eight.4.gnepi_actual</vt:lpstr>
      <vt:lpstr>hxd.cds.experience_rating.exposure.last_eight.4.gnepi_projected</vt:lpstr>
      <vt:lpstr>hxd.cds.experience_rating.exposure.last_eight.4.year</vt:lpstr>
      <vt:lpstr>hxd.cds.experience_rating.exposure.last_eight.5.gnepi_actual</vt:lpstr>
      <vt:lpstr>hxd.cds.experience_rating.exposure.last_eight.5.gnepi_projected</vt:lpstr>
      <vt:lpstr>hxd.cds.experience_rating.exposure.last_eight.5.year</vt:lpstr>
      <vt:lpstr>hxd.cds.experience_rating.exposure.last_eight.6.gnepi_actual</vt:lpstr>
      <vt:lpstr>hxd.cds.experience_rating.exposure.last_eight.6.gnepi_projected</vt:lpstr>
      <vt:lpstr>hxd.cds.experience_rating.exposure.last_eight.6.year</vt:lpstr>
      <vt:lpstr>hxd.cds.experience_rating.exposure.last_eight.7.gnepi_actual</vt:lpstr>
      <vt:lpstr>hxd.cds.experience_rating.exposure.last_eight.7.gnepi_projected</vt:lpstr>
      <vt:lpstr>hxd.cds.experience_rating.exposure.last_eight.7.year</vt:lpstr>
      <vt:lpstr>hxd.cds.experience_rating.exposure.last_eight.8.gnepi_actual</vt:lpstr>
      <vt:lpstr>hxd.cds.experience_rating.exposure.last_eight.8.gnepi_projected</vt:lpstr>
      <vt:lpstr>hxd.cds.experience_rating.exposure.last_eight.8.year</vt:lpstr>
      <vt:lpstr>hxd.cds.fx_conversion_label</vt:lpstr>
      <vt:lpstr>hxd.cds.hours_clause</vt:lpstr>
      <vt:lpstr>hxd.cds.layers.1.area_codes_perc.aal</vt:lpstr>
      <vt:lpstr>hxd.cds.layers.1.area_codes_perc.aeg</vt:lpstr>
      <vt:lpstr>hxd.cds.layers.1.area_codes_perc.ali</vt:lpstr>
      <vt:lpstr>hxd.cds.layers.1.area_codes_perc.amo</vt:lpstr>
      <vt:lpstr>hxd.cds.layers.1.area_codes_perc.amu</vt:lpstr>
      <vt:lpstr>hxd.cds.layers.1.area_codes_perc.asa</vt:lpstr>
      <vt:lpstr>hxd.cds.layers.1.area_codes_perc.bag</vt:lpstr>
      <vt:lpstr>hxd.cds.layers.1.area_codes_perc.bah</vt:lpstr>
      <vt:lpstr>hxd.cds.layers.1.area_codes_perc.ban</vt:lpstr>
      <vt:lpstr>hxd.cds.layers.1.area_codes_perc.bbb</vt:lpstr>
      <vt:lpstr>hxd.cds.layers.1.area_codes_perc.bbh</vt:lpstr>
      <vt:lpstr>hxd.cds.layers.1.area_codes_perc.bbm</vt:lpstr>
      <vt:lpstr>hxd.cds.layers.1.area_codes_perc.bcb</vt:lpstr>
      <vt:lpstr>hxd.cds.layers.1.area_codes_perc.bcm</vt:lpstr>
      <vt:lpstr>hxd.cds.layers.1.area_codes_perc.bcu</vt:lpstr>
      <vt:lpstr>hxd.cds.layers.1.area_codes_perc.bdo</vt:lpstr>
      <vt:lpstr>hxd.cds.layers.1.area_codes_perc.bdr</vt:lpstr>
      <vt:lpstr>hxd.cds.layers.1.area_codes_perc.bgn</vt:lpstr>
      <vt:lpstr>hxd.cds.layers.1.area_codes_perc.bgs</vt:lpstr>
      <vt:lpstr>hxd.cds.layers.1.area_codes_perc.bgu</vt:lpstr>
      <vt:lpstr>hxd.cds.layers.1.area_codes_perc.bht</vt:lpstr>
      <vt:lpstr>hxd.cds.layers.1.area_codes_perc.bjm</vt:lpstr>
      <vt:lpstr>hxd.cds.layers.1.area_codes_perc.bkn</vt:lpstr>
      <vt:lpstr>hxd.cds.layers.1.area_codes_perc.bmq</vt:lpstr>
      <vt:lpstr>hxd.cds.layers.1.area_codes_perc.bms</vt:lpstr>
      <vt:lpstr>hxd.cds.layers.1.area_codes_perc.bon</vt:lpstr>
      <vt:lpstr>hxd.cds.layers.1.area_codes_perc.bpr</vt:lpstr>
      <vt:lpstr>hxd.cds.layers.1.area_codes_perc.bsl</vt:lpstr>
      <vt:lpstr>hxd.cds.layers.1.area_codes_perc.bsv</vt:lpstr>
      <vt:lpstr>hxd.cds.layers.1.area_codes_perc.bv1</vt:lpstr>
      <vt:lpstr>hxd.cds.layers.1.area_codes_perc.bvs</vt:lpstr>
      <vt:lpstr>hxd.cds.layers.1.area_codes_perc.bx7</vt:lpstr>
      <vt:lpstr>hxd.cds.layers.1.area_codes_perc.cat</vt:lpstr>
      <vt:lpstr>hxd.cds.layers.1.area_codes_perc.cbc</vt:lpstr>
      <vt:lpstr>hxd.cds.layers.1.area_codes_perc.cef</vt:lpstr>
      <vt:lpstr>hxd.cds.layers.1.area_codes_perc.con</vt:lpstr>
      <vt:lpstr>hxd.cds.layers.1.area_codes_perc.cpr</vt:lpstr>
      <vt:lpstr>hxd.cds.layers.1.area_codes_perc.cqu</vt:lpstr>
      <vt:lpstr>hxd.cds.layers.1.area_codes_perc.eat</vt:lpstr>
      <vt:lpstr>hxd.cds.layers.1.area_codes_perc.ebe</vt:lpstr>
      <vt:lpstr>hxd.cds.layers.1.area_codes_perc.ebg</vt:lpstr>
      <vt:lpstr>hxd.cds.layers.1.area_codes_perc.ech</vt:lpstr>
      <vt:lpstr>hxd.cds.layers.1.area_codes_perc.ecx</vt:lpstr>
      <vt:lpstr>hxd.cds.layers.1.area_codes_perc.ecz</vt:lpstr>
      <vt:lpstr>hxd.cds.layers.1.area_codes_perc.edk</vt:lpstr>
      <vt:lpstr>hxd.cds.layers.1.area_codes_perc.ees</vt:lpstr>
      <vt:lpstr>hxd.cds.layers.1.area_codes_perc.efi</vt:lpstr>
      <vt:lpstr>hxd.cds.layers.1.area_codes_perc.efr</vt:lpstr>
      <vt:lpstr>hxd.cds.layers.1.area_codes_perc.ege</vt:lpstr>
      <vt:lpstr>hxd.cds.layers.1.area_codes_perc.egf</vt:lpstr>
      <vt:lpstr>hxd.cds.layers.1.area_codes_perc.egr</vt:lpstr>
      <vt:lpstr>hxd.cds.layers.1.area_codes_perc.ehu</vt:lpstr>
      <vt:lpstr>hxd.cds.layers.1.area_codes_perc.eic</vt:lpstr>
      <vt:lpstr>hxd.cds.layers.1.area_codes_perc.eie</vt:lpstr>
      <vt:lpstr>hxd.cds.layers.1.area_codes_perc.eit</vt:lpstr>
      <vt:lpstr>hxd.cds.layers.1.area_codes_perc.emz</vt:lpstr>
      <vt:lpstr>hxd.cds.layers.1.area_codes_perc.enl</vt:lpstr>
      <vt:lpstr>hxd.cds.layers.1.area_codes_perc.eno</vt:lpstr>
      <vt:lpstr>hxd.cds.layers.1.area_codes_perc.epl</vt:lpstr>
      <vt:lpstr>hxd.cds.layers.1.area_codes_perc.ept</vt:lpstr>
      <vt:lpstr>hxd.cds.layers.1.area_codes_perc.ero</vt:lpstr>
      <vt:lpstr>hxd.cds.layers.1.area_codes_perc.eru</vt:lpstr>
      <vt:lpstr>hxd.cds.layers.1.area_codes_perc.esb</vt:lpstr>
      <vt:lpstr>hxd.cds.layers.1.area_codes_perc.esc</vt:lpstr>
      <vt:lpstr>hxd.cds.layers.1.area_codes_perc.ese</vt:lpstr>
      <vt:lpstr>hxd.cds.layers.1.area_codes_perc.esr</vt:lpstr>
      <vt:lpstr>hxd.cds.layers.1.area_codes_perc.etu</vt:lpstr>
      <vt:lpstr>hxd.cds.layers.1.area_codes_perc.euf</vt:lpstr>
      <vt:lpstr>hxd.cds.layers.1.area_codes_perc.euk</vt:lpstr>
      <vt:lpstr>hxd.cds.layers.1.area_codes_perc.fby</vt:lpstr>
      <vt:lpstr>hxd.cds.layers.1.area_codes_perc.fcq</vt:lpstr>
      <vt:lpstr>hxd.cds.layers.1.area_codes_perc.fct</vt:lpstr>
      <vt:lpstr>hxd.cds.layers.1.area_codes_perc.fcy</vt:lpstr>
      <vt:lpstr>hxd.cds.layers.1.area_codes_perc.fhk</vt:lpstr>
      <vt:lpstr>hxd.cds.layers.1.area_codes_perc.fia</vt:lpstr>
      <vt:lpstr>hxd.cds.layers.1.area_codes_perc.fjq</vt:lpstr>
      <vt:lpstr>hxd.cds.layers.1.area_codes_perc.fjw</vt:lpstr>
      <vt:lpstr>hxd.cds.layers.1.area_codes_perc.fkr</vt:lpstr>
      <vt:lpstr>hxd.cds.layers.1.area_codes_perc.fmy</vt:lpstr>
      <vt:lpstr>hxd.cds.layers.1.area_codes_perc.fnp</vt:lpstr>
      <vt:lpstr>hxd.cds.layers.1.area_codes_perc.fsk</vt:lpstr>
      <vt:lpstr>hxd.cds.layers.1.area_codes_perc.fsp</vt:lpstr>
      <vt:lpstr>hxd.cds.layers.1.area_codes_perc.fta</vt:lpstr>
      <vt:lpstr>hxd.cds.layers.1.area_codes_perc.fth</vt:lpstr>
      <vt:lpstr>hxd.cds.layers.1.area_codes_perc.fvn</vt:lpstr>
      <vt:lpstr>hxd.cds.layers.1.area_codes_perc.mae</vt:lpstr>
      <vt:lpstr>hxd.cds.layers.1.area_codes_perc.mba</vt:lpstr>
      <vt:lpstr>hxd.cds.layers.1.area_codes_perc.mbd</vt:lpstr>
      <vt:lpstr>hxd.cds.layers.1.area_codes_perc.min</vt:lpstr>
      <vt:lpstr>hxd.cds.layers.1.area_codes_perc.mis</vt:lpstr>
      <vt:lpstr>hxd.cds.layers.1.area_codes_perc.mjo</vt:lpstr>
      <vt:lpstr>hxd.cds.layers.1.area_codes_perc.mma</vt:lpstr>
      <vt:lpstr>hxd.cds.layers.1.area_codes_perc.mom</vt:lpstr>
      <vt:lpstr>hxd.cds.layers.1.area_codes_perc.mpk</vt:lpstr>
      <vt:lpstr>hxd.cds.layers.1.area_codes_perc.mqa</vt:lpstr>
      <vt:lpstr>hxd.cds.layers.1.area_codes_perc.oa1</vt:lpstr>
      <vt:lpstr>hxd.cds.layers.1.area_codes_perc.oa2</vt:lpstr>
      <vt:lpstr>hxd.cds.layers.1.area_codes_perc.oa3</vt:lpstr>
      <vt:lpstr>hxd.cds.layers.1.area_codes_perc.oa4</vt:lpstr>
      <vt:lpstr>hxd.cds.layers.1.area_codes_perc.oa5</vt:lpstr>
      <vt:lpstr>hxd.cds.layers.1.area_codes_perc.oa6</vt:lpstr>
      <vt:lpstr>hxd.cds.layers.1.area_codes_perc.ofj</vt:lpstr>
      <vt:lpstr>hxd.cds.layers.1.area_codes_perc.ogm</vt:lpstr>
      <vt:lpstr>hxd.cds.layers.1.area_codes_perc.onz</vt:lpstr>
      <vt:lpstr>hxd.cds.layers.1.area_codes_perc.opg</vt:lpstr>
      <vt:lpstr>hxd.cds.layers.1.area_codes_perc.oph</vt:lpstr>
      <vt:lpstr>hxd.cds.layers.1.area_codes_perc.ota</vt:lpstr>
      <vt:lpstr>hxd.cds.layers.1.area_codes_perc.sar</vt:lpstr>
      <vt:lpstr>hxd.cds.layers.1.area_codes_perc.sbr</vt:lpstr>
      <vt:lpstr>hxd.cds.layers.1.area_codes_perc.sbv</vt:lpstr>
      <vt:lpstr>hxd.cds.layers.1.area_codes_perc.sbz</vt:lpstr>
      <vt:lpstr>hxd.cds.layers.1.area_codes_perc.scl</vt:lpstr>
      <vt:lpstr>hxd.cds.layers.1.area_codes_perc.sco</vt:lpstr>
      <vt:lpstr>hxd.cds.layers.1.area_codes_perc.scr</vt:lpstr>
      <vt:lpstr>hxd.cds.layers.1.area_codes_perc.sec</vt:lpstr>
      <vt:lpstr>hxd.cds.layers.1.area_codes_perc.sel</vt:lpstr>
      <vt:lpstr>hxd.cds.layers.1.area_codes_perc.sgt</vt:lpstr>
      <vt:lpstr>hxd.cds.layers.1.area_codes_perc.sgy</vt:lpstr>
      <vt:lpstr>hxd.cds.layers.1.area_codes_perc.shn</vt:lpstr>
      <vt:lpstr>hxd.cds.layers.1.area_codes_perc.smx</vt:lpstr>
      <vt:lpstr>hxd.cds.layers.1.area_codes_perc.snq</vt:lpstr>
      <vt:lpstr>hxd.cds.layers.1.area_codes_perc.spa</vt:lpstr>
      <vt:lpstr>hxd.cds.layers.1.area_codes_perc.spe</vt:lpstr>
      <vt:lpstr>hxd.cds.layers.1.area_codes_perc.spy</vt:lpstr>
      <vt:lpstr>hxd.cds.layers.1.area_codes_perc.suy</vt:lpstr>
      <vt:lpstr>hxd.cds.layers.1.area_codes_perc.sve</vt:lpstr>
      <vt:lpstr>hxd.cds.layers.1.area_codes_perc.usa01</vt:lpstr>
      <vt:lpstr>hxd.cds.layers.1.area_codes_perc.usa02</vt:lpstr>
      <vt:lpstr>hxd.cds.layers.1.area_codes_perc.usa03</vt:lpstr>
      <vt:lpstr>hxd.cds.layers.1.area_codes_perc.usa04</vt:lpstr>
      <vt:lpstr>hxd.cds.layers.1.area_codes_perc.usa05</vt:lpstr>
      <vt:lpstr>hxd.cds.layers.1.area_codes_perc.usa06</vt:lpstr>
      <vt:lpstr>hxd.cds.layers.1.area_codes_perc.usa07</vt:lpstr>
      <vt:lpstr>hxd.cds.layers.1.area_codes_perc.usa08</vt:lpstr>
      <vt:lpstr>hxd.cds.layers.1.area_codes_perc.usa09</vt:lpstr>
      <vt:lpstr>hxd.cds.layers.1.area_codes_perc.usa10</vt:lpstr>
      <vt:lpstr>hxd.cds.layers.1.area_codes_perc.usa11</vt:lpstr>
      <vt:lpstr>hxd.cds.layers.1.area_codes_perc.usa12</vt:lpstr>
      <vt:lpstr>hxd.cds.layers.1.area_codes_perc.usa13</vt:lpstr>
      <vt:lpstr>hxd.cds.layers.1.area_codes_perc.usa14</vt:lpstr>
      <vt:lpstr>hxd.cds.layers.1.area_codes_perc.usa15</vt:lpstr>
      <vt:lpstr>hxd.cds.layers.1.area_codes_perc.usa16</vt:lpstr>
      <vt:lpstr>hxd.cds.layers.1.area_codes_perc.usa20</vt:lpstr>
      <vt:lpstr>hxd.cds.layers.1.area_codes_perc.usa21</vt:lpstr>
      <vt:lpstr>hxd.cds.layers.1.area_codes_perc.usa22</vt:lpstr>
      <vt:lpstr>hxd.cds.layers.1.area_codes_select.aal</vt:lpstr>
      <vt:lpstr>hxd.cds.layers.1.area_codes_select.aeg</vt:lpstr>
      <vt:lpstr>hxd.cds.layers.1.area_codes_select.ali</vt:lpstr>
      <vt:lpstr>hxd.cds.layers.1.area_codes_select.amo</vt:lpstr>
      <vt:lpstr>hxd.cds.layers.1.area_codes_select.amu</vt:lpstr>
      <vt:lpstr>hxd.cds.layers.1.area_codes_select.asa</vt:lpstr>
      <vt:lpstr>hxd.cds.layers.1.area_codes_select.bag</vt:lpstr>
      <vt:lpstr>hxd.cds.layers.1.area_codes_select.bah</vt:lpstr>
      <vt:lpstr>hxd.cds.layers.1.area_codes_select.ban</vt:lpstr>
      <vt:lpstr>hxd.cds.layers.1.area_codes_select.bbb</vt:lpstr>
      <vt:lpstr>hxd.cds.layers.1.area_codes_select.bbh</vt:lpstr>
      <vt:lpstr>hxd.cds.layers.1.area_codes_select.bbm</vt:lpstr>
      <vt:lpstr>hxd.cds.layers.1.area_codes_select.bcb</vt:lpstr>
      <vt:lpstr>hxd.cds.layers.1.area_codes_select.bcm</vt:lpstr>
      <vt:lpstr>hxd.cds.layers.1.area_codes_select.bcu</vt:lpstr>
      <vt:lpstr>hxd.cds.layers.1.area_codes_select.bdo</vt:lpstr>
      <vt:lpstr>hxd.cds.layers.1.area_codes_select.bdr</vt:lpstr>
      <vt:lpstr>hxd.cds.layers.1.area_codes_select.bgn</vt:lpstr>
      <vt:lpstr>hxd.cds.layers.1.area_codes_select.bgs</vt:lpstr>
      <vt:lpstr>hxd.cds.layers.1.area_codes_select.bgu</vt:lpstr>
      <vt:lpstr>hxd.cds.layers.1.area_codes_select.bht</vt:lpstr>
      <vt:lpstr>hxd.cds.layers.1.area_codes_select.bjm</vt:lpstr>
      <vt:lpstr>hxd.cds.layers.1.area_codes_select.bkn</vt:lpstr>
      <vt:lpstr>hxd.cds.layers.1.area_codes_select.bmq</vt:lpstr>
      <vt:lpstr>hxd.cds.layers.1.area_codes_select.bms</vt:lpstr>
      <vt:lpstr>hxd.cds.layers.1.area_codes_select.bon</vt:lpstr>
      <vt:lpstr>hxd.cds.layers.1.area_codes_select.bpr</vt:lpstr>
      <vt:lpstr>hxd.cds.layers.1.area_codes_select.bsl</vt:lpstr>
      <vt:lpstr>hxd.cds.layers.1.area_codes_select.bsv</vt:lpstr>
      <vt:lpstr>hxd.cds.layers.1.area_codes_select.bv1</vt:lpstr>
      <vt:lpstr>hxd.cds.layers.1.area_codes_select.bvs</vt:lpstr>
      <vt:lpstr>hxd.cds.layers.1.area_codes_select.bx7</vt:lpstr>
      <vt:lpstr>hxd.cds.layers.1.area_codes_select.cat</vt:lpstr>
      <vt:lpstr>hxd.cds.layers.1.area_codes_select.cbc</vt:lpstr>
      <vt:lpstr>hxd.cds.layers.1.area_codes_select.cef</vt:lpstr>
      <vt:lpstr>hxd.cds.layers.1.area_codes_select.con</vt:lpstr>
      <vt:lpstr>hxd.cds.layers.1.area_codes_select.cpr</vt:lpstr>
      <vt:lpstr>hxd.cds.layers.1.area_codes_select.cqu</vt:lpstr>
      <vt:lpstr>hxd.cds.layers.1.area_codes_select.eat</vt:lpstr>
      <vt:lpstr>hxd.cds.layers.1.area_codes_select.ebe</vt:lpstr>
      <vt:lpstr>hxd.cds.layers.1.area_codes_select.ebg</vt:lpstr>
      <vt:lpstr>hxd.cds.layers.1.area_codes_select.ech</vt:lpstr>
      <vt:lpstr>hxd.cds.layers.1.area_codes_select.ecx</vt:lpstr>
      <vt:lpstr>hxd.cds.layers.1.area_codes_select.ecz</vt:lpstr>
      <vt:lpstr>hxd.cds.layers.1.area_codes_select.edk</vt:lpstr>
      <vt:lpstr>hxd.cds.layers.1.area_codes_select.ees</vt:lpstr>
      <vt:lpstr>hxd.cds.layers.1.area_codes_select.efi</vt:lpstr>
      <vt:lpstr>hxd.cds.layers.1.area_codes_select.efr</vt:lpstr>
      <vt:lpstr>hxd.cds.layers.1.area_codes_select.ege</vt:lpstr>
      <vt:lpstr>hxd.cds.layers.1.area_codes_select.egf</vt:lpstr>
      <vt:lpstr>hxd.cds.layers.1.area_codes_select.egr</vt:lpstr>
      <vt:lpstr>hxd.cds.layers.1.area_codes_select.ehu</vt:lpstr>
      <vt:lpstr>hxd.cds.layers.1.area_codes_select.eic</vt:lpstr>
      <vt:lpstr>hxd.cds.layers.1.area_codes_select.eie</vt:lpstr>
      <vt:lpstr>hxd.cds.layers.1.area_codes_select.eit</vt:lpstr>
      <vt:lpstr>hxd.cds.layers.1.area_codes_select.emz</vt:lpstr>
      <vt:lpstr>hxd.cds.layers.1.area_codes_select.enl</vt:lpstr>
      <vt:lpstr>hxd.cds.layers.1.area_codes_select.eno</vt:lpstr>
      <vt:lpstr>hxd.cds.layers.1.area_codes_select.epl</vt:lpstr>
      <vt:lpstr>hxd.cds.layers.1.area_codes_select.ept</vt:lpstr>
      <vt:lpstr>hxd.cds.layers.1.area_codes_select.ero</vt:lpstr>
      <vt:lpstr>hxd.cds.layers.1.area_codes_select.eru</vt:lpstr>
      <vt:lpstr>hxd.cds.layers.1.area_codes_select.esb</vt:lpstr>
      <vt:lpstr>hxd.cds.layers.1.area_codes_select.esc</vt:lpstr>
      <vt:lpstr>hxd.cds.layers.1.area_codes_select.ese</vt:lpstr>
      <vt:lpstr>hxd.cds.layers.1.area_codes_select.esr</vt:lpstr>
      <vt:lpstr>hxd.cds.layers.1.area_codes_select.etu</vt:lpstr>
      <vt:lpstr>hxd.cds.layers.1.area_codes_select.euf</vt:lpstr>
      <vt:lpstr>hxd.cds.layers.1.area_codes_select.euk</vt:lpstr>
      <vt:lpstr>hxd.cds.layers.1.area_codes_select.fby</vt:lpstr>
      <vt:lpstr>hxd.cds.layers.1.area_codes_select.fcq</vt:lpstr>
      <vt:lpstr>hxd.cds.layers.1.area_codes_select.fct</vt:lpstr>
      <vt:lpstr>hxd.cds.layers.1.area_codes_select.fcy</vt:lpstr>
      <vt:lpstr>hxd.cds.layers.1.area_codes_select.fhk</vt:lpstr>
      <vt:lpstr>hxd.cds.layers.1.area_codes_select.fia</vt:lpstr>
      <vt:lpstr>hxd.cds.layers.1.area_codes_select.fjq</vt:lpstr>
      <vt:lpstr>hxd.cds.layers.1.area_codes_select.fjw</vt:lpstr>
      <vt:lpstr>hxd.cds.layers.1.area_codes_select.fkr</vt:lpstr>
      <vt:lpstr>hxd.cds.layers.1.area_codes_select.fmy</vt:lpstr>
      <vt:lpstr>hxd.cds.layers.1.area_codes_select.fnp</vt:lpstr>
      <vt:lpstr>hxd.cds.layers.1.area_codes_select.fsk</vt:lpstr>
      <vt:lpstr>hxd.cds.layers.1.area_codes_select.fsp</vt:lpstr>
      <vt:lpstr>hxd.cds.layers.1.area_codes_select.fta</vt:lpstr>
      <vt:lpstr>hxd.cds.layers.1.area_codes_select.fth</vt:lpstr>
      <vt:lpstr>hxd.cds.layers.1.area_codes_select.fvn</vt:lpstr>
      <vt:lpstr>hxd.cds.layers.1.area_codes_select.mae</vt:lpstr>
      <vt:lpstr>hxd.cds.layers.1.area_codes_select.mba</vt:lpstr>
      <vt:lpstr>hxd.cds.layers.1.area_codes_select.mbd</vt:lpstr>
      <vt:lpstr>hxd.cds.layers.1.area_codes_select.min</vt:lpstr>
      <vt:lpstr>hxd.cds.layers.1.area_codes_select.mis</vt:lpstr>
      <vt:lpstr>hxd.cds.layers.1.area_codes_select.mjo</vt:lpstr>
      <vt:lpstr>hxd.cds.layers.1.area_codes_select.mma</vt:lpstr>
      <vt:lpstr>hxd.cds.layers.1.area_codes_select.mom</vt:lpstr>
      <vt:lpstr>hxd.cds.layers.1.area_codes_select.mpk</vt:lpstr>
      <vt:lpstr>hxd.cds.layers.1.area_codes_select.mqa</vt:lpstr>
      <vt:lpstr>hxd.cds.layers.1.area_codes_select.oa1</vt:lpstr>
      <vt:lpstr>hxd.cds.layers.1.area_codes_select.oa2</vt:lpstr>
      <vt:lpstr>hxd.cds.layers.1.area_codes_select.oa3</vt:lpstr>
      <vt:lpstr>hxd.cds.layers.1.area_codes_select.oa4</vt:lpstr>
      <vt:lpstr>hxd.cds.layers.1.area_codes_select.oa5</vt:lpstr>
      <vt:lpstr>hxd.cds.layers.1.area_codes_select.oa6</vt:lpstr>
      <vt:lpstr>hxd.cds.layers.1.area_codes_select.ofj</vt:lpstr>
      <vt:lpstr>hxd.cds.layers.1.area_codes_select.ogm</vt:lpstr>
      <vt:lpstr>hxd.cds.layers.1.area_codes_select.onz</vt:lpstr>
      <vt:lpstr>hxd.cds.layers.1.area_codes_select.opg</vt:lpstr>
      <vt:lpstr>hxd.cds.layers.1.area_codes_select.oph</vt:lpstr>
      <vt:lpstr>hxd.cds.layers.1.area_codes_select.ota</vt:lpstr>
      <vt:lpstr>hxd.cds.layers.1.area_codes_select.sar</vt:lpstr>
      <vt:lpstr>hxd.cds.layers.1.area_codes_select.sbr</vt:lpstr>
      <vt:lpstr>hxd.cds.layers.1.area_codes_select.sbv</vt:lpstr>
      <vt:lpstr>hxd.cds.layers.1.area_codes_select.sbz</vt:lpstr>
      <vt:lpstr>hxd.cds.layers.1.area_codes_select.scl</vt:lpstr>
      <vt:lpstr>hxd.cds.layers.1.area_codes_select.sco</vt:lpstr>
      <vt:lpstr>hxd.cds.layers.1.area_codes_select.scr</vt:lpstr>
      <vt:lpstr>hxd.cds.layers.1.area_codes_select.sec</vt:lpstr>
      <vt:lpstr>hxd.cds.layers.1.area_codes_select.sel</vt:lpstr>
      <vt:lpstr>hxd.cds.layers.1.area_codes_select.sgt</vt:lpstr>
      <vt:lpstr>hxd.cds.layers.1.area_codes_select.sgy</vt:lpstr>
      <vt:lpstr>hxd.cds.layers.1.area_codes_select.shn</vt:lpstr>
      <vt:lpstr>hxd.cds.layers.1.area_codes_select.smx</vt:lpstr>
      <vt:lpstr>hxd.cds.layers.1.area_codes_select.snq</vt:lpstr>
      <vt:lpstr>hxd.cds.layers.1.area_codes_select.spa</vt:lpstr>
      <vt:lpstr>hxd.cds.layers.1.area_codes_select.spe</vt:lpstr>
      <vt:lpstr>hxd.cds.layers.1.area_codes_select.spy</vt:lpstr>
      <vt:lpstr>hxd.cds.layers.1.area_codes_select.suy</vt:lpstr>
      <vt:lpstr>hxd.cds.layers.1.area_codes_select.sve</vt:lpstr>
      <vt:lpstr>hxd.cds.layers.1.area_codes_select.usa01</vt:lpstr>
      <vt:lpstr>hxd.cds.layers.1.area_codes_select.usa02</vt:lpstr>
      <vt:lpstr>hxd.cds.layers.1.area_codes_select.usa03</vt:lpstr>
      <vt:lpstr>hxd.cds.layers.1.area_codes_select.usa04</vt:lpstr>
      <vt:lpstr>hxd.cds.layers.1.area_codes_select.usa05</vt:lpstr>
      <vt:lpstr>hxd.cds.layers.1.area_codes_select.usa06</vt:lpstr>
      <vt:lpstr>hxd.cds.layers.1.area_codes_select.usa07</vt:lpstr>
      <vt:lpstr>hxd.cds.layers.1.area_codes_select.usa08</vt:lpstr>
      <vt:lpstr>hxd.cds.layers.1.area_codes_select.usa09</vt:lpstr>
      <vt:lpstr>hxd.cds.layers.1.area_codes_select.usa10</vt:lpstr>
      <vt:lpstr>hxd.cds.layers.1.area_codes_select.usa11</vt:lpstr>
      <vt:lpstr>hxd.cds.layers.1.area_codes_select.usa12</vt:lpstr>
      <vt:lpstr>hxd.cds.layers.1.area_codes_select.usa13</vt:lpstr>
      <vt:lpstr>hxd.cds.layers.1.area_codes_select.usa14</vt:lpstr>
      <vt:lpstr>hxd.cds.layers.1.area_codes_select.usa15</vt:lpstr>
      <vt:lpstr>hxd.cds.layers.1.area_codes_select.usa16</vt:lpstr>
      <vt:lpstr>hxd.cds.layers.1.area_codes_select.usa20</vt:lpstr>
      <vt:lpstr>hxd.cds.layers.1.area_codes_select.usa21</vt:lpstr>
      <vt:lpstr>hxd.cds.layers.1.area_codes_select.usa22</vt:lpstr>
      <vt:lpstr>hxd.cds.layers.1.excess</vt:lpstr>
      <vt:lpstr>hxd.cds.layers.1.excess_cnv</vt:lpstr>
      <vt:lpstr>hxd.cds.layers.1.layer_description</vt:lpstr>
      <vt:lpstr>hxd.cds.layers.1.leader</vt:lpstr>
      <vt:lpstr>hxd.cds.layers.1.limit</vt:lpstr>
      <vt:lpstr>hxd.cds.layers.1.limit_cnv</vt:lpstr>
      <vt:lpstr>hxd.cds.layers.1.marginal_impacts.treaty_group.mi_10</vt:lpstr>
      <vt:lpstr>hxd.cds.layers.1.marginal_impacts.treaty_group.mi_250</vt:lpstr>
      <vt:lpstr>hxd.cds.layers.1.marginal_impacts.treaty_intl.mi_10</vt:lpstr>
      <vt:lpstr>hxd.cds.layers.1.marginal_impacts.treaty_intl.mi_250</vt:lpstr>
      <vt:lpstr>hxd.cds.layers.1.marginal_impacts.treaty_us.mi_10</vt:lpstr>
      <vt:lpstr>hxd.cds.layers.1.marginal_impacts.treaty_us.mi_250</vt:lpstr>
      <vt:lpstr>hxd.cds.layers.1.model.air.gross_el</vt:lpstr>
      <vt:lpstr>hxd.cds.layers.1.model.air.gross_sd</vt:lpstr>
      <vt:lpstr>hxd.cds.layers.1.model.ivor.gross_el</vt:lpstr>
      <vt:lpstr>hxd.cds.layers.1.model.ivor.gross_sd</vt:lpstr>
      <vt:lpstr>hxd.cds.layers.1.model.nmp.description</vt:lpstr>
      <vt:lpstr>hxd.cds.layers.1.model.nmp.gross_el_incl_rol</vt:lpstr>
      <vt:lpstr>hxd.cds.layers.1.model.nmp.gross_sd_incl_rol</vt:lpstr>
      <vt:lpstr>hxd.cds.layers.1.model.rms.gross_el</vt:lpstr>
      <vt:lpstr>hxd.cds.layers.1.model.rms.gross_sd</vt:lpstr>
      <vt:lpstr>hxd.cds.layers.1.model.total_air_nmp.gross_el</vt:lpstr>
      <vt:lpstr>hxd.cds.layers.1.model.total_air_nmp.gross_sd</vt:lpstr>
      <vt:lpstr>hxd.cds.layers.1.model.total_rms_nmp.gross_el</vt:lpstr>
      <vt:lpstr>hxd.cds.layers.1.model.total_rms_nmp.gross_sd</vt:lpstr>
      <vt:lpstr>hxd.cds.layers.1.quote.rol_ty.bpi</vt:lpstr>
      <vt:lpstr>hxd.cds.layers.1.quote.rol_ty.est_sign_written_ratio</vt:lpstr>
      <vt:lpstr>hxd.cds.layers.1.quote.rol_ty.estimated_signing</vt:lpstr>
      <vt:lpstr>hxd.cds.layers.1.quote.rol_ty.roc</vt:lpstr>
      <vt:lpstr>hxd.cds.layers.1.quote.rol_ty.rol_afb_tech</vt:lpstr>
      <vt:lpstr>hxd.cds.layers.1.quote.rol_ty.rol_fot</vt:lpstr>
      <vt:lpstr>hxd.cds.layers.1.quote.rol_ty.rol_quote</vt:lpstr>
      <vt:lpstr>hxd.cds.layers.1.quote.rol_ty.signed_line</vt:lpstr>
      <vt:lpstr>hxd.cds.layers.1.quote.rol_ty.ulr</vt:lpstr>
      <vt:lpstr>hxd.cds.layers.1.quote.rol_ty.written_line</vt:lpstr>
      <vt:lpstr>hxd.cds.layers.1.rate_change.comments</vt:lpstr>
      <vt:lpstr>hxd.cds.layers.1.rate_change.deductible_change_fixed.final</vt:lpstr>
      <vt:lpstr>hxd.cds.layers.1.rate_change.exposure_change_fixed.comment</vt:lpstr>
      <vt:lpstr>hxd.cds.layers.1.rate_change.exposure_change_fixed.final</vt:lpstr>
      <vt:lpstr>hxd.cds.layers.1.rate_change.limit_change_fixed.comment</vt:lpstr>
      <vt:lpstr>hxd.cds.layers.1.rate_change.limit_change_fixed.final</vt:lpstr>
      <vt:lpstr>hxd.cds.layers.1.rate_change.other_change_fixed.final</vt:lpstr>
      <vt:lpstr>hxd.cds.layers.1.rate_change.rationale_outside_plan</vt:lpstr>
      <vt:lpstr>hxd.cds.layers.1.rate_change.risk_adjusted_rate_change</vt:lpstr>
      <vt:lpstr>hxd.cds.layers.1.rate_change.risk_characteristics_change_fixed.final</vt:lpstr>
      <vt:lpstr>hxd.cds.layers.1.rate_change.rol_ly_to_use</vt:lpstr>
      <vt:lpstr>hxd.cds.layers.1.rate_change.rol_rebased</vt:lpstr>
      <vt:lpstr>hxd.cds.layers.1.rate_change.terms_conditions_change_fixed.final</vt:lpstr>
      <vt:lpstr>hxd.cds.layers.1.rms_regional.al_miss</vt:lpstr>
      <vt:lpstr>hxd.cds.layers.1.rms_regional.ca_wildfire</vt:lpstr>
      <vt:lpstr>hxd.cds.layers.1.rms_regional.cal_north</vt:lpstr>
      <vt:lpstr>hxd.cds.layers.1.rms_regional.cal_south</vt:lpstr>
      <vt:lpstr>hxd.cds.layers.1.rms_regional.carolinas</vt:lpstr>
      <vt:lpstr>hxd.cds.layers.1.rms_regional.fl_non_se</vt:lpstr>
      <vt:lpstr>hxd.cds.layers.1.rms_regional.fl_se</vt:lpstr>
      <vt:lpstr>hxd.cds.layers.1.rms_regional.hawaii</vt:lpstr>
      <vt:lpstr>hxd.cds.layers.1.rms_regional.louisiana</vt:lpstr>
      <vt:lpstr>hxd.cds.layers.1.rms_regional.mid_atlantic</vt:lpstr>
      <vt:lpstr>hxd.cds.layers.1.rms_regional.mid_west_1</vt:lpstr>
      <vt:lpstr>hxd.cds.layers.1.rms_regional.mid_west_2</vt:lpstr>
      <vt:lpstr>hxd.cds.layers.1.rms_regional.new_madrid</vt:lpstr>
      <vt:lpstr>hxd.cds.layers.1.rms_regional.north_east</vt:lpstr>
      <vt:lpstr>hxd.cds.layers.1.rms_regional.pnw</vt:lpstr>
      <vt:lpstr>hxd.cds.layers.1.rms_regional.second_event</vt:lpstr>
      <vt:lpstr>hxd.cds.layers.1.rms_regional.tx_east</vt:lpstr>
      <vt:lpstr>hxd.cds.layers.1.rms_regional.tx_west</vt:lpstr>
      <vt:lpstr>hxd.cds.layers.1.section_reference</vt:lpstr>
      <vt:lpstr>hxd.cds.layers.1.summary.next_year.section_reference</vt:lpstr>
      <vt:lpstr>hxd.cds.layers.1.summary.ty.epi_adj_rate</vt:lpstr>
      <vt:lpstr>hxd.cds.layers.1.summary.ty.epi_estimated_summary_fx</vt:lpstr>
      <vt:lpstr>hxd.cds.layers.1.summary.ty.epi_signed_summary_fx</vt:lpstr>
      <vt:lpstr>hxd.cds.layers.1.summary.ty.epi_written_summary_fx</vt:lpstr>
      <vt:lpstr>hxd.cds.layers.1.summary.ty.fot_adequacy</vt:lpstr>
      <vt:lpstr>hxd.cds.layers.1.summary.ty.line_estimated_summary_fx</vt:lpstr>
      <vt:lpstr>hxd.cds.layers.1.summary.ty.line_signed_summary_fx</vt:lpstr>
      <vt:lpstr>hxd.cds.layers.1.summary.ty.line_written_summary_fx</vt:lpstr>
      <vt:lpstr>hxd.cds.layers.1.summary.ty.mi_10</vt:lpstr>
      <vt:lpstr>hxd.cds.layers.1.summary.ty.mi_10_prem_ratio</vt:lpstr>
      <vt:lpstr>hxd.cds.layers.1.summary.ty.mi_250</vt:lpstr>
      <vt:lpstr>hxd.cds.layers.1.summary.ty.mi_250_prem_ratio</vt:lpstr>
      <vt:lpstr>hxd.cds.layers.1.summary.ty.multi_year_period</vt:lpstr>
      <vt:lpstr>hxd.cds.layers.1.summary.ty.prem_full_line</vt:lpstr>
      <vt:lpstr>hxd.cds.layers.1.summary.ty.reinstatement_description</vt:lpstr>
      <vt:lpstr>hxd.cds.layers.1.summary.ty.rms_adequacy</vt:lpstr>
      <vt:lpstr>hxd.cds.layers.1.summary.year_after_next.section_reference</vt:lpstr>
      <vt:lpstr>hxd.cds.layers.2.area_codes_perc.aal</vt:lpstr>
      <vt:lpstr>hxd.cds.layers.2.area_codes_perc.aeg</vt:lpstr>
      <vt:lpstr>hxd.cds.layers.2.area_codes_perc.ali</vt:lpstr>
      <vt:lpstr>hxd.cds.layers.2.area_codes_perc.amo</vt:lpstr>
      <vt:lpstr>hxd.cds.layers.2.area_codes_perc.amu</vt:lpstr>
      <vt:lpstr>hxd.cds.layers.2.area_codes_perc.asa</vt:lpstr>
      <vt:lpstr>hxd.cds.layers.2.area_codes_perc.bag</vt:lpstr>
      <vt:lpstr>hxd.cds.layers.2.area_codes_perc.bah</vt:lpstr>
      <vt:lpstr>hxd.cds.layers.2.area_codes_perc.ban</vt:lpstr>
      <vt:lpstr>hxd.cds.layers.2.area_codes_perc.bbb</vt:lpstr>
      <vt:lpstr>hxd.cds.layers.2.area_codes_perc.bbh</vt:lpstr>
      <vt:lpstr>hxd.cds.layers.2.area_codes_perc.bbm</vt:lpstr>
      <vt:lpstr>hxd.cds.layers.2.area_codes_perc.bcb</vt:lpstr>
      <vt:lpstr>hxd.cds.layers.2.area_codes_perc.bcm</vt:lpstr>
      <vt:lpstr>hxd.cds.layers.2.area_codes_perc.bcu</vt:lpstr>
      <vt:lpstr>hxd.cds.layers.2.area_codes_perc.bdo</vt:lpstr>
      <vt:lpstr>hxd.cds.layers.2.area_codes_perc.bdr</vt:lpstr>
      <vt:lpstr>hxd.cds.layers.2.area_codes_perc.bgn</vt:lpstr>
      <vt:lpstr>hxd.cds.layers.2.area_codes_perc.bgs</vt:lpstr>
      <vt:lpstr>hxd.cds.layers.2.area_codes_perc.bgu</vt:lpstr>
      <vt:lpstr>hxd.cds.layers.2.area_codes_perc.bht</vt:lpstr>
      <vt:lpstr>hxd.cds.layers.2.area_codes_perc.bjm</vt:lpstr>
      <vt:lpstr>hxd.cds.layers.2.area_codes_perc.bkn</vt:lpstr>
      <vt:lpstr>hxd.cds.layers.2.area_codes_perc.bmq</vt:lpstr>
      <vt:lpstr>hxd.cds.layers.2.area_codes_perc.bms</vt:lpstr>
      <vt:lpstr>hxd.cds.layers.2.area_codes_perc.bon</vt:lpstr>
      <vt:lpstr>hxd.cds.layers.2.area_codes_perc.bpr</vt:lpstr>
      <vt:lpstr>hxd.cds.layers.2.area_codes_perc.bsl</vt:lpstr>
      <vt:lpstr>hxd.cds.layers.2.area_codes_perc.bsv</vt:lpstr>
      <vt:lpstr>hxd.cds.layers.2.area_codes_perc.bv1</vt:lpstr>
      <vt:lpstr>hxd.cds.layers.2.area_codes_perc.bvs</vt:lpstr>
      <vt:lpstr>hxd.cds.layers.2.area_codes_perc.bx7</vt:lpstr>
      <vt:lpstr>hxd.cds.layers.2.area_codes_perc.cat</vt:lpstr>
      <vt:lpstr>hxd.cds.layers.2.area_codes_perc.cbc</vt:lpstr>
      <vt:lpstr>hxd.cds.layers.2.area_codes_perc.cef</vt:lpstr>
      <vt:lpstr>hxd.cds.layers.2.area_codes_perc.con</vt:lpstr>
      <vt:lpstr>hxd.cds.layers.2.area_codes_perc.cpr</vt:lpstr>
      <vt:lpstr>hxd.cds.layers.2.area_codes_perc.cqu</vt:lpstr>
      <vt:lpstr>hxd.cds.layers.2.area_codes_perc.eat</vt:lpstr>
      <vt:lpstr>hxd.cds.layers.2.area_codes_perc.ebe</vt:lpstr>
      <vt:lpstr>hxd.cds.layers.2.area_codes_perc.ebg</vt:lpstr>
      <vt:lpstr>hxd.cds.layers.2.area_codes_perc.ech</vt:lpstr>
      <vt:lpstr>hxd.cds.layers.2.area_codes_perc.ecx</vt:lpstr>
      <vt:lpstr>hxd.cds.layers.2.area_codes_perc.ecz</vt:lpstr>
      <vt:lpstr>hxd.cds.layers.2.area_codes_perc.edk</vt:lpstr>
      <vt:lpstr>hxd.cds.layers.2.area_codes_perc.ees</vt:lpstr>
      <vt:lpstr>hxd.cds.layers.2.area_codes_perc.efi</vt:lpstr>
      <vt:lpstr>hxd.cds.layers.2.area_codes_perc.efr</vt:lpstr>
      <vt:lpstr>hxd.cds.layers.2.area_codes_perc.ege</vt:lpstr>
      <vt:lpstr>hxd.cds.layers.2.area_codes_perc.egf</vt:lpstr>
      <vt:lpstr>hxd.cds.layers.2.area_codes_perc.egr</vt:lpstr>
      <vt:lpstr>hxd.cds.layers.2.area_codes_perc.ehu</vt:lpstr>
      <vt:lpstr>hxd.cds.layers.2.area_codes_perc.eic</vt:lpstr>
      <vt:lpstr>hxd.cds.layers.2.area_codes_perc.eie</vt:lpstr>
      <vt:lpstr>hxd.cds.layers.2.area_codes_perc.eit</vt:lpstr>
      <vt:lpstr>hxd.cds.layers.2.area_codes_perc.emz</vt:lpstr>
      <vt:lpstr>hxd.cds.layers.2.area_codes_perc.enl</vt:lpstr>
      <vt:lpstr>hxd.cds.layers.2.area_codes_perc.eno</vt:lpstr>
      <vt:lpstr>hxd.cds.layers.2.area_codes_perc.epl</vt:lpstr>
      <vt:lpstr>hxd.cds.layers.2.area_codes_perc.ept</vt:lpstr>
      <vt:lpstr>hxd.cds.layers.2.area_codes_perc.ero</vt:lpstr>
      <vt:lpstr>hxd.cds.layers.2.area_codes_perc.eru</vt:lpstr>
      <vt:lpstr>hxd.cds.layers.2.area_codes_perc.esb</vt:lpstr>
      <vt:lpstr>hxd.cds.layers.2.area_codes_perc.esc</vt:lpstr>
      <vt:lpstr>hxd.cds.layers.2.area_codes_perc.ese</vt:lpstr>
      <vt:lpstr>hxd.cds.layers.2.area_codes_perc.esr</vt:lpstr>
      <vt:lpstr>hxd.cds.layers.2.area_codes_perc.etu</vt:lpstr>
      <vt:lpstr>hxd.cds.layers.2.area_codes_perc.euf</vt:lpstr>
      <vt:lpstr>hxd.cds.layers.2.area_codes_perc.euk</vt:lpstr>
      <vt:lpstr>hxd.cds.layers.2.area_codes_perc.fby</vt:lpstr>
      <vt:lpstr>hxd.cds.layers.2.area_codes_perc.fcq</vt:lpstr>
      <vt:lpstr>hxd.cds.layers.2.area_codes_perc.fct</vt:lpstr>
      <vt:lpstr>hxd.cds.layers.2.area_codes_perc.fcy</vt:lpstr>
      <vt:lpstr>hxd.cds.layers.2.area_codes_perc.fhk</vt:lpstr>
      <vt:lpstr>hxd.cds.layers.2.area_codes_perc.fia</vt:lpstr>
      <vt:lpstr>hxd.cds.layers.2.area_codes_perc.fjq</vt:lpstr>
      <vt:lpstr>hxd.cds.layers.2.area_codes_perc.fjw</vt:lpstr>
      <vt:lpstr>hxd.cds.layers.2.area_codes_perc.fkr</vt:lpstr>
      <vt:lpstr>hxd.cds.layers.2.area_codes_perc.fmy</vt:lpstr>
      <vt:lpstr>hxd.cds.layers.2.area_codes_perc.fnp</vt:lpstr>
      <vt:lpstr>hxd.cds.layers.2.area_codes_perc.fsk</vt:lpstr>
      <vt:lpstr>hxd.cds.layers.2.area_codes_perc.fsp</vt:lpstr>
      <vt:lpstr>hxd.cds.layers.2.area_codes_perc.fta</vt:lpstr>
      <vt:lpstr>hxd.cds.layers.2.area_codes_perc.fth</vt:lpstr>
      <vt:lpstr>hxd.cds.layers.2.area_codes_perc.fvn</vt:lpstr>
      <vt:lpstr>hxd.cds.layers.2.area_codes_perc.mae</vt:lpstr>
      <vt:lpstr>hxd.cds.layers.2.area_codes_perc.mba</vt:lpstr>
      <vt:lpstr>hxd.cds.layers.2.area_codes_perc.mbd</vt:lpstr>
      <vt:lpstr>hxd.cds.layers.2.area_codes_perc.min</vt:lpstr>
      <vt:lpstr>hxd.cds.layers.2.area_codes_perc.mis</vt:lpstr>
      <vt:lpstr>hxd.cds.layers.2.area_codes_perc.mjo</vt:lpstr>
      <vt:lpstr>hxd.cds.layers.2.area_codes_perc.mma</vt:lpstr>
      <vt:lpstr>hxd.cds.layers.2.area_codes_perc.mom</vt:lpstr>
      <vt:lpstr>hxd.cds.layers.2.area_codes_perc.mpk</vt:lpstr>
      <vt:lpstr>hxd.cds.layers.2.area_codes_perc.mqa</vt:lpstr>
      <vt:lpstr>hxd.cds.layers.2.area_codes_perc.oa1</vt:lpstr>
      <vt:lpstr>hxd.cds.layers.2.area_codes_perc.oa2</vt:lpstr>
      <vt:lpstr>hxd.cds.layers.2.area_codes_perc.oa3</vt:lpstr>
      <vt:lpstr>hxd.cds.layers.2.area_codes_perc.oa4</vt:lpstr>
      <vt:lpstr>hxd.cds.layers.2.area_codes_perc.oa5</vt:lpstr>
      <vt:lpstr>hxd.cds.layers.2.area_codes_perc.oa6</vt:lpstr>
      <vt:lpstr>hxd.cds.layers.2.area_codes_perc.ofj</vt:lpstr>
      <vt:lpstr>hxd.cds.layers.2.area_codes_perc.ogm</vt:lpstr>
      <vt:lpstr>hxd.cds.layers.2.area_codes_perc.onz</vt:lpstr>
      <vt:lpstr>hxd.cds.layers.2.area_codes_perc.opg</vt:lpstr>
      <vt:lpstr>hxd.cds.layers.2.area_codes_perc.oph</vt:lpstr>
      <vt:lpstr>hxd.cds.layers.2.area_codes_perc.ota</vt:lpstr>
      <vt:lpstr>hxd.cds.layers.2.area_codes_perc.sar</vt:lpstr>
      <vt:lpstr>hxd.cds.layers.2.area_codes_perc.sbr</vt:lpstr>
      <vt:lpstr>hxd.cds.layers.2.area_codes_perc.sbv</vt:lpstr>
      <vt:lpstr>hxd.cds.layers.2.area_codes_perc.sbz</vt:lpstr>
      <vt:lpstr>hxd.cds.layers.2.area_codes_perc.scl</vt:lpstr>
      <vt:lpstr>hxd.cds.layers.2.area_codes_perc.sco</vt:lpstr>
      <vt:lpstr>hxd.cds.layers.2.area_codes_perc.scr</vt:lpstr>
      <vt:lpstr>hxd.cds.layers.2.area_codes_perc.sec</vt:lpstr>
      <vt:lpstr>hxd.cds.layers.2.area_codes_perc.sel</vt:lpstr>
      <vt:lpstr>hxd.cds.layers.2.area_codes_perc.sgt</vt:lpstr>
      <vt:lpstr>hxd.cds.layers.2.area_codes_perc.sgy</vt:lpstr>
      <vt:lpstr>hxd.cds.layers.2.area_codes_perc.shn</vt:lpstr>
      <vt:lpstr>hxd.cds.layers.2.area_codes_perc.smx</vt:lpstr>
      <vt:lpstr>hxd.cds.layers.2.area_codes_perc.snq</vt:lpstr>
      <vt:lpstr>hxd.cds.layers.2.area_codes_perc.spa</vt:lpstr>
      <vt:lpstr>hxd.cds.layers.2.area_codes_perc.spe</vt:lpstr>
      <vt:lpstr>hxd.cds.layers.2.area_codes_perc.spy</vt:lpstr>
      <vt:lpstr>hxd.cds.layers.2.area_codes_perc.suy</vt:lpstr>
      <vt:lpstr>hxd.cds.layers.2.area_codes_perc.sve</vt:lpstr>
      <vt:lpstr>hxd.cds.layers.2.area_codes_perc.usa01</vt:lpstr>
      <vt:lpstr>hxd.cds.layers.2.area_codes_perc.usa02</vt:lpstr>
      <vt:lpstr>hxd.cds.layers.2.area_codes_perc.usa03</vt:lpstr>
      <vt:lpstr>hxd.cds.layers.2.area_codes_perc.usa04</vt:lpstr>
      <vt:lpstr>hxd.cds.layers.2.area_codes_perc.usa05</vt:lpstr>
      <vt:lpstr>hxd.cds.layers.2.area_codes_perc.usa06</vt:lpstr>
      <vt:lpstr>hxd.cds.layers.2.area_codes_perc.usa07</vt:lpstr>
      <vt:lpstr>hxd.cds.layers.2.area_codes_perc.usa08</vt:lpstr>
      <vt:lpstr>hxd.cds.layers.2.area_codes_perc.usa09</vt:lpstr>
      <vt:lpstr>hxd.cds.layers.2.area_codes_perc.usa10</vt:lpstr>
      <vt:lpstr>hxd.cds.layers.2.area_codes_perc.usa11</vt:lpstr>
      <vt:lpstr>hxd.cds.layers.2.area_codes_perc.usa12</vt:lpstr>
      <vt:lpstr>hxd.cds.layers.2.area_codes_perc.usa13</vt:lpstr>
      <vt:lpstr>hxd.cds.layers.2.area_codes_perc.usa14</vt:lpstr>
      <vt:lpstr>hxd.cds.layers.2.area_codes_perc.usa15</vt:lpstr>
      <vt:lpstr>hxd.cds.layers.2.area_codes_perc.usa16</vt:lpstr>
      <vt:lpstr>hxd.cds.layers.2.area_codes_perc.usa20</vt:lpstr>
      <vt:lpstr>hxd.cds.layers.2.area_codes_perc.usa21</vt:lpstr>
      <vt:lpstr>hxd.cds.layers.2.area_codes_perc.usa22</vt:lpstr>
      <vt:lpstr>hxd.cds.layers.2.area_codes_select.aal</vt:lpstr>
      <vt:lpstr>hxd.cds.layers.2.area_codes_select.aeg</vt:lpstr>
      <vt:lpstr>hxd.cds.layers.2.area_codes_select.ali</vt:lpstr>
      <vt:lpstr>hxd.cds.layers.2.area_codes_select.amo</vt:lpstr>
      <vt:lpstr>hxd.cds.layers.2.area_codes_select.amu</vt:lpstr>
      <vt:lpstr>hxd.cds.layers.2.area_codes_select.asa</vt:lpstr>
      <vt:lpstr>hxd.cds.layers.2.area_codes_select.bag</vt:lpstr>
      <vt:lpstr>hxd.cds.layers.2.area_codes_select.bah</vt:lpstr>
      <vt:lpstr>hxd.cds.layers.2.area_codes_select.ban</vt:lpstr>
      <vt:lpstr>hxd.cds.layers.2.area_codes_select.bbb</vt:lpstr>
      <vt:lpstr>hxd.cds.layers.2.area_codes_select.bbh</vt:lpstr>
      <vt:lpstr>hxd.cds.layers.2.area_codes_select.bbm</vt:lpstr>
      <vt:lpstr>hxd.cds.layers.2.area_codes_select.bcb</vt:lpstr>
      <vt:lpstr>hxd.cds.layers.2.area_codes_select.bcm</vt:lpstr>
      <vt:lpstr>hxd.cds.layers.2.area_codes_select.bcu</vt:lpstr>
      <vt:lpstr>hxd.cds.layers.2.area_codes_select.bdo</vt:lpstr>
      <vt:lpstr>hxd.cds.layers.2.area_codes_select.bdr</vt:lpstr>
      <vt:lpstr>hxd.cds.layers.2.area_codes_select.bgn</vt:lpstr>
      <vt:lpstr>hxd.cds.layers.2.area_codes_select.bgs</vt:lpstr>
      <vt:lpstr>hxd.cds.layers.2.area_codes_select.bgu</vt:lpstr>
      <vt:lpstr>hxd.cds.layers.2.area_codes_select.bht</vt:lpstr>
      <vt:lpstr>hxd.cds.layers.2.area_codes_select.bjm</vt:lpstr>
      <vt:lpstr>hxd.cds.layers.2.area_codes_select.bkn</vt:lpstr>
      <vt:lpstr>hxd.cds.layers.2.area_codes_select.bmq</vt:lpstr>
      <vt:lpstr>hxd.cds.layers.2.area_codes_select.bms</vt:lpstr>
      <vt:lpstr>hxd.cds.layers.2.area_codes_select.bon</vt:lpstr>
      <vt:lpstr>hxd.cds.layers.2.area_codes_select.bpr</vt:lpstr>
      <vt:lpstr>hxd.cds.layers.2.area_codes_select.bsl</vt:lpstr>
      <vt:lpstr>hxd.cds.layers.2.area_codes_select.bsv</vt:lpstr>
      <vt:lpstr>hxd.cds.layers.2.area_codes_select.bv1</vt:lpstr>
      <vt:lpstr>hxd.cds.layers.2.area_codes_select.bvs</vt:lpstr>
      <vt:lpstr>hxd.cds.layers.2.area_codes_select.bx7</vt:lpstr>
      <vt:lpstr>hxd.cds.layers.2.area_codes_select.cat</vt:lpstr>
      <vt:lpstr>hxd.cds.layers.2.area_codes_select.cbc</vt:lpstr>
      <vt:lpstr>hxd.cds.layers.2.area_codes_select.cef</vt:lpstr>
      <vt:lpstr>hxd.cds.layers.2.area_codes_select.con</vt:lpstr>
      <vt:lpstr>hxd.cds.layers.2.area_codes_select.cpr</vt:lpstr>
      <vt:lpstr>hxd.cds.layers.2.area_codes_select.cqu</vt:lpstr>
      <vt:lpstr>hxd.cds.layers.2.area_codes_select.eat</vt:lpstr>
      <vt:lpstr>hxd.cds.layers.2.area_codes_select.ebe</vt:lpstr>
      <vt:lpstr>hxd.cds.layers.2.area_codes_select.ebg</vt:lpstr>
      <vt:lpstr>hxd.cds.layers.2.area_codes_select.ech</vt:lpstr>
      <vt:lpstr>hxd.cds.layers.2.area_codes_select.ecx</vt:lpstr>
      <vt:lpstr>hxd.cds.layers.2.area_codes_select.ecz</vt:lpstr>
      <vt:lpstr>hxd.cds.layers.2.area_codes_select.edk</vt:lpstr>
      <vt:lpstr>hxd.cds.layers.2.area_codes_select.ees</vt:lpstr>
      <vt:lpstr>hxd.cds.layers.2.area_codes_select.efi</vt:lpstr>
      <vt:lpstr>hxd.cds.layers.2.area_codes_select.efr</vt:lpstr>
      <vt:lpstr>hxd.cds.layers.2.area_codes_select.ege</vt:lpstr>
      <vt:lpstr>hxd.cds.layers.2.area_codes_select.egf</vt:lpstr>
      <vt:lpstr>hxd.cds.layers.2.area_codes_select.egr</vt:lpstr>
      <vt:lpstr>hxd.cds.layers.2.area_codes_select.ehu</vt:lpstr>
      <vt:lpstr>hxd.cds.layers.2.area_codes_select.eic</vt:lpstr>
      <vt:lpstr>hxd.cds.layers.2.area_codes_select.eie</vt:lpstr>
      <vt:lpstr>hxd.cds.layers.2.area_codes_select.eit</vt:lpstr>
      <vt:lpstr>hxd.cds.layers.2.area_codes_select.emz</vt:lpstr>
      <vt:lpstr>hxd.cds.layers.2.area_codes_select.enl</vt:lpstr>
      <vt:lpstr>hxd.cds.layers.2.area_codes_select.eno</vt:lpstr>
      <vt:lpstr>hxd.cds.layers.2.area_codes_select.epl</vt:lpstr>
      <vt:lpstr>hxd.cds.layers.2.area_codes_select.ept</vt:lpstr>
      <vt:lpstr>hxd.cds.layers.2.area_codes_select.ero</vt:lpstr>
      <vt:lpstr>hxd.cds.layers.2.area_codes_select.eru</vt:lpstr>
      <vt:lpstr>hxd.cds.layers.2.area_codes_select.esb</vt:lpstr>
      <vt:lpstr>hxd.cds.layers.2.area_codes_select.esc</vt:lpstr>
      <vt:lpstr>hxd.cds.layers.2.area_codes_select.ese</vt:lpstr>
      <vt:lpstr>hxd.cds.layers.2.area_codes_select.esr</vt:lpstr>
      <vt:lpstr>hxd.cds.layers.2.area_codes_select.etu</vt:lpstr>
      <vt:lpstr>hxd.cds.layers.2.area_codes_select.euf</vt:lpstr>
      <vt:lpstr>hxd.cds.layers.2.area_codes_select.euk</vt:lpstr>
      <vt:lpstr>hxd.cds.layers.2.area_codes_select.fby</vt:lpstr>
      <vt:lpstr>hxd.cds.layers.2.area_codes_select.fcq</vt:lpstr>
      <vt:lpstr>hxd.cds.layers.2.area_codes_select.fct</vt:lpstr>
      <vt:lpstr>hxd.cds.layers.2.area_codes_select.fcy</vt:lpstr>
      <vt:lpstr>hxd.cds.layers.2.area_codes_select.fhk</vt:lpstr>
      <vt:lpstr>hxd.cds.layers.2.area_codes_select.fia</vt:lpstr>
      <vt:lpstr>hxd.cds.layers.2.area_codes_select.fjq</vt:lpstr>
      <vt:lpstr>hxd.cds.layers.2.area_codes_select.fjw</vt:lpstr>
      <vt:lpstr>hxd.cds.layers.2.area_codes_select.fkr</vt:lpstr>
      <vt:lpstr>hxd.cds.layers.2.area_codes_select.fmy</vt:lpstr>
      <vt:lpstr>hxd.cds.layers.2.area_codes_select.fnp</vt:lpstr>
      <vt:lpstr>hxd.cds.layers.2.area_codes_select.fsk</vt:lpstr>
      <vt:lpstr>hxd.cds.layers.2.area_codes_select.fsp</vt:lpstr>
      <vt:lpstr>hxd.cds.layers.2.area_codes_select.fta</vt:lpstr>
      <vt:lpstr>hxd.cds.layers.2.area_codes_select.fth</vt:lpstr>
      <vt:lpstr>hxd.cds.layers.2.area_codes_select.fvn</vt:lpstr>
      <vt:lpstr>hxd.cds.layers.2.area_codes_select.mae</vt:lpstr>
      <vt:lpstr>hxd.cds.layers.2.area_codes_select.mba</vt:lpstr>
      <vt:lpstr>hxd.cds.layers.2.area_codes_select.mbd</vt:lpstr>
      <vt:lpstr>hxd.cds.layers.2.area_codes_select.min</vt:lpstr>
      <vt:lpstr>hxd.cds.layers.2.area_codes_select.mis</vt:lpstr>
      <vt:lpstr>hxd.cds.layers.2.area_codes_select.mjo</vt:lpstr>
      <vt:lpstr>hxd.cds.layers.2.area_codes_select.mma</vt:lpstr>
      <vt:lpstr>hxd.cds.layers.2.area_codes_select.mom</vt:lpstr>
      <vt:lpstr>hxd.cds.layers.2.area_codes_select.mpk</vt:lpstr>
      <vt:lpstr>hxd.cds.layers.2.area_codes_select.mqa</vt:lpstr>
      <vt:lpstr>hxd.cds.layers.2.area_codes_select.oa1</vt:lpstr>
      <vt:lpstr>hxd.cds.layers.2.area_codes_select.oa2</vt:lpstr>
      <vt:lpstr>hxd.cds.layers.2.area_codes_select.oa3</vt:lpstr>
      <vt:lpstr>hxd.cds.layers.2.area_codes_select.oa4</vt:lpstr>
      <vt:lpstr>hxd.cds.layers.2.area_codes_select.oa5</vt:lpstr>
      <vt:lpstr>hxd.cds.layers.2.area_codes_select.oa6</vt:lpstr>
      <vt:lpstr>hxd.cds.layers.2.area_codes_select.ofj</vt:lpstr>
      <vt:lpstr>hxd.cds.layers.2.area_codes_select.ogm</vt:lpstr>
      <vt:lpstr>hxd.cds.layers.2.area_codes_select.onz</vt:lpstr>
      <vt:lpstr>hxd.cds.layers.2.area_codes_select.opg</vt:lpstr>
      <vt:lpstr>hxd.cds.layers.2.area_codes_select.oph</vt:lpstr>
      <vt:lpstr>hxd.cds.layers.2.area_codes_select.ota</vt:lpstr>
      <vt:lpstr>hxd.cds.layers.2.area_codes_select.sar</vt:lpstr>
      <vt:lpstr>hxd.cds.layers.2.area_codes_select.sbr</vt:lpstr>
      <vt:lpstr>hxd.cds.layers.2.area_codes_select.sbv</vt:lpstr>
      <vt:lpstr>hxd.cds.layers.2.area_codes_select.sbz</vt:lpstr>
      <vt:lpstr>hxd.cds.layers.2.area_codes_select.scl</vt:lpstr>
      <vt:lpstr>hxd.cds.layers.2.area_codes_select.sco</vt:lpstr>
      <vt:lpstr>hxd.cds.layers.2.area_codes_select.scr</vt:lpstr>
      <vt:lpstr>hxd.cds.layers.2.area_codes_select.sec</vt:lpstr>
      <vt:lpstr>hxd.cds.layers.2.area_codes_select.sel</vt:lpstr>
      <vt:lpstr>hxd.cds.layers.2.area_codes_select.sgt</vt:lpstr>
      <vt:lpstr>hxd.cds.layers.2.area_codes_select.sgy</vt:lpstr>
      <vt:lpstr>hxd.cds.layers.2.area_codes_select.shn</vt:lpstr>
      <vt:lpstr>hxd.cds.layers.2.area_codes_select.smx</vt:lpstr>
      <vt:lpstr>hxd.cds.layers.2.area_codes_select.snq</vt:lpstr>
      <vt:lpstr>hxd.cds.layers.2.area_codes_select.spa</vt:lpstr>
      <vt:lpstr>hxd.cds.layers.2.area_codes_select.spe</vt:lpstr>
      <vt:lpstr>hxd.cds.layers.2.area_codes_select.spy</vt:lpstr>
      <vt:lpstr>hxd.cds.layers.2.area_codes_select.suy</vt:lpstr>
      <vt:lpstr>hxd.cds.layers.2.area_codes_select.sve</vt:lpstr>
      <vt:lpstr>hxd.cds.layers.2.area_codes_select.usa01</vt:lpstr>
      <vt:lpstr>hxd.cds.layers.2.area_codes_select.usa02</vt:lpstr>
      <vt:lpstr>hxd.cds.layers.2.area_codes_select.usa03</vt:lpstr>
      <vt:lpstr>hxd.cds.layers.2.area_codes_select.usa04</vt:lpstr>
      <vt:lpstr>hxd.cds.layers.2.area_codes_select.usa05</vt:lpstr>
      <vt:lpstr>hxd.cds.layers.2.area_codes_select.usa06</vt:lpstr>
      <vt:lpstr>hxd.cds.layers.2.area_codes_select.usa07</vt:lpstr>
      <vt:lpstr>hxd.cds.layers.2.area_codes_select.usa08</vt:lpstr>
      <vt:lpstr>hxd.cds.layers.2.area_codes_select.usa09</vt:lpstr>
      <vt:lpstr>hxd.cds.layers.2.area_codes_select.usa10</vt:lpstr>
      <vt:lpstr>hxd.cds.layers.2.area_codes_select.usa11</vt:lpstr>
      <vt:lpstr>hxd.cds.layers.2.area_codes_select.usa12</vt:lpstr>
      <vt:lpstr>hxd.cds.layers.2.area_codes_select.usa13</vt:lpstr>
      <vt:lpstr>hxd.cds.layers.2.area_codes_select.usa14</vt:lpstr>
      <vt:lpstr>hxd.cds.layers.2.area_codes_select.usa15</vt:lpstr>
      <vt:lpstr>hxd.cds.layers.2.area_codes_select.usa16</vt:lpstr>
      <vt:lpstr>hxd.cds.layers.2.area_codes_select.usa20</vt:lpstr>
      <vt:lpstr>hxd.cds.layers.2.area_codes_select.usa21</vt:lpstr>
      <vt:lpstr>hxd.cds.layers.2.area_codes_select.usa22</vt:lpstr>
      <vt:lpstr>hxd.cds.layers.2.excess</vt:lpstr>
      <vt:lpstr>hxd.cds.layers.2.excess_cnv</vt:lpstr>
      <vt:lpstr>hxd.cds.layers.2.layer_description</vt:lpstr>
      <vt:lpstr>hxd.cds.layers.2.leader</vt:lpstr>
      <vt:lpstr>hxd.cds.layers.2.limit</vt:lpstr>
      <vt:lpstr>hxd.cds.layers.2.limit_cnv</vt:lpstr>
      <vt:lpstr>hxd.cds.layers.2.marginal_impacts.treaty_group.mi_10</vt:lpstr>
      <vt:lpstr>hxd.cds.layers.2.marginal_impacts.treaty_group.mi_250</vt:lpstr>
      <vt:lpstr>hxd.cds.layers.2.marginal_impacts.treaty_intl.mi_10</vt:lpstr>
      <vt:lpstr>hxd.cds.layers.2.marginal_impacts.treaty_intl.mi_250</vt:lpstr>
      <vt:lpstr>hxd.cds.layers.2.marginal_impacts.treaty_us.mi_10</vt:lpstr>
      <vt:lpstr>hxd.cds.layers.2.marginal_impacts.treaty_us.mi_250</vt:lpstr>
      <vt:lpstr>hxd.cds.layers.2.model.air.gross_el</vt:lpstr>
      <vt:lpstr>hxd.cds.layers.2.model.air.gross_sd</vt:lpstr>
      <vt:lpstr>hxd.cds.layers.2.model.ivor.gross_el</vt:lpstr>
      <vt:lpstr>hxd.cds.layers.2.model.ivor.gross_sd</vt:lpstr>
      <vt:lpstr>hxd.cds.layers.2.model.nmp.description</vt:lpstr>
      <vt:lpstr>hxd.cds.layers.2.model.nmp.gross_el_incl_rol</vt:lpstr>
      <vt:lpstr>hxd.cds.layers.2.model.nmp.gross_sd_incl_rol</vt:lpstr>
      <vt:lpstr>hxd.cds.layers.2.model.rms.gross_el</vt:lpstr>
      <vt:lpstr>hxd.cds.layers.2.model.rms.gross_sd</vt:lpstr>
      <vt:lpstr>hxd.cds.layers.2.model.total_air_nmp.gross_el</vt:lpstr>
      <vt:lpstr>hxd.cds.layers.2.model.total_air_nmp.gross_sd</vt:lpstr>
      <vt:lpstr>hxd.cds.layers.2.model.total_rms_nmp.gross_el</vt:lpstr>
      <vt:lpstr>hxd.cds.layers.2.model.total_rms_nmp.gross_sd</vt:lpstr>
      <vt:lpstr>hxd.cds.layers.2.quote.rol_ty.bpi</vt:lpstr>
      <vt:lpstr>hxd.cds.layers.2.quote.rol_ty.est_sign_written_ratio</vt:lpstr>
      <vt:lpstr>hxd.cds.layers.2.quote.rol_ty.estimated_signing</vt:lpstr>
      <vt:lpstr>hxd.cds.layers.2.quote.rol_ty.roc</vt:lpstr>
      <vt:lpstr>hxd.cds.layers.2.quote.rol_ty.rol_afb_tech</vt:lpstr>
      <vt:lpstr>hxd.cds.layers.2.quote.rol_ty.rol_fot</vt:lpstr>
      <vt:lpstr>hxd.cds.layers.2.quote.rol_ty.rol_quote</vt:lpstr>
      <vt:lpstr>hxd.cds.layers.2.quote.rol_ty.signed_line</vt:lpstr>
      <vt:lpstr>hxd.cds.layers.2.quote.rol_ty.ulr</vt:lpstr>
      <vt:lpstr>hxd.cds.layers.2.quote.rol_ty.written_line</vt:lpstr>
      <vt:lpstr>hxd.cds.layers.2.rate_change.comments</vt:lpstr>
      <vt:lpstr>hxd.cds.layers.2.rate_change.deductible_change_fixed.final</vt:lpstr>
      <vt:lpstr>hxd.cds.layers.2.rate_change.exposure_change_fixed.comment</vt:lpstr>
      <vt:lpstr>hxd.cds.layers.2.rate_change.exposure_change_fixed.final</vt:lpstr>
      <vt:lpstr>hxd.cds.layers.2.rate_change.limit_change_fixed.comment</vt:lpstr>
      <vt:lpstr>hxd.cds.layers.2.rate_change.limit_change_fixed.final</vt:lpstr>
      <vt:lpstr>hxd.cds.layers.2.rate_change.other_change_fixed.final</vt:lpstr>
      <vt:lpstr>hxd.cds.layers.2.rate_change.rationale_outside_plan</vt:lpstr>
      <vt:lpstr>hxd.cds.layers.2.rate_change.risk_adjusted_rate_change</vt:lpstr>
      <vt:lpstr>hxd.cds.layers.2.rate_change.risk_characteristics_change_fixed.final</vt:lpstr>
      <vt:lpstr>hxd.cds.layers.2.rate_change.rol_ly_to_use</vt:lpstr>
      <vt:lpstr>hxd.cds.layers.2.rate_change.rol_rebased</vt:lpstr>
      <vt:lpstr>hxd.cds.layers.2.rate_change.terms_conditions_change_fixed.final</vt:lpstr>
      <vt:lpstr>hxd.cds.layers.2.rms_regional.al_miss</vt:lpstr>
      <vt:lpstr>hxd.cds.layers.2.rms_regional.ca_wildfire</vt:lpstr>
      <vt:lpstr>hxd.cds.layers.2.rms_regional.cal_north</vt:lpstr>
      <vt:lpstr>hxd.cds.layers.2.rms_regional.cal_south</vt:lpstr>
      <vt:lpstr>hxd.cds.layers.2.rms_regional.carolinas</vt:lpstr>
      <vt:lpstr>hxd.cds.layers.2.rms_regional.fl_non_se</vt:lpstr>
      <vt:lpstr>hxd.cds.layers.2.rms_regional.fl_se</vt:lpstr>
      <vt:lpstr>hxd.cds.layers.2.rms_regional.hawaii</vt:lpstr>
      <vt:lpstr>hxd.cds.layers.2.rms_regional.louisiana</vt:lpstr>
      <vt:lpstr>hxd.cds.layers.2.rms_regional.mid_atlantic</vt:lpstr>
      <vt:lpstr>hxd.cds.layers.2.rms_regional.mid_west_1</vt:lpstr>
      <vt:lpstr>hxd.cds.layers.2.rms_regional.mid_west_2</vt:lpstr>
      <vt:lpstr>hxd.cds.layers.2.rms_regional.new_madrid</vt:lpstr>
      <vt:lpstr>hxd.cds.layers.2.rms_regional.north_east</vt:lpstr>
      <vt:lpstr>hxd.cds.layers.2.rms_regional.pnw</vt:lpstr>
      <vt:lpstr>hxd.cds.layers.2.rms_regional.second_event</vt:lpstr>
      <vt:lpstr>hxd.cds.layers.2.rms_regional.tx_east</vt:lpstr>
      <vt:lpstr>hxd.cds.layers.2.rms_regional.tx_west</vt:lpstr>
      <vt:lpstr>hxd.cds.layers.2.section_reference</vt:lpstr>
      <vt:lpstr>hxd.cds.layers.2.summary.next_year.section_reference</vt:lpstr>
      <vt:lpstr>hxd.cds.layers.2.summary.ty.epi_adj_rate</vt:lpstr>
      <vt:lpstr>hxd.cds.layers.2.summary.ty.epi_estimated_summary_fx</vt:lpstr>
      <vt:lpstr>hxd.cds.layers.2.summary.ty.epi_signed_summary_fx</vt:lpstr>
      <vt:lpstr>hxd.cds.layers.2.summary.ty.epi_written_summary_fx</vt:lpstr>
      <vt:lpstr>hxd.cds.layers.2.summary.ty.fot_adequacy</vt:lpstr>
      <vt:lpstr>hxd.cds.layers.2.summary.ty.line_estimated_summary_fx</vt:lpstr>
      <vt:lpstr>hxd.cds.layers.2.summary.ty.line_signed_summary_fx</vt:lpstr>
      <vt:lpstr>hxd.cds.layers.2.summary.ty.line_written_summary_fx</vt:lpstr>
      <vt:lpstr>hxd.cds.layers.2.summary.ty.mi_10</vt:lpstr>
      <vt:lpstr>hxd.cds.layers.2.summary.ty.mi_10_prem_ratio</vt:lpstr>
      <vt:lpstr>hxd.cds.layers.2.summary.ty.mi_250</vt:lpstr>
      <vt:lpstr>hxd.cds.layers.2.summary.ty.mi_250_prem_ratio</vt:lpstr>
      <vt:lpstr>hxd.cds.layers.2.summary.ty.multi_year_period</vt:lpstr>
      <vt:lpstr>hxd.cds.layers.2.summary.ty.prem_full_line</vt:lpstr>
      <vt:lpstr>hxd.cds.layers.2.summary.ty.reinstatement_description</vt:lpstr>
      <vt:lpstr>hxd.cds.layers.2.summary.ty.rms_adequacy</vt:lpstr>
      <vt:lpstr>hxd.cds.layers.2.summary.year_after_next.section_reference</vt:lpstr>
      <vt:lpstr>hxd.cds.layers.3.area_codes_perc.aal</vt:lpstr>
      <vt:lpstr>hxd.cds.layers.3.area_codes_perc.aeg</vt:lpstr>
      <vt:lpstr>hxd.cds.layers.3.area_codes_perc.ali</vt:lpstr>
      <vt:lpstr>hxd.cds.layers.3.area_codes_perc.amo</vt:lpstr>
      <vt:lpstr>hxd.cds.layers.3.area_codes_perc.amu</vt:lpstr>
      <vt:lpstr>hxd.cds.layers.3.area_codes_perc.asa</vt:lpstr>
      <vt:lpstr>hxd.cds.layers.3.area_codes_perc.bag</vt:lpstr>
      <vt:lpstr>hxd.cds.layers.3.area_codes_perc.bah</vt:lpstr>
      <vt:lpstr>hxd.cds.layers.3.area_codes_perc.ban</vt:lpstr>
      <vt:lpstr>hxd.cds.layers.3.area_codes_perc.bbb</vt:lpstr>
      <vt:lpstr>hxd.cds.layers.3.area_codes_perc.bbh</vt:lpstr>
      <vt:lpstr>hxd.cds.layers.3.area_codes_perc.bbm</vt:lpstr>
      <vt:lpstr>hxd.cds.layers.3.area_codes_perc.bcb</vt:lpstr>
      <vt:lpstr>hxd.cds.layers.3.area_codes_perc.bcm</vt:lpstr>
      <vt:lpstr>hxd.cds.layers.3.area_codes_perc.bcu</vt:lpstr>
      <vt:lpstr>hxd.cds.layers.3.area_codes_perc.bdo</vt:lpstr>
      <vt:lpstr>hxd.cds.layers.3.area_codes_perc.bdr</vt:lpstr>
      <vt:lpstr>hxd.cds.layers.3.area_codes_perc.bgn</vt:lpstr>
      <vt:lpstr>hxd.cds.layers.3.area_codes_perc.bgs</vt:lpstr>
      <vt:lpstr>hxd.cds.layers.3.area_codes_perc.bgu</vt:lpstr>
      <vt:lpstr>hxd.cds.layers.3.area_codes_perc.bht</vt:lpstr>
      <vt:lpstr>hxd.cds.layers.3.area_codes_perc.bjm</vt:lpstr>
      <vt:lpstr>hxd.cds.layers.3.area_codes_perc.bkn</vt:lpstr>
      <vt:lpstr>hxd.cds.layers.3.area_codes_perc.bmq</vt:lpstr>
      <vt:lpstr>hxd.cds.layers.3.area_codes_perc.bms</vt:lpstr>
      <vt:lpstr>hxd.cds.layers.3.area_codes_perc.bon</vt:lpstr>
      <vt:lpstr>hxd.cds.layers.3.area_codes_perc.bpr</vt:lpstr>
      <vt:lpstr>hxd.cds.layers.3.area_codes_perc.bsl</vt:lpstr>
      <vt:lpstr>hxd.cds.layers.3.area_codes_perc.bsv</vt:lpstr>
      <vt:lpstr>hxd.cds.layers.3.area_codes_perc.bv1</vt:lpstr>
      <vt:lpstr>hxd.cds.layers.3.area_codes_perc.bvs</vt:lpstr>
      <vt:lpstr>hxd.cds.layers.3.area_codes_perc.bx7</vt:lpstr>
      <vt:lpstr>hxd.cds.layers.3.area_codes_perc.cat</vt:lpstr>
      <vt:lpstr>hxd.cds.layers.3.area_codes_perc.cbc</vt:lpstr>
      <vt:lpstr>hxd.cds.layers.3.area_codes_perc.cef</vt:lpstr>
      <vt:lpstr>hxd.cds.layers.3.area_codes_perc.con</vt:lpstr>
      <vt:lpstr>hxd.cds.layers.3.area_codes_perc.cpr</vt:lpstr>
      <vt:lpstr>hxd.cds.layers.3.area_codes_perc.cqu</vt:lpstr>
      <vt:lpstr>hxd.cds.layers.3.area_codes_perc.eat</vt:lpstr>
      <vt:lpstr>hxd.cds.layers.3.area_codes_perc.ebe</vt:lpstr>
      <vt:lpstr>hxd.cds.layers.3.area_codes_perc.ebg</vt:lpstr>
      <vt:lpstr>hxd.cds.layers.3.area_codes_perc.ech</vt:lpstr>
      <vt:lpstr>hxd.cds.layers.3.area_codes_perc.ecx</vt:lpstr>
      <vt:lpstr>hxd.cds.layers.3.area_codes_perc.ecz</vt:lpstr>
      <vt:lpstr>hxd.cds.layers.3.area_codes_perc.edk</vt:lpstr>
      <vt:lpstr>hxd.cds.layers.3.area_codes_perc.ees</vt:lpstr>
      <vt:lpstr>hxd.cds.layers.3.area_codes_perc.efi</vt:lpstr>
      <vt:lpstr>hxd.cds.layers.3.area_codes_perc.efr</vt:lpstr>
      <vt:lpstr>hxd.cds.layers.3.area_codes_perc.ege</vt:lpstr>
      <vt:lpstr>hxd.cds.layers.3.area_codes_perc.egf</vt:lpstr>
      <vt:lpstr>hxd.cds.layers.3.area_codes_perc.egr</vt:lpstr>
      <vt:lpstr>hxd.cds.layers.3.area_codes_perc.ehu</vt:lpstr>
      <vt:lpstr>hxd.cds.layers.3.area_codes_perc.eic</vt:lpstr>
      <vt:lpstr>hxd.cds.layers.3.area_codes_perc.eie</vt:lpstr>
      <vt:lpstr>hxd.cds.layers.3.area_codes_perc.eit</vt:lpstr>
      <vt:lpstr>hxd.cds.layers.3.area_codes_perc.emz</vt:lpstr>
      <vt:lpstr>hxd.cds.layers.3.area_codes_perc.enl</vt:lpstr>
      <vt:lpstr>hxd.cds.layers.3.area_codes_perc.eno</vt:lpstr>
      <vt:lpstr>hxd.cds.layers.3.area_codes_perc.epl</vt:lpstr>
      <vt:lpstr>hxd.cds.layers.3.area_codes_perc.ept</vt:lpstr>
      <vt:lpstr>hxd.cds.layers.3.area_codes_perc.ero</vt:lpstr>
      <vt:lpstr>hxd.cds.layers.3.area_codes_perc.eru</vt:lpstr>
      <vt:lpstr>hxd.cds.layers.3.area_codes_perc.esb</vt:lpstr>
      <vt:lpstr>hxd.cds.layers.3.area_codes_perc.esc</vt:lpstr>
      <vt:lpstr>hxd.cds.layers.3.area_codes_perc.ese</vt:lpstr>
      <vt:lpstr>hxd.cds.layers.3.area_codes_perc.esr</vt:lpstr>
      <vt:lpstr>hxd.cds.layers.3.area_codes_perc.etu</vt:lpstr>
      <vt:lpstr>hxd.cds.layers.3.area_codes_perc.euf</vt:lpstr>
      <vt:lpstr>hxd.cds.layers.3.area_codes_perc.euk</vt:lpstr>
      <vt:lpstr>hxd.cds.layers.3.area_codes_perc.fby</vt:lpstr>
      <vt:lpstr>hxd.cds.layers.3.area_codes_perc.fcq</vt:lpstr>
      <vt:lpstr>hxd.cds.layers.3.area_codes_perc.fct</vt:lpstr>
      <vt:lpstr>hxd.cds.layers.3.area_codes_perc.fcy</vt:lpstr>
      <vt:lpstr>hxd.cds.layers.3.area_codes_perc.fhk</vt:lpstr>
      <vt:lpstr>hxd.cds.layers.3.area_codes_perc.fia</vt:lpstr>
      <vt:lpstr>hxd.cds.layers.3.area_codes_perc.fjq</vt:lpstr>
      <vt:lpstr>hxd.cds.layers.3.area_codes_perc.fjw</vt:lpstr>
      <vt:lpstr>hxd.cds.layers.3.area_codes_perc.fkr</vt:lpstr>
      <vt:lpstr>hxd.cds.layers.3.area_codes_perc.fmy</vt:lpstr>
      <vt:lpstr>hxd.cds.layers.3.area_codes_perc.fnp</vt:lpstr>
      <vt:lpstr>hxd.cds.layers.3.area_codes_perc.fsk</vt:lpstr>
      <vt:lpstr>hxd.cds.layers.3.area_codes_perc.fsp</vt:lpstr>
      <vt:lpstr>hxd.cds.layers.3.area_codes_perc.fta</vt:lpstr>
      <vt:lpstr>hxd.cds.layers.3.area_codes_perc.fth</vt:lpstr>
      <vt:lpstr>hxd.cds.layers.3.area_codes_perc.fvn</vt:lpstr>
      <vt:lpstr>hxd.cds.layers.3.area_codes_perc.mae</vt:lpstr>
      <vt:lpstr>hxd.cds.layers.3.area_codes_perc.mba</vt:lpstr>
      <vt:lpstr>hxd.cds.layers.3.area_codes_perc.mbd</vt:lpstr>
      <vt:lpstr>hxd.cds.layers.3.area_codes_perc.min</vt:lpstr>
      <vt:lpstr>hxd.cds.layers.3.area_codes_perc.mis</vt:lpstr>
      <vt:lpstr>hxd.cds.layers.3.area_codes_perc.mjo</vt:lpstr>
      <vt:lpstr>hxd.cds.layers.3.area_codes_perc.mma</vt:lpstr>
      <vt:lpstr>hxd.cds.layers.3.area_codes_perc.mom</vt:lpstr>
      <vt:lpstr>hxd.cds.layers.3.area_codes_perc.mpk</vt:lpstr>
      <vt:lpstr>hxd.cds.layers.3.area_codes_perc.mqa</vt:lpstr>
      <vt:lpstr>hxd.cds.layers.3.area_codes_perc.oa1</vt:lpstr>
      <vt:lpstr>hxd.cds.layers.3.area_codes_perc.oa2</vt:lpstr>
      <vt:lpstr>hxd.cds.layers.3.area_codes_perc.oa3</vt:lpstr>
      <vt:lpstr>hxd.cds.layers.3.area_codes_perc.oa4</vt:lpstr>
      <vt:lpstr>hxd.cds.layers.3.area_codes_perc.oa5</vt:lpstr>
      <vt:lpstr>hxd.cds.layers.3.area_codes_perc.oa6</vt:lpstr>
      <vt:lpstr>hxd.cds.layers.3.area_codes_perc.ofj</vt:lpstr>
      <vt:lpstr>hxd.cds.layers.3.area_codes_perc.ogm</vt:lpstr>
      <vt:lpstr>hxd.cds.layers.3.area_codes_perc.onz</vt:lpstr>
      <vt:lpstr>hxd.cds.layers.3.area_codes_perc.opg</vt:lpstr>
      <vt:lpstr>hxd.cds.layers.3.area_codes_perc.oph</vt:lpstr>
      <vt:lpstr>hxd.cds.layers.3.area_codes_perc.ota</vt:lpstr>
      <vt:lpstr>hxd.cds.layers.3.area_codes_perc.sar</vt:lpstr>
      <vt:lpstr>hxd.cds.layers.3.area_codes_perc.sbr</vt:lpstr>
      <vt:lpstr>hxd.cds.layers.3.area_codes_perc.sbv</vt:lpstr>
      <vt:lpstr>hxd.cds.layers.3.area_codes_perc.sbz</vt:lpstr>
      <vt:lpstr>hxd.cds.layers.3.area_codes_perc.scl</vt:lpstr>
      <vt:lpstr>hxd.cds.layers.3.area_codes_perc.sco</vt:lpstr>
      <vt:lpstr>hxd.cds.layers.3.area_codes_perc.scr</vt:lpstr>
      <vt:lpstr>hxd.cds.layers.3.area_codes_perc.sec</vt:lpstr>
      <vt:lpstr>hxd.cds.layers.3.area_codes_perc.sel</vt:lpstr>
      <vt:lpstr>hxd.cds.layers.3.area_codes_perc.sgt</vt:lpstr>
      <vt:lpstr>hxd.cds.layers.3.area_codes_perc.sgy</vt:lpstr>
      <vt:lpstr>hxd.cds.layers.3.area_codes_perc.shn</vt:lpstr>
      <vt:lpstr>hxd.cds.layers.3.area_codes_perc.smx</vt:lpstr>
      <vt:lpstr>hxd.cds.layers.3.area_codes_perc.snq</vt:lpstr>
      <vt:lpstr>hxd.cds.layers.3.area_codes_perc.spa</vt:lpstr>
      <vt:lpstr>hxd.cds.layers.3.area_codes_perc.spe</vt:lpstr>
      <vt:lpstr>hxd.cds.layers.3.area_codes_perc.spy</vt:lpstr>
      <vt:lpstr>hxd.cds.layers.3.area_codes_perc.suy</vt:lpstr>
      <vt:lpstr>hxd.cds.layers.3.area_codes_perc.sve</vt:lpstr>
      <vt:lpstr>hxd.cds.layers.3.area_codes_perc.usa01</vt:lpstr>
      <vt:lpstr>hxd.cds.layers.3.area_codes_perc.usa02</vt:lpstr>
      <vt:lpstr>hxd.cds.layers.3.area_codes_perc.usa03</vt:lpstr>
      <vt:lpstr>hxd.cds.layers.3.area_codes_perc.usa04</vt:lpstr>
      <vt:lpstr>hxd.cds.layers.3.area_codes_perc.usa05</vt:lpstr>
      <vt:lpstr>hxd.cds.layers.3.area_codes_perc.usa06</vt:lpstr>
      <vt:lpstr>hxd.cds.layers.3.area_codes_perc.usa07</vt:lpstr>
      <vt:lpstr>hxd.cds.layers.3.area_codes_perc.usa08</vt:lpstr>
      <vt:lpstr>hxd.cds.layers.3.area_codes_perc.usa09</vt:lpstr>
      <vt:lpstr>hxd.cds.layers.3.area_codes_perc.usa10</vt:lpstr>
      <vt:lpstr>hxd.cds.layers.3.area_codes_perc.usa11</vt:lpstr>
      <vt:lpstr>hxd.cds.layers.3.area_codes_perc.usa12</vt:lpstr>
      <vt:lpstr>hxd.cds.layers.3.area_codes_perc.usa13</vt:lpstr>
      <vt:lpstr>hxd.cds.layers.3.area_codes_perc.usa14</vt:lpstr>
      <vt:lpstr>hxd.cds.layers.3.area_codes_perc.usa15</vt:lpstr>
      <vt:lpstr>hxd.cds.layers.3.area_codes_perc.usa16</vt:lpstr>
      <vt:lpstr>hxd.cds.layers.3.area_codes_perc.usa20</vt:lpstr>
      <vt:lpstr>hxd.cds.layers.3.area_codes_perc.usa21</vt:lpstr>
      <vt:lpstr>hxd.cds.layers.3.area_codes_perc.usa22</vt:lpstr>
      <vt:lpstr>hxd.cds.layers.3.area_codes_select.aal</vt:lpstr>
      <vt:lpstr>hxd.cds.layers.3.area_codes_select.aeg</vt:lpstr>
      <vt:lpstr>hxd.cds.layers.3.area_codes_select.ali</vt:lpstr>
      <vt:lpstr>hxd.cds.layers.3.area_codes_select.amo</vt:lpstr>
      <vt:lpstr>hxd.cds.layers.3.area_codes_select.amu</vt:lpstr>
      <vt:lpstr>hxd.cds.layers.3.area_codes_select.asa</vt:lpstr>
      <vt:lpstr>hxd.cds.layers.3.area_codes_select.bag</vt:lpstr>
      <vt:lpstr>hxd.cds.layers.3.area_codes_select.bah</vt:lpstr>
      <vt:lpstr>hxd.cds.layers.3.area_codes_select.ban</vt:lpstr>
      <vt:lpstr>hxd.cds.layers.3.area_codes_select.bbb</vt:lpstr>
      <vt:lpstr>hxd.cds.layers.3.area_codes_select.bbh</vt:lpstr>
      <vt:lpstr>hxd.cds.layers.3.area_codes_select.bbm</vt:lpstr>
      <vt:lpstr>hxd.cds.layers.3.area_codes_select.bcb</vt:lpstr>
      <vt:lpstr>hxd.cds.layers.3.area_codes_select.bcm</vt:lpstr>
      <vt:lpstr>hxd.cds.layers.3.area_codes_select.bcu</vt:lpstr>
      <vt:lpstr>hxd.cds.layers.3.area_codes_select.bdo</vt:lpstr>
      <vt:lpstr>hxd.cds.layers.3.area_codes_select.bdr</vt:lpstr>
      <vt:lpstr>hxd.cds.layers.3.area_codes_select.bgn</vt:lpstr>
      <vt:lpstr>hxd.cds.layers.3.area_codes_select.bgs</vt:lpstr>
      <vt:lpstr>hxd.cds.layers.3.area_codes_select.bgu</vt:lpstr>
      <vt:lpstr>hxd.cds.layers.3.area_codes_select.bht</vt:lpstr>
      <vt:lpstr>hxd.cds.layers.3.area_codes_select.bjm</vt:lpstr>
      <vt:lpstr>hxd.cds.layers.3.area_codes_select.bkn</vt:lpstr>
      <vt:lpstr>hxd.cds.layers.3.area_codes_select.bmq</vt:lpstr>
      <vt:lpstr>hxd.cds.layers.3.area_codes_select.bms</vt:lpstr>
      <vt:lpstr>hxd.cds.layers.3.area_codes_select.bon</vt:lpstr>
      <vt:lpstr>hxd.cds.layers.3.area_codes_select.bpr</vt:lpstr>
      <vt:lpstr>hxd.cds.layers.3.area_codes_select.bsl</vt:lpstr>
      <vt:lpstr>hxd.cds.layers.3.area_codes_select.bsv</vt:lpstr>
      <vt:lpstr>hxd.cds.layers.3.area_codes_select.bv1</vt:lpstr>
      <vt:lpstr>hxd.cds.layers.3.area_codes_select.bvs</vt:lpstr>
      <vt:lpstr>hxd.cds.layers.3.area_codes_select.bx7</vt:lpstr>
      <vt:lpstr>hxd.cds.layers.3.area_codes_select.cat</vt:lpstr>
      <vt:lpstr>hxd.cds.layers.3.area_codes_select.cbc</vt:lpstr>
      <vt:lpstr>hxd.cds.layers.3.area_codes_select.cef</vt:lpstr>
      <vt:lpstr>hxd.cds.layers.3.area_codes_select.con</vt:lpstr>
      <vt:lpstr>hxd.cds.layers.3.area_codes_select.cpr</vt:lpstr>
      <vt:lpstr>hxd.cds.layers.3.area_codes_select.cqu</vt:lpstr>
      <vt:lpstr>hxd.cds.layers.3.area_codes_select.eat</vt:lpstr>
      <vt:lpstr>hxd.cds.layers.3.area_codes_select.ebe</vt:lpstr>
      <vt:lpstr>hxd.cds.layers.3.area_codes_select.ebg</vt:lpstr>
      <vt:lpstr>hxd.cds.layers.3.area_codes_select.ech</vt:lpstr>
      <vt:lpstr>hxd.cds.layers.3.area_codes_select.ecx</vt:lpstr>
      <vt:lpstr>hxd.cds.layers.3.area_codes_select.ecz</vt:lpstr>
      <vt:lpstr>hxd.cds.layers.3.area_codes_select.edk</vt:lpstr>
      <vt:lpstr>hxd.cds.layers.3.area_codes_select.ees</vt:lpstr>
      <vt:lpstr>hxd.cds.layers.3.area_codes_select.efi</vt:lpstr>
      <vt:lpstr>hxd.cds.layers.3.area_codes_select.efr</vt:lpstr>
      <vt:lpstr>hxd.cds.layers.3.area_codes_select.ege</vt:lpstr>
      <vt:lpstr>hxd.cds.layers.3.area_codes_select.egf</vt:lpstr>
      <vt:lpstr>hxd.cds.layers.3.area_codes_select.egr</vt:lpstr>
      <vt:lpstr>hxd.cds.layers.3.area_codes_select.ehu</vt:lpstr>
      <vt:lpstr>hxd.cds.layers.3.area_codes_select.eic</vt:lpstr>
      <vt:lpstr>hxd.cds.layers.3.area_codes_select.eie</vt:lpstr>
      <vt:lpstr>hxd.cds.layers.3.area_codes_select.eit</vt:lpstr>
      <vt:lpstr>hxd.cds.layers.3.area_codes_select.emz</vt:lpstr>
      <vt:lpstr>hxd.cds.layers.3.area_codes_select.enl</vt:lpstr>
      <vt:lpstr>hxd.cds.layers.3.area_codes_select.eno</vt:lpstr>
      <vt:lpstr>hxd.cds.layers.3.area_codes_select.epl</vt:lpstr>
      <vt:lpstr>hxd.cds.layers.3.area_codes_select.ept</vt:lpstr>
      <vt:lpstr>hxd.cds.layers.3.area_codes_select.ero</vt:lpstr>
      <vt:lpstr>hxd.cds.layers.3.area_codes_select.eru</vt:lpstr>
      <vt:lpstr>hxd.cds.layers.3.area_codes_select.esb</vt:lpstr>
      <vt:lpstr>hxd.cds.layers.3.area_codes_select.esc</vt:lpstr>
      <vt:lpstr>hxd.cds.layers.3.area_codes_select.ese</vt:lpstr>
      <vt:lpstr>hxd.cds.layers.3.area_codes_select.esr</vt:lpstr>
      <vt:lpstr>hxd.cds.layers.3.area_codes_select.etu</vt:lpstr>
      <vt:lpstr>hxd.cds.layers.3.area_codes_select.euf</vt:lpstr>
      <vt:lpstr>hxd.cds.layers.3.area_codes_select.euk</vt:lpstr>
      <vt:lpstr>hxd.cds.layers.3.area_codes_select.fby</vt:lpstr>
      <vt:lpstr>hxd.cds.layers.3.area_codes_select.fcq</vt:lpstr>
      <vt:lpstr>hxd.cds.layers.3.area_codes_select.fct</vt:lpstr>
      <vt:lpstr>hxd.cds.layers.3.area_codes_select.fcy</vt:lpstr>
      <vt:lpstr>hxd.cds.layers.3.area_codes_select.fhk</vt:lpstr>
      <vt:lpstr>hxd.cds.layers.3.area_codes_select.fia</vt:lpstr>
      <vt:lpstr>hxd.cds.layers.3.area_codes_select.fjq</vt:lpstr>
      <vt:lpstr>hxd.cds.layers.3.area_codes_select.fjw</vt:lpstr>
      <vt:lpstr>hxd.cds.layers.3.area_codes_select.fkr</vt:lpstr>
      <vt:lpstr>hxd.cds.layers.3.area_codes_select.fmy</vt:lpstr>
      <vt:lpstr>hxd.cds.layers.3.area_codes_select.fnp</vt:lpstr>
      <vt:lpstr>hxd.cds.layers.3.area_codes_select.fsk</vt:lpstr>
      <vt:lpstr>hxd.cds.layers.3.area_codes_select.fsp</vt:lpstr>
      <vt:lpstr>hxd.cds.layers.3.area_codes_select.fta</vt:lpstr>
      <vt:lpstr>hxd.cds.layers.3.area_codes_select.fth</vt:lpstr>
      <vt:lpstr>hxd.cds.layers.3.area_codes_select.fvn</vt:lpstr>
      <vt:lpstr>hxd.cds.layers.3.area_codes_select.mae</vt:lpstr>
      <vt:lpstr>hxd.cds.layers.3.area_codes_select.mba</vt:lpstr>
      <vt:lpstr>hxd.cds.layers.3.area_codes_select.mbd</vt:lpstr>
      <vt:lpstr>hxd.cds.layers.3.area_codes_select.min</vt:lpstr>
      <vt:lpstr>hxd.cds.layers.3.area_codes_select.mis</vt:lpstr>
      <vt:lpstr>hxd.cds.layers.3.area_codes_select.mjo</vt:lpstr>
      <vt:lpstr>hxd.cds.layers.3.area_codes_select.mma</vt:lpstr>
      <vt:lpstr>hxd.cds.layers.3.area_codes_select.mom</vt:lpstr>
      <vt:lpstr>hxd.cds.layers.3.area_codes_select.mpk</vt:lpstr>
      <vt:lpstr>hxd.cds.layers.3.area_codes_select.mqa</vt:lpstr>
      <vt:lpstr>hxd.cds.layers.3.area_codes_select.oa1</vt:lpstr>
      <vt:lpstr>hxd.cds.layers.3.area_codes_select.oa2</vt:lpstr>
      <vt:lpstr>hxd.cds.layers.3.area_codes_select.oa3</vt:lpstr>
      <vt:lpstr>hxd.cds.layers.3.area_codes_select.oa4</vt:lpstr>
      <vt:lpstr>hxd.cds.layers.3.area_codes_select.oa5</vt:lpstr>
      <vt:lpstr>hxd.cds.layers.3.area_codes_select.oa6</vt:lpstr>
      <vt:lpstr>hxd.cds.layers.3.area_codes_select.ofj</vt:lpstr>
      <vt:lpstr>hxd.cds.layers.3.area_codes_select.ogm</vt:lpstr>
      <vt:lpstr>hxd.cds.layers.3.area_codes_select.onz</vt:lpstr>
      <vt:lpstr>hxd.cds.layers.3.area_codes_select.opg</vt:lpstr>
      <vt:lpstr>hxd.cds.layers.3.area_codes_select.oph</vt:lpstr>
      <vt:lpstr>hxd.cds.layers.3.area_codes_select.ota</vt:lpstr>
      <vt:lpstr>hxd.cds.layers.3.area_codes_select.sar</vt:lpstr>
      <vt:lpstr>hxd.cds.layers.3.area_codes_select.sbr</vt:lpstr>
      <vt:lpstr>hxd.cds.layers.3.area_codes_select.sbv</vt:lpstr>
      <vt:lpstr>hxd.cds.layers.3.area_codes_select.sbz</vt:lpstr>
      <vt:lpstr>hxd.cds.layers.3.area_codes_select.scl</vt:lpstr>
      <vt:lpstr>hxd.cds.layers.3.area_codes_select.sco</vt:lpstr>
      <vt:lpstr>hxd.cds.layers.3.area_codes_select.scr</vt:lpstr>
      <vt:lpstr>hxd.cds.layers.3.area_codes_select.sec</vt:lpstr>
      <vt:lpstr>hxd.cds.layers.3.area_codes_select.sel</vt:lpstr>
      <vt:lpstr>hxd.cds.layers.3.area_codes_select.sgt</vt:lpstr>
      <vt:lpstr>hxd.cds.layers.3.area_codes_select.sgy</vt:lpstr>
      <vt:lpstr>hxd.cds.layers.3.area_codes_select.shn</vt:lpstr>
      <vt:lpstr>hxd.cds.layers.3.area_codes_select.smx</vt:lpstr>
      <vt:lpstr>hxd.cds.layers.3.area_codes_select.snq</vt:lpstr>
      <vt:lpstr>hxd.cds.layers.3.area_codes_select.spa</vt:lpstr>
      <vt:lpstr>hxd.cds.layers.3.area_codes_select.spe</vt:lpstr>
      <vt:lpstr>hxd.cds.layers.3.area_codes_select.spy</vt:lpstr>
      <vt:lpstr>hxd.cds.layers.3.area_codes_select.suy</vt:lpstr>
      <vt:lpstr>hxd.cds.layers.3.area_codes_select.sve</vt:lpstr>
      <vt:lpstr>hxd.cds.layers.3.area_codes_select.usa01</vt:lpstr>
      <vt:lpstr>hxd.cds.layers.3.area_codes_select.usa02</vt:lpstr>
      <vt:lpstr>hxd.cds.layers.3.area_codes_select.usa03</vt:lpstr>
      <vt:lpstr>hxd.cds.layers.3.area_codes_select.usa04</vt:lpstr>
      <vt:lpstr>hxd.cds.layers.3.area_codes_select.usa05</vt:lpstr>
      <vt:lpstr>hxd.cds.layers.3.area_codes_select.usa06</vt:lpstr>
      <vt:lpstr>hxd.cds.layers.3.area_codes_select.usa07</vt:lpstr>
      <vt:lpstr>hxd.cds.layers.3.area_codes_select.usa08</vt:lpstr>
      <vt:lpstr>hxd.cds.layers.3.area_codes_select.usa09</vt:lpstr>
      <vt:lpstr>hxd.cds.layers.3.area_codes_select.usa10</vt:lpstr>
      <vt:lpstr>hxd.cds.layers.3.area_codes_select.usa11</vt:lpstr>
      <vt:lpstr>hxd.cds.layers.3.area_codes_select.usa12</vt:lpstr>
      <vt:lpstr>hxd.cds.layers.3.area_codes_select.usa13</vt:lpstr>
      <vt:lpstr>hxd.cds.layers.3.area_codes_select.usa14</vt:lpstr>
      <vt:lpstr>hxd.cds.layers.3.area_codes_select.usa15</vt:lpstr>
      <vt:lpstr>hxd.cds.layers.3.area_codes_select.usa16</vt:lpstr>
      <vt:lpstr>hxd.cds.layers.3.area_codes_select.usa20</vt:lpstr>
      <vt:lpstr>hxd.cds.layers.3.area_codes_select.usa21</vt:lpstr>
      <vt:lpstr>hxd.cds.layers.3.area_codes_select.usa22</vt:lpstr>
      <vt:lpstr>hxd.cds.layers.3.excess</vt:lpstr>
      <vt:lpstr>hxd.cds.layers.3.excess_cnv</vt:lpstr>
      <vt:lpstr>hxd.cds.layers.3.layer_description</vt:lpstr>
      <vt:lpstr>hxd.cds.layers.3.leader</vt:lpstr>
      <vt:lpstr>hxd.cds.layers.3.limit</vt:lpstr>
      <vt:lpstr>hxd.cds.layers.3.limit_cnv</vt:lpstr>
      <vt:lpstr>hxd.cds.layers.3.marginal_impacts.treaty_group.mi_10</vt:lpstr>
      <vt:lpstr>hxd.cds.layers.3.marginal_impacts.treaty_group.mi_250</vt:lpstr>
      <vt:lpstr>hxd.cds.layers.3.marginal_impacts.treaty_intl.mi_10</vt:lpstr>
      <vt:lpstr>hxd.cds.layers.3.marginal_impacts.treaty_intl.mi_250</vt:lpstr>
      <vt:lpstr>hxd.cds.layers.3.marginal_impacts.treaty_us.mi_10</vt:lpstr>
      <vt:lpstr>hxd.cds.layers.3.marginal_impacts.treaty_us.mi_250</vt:lpstr>
      <vt:lpstr>hxd.cds.layers.3.model.air.gross_el</vt:lpstr>
      <vt:lpstr>hxd.cds.layers.3.model.air.gross_sd</vt:lpstr>
      <vt:lpstr>hxd.cds.layers.3.model.ivor.gross_el</vt:lpstr>
      <vt:lpstr>hxd.cds.layers.3.model.ivor.gross_sd</vt:lpstr>
      <vt:lpstr>hxd.cds.layers.3.model.nmp.description</vt:lpstr>
      <vt:lpstr>hxd.cds.layers.3.model.nmp.gross_el_incl_rol</vt:lpstr>
      <vt:lpstr>hxd.cds.layers.3.model.nmp.gross_sd_incl_rol</vt:lpstr>
      <vt:lpstr>hxd.cds.layers.3.model.rms.gross_el</vt:lpstr>
      <vt:lpstr>hxd.cds.layers.3.model.rms.gross_sd</vt:lpstr>
      <vt:lpstr>hxd.cds.layers.3.model.total_air_nmp.gross_el</vt:lpstr>
      <vt:lpstr>hxd.cds.layers.3.model.total_air_nmp.gross_sd</vt:lpstr>
      <vt:lpstr>hxd.cds.layers.3.model.total_rms_nmp.gross_el</vt:lpstr>
      <vt:lpstr>hxd.cds.layers.3.model.total_rms_nmp.gross_sd</vt:lpstr>
      <vt:lpstr>hxd.cds.layers.3.quote.rol_ty.bpi</vt:lpstr>
      <vt:lpstr>hxd.cds.layers.3.quote.rol_ty.est_sign_written_ratio</vt:lpstr>
      <vt:lpstr>hxd.cds.layers.3.quote.rol_ty.estimated_signing</vt:lpstr>
      <vt:lpstr>hxd.cds.layers.3.quote.rol_ty.roc</vt:lpstr>
      <vt:lpstr>hxd.cds.layers.3.quote.rol_ty.rol_afb_tech</vt:lpstr>
      <vt:lpstr>hxd.cds.layers.3.quote.rol_ty.rol_fot</vt:lpstr>
      <vt:lpstr>hxd.cds.layers.3.quote.rol_ty.rol_quote</vt:lpstr>
      <vt:lpstr>hxd.cds.layers.3.quote.rol_ty.signed_line</vt:lpstr>
      <vt:lpstr>hxd.cds.layers.3.quote.rol_ty.ulr</vt:lpstr>
      <vt:lpstr>hxd.cds.layers.3.quote.rol_ty.written_line</vt:lpstr>
      <vt:lpstr>hxd.cds.layers.3.rate_change.comments</vt:lpstr>
      <vt:lpstr>hxd.cds.layers.3.rate_change.deductible_change_fixed.final</vt:lpstr>
      <vt:lpstr>hxd.cds.layers.3.rate_change.exposure_change_fixed.comment</vt:lpstr>
      <vt:lpstr>hxd.cds.layers.3.rate_change.exposure_change_fixed.final</vt:lpstr>
      <vt:lpstr>hxd.cds.layers.3.rate_change.limit_change_fixed.comment</vt:lpstr>
      <vt:lpstr>hxd.cds.layers.3.rate_change.limit_change_fixed.final</vt:lpstr>
      <vt:lpstr>hxd.cds.layers.3.rate_change.other_change_fixed.final</vt:lpstr>
      <vt:lpstr>hxd.cds.layers.3.rate_change.rationale_outside_plan</vt:lpstr>
      <vt:lpstr>hxd.cds.layers.3.rate_change.risk_adjusted_rate_change</vt:lpstr>
      <vt:lpstr>hxd.cds.layers.3.rate_change.risk_characteristics_change_fixed.final</vt:lpstr>
      <vt:lpstr>hxd.cds.layers.3.rate_change.rol_ly_to_use</vt:lpstr>
      <vt:lpstr>hxd.cds.layers.3.rate_change.rol_rebased</vt:lpstr>
      <vt:lpstr>hxd.cds.layers.3.rate_change.terms_conditions_change_fixed.final</vt:lpstr>
      <vt:lpstr>hxd.cds.layers.3.rms_regional.al_miss</vt:lpstr>
      <vt:lpstr>hxd.cds.layers.3.rms_regional.ca_wildfire</vt:lpstr>
      <vt:lpstr>hxd.cds.layers.3.rms_regional.cal_north</vt:lpstr>
      <vt:lpstr>hxd.cds.layers.3.rms_regional.cal_south</vt:lpstr>
      <vt:lpstr>hxd.cds.layers.3.rms_regional.carolinas</vt:lpstr>
      <vt:lpstr>hxd.cds.layers.3.rms_regional.fl_non_se</vt:lpstr>
      <vt:lpstr>hxd.cds.layers.3.rms_regional.fl_se</vt:lpstr>
      <vt:lpstr>hxd.cds.layers.3.rms_regional.hawaii</vt:lpstr>
      <vt:lpstr>hxd.cds.layers.3.rms_regional.louisiana</vt:lpstr>
      <vt:lpstr>hxd.cds.layers.3.rms_regional.mid_atlantic</vt:lpstr>
      <vt:lpstr>hxd.cds.layers.3.rms_regional.mid_west_1</vt:lpstr>
      <vt:lpstr>hxd.cds.layers.3.rms_regional.mid_west_2</vt:lpstr>
      <vt:lpstr>hxd.cds.layers.3.rms_regional.new_madrid</vt:lpstr>
      <vt:lpstr>hxd.cds.layers.3.rms_regional.north_east</vt:lpstr>
      <vt:lpstr>hxd.cds.layers.3.rms_regional.pnw</vt:lpstr>
      <vt:lpstr>hxd.cds.layers.3.rms_regional.second_event</vt:lpstr>
      <vt:lpstr>hxd.cds.layers.3.rms_regional.tx_east</vt:lpstr>
      <vt:lpstr>hxd.cds.layers.3.rms_regional.tx_west</vt:lpstr>
      <vt:lpstr>hxd.cds.layers.3.section_reference</vt:lpstr>
      <vt:lpstr>hxd.cds.layers.3.summary.next_year.section_reference</vt:lpstr>
      <vt:lpstr>hxd.cds.layers.3.summary.ty.epi_adj_rate</vt:lpstr>
      <vt:lpstr>hxd.cds.layers.3.summary.ty.epi_estimated_summary_fx</vt:lpstr>
      <vt:lpstr>hxd.cds.layers.3.summary.ty.epi_signed_summary_fx</vt:lpstr>
      <vt:lpstr>hxd.cds.layers.3.summary.ty.epi_written_summary_fx</vt:lpstr>
      <vt:lpstr>hxd.cds.layers.3.summary.ty.fot_adequacy</vt:lpstr>
      <vt:lpstr>hxd.cds.layers.3.summary.ty.line_estimated_summary_fx</vt:lpstr>
      <vt:lpstr>hxd.cds.layers.3.summary.ty.line_signed_summary_fx</vt:lpstr>
      <vt:lpstr>hxd.cds.layers.3.summary.ty.line_written_summary_fx</vt:lpstr>
      <vt:lpstr>hxd.cds.layers.3.summary.ty.mi_10</vt:lpstr>
      <vt:lpstr>hxd.cds.layers.3.summary.ty.mi_10_prem_ratio</vt:lpstr>
      <vt:lpstr>hxd.cds.layers.3.summary.ty.mi_250</vt:lpstr>
      <vt:lpstr>hxd.cds.layers.3.summary.ty.mi_250_prem_ratio</vt:lpstr>
      <vt:lpstr>hxd.cds.layers.3.summary.ty.multi_year_period</vt:lpstr>
      <vt:lpstr>hxd.cds.layers.3.summary.ty.prem_full_line</vt:lpstr>
      <vt:lpstr>hxd.cds.layers.3.summary.ty.reinstatement_description</vt:lpstr>
      <vt:lpstr>hxd.cds.layers.3.summary.ty.rms_adequacy</vt:lpstr>
      <vt:lpstr>hxd.cds.layers.3.summary.year_after_next.section_reference</vt:lpstr>
      <vt:lpstr>hxd.cds.layers.4.area_codes_perc.aal</vt:lpstr>
      <vt:lpstr>hxd.cds.layers.4.area_codes_perc.aeg</vt:lpstr>
      <vt:lpstr>hxd.cds.layers.4.area_codes_perc.ali</vt:lpstr>
      <vt:lpstr>hxd.cds.layers.4.area_codes_perc.amo</vt:lpstr>
      <vt:lpstr>hxd.cds.layers.4.area_codes_perc.amu</vt:lpstr>
      <vt:lpstr>hxd.cds.layers.4.area_codes_perc.asa</vt:lpstr>
      <vt:lpstr>hxd.cds.layers.4.area_codes_perc.bag</vt:lpstr>
      <vt:lpstr>hxd.cds.layers.4.area_codes_perc.bah</vt:lpstr>
      <vt:lpstr>hxd.cds.layers.4.area_codes_perc.ban</vt:lpstr>
      <vt:lpstr>hxd.cds.layers.4.area_codes_perc.bbb</vt:lpstr>
      <vt:lpstr>hxd.cds.layers.4.area_codes_perc.bbh</vt:lpstr>
      <vt:lpstr>hxd.cds.layers.4.area_codes_perc.bbm</vt:lpstr>
      <vt:lpstr>hxd.cds.layers.4.area_codes_perc.bcb</vt:lpstr>
      <vt:lpstr>hxd.cds.layers.4.area_codes_perc.bcm</vt:lpstr>
      <vt:lpstr>hxd.cds.layers.4.area_codes_perc.bcu</vt:lpstr>
      <vt:lpstr>hxd.cds.layers.4.area_codes_perc.bdo</vt:lpstr>
      <vt:lpstr>hxd.cds.layers.4.area_codes_perc.bdr</vt:lpstr>
      <vt:lpstr>hxd.cds.layers.4.area_codes_perc.bgn</vt:lpstr>
      <vt:lpstr>hxd.cds.layers.4.area_codes_perc.bgs</vt:lpstr>
      <vt:lpstr>hxd.cds.layers.4.area_codes_perc.bgu</vt:lpstr>
      <vt:lpstr>hxd.cds.layers.4.area_codes_perc.bht</vt:lpstr>
      <vt:lpstr>hxd.cds.layers.4.area_codes_perc.bjm</vt:lpstr>
      <vt:lpstr>hxd.cds.layers.4.area_codes_perc.bkn</vt:lpstr>
      <vt:lpstr>hxd.cds.layers.4.area_codes_perc.bmq</vt:lpstr>
      <vt:lpstr>hxd.cds.layers.4.area_codes_perc.bms</vt:lpstr>
      <vt:lpstr>hxd.cds.layers.4.area_codes_perc.bon</vt:lpstr>
      <vt:lpstr>hxd.cds.layers.4.area_codes_perc.bpr</vt:lpstr>
      <vt:lpstr>hxd.cds.layers.4.area_codes_perc.bsl</vt:lpstr>
      <vt:lpstr>hxd.cds.layers.4.area_codes_perc.bsv</vt:lpstr>
      <vt:lpstr>hxd.cds.layers.4.area_codes_perc.bv1</vt:lpstr>
      <vt:lpstr>hxd.cds.layers.4.area_codes_perc.bvs</vt:lpstr>
      <vt:lpstr>hxd.cds.layers.4.area_codes_perc.bx7</vt:lpstr>
      <vt:lpstr>hxd.cds.layers.4.area_codes_perc.cat</vt:lpstr>
      <vt:lpstr>hxd.cds.layers.4.area_codes_perc.cbc</vt:lpstr>
      <vt:lpstr>hxd.cds.layers.4.area_codes_perc.cef</vt:lpstr>
      <vt:lpstr>hxd.cds.layers.4.area_codes_perc.con</vt:lpstr>
      <vt:lpstr>hxd.cds.layers.4.area_codes_perc.cpr</vt:lpstr>
      <vt:lpstr>hxd.cds.layers.4.area_codes_perc.cqu</vt:lpstr>
      <vt:lpstr>hxd.cds.layers.4.area_codes_perc.eat</vt:lpstr>
      <vt:lpstr>hxd.cds.layers.4.area_codes_perc.ebe</vt:lpstr>
      <vt:lpstr>hxd.cds.layers.4.area_codes_perc.ebg</vt:lpstr>
      <vt:lpstr>hxd.cds.layers.4.area_codes_perc.ech</vt:lpstr>
      <vt:lpstr>hxd.cds.layers.4.area_codes_perc.ecx</vt:lpstr>
      <vt:lpstr>hxd.cds.layers.4.area_codes_perc.ecz</vt:lpstr>
      <vt:lpstr>hxd.cds.layers.4.area_codes_perc.edk</vt:lpstr>
      <vt:lpstr>hxd.cds.layers.4.area_codes_perc.ees</vt:lpstr>
      <vt:lpstr>hxd.cds.layers.4.area_codes_perc.efi</vt:lpstr>
      <vt:lpstr>hxd.cds.layers.4.area_codes_perc.efr</vt:lpstr>
      <vt:lpstr>hxd.cds.layers.4.area_codes_perc.ege</vt:lpstr>
      <vt:lpstr>hxd.cds.layers.4.area_codes_perc.egf</vt:lpstr>
      <vt:lpstr>hxd.cds.layers.4.area_codes_perc.egr</vt:lpstr>
      <vt:lpstr>hxd.cds.layers.4.area_codes_perc.ehu</vt:lpstr>
      <vt:lpstr>hxd.cds.layers.4.area_codes_perc.eic</vt:lpstr>
      <vt:lpstr>hxd.cds.layers.4.area_codes_perc.eie</vt:lpstr>
      <vt:lpstr>hxd.cds.layers.4.area_codes_perc.eit</vt:lpstr>
      <vt:lpstr>hxd.cds.layers.4.area_codes_perc.emz</vt:lpstr>
      <vt:lpstr>hxd.cds.layers.4.area_codes_perc.enl</vt:lpstr>
      <vt:lpstr>hxd.cds.layers.4.area_codes_perc.eno</vt:lpstr>
      <vt:lpstr>hxd.cds.layers.4.area_codes_perc.epl</vt:lpstr>
      <vt:lpstr>hxd.cds.layers.4.area_codes_perc.ept</vt:lpstr>
      <vt:lpstr>hxd.cds.layers.4.area_codes_perc.ero</vt:lpstr>
      <vt:lpstr>hxd.cds.layers.4.area_codes_perc.eru</vt:lpstr>
      <vt:lpstr>hxd.cds.layers.4.area_codes_perc.esb</vt:lpstr>
      <vt:lpstr>hxd.cds.layers.4.area_codes_perc.esc</vt:lpstr>
      <vt:lpstr>hxd.cds.layers.4.area_codes_perc.ese</vt:lpstr>
      <vt:lpstr>hxd.cds.layers.4.area_codes_perc.esr</vt:lpstr>
      <vt:lpstr>hxd.cds.layers.4.area_codes_perc.etu</vt:lpstr>
      <vt:lpstr>hxd.cds.layers.4.area_codes_perc.euf</vt:lpstr>
      <vt:lpstr>hxd.cds.layers.4.area_codes_perc.euk</vt:lpstr>
      <vt:lpstr>hxd.cds.layers.4.area_codes_perc.fby</vt:lpstr>
      <vt:lpstr>hxd.cds.layers.4.area_codes_perc.fcq</vt:lpstr>
      <vt:lpstr>hxd.cds.layers.4.area_codes_perc.fct</vt:lpstr>
      <vt:lpstr>hxd.cds.layers.4.area_codes_perc.fcy</vt:lpstr>
      <vt:lpstr>hxd.cds.layers.4.area_codes_perc.fhk</vt:lpstr>
      <vt:lpstr>hxd.cds.layers.4.area_codes_perc.fia</vt:lpstr>
      <vt:lpstr>hxd.cds.layers.4.area_codes_perc.fjq</vt:lpstr>
      <vt:lpstr>hxd.cds.layers.4.area_codes_perc.fjw</vt:lpstr>
      <vt:lpstr>hxd.cds.layers.4.area_codes_perc.fkr</vt:lpstr>
      <vt:lpstr>hxd.cds.layers.4.area_codes_perc.fmy</vt:lpstr>
      <vt:lpstr>hxd.cds.layers.4.area_codes_perc.fnp</vt:lpstr>
      <vt:lpstr>hxd.cds.layers.4.area_codes_perc.fsk</vt:lpstr>
      <vt:lpstr>hxd.cds.layers.4.area_codes_perc.fsp</vt:lpstr>
      <vt:lpstr>hxd.cds.layers.4.area_codes_perc.fta</vt:lpstr>
      <vt:lpstr>hxd.cds.layers.4.area_codes_perc.fth</vt:lpstr>
      <vt:lpstr>hxd.cds.layers.4.area_codes_perc.fvn</vt:lpstr>
      <vt:lpstr>hxd.cds.layers.4.area_codes_perc.mae</vt:lpstr>
      <vt:lpstr>hxd.cds.layers.4.area_codes_perc.mba</vt:lpstr>
      <vt:lpstr>hxd.cds.layers.4.area_codes_perc.mbd</vt:lpstr>
      <vt:lpstr>hxd.cds.layers.4.area_codes_perc.min</vt:lpstr>
      <vt:lpstr>hxd.cds.layers.4.area_codes_perc.mis</vt:lpstr>
      <vt:lpstr>hxd.cds.layers.4.area_codes_perc.mjo</vt:lpstr>
      <vt:lpstr>hxd.cds.layers.4.area_codes_perc.mma</vt:lpstr>
      <vt:lpstr>hxd.cds.layers.4.area_codes_perc.mom</vt:lpstr>
      <vt:lpstr>hxd.cds.layers.4.area_codes_perc.mpk</vt:lpstr>
      <vt:lpstr>hxd.cds.layers.4.area_codes_perc.mqa</vt:lpstr>
      <vt:lpstr>hxd.cds.layers.4.area_codes_perc.oa1</vt:lpstr>
      <vt:lpstr>hxd.cds.layers.4.area_codes_perc.oa2</vt:lpstr>
      <vt:lpstr>hxd.cds.layers.4.area_codes_perc.oa3</vt:lpstr>
      <vt:lpstr>hxd.cds.layers.4.area_codes_perc.oa4</vt:lpstr>
      <vt:lpstr>hxd.cds.layers.4.area_codes_perc.oa5</vt:lpstr>
      <vt:lpstr>hxd.cds.layers.4.area_codes_perc.oa6</vt:lpstr>
      <vt:lpstr>hxd.cds.layers.4.area_codes_perc.ofj</vt:lpstr>
      <vt:lpstr>hxd.cds.layers.4.area_codes_perc.ogm</vt:lpstr>
      <vt:lpstr>hxd.cds.layers.4.area_codes_perc.onz</vt:lpstr>
      <vt:lpstr>hxd.cds.layers.4.area_codes_perc.opg</vt:lpstr>
      <vt:lpstr>hxd.cds.layers.4.area_codes_perc.oph</vt:lpstr>
      <vt:lpstr>hxd.cds.layers.4.area_codes_perc.ota</vt:lpstr>
      <vt:lpstr>hxd.cds.layers.4.area_codes_perc.sar</vt:lpstr>
      <vt:lpstr>hxd.cds.layers.4.area_codes_perc.sbr</vt:lpstr>
      <vt:lpstr>hxd.cds.layers.4.area_codes_perc.sbv</vt:lpstr>
      <vt:lpstr>hxd.cds.layers.4.area_codes_perc.sbz</vt:lpstr>
      <vt:lpstr>hxd.cds.layers.4.area_codes_perc.scl</vt:lpstr>
      <vt:lpstr>hxd.cds.layers.4.area_codes_perc.sco</vt:lpstr>
      <vt:lpstr>hxd.cds.layers.4.area_codes_perc.scr</vt:lpstr>
      <vt:lpstr>hxd.cds.layers.4.area_codes_perc.sec</vt:lpstr>
      <vt:lpstr>hxd.cds.layers.4.area_codes_perc.sel</vt:lpstr>
      <vt:lpstr>hxd.cds.layers.4.area_codes_perc.sgt</vt:lpstr>
      <vt:lpstr>hxd.cds.layers.4.area_codes_perc.sgy</vt:lpstr>
      <vt:lpstr>hxd.cds.layers.4.area_codes_perc.shn</vt:lpstr>
      <vt:lpstr>hxd.cds.layers.4.area_codes_perc.smx</vt:lpstr>
      <vt:lpstr>hxd.cds.layers.4.area_codes_perc.snq</vt:lpstr>
      <vt:lpstr>hxd.cds.layers.4.area_codes_perc.spa</vt:lpstr>
      <vt:lpstr>hxd.cds.layers.4.area_codes_perc.spe</vt:lpstr>
      <vt:lpstr>hxd.cds.layers.4.area_codes_perc.spy</vt:lpstr>
      <vt:lpstr>hxd.cds.layers.4.area_codes_perc.suy</vt:lpstr>
      <vt:lpstr>hxd.cds.layers.4.area_codes_perc.sve</vt:lpstr>
      <vt:lpstr>hxd.cds.layers.4.area_codes_perc.usa01</vt:lpstr>
      <vt:lpstr>hxd.cds.layers.4.area_codes_perc.usa02</vt:lpstr>
      <vt:lpstr>hxd.cds.layers.4.area_codes_perc.usa03</vt:lpstr>
      <vt:lpstr>hxd.cds.layers.4.area_codes_perc.usa04</vt:lpstr>
      <vt:lpstr>hxd.cds.layers.4.area_codes_perc.usa05</vt:lpstr>
      <vt:lpstr>hxd.cds.layers.4.area_codes_perc.usa06</vt:lpstr>
      <vt:lpstr>hxd.cds.layers.4.area_codes_perc.usa07</vt:lpstr>
      <vt:lpstr>hxd.cds.layers.4.area_codes_perc.usa08</vt:lpstr>
      <vt:lpstr>hxd.cds.layers.4.area_codes_perc.usa09</vt:lpstr>
      <vt:lpstr>hxd.cds.layers.4.area_codes_perc.usa10</vt:lpstr>
      <vt:lpstr>hxd.cds.layers.4.area_codes_perc.usa11</vt:lpstr>
      <vt:lpstr>hxd.cds.layers.4.area_codes_perc.usa12</vt:lpstr>
      <vt:lpstr>hxd.cds.layers.4.area_codes_perc.usa13</vt:lpstr>
      <vt:lpstr>hxd.cds.layers.4.area_codes_perc.usa14</vt:lpstr>
      <vt:lpstr>hxd.cds.layers.4.area_codes_perc.usa15</vt:lpstr>
      <vt:lpstr>hxd.cds.layers.4.area_codes_perc.usa16</vt:lpstr>
      <vt:lpstr>hxd.cds.layers.4.area_codes_perc.usa20</vt:lpstr>
      <vt:lpstr>hxd.cds.layers.4.area_codes_perc.usa21</vt:lpstr>
      <vt:lpstr>hxd.cds.layers.4.area_codes_perc.usa22</vt:lpstr>
      <vt:lpstr>hxd.cds.layers.4.area_codes_select.aal</vt:lpstr>
      <vt:lpstr>hxd.cds.layers.4.area_codes_select.aeg</vt:lpstr>
      <vt:lpstr>hxd.cds.layers.4.area_codes_select.ali</vt:lpstr>
      <vt:lpstr>hxd.cds.layers.4.area_codes_select.amo</vt:lpstr>
      <vt:lpstr>hxd.cds.layers.4.area_codes_select.amu</vt:lpstr>
      <vt:lpstr>hxd.cds.layers.4.area_codes_select.asa</vt:lpstr>
      <vt:lpstr>hxd.cds.layers.4.area_codes_select.bag</vt:lpstr>
      <vt:lpstr>hxd.cds.layers.4.area_codes_select.bah</vt:lpstr>
      <vt:lpstr>hxd.cds.layers.4.area_codes_select.ban</vt:lpstr>
      <vt:lpstr>hxd.cds.layers.4.area_codes_select.bbb</vt:lpstr>
      <vt:lpstr>hxd.cds.layers.4.area_codes_select.bbh</vt:lpstr>
      <vt:lpstr>hxd.cds.layers.4.area_codes_select.bbm</vt:lpstr>
      <vt:lpstr>hxd.cds.layers.4.area_codes_select.bcb</vt:lpstr>
      <vt:lpstr>hxd.cds.layers.4.area_codes_select.bcm</vt:lpstr>
      <vt:lpstr>hxd.cds.layers.4.area_codes_select.bcu</vt:lpstr>
      <vt:lpstr>hxd.cds.layers.4.area_codes_select.bdo</vt:lpstr>
      <vt:lpstr>hxd.cds.layers.4.area_codes_select.bdr</vt:lpstr>
      <vt:lpstr>hxd.cds.layers.4.area_codes_select.bgn</vt:lpstr>
      <vt:lpstr>hxd.cds.layers.4.area_codes_select.bgs</vt:lpstr>
      <vt:lpstr>hxd.cds.layers.4.area_codes_select.bgu</vt:lpstr>
      <vt:lpstr>hxd.cds.layers.4.area_codes_select.bht</vt:lpstr>
      <vt:lpstr>hxd.cds.layers.4.area_codes_select.bjm</vt:lpstr>
      <vt:lpstr>hxd.cds.layers.4.area_codes_select.bkn</vt:lpstr>
      <vt:lpstr>hxd.cds.layers.4.area_codes_select.bmq</vt:lpstr>
      <vt:lpstr>hxd.cds.layers.4.area_codes_select.bms</vt:lpstr>
      <vt:lpstr>hxd.cds.layers.4.area_codes_select.bon</vt:lpstr>
      <vt:lpstr>hxd.cds.layers.4.area_codes_select.bpr</vt:lpstr>
      <vt:lpstr>hxd.cds.layers.4.area_codes_select.bsl</vt:lpstr>
      <vt:lpstr>hxd.cds.layers.4.area_codes_select.bsv</vt:lpstr>
      <vt:lpstr>hxd.cds.layers.4.area_codes_select.bv1</vt:lpstr>
      <vt:lpstr>hxd.cds.layers.4.area_codes_select.bvs</vt:lpstr>
      <vt:lpstr>hxd.cds.layers.4.area_codes_select.bx7</vt:lpstr>
      <vt:lpstr>hxd.cds.layers.4.area_codes_select.cat</vt:lpstr>
      <vt:lpstr>hxd.cds.layers.4.area_codes_select.cbc</vt:lpstr>
      <vt:lpstr>hxd.cds.layers.4.area_codes_select.cef</vt:lpstr>
      <vt:lpstr>hxd.cds.layers.4.area_codes_select.con</vt:lpstr>
      <vt:lpstr>hxd.cds.layers.4.area_codes_select.cpr</vt:lpstr>
      <vt:lpstr>hxd.cds.layers.4.area_codes_select.cqu</vt:lpstr>
      <vt:lpstr>hxd.cds.layers.4.area_codes_select.eat</vt:lpstr>
      <vt:lpstr>hxd.cds.layers.4.area_codes_select.ebe</vt:lpstr>
      <vt:lpstr>hxd.cds.layers.4.area_codes_select.ebg</vt:lpstr>
      <vt:lpstr>hxd.cds.layers.4.area_codes_select.ech</vt:lpstr>
      <vt:lpstr>hxd.cds.layers.4.area_codes_select.ecx</vt:lpstr>
      <vt:lpstr>hxd.cds.layers.4.area_codes_select.ecz</vt:lpstr>
      <vt:lpstr>hxd.cds.layers.4.area_codes_select.edk</vt:lpstr>
      <vt:lpstr>hxd.cds.layers.4.area_codes_select.ees</vt:lpstr>
      <vt:lpstr>hxd.cds.layers.4.area_codes_select.efi</vt:lpstr>
      <vt:lpstr>hxd.cds.layers.4.area_codes_select.efr</vt:lpstr>
      <vt:lpstr>hxd.cds.layers.4.area_codes_select.ege</vt:lpstr>
      <vt:lpstr>hxd.cds.layers.4.area_codes_select.egf</vt:lpstr>
      <vt:lpstr>hxd.cds.layers.4.area_codes_select.egr</vt:lpstr>
      <vt:lpstr>hxd.cds.layers.4.area_codes_select.ehu</vt:lpstr>
      <vt:lpstr>hxd.cds.layers.4.area_codes_select.eic</vt:lpstr>
      <vt:lpstr>hxd.cds.layers.4.area_codes_select.eie</vt:lpstr>
      <vt:lpstr>hxd.cds.layers.4.area_codes_select.eit</vt:lpstr>
      <vt:lpstr>hxd.cds.layers.4.area_codes_select.emz</vt:lpstr>
      <vt:lpstr>hxd.cds.layers.4.area_codes_select.enl</vt:lpstr>
      <vt:lpstr>hxd.cds.layers.4.area_codes_select.eno</vt:lpstr>
      <vt:lpstr>hxd.cds.layers.4.area_codes_select.epl</vt:lpstr>
      <vt:lpstr>hxd.cds.layers.4.area_codes_select.ept</vt:lpstr>
      <vt:lpstr>hxd.cds.layers.4.area_codes_select.ero</vt:lpstr>
      <vt:lpstr>hxd.cds.layers.4.area_codes_select.eru</vt:lpstr>
      <vt:lpstr>hxd.cds.layers.4.area_codes_select.esb</vt:lpstr>
      <vt:lpstr>hxd.cds.layers.4.area_codes_select.esc</vt:lpstr>
      <vt:lpstr>hxd.cds.layers.4.area_codes_select.ese</vt:lpstr>
      <vt:lpstr>hxd.cds.layers.4.area_codes_select.esr</vt:lpstr>
      <vt:lpstr>hxd.cds.layers.4.area_codes_select.etu</vt:lpstr>
      <vt:lpstr>hxd.cds.layers.4.area_codes_select.euf</vt:lpstr>
      <vt:lpstr>hxd.cds.layers.4.area_codes_select.euk</vt:lpstr>
      <vt:lpstr>hxd.cds.layers.4.area_codes_select.fby</vt:lpstr>
      <vt:lpstr>hxd.cds.layers.4.area_codes_select.fcq</vt:lpstr>
      <vt:lpstr>hxd.cds.layers.4.area_codes_select.fct</vt:lpstr>
      <vt:lpstr>hxd.cds.layers.4.area_codes_select.fcy</vt:lpstr>
      <vt:lpstr>hxd.cds.layers.4.area_codes_select.fhk</vt:lpstr>
      <vt:lpstr>hxd.cds.layers.4.area_codes_select.fia</vt:lpstr>
      <vt:lpstr>hxd.cds.layers.4.area_codes_select.fjq</vt:lpstr>
      <vt:lpstr>hxd.cds.layers.4.area_codes_select.fjw</vt:lpstr>
      <vt:lpstr>hxd.cds.layers.4.area_codes_select.fkr</vt:lpstr>
      <vt:lpstr>hxd.cds.layers.4.area_codes_select.fmy</vt:lpstr>
      <vt:lpstr>hxd.cds.layers.4.area_codes_select.fnp</vt:lpstr>
      <vt:lpstr>hxd.cds.layers.4.area_codes_select.fsk</vt:lpstr>
      <vt:lpstr>hxd.cds.layers.4.area_codes_select.fsp</vt:lpstr>
      <vt:lpstr>hxd.cds.layers.4.area_codes_select.fta</vt:lpstr>
      <vt:lpstr>hxd.cds.layers.4.area_codes_select.fth</vt:lpstr>
      <vt:lpstr>hxd.cds.layers.4.area_codes_select.fvn</vt:lpstr>
      <vt:lpstr>hxd.cds.layers.4.area_codes_select.mae</vt:lpstr>
      <vt:lpstr>hxd.cds.layers.4.area_codes_select.mba</vt:lpstr>
      <vt:lpstr>hxd.cds.layers.4.area_codes_select.mbd</vt:lpstr>
      <vt:lpstr>hxd.cds.layers.4.area_codes_select.min</vt:lpstr>
      <vt:lpstr>hxd.cds.layers.4.area_codes_select.mis</vt:lpstr>
      <vt:lpstr>hxd.cds.layers.4.area_codes_select.mjo</vt:lpstr>
      <vt:lpstr>hxd.cds.layers.4.area_codes_select.mma</vt:lpstr>
      <vt:lpstr>hxd.cds.layers.4.area_codes_select.mom</vt:lpstr>
      <vt:lpstr>hxd.cds.layers.4.area_codes_select.mpk</vt:lpstr>
      <vt:lpstr>hxd.cds.layers.4.area_codes_select.mqa</vt:lpstr>
      <vt:lpstr>hxd.cds.layers.4.area_codes_select.oa1</vt:lpstr>
      <vt:lpstr>hxd.cds.layers.4.area_codes_select.oa2</vt:lpstr>
      <vt:lpstr>hxd.cds.layers.4.area_codes_select.oa3</vt:lpstr>
      <vt:lpstr>hxd.cds.layers.4.area_codes_select.oa4</vt:lpstr>
      <vt:lpstr>hxd.cds.layers.4.area_codes_select.oa5</vt:lpstr>
      <vt:lpstr>hxd.cds.layers.4.area_codes_select.oa6</vt:lpstr>
      <vt:lpstr>hxd.cds.layers.4.area_codes_select.ofj</vt:lpstr>
      <vt:lpstr>hxd.cds.layers.4.area_codes_select.ogm</vt:lpstr>
      <vt:lpstr>hxd.cds.layers.4.area_codes_select.onz</vt:lpstr>
      <vt:lpstr>hxd.cds.layers.4.area_codes_select.opg</vt:lpstr>
      <vt:lpstr>hxd.cds.layers.4.area_codes_select.oph</vt:lpstr>
      <vt:lpstr>hxd.cds.layers.4.area_codes_select.ota</vt:lpstr>
      <vt:lpstr>hxd.cds.layers.4.area_codes_select.sar</vt:lpstr>
      <vt:lpstr>hxd.cds.layers.4.area_codes_select.sbr</vt:lpstr>
      <vt:lpstr>hxd.cds.layers.4.area_codes_select.sbv</vt:lpstr>
      <vt:lpstr>hxd.cds.layers.4.area_codes_select.sbz</vt:lpstr>
      <vt:lpstr>hxd.cds.layers.4.area_codes_select.scl</vt:lpstr>
      <vt:lpstr>hxd.cds.layers.4.area_codes_select.sco</vt:lpstr>
      <vt:lpstr>hxd.cds.layers.4.area_codes_select.scr</vt:lpstr>
      <vt:lpstr>hxd.cds.layers.4.area_codes_select.sec</vt:lpstr>
      <vt:lpstr>hxd.cds.layers.4.area_codes_select.sel</vt:lpstr>
      <vt:lpstr>hxd.cds.layers.4.area_codes_select.sgt</vt:lpstr>
      <vt:lpstr>hxd.cds.layers.4.area_codes_select.sgy</vt:lpstr>
      <vt:lpstr>hxd.cds.layers.4.area_codes_select.shn</vt:lpstr>
      <vt:lpstr>hxd.cds.layers.4.area_codes_select.smx</vt:lpstr>
      <vt:lpstr>hxd.cds.layers.4.area_codes_select.snq</vt:lpstr>
      <vt:lpstr>hxd.cds.layers.4.area_codes_select.spa</vt:lpstr>
      <vt:lpstr>hxd.cds.layers.4.area_codes_select.spe</vt:lpstr>
      <vt:lpstr>hxd.cds.layers.4.area_codes_select.spy</vt:lpstr>
      <vt:lpstr>hxd.cds.layers.4.area_codes_select.suy</vt:lpstr>
      <vt:lpstr>hxd.cds.layers.4.area_codes_select.sve</vt:lpstr>
      <vt:lpstr>hxd.cds.layers.4.area_codes_select.usa01</vt:lpstr>
      <vt:lpstr>hxd.cds.layers.4.area_codes_select.usa02</vt:lpstr>
      <vt:lpstr>hxd.cds.layers.4.area_codes_select.usa03</vt:lpstr>
      <vt:lpstr>hxd.cds.layers.4.area_codes_select.usa04</vt:lpstr>
      <vt:lpstr>hxd.cds.layers.4.area_codes_select.usa05</vt:lpstr>
      <vt:lpstr>hxd.cds.layers.4.area_codes_select.usa06</vt:lpstr>
      <vt:lpstr>hxd.cds.layers.4.area_codes_select.usa07</vt:lpstr>
      <vt:lpstr>hxd.cds.layers.4.area_codes_select.usa08</vt:lpstr>
      <vt:lpstr>hxd.cds.layers.4.area_codes_select.usa09</vt:lpstr>
      <vt:lpstr>hxd.cds.layers.4.area_codes_select.usa10</vt:lpstr>
      <vt:lpstr>hxd.cds.layers.4.area_codes_select.usa11</vt:lpstr>
      <vt:lpstr>hxd.cds.layers.4.area_codes_select.usa12</vt:lpstr>
      <vt:lpstr>hxd.cds.layers.4.area_codes_select.usa13</vt:lpstr>
      <vt:lpstr>hxd.cds.layers.4.area_codes_select.usa14</vt:lpstr>
      <vt:lpstr>hxd.cds.layers.4.area_codes_select.usa15</vt:lpstr>
      <vt:lpstr>hxd.cds.layers.4.area_codes_select.usa16</vt:lpstr>
      <vt:lpstr>hxd.cds.layers.4.area_codes_select.usa20</vt:lpstr>
      <vt:lpstr>hxd.cds.layers.4.area_codes_select.usa21</vt:lpstr>
      <vt:lpstr>hxd.cds.layers.4.area_codes_select.usa22</vt:lpstr>
      <vt:lpstr>hxd.cds.layers.4.excess</vt:lpstr>
      <vt:lpstr>hxd.cds.layers.4.excess_cnv</vt:lpstr>
      <vt:lpstr>hxd.cds.layers.4.layer_description</vt:lpstr>
      <vt:lpstr>hxd.cds.layers.4.leader</vt:lpstr>
      <vt:lpstr>hxd.cds.layers.4.limit</vt:lpstr>
      <vt:lpstr>hxd.cds.layers.4.limit_cnv</vt:lpstr>
      <vt:lpstr>hxd.cds.layers.4.marginal_impacts.treaty_group.mi_10</vt:lpstr>
      <vt:lpstr>hxd.cds.layers.4.marginal_impacts.treaty_group.mi_250</vt:lpstr>
      <vt:lpstr>hxd.cds.layers.4.marginal_impacts.treaty_intl.mi_10</vt:lpstr>
      <vt:lpstr>hxd.cds.layers.4.marginal_impacts.treaty_intl.mi_250</vt:lpstr>
      <vt:lpstr>hxd.cds.layers.4.marginal_impacts.treaty_us.mi_10</vt:lpstr>
      <vt:lpstr>hxd.cds.layers.4.marginal_impacts.treaty_us.mi_250</vt:lpstr>
      <vt:lpstr>hxd.cds.layers.4.model.air.gross_el</vt:lpstr>
      <vt:lpstr>hxd.cds.layers.4.model.air.gross_sd</vt:lpstr>
      <vt:lpstr>hxd.cds.layers.4.model.ivor.gross_el</vt:lpstr>
      <vt:lpstr>hxd.cds.layers.4.model.ivor.gross_sd</vt:lpstr>
      <vt:lpstr>hxd.cds.layers.4.model.nmp.description</vt:lpstr>
      <vt:lpstr>hxd.cds.layers.4.model.nmp.gross_el_incl_rol</vt:lpstr>
      <vt:lpstr>hxd.cds.layers.4.model.nmp.gross_sd_incl_rol</vt:lpstr>
      <vt:lpstr>hxd.cds.layers.4.model.rms.gross_el</vt:lpstr>
      <vt:lpstr>hxd.cds.layers.4.model.rms.gross_sd</vt:lpstr>
      <vt:lpstr>hxd.cds.layers.4.model.total_air_nmp.gross_el</vt:lpstr>
      <vt:lpstr>hxd.cds.layers.4.model.total_air_nmp.gross_sd</vt:lpstr>
      <vt:lpstr>hxd.cds.layers.4.model.total_rms_nmp.gross_el</vt:lpstr>
      <vt:lpstr>hxd.cds.layers.4.model.total_rms_nmp.gross_sd</vt:lpstr>
      <vt:lpstr>hxd.cds.layers.4.quote.rol_ty.bpi</vt:lpstr>
      <vt:lpstr>hxd.cds.layers.4.quote.rol_ty.est_sign_written_ratio</vt:lpstr>
      <vt:lpstr>hxd.cds.layers.4.quote.rol_ty.estimated_signing</vt:lpstr>
      <vt:lpstr>hxd.cds.layers.4.quote.rol_ty.roc</vt:lpstr>
      <vt:lpstr>hxd.cds.layers.4.quote.rol_ty.rol_afb_tech</vt:lpstr>
      <vt:lpstr>hxd.cds.layers.4.quote.rol_ty.rol_fot</vt:lpstr>
      <vt:lpstr>hxd.cds.layers.4.quote.rol_ty.rol_quote</vt:lpstr>
      <vt:lpstr>hxd.cds.layers.4.quote.rol_ty.signed_line</vt:lpstr>
      <vt:lpstr>hxd.cds.layers.4.quote.rol_ty.ulr</vt:lpstr>
      <vt:lpstr>hxd.cds.layers.4.quote.rol_ty.written_line</vt:lpstr>
      <vt:lpstr>hxd.cds.layers.4.rate_change.comments</vt:lpstr>
      <vt:lpstr>hxd.cds.layers.4.rate_change.deductible_change_fixed.final</vt:lpstr>
      <vt:lpstr>hxd.cds.layers.4.rate_change.exposure_change_fixed.comment</vt:lpstr>
      <vt:lpstr>hxd.cds.layers.4.rate_change.exposure_change_fixed.final</vt:lpstr>
      <vt:lpstr>hxd.cds.layers.4.rate_change.limit_change_fixed.comment</vt:lpstr>
      <vt:lpstr>hxd.cds.layers.4.rate_change.limit_change_fixed.final</vt:lpstr>
      <vt:lpstr>hxd.cds.layers.4.rate_change.other_change_fixed.final</vt:lpstr>
      <vt:lpstr>hxd.cds.layers.4.rate_change.rationale_outside_plan</vt:lpstr>
      <vt:lpstr>hxd.cds.layers.4.rate_change.risk_adjusted_rate_change</vt:lpstr>
      <vt:lpstr>hxd.cds.layers.4.rate_change.risk_characteristics_change_fixed.final</vt:lpstr>
      <vt:lpstr>hxd.cds.layers.4.rate_change.rol_ly_to_use</vt:lpstr>
      <vt:lpstr>hxd.cds.layers.4.rate_change.rol_rebased</vt:lpstr>
      <vt:lpstr>hxd.cds.layers.4.rate_change.terms_conditions_change_fixed.final</vt:lpstr>
      <vt:lpstr>hxd.cds.layers.4.rms_regional.al_miss</vt:lpstr>
      <vt:lpstr>hxd.cds.layers.4.rms_regional.ca_wildfire</vt:lpstr>
      <vt:lpstr>hxd.cds.layers.4.rms_regional.cal_north</vt:lpstr>
      <vt:lpstr>hxd.cds.layers.4.rms_regional.cal_south</vt:lpstr>
      <vt:lpstr>hxd.cds.layers.4.rms_regional.carolinas</vt:lpstr>
      <vt:lpstr>hxd.cds.layers.4.rms_regional.fl_non_se</vt:lpstr>
      <vt:lpstr>hxd.cds.layers.4.rms_regional.fl_se</vt:lpstr>
      <vt:lpstr>hxd.cds.layers.4.rms_regional.hawaii</vt:lpstr>
      <vt:lpstr>hxd.cds.layers.4.rms_regional.louisiana</vt:lpstr>
      <vt:lpstr>hxd.cds.layers.4.rms_regional.mid_atlantic</vt:lpstr>
      <vt:lpstr>hxd.cds.layers.4.rms_regional.mid_west_1</vt:lpstr>
      <vt:lpstr>hxd.cds.layers.4.rms_regional.mid_west_2</vt:lpstr>
      <vt:lpstr>hxd.cds.layers.4.rms_regional.new_madrid</vt:lpstr>
      <vt:lpstr>hxd.cds.layers.4.rms_regional.north_east</vt:lpstr>
      <vt:lpstr>hxd.cds.layers.4.rms_regional.pnw</vt:lpstr>
      <vt:lpstr>hxd.cds.layers.4.rms_regional.second_event</vt:lpstr>
      <vt:lpstr>hxd.cds.layers.4.rms_regional.tx_east</vt:lpstr>
      <vt:lpstr>hxd.cds.layers.4.rms_regional.tx_west</vt:lpstr>
      <vt:lpstr>hxd.cds.layers.4.section_reference</vt:lpstr>
      <vt:lpstr>hxd.cds.layers.4.summary.next_year.section_reference</vt:lpstr>
      <vt:lpstr>hxd.cds.layers.4.summary.ty.epi_adj_rate</vt:lpstr>
      <vt:lpstr>hxd.cds.layers.4.summary.ty.epi_estimated_summary_fx</vt:lpstr>
      <vt:lpstr>hxd.cds.layers.4.summary.ty.epi_signed_summary_fx</vt:lpstr>
      <vt:lpstr>hxd.cds.layers.4.summary.ty.epi_written_summary_fx</vt:lpstr>
      <vt:lpstr>hxd.cds.layers.4.summary.ty.fot_adequacy</vt:lpstr>
      <vt:lpstr>hxd.cds.layers.4.summary.ty.line_estimated_summary_fx</vt:lpstr>
      <vt:lpstr>hxd.cds.layers.4.summary.ty.line_signed_summary_fx</vt:lpstr>
      <vt:lpstr>hxd.cds.layers.4.summary.ty.line_written_summary_fx</vt:lpstr>
      <vt:lpstr>hxd.cds.layers.4.summary.ty.mi_10</vt:lpstr>
      <vt:lpstr>hxd.cds.layers.4.summary.ty.mi_10_prem_ratio</vt:lpstr>
      <vt:lpstr>hxd.cds.layers.4.summary.ty.mi_250</vt:lpstr>
      <vt:lpstr>hxd.cds.layers.4.summary.ty.mi_250_prem_ratio</vt:lpstr>
      <vt:lpstr>hxd.cds.layers.4.summary.ty.multi_year_period</vt:lpstr>
      <vt:lpstr>hxd.cds.layers.4.summary.ty.prem_full_line</vt:lpstr>
      <vt:lpstr>hxd.cds.layers.4.summary.ty.reinstatement_description</vt:lpstr>
      <vt:lpstr>hxd.cds.layers.4.summary.ty.rms_adequacy</vt:lpstr>
      <vt:lpstr>hxd.cds.layers.4.summary.year_after_next.section_reference</vt:lpstr>
      <vt:lpstr>hxd.cds.layers.5.area_codes_perc.aal</vt:lpstr>
      <vt:lpstr>hxd.cds.layers.5.area_codes_perc.aeg</vt:lpstr>
      <vt:lpstr>hxd.cds.layers.5.area_codes_perc.ali</vt:lpstr>
      <vt:lpstr>hxd.cds.layers.5.area_codes_perc.amo</vt:lpstr>
      <vt:lpstr>hxd.cds.layers.5.area_codes_perc.amu</vt:lpstr>
      <vt:lpstr>hxd.cds.layers.5.area_codes_perc.asa</vt:lpstr>
      <vt:lpstr>hxd.cds.layers.5.area_codes_perc.bag</vt:lpstr>
      <vt:lpstr>hxd.cds.layers.5.area_codes_perc.bah</vt:lpstr>
      <vt:lpstr>hxd.cds.layers.5.area_codes_perc.ban</vt:lpstr>
      <vt:lpstr>hxd.cds.layers.5.area_codes_perc.bbb</vt:lpstr>
      <vt:lpstr>hxd.cds.layers.5.area_codes_perc.bbh</vt:lpstr>
      <vt:lpstr>hxd.cds.layers.5.area_codes_perc.bbm</vt:lpstr>
      <vt:lpstr>hxd.cds.layers.5.area_codes_perc.bcb</vt:lpstr>
      <vt:lpstr>hxd.cds.layers.5.area_codes_perc.bcm</vt:lpstr>
      <vt:lpstr>hxd.cds.layers.5.area_codes_perc.bcu</vt:lpstr>
      <vt:lpstr>hxd.cds.layers.5.area_codes_perc.bdo</vt:lpstr>
      <vt:lpstr>hxd.cds.layers.5.area_codes_perc.bdr</vt:lpstr>
      <vt:lpstr>hxd.cds.layers.5.area_codes_perc.bgn</vt:lpstr>
      <vt:lpstr>hxd.cds.layers.5.area_codes_perc.bgs</vt:lpstr>
      <vt:lpstr>hxd.cds.layers.5.area_codes_perc.bgu</vt:lpstr>
      <vt:lpstr>hxd.cds.layers.5.area_codes_perc.bht</vt:lpstr>
      <vt:lpstr>hxd.cds.layers.5.area_codes_perc.bjm</vt:lpstr>
      <vt:lpstr>hxd.cds.layers.5.area_codes_perc.bkn</vt:lpstr>
      <vt:lpstr>hxd.cds.layers.5.area_codes_perc.bmq</vt:lpstr>
      <vt:lpstr>hxd.cds.layers.5.area_codes_perc.bms</vt:lpstr>
      <vt:lpstr>hxd.cds.layers.5.area_codes_perc.bon</vt:lpstr>
      <vt:lpstr>hxd.cds.layers.5.area_codes_perc.bpr</vt:lpstr>
      <vt:lpstr>hxd.cds.layers.5.area_codes_perc.bsl</vt:lpstr>
      <vt:lpstr>hxd.cds.layers.5.area_codes_perc.bsv</vt:lpstr>
      <vt:lpstr>hxd.cds.layers.5.area_codes_perc.bv1</vt:lpstr>
      <vt:lpstr>hxd.cds.layers.5.area_codes_perc.bvs</vt:lpstr>
      <vt:lpstr>hxd.cds.layers.5.area_codes_perc.bx7</vt:lpstr>
      <vt:lpstr>hxd.cds.layers.5.area_codes_perc.cat</vt:lpstr>
      <vt:lpstr>hxd.cds.layers.5.area_codes_perc.cbc</vt:lpstr>
      <vt:lpstr>hxd.cds.layers.5.area_codes_perc.cef</vt:lpstr>
      <vt:lpstr>hxd.cds.layers.5.area_codes_perc.con</vt:lpstr>
      <vt:lpstr>hxd.cds.layers.5.area_codes_perc.cpr</vt:lpstr>
      <vt:lpstr>hxd.cds.layers.5.area_codes_perc.cqu</vt:lpstr>
      <vt:lpstr>hxd.cds.layers.5.area_codes_perc.eat</vt:lpstr>
      <vt:lpstr>hxd.cds.layers.5.area_codes_perc.ebe</vt:lpstr>
      <vt:lpstr>hxd.cds.layers.5.area_codes_perc.ebg</vt:lpstr>
      <vt:lpstr>hxd.cds.layers.5.area_codes_perc.ech</vt:lpstr>
      <vt:lpstr>hxd.cds.layers.5.area_codes_perc.ecx</vt:lpstr>
      <vt:lpstr>hxd.cds.layers.5.area_codes_perc.ecz</vt:lpstr>
      <vt:lpstr>hxd.cds.layers.5.area_codes_perc.edk</vt:lpstr>
      <vt:lpstr>hxd.cds.layers.5.area_codes_perc.ees</vt:lpstr>
      <vt:lpstr>hxd.cds.layers.5.area_codes_perc.efi</vt:lpstr>
      <vt:lpstr>hxd.cds.layers.5.area_codes_perc.efr</vt:lpstr>
      <vt:lpstr>hxd.cds.layers.5.area_codes_perc.ege</vt:lpstr>
      <vt:lpstr>hxd.cds.layers.5.area_codes_perc.egf</vt:lpstr>
      <vt:lpstr>hxd.cds.layers.5.area_codes_perc.egr</vt:lpstr>
      <vt:lpstr>hxd.cds.layers.5.area_codes_perc.ehu</vt:lpstr>
      <vt:lpstr>hxd.cds.layers.5.area_codes_perc.eic</vt:lpstr>
      <vt:lpstr>hxd.cds.layers.5.area_codes_perc.eie</vt:lpstr>
      <vt:lpstr>hxd.cds.layers.5.area_codes_perc.eit</vt:lpstr>
      <vt:lpstr>hxd.cds.layers.5.area_codes_perc.emz</vt:lpstr>
      <vt:lpstr>hxd.cds.layers.5.area_codes_perc.enl</vt:lpstr>
      <vt:lpstr>hxd.cds.layers.5.area_codes_perc.eno</vt:lpstr>
      <vt:lpstr>hxd.cds.layers.5.area_codes_perc.epl</vt:lpstr>
      <vt:lpstr>hxd.cds.layers.5.area_codes_perc.ept</vt:lpstr>
      <vt:lpstr>hxd.cds.layers.5.area_codes_perc.ero</vt:lpstr>
      <vt:lpstr>hxd.cds.layers.5.area_codes_perc.eru</vt:lpstr>
      <vt:lpstr>hxd.cds.layers.5.area_codes_perc.esb</vt:lpstr>
      <vt:lpstr>hxd.cds.layers.5.area_codes_perc.esc</vt:lpstr>
      <vt:lpstr>hxd.cds.layers.5.area_codes_perc.ese</vt:lpstr>
      <vt:lpstr>hxd.cds.layers.5.area_codes_perc.esr</vt:lpstr>
      <vt:lpstr>hxd.cds.layers.5.area_codes_perc.etu</vt:lpstr>
      <vt:lpstr>hxd.cds.layers.5.area_codes_perc.euf</vt:lpstr>
      <vt:lpstr>hxd.cds.layers.5.area_codes_perc.euk</vt:lpstr>
      <vt:lpstr>hxd.cds.layers.5.area_codes_perc.fby</vt:lpstr>
      <vt:lpstr>hxd.cds.layers.5.area_codes_perc.fcq</vt:lpstr>
      <vt:lpstr>hxd.cds.layers.5.area_codes_perc.fct</vt:lpstr>
      <vt:lpstr>hxd.cds.layers.5.area_codes_perc.fcy</vt:lpstr>
      <vt:lpstr>hxd.cds.layers.5.area_codes_perc.fhk</vt:lpstr>
      <vt:lpstr>hxd.cds.layers.5.area_codes_perc.fia</vt:lpstr>
      <vt:lpstr>hxd.cds.layers.5.area_codes_perc.fjq</vt:lpstr>
      <vt:lpstr>hxd.cds.layers.5.area_codes_perc.fjw</vt:lpstr>
      <vt:lpstr>hxd.cds.layers.5.area_codes_perc.fkr</vt:lpstr>
      <vt:lpstr>hxd.cds.layers.5.area_codes_perc.fmy</vt:lpstr>
      <vt:lpstr>hxd.cds.layers.5.area_codes_perc.fnp</vt:lpstr>
      <vt:lpstr>hxd.cds.layers.5.area_codes_perc.fsk</vt:lpstr>
      <vt:lpstr>hxd.cds.layers.5.area_codes_perc.fsp</vt:lpstr>
      <vt:lpstr>hxd.cds.layers.5.area_codes_perc.fta</vt:lpstr>
      <vt:lpstr>hxd.cds.layers.5.area_codes_perc.fth</vt:lpstr>
      <vt:lpstr>hxd.cds.layers.5.area_codes_perc.fvn</vt:lpstr>
      <vt:lpstr>hxd.cds.layers.5.area_codes_perc.mae</vt:lpstr>
      <vt:lpstr>hxd.cds.layers.5.area_codes_perc.mba</vt:lpstr>
      <vt:lpstr>hxd.cds.layers.5.area_codes_perc.mbd</vt:lpstr>
      <vt:lpstr>hxd.cds.layers.5.area_codes_perc.min</vt:lpstr>
      <vt:lpstr>hxd.cds.layers.5.area_codes_perc.mis</vt:lpstr>
      <vt:lpstr>hxd.cds.layers.5.area_codes_perc.mjo</vt:lpstr>
      <vt:lpstr>hxd.cds.layers.5.area_codes_perc.mma</vt:lpstr>
      <vt:lpstr>hxd.cds.layers.5.area_codes_perc.mom</vt:lpstr>
      <vt:lpstr>hxd.cds.layers.5.area_codes_perc.mpk</vt:lpstr>
      <vt:lpstr>hxd.cds.layers.5.area_codes_perc.mqa</vt:lpstr>
      <vt:lpstr>hxd.cds.layers.5.area_codes_perc.oa1</vt:lpstr>
      <vt:lpstr>hxd.cds.layers.5.area_codes_perc.oa2</vt:lpstr>
      <vt:lpstr>hxd.cds.layers.5.area_codes_perc.oa3</vt:lpstr>
      <vt:lpstr>hxd.cds.layers.5.area_codes_perc.oa4</vt:lpstr>
      <vt:lpstr>hxd.cds.layers.5.area_codes_perc.oa5</vt:lpstr>
      <vt:lpstr>hxd.cds.layers.5.area_codes_perc.oa6</vt:lpstr>
      <vt:lpstr>hxd.cds.layers.5.area_codes_perc.ofj</vt:lpstr>
      <vt:lpstr>hxd.cds.layers.5.area_codes_perc.ogm</vt:lpstr>
      <vt:lpstr>hxd.cds.layers.5.area_codes_perc.onz</vt:lpstr>
      <vt:lpstr>hxd.cds.layers.5.area_codes_perc.opg</vt:lpstr>
      <vt:lpstr>hxd.cds.layers.5.area_codes_perc.oph</vt:lpstr>
      <vt:lpstr>hxd.cds.layers.5.area_codes_perc.ota</vt:lpstr>
      <vt:lpstr>hxd.cds.layers.5.area_codes_perc.sar</vt:lpstr>
      <vt:lpstr>hxd.cds.layers.5.area_codes_perc.sbr</vt:lpstr>
      <vt:lpstr>hxd.cds.layers.5.area_codes_perc.sbv</vt:lpstr>
      <vt:lpstr>hxd.cds.layers.5.area_codes_perc.sbz</vt:lpstr>
      <vt:lpstr>hxd.cds.layers.5.area_codes_perc.scl</vt:lpstr>
      <vt:lpstr>hxd.cds.layers.5.area_codes_perc.sco</vt:lpstr>
      <vt:lpstr>hxd.cds.layers.5.area_codes_perc.scr</vt:lpstr>
      <vt:lpstr>hxd.cds.layers.5.area_codes_perc.sec</vt:lpstr>
      <vt:lpstr>hxd.cds.layers.5.area_codes_perc.sel</vt:lpstr>
      <vt:lpstr>hxd.cds.layers.5.area_codes_perc.sgt</vt:lpstr>
      <vt:lpstr>hxd.cds.layers.5.area_codes_perc.sgy</vt:lpstr>
      <vt:lpstr>hxd.cds.layers.5.area_codes_perc.shn</vt:lpstr>
      <vt:lpstr>hxd.cds.layers.5.area_codes_perc.smx</vt:lpstr>
      <vt:lpstr>hxd.cds.layers.5.area_codes_perc.snq</vt:lpstr>
      <vt:lpstr>hxd.cds.layers.5.area_codes_perc.spa</vt:lpstr>
      <vt:lpstr>hxd.cds.layers.5.area_codes_perc.spe</vt:lpstr>
      <vt:lpstr>hxd.cds.layers.5.area_codes_perc.spy</vt:lpstr>
      <vt:lpstr>hxd.cds.layers.5.area_codes_perc.suy</vt:lpstr>
      <vt:lpstr>hxd.cds.layers.5.area_codes_perc.sve</vt:lpstr>
      <vt:lpstr>hxd.cds.layers.5.area_codes_perc.usa01</vt:lpstr>
      <vt:lpstr>hxd.cds.layers.5.area_codes_perc.usa02</vt:lpstr>
      <vt:lpstr>hxd.cds.layers.5.area_codes_perc.usa03</vt:lpstr>
      <vt:lpstr>hxd.cds.layers.5.area_codes_perc.usa04</vt:lpstr>
      <vt:lpstr>hxd.cds.layers.5.area_codes_perc.usa05</vt:lpstr>
      <vt:lpstr>hxd.cds.layers.5.area_codes_perc.usa06</vt:lpstr>
      <vt:lpstr>hxd.cds.layers.5.area_codes_perc.usa07</vt:lpstr>
      <vt:lpstr>hxd.cds.layers.5.area_codes_perc.usa08</vt:lpstr>
      <vt:lpstr>hxd.cds.layers.5.area_codes_perc.usa09</vt:lpstr>
      <vt:lpstr>hxd.cds.layers.5.area_codes_perc.usa10</vt:lpstr>
      <vt:lpstr>hxd.cds.layers.5.area_codes_perc.usa11</vt:lpstr>
      <vt:lpstr>hxd.cds.layers.5.area_codes_perc.usa12</vt:lpstr>
      <vt:lpstr>hxd.cds.layers.5.area_codes_perc.usa13</vt:lpstr>
      <vt:lpstr>hxd.cds.layers.5.area_codes_perc.usa14</vt:lpstr>
      <vt:lpstr>hxd.cds.layers.5.area_codes_perc.usa15</vt:lpstr>
      <vt:lpstr>hxd.cds.layers.5.area_codes_perc.usa16</vt:lpstr>
      <vt:lpstr>hxd.cds.layers.5.area_codes_perc.usa20</vt:lpstr>
      <vt:lpstr>hxd.cds.layers.5.area_codes_perc.usa21</vt:lpstr>
      <vt:lpstr>hxd.cds.layers.5.area_codes_perc.usa22</vt:lpstr>
      <vt:lpstr>hxd.cds.layers.5.area_codes_select.aal</vt:lpstr>
      <vt:lpstr>hxd.cds.layers.5.area_codes_select.aeg</vt:lpstr>
      <vt:lpstr>hxd.cds.layers.5.area_codes_select.ali</vt:lpstr>
      <vt:lpstr>hxd.cds.layers.5.area_codes_select.amo</vt:lpstr>
      <vt:lpstr>hxd.cds.layers.5.area_codes_select.amu</vt:lpstr>
      <vt:lpstr>hxd.cds.layers.5.area_codes_select.asa</vt:lpstr>
      <vt:lpstr>hxd.cds.layers.5.area_codes_select.bag</vt:lpstr>
      <vt:lpstr>hxd.cds.layers.5.area_codes_select.bah</vt:lpstr>
      <vt:lpstr>hxd.cds.layers.5.area_codes_select.ban</vt:lpstr>
      <vt:lpstr>hxd.cds.layers.5.area_codes_select.bbb</vt:lpstr>
      <vt:lpstr>hxd.cds.layers.5.area_codes_select.bbh</vt:lpstr>
      <vt:lpstr>hxd.cds.layers.5.area_codes_select.bbm</vt:lpstr>
      <vt:lpstr>hxd.cds.layers.5.area_codes_select.bcb</vt:lpstr>
      <vt:lpstr>hxd.cds.layers.5.area_codes_select.bcm</vt:lpstr>
      <vt:lpstr>hxd.cds.layers.5.area_codes_select.bcu</vt:lpstr>
      <vt:lpstr>hxd.cds.layers.5.area_codes_select.bdo</vt:lpstr>
      <vt:lpstr>hxd.cds.layers.5.area_codes_select.bdr</vt:lpstr>
      <vt:lpstr>hxd.cds.layers.5.area_codes_select.bgn</vt:lpstr>
      <vt:lpstr>hxd.cds.layers.5.area_codes_select.bgs</vt:lpstr>
      <vt:lpstr>hxd.cds.layers.5.area_codes_select.bgu</vt:lpstr>
      <vt:lpstr>hxd.cds.layers.5.area_codes_select.bht</vt:lpstr>
      <vt:lpstr>hxd.cds.layers.5.area_codes_select.bjm</vt:lpstr>
      <vt:lpstr>hxd.cds.layers.5.area_codes_select.bkn</vt:lpstr>
      <vt:lpstr>hxd.cds.layers.5.area_codes_select.bmq</vt:lpstr>
      <vt:lpstr>hxd.cds.layers.5.area_codes_select.bms</vt:lpstr>
      <vt:lpstr>hxd.cds.layers.5.area_codes_select.bon</vt:lpstr>
      <vt:lpstr>hxd.cds.layers.5.area_codes_select.bpr</vt:lpstr>
      <vt:lpstr>hxd.cds.layers.5.area_codes_select.bsl</vt:lpstr>
      <vt:lpstr>hxd.cds.layers.5.area_codes_select.bsv</vt:lpstr>
      <vt:lpstr>hxd.cds.layers.5.area_codes_select.bv1</vt:lpstr>
      <vt:lpstr>hxd.cds.layers.5.area_codes_select.bvs</vt:lpstr>
      <vt:lpstr>hxd.cds.layers.5.area_codes_select.bx7</vt:lpstr>
      <vt:lpstr>hxd.cds.layers.5.area_codes_select.cat</vt:lpstr>
      <vt:lpstr>hxd.cds.layers.5.area_codes_select.cbc</vt:lpstr>
      <vt:lpstr>hxd.cds.layers.5.area_codes_select.cef</vt:lpstr>
      <vt:lpstr>hxd.cds.layers.5.area_codes_select.con</vt:lpstr>
      <vt:lpstr>hxd.cds.layers.5.area_codes_select.cpr</vt:lpstr>
      <vt:lpstr>hxd.cds.layers.5.area_codes_select.cqu</vt:lpstr>
      <vt:lpstr>hxd.cds.layers.5.area_codes_select.eat</vt:lpstr>
      <vt:lpstr>hxd.cds.layers.5.area_codes_select.ebe</vt:lpstr>
      <vt:lpstr>hxd.cds.layers.5.area_codes_select.ebg</vt:lpstr>
      <vt:lpstr>hxd.cds.layers.5.area_codes_select.ech</vt:lpstr>
      <vt:lpstr>hxd.cds.layers.5.area_codes_select.ecx</vt:lpstr>
      <vt:lpstr>hxd.cds.layers.5.area_codes_select.ecz</vt:lpstr>
      <vt:lpstr>hxd.cds.layers.5.area_codes_select.edk</vt:lpstr>
      <vt:lpstr>hxd.cds.layers.5.area_codes_select.ees</vt:lpstr>
      <vt:lpstr>hxd.cds.layers.5.area_codes_select.efi</vt:lpstr>
      <vt:lpstr>hxd.cds.layers.5.area_codes_select.efr</vt:lpstr>
      <vt:lpstr>hxd.cds.layers.5.area_codes_select.ege</vt:lpstr>
      <vt:lpstr>hxd.cds.layers.5.area_codes_select.egf</vt:lpstr>
      <vt:lpstr>hxd.cds.layers.5.area_codes_select.egr</vt:lpstr>
      <vt:lpstr>hxd.cds.layers.5.area_codes_select.ehu</vt:lpstr>
      <vt:lpstr>hxd.cds.layers.5.area_codes_select.eic</vt:lpstr>
      <vt:lpstr>hxd.cds.layers.5.area_codes_select.eie</vt:lpstr>
      <vt:lpstr>hxd.cds.layers.5.area_codes_select.eit</vt:lpstr>
      <vt:lpstr>hxd.cds.layers.5.area_codes_select.emz</vt:lpstr>
      <vt:lpstr>hxd.cds.layers.5.area_codes_select.enl</vt:lpstr>
      <vt:lpstr>hxd.cds.layers.5.area_codes_select.eno</vt:lpstr>
      <vt:lpstr>hxd.cds.layers.5.area_codes_select.epl</vt:lpstr>
      <vt:lpstr>hxd.cds.layers.5.area_codes_select.ept</vt:lpstr>
      <vt:lpstr>hxd.cds.layers.5.area_codes_select.ero</vt:lpstr>
      <vt:lpstr>hxd.cds.layers.5.area_codes_select.eru</vt:lpstr>
      <vt:lpstr>hxd.cds.layers.5.area_codes_select.esb</vt:lpstr>
      <vt:lpstr>hxd.cds.layers.5.area_codes_select.esc</vt:lpstr>
      <vt:lpstr>hxd.cds.layers.5.area_codes_select.ese</vt:lpstr>
      <vt:lpstr>hxd.cds.layers.5.area_codes_select.esr</vt:lpstr>
      <vt:lpstr>hxd.cds.layers.5.area_codes_select.etu</vt:lpstr>
      <vt:lpstr>hxd.cds.layers.5.area_codes_select.euf</vt:lpstr>
      <vt:lpstr>hxd.cds.layers.5.area_codes_select.euk</vt:lpstr>
      <vt:lpstr>hxd.cds.layers.5.area_codes_select.fby</vt:lpstr>
      <vt:lpstr>hxd.cds.layers.5.area_codes_select.fcq</vt:lpstr>
      <vt:lpstr>hxd.cds.layers.5.area_codes_select.fct</vt:lpstr>
      <vt:lpstr>hxd.cds.layers.5.area_codes_select.fcy</vt:lpstr>
      <vt:lpstr>hxd.cds.layers.5.area_codes_select.fhk</vt:lpstr>
      <vt:lpstr>hxd.cds.layers.5.area_codes_select.fia</vt:lpstr>
      <vt:lpstr>hxd.cds.layers.5.area_codes_select.fjq</vt:lpstr>
      <vt:lpstr>hxd.cds.layers.5.area_codes_select.fjw</vt:lpstr>
      <vt:lpstr>hxd.cds.layers.5.area_codes_select.fkr</vt:lpstr>
      <vt:lpstr>hxd.cds.layers.5.area_codes_select.fmy</vt:lpstr>
      <vt:lpstr>hxd.cds.layers.5.area_codes_select.fnp</vt:lpstr>
      <vt:lpstr>hxd.cds.layers.5.area_codes_select.fsk</vt:lpstr>
      <vt:lpstr>hxd.cds.layers.5.area_codes_select.fsp</vt:lpstr>
      <vt:lpstr>hxd.cds.layers.5.area_codes_select.fta</vt:lpstr>
      <vt:lpstr>hxd.cds.layers.5.area_codes_select.fth</vt:lpstr>
      <vt:lpstr>hxd.cds.layers.5.area_codes_select.fvn</vt:lpstr>
      <vt:lpstr>hxd.cds.layers.5.area_codes_select.mae</vt:lpstr>
      <vt:lpstr>hxd.cds.layers.5.area_codes_select.mba</vt:lpstr>
      <vt:lpstr>hxd.cds.layers.5.area_codes_select.mbd</vt:lpstr>
      <vt:lpstr>hxd.cds.layers.5.area_codes_select.min</vt:lpstr>
      <vt:lpstr>hxd.cds.layers.5.area_codes_select.mis</vt:lpstr>
      <vt:lpstr>hxd.cds.layers.5.area_codes_select.mjo</vt:lpstr>
      <vt:lpstr>hxd.cds.layers.5.area_codes_select.mma</vt:lpstr>
      <vt:lpstr>hxd.cds.layers.5.area_codes_select.mom</vt:lpstr>
      <vt:lpstr>hxd.cds.layers.5.area_codes_select.mpk</vt:lpstr>
      <vt:lpstr>hxd.cds.layers.5.area_codes_select.mqa</vt:lpstr>
      <vt:lpstr>hxd.cds.layers.5.area_codes_select.oa1</vt:lpstr>
      <vt:lpstr>hxd.cds.layers.5.area_codes_select.oa2</vt:lpstr>
      <vt:lpstr>hxd.cds.layers.5.area_codes_select.oa3</vt:lpstr>
      <vt:lpstr>hxd.cds.layers.5.area_codes_select.oa4</vt:lpstr>
      <vt:lpstr>hxd.cds.layers.5.area_codes_select.oa5</vt:lpstr>
      <vt:lpstr>hxd.cds.layers.5.area_codes_select.oa6</vt:lpstr>
      <vt:lpstr>hxd.cds.layers.5.area_codes_select.ofj</vt:lpstr>
      <vt:lpstr>hxd.cds.layers.5.area_codes_select.ogm</vt:lpstr>
      <vt:lpstr>hxd.cds.layers.5.area_codes_select.onz</vt:lpstr>
      <vt:lpstr>hxd.cds.layers.5.area_codes_select.opg</vt:lpstr>
      <vt:lpstr>hxd.cds.layers.5.area_codes_select.oph</vt:lpstr>
      <vt:lpstr>hxd.cds.layers.5.area_codes_select.ota</vt:lpstr>
      <vt:lpstr>hxd.cds.layers.5.area_codes_select.sar</vt:lpstr>
      <vt:lpstr>hxd.cds.layers.5.area_codes_select.sbr</vt:lpstr>
      <vt:lpstr>hxd.cds.layers.5.area_codes_select.sbv</vt:lpstr>
      <vt:lpstr>hxd.cds.layers.5.area_codes_select.sbz</vt:lpstr>
      <vt:lpstr>hxd.cds.layers.5.area_codes_select.scl</vt:lpstr>
      <vt:lpstr>hxd.cds.layers.5.area_codes_select.sco</vt:lpstr>
      <vt:lpstr>hxd.cds.layers.5.area_codes_select.scr</vt:lpstr>
      <vt:lpstr>hxd.cds.layers.5.area_codes_select.sec</vt:lpstr>
      <vt:lpstr>hxd.cds.layers.5.area_codes_select.sel</vt:lpstr>
      <vt:lpstr>hxd.cds.layers.5.area_codes_select.sgt</vt:lpstr>
      <vt:lpstr>hxd.cds.layers.5.area_codes_select.sgy</vt:lpstr>
      <vt:lpstr>hxd.cds.layers.5.area_codes_select.shn</vt:lpstr>
      <vt:lpstr>hxd.cds.layers.5.area_codes_select.smx</vt:lpstr>
      <vt:lpstr>hxd.cds.layers.5.area_codes_select.snq</vt:lpstr>
      <vt:lpstr>hxd.cds.layers.5.area_codes_select.spa</vt:lpstr>
      <vt:lpstr>hxd.cds.layers.5.area_codes_select.spe</vt:lpstr>
      <vt:lpstr>hxd.cds.layers.5.area_codes_select.spy</vt:lpstr>
      <vt:lpstr>hxd.cds.layers.5.area_codes_select.suy</vt:lpstr>
      <vt:lpstr>hxd.cds.layers.5.area_codes_select.sve</vt:lpstr>
      <vt:lpstr>hxd.cds.layers.5.area_codes_select.usa01</vt:lpstr>
      <vt:lpstr>hxd.cds.layers.5.area_codes_select.usa02</vt:lpstr>
      <vt:lpstr>hxd.cds.layers.5.area_codes_select.usa03</vt:lpstr>
      <vt:lpstr>hxd.cds.layers.5.area_codes_select.usa04</vt:lpstr>
      <vt:lpstr>hxd.cds.layers.5.area_codes_select.usa05</vt:lpstr>
      <vt:lpstr>hxd.cds.layers.5.area_codes_select.usa06</vt:lpstr>
      <vt:lpstr>hxd.cds.layers.5.area_codes_select.usa07</vt:lpstr>
      <vt:lpstr>hxd.cds.layers.5.area_codes_select.usa08</vt:lpstr>
      <vt:lpstr>hxd.cds.layers.5.area_codes_select.usa09</vt:lpstr>
      <vt:lpstr>hxd.cds.layers.5.area_codes_select.usa10</vt:lpstr>
      <vt:lpstr>hxd.cds.layers.5.area_codes_select.usa11</vt:lpstr>
      <vt:lpstr>hxd.cds.layers.5.area_codes_select.usa12</vt:lpstr>
      <vt:lpstr>hxd.cds.layers.5.area_codes_select.usa13</vt:lpstr>
      <vt:lpstr>hxd.cds.layers.5.area_codes_select.usa14</vt:lpstr>
      <vt:lpstr>hxd.cds.layers.5.area_codes_select.usa15</vt:lpstr>
      <vt:lpstr>hxd.cds.layers.5.area_codes_select.usa16</vt:lpstr>
      <vt:lpstr>hxd.cds.layers.5.area_codes_select.usa20</vt:lpstr>
      <vt:lpstr>hxd.cds.layers.5.area_codes_select.usa21</vt:lpstr>
      <vt:lpstr>hxd.cds.layers.5.area_codes_select.usa22</vt:lpstr>
      <vt:lpstr>hxd.cds.layers.5.excess</vt:lpstr>
      <vt:lpstr>hxd.cds.layers.5.excess_cnv</vt:lpstr>
      <vt:lpstr>hxd.cds.layers.5.layer_description</vt:lpstr>
      <vt:lpstr>hxd.cds.layers.5.leader</vt:lpstr>
      <vt:lpstr>hxd.cds.layers.5.limit</vt:lpstr>
      <vt:lpstr>hxd.cds.layers.5.limit_cnv</vt:lpstr>
      <vt:lpstr>hxd.cds.layers.5.marginal_impacts.treaty_group.mi_10</vt:lpstr>
      <vt:lpstr>hxd.cds.layers.5.marginal_impacts.treaty_group.mi_250</vt:lpstr>
      <vt:lpstr>hxd.cds.layers.5.marginal_impacts.treaty_intl.mi_10</vt:lpstr>
      <vt:lpstr>hxd.cds.layers.5.marginal_impacts.treaty_intl.mi_250</vt:lpstr>
      <vt:lpstr>hxd.cds.layers.5.marginal_impacts.treaty_us.mi_10</vt:lpstr>
      <vt:lpstr>hxd.cds.layers.5.marginal_impacts.treaty_us.mi_250</vt:lpstr>
      <vt:lpstr>hxd.cds.layers.5.model.air.gross_el</vt:lpstr>
      <vt:lpstr>hxd.cds.layers.5.model.air.gross_sd</vt:lpstr>
      <vt:lpstr>hxd.cds.layers.5.model.ivor.gross_el</vt:lpstr>
      <vt:lpstr>hxd.cds.layers.5.model.ivor.gross_sd</vt:lpstr>
      <vt:lpstr>hxd.cds.layers.5.model.nmp.description</vt:lpstr>
      <vt:lpstr>hxd.cds.layers.5.model.nmp.gross_el_incl_rol</vt:lpstr>
      <vt:lpstr>hxd.cds.layers.5.model.nmp.gross_sd_incl_rol</vt:lpstr>
      <vt:lpstr>hxd.cds.layers.5.model.rms.gross_el</vt:lpstr>
      <vt:lpstr>hxd.cds.layers.5.model.rms.gross_sd</vt:lpstr>
      <vt:lpstr>hxd.cds.layers.5.model.total_air_nmp.gross_el</vt:lpstr>
      <vt:lpstr>hxd.cds.layers.5.model.total_air_nmp.gross_sd</vt:lpstr>
      <vt:lpstr>hxd.cds.layers.5.model.total_rms_nmp.gross_el</vt:lpstr>
      <vt:lpstr>hxd.cds.layers.5.model.total_rms_nmp.gross_sd</vt:lpstr>
      <vt:lpstr>hxd.cds.layers.5.quote.rol_ty.bpi</vt:lpstr>
      <vt:lpstr>hxd.cds.layers.5.quote.rol_ty.est_sign_written_ratio</vt:lpstr>
      <vt:lpstr>hxd.cds.layers.5.quote.rol_ty.estimated_signing</vt:lpstr>
      <vt:lpstr>hxd.cds.layers.5.quote.rol_ty.roc</vt:lpstr>
      <vt:lpstr>hxd.cds.layers.5.quote.rol_ty.rol_afb_tech</vt:lpstr>
      <vt:lpstr>hxd.cds.layers.5.quote.rol_ty.rol_fot</vt:lpstr>
      <vt:lpstr>hxd.cds.layers.5.quote.rol_ty.rol_quote</vt:lpstr>
      <vt:lpstr>hxd.cds.layers.5.quote.rol_ty.signed_line</vt:lpstr>
      <vt:lpstr>hxd.cds.layers.5.quote.rol_ty.ulr</vt:lpstr>
      <vt:lpstr>hxd.cds.layers.5.quote.rol_ty.written_line</vt:lpstr>
      <vt:lpstr>hxd.cds.layers.5.rate_change.comments</vt:lpstr>
      <vt:lpstr>hxd.cds.layers.5.rate_change.deductible_change_fixed.final</vt:lpstr>
      <vt:lpstr>hxd.cds.layers.5.rate_change.exposure_change_fixed.comment</vt:lpstr>
      <vt:lpstr>hxd.cds.layers.5.rate_change.exposure_change_fixed.final</vt:lpstr>
      <vt:lpstr>hxd.cds.layers.5.rate_change.limit_change_fixed.comment</vt:lpstr>
      <vt:lpstr>hxd.cds.layers.5.rate_change.limit_change_fixed.final</vt:lpstr>
      <vt:lpstr>hxd.cds.layers.5.rate_change.other_change_fixed.final</vt:lpstr>
      <vt:lpstr>hxd.cds.layers.5.rate_change.rationale_outside_plan</vt:lpstr>
      <vt:lpstr>hxd.cds.layers.5.rate_change.risk_adjusted_rate_change</vt:lpstr>
      <vt:lpstr>hxd.cds.layers.5.rate_change.risk_characteristics_change_fixed.final</vt:lpstr>
      <vt:lpstr>hxd.cds.layers.5.rate_change.rol_ly_to_use</vt:lpstr>
      <vt:lpstr>hxd.cds.layers.5.rate_change.rol_rebased</vt:lpstr>
      <vt:lpstr>hxd.cds.layers.5.rate_change.terms_conditions_change_fixed.final</vt:lpstr>
      <vt:lpstr>hxd.cds.layers.5.rms_regional.al_miss</vt:lpstr>
      <vt:lpstr>hxd.cds.layers.5.rms_regional.ca_wildfire</vt:lpstr>
      <vt:lpstr>hxd.cds.layers.5.rms_regional.cal_north</vt:lpstr>
      <vt:lpstr>hxd.cds.layers.5.rms_regional.cal_south</vt:lpstr>
      <vt:lpstr>hxd.cds.layers.5.rms_regional.carolinas</vt:lpstr>
      <vt:lpstr>hxd.cds.layers.5.rms_regional.fl_non_se</vt:lpstr>
      <vt:lpstr>hxd.cds.layers.5.rms_regional.fl_se</vt:lpstr>
      <vt:lpstr>hxd.cds.layers.5.rms_regional.hawaii</vt:lpstr>
      <vt:lpstr>hxd.cds.layers.5.rms_regional.louisiana</vt:lpstr>
      <vt:lpstr>hxd.cds.layers.5.rms_regional.mid_atlantic</vt:lpstr>
      <vt:lpstr>hxd.cds.layers.5.rms_regional.mid_west_1</vt:lpstr>
      <vt:lpstr>hxd.cds.layers.5.rms_regional.mid_west_2</vt:lpstr>
      <vt:lpstr>hxd.cds.layers.5.rms_regional.new_madrid</vt:lpstr>
      <vt:lpstr>hxd.cds.layers.5.rms_regional.north_east</vt:lpstr>
      <vt:lpstr>hxd.cds.layers.5.rms_regional.pnw</vt:lpstr>
      <vt:lpstr>hxd.cds.layers.5.rms_regional.second_event</vt:lpstr>
      <vt:lpstr>hxd.cds.layers.5.rms_regional.tx_east</vt:lpstr>
      <vt:lpstr>hxd.cds.layers.5.rms_regional.tx_west</vt:lpstr>
      <vt:lpstr>hxd.cds.layers.5.section_reference</vt:lpstr>
      <vt:lpstr>hxd.cds.layers.5.summary.next_year.section_reference</vt:lpstr>
      <vt:lpstr>hxd.cds.layers.5.summary.ty.epi_adj_rate</vt:lpstr>
      <vt:lpstr>hxd.cds.layers.5.summary.ty.epi_estimated_summary_fx</vt:lpstr>
      <vt:lpstr>hxd.cds.layers.5.summary.ty.epi_signed_summary_fx</vt:lpstr>
      <vt:lpstr>hxd.cds.layers.5.summary.ty.epi_written_summary_fx</vt:lpstr>
      <vt:lpstr>hxd.cds.layers.5.summary.ty.fot_adequacy</vt:lpstr>
      <vt:lpstr>hxd.cds.layers.5.summary.ty.line_estimated_summary_fx</vt:lpstr>
      <vt:lpstr>hxd.cds.layers.5.summary.ty.line_signed_summary_fx</vt:lpstr>
      <vt:lpstr>hxd.cds.layers.5.summary.ty.line_written_summary_fx</vt:lpstr>
      <vt:lpstr>hxd.cds.layers.5.summary.ty.mi_10</vt:lpstr>
      <vt:lpstr>hxd.cds.layers.5.summary.ty.mi_10_prem_ratio</vt:lpstr>
      <vt:lpstr>hxd.cds.layers.5.summary.ty.mi_250</vt:lpstr>
      <vt:lpstr>hxd.cds.layers.5.summary.ty.mi_250_prem_ratio</vt:lpstr>
      <vt:lpstr>hxd.cds.layers.5.summary.ty.multi_year_period</vt:lpstr>
      <vt:lpstr>hxd.cds.layers.5.summary.ty.prem_full_line</vt:lpstr>
      <vt:lpstr>hxd.cds.layers.5.summary.ty.reinstatement_description</vt:lpstr>
      <vt:lpstr>hxd.cds.layers.5.summary.ty.rms_adequacy</vt:lpstr>
      <vt:lpstr>hxd.cds.layers.5.summary.year_after_next.section_reference</vt:lpstr>
      <vt:lpstr>hxd.cds.layers.6.area_codes_perc.aal</vt:lpstr>
      <vt:lpstr>hxd.cds.layers.6.area_codes_perc.aeg</vt:lpstr>
      <vt:lpstr>hxd.cds.layers.6.area_codes_perc.ali</vt:lpstr>
      <vt:lpstr>hxd.cds.layers.6.area_codes_perc.amo</vt:lpstr>
      <vt:lpstr>hxd.cds.layers.6.area_codes_perc.amu</vt:lpstr>
      <vt:lpstr>hxd.cds.layers.6.area_codes_perc.asa</vt:lpstr>
      <vt:lpstr>hxd.cds.layers.6.area_codes_perc.bag</vt:lpstr>
      <vt:lpstr>hxd.cds.layers.6.area_codes_perc.bah</vt:lpstr>
      <vt:lpstr>hxd.cds.layers.6.area_codes_perc.ban</vt:lpstr>
      <vt:lpstr>hxd.cds.layers.6.area_codes_perc.bbb</vt:lpstr>
      <vt:lpstr>hxd.cds.layers.6.area_codes_perc.bbh</vt:lpstr>
      <vt:lpstr>hxd.cds.layers.6.area_codes_perc.bbm</vt:lpstr>
      <vt:lpstr>hxd.cds.layers.6.area_codes_perc.bcb</vt:lpstr>
      <vt:lpstr>hxd.cds.layers.6.area_codes_perc.bcm</vt:lpstr>
      <vt:lpstr>hxd.cds.layers.6.area_codes_perc.bcu</vt:lpstr>
      <vt:lpstr>hxd.cds.layers.6.area_codes_perc.bdo</vt:lpstr>
      <vt:lpstr>hxd.cds.layers.6.area_codes_perc.bdr</vt:lpstr>
      <vt:lpstr>hxd.cds.layers.6.area_codes_perc.bgn</vt:lpstr>
      <vt:lpstr>hxd.cds.layers.6.area_codes_perc.bgs</vt:lpstr>
      <vt:lpstr>hxd.cds.layers.6.area_codes_perc.bgu</vt:lpstr>
      <vt:lpstr>hxd.cds.layers.6.area_codes_perc.bht</vt:lpstr>
      <vt:lpstr>hxd.cds.layers.6.area_codes_perc.bjm</vt:lpstr>
      <vt:lpstr>hxd.cds.layers.6.area_codes_perc.bkn</vt:lpstr>
      <vt:lpstr>hxd.cds.layers.6.area_codes_perc.bmq</vt:lpstr>
      <vt:lpstr>hxd.cds.layers.6.area_codes_perc.bms</vt:lpstr>
      <vt:lpstr>hxd.cds.layers.6.area_codes_perc.bon</vt:lpstr>
      <vt:lpstr>hxd.cds.layers.6.area_codes_perc.bpr</vt:lpstr>
      <vt:lpstr>hxd.cds.layers.6.area_codes_perc.bsl</vt:lpstr>
      <vt:lpstr>hxd.cds.layers.6.area_codes_perc.bsv</vt:lpstr>
      <vt:lpstr>hxd.cds.layers.6.area_codes_perc.bv1</vt:lpstr>
      <vt:lpstr>hxd.cds.layers.6.area_codes_perc.bvs</vt:lpstr>
      <vt:lpstr>hxd.cds.layers.6.area_codes_perc.bx7</vt:lpstr>
      <vt:lpstr>hxd.cds.layers.6.area_codes_perc.cat</vt:lpstr>
      <vt:lpstr>hxd.cds.layers.6.area_codes_perc.cbc</vt:lpstr>
      <vt:lpstr>hxd.cds.layers.6.area_codes_perc.cef</vt:lpstr>
      <vt:lpstr>hxd.cds.layers.6.area_codes_perc.con</vt:lpstr>
      <vt:lpstr>hxd.cds.layers.6.area_codes_perc.cpr</vt:lpstr>
      <vt:lpstr>hxd.cds.layers.6.area_codes_perc.cqu</vt:lpstr>
      <vt:lpstr>hxd.cds.layers.6.area_codes_perc.eat</vt:lpstr>
      <vt:lpstr>hxd.cds.layers.6.area_codes_perc.ebe</vt:lpstr>
      <vt:lpstr>hxd.cds.layers.6.area_codes_perc.ebg</vt:lpstr>
      <vt:lpstr>hxd.cds.layers.6.area_codes_perc.ech</vt:lpstr>
      <vt:lpstr>hxd.cds.layers.6.area_codes_perc.ecx</vt:lpstr>
      <vt:lpstr>hxd.cds.layers.6.area_codes_perc.ecz</vt:lpstr>
      <vt:lpstr>hxd.cds.layers.6.area_codes_perc.edk</vt:lpstr>
      <vt:lpstr>hxd.cds.layers.6.area_codes_perc.ees</vt:lpstr>
      <vt:lpstr>hxd.cds.layers.6.area_codes_perc.efi</vt:lpstr>
      <vt:lpstr>hxd.cds.layers.6.area_codes_perc.efr</vt:lpstr>
      <vt:lpstr>hxd.cds.layers.6.area_codes_perc.ege</vt:lpstr>
      <vt:lpstr>hxd.cds.layers.6.area_codes_perc.egf</vt:lpstr>
      <vt:lpstr>hxd.cds.layers.6.area_codes_perc.egr</vt:lpstr>
      <vt:lpstr>hxd.cds.layers.6.area_codes_perc.ehu</vt:lpstr>
      <vt:lpstr>hxd.cds.layers.6.area_codes_perc.eic</vt:lpstr>
      <vt:lpstr>hxd.cds.layers.6.area_codes_perc.eie</vt:lpstr>
      <vt:lpstr>hxd.cds.layers.6.area_codes_perc.eit</vt:lpstr>
      <vt:lpstr>hxd.cds.layers.6.area_codes_perc.emz</vt:lpstr>
      <vt:lpstr>hxd.cds.layers.6.area_codes_perc.enl</vt:lpstr>
      <vt:lpstr>hxd.cds.layers.6.area_codes_perc.eno</vt:lpstr>
      <vt:lpstr>hxd.cds.layers.6.area_codes_perc.epl</vt:lpstr>
      <vt:lpstr>hxd.cds.layers.6.area_codes_perc.ept</vt:lpstr>
      <vt:lpstr>hxd.cds.layers.6.area_codes_perc.ero</vt:lpstr>
      <vt:lpstr>hxd.cds.layers.6.area_codes_perc.eru</vt:lpstr>
      <vt:lpstr>hxd.cds.layers.6.area_codes_perc.esb</vt:lpstr>
      <vt:lpstr>hxd.cds.layers.6.area_codes_perc.esc</vt:lpstr>
      <vt:lpstr>hxd.cds.layers.6.area_codes_perc.ese</vt:lpstr>
      <vt:lpstr>hxd.cds.layers.6.area_codes_perc.esr</vt:lpstr>
      <vt:lpstr>hxd.cds.layers.6.area_codes_perc.etu</vt:lpstr>
      <vt:lpstr>hxd.cds.layers.6.area_codes_perc.euf</vt:lpstr>
      <vt:lpstr>hxd.cds.layers.6.area_codes_perc.euk</vt:lpstr>
      <vt:lpstr>hxd.cds.layers.6.area_codes_perc.fby</vt:lpstr>
      <vt:lpstr>hxd.cds.layers.6.area_codes_perc.fcq</vt:lpstr>
      <vt:lpstr>hxd.cds.layers.6.area_codes_perc.fct</vt:lpstr>
      <vt:lpstr>hxd.cds.layers.6.area_codes_perc.fcy</vt:lpstr>
      <vt:lpstr>hxd.cds.layers.6.area_codes_perc.fhk</vt:lpstr>
      <vt:lpstr>hxd.cds.layers.6.area_codes_perc.fia</vt:lpstr>
      <vt:lpstr>hxd.cds.layers.6.area_codes_perc.fjq</vt:lpstr>
      <vt:lpstr>hxd.cds.layers.6.area_codes_perc.fjw</vt:lpstr>
      <vt:lpstr>hxd.cds.layers.6.area_codes_perc.fkr</vt:lpstr>
      <vt:lpstr>hxd.cds.layers.6.area_codes_perc.fmy</vt:lpstr>
      <vt:lpstr>hxd.cds.layers.6.area_codes_perc.fnp</vt:lpstr>
      <vt:lpstr>hxd.cds.layers.6.area_codes_perc.fsk</vt:lpstr>
      <vt:lpstr>hxd.cds.layers.6.area_codes_perc.fsp</vt:lpstr>
      <vt:lpstr>hxd.cds.layers.6.area_codes_perc.fta</vt:lpstr>
      <vt:lpstr>hxd.cds.layers.6.area_codes_perc.fth</vt:lpstr>
      <vt:lpstr>hxd.cds.layers.6.area_codes_perc.fvn</vt:lpstr>
      <vt:lpstr>hxd.cds.layers.6.area_codes_perc.mae</vt:lpstr>
      <vt:lpstr>hxd.cds.layers.6.area_codes_perc.mba</vt:lpstr>
      <vt:lpstr>hxd.cds.layers.6.area_codes_perc.mbd</vt:lpstr>
      <vt:lpstr>hxd.cds.layers.6.area_codes_perc.min</vt:lpstr>
      <vt:lpstr>hxd.cds.layers.6.area_codes_perc.mis</vt:lpstr>
      <vt:lpstr>hxd.cds.layers.6.area_codes_perc.mjo</vt:lpstr>
      <vt:lpstr>hxd.cds.layers.6.area_codes_perc.mma</vt:lpstr>
      <vt:lpstr>hxd.cds.layers.6.area_codes_perc.mom</vt:lpstr>
      <vt:lpstr>hxd.cds.layers.6.area_codes_perc.mpk</vt:lpstr>
      <vt:lpstr>hxd.cds.layers.6.area_codes_perc.mqa</vt:lpstr>
      <vt:lpstr>hxd.cds.layers.6.area_codes_perc.oa1</vt:lpstr>
      <vt:lpstr>hxd.cds.layers.6.area_codes_perc.oa2</vt:lpstr>
      <vt:lpstr>hxd.cds.layers.6.area_codes_perc.oa3</vt:lpstr>
      <vt:lpstr>hxd.cds.layers.6.area_codes_perc.oa4</vt:lpstr>
      <vt:lpstr>hxd.cds.layers.6.area_codes_perc.oa5</vt:lpstr>
      <vt:lpstr>hxd.cds.layers.6.area_codes_perc.oa6</vt:lpstr>
      <vt:lpstr>hxd.cds.layers.6.area_codes_perc.ofj</vt:lpstr>
      <vt:lpstr>hxd.cds.layers.6.area_codes_perc.ogm</vt:lpstr>
      <vt:lpstr>hxd.cds.layers.6.area_codes_perc.onz</vt:lpstr>
      <vt:lpstr>hxd.cds.layers.6.area_codes_perc.opg</vt:lpstr>
      <vt:lpstr>hxd.cds.layers.6.area_codes_perc.oph</vt:lpstr>
      <vt:lpstr>hxd.cds.layers.6.area_codes_perc.ota</vt:lpstr>
      <vt:lpstr>hxd.cds.layers.6.area_codes_perc.sar</vt:lpstr>
      <vt:lpstr>hxd.cds.layers.6.area_codes_perc.sbr</vt:lpstr>
      <vt:lpstr>hxd.cds.layers.6.area_codes_perc.sbv</vt:lpstr>
      <vt:lpstr>hxd.cds.layers.6.area_codes_perc.sbz</vt:lpstr>
      <vt:lpstr>hxd.cds.layers.6.area_codes_perc.scl</vt:lpstr>
      <vt:lpstr>hxd.cds.layers.6.area_codes_perc.sco</vt:lpstr>
      <vt:lpstr>hxd.cds.layers.6.area_codes_perc.scr</vt:lpstr>
      <vt:lpstr>hxd.cds.layers.6.area_codes_perc.sec</vt:lpstr>
      <vt:lpstr>hxd.cds.layers.6.area_codes_perc.sel</vt:lpstr>
      <vt:lpstr>hxd.cds.layers.6.area_codes_perc.sgt</vt:lpstr>
      <vt:lpstr>hxd.cds.layers.6.area_codes_perc.sgy</vt:lpstr>
      <vt:lpstr>hxd.cds.layers.6.area_codes_perc.shn</vt:lpstr>
      <vt:lpstr>hxd.cds.layers.6.area_codes_perc.smx</vt:lpstr>
      <vt:lpstr>hxd.cds.layers.6.area_codes_perc.snq</vt:lpstr>
      <vt:lpstr>hxd.cds.layers.6.area_codes_perc.spa</vt:lpstr>
      <vt:lpstr>hxd.cds.layers.6.area_codes_perc.spe</vt:lpstr>
      <vt:lpstr>hxd.cds.layers.6.area_codes_perc.spy</vt:lpstr>
      <vt:lpstr>hxd.cds.layers.6.area_codes_perc.suy</vt:lpstr>
      <vt:lpstr>hxd.cds.layers.6.area_codes_perc.sve</vt:lpstr>
      <vt:lpstr>hxd.cds.layers.6.area_codes_perc.usa01</vt:lpstr>
      <vt:lpstr>hxd.cds.layers.6.area_codes_perc.usa02</vt:lpstr>
      <vt:lpstr>hxd.cds.layers.6.area_codes_perc.usa03</vt:lpstr>
      <vt:lpstr>hxd.cds.layers.6.area_codes_perc.usa04</vt:lpstr>
      <vt:lpstr>hxd.cds.layers.6.area_codes_perc.usa05</vt:lpstr>
      <vt:lpstr>hxd.cds.layers.6.area_codes_perc.usa06</vt:lpstr>
      <vt:lpstr>hxd.cds.layers.6.area_codes_perc.usa07</vt:lpstr>
      <vt:lpstr>hxd.cds.layers.6.area_codes_perc.usa08</vt:lpstr>
      <vt:lpstr>hxd.cds.layers.6.area_codes_perc.usa09</vt:lpstr>
      <vt:lpstr>hxd.cds.layers.6.area_codes_perc.usa10</vt:lpstr>
      <vt:lpstr>hxd.cds.layers.6.area_codes_perc.usa11</vt:lpstr>
      <vt:lpstr>hxd.cds.layers.6.area_codes_perc.usa12</vt:lpstr>
      <vt:lpstr>hxd.cds.layers.6.area_codes_perc.usa13</vt:lpstr>
      <vt:lpstr>hxd.cds.layers.6.area_codes_perc.usa14</vt:lpstr>
      <vt:lpstr>hxd.cds.layers.6.area_codes_perc.usa15</vt:lpstr>
      <vt:lpstr>hxd.cds.layers.6.area_codes_perc.usa16</vt:lpstr>
      <vt:lpstr>hxd.cds.layers.6.area_codes_perc.usa20</vt:lpstr>
      <vt:lpstr>hxd.cds.layers.6.area_codes_perc.usa21</vt:lpstr>
      <vt:lpstr>hxd.cds.layers.6.area_codes_perc.usa22</vt:lpstr>
      <vt:lpstr>hxd.cds.layers.6.area_codes_select.aal</vt:lpstr>
      <vt:lpstr>hxd.cds.layers.6.area_codes_select.aeg</vt:lpstr>
      <vt:lpstr>hxd.cds.layers.6.area_codes_select.ali</vt:lpstr>
      <vt:lpstr>hxd.cds.layers.6.area_codes_select.amo</vt:lpstr>
      <vt:lpstr>hxd.cds.layers.6.area_codes_select.amu</vt:lpstr>
      <vt:lpstr>hxd.cds.layers.6.area_codes_select.asa</vt:lpstr>
      <vt:lpstr>hxd.cds.layers.6.area_codes_select.bag</vt:lpstr>
      <vt:lpstr>hxd.cds.layers.6.area_codes_select.bah</vt:lpstr>
      <vt:lpstr>hxd.cds.layers.6.area_codes_select.ban</vt:lpstr>
      <vt:lpstr>hxd.cds.layers.6.area_codes_select.bbb</vt:lpstr>
      <vt:lpstr>hxd.cds.layers.6.area_codes_select.bbh</vt:lpstr>
      <vt:lpstr>hxd.cds.layers.6.area_codes_select.bbm</vt:lpstr>
      <vt:lpstr>hxd.cds.layers.6.area_codes_select.bcb</vt:lpstr>
      <vt:lpstr>hxd.cds.layers.6.area_codes_select.bcm</vt:lpstr>
      <vt:lpstr>hxd.cds.layers.6.area_codes_select.bcu</vt:lpstr>
      <vt:lpstr>hxd.cds.layers.6.area_codes_select.bdo</vt:lpstr>
      <vt:lpstr>hxd.cds.layers.6.area_codes_select.bdr</vt:lpstr>
      <vt:lpstr>hxd.cds.layers.6.area_codes_select.bgn</vt:lpstr>
      <vt:lpstr>hxd.cds.layers.6.area_codes_select.bgs</vt:lpstr>
      <vt:lpstr>hxd.cds.layers.6.area_codes_select.bgu</vt:lpstr>
      <vt:lpstr>hxd.cds.layers.6.area_codes_select.bht</vt:lpstr>
      <vt:lpstr>hxd.cds.layers.6.area_codes_select.bjm</vt:lpstr>
      <vt:lpstr>hxd.cds.layers.6.area_codes_select.bkn</vt:lpstr>
      <vt:lpstr>hxd.cds.layers.6.area_codes_select.bmq</vt:lpstr>
      <vt:lpstr>hxd.cds.layers.6.area_codes_select.bms</vt:lpstr>
      <vt:lpstr>hxd.cds.layers.6.area_codes_select.bon</vt:lpstr>
      <vt:lpstr>hxd.cds.layers.6.area_codes_select.bpr</vt:lpstr>
      <vt:lpstr>hxd.cds.layers.6.area_codes_select.bsl</vt:lpstr>
      <vt:lpstr>hxd.cds.layers.6.area_codes_select.bsv</vt:lpstr>
      <vt:lpstr>hxd.cds.layers.6.area_codes_select.bv1</vt:lpstr>
      <vt:lpstr>hxd.cds.layers.6.area_codes_select.bvs</vt:lpstr>
      <vt:lpstr>hxd.cds.layers.6.area_codes_select.bx7</vt:lpstr>
      <vt:lpstr>hxd.cds.layers.6.area_codes_select.cat</vt:lpstr>
      <vt:lpstr>hxd.cds.layers.6.area_codes_select.cbc</vt:lpstr>
      <vt:lpstr>hxd.cds.layers.6.area_codes_select.cef</vt:lpstr>
      <vt:lpstr>hxd.cds.layers.6.area_codes_select.con</vt:lpstr>
      <vt:lpstr>hxd.cds.layers.6.area_codes_select.cpr</vt:lpstr>
      <vt:lpstr>hxd.cds.layers.6.area_codes_select.cqu</vt:lpstr>
      <vt:lpstr>hxd.cds.layers.6.area_codes_select.eat</vt:lpstr>
      <vt:lpstr>hxd.cds.layers.6.area_codes_select.ebe</vt:lpstr>
      <vt:lpstr>hxd.cds.layers.6.area_codes_select.ebg</vt:lpstr>
      <vt:lpstr>hxd.cds.layers.6.area_codes_select.ech</vt:lpstr>
      <vt:lpstr>hxd.cds.layers.6.area_codes_select.ecx</vt:lpstr>
      <vt:lpstr>hxd.cds.layers.6.area_codes_select.ecz</vt:lpstr>
      <vt:lpstr>hxd.cds.layers.6.area_codes_select.edk</vt:lpstr>
      <vt:lpstr>hxd.cds.layers.6.area_codes_select.ees</vt:lpstr>
      <vt:lpstr>hxd.cds.layers.6.area_codes_select.efi</vt:lpstr>
      <vt:lpstr>hxd.cds.layers.6.area_codes_select.efr</vt:lpstr>
      <vt:lpstr>hxd.cds.layers.6.area_codes_select.ege</vt:lpstr>
      <vt:lpstr>hxd.cds.layers.6.area_codes_select.egf</vt:lpstr>
      <vt:lpstr>hxd.cds.layers.6.area_codes_select.egr</vt:lpstr>
      <vt:lpstr>hxd.cds.layers.6.area_codes_select.ehu</vt:lpstr>
      <vt:lpstr>hxd.cds.layers.6.area_codes_select.eic</vt:lpstr>
      <vt:lpstr>hxd.cds.layers.6.area_codes_select.eie</vt:lpstr>
      <vt:lpstr>hxd.cds.layers.6.area_codes_select.eit</vt:lpstr>
      <vt:lpstr>hxd.cds.layers.6.area_codes_select.emz</vt:lpstr>
      <vt:lpstr>hxd.cds.layers.6.area_codes_select.enl</vt:lpstr>
      <vt:lpstr>hxd.cds.layers.6.area_codes_select.eno</vt:lpstr>
      <vt:lpstr>hxd.cds.layers.6.area_codes_select.epl</vt:lpstr>
      <vt:lpstr>hxd.cds.layers.6.area_codes_select.ept</vt:lpstr>
      <vt:lpstr>hxd.cds.layers.6.area_codes_select.ero</vt:lpstr>
      <vt:lpstr>hxd.cds.layers.6.area_codes_select.eru</vt:lpstr>
      <vt:lpstr>hxd.cds.layers.6.area_codes_select.esb</vt:lpstr>
      <vt:lpstr>hxd.cds.layers.6.area_codes_select.esc</vt:lpstr>
      <vt:lpstr>hxd.cds.layers.6.area_codes_select.ese</vt:lpstr>
      <vt:lpstr>hxd.cds.layers.6.area_codes_select.esr</vt:lpstr>
      <vt:lpstr>hxd.cds.layers.6.area_codes_select.etu</vt:lpstr>
      <vt:lpstr>hxd.cds.layers.6.area_codes_select.euf</vt:lpstr>
      <vt:lpstr>hxd.cds.layers.6.area_codes_select.euk</vt:lpstr>
      <vt:lpstr>hxd.cds.layers.6.area_codes_select.fby</vt:lpstr>
      <vt:lpstr>hxd.cds.layers.6.area_codes_select.fcq</vt:lpstr>
      <vt:lpstr>hxd.cds.layers.6.area_codes_select.fct</vt:lpstr>
      <vt:lpstr>hxd.cds.layers.6.area_codes_select.fcy</vt:lpstr>
      <vt:lpstr>hxd.cds.layers.6.area_codes_select.fhk</vt:lpstr>
      <vt:lpstr>hxd.cds.layers.6.area_codes_select.fia</vt:lpstr>
      <vt:lpstr>hxd.cds.layers.6.area_codes_select.fjq</vt:lpstr>
      <vt:lpstr>hxd.cds.layers.6.area_codes_select.fjw</vt:lpstr>
      <vt:lpstr>hxd.cds.layers.6.area_codes_select.fkr</vt:lpstr>
      <vt:lpstr>hxd.cds.layers.6.area_codes_select.fmy</vt:lpstr>
      <vt:lpstr>hxd.cds.layers.6.area_codes_select.fnp</vt:lpstr>
      <vt:lpstr>hxd.cds.layers.6.area_codes_select.fsk</vt:lpstr>
      <vt:lpstr>hxd.cds.layers.6.area_codes_select.fsp</vt:lpstr>
      <vt:lpstr>hxd.cds.layers.6.area_codes_select.fta</vt:lpstr>
      <vt:lpstr>hxd.cds.layers.6.area_codes_select.fth</vt:lpstr>
      <vt:lpstr>hxd.cds.layers.6.area_codes_select.fvn</vt:lpstr>
      <vt:lpstr>hxd.cds.layers.6.area_codes_select.mae</vt:lpstr>
      <vt:lpstr>hxd.cds.layers.6.area_codes_select.mba</vt:lpstr>
      <vt:lpstr>hxd.cds.layers.6.area_codes_select.mbd</vt:lpstr>
      <vt:lpstr>hxd.cds.layers.6.area_codes_select.min</vt:lpstr>
      <vt:lpstr>hxd.cds.layers.6.area_codes_select.mis</vt:lpstr>
      <vt:lpstr>hxd.cds.layers.6.area_codes_select.mjo</vt:lpstr>
      <vt:lpstr>hxd.cds.layers.6.area_codes_select.mma</vt:lpstr>
      <vt:lpstr>hxd.cds.layers.6.area_codes_select.mom</vt:lpstr>
      <vt:lpstr>hxd.cds.layers.6.area_codes_select.mpk</vt:lpstr>
      <vt:lpstr>hxd.cds.layers.6.area_codes_select.mqa</vt:lpstr>
      <vt:lpstr>hxd.cds.layers.6.area_codes_select.oa1</vt:lpstr>
      <vt:lpstr>hxd.cds.layers.6.area_codes_select.oa2</vt:lpstr>
      <vt:lpstr>hxd.cds.layers.6.area_codes_select.oa3</vt:lpstr>
      <vt:lpstr>hxd.cds.layers.6.area_codes_select.oa4</vt:lpstr>
      <vt:lpstr>hxd.cds.layers.6.area_codes_select.oa5</vt:lpstr>
      <vt:lpstr>hxd.cds.layers.6.area_codes_select.oa6</vt:lpstr>
      <vt:lpstr>hxd.cds.layers.6.area_codes_select.ofj</vt:lpstr>
      <vt:lpstr>hxd.cds.layers.6.area_codes_select.ogm</vt:lpstr>
      <vt:lpstr>hxd.cds.layers.6.area_codes_select.onz</vt:lpstr>
      <vt:lpstr>hxd.cds.layers.6.area_codes_select.opg</vt:lpstr>
      <vt:lpstr>hxd.cds.layers.6.area_codes_select.oph</vt:lpstr>
      <vt:lpstr>hxd.cds.layers.6.area_codes_select.ota</vt:lpstr>
      <vt:lpstr>hxd.cds.layers.6.area_codes_select.sar</vt:lpstr>
      <vt:lpstr>hxd.cds.layers.6.area_codes_select.sbr</vt:lpstr>
      <vt:lpstr>hxd.cds.layers.6.area_codes_select.sbv</vt:lpstr>
      <vt:lpstr>hxd.cds.layers.6.area_codes_select.sbz</vt:lpstr>
      <vt:lpstr>hxd.cds.layers.6.area_codes_select.scl</vt:lpstr>
      <vt:lpstr>hxd.cds.layers.6.area_codes_select.sco</vt:lpstr>
      <vt:lpstr>hxd.cds.layers.6.area_codes_select.scr</vt:lpstr>
      <vt:lpstr>hxd.cds.layers.6.area_codes_select.sec</vt:lpstr>
      <vt:lpstr>hxd.cds.layers.6.area_codes_select.sel</vt:lpstr>
      <vt:lpstr>hxd.cds.layers.6.area_codes_select.sgt</vt:lpstr>
      <vt:lpstr>hxd.cds.layers.6.area_codes_select.sgy</vt:lpstr>
      <vt:lpstr>hxd.cds.layers.6.area_codes_select.shn</vt:lpstr>
      <vt:lpstr>hxd.cds.layers.6.area_codes_select.smx</vt:lpstr>
      <vt:lpstr>hxd.cds.layers.6.area_codes_select.snq</vt:lpstr>
      <vt:lpstr>hxd.cds.layers.6.area_codes_select.spa</vt:lpstr>
      <vt:lpstr>hxd.cds.layers.6.area_codes_select.spe</vt:lpstr>
      <vt:lpstr>hxd.cds.layers.6.area_codes_select.spy</vt:lpstr>
      <vt:lpstr>hxd.cds.layers.6.area_codes_select.suy</vt:lpstr>
      <vt:lpstr>hxd.cds.layers.6.area_codes_select.sve</vt:lpstr>
      <vt:lpstr>hxd.cds.layers.6.area_codes_select.usa01</vt:lpstr>
      <vt:lpstr>hxd.cds.layers.6.area_codes_select.usa02</vt:lpstr>
      <vt:lpstr>hxd.cds.layers.6.area_codes_select.usa03</vt:lpstr>
      <vt:lpstr>hxd.cds.layers.6.area_codes_select.usa04</vt:lpstr>
      <vt:lpstr>hxd.cds.layers.6.area_codes_select.usa05</vt:lpstr>
      <vt:lpstr>hxd.cds.layers.6.area_codes_select.usa06</vt:lpstr>
      <vt:lpstr>hxd.cds.layers.6.area_codes_select.usa07</vt:lpstr>
      <vt:lpstr>hxd.cds.layers.6.area_codes_select.usa08</vt:lpstr>
      <vt:lpstr>hxd.cds.layers.6.area_codes_select.usa09</vt:lpstr>
      <vt:lpstr>hxd.cds.layers.6.area_codes_select.usa10</vt:lpstr>
      <vt:lpstr>hxd.cds.layers.6.area_codes_select.usa11</vt:lpstr>
      <vt:lpstr>hxd.cds.layers.6.area_codes_select.usa12</vt:lpstr>
      <vt:lpstr>hxd.cds.layers.6.area_codes_select.usa13</vt:lpstr>
      <vt:lpstr>hxd.cds.layers.6.area_codes_select.usa14</vt:lpstr>
      <vt:lpstr>hxd.cds.layers.6.area_codes_select.usa15</vt:lpstr>
      <vt:lpstr>hxd.cds.layers.6.area_codes_select.usa16</vt:lpstr>
      <vt:lpstr>hxd.cds.layers.6.area_codes_select.usa20</vt:lpstr>
      <vt:lpstr>hxd.cds.layers.6.area_codes_select.usa21</vt:lpstr>
      <vt:lpstr>hxd.cds.layers.6.area_codes_select.usa22</vt:lpstr>
      <vt:lpstr>hxd.cds.layers.6.excess</vt:lpstr>
      <vt:lpstr>hxd.cds.layers.6.excess_cnv</vt:lpstr>
      <vt:lpstr>hxd.cds.layers.6.layer_description</vt:lpstr>
      <vt:lpstr>hxd.cds.layers.6.leader</vt:lpstr>
      <vt:lpstr>hxd.cds.layers.6.limit</vt:lpstr>
      <vt:lpstr>hxd.cds.layers.6.limit_cnv</vt:lpstr>
      <vt:lpstr>hxd.cds.layers.6.marginal_impacts.treaty_group.mi_10</vt:lpstr>
      <vt:lpstr>hxd.cds.layers.6.marginal_impacts.treaty_group.mi_250</vt:lpstr>
      <vt:lpstr>hxd.cds.layers.6.marginal_impacts.treaty_intl.mi_10</vt:lpstr>
      <vt:lpstr>hxd.cds.layers.6.marginal_impacts.treaty_intl.mi_250</vt:lpstr>
      <vt:lpstr>hxd.cds.layers.6.marginal_impacts.treaty_us.mi_10</vt:lpstr>
      <vt:lpstr>hxd.cds.layers.6.marginal_impacts.treaty_us.mi_250</vt:lpstr>
      <vt:lpstr>hxd.cds.layers.6.model.air.gross_el</vt:lpstr>
      <vt:lpstr>hxd.cds.layers.6.model.air.gross_sd</vt:lpstr>
      <vt:lpstr>hxd.cds.layers.6.model.ivor.gross_el</vt:lpstr>
      <vt:lpstr>hxd.cds.layers.6.model.ivor.gross_sd</vt:lpstr>
      <vt:lpstr>hxd.cds.layers.6.model.nmp.description</vt:lpstr>
      <vt:lpstr>hxd.cds.layers.6.model.nmp.gross_el_incl_rol</vt:lpstr>
      <vt:lpstr>hxd.cds.layers.6.model.nmp.gross_sd_incl_rol</vt:lpstr>
      <vt:lpstr>hxd.cds.layers.6.model.rms.gross_el</vt:lpstr>
      <vt:lpstr>hxd.cds.layers.6.model.rms.gross_sd</vt:lpstr>
      <vt:lpstr>hxd.cds.layers.6.model.total_air_nmp.gross_el</vt:lpstr>
      <vt:lpstr>hxd.cds.layers.6.model.total_air_nmp.gross_sd</vt:lpstr>
      <vt:lpstr>hxd.cds.layers.6.model.total_rms_nmp.gross_el</vt:lpstr>
      <vt:lpstr>hxd.cds.layers.6.model.total_rms_nmp.gross_sd</vt:lpstr>
      <vt:lpstr>hxd.cds.layers.6.quote.rol_ty.bpi</vt:lpstr>
      <vt:lpstr>hxd.cds.layers.6.quote.rol_ty.est_sign_written_ratio</vt:lpstr>
      <vt:lpstr>hxd.cds.layers.6.quote.rol_ty.estimated_signing</vt:lpstr>
      <vt:lpstr>hxd.cds.layers.6.quote.rol_ty.roc</vt:lpstr>
      <vt:lpstr>hxd.cds.layers.6.quote.rol_ty.rol_afb_tech</vt:lpstr>
      <vt:lpstr>hxd.cds.layers.6.quote.rol_ty.rol_fot</vt:lpstr>
      <vt:lpstr>hxd.cds.layers.6.quote.rol_ty.rol_quote</vt:lpstr>
      <vt:lpstr>hxd.cds.layers.6.quote.rol_ty.signed_line</vt:lpstr>
      <vt:lpstr>hxd.cds.layers.6.quote.rol_ty.ulr</vt:lpstr>
      <vt:lpstr>hxd.cds.layers.6.quote.rol_ty.written_line</vt:lpstr>
      <vt:lpstr>hxd.cds.layers.6.rate_change.comments</vt:lpstr>
      <vt:lpstr>hxd.cds.layers.6.rate_change.deductible_change_fixed.final</vt:lpstr>
      <vt:lpstr>hxd.cds.layers.6.rate_change.exposure_change_fixed.comment</vt:lpstr>
      <vt:lpstr>hxd.cds.layers.6.rate_change.exposure_change_fixed.final</vt:lpstr>
      <vt:lpstr>hxd.cds.layers.6.rate_change.limit_change_fixed.comment</vt:lpstr>
      <vt:lpstr>hxd.cds.layers.6.rate_change.limit_change_fixed.final</vt:lpstr>
      <vt:lpstr>hxd.cds.layers.6.rate_change.other_change_fixed.final</vt:lpstr>
      <vt:lpstr>hxd.cds.layers.6.rate_change.rationale_outside_plan</vt:lpstr>
      <vt:lpstr>hxd.cds.layers.6.rate_change.risk_adjusted_rate_change</vt:lpstr>
      <vt:lpstr>hxd.cds.layers.6.rate_change.risk_characteristics_change_fixed.final</vt:lpstr>
      <vt:lpstr>hxd.cds.layers.6.rate_change.rol_ly_to_use</vt:lpstr>
      <vt:lpstr>hxd.cds.layers.6.rate_change.rol_rebased</vt:lpstr>
      <vt:lpstr>hxd.cds.layers.6.rate_change.terms_conditions_change_fixed.final</vt:lpstr>
      <vt:lpstr>hxd.cds.layers.6.rms_regional.al_miss</vt:lpstr>
      <vt:lpstr>hxd.cds.layers.6.rms_regional.ca_wildfire</vt:lpstr>
      <vt:lpstr>hxd.cds.layers.6.rms_regional.cal_north</vt:lpstr>
      <vt:lpstr>hxd.cds.layers.6.rms_regional.cal_south</vt:lpstr>
      <vt:lpstr>hxd.cds.layers.6.rms_regional.carolinas</vt:lpstr>
      <vt:lpstr>hxd.cds.layers.6.rms_regional.fl_non_se</vt:lpstr>
      <vt:lpstr>hxd.cds.layers.6.rms_regional.fl_se</vt:lpstr>
      <vt:lpstr>hxd.cds.layers.6.rms_regional.hawaii</vt:lpstr>
      <vt:lpstr>hxd.cds.layers.6.rms_regional.louisiana</vt:lpstr>
      <vt:lpstr>hxd.cds.layers.6.rms_regional.mid_atlantic</vt:lpstr>
      <vt:lpstr>hxd.cds.layers.6.rms_regional.mid_west_1</vt:lpstr>
      <vt:lpstr>hxd.cds.layers.6.rms_regional.mid_west_2</vt:lpstr>
      <vt:lpstr>hxd.cds.layers.6.rms_regional.new_madrid</vt:lpstr>
      <vt:lpstr>hxd.cds.layers.6.rms_regional.north_east</vt:lpstr>
      <vt:lpstr>hxd.cds.layers.6.rms_regional.pnw</vt:lpstr>
      <vt:lpstr>hxd.cds.layers.6.rms_regional.second_event</vt:lpstr>
      <vt:lpstr>hxd.cds.layers.6.rms_regional.tx_east</vt:lpstr>
      <vt:lpstr>hxd.cds.layers.6.rms_regional.tx_west</vt:lpstr>
      <vt:lpstr>hxd.cds.layers.6.section_reference</vt:lpstr>
      <vt:lpstr>hxd.cds.layers.6.summary.next_year.section_reference</vt:lpstr>
      <vt:lpstr>hxd.cds.layers.6.summary.ty.epi_adj_rate</vt:lpstr>
      <vt:lpstr>hxd.cds.layers.6.summary.ty.epi_estimated_summary_fx</vt:lpstr>
      <vt:lpstr>hxd.cds.layers.6.summary.ty.epi_signed_summary_fx</vt:lpstr>
      <vt:lpstr>hxd.cds.layers.6.summary.ty.epi_written_summary_fx</vt:lpstr>
      <vt:lpstr>hxd.cds.layers.6.summary.ty.fot_adequacy</vt:lpstr>
      <vt:lpstr>hxd.cds.layers.6.summary.ty.line_estimated_summary_fx</vt:lpstr>
      <vt:lpstr>hxd.cds.layers.6.summary.ty.line_signed_summary_fx</vt:lpstr>
      <vt:lpstr>hxd.cds.layers.6.summary.ty.line_written_summary_fx</vt:lpstr>
      <vt:lpstr>hxd.cds.layers.6.summary.ty.mi_10</vt:lpstr>
      <vt:lpstr>hxd.cds.layers.6.summary.ty.mi_10_prem_ratio</vt:lpstr>
      <vt:lpstr>hxd.cds.layers.6.summary.ty.mi_250</vt:lpstr>
      <vt:lpstr>hxd.cds.layers.6.summary.ty.mi_250_prem_ratio</vt:lpstr>
      <vt:lpstr>hxd.cds.layers.6.summary.ty.multi_year_period</vt:lpstr>
      <vt:lpstr>hxd.cds.layers.6.summary.ty.prem_full_line</vt:lpstr>
      <vt:lpstr>hxd.cds.layers.6.summary.ty.reinstatement_description</vt:lpstr>
      <vt:lpstr>hxd.cds.layers.6.summary.ty.rms_adequacy</vt:lpstr>
      <vt:lpstr>hxd.cds.layers.6.summary.year_after_next.section_reference</vt:lpstr>
      <vt:lpstr>hxd.cds.layers.7.area_codes_perc.aal</vt:lpstr>
      <vt:lpstr>hxd.cds.layers.7.area_codes_perc.aeg</vt:lpstr>
      <vt:lpstr>hxd.cds.layers.7.area_codes_perc.ali</vt:lpstr>
      <vt:lpstr>hxd.cds.layers.7.area_codes_perc.amo</vt:lpstr>
      <vt:lpstr>hxd.cds.layers.7.area_codes_perc.amu</vt:lpstr>
      <vt:lpstr>hxd.cds.layers.7.area_codes_perc.asa</vt:lpstr>
      <vt:lpstr>hxd.cds.layers.7.area_codes_perc.bag</vt:lpstr>
      <vt:lpstr>hxd.cds.layers.7.area_codes_perc.bah</vt:lpstr>
      <vt:lpstr>hxd.cds.layers.7.area_codes_perc.ban</vt:lpstr>
      <vt:lpstr>hxd.cds.layers.7.area_codes_perc.bbb</vt:lpstr>
      <vt:lpstr>hxd.cds.layers.7.area_codes_perc.bbh</vt:lpstr>
      <vt:lpstr>hxd.cds.layers.7.area_codes_perc.bbm</vt:lpstr>
      <vt:lpstr>hxd.cds.layers.7.area_codes_perc.bcb</vt:lpstr>
      <vt:lpstr>hxd.cds.layers.7.area_codes_perc.bcm</vt:lpstr>
      <vt:lpstr>hxd.cds.layers.7.area_codes_perc.bcu</vt:lpstr>
      <vt:lpstr>hxd.cds.layers.7.area_codes_perc.bdo</vt:lpstr>
      <vt:lpstr>hxd.cds.layers.7.area_codes_perc.bdr</vt:lpstr>
      <vt:lpstr>hxd.cds.layers.7.area_codes_perc.bgn</vt:lpstr>
      <vt:lpstr>hxd.cds.layers.7.area_codes_perc.bgs</vt:lpstr>
      <vt:lpstr>hxd.cds.layers.7.area_codes_perc.bgu</vt:lpstr>
      <vt:lpstr>hxd.cds.layers.7.area_codes_perc.bht</vt:lpstr>
      <vt:lpstr>hxd.cds.layers.7.area_codes_perc.bjm</vt:lpstr>
      <vt:lpstr>hxd.cds.layers.7.area_codes_perc.bkn</vt:lpstr>
      <vt:lpstr>hxd.cds.layers.7.area_codes_perc.bmq</vt:lpstr>
      <vt:lpstr>hxd.cds.layers.7.area_codes_perc.bms</vt:lpstr>
      <vt:lpstr>hxd.cds.layers.7.area_codes_perc.bon</vt:lpstr>
      <vt:lpstr>hxd.cds.layers.7.area_codes_perc.bpr</vt:lpstr>
      <vt:lpstr>hxd.cds.layers.7.area_codes_perc.bsl</vt:lpstr>
      <vt:lpstr>hxd.cds.layers.7.area_codes_perc.bsv</vt:lpstr>
      <vt:lpstr>hxd.cds.layers.7.area_codes_perc.bv1</vt:lpstr>
      <vt:lpstr>hxd.cds.layers.7.area_codes_perc.bvs</vt:lpstr>
      <vt:lpstr>hxd.cds.layers.7.area_codes_perc.bx7</vt:lpstr>
      <vt:lpstr>hxd.cds.layers.7.area_codes_perc.cat</vt:lpstr>
      <vt:lpstr>hxd.cds.layers.7.area_codes_perc.cbc</vt:lpstr>
      <vt:lpstr>hxd.cds.layers.7.area_codes_perc.cef</vt:lpstr>
      <vt:lpstr>hxd.cds.layers.7.area_codes_perc.con</vt:lpstr>
      <vt:lpstr>hxd.cds.layers.7.area_codes_perc.cpr</vt:lpstr>
      <vt:lpstr>hxd.cds.layers.7.area_codes_perc.cqu</vt:lpstr>
      <vt:lpstr>hxd.cds.layers.7.area_codes_perc.eat</vt:lpstr>
      <vt:lpstr>hxd.cds.layers.7.area_codes_perc.ebe</vt:lpstr>
      <vt:lpstr>hxd.cds.layers.7.area_codes_perc.ebg</vt:lpstr>
      <vt:lpstr>hxd.cds.layers.7.area_codes_perc.ech</vt:lpstr>
      <vt:lpstr>hxd.cds.layers.7.area_codes_perc.ecx</vt:lpstr>
      <vt:lpstr>hxd.cds.layers.7.area_codes_perc.ecz</vt:lpstr>
      <vt:lpstr>hxd.cds.layers.7.area_codes_perc.edk</vt:lpstr>
      <vt:lpstr>hxd.cds.layers.7.area_codes_perc.ees</vt:lpstr>
      <vt:lpstr>hxd.cds.layers.7.area_codes_perc.efi</vt:lpstr>
      <vt:lpstr>hxd.cds.layers.7.area_codes_perc.efr</vt:lpstr>
      <vt:lpstr>hxd.cds.layers.7.area_codes_perc.ege</vt:lpstr>
      <vt:lpstr>hxd.cds.layers.7.area_codes_perc.egf</vt:lpstr>
      <vt:lpstr>hxd.cds.layers.7.area_codes_perc.egr</vt:lpstr>
      <vt:lpstr>hxd.cds.layers.7.area_codes_perc.ehu</vt:lpstr>
      <vt:lpstr>hxd.cds.layers.7.area_codes_perc.eic</vt:lpstr>
      <vt:lpstr>hxd.cds.layers.7.area_codes_perc.eie</vt:lpstr>
      <vt:lpstr>hxd.cds.layers.7.area_codes_perc.eit</vt:lpstr>
      <vt:lpstr>hxd.cds.layers.7.area_codes_perc.emz</vt:lpstr>
      <vt:lpstr>hxd.cds.layers.7.area_codes_perc.enl</vt:lpstr>
      <vt:lpstr>hxd.cds.layers.7.area_codes_perc.eno</vt:lpstr>
      <vt:lpstr>hxd.cds.layers.7.area_codes_perc.epl</vt:lpstr>
      <vt:lpstr>hxd.cds.layers.7.area_codes_perc.ept</vt:lpstr>
      <vt:lpstr>hxd.cds.layers.7.area_codes_perc.ero</vt:lpstr>
      <vt:lpstr>hxd.cds.layers.7.area_codes_perc.eru</vt:lpstr>
      <vt:lpstr>hxd.cds.layers.7.area_codes_perc.esb</vt:lpstr>
      <vt:lpstr>hxd.cds.layers.7.area_codes_perc.esc</vt:lpstr>
      <vt:lpstr>hxd.cds.layers.7.area_codes_perc.ese</vt:lpstr>
      <vt:lpstr>hxd.cds.layers.7.area_codes_perc.esr</vt:lpstr>
      <vt:lpstr>hxd.cds.layers.7.area_codes_perc.etu</vt:lpstr>
      <vt:lpstr>hxd.cds.layers.7.area_codes_perc.euf</vt:lpstr>
      <vt:lpstr>hxd.cds.layers.7.area_codes_perc.euk</vt:lpstr>
      <vt:lpstr>hxd.cds.layers.7.area_codes_perc.fby</vt:lpstr>
      <vt:lpstr>hxd.cds.layers.7.area_codes_perc.fcq</vt:lpstr>
      <vt:lpstr>hxd.cds.layers.7.area_codes_perc.fct</vt:lpstr>
      <vt:lpstr>hxd.cds.layers.7.area_codes_perc.fcy</vt:lpstr>
      <vt:lpstr>hxd.cds.layers.7.area_codes_perc.fhk</vt:lpstr>
      <vt:lpstr>hxd.cds.layers.7.area_codes_perc.fia</vt:lpstr>
      <vt:lpstr>hxd.cds.layers.7.area_codes_perc.fjq</vt:lpstr>
      <vt:lpstr>hxd.cds.layers.7.area_codes_perc.fjw</vt:lpstr>
      <vt:lpstr>hxd.cds.layers.7.area_codes_perc.fkr</vt:lpstr>
      <vt:lpstr>hxd.cds.layers.7.area_codes_perc.fmy</vt:lpstr>
      <vt:lpstr>hxd.cds.layers.7.area_codes_perc.fnp</vt:lpstr>
      <vt:lpstr>hxd.cds.layers.7.area_codes_perc.fsk</vt:lpstr>
      <vt:lpstr>hxd.cds.layers.7.area_codes_perc.fsp</vt:lpstr>
      <vt:lpstr>hxd.cds.layers.7.area_codes_perc.fta</vt:lpstr>
      <vt:lpstr>hxd.cds.layers.7.area_codes_perc.fth</vt:lpstr>
      <vt:lpstr>hxd.cds.layers.7.area_codes_perc.fvn</vt:lpstr>
      <vt:lpstr>hxd.cds.layers.7.area_codes_perc.mae</vt:lpstr>
      <vt:lpstr>hxd.cds.layers.7.area_codes_perc.mba</vt:lpstr>
      <vt:lpstr>hxd.cds.layers.7.area_codes_perc.mbd</vt:lpstr>
      <vt:lpstr>hxd.cds.layers.7.area_codes_perc.min</vt:lpstr>
      <vt:lpstr>hxd.cds.layers.7.area_codes_perc.mis</vt:lpstr>
      <vt:lpstr>hxd.cds.layers.7.area_codes_perc.mjo</vt:lpstr>
      <vt:lpstr>hxd.cds.layers.7.area_codes_perc.mma</vt:lpstr>
      <vt:lpstr>hxd.cds.layers.7.area_codes_perc.mom</vt:lpstr>
      <vt:lpstr>hxd.cds.layers.7.area_codes_perc.mpk</vt:lpstr>
      <vt:lpstr>hxd.cds.layers.7.area_codes_perc.mqa</vt:lpstr>
      <vt:lpstr>hxd.cds.layers.7.area_codes_perc.oa1</vt:lpstr>
      <vt:lpstr>hxd.cds.layers.7.area_codes_perc.oa2</vt:lpstr>
      <vt:lpstr>hxd.cds.layers.7.area_codes_perc.oa3</vt:lpstr>
      <vt:lpstr>hxd.cds.layers.7.area_codes_perc.oa4</vt:lpstr>
      <vt:lpstr>hxd.cds.layers.7.area_codes_perc.oa5</vt:lpstr>
      <vt:lpstr>hxd.cds.layers.7.area_codes_perc.oa6</vt:lpstr>
      <vt:lpstr>hxd.cds.layers.7.area_codes_perc.ofj</vt:lpstr>
      <vt:lpstr>hxd.cds.layers.7.area_codes_perc.ogm</vt:lpstr>
      <vt:lpstr>hxd.cds.layers.7.area_codes_perc.onz</vt:lpstr>
      <vt:lpstr>hxd.cds.layers.7.area_codes_perc.opg</vt:lpstr>
      <vt:lpstr>hxd.cds.layers.7.area_codes_perc.oph</vt:lpstr>
      <vt:lpstr>hxd.cds.layers.7.area_codes_perc.ota</vt:lpstr>
      <vt:lpstr>hxd.cds.layers.7.area_codes_perc.sar</vt:lpstr>
      <vt:lpstr>hxd.cds.layers.7.area_codes_perc.sbr</vt:lpstr>
      <vt:lpstr>hxd.cds.layers.7.area_codes_perc.sbv</vt:lpstr>
      <vt:lpstr>hxd.cds.layers.7.area_codes_perc.sbz</vt:lpstr>
      <vt:lpstr>hxd.cds.layers.7.area_codes_perc.scl</vt:lpstr>
      <vt:lpstr>hxd.cds.layers.7.area_codes_perc.sco</vt:lpstr>
      <vt:lpstr>hxd.cds.layers.7.area_codes_perc.scr</vt:lpstr>
      <vt:lpstr>hxd.cds.layers.7.area_codes_perc.sec</vt:lpstr>
      <vt:lpstr>hxd.cds.layers.7.area_codes_perc.sel</vt:lpstr>
      <vt:lpstr>hxd.cds.layers.7.area_codes_perc.sgt</vt:lpstr>
      <vt:lpstr>hxd.cds.layers.7.area_codes_perc.sgy</vt:lpstr>
      <vt:lpstr>hxd.cds.layers.7.area_codes_perc.shn</vt:lpstr>
      <vt:lpstr>hxd.cds.layers.7.area_codes_perc.smx</vt:lpstr>
      <vt:lpstr>hxd.cds.layers.7.area_codes_perc.snq</vt:lpstr>
      <vt:lpstr>hxd.cds.layers.7.area_codes_perc.spa</vt:lpstr>
      <vt:lpstr>hxd.cds.layers.7.area_codes_perc.spe</vt:lpstr>
      <vt:lpstr>hxd.cds.layers.7.area_codes_perc.spy</vt:lpstr>
      <vt:lpstr>hxd.cds.layers.7.area_codes_perc.suy</vt:lpstr>
      <vt:lpstr>hxd.cds.layers.7.area_codes_perc.sve</vt:lpstr>
      <vt:lpstr>hxd.cds.layers.7.area_codes_perc.usa01</vt:lpstr>
      <vt:lpstr>hxd.cds.layers.7.area_codes_perc.usa02</vt:lpstr>
      <vt:lpstr>hxd.cds.layers.7.area_codes_perc.usa03</vt:lpstr>
      <vt:lpstr>hxd.cds.layers.7.area_codes_perc.usa04</vt:lpstr>
      <vt:lpstr>hxd.cds.layers.7.area_codes_perc.usa05</vt:lpstr>
      <vt:lpstr>hxd.cds.layers.7.area_codes_perc.usa06</vt:lpstr>
      <vt:lpstr>hxd.cds.layers.7.area_codes_perc.usa07</vt:lpstr>
      <vt:lpstr>hxd.cds.layers.7.area_codes_perc.usa08</vt:lpstr>
      <vt:lpstr>hxd.cds.layers.7.area_codes_perc.usa09</vt:lpstr>
      <vt:lpstr>hxd.cds.layers.7.area_codes_perc.usa10</vt:lpstr>
      <vt:lpstr>hxd.cds.layers.7.area_codes_perc.usa11</vt:lpstr>
      <vt:lpstr>hxd.cds.layers.7.area_codes_perc.usa12</vt:lpstr>
      <vt:lpstr>hxd.cds.layers.7.area_codes_perc.usa13</vt:lpstr>
      <vt:lpstr>hxd.cds.layers.7.area_codes_perc.usa14</vt:lpstr>
      <vt:lpstr>hxd.cds.layers.7.area_codes_perc.usa15</vt:lpstr>
      <vt:lpstr>hxd.cds.layers.7.area_codes_perc.usa16</vt:lpstr>
      <vt:lpstr>hxd.cds.layers.7.area_codes_perc.usa20</vt:lpstr>
      <vt:lpstr>hxd.cds.layers.7.area_codes_perc.usa21</vt:lpstr>
      <vt:lpstr>hxd.cds.layers.7.area_codes_perc.usa22</vt:lpstr>
      <vt:lpstr>hxd.cds.layers.7.area_codes_select.aal</vt:lpstr>
      <vt:lpstr>hxd.cds.layers.7.area_codes_select.aeg</vt:lpstr>
      <vt:lpstr>hxd.cds.layers.7.area_codes_select.ali</vt:lpstr>
      <vt:lpstr>hxd.cds.layers.7.area_codes_select.amo</vt:lpstr>
      <vt:lpstr>hxd.cds.layers.7.area_codes_select.amu</vt:lpstr>
      <vt:lpstr>hxd.cds.layers.7.area_codes_select.asa</vt:lpstr>
      <vt:lpstr>hxd.cds.layers.7.area_codes_select.bag</vt:lpstr>
      <vt:lpstr>hxd.cds.layers.7.area_codes_select.bah</vt:lpstr>
      <vt:lpstr>hxd.cds.layers.7.area_codes_select.ban</vt:lpstr>
      <vt:lpstr>hxd.cds.layers.7.area_codes_select.bbb</vt:lpstr>
      <vt:lpstr>hxd.cds.layers.7.area_codes_select.bbh</vt:lpstr>
      <vt:lpstr>hxd.cds.layers.7.area_codes_select.bbm</vt:lpstr>
      <vt:lpstr>hxd.cds.layers.7.area_codes_select.bcb</vt:lpstr>
      <vt:lpstr>hxd.cds.layers.7.area_codes_select.bcm</vt:lpstr>
      <vt:lpstr>hxd.cds.layers.7.area_codes_select.bcu</vt:lpstr>
      <vt:lpstr>hxd.cds.layers.7.area_codes_select.bdo</vt:lpstr>
      <vt:lpstr>hxd.cds.layers.7.area_codes_select.bdr</vt:lpstr>
      <vt:lpstr>hxd.cds.layers.7.area_codes_select.bgn</vt:lpstr>
      <vt:lpstr>hxd.cds.layers.7.area_codes_select.bgs</vt:lpstr>
      <vt:lpstr>hxd.cds.layers.7.area_codes_select.bgu</vt:lpstr>
      <vt:lpstr>hxd.cds.layers.7.area_codes_select.bht</vt:lpstr>
      <vt:lpstr>hxd.cds.layers.7.area_codes_select.bjm</vt:lpstr>
      <vt:lpstr>hxd.cds.layers.7.area_codes_select.bkn</vt:lpstr>
      <vt:lpstr>hxd.cds.layers.7.area_codes_select.bmq</vt:lpstr>
      <vt:lpstr>hxd.cds.layers.7.area_codes_select.bms</vt:lpstr>
      <vt:lpstr>hxd.cds.layers.7.area_codes_select.bon</vt:lpstr>
      <vt:lpstr>hxd.cds.layers.7.area_codes_select.bpr</vt:lpstr>
      <vt:lpstr>hxd.cds.layers.7.area_codes_select.bsl</vt:lpstr>
      <vt:lpstr>hxd.cds.layers.7.area_codes_select.bsv</vt:lpstr>
      <vt:lpstr>hxd.cds.layers.7.area_codes_select.bv1</vt:lpstr>
      <vt:lpstr>hxd.cds.layers.7.area_codes_select.bvs</vt:lpstr>
      <vt:lpstr>hxd.cds.layers.7.area_codes_select.bx7</vt:lpstr>
      <vt:lpstr>hxd.cds.layers.7.area_codes_select.cat</vt:lpstr>
      <vt:lpstr>hxd.cds.layers.7.area_codes_select.cbc</vt:lpstr>
      <vt:lpstr>hxd.cds.layers.7.area_codes_select.cef</vt:lpstr>
      <vt:lpstr>hxd.cds.layers.7.area_codes_select.con</vt:lpstr>
      <vt:lpstr>hxd.cds.layers.7.area_codes_select.cpr</vt:lpstr>
      <vt:lpstr>hxd.cds.layers.7.area_codes_select.cqu</vt:lpstr>
      <vt:lpstr>hxd.cds.layers.7.area_codes_select.eat</vt:lpstr>
      <vt:lpstr>hxd.cds.layers.7.area_codes_select.ebe</vt:lpstr>
      <vt:lpstr>hxd.cds.layers.7.area_codes_select.ebg</vt:lpstr>
      <vt:lpstr>hxd.cds.layers.7.area_codes_select.ech</vt:lpstr>
      <vt:lpstr>hxd.cds.layers.7.area_codes_select.ecx</vt:lpstr>
      <vt:lpstr>hxd.cds.layers.7.area_codes_select.ecz</vt:lpstr>
      <vt:lpstr>hxd.cds.layers.7.area_codes_select.edk</vt:lpstr>
      <vt:lpstr>hxd.cds.layers.7.area_codes_select.ees</vt:lpstr>
      <vt:lpstr>hxd.cds.layers.7.area_codes_select.efi</vt:lpstr>
      <vt:lpstr>hxd.cds.layers.7.area_codes_select.efr</vt:lpstr>
      <vt:lpstr>hxd.cds.layers.7.area_codes_select.ege</vt:lpstr>
      <vt:lpstr>hxd.cds.layers.7.area_codes_select.egf</vt:lpstr>
      <vt:lpstr>hxd.cds.layers.7.area_codes_select.egr</vt:lpstr>
      <vt:lpstr>hxd.cds.layers.7.area_codes_select.ehu</vt:lpstr>
      <vt:lpstr>hxd.cds.layers.7.area_codes_select.eic</vt:lpstr>
      <vt:lpstr>hxd.cds.layers.7.area_codes_select.eie</vt:lpstr>
      <vt:lpstr>hxd.cds.layers.7.area_codes_select.eit</vt:lpstr>
      <vt:lpstr>hxd.cds.layers.7.area_codes_select.emz</vt:lpstr>
      <vt:lpstr>hxd.cds.layers.7.area_codes_select.enl</vt:lpstr>
      <vt:lpstr>hxd.cds.layers.7.area_codes_select.eno</vt:lpstr>
      <vt:lpstr>hxd.cds.layers.7.area_codes_select.epl</vt:lpstr>
      <vt:lpstr>hxd.cds.layers.7.area_codes_select.ept</vt:lpstr>
      <vt:lpstr>hxd.cds.layers.7.area_codes_select.ero</vt:lpstr>
      <vt:lpstr>hxd.cds.layers.7.area_codes_select.eru</vt:lpstr>
      <vt:lpstr>hxd.cds.layers.7.area_codes_select.esb</vt:lpstr>
      <vt:lpstr>hxd.cds.layers.7.area_codes_select.esc</vt:lpstr>
      <vt:lpstr>hxd.cds.layers.7.area_codes_select.ese</vt:lpstr>
      <vt:lpstr>hxd.cds.layers.7.area_codes_select.esr</vt:lpstr>
      <vt:lpstr>hxd.cds.layers.7.area_codes_select.etu</vt:lpstr>
      <vt:lpstr>hxd.cds.layers.7.area_codes_select.euf</vt:lpstr>
      <vt:lpstr>hxd.cds.layers.7.area_codes_select.euk</vt:lpstr>
      <vt:lpstr>hxd.cds.layers.7.area_codes_select.fby</vt:lpstr>
      <vt:lpstr>hxd.cds.layers.7.area_codes_select.fcq</vt:lpstr>
      <vt:lpstr>hxd.cds.layers.7.area_codes_select.fct</vt:lpstr>
      <vt:lpstr>hxd.cds.layers.7.area_codes_select.fcy</vt:lpstr>
      <vt:lpstr>hxd.cds.layers.7.area_codes_select.fhk</vt:lpstr>
      <vt:lpstr>hxd.cds.layers.7.area_codes_select.fia</vt:lpstr>
      <vt:lpstr>hxd.cds.layers.7.area_codes_select.fjq</vt:lpstr>
      <vt:lpstr>hxd.cds.layers.7.area_codes_select.fjw</vt:lpstr>
      <vt:lpstr>hxd.cds.layers.7.area_codes_select.fkr</vt:lpstr>
      <vt:lpstr>hxd.cds.layers.7.area_codes_select.fmy</vt:lpstr>
      <vt:lpstr>hxd.cds.layers.7.area_codes_select.fnp</vt:lpstr>
      <vt:lpstr>hxd.cds.layers.7.area_codes_select.fsk</vt:lpstr>
      <vt:lpstr>hxd.cds.layers.7.area_codes_select.fsp</vt:lpstr>
      <vt:lpstr>hxd.cds.layers.7.area_codes_select.fta</vt:lpstr>
      <vt:lpstr>hxd.cds.layers.7.area_codes_select.fth</vt:lpstr>
      <vt:lpstr>hxd.cds.layers.7.area_codes_select.fvn</vt:lpstr>
      <vt:lpstr>hxd.cds.layers.7.area_codes_select.mae</vt:lpstr>
      <vt:lpstr>hxd.cds.layers.7.area_codes_select.mba</vt:lpstr>
      <vt:lpstr>hxd.cds.layers.7.area_codes_select.mbd</vt:lpstr>
      <vt:lpstr>hxd.cds.layers.7.area_codes_select.min</vt:lpstr>
      <vt:lpstr>hxd.cds.layers.7.area_codes_select.mis</vt:lpstr>
      <vt:lpstr>hxd.cds.layers.7.area_codes_select.mjo</vt:lpstr>
      <vt:lpstr>hxd.cds.layers.7.area_codes_select.mma</vt:lpstr>
      <vt:lpstr>hxd.cds.layers.7.area_codes_select.mom</vt:lpstr>
      <vt:lpstr>hxd.cds.layers.7.area_codes_select.mpk</vt:lpstr>
      <vt:lpstr>hxd.cds.layers.7.area_codes_select.mqa</vt:lpstr>
      <vt:lpstr>hxd.cds.layers.7.area_codes_select.oa1</vt:lpstr>
      <vt:lpstr>hxd.cds.layers.7.area_codes_select.oa2</vt:lpstr>
      <vt:lpstr>hxd.cds.layers.7.area_codes_select.oa3</vt:lpstr>
      <vt:lpstr>hxd.cds.layers.7.area_codes_select.oa4</vt:lpstr>
      <vt:lpstr>hxd.cds.layers.7.area_codes_select.oa5</vt:lpstr>
      <vt:lpstr>hxd.cds.layers.7.area_codes_select.oa6</vt:lpstr>
      <vt:lpstr>hxd.cds.layers.7.area_codes_select.ofj</vt:lpstr>
      <vt:lpstr>hxd.cds.layers.7.area_codes_select.ogm</vt:lpstr>
      <vt:lpstr>hxd.cds.layers.7.area_codes_select.onz</vt:lpstr>
      <vt:lpstr>hxd.cds.layers.7.area_codes_select.opg</vt:lpstr>
      <vt:lpstr>hxd.cds.layers.7.area_codes_select.oph</vt:lpstr>
      <vt:lpstr>hxd.cds.layers.7.area_codes_select.ota</vt:lpstr>
      <vt:lpstr>hxd.cds.layers.7.area_codes_select.sar</vt:lpstr>
      <vt:lpstr>hxd.cds.layers.7.area_codes_select.sbr</vt:lpstr>
      <vt:lpstr>hxd.cds.layers.7.area_codes_select.sbv</vt:lpstr>
      <vt:lpstr>hxd.cds.layers.7.area_codes_select.sbz</vt:lpstr>
      <vt:lpstr>hxd.cds.layers.7.area_codes_select.scl</vt:lpstr>
      <vt:lpstr>hxd.cds.layers.7.area_codes_select.sco</vt:lpstr>
      <vt:lpstr>hxd.cds.layers.7.area_codes_select.scr</vt:lpstr>
      <vt:lpstr>hxd.cds.layers.7.area_codes_select.sec</vt:lpstr>
      <vt:lpstr>hxd.cds.layers.7.area_codes_select.sel</vt:lpstr>
      <vt:lpstr>hxd.cds.layers.7.area_codes_select.sgt</vt:lpstr>
      <vt:lpstr>hxd.cds.layers.7.area_codes_select.sgy</vt:lpstr>
      <vt:lpstr>hxd.cds.layers.7.area_codes_select.shn</vt:lpstr>
      <vt:lpstr>hxd.cds.layers.7.area_codes_select.smx</vt:lpstr>
      <vt:lpstr>hxd.cds.layers.7.area_codes_select.snq</vt:lpstr>
      <vt:lpstr>hxd.cds.layers.7.area_codes_select.spa</vt:lpstr>
      <vt:lpstr>hxd.cds.layers.7.area_codes_select.spe</vt:lpstr>
      <vt:lpstr>hxd.cds.layers.7.area_codes_select.spy</vt:lpstr>
      <vt:lpstr>hxd.cds.layers.7.area_codes_select.suy</vt:lpstr>
      <vt:lpstr>hxd.cds.layers.7.area_codes_select.sve</vt:lpstr>
      <vt:lpstr>hxd.cds.layers.7.area_codes_select.usa01</vt:lpstr>
      <vt:lpstr>hxd.cds.layers.7.area_codes_select.usa02</vt:lpstr>
      <vt:lpstr>hxd.cds.layers.7.area_codes_select.usa03</vt:lpstr>
      <vt:lpstr>hxd.cds.layers.7.area_codes_select.usa04</vt:lpstr>
      <vt:lpstr>hxd.cds.layers.7.area_codes_select.usa05</vt:lpstr>
      <vt:lpstr>hxd.cds.layers.7.area_codes_select.usa06</vt:lpstr>
      <vt:lpstr>hxd.cds.layers.7.area_codes_select.usa07</vt:lpstr>
      <vt:lpstr>hxd.cds.layers.7.area_codes_select.usa08</vt:lpstr>
      <vt:lpstr>hxd.cds.layers.7.area_codes_select.usa09</vt:lpstr>
      <vt:lpstr>hxd.cds.layers.7.area_codes_select.usa10</vt:lpstr>
      <vt:lpstr>hxd.cds.layers.7.area_codes_select.usa11</vt:lpstr>
      <vt:lpstr>hxd.cds.layers.7.area_codes_select.usa12</vt:lpstr>
      <vt:lpstr>hxd.cds.layers.7.area_codes_select.usa13</vt:lpstr>
      <vt:lpstr>hxd.cds.layers.7.area_codes_select.usa14</vt:lpstr>
      <vt:lpstr>hxd.cds.layers.7.area_codes_select.usa15</vt:lpstr>
      <vt:lpstr>hxd.cds.layers.7.area_codes_select.usa16</vt:lpstr>
      <vt:lpstr>hxd.cds.layers.7.area_codes_select.usa20</vt:lpstr>
      <vt:lpstr>hxd.cds.layers.7.area_codes_select.usa21</vt:lpstr>
      <vt:lpstr>hxd.cds.layers.7.area_codes_select.usa22</vt:lpstr>
      <vt:lpstr>hxd.cds.layers.7.excess</vt:lpstr>
      <vt:lpstr>hxd.cds.layers.7.excess_cnv</vt:lpstr>
      <vt:lpstr>hxd.cds.layers.7.layer_description</vt:lpstr>
      <vt:lpstr>hxd.cds.layers.7.leader</vt:lpstr>
      <vt:lpstr>hxd.cds.layers.7.limit</vt:lpstr>
      <vt:lpstr>hxd.cds.layers.7.limit_cnv</vt:lpstr>
      <vt:lpstr>hxd.cds.layers.7.marginal_impacts.treaty_group.mi_10</vt:lpstr>
      <vt:lpstr>hxd.cds.layers.7.marginal_impacts.treaty_group.mi_250</vt:lpstr>
      <vt:lpstr>hxd.cds.layers.7.marginal_impacts.treaty_intl.mi_10</vt:lpstr>
      <vt:lpstr>hxd.cds.layers.7.marginal_impacts.treaty_intl.mi_250</vt:lpstr>
      <vt:lpstr>hxd.cds.layers.7.marginal_impacts.treaty_us.mi_10</vt:lpstr>
      <vt:lpstr>hxd.cds.layers.7.marginal_impacts.treaty_us.mi_250</vt:lpstr>
      <vt:lpstr>hxd.cds.layers.7.model.air.gross_el</vt:lpstr>
      <vt:lpstr>hxd.cds.layers.7.model.air.gross_sd</vt:lpstr>
      <vt:lpstr>hxd.cds.layers.7.model.ivor.gross_el</vt:lpstr>
      <vt:lpstr>hxd.cds.layers.7.model.ivor.gross_sd</vt:lpstr>
      <vt:lpstr>hxd.cds.layers.7.model.nmp.description</vt:lpstr>
      <vt:lpstr>hxd.cds.layers.7.model.nmp.gross_el_incl_rol</vt:lpstr>
      <vt:lpstr>hxd.cds.layers.7.model.nmp.gross_sd_incl_rol</vt:lpstr>
      <vt:lpstr>hxd.cds.layers.7.model.rms.gross_el</vt:lpstr>
      <vt:lpstr>hxd.cds.layers.7.model.rms.gross_sd</vt:lpstr>
      <vt:lpstr>hxd.cds.layers.7.model.total_air_nmp.gross_el</vt:lpstr>
      <vt:lpstr>hxd.cds.layers.7.model.total_air_nmp.gross_sd</vt:lpstr>
      <vt:lpstr>hxd.cds.layers.7.model.total_rms_nmp.gross_el</vt:lpstr>
      <vt:lpstr>hxd.cds.layers.7.model.total_rms_nmp.gross_sd</vt:lpstr>
      <vt:lpstr>hxd.cds.layers.7.quote.rol_ty.bpi</vt:lpstr>
      <vt:lpstr>hxd.cds.layers.7.quote.rol_ty.est_sign_written_ratio</vt:lpstr>
      <vt:lpstr>hxd.cds.layers.7.quote.rol_ty.estimated_signing</vt:lpstr>
      <vt:lpstr>hxd.cds.layers.7.quote.rol_ty.roc</vt:lpstr>
      <vt:lpstr>hxd.cds.layers.7.quote.rol_ty.rol_afb_tech</vt:lpstr>
      <vt:lpstr>hxd.cds.layers.7.quote.rol_ty.rol_fot</vt:lpstr>
      <vt:lpstr>hxd.cds.layers.7.quote.rol_ty.rol_quote</vt:lpstr>
      <vt:lpstr>hxd.cds.layers.7.quote.rol_ty.signed_line</vt:lpstr>
      <vt:lpstr>hxd.cds.layers.7.quote.rol_ty.ulr</vt:lpstr>
      <vt:lpstr>hxd.cds.layers.7.quote.rol_ty.written_line</vt:lpstr>
      <vt:lpstr>hxd.cds.layers.7.rate_change.comments</vt:lpstr>
      <vt:lpstr>hxd.cds.layers.7.rate_change.deductible_change_fixed.final</vt:lpstr>
      <vt:lpstr>hxd.cds.layers.7.rate_change.exposure_change_fixed.comment</vt:lpstr>
      <vt:lpstr>hxd.cds.layers.7.rate_change.exposure_change_fixed.final</vt:lpstr>
      <vt:lpstr>hxd.cds.layers.7.rate_change.limit_change_fixed.comment</vt:lpstr>
      <vt:lpstr>hxd.cds.layers.7.rate_change.limit_change_fixed.final</vt:lpstr>
      <vt:lpstr>hxd.cds.layers.7.rate_change.other_change_fixed.final</vt:lpstr>
      <vt:lpstr>hxd.cds.layers.7.rate_change.rationale_outside_plan</vt:lpstr>
      <vt:lpstr>hxd.cds.layers.7.rate_change.risk_adjusted_rate_change</vt:lpstr>
      <vt:lpstr>hxd.cds.layers.7.rate_change.risk_characteristics_change_fixed.final</vt:lpstr>
      <vt:lpstr>hxd.cds.layers.7.rate_change.rol_ly_to_use</vt:lpstr>
      <vt:lpstr>hxd.cds.layers.7.rate_change.rol_rebased</vt:lpstr>
      <vt:lpstr>hxd.cds.layers.7.rate_change.terms_conditions_change_fixed.final</vt:lpstr>
      <vt:lpstr>hxd.cds.layers.7.rms_regional.al_miss</vt:lpstr>
      <vt:lpstr>hxd.cds.layers.7.rms_regional.ca_wildfire</vt:lpstr>
      <vt:lpstr>hxd.cds.layers.7.rms_regional.cal_north</vt:lpstr>
      <vt:lpstr>hxd.cds.layers.7.rms_regional.cal_south</vt:lpstr>
      <vt:lpstr>hxd.cds.layers.7.rms_regional.carolinas</vt:lpstr>
      <vt:lpstr>hxd.cds.layers.7.rms_regional.fl_non_se</vt:lpstr>
      <vt:lpstr>hxd.cds.layers.7.rms_regional.fl_se</vt:lpstr>
      <vt:lpstr>hxd.cds.layers.7.rms_regional.hawaii</vt:lpstr>
      <vt:lpstr>hxd.cds.layers.7.rms_regional.louisiana</vt:lpstr>
      <vt:lpstr>hxd.cds.layers.7.rms_regional.mid_atlantic</vt:lpstr>
      <vt:lpstr>hxd.cds.layers.7.rms_regional.mid_west_1</vt:lpstr>
      <vt:lpstr>hxd.cds.layers.7.rms_regional.mid_west_2</vt:lpstr>
      <vt:lpstr>hxd.cds.layers.7.rms_regional.new_madrid</vt:lpstr>
      <vt:lpstr>hxd.cds.layers.7.rms_regional.north_east</vt:lpstr>
      <vt:lpstr>hxd.cds.layers.7.rms_regional.pnw</vt:lpstr>
      <vt:lpstr>hxd.cds.layers.7.rms_regional.second_event</vt:lpstr>
      <vt:lpstr>hxd.cds.layers.7.rms_regional.tx_east</vt:lpstr>
      <vt:lpstr>hxd.cds.layers.7.rms_regional.tx_west</vt:lpstr>
      <vt:lpstr>hxd.cds.layers.7.section_reference</vt:lpstr>
      <vt:lpstr>hxd.cds.layers.7.summary.next_year.section_reference</vt:lpstr>
      <vt:lpstr>hxd.cds.layers.7.summary.ty.epi_adj_rate</vt:lpstr>
      <vt:lpstr>hxd.cds.layers.7.summary.ty.epi_estimated_summary_fx</vt:lpstr>
      <vt:lpstr>hxd.cds.layers.7.summary.ty.epi_signed_summary_fx</vt:lpstr>
      <vt:lpstr>hxd.cds.layers.7.summary.ty.epi_written_summary_fx</vt:lpstr>
      <vt:lpstr>hxd.cds.layers.7.summary.ty.fot_adequacy</vt:lpstr>
      <vt:lpstr>hxd.cds.layers.7.summary.ty.line_estimated_summary_fx</vt:lpstr>
      <vt:lpstr>hxd.cds.layers.7.summary.ty.line_signed_summary_fx</vt:lpstr>
      <vt:lpstr>hxd.cds.layers.7.summary.ty.line_written_summary_fx</vt:lpstr>
      <vt:lpstr>hxd.cds.layers.7.summary.ty.mi_10</vt:lpstr>
      <vt:lpstr>hxd.cds.layers.7.summary.ty.mi_10_prem_ratio</vt:lpstr>
      <vt:lpstr>hxd.cds.layers.7.summary.ty.mi_250</vt:lpstr>
      <vt:lpstr>hxd.cds.layers.7.summary.ty.mi_250_prem_ratio</vt:lpstr>
      <vt:lpstr>hxd.cds.layers.7.summary.ty.multi_year_period</vt:lpstr>
      <vt:lpstr>hxd.cds.layers.7.summary.ty.prem_full_line</vt:lpstr>
      <vt:lpstr>hxd.cds.layers.7.summary.ty.reinstatement_description</vt:lpstr>
      <vt:lpstr>hxd.cds.layers.7.summary.ty.rms_adequacy</vt:lpstr>
      <vt:lpstr>hxd.cds.layers.7.summary.year_after_next.section_reference</vt:lpstr>
      <vt:lpstr>hxd.cds.layers.8.area_codes_perc.aal</vt:lpstr>
      <vt:lpstr>hxd.cds.layers.8.area_codes_perc.aeg</vt:lpstr>
      <vt:lpstr>hxd.cds.layers.8.area_codes_perc.ali</vt:lpstr>
      <vt:lpstr>hxd.cds.layers.8.area_codes_perc.amo</vt:lpstr>
      <vt:lpstr>hxd.cds.layers.8.area_codes_perc.amu</vt:lpstr>
      <vt:lpstr>hxd.cds.layers.8.area_codes_perc.asa</vt:lpstr>
      <vt:lpstr>hxd.cds.layers.8.area_codes_perc.bag</vt:lpstr>
      <vt:lpstr>hxd.cds.layers.8.area_codes_perc.bah</vt:lpstr>
      <vt:lpstr>hxd.cds.layers.8.area_codes_perc.ban</vt:lpstr>
      <vt:lpstr>hxd.cds.layers.8.area_codes_perc.bbb</vt:lpstr>
      <vt:lpstr>hxd.cds.layers.8.area_codes_perc.bbh</vt:lpstr>
      <vt:lpstr>hxd.cds.layers.8.area_codes_perc.bbm</vt:lpstr>
      <vt:lpstr>hxd.cds.layers.8.area_codes_perc.bcb</vt:lpstr>
      <vt:lpstr>hxd.cds.layers.8.area_codes_perc.bcm</vt:lpstr>
      <vt:lpstr>hxd.cds.layers.8.area_codes_perc.bcu</vt:lpstr>
      <vt:lpstr>hxd.cds.layers.8.area_codes_perc.bdo</vt:lpstr>
      <vt:lpstr>hxd.cds.layers.8.area_codes_perc.bdr</vt:lpstr>
      <vt:lpstr>hxd.cds.layers.8.area_codes_perc.bgn</vt:lpstr>
      <vt:lpstr>hxd.cds.layers.8.area_codes_perc.bgs</vt:lpstr>
      <vt:lpstr>hxd.cds.layers.8.area_codes_perc.bgu</vt:lpstr>
      <vt:lpstr>hxd.cds.layers.8.area_codes_perc.bht</vt:lpstr>
      <vt:lpstr>hxd.cds.layers.8.area_codes_perc.bjm</vt:lpstr>
      <vt:lpstr>hxd.cds.layers.8.area_codes_perc.bkn</vt:lpstr>
      <vt:lpstr>hxd.cds.layers.8.area_codes_perc.bmq</vt:lpstr>
      <vt:lpstr>hxd.cds.layers.8.area_codes_perc.bms</vt:lpstr>
      <vt:lpstr>hxd.cds.layers.8.area_codes_perc.bon</vt:lpstr>
      <vt:lpstr>hxd.cds.layers.8.area_codes_perc.bpr</vt:lpstr>
      <vt:lpstr>hxd.cds.layers.8.area_codes_perc.bsl</vt:lpstr>
      <vt:lpstr>hxd.cds.layers.8.area_codes_perc.bsv</vt:lpstr>
      <vt:lpstr>hxd.cds.layers.8.area_codes_perc.bv1</vt:lpstr>
      <vt:lpstr>hxd.cds.layers.8.area_codes_perc.bvs</vt:lpstr>
      <vt:lpstr>hxd.cds.layers.8.area_codes_perc.bx7</vt:lpstr>
      <vt:lpstr>hxd.cds.layers.8.area_codes_perc.cat</vt:lpstr>
      <vt:lpstr>hxd.cds.layers.8.area_codes_perc.cbc</vt:lpstr>
      <vt:lpstr>hxd.cds.layers.8.area_codes_perc.cef</vt:lpstr>
      <vt:lpstr>hxd.cds.layers.8.area_codes_perc.con</vt:lpstr>
      <vt:lpstr>hxd.cds.layers.8.area_codes_perc.cpr</vt:lpstr>
      <vt:lpstr>hxd.cds.layers.8.area_codes_perc.cqu</vt:lpstr>
      <vt:lpstr>hxd.cds.layers.8.area_codes_perc.eat</vt:lpstr>
      <vt:lpstr>hxd.cds.layers.8.area_codes_perc.ebe</vt:lpstr>
      <vt:lpstr>hxd.cds.layers.8.area_codes_perc.ebg</vt:lpstr>
      <vt:lpstr>hxd.cds.layers.8.area_codes_perc.ech</vt:lpstr>
      <vt:lpstr>hxd.cds.layers.8.area_codes_perc.ecx</vt:lpstr>
      <vt:lpstr>hxd.cds.layers.8.area_codes_perc.ecz</vt:lpstr>
      <vt:lpstr>hxd.cds.layers.8.area_codes_perc.edk</vt:lpstr>
      <vt:lpstr>hxd.cds.layers.8.area_codes_perc.ees</vt:lpstr>
      <vt:lpstr>hxd.cds.layers.8.area_codes_perc.efi</vt:lpstr>
      <vt:lpstr>hxd.cds.layers.8.area_codes_perc.efr</vt:lpstr>
      <vt:lpstr>hxd.cds.layers.8.area_codes_perc.ege</vt:lpstr>
      <vt:lpstr>hxd.cds.layers.8.area_codes_perc.egf</vt:lpstr>
      <vt:lpstr>hxd.cds.layers.8.area_codes_perc.egr</vt:lpstr>
      <vt:lpstr>hxd.cds.layers.8.area_codes_perc.ehu</vt:lpstr>
      <vt:lpstr>hxd.cds.layers.8.area_codes_perc.eic</vt:lpstr>
      <vt:lpstr>hxd.cds.layers.8.area_codes_perc.eie</vt:lpstr>
      <vt:lpstr>hxd.cds.layers.8.area_codes_perc.eit</vt:lpstr>
      <vt:lpstr>hxd.cds.layers.8.area_codes_perc.emz</vt:lpstr>
      <vt:lpstr>hxd.cds.layers.8.area_codes_perc.enl</vt:lpstr>
      <vt:lpstr>hxd.cds.layers.8.area_codes_perc.eno</vt:lpstr>
      <vt:lpstr>hxd.cds.layers.8.area_codes_perc.epl</vt:lpstr>
      <vt:lpstr>hxd.cds.layers.8.area_codes_perc.ept</vt:lpstr>
      <vt:lpstr>hxd.cds.layers.8.area_codes_perc.ero</vt:lpstr>
      <vt:lpstr>hxd.cds.layers.8.area_codes_perc.eru</vt:lpstr>
      <vt:lpstr>hxd.cds.layers.8.area_codes_perc.esb</vt:lpstr>
      <vt:lpstr>hxd.cds.layers.8.area_codes_perc.esc</vt:lpstr>
      <vt:lpstr>hxd.cds.layers.8.area_codes_perc.ese</vt:lpstr>
      <vt:lpstr>hxd.cds.layers.8.area_codes_perc.esr</vt:lpstr>
      <vt:lpstr>hxd.cds.layers.8.area_codes_perc.etu</vt:lpstr>
      <vt:lpstr>hxd.cds.layers.8.area_codes_perc.euf</vt:lpstr>
      <vt:lpstr>hxd.cds.layers.8.area_codes_perc.euk</vt:lpstr>
      <vt:lpstr>hxd.cds.layers.8.area_codes_perc.fby</vt:lpstr>
      <vt:lpstr>hxd.cds.layers.8.area_codes_perc.fcq</vt:lpstr>
      <vt:lpstr>hxd.cds.layers.8.area_codes_perc.fct</vt:lpstr>
      <vt:lpstr>hxd.cds.layers.8.area_codes_perc.fcy</vt:lpstr>
      <vt:lpstr>hxd.cds.layers.8.area_codes_perc.fhk</vt:lpstr>
      <vt:lpstr>hxd.cds.layers.8.area_codes_perc.fia</vt:lpstr>
      <vt:lpstr>hxd.cds.layers.8.area_codes_perc.fjq</vt:lpstr>
      <vt:lpstr>hxd.cds.layers.8.area_codes_perc.fjw</vt:lpstr>
      <vt:lpstr>hxd.cds.layers.8.area_codes_perc.fkr</vt:lpstr>
      <vt:lpstr>hxd.cds.layers.8.area_codes_perc.fmy</vt:lpstr>
      <vt:lpstr>hxd.cds.layers.8.area_codes_perc.fnp</vt:lpstr>
      <vt:lpstr>hxd.cds.layers.8.area_codes_perc.fsk</vt:lpstr>
      <vt:lpstr>hxd.cds.layers.8.area_codes_perc.fsp</vt:lpstr>
      <vt:lpstr>hxd.cds.layers.8.area_codes_perc.fta</vt:lpstr>
      <vt:lpstr>hxd.cds.layers.8.area_codes_perc.fth</vt:lpstr>
      <vt:lpstr>hxd.cds.layers.8.area_codes_perc.fvn</vt:lpstr>
      <vt:lpstr>hxd.cds.layers.8.area_codes_perc.mae</vt:lpstr>
      <vt:lpstr>hxd.cds.layers.8.area_codes_perc.mba</vt:lpstr>
      <vt:lpstr>hxd.cds.layers.8.area_codes_perc.mbd</vt:lpstr>
      <vt:lpstr>hxd.cds.layers.8.area_codes_perc.min</vt:lpstr>
      <vt:lpstr>hxd.cds.layers.8.area_codes_perc.mis</vt:lpstr>
      <vt:lpstr>hxd.cds.layers.8.area_codes_perc.mjo</vt:lpstr>
      <vt:lpstr>hxd.cds.layers.8.area_codes_perc.mma</vt:lpstr>
      <vt:lpstr>hxd.cds.layers.8.area_codes_perc.mom</vt:lpstr>
      <vt:lpstr>hxd.cds.layers.8.area_codes_perc.mpk</vt:lpstr>
      <vt:lpstr>hxd.cds.layers.8.area_codes_perc.mqa</vt:lpstr>
      <vt:lpstr>hxd.cds.layers.8.area_codes_perc.oa1</vt:lpstr>
      <vt:lpstr>hxd.cds.layers.8.area_codes_perc.oa2</vt:lpstr>
      <vt:lpstr>hxd.cds.layers.8.area_codes_perc.oa3</vt:lpstr>
      <vt:lpstr>hxd.cds.layers.8.area_codes_perc.oa4</vt:lpstr>
      <vt:lpstr>hxd.cds.layers.8.area_codes_perc.oa5</vt:lpstr>
      <vt:lpstr>hxd.cds.layers.8.area_codes_perc.oa6</vt:lpstr>
      <vt:lpstr>hxd.cds.layers.8.area_codes_perc.ofj</vt:lpstr>
      <vt:lpstr>hxd.cds.layers.8.area_codes_perc.ogm</vt:lpstr>
      <vt:lpstr>hxd.cds.layers.8.area_codes_perc.onz</vt:lpstr>
      <vt:lpstr>hxd.cds.layers.8.area_codes_perc.opg</vt:lpstr>
      <vt:lpstr>hxd.cds.layers.8.area_codes_perc.oph</vt:lpstr>
      <vt:lpstr>hxd.cds.layers.8.area_codes_perc.ota</vt:lpstr>
      <vt:lpstr>hxd.cds.layers.8.area_codes_perc.sar</vt:lpstr>
      <vt:lpstr>hxd.cds.layers.8.area_codes_perc.sbr</vt:lpstr>
      <vt:lpstr>hxd.cds.layers.8.area_codes_perc.sbv</vt:lpstr>
      <vt:lpstr>hxd.cds.layers.8.area_codes_perc.sbz</vt:lpstr>
      <vt:lpstr>hxd.cds.layers.8.area_codes_perc.scl</vt:lpstr>
      <vt:lpstr>hxd.cds.layers.8.area_codes_perc.sco</vt:lpstr>
      <vt:lpstr>hxd.cds.layers.8.area_codes_perc.scr</vt:lpstr>
      <vt:lpstr>hxd.cds.layers.8.area_codes_perc.sec</vt:lpstr>
      <vt:lpstr>hxd.cds.layers.8.area_codes_perc.sel</vt:lpstr>
      <vt:lpstr>hxd.cds.layers.8.area_codes_perc.sgt</vt:lpstr>
      <vt:lpstr>hxd.cds.layers.8.area_codes_perc.sgy</vt:lpstr>
      <vt:lpstr>hxd.cds.layers.8.area_codes_perc.shn</vt:lpstr>
      <vt:lpstr>hxd.cds.layers.8.area_codes_perc.smx</vt:lpstr>
      <vt:lpstr>hxd.cds.layers.8.area_codes_perc.snq</vt:lpstr>
      <vt:lpstr>hxd.cds.layers.8.area_codes_perc.spa</vt:lpstr>
      <vt:lpstr>hxd.cds.layers.8.area_codes_perc.spe</vt:lpstr>
      <vt:lpstr>hxd.cds.layers.8.area_codes_perc.spy</vt:lpstr>
      <vt:lpstr>hxd.cds.layers.8.area_codes_perc.suy</vt:lpstr>
      <vt:lpstr>hxd.cds.layers.8.area_codes_perc.sve</vt:lpstr>
      <vt:lpstr>hxd.cds.layers.8.area_codes_perc.usa01</vt:lpstr>
      <vt:lpstr>hxd.cds.layers.8.area_codes_perc.usa02</vt:lpstr>
      <vt:lpstr>hxd.cds.layers.8.area_codes_perc.usa03</vt:lpstr>
      <vt:lpstr>hxd.cds.layers.8.area_codes_perc.usa04</vt:lpstr>
      <vt:lpstr>hxd.cds.layers.8.area_codes_perc.usa05</vt:lpstr>
      <vt:lpstr>hxd.cds.layers.8.area_codes_perc.usa06</vt:lpstr>
      <vt:lpstr>hxd.cds.layers.8.area_codes_perc.usa07</vt:lpstr>
      <vt:lpstr>hxd.cds.layers.8.area_codes_perc.usa08</vt:lpstr>
      <vt:lpstr>hxd.cds.layers.8.area_codes_perc.usa09</vt:lpstr>
      <vt:lpstr>hxd.cds.layers.8.area_codes_perc.usa10</vt:lpstr>
      <vt:lpstr>hxd.cds.layers.8.area_codes_perc.usa11</vt:lpstr>
      <vt:lpstr>hxd.cds.layers.8.area_codes_perc.usa12</vt:lpstr>
      <vt:lpstr>hxd.cds.layers.8.area_codes_perc.usa13</vt:lpstr>
      <vt:lpstr>hxd.cds.layers.8.area_codes_perc.usa14</vt:lpstr>
      <vt:lpstr>hxd.cds.layers.8.area_codes_perc.usa15</vt:lpstr>
      <vt:lpstr>hxd.cds.layers.8.area_codes_perc.usa16</vt:lpstr>
      <vt:lpstr>hxd.cds.layers.8.area_codes_perc.usa20</vt:lpstr>
      <vt:lpstr>hxd.cds.layers.8.area_codes_perc.usa21</vt:lpstr>
      <vt:lpstr>hxd.cds.layers.8.area_codes_perc.usa22</vt:lpstr>
      <vt:lpstr>hxd.cds.layers.8.area_codes_select.aal</vt:lpstr>
      <vt:lpstr>hxd.cds.layers.8.area_codes_select.aeg</vt:lpstr>
      <vt:lpstr>hxd.cds.layers.8.area_codes_select.ali</vt:lpstr>
      <vt:lpstr>hxd.cds.layers.8.area_codes_select.amo</vt:lpstr>
      <vt:lpstr>hxd.cds.layers.8.area_codes_select.amu</vt:lpstr>
      <vt:lpstr>hxd.cds.layers.8.area_codes_select.asa</vt:lpstr>
      <vt:lpstr>hxd.cds.layers.8.area_codes_select.bag</vt:lpstr>
      <vt:lpstr>hxd.cds.layers.8.area_codes_select.bah</vt:lpstr>
      <vt:lpstr>hxd.cds.layers.8.area_codes_select.ban</vt:lpstr>
      <vt:lpstr>hxd.cds.layers.8.area_codes_select.bbb</vt:lpstr>
      <vt:lpstr>hxd.cds.layers.8.area_codes_select.bbh</vt:lpstr>
      <vt:lpstr>hxd.cds.layers.8.area_codes_select.bbm</vt:lpstr>
      <vt:lpstr>hxd.cds.layers.8.area_codes_select.bcb</vt:lpstr>
      <vt:lpstr>hxd.cds.layers.8.area_codes_select.bcm</vt:lpstr>
      <vt:lpstr>hxd.cds.layers.8.area_codes_select.bcu</vt:lpstr>
      <vt:lpstr>hxd.cds.layers.8.area_codes_select.bdo</vt:lpstr>
      <vt:lpstr>hxd.cds.layers.8.area_codes_select.bdr</vt:lpstr>
      <vt:lpstr>hxd.cds.layers.8.area_codes_select.bgn</vt:lpstr>
      <vt:lpstr>hxd.cds.layers.8.area_codes_select.bgs</vt:lpstr>
      <vt:lpstr>hxd.cds.layers.8.area_codes_select.bgu</vt:lpstr>
      <vt:lpstr>hxd.cds.layers.8.area_codes_select.bht</vt:lpstr>
      <vt:lpstr>hxd.cds.layers.8.area_codes_select.bjm</vt:lpstr>
      <vt:lpstr>hxd.cds.layers.8.area_codes_select.bkn</vt:lpstr>
      <vt:lpstr>hxd.cds.layers.8.area_codes_select.bmq</vt:lpstr>
      <vt:lpstr>hxd.cds.layers.8.area_codes_select.bms</vt:lpstr>
      <vt:lpstr>hxd.cds.layers.8.area_codes_select.bon</vt:lpstr>
      <vt:lpstr>hxd.cds.layers.8.area_codes_select.bpr</vt:lpstr>
      <vt:lpstr>hxd.cds.layers.8.area_codes_select.bsl</vt:lpstr>
      <vt:lpstr>hxd.cds.layers.8.area_codes_select.bsv</vt:lpstr>
      <vt:lpstr>hxd.cds.layers.8.area_codes_select.bv1</vt:lpstr>
      <vt:lpstr>hxd.cds.layers.8.area_codes_select.bvs</vt:lpstr>
      <vt:lpstr>hxd.cds.layers.8.area_codes_select.bx7</vt:lpstr>
      <vt:lpstr>hxd.cds.layers.8.area_codes_select.cat</vt:lpstr>
      <vt:lpstr>hxd.cds.layers.8.area_codes_select.cbc</vt:lpstr>
      <vt:lpstr>hxd.cds.layers.8.area_codes_select.cef</vt:lpstr>
      <vt:lpstr>hxd.cds.layers.8.area_codes_select.con</vt:lpstr>
      <vt:lpstr>hxd.cds.layers.8.area_codes_select.cpr</vt:lpstr>
      <vt:lpstr>hxd.cds.layers.8.area_codes_select.cqu</vt:lpstr>
      <vt:lpstr>hxd.cds.layers.8.area_codes_select.eat</vt:lpstr>
      <vt:lpstr>hxd.cds.layers.8.area_codes_select.ebe</vt:lpstr>
      <vt:lpstr>hxd.cds.layers.8.area_codes_select.ebg</vt:lpstr>
      <vt:lpstr>hxd.cds.layers.8.area_codes_select.ech</vt:lpstr>
      <vt:lpstr>hxd.cds.layers.8.area_codes_select.ecx</vt:lpstr>
      <vt:lpstr>hxd.cds.layers.8.area_codes_select.ecz</vt:lpstr>
      <vt:lpstr>hxd.cds.layers.8.area_codes_select.edk</vt:lpstr>
      <vt:lpstr>hxd.cds.layers.8.area_codes_select.ees</vt:lpstr>
      <vt:lpstr>hxd.cds.layers.8.area_codes_select.efi</vt:lpstr>
      <vt:lpstr>hxd.cds.layers.8.area_codes_select.efr</vt:lpstr>
      <vt:lpstr>hxd.cds.layers.8.area_codes_select.ege</vt:lpstr>
      <vt:lpstr>hxd.cds.layers.8.area_codes_select.egf</vt:lpstr>
      <vt:lpstr>hxd.cds.layers.8.area_codes_select.egr</vt:lpstr>
      <vt:lpstr>hxd.cds.layers.8.area_codes_select.ehu</vt:lpstr>
      <vt:lpstr>hxd.cds.layers.8.area_codes_select.eic</vt:lpstr>
      <vt:lpstr>hxd.cds.layers.8.area_codes_select.eie</vt:lpstr>
      <vt:lpstr>hxd.cds.layers.8.area_codes_select.eit</vt:lpstr>
      <vt:lpstr>hxd.cds.layers.8.area_codes_select.emz</vt:lpstr>
      <vt:lpstr>hxd.cds.layers.8.area_codes_select.enl</vt:lpstr>
      <vt:lpstr>hxd.cds.layers.8.area_codes_select.eno</vt:lpstr>
      <vt:lpstr>hxd.cds.layers.8.area_codes_select.epl</vt:lpstr>
      <vt:lpstr>hxd.cds.layers.8.area_codes_select.ept</vt:lpstr>
      <vt:lpstr>hxd.cds.layers.8.area_codes_select.ero</vt:lpstr>
      <vt:lpstr>hxd.cds.layers.8.area_codes_select.eru</vt:lpstr>
      <vt:lpstr>hxd.cds.layers.8.area_codes_select.esb</vt:lpstr>
      <vt:lpstr>hxd.cds.layers.8.area_codes_select.esc</vt:lpstr>
      <vt:lpstr>hxd.cds.layers.8.area_codes_select.ese</vt:lpstr>
      <vt:lpstr>hxd.cds.layers.8.area_codes_select.esr</vt:lpstr>
      <vt:lpstr>hxd.cds.layers.8.area_codes_select.etu</vt:lpstr>
      <vt:lpstr>hxd.cds.layers.8.area_codes_select.euf</vt:lpstr>
      <vt:lpstr>hxd.cds.layers.8.area_codes_select.euk</vt:lpstr>
      <vt:lpstr>hxd.cds.layers.8.area_codes_select.fby</vt:lpstr>
      <vt:lpstr>hxd.cds.layers.8.area_codes_select.fcq</vt:lpstr>
      <vt:lpstr>hxd.cds.layers.8.area_codes_select.fct</vt:lpstr>
      <vt:lpstr>hxd.cds.layers.8.area_codes_select.fcy</vt:lpstr>
      <vt:lpstr>hxd.cds.layers.8.area_codes_select.fhk</vt:lpstr>
      <vt:lpstr>hxd.cds.layers.8.area_codes_select.fia</vt:lpstr>
      <vt:lpstr>hxd.cds.layers.8.area_codes_select.fjq</vt:lpstr>
      <vt:lpstr>hxd.cds.layers.8.area_codes_select.fjw</vt:lpstr>
      <vt:lpstr>hxd.cds.layers.8.area_codes_select.fkr</vt:lpstr>
      <vt:lpstr>hxd.cds.layers.8.area_codes_select.fmy</vt:lpstr>
      <vt:lpstr>hxd.cds.layers.8.area_codes_select.fnp</vt:lpstr>
      <vt:lpstr>hxd.cds.layers.8.area_codes_select.fsk</vt:lpstr>
      <vt:lpstr>hxd.cds.layers.8.area_codes_select.fsp</vt:lpstr>
      <vt:lpstr>hxd.cds.layers.8.area_codes_select.fta</vt:lpstr>
      <vt:lpstr>hxd.cds.layers.8.area_codes_select.fth</vt:lpstr>
      <vt:lpstr>hxd.cds.layers.8.area_codes_select.fvn</vt:lpstr>
      <vt:lpstr>hxd.cds.layers.8.area_codes_select.mae</vt:lpstr>
      <vt:lpstr>hxd.cds.layers.8.area_codes_select.mba</vt:lpstr>
      <vt:lpstr>hxd.cds.layers.8.area_codes_select.mbd</vt:lpstr>
      <vt:lpstr>hxd.cds.layers.8.area_codes_select.min</vt:lpstr>
      <vt:lpstr>hxd.cds.layers.8.area_codes_select.mis</vt:lpstr>
      <vt:lpstr>hxd.cds.layers.8.area_codes_select.mjo</vt:lpstr>
      <vt:lpstr>hxd.cds.layers.8.area_codes_select.mma</vt:lpstr>
      <vt:lpstr>hxd.cds.layers.8.area_codes_select.mom</vt:lpstr>
      <vt:lpstr>hxd.cds.layers.8.area_codes_select.mpk</vt:lpstr>
      <vt:lpstr>hxd.cds.layers.8.area_codes_select.mqa</vt:lpstr>
      <vt:lpstr>hxd.cds.layers.8.area_codes_select.oa1</vt:lpstr>
      <vt:lpstr>hxd.cds.layers.8.area_codes_select.oa2</vt:lpstr>
      <vt:lpstr>hxd.cds.layers.8.area_codes_select.oa3</vt:lpstr>
      <vt:lpstr>hxd.cds.layers.8.area_codes_select.oa4</vt:lpstr>
      <vt:lpstr>hxd.cds.layers.8.area_codes_select.oa5</vt:lpstr>
      <vt:lpstr>hxd.cds.layers.8.area_codes_select.oa6</vt:lpstr>
      <vt:lpstr>hxd.cds.layers.8.area_codes_select.ofj</vt:lpstr>
      <vt:lpstr>hxd.cds.layers.8.area_codes_select.ogm</vt:lpstr>
      <vt:lpstr>hxd.cds.layers.8.area_codes_select.onz</vt:lpstr>
      <vt:lpstr>hxd.cds.layers.8.area_codes_select.opg</vt:lpstr>
      <vt:lpstr>hxd.cds.layers.8.area_codes_select.oph</vt:lpstr>
      <vt:lpstr>hxd.cds.layers.8.area_codes_select.ota</vt:lpstr>
      <vt:lpstr>hxd.cds.layers.8.area_codes_select.sar</vt:lpstr>
      <vt:lpstr>hxd.cds.layers.8.area_codes_select.sbr</vt:lpstr>
      <vt:lpstr>hxd.cds.layers.8.area_codes_select.sbv</vt:lpstr>
      <vt:lpstr>hxd.cds.layers.8.area_codes_select.sbz</vt:lpstr>
      <vt:lpstr>hxd.cds.layers.8.area_codes_select.scl</vt:lpstr>
      <vt:lpstr>hxd.cds.layers.8.area_codes_select.sco</vt:lpstr>
      <vt:lpstr>hxd.cds.layers.8.area_codes_select.scr</vt:lpstr>
      <vt:lpstr>hxd.cds.layers.8.area_codes_select.sec</vt:lpstr>
      <vt:lpstr>hxd.cds.layers.8.area_codes_select.sel</vt:lpstr>
      <vt:lpstr>hxd.cds.layers.8.area_codes_select.sgt</vt:lpstr>
      <vt:lpstr>hxd.cds.layers.8.area_codes_select.sgy</vt:lpstr>
      <vt:lpstr>hxd.cds.layers.8.area_codes_select.shn</vt:lpstr>
      <vt:lpstr>hxd.cds.layers.8.area_codes_select.smx</vt:lpstr>
      <vt:lpstr>hxd.cds.layers.8.area_codes_select.snq</vt:lpstr>
      <vt:lpstr>hxd.cds.layers.8.area_codes_select.spa</vt:lpstr>
      <vt:lpstr>hxd.cds.layers.8.area_codes_select.spe</vt:lpstr>
      <vt:lpstr>hxd.cds.layers.8.area_codes_select.spy</vt:lpstr>
      <vt:lpstr>hxd.cds.layers.8.area_codes_select.suy</vt:lpstr>
      <vt:lpstr>hxd.cds.layers.8.area_codes_select.sve</vt:lpstr>
      <vt:lpstr>hxd.cds.layers.8.area_codes_select.usa01</vt:lpstr>
      <vt:lpstr>hxd.cds.layers.8.area_codes_select.usa02</vt:lpstr>
      <vt:lpstr>hxd.cds.layers.8.area_codes_select.usa03</vt:lpstr>
      <vt:lpstr>hxd.cds.layers.8.area_codes_select.usa04</vt:lpstr>
      <vt:lpstr>hxd.cds.layers.8.area_codes_select.usa05</vt:lpstr>
      <vt:lpstr>hxd.cds.layers.8.area_codes_select.usa06</vt:lpstr>
      <vt:lpstr>hxd.cds.layers.8.area_codes_select.usa07</vt:lpstr>
      <vt:lpstr>hxd.cds.layers.8.area_codes_select.usa08</vt:lpstr>
      <vt:lpstr>hxd.cds.layers.8.area_codes_select.usa09</vt:lpstr>
      <vt:lpstr>hxd.cds.layers.8.area_codes_select.usa10</vt:lpstr>
      <vt:lpstr>hxd.cds.layers.8.area_codes_select.usa11</vt:lpstr>
      <vt:lpstr>hxd.cds.layers.8.area_codes_select.usa12</vt:lpstr>
      <vt:lpstr>hxd.cds.layers.8.area_codes_select.usa13</vt:lpstr>
      <vt:lpstr>hxd.cds.layers.8.area_codes_select.usa14</vt:lpstr>
      <vt:lpstr>hxd.cds.layers.8.area_codes_select.usa15</vt:lpstr>
      <vt:lpstr>hxd.cds.layers.8.area_codes_select.usa16</vt:lpstr>
      <vt:lpstr>hxd.cds.layers.8.area_codes_select.usa20</vt:lpstr>
      <vt:lpstr>hxd.cds.layers.8.area_codes_select.usa21</vt:lpstr>
      <vt:lpstr>hxd.cds.layers.8.area_codes_select.usa22</vt:lpstr>
      <vt:lpstr>hxd.cds.layers.8.excess</vt:lpstr>
      <vt:lpstr>hxd.cds.layers.8.excess_cnv</vt:lpstr>
      <vt:lpstr>hxd.cds.layers.8.layer_description</vt:lpstr>
      <vt:lpstr>hxd.cds.layers.8.leader</vt:lpstr>
      <vt:lpstr>hxd.cds.layers.8.limit</vt:lpstr>
      <vt:lpstr>hxd.cds.layers.8.limit_cnv</vt:lpstr>
      <vt:lpstr>hxd.cds.layers.8.marginal_impacts.treaty_group.mi_10</vt:lpstr>
      <vt:lpstr>hxd.cds.layers.8.marginal_impacts.treaty_group.mi_250</vt:lpstr>
      <vt:lpstr>hxd.cds.layers.8.marginal_impacts.treaty_intl.mi_10</vt:lpstr>
      <vt:lpstr>hxd.cds.layers.8.marginal_impacts.treaty_intl.mi_250</vt:lpstr>
      <vt:lpstr>hxd.cds.layers.8.marginal_impacts.treaty_us.mi_10</vt:lpstr>
      <vt:lpstr>hxd.cds.layers.8.marginal_impacts.treaty_us.mi_250</vt:lpstr>
      <vt:lpstr>hxd.cds.layers.8.model.air.gross_el</vt:lpstr>
      <vt:lpstr>hxd.cds.layers.8.model.air.gross_sd</vt:lpstr>
      <vt:lpstr>hxd.cds.layers.8.model.ivor.gross_el</vt:lpstr>
      <vt:lpstr>hxd.cds.layers.8.model.ivor.gross_sd</vt:lpstr>
      <vt:lpstr>hxd.cds.layers.8.model.nmp.description</vt:lpstr>
      <vt:lpstr>hxd.cds.layers.8.model.nmp.gross_el_incl_rol</vt:lpstr>
      <vt:lpstr>hxd.cds.layers.8.model.nmp.gross_sd_incl_rol</vt:lpstr>
      <vt:lpstr>hxd.cds.layers.8.model.rms.gross_el</vt:lpstr>
      <vt:lpstr>hxd.cds.layers.8.model.rms.gross_sd</vt:lpstr>
      <vt:lpstr>hxd.cds.layers.8.model.total_air_nmp.gross_el</vt:lpstr>
      <vt:lpstr>hxd.cds.layers.8.model.total_air_nmp.gross_sd</vt:lpstr>
      <vt:lpstr>hxd.cds.layers.8.model.total_rms_nmp.gross_el</vt:lpstr>
      <vt:lpstr>hxd.cds.layers.8.model.total_rms_nmp.gross_sd</vt:lpstr>
      <vt:lpstr>hxd.cds.layers.8.quote.rol_ty.bpi</vt:lpstr>
      <vt:lpstr>hxd.cds.layers.8.quote.rol_ty.est_sign_written_ratio</vt:lpstr>
      <vt:lpstr>hxd.cds.layers.8.quote.rol_ty.estimated_signing</vt:lpstr>
      <vt:lpstr>hxd.cds.layers.8.quote.rol_ty.roc</vt:lpstr>
      <vt:lpstr>hxd.cds.layers.8.quote.rol_ty.rol_afb_tech</vt:lpstr>
      <vt:lpstr>hxd.cds.layers.8.quote.rol_ty.rol_fot</vt:lpstr>
      <vt:lpstr>hxd.cds.layers.8.quote.rol_ty.rol_quote</vt:lpstr>
      <vt:lpstr>hxd.cds.layers.8.quote.rol_ty.signed_line</vt:lpstr>
      <vt:lpstr>hxd.cds.layers.8.quote.rol_ty.ulr</vt:lpstr>
      <vt:lpstr>hxd.cds.layers.8.quote.rol_ty.written_line</vt:lpstr>
      <vt:lpstr>hxd.cds.layers.8.rate_change.comments</vt:lpstr>
      <vt:lpstr>hxd.cds.layers.8.rate_change.deductible_change_fixed.final</vt:lpstr>
      <vt:lpstr>hxd.cds.layers.8.rate_change.exposure_change_fixed.comment</vt:lpstr>
      <vt:lpstr>hxd.cds.layers.8.rate_change.exposure_change_fixed.final</vt:lpstr>
      <vt:lpstr>hxd.cds.layers.8.rate_change.limit_change_fixed.comment</vt:lpstr>
      <vt:lpstr>hxd.cds.layers.8.rate_change.limit_change_fixed.final</vt:lpstr>
      <vt:lpstr>hxd.cds.layers.8.rate_change.other_change_fixed.final</vt:lpstr>
      <vt:lpstr>hxd.cds.layers.8.rate_change.rationale_outside_plan</vt:lpstr>
      <vt:lpstr>hxd.cds.layers.8.rate_change.risk_adjusted_rate_change</vt:lpstr>
      <vt:lpstr>hxd.cds.layers.8.rate_change.risk_characteristics_change_fixed.final</vt:lpstr>
      <vt:lpstr>hxd.cds.layers.8.rate_change.rol_ly_to_use</vt:lpstr>
      <vt:lpstr>hxd.cds.layers.8.rate_change.rol_rebased</vt:lpstr>
      <vt:lpstr>hxd.cds.layers.8.rate_change.terms_conditions_change_fixed.final</vt:lpstr>
      <vt:lpstr>hxd.cds.layers.8.rms_regional.al_miss</vt:lpstr>
      <vt:lpstr>hxd.cds.layers.8.rms_regional.ca_wildfire</vt:lpstr>
      <vt:lpstr>hxd.cds.layers.8.rms_regional.cal_north</vt:lpstr>
      <vt:lpstr>hxd.cds.layers.8.rms_regional.cal_south</vt:lpstr>
      <vt:lpstr>hxd.cds.layers.8.rms_regional.carolinas</vt:lpstr>
      <vt:lpstr>hxd.cds.layers.8.rms_regional.fl_non_se</vt:lpstr>
      <vt:lpstr>hxd.cds.layers.8.rms_regional.fl_se</vt:lpstr>
      <vt:lpstr>hxd.cds.layers.8.rms_regional.hawaii</vt:lpstr>
      <vt:lpstr>hxd.cds.layers.8.rms_regional.louisiana</vt:lpstr>
      <vt:lpstr>hxd.cds.layers.8.rms_regional.mid_atlantic</vt:lpstr>
      <vt:lpstr>hxd.cds.layers.8.rms_regional.mid_west_1</vt:lpstr>
      <vt:lpstr>hxd.cds.layers.8.rms_regional.mid_west_2</vt:lpstr>
      <vt:lpstr>hxd.cds.layers.8.rms_regional.new_madrid</vt:lpstr>
      <vt:lpstr>hxd.cds.layers.8.rms_regional.north_east</vt:lpstr>
      <vt:lpstr>hxd.cds.layers.8.rms_regional.pnw</vt:lpstr>
      <vt:lpstr>hxd.cds.layers.8.rms_regional.second_event</vt:lpstr>
      <vt:lpstr>hxd.cds.layers.8.rms_regional.tx_east</vt:lpstr>
      <vt:lpstr>hxd.cds.layers.8.rms_regional.tx_west</vt:lpstr>
      <vt:lpstr>hxd.cds.layers.8.section_reference</vt:lpstr>
      <vt:lpstr>hxd.cds.layers.8.summary.next_year.section_reference</vt:lpstr>
      <vt:lpstr>hxd.cds.layers.8.summary.ty.epi_adj_rate</vt:lpstr>
      <vt:lpstr>hxd.cds.layers.8.summary.ty.epi_estimated_summary_fx</vt:lpstr>
      <vt:lpstr>hxd.cds.layers.8.summary.ty.epi_signed_summary_fx</vt:lpstr>
      <vt:lpstr>hxd.cds.layers.8.summary.ty.epi_written_summary_fx</vt:lpstr>
      <vt:lpstr>hxd.cds.layers.8.summary.ty.fot_adequacy</vt:lpstr>
      <vt:lpstr>hxd.cds.layers.8.summary.ty.line_estimated_summary_fx</vt:lpstr>
      <vt:lpstr>hxd.cds.layers.8.summary.ty.line_signed_summary_fx</vt:lpstr>
      <vt:lpstr>hxd.cds.layers.8.summary.ty.line_written_summary_fx</vt:lpstr>
      <vt:lpstr>hxd.cds.layers.8.summary.ty.mi_10</vt:lpstr>
      <vt:lpstr>hxd.cds.layers.8.summary.ty.mi_10_prem_ratio</vt:lpstr>
      <vt:lpstr>hxd.cds.layers.8.summary.ty.mi_250</vt:lpstr>
      <vt:lpstr>hxd.cds.layers.8.summary.ty.mi_250_prem_ratio</vt:lpstr>
      <vt:lpstr>hxd.cds.layers.8.summary.ty.multi_year_period</vt:lpstr>
      <vt:lpstr>hxd.cds.layers.8.summary.ty.prem_full_line</vt:lpstr>
      <vt:lpstr>hxd.cds.layers.8.summary.ty.reinstatement_description</vt:lpstr>
      <vt:lpstr>hxd.cds.layers.8.summary.ty.rms_adequacy</vt:lpstr>
      <vt:lpstr>hxd.cds.layers.8.summary.year_after_next.section_reference</vt:lpstr>
      <vt:lpstr>hxd.cds.modelling_account_level.comments</vt:lpstr>
      <vt:lpstr>hxd.cds.modelling_account_level.rds_gross_loss.previous_year.carolinas_ws</vt:lpstr>
      <vt:lpstr>hxd.cds.modelling_account_level.rds_gross_loss.previous_year.fl_pinnelas_ws</vt:lpstr>
      <vt:lpstr>hxd.cds.modelling_account_level.rds_gross_loss.previous_year.gulf_ws</vt:lpstr>
      <vt:lpstr>hxd.cds.modelling_account_level.rds_gross_loss.previous_year.la_eq</vt:lpstr>
      <vt:lpstr>hxd.cds.modelling_account_level.rds_gross_loss.previous_year.miami_dade_ws</vt:lpstr>
      <vt:lpstr>hxd.cds.modelling_account_level.rds_gross_loss.previous_year.ne_ws</vt:lpstr>
      <vt:lpstr>hxd.cds.modelling_account_level.rds_gross_loss.previous_year.nm_eq</vt:lpstr>
      <vt:lpstr>hxd.cds.modelling_account_level.rds_gross_loss.previous_year.nm_stress_eq</vt:lpstr>
      <vt:lpstr>hxd.cds.modelling_account_level.rds_gross_loss.previous_year.sf_eq</vt:lpstr>
      <vt:lpstr>hxd.cds.modelling_account_level.rds_gross_loss.this_year.carolinas_ws</vt:lpstr>
      <vt:lpstr>hxd.cds.modelling_account_level.rds_gross_loss.this_year.fl_pinnelas_ws</vt:lpstr>
      <vt:lpstr>hxd.cds.modelling_account_level.rds_gross_loss.this_year.gulf_ws</vt:lpstr>
      <vt:lpstr>hxd.cds.modelling_account_level.rds_gross_loss.this_year.la_eq</vt:lpstr>
      <vt:lpstr>hxd.cds.modelling_account_level.rds_gross_loss.this_year.miami_dade_ws</vt:lpstr>
      <vt:lpstr>hxd.cds.modelling_account_level.rds_gross_loss.this_year.ne_ws</vt:lpstr>
      <vt:lpstr>hxd.cds.modelling_account_level.rds_gross_loss.this_year.nm_eq</vt:lpstr>
      <vt:lpstr>hxd.cds.modelling_account_level.rds_gross_loss.this_year.nm_stress_eq</vt:lpstr>
      <vt:lpstr>hxd.cds.modelling_account_level.rds_gross_loss.this_year.sf_eq</vt:lpstr>
      <vt:lpstr>hxd.cds.post_bind.answer.q_1</vt:lpstr>
      <vt:lpstr>hxd.cds.post_bind.answer.q_10</vt:lpstr>
      <vt:lpstr>hxd.cds.post_bind.answer.q_11</vt:lpstr>
      <vt:lpstr>hxd.cds.post_bind.answer.q_12</vt:lpstr>
      <vt:lpstr>hxd.cds.post_bind.answer.q_13</vt:lpstr>
      <vt:lpstr>hxd.cds.post_bind.answer.q_14</vt:lpstr>
      <vt:lpstr>hxd.cds.post_bind.answer.q_15</vt:lpstr>
      <vt:lpstr>hxd.cds.post_bind.answer.q_16</vt:lpstr>
      <vt:lpstr>hxd.cds.post_bind.answer.q_17</vt:lpstr>
      <vt:lpstr>hxd.cds.post_bind.answer.q_18</vt:lpstr>
      <vt:lpstr>hxd.cds.post_bind.answer.q_19</vt:lpstr>
      <vt:lpstr>hxd.cds.post_bind.answer.q_2</vt:lpstr>
      <vt:lpstr>hxd.cds.post_bind.answer.q_20</vt:lpstr>
      <vt:lpstr>hxd.cds.post_bind.answer.q_21</vt:lpstr>
      <vt:lpstr>hxd.cds.post_bind.answer.q_22</vt:lpstr>
      <vt:lpstr>hxd.cds.post_bind.answer.q_23</vt:lpstr>
      <vt:lpstr>hxd.cds.post_bind.answer.q_24</vt:lpstr>
      <vt:lpstr>hxd.cds.post_bind.answer.q_25</vt:lpstr>
      <vt:lpstr>hxd.cds.post_bind.answer.q_26</vt:lpstr>
      <vt:lpstr>hxd.cds.post_bind.answer.q_27</vt:lpstr>
      <vt:lpstr>hxd.cds.post_bind.answer.q_28</vt:lpstr>
      <vt:lpstr>hxd.cds.post_bind.answer.q_29</vt:lpstr>
      <vt:lpstr>hxd.cds.post_bind.answer.q_3</vt:lpstr>
      <vt:lpstr>hxd.cds.post_bind.answer.q_30</vt:lpstr>
      <vt:lpstr>hxd.cds.post_bind.answer.q_31</vt:lpstr>
      <vt:lpstr>hxd.cds.post_bind.answer.q_32</vt:lpstr>
      <vt:lpstr>hxd.cds.post_bind.answer.q_33</vt:lpstr>
      <vt:lpstr>hxd.cds.post_bind.answer.q_34</vt:lpstr>
      <vt:lpstr>hxd.cds.post_bind.answer.q_4</vt:lpstr>
      <vt:lpstr>hxd.cds.post_bind.answer.q_5</vt:lpstr>
      <vt:lpstr>hxd.cds.post_bind.answer.q_6</vt:lpstr>
      <vt:lpstr>hxd.cds.post_bind.answer.q_7</vt:lpstr>
      <vt:lpstr>hxd.cds.post_bind.answer.q_8</vt:lpstr>
      <vt:lpstr>hxd.cds.post_bind.answer.q_9</vt:lpstr>
      <vt:lpstr>hxd.cds.post_bind.comments.q_1</vt:lpstr>
      <vt:lpstr>hxd.cds.post_bind.comments.q_10</vt:lpstr>
      <vt:lpstr>hxd.cds.post_bind.comments.q_11</vt:lpstr>
      <vt:lpstr>hxd.cds.post_bind.comments.q_12</vt:lpstr>
      <vt:lpstr>hxd.cds.post_bind.comments.q_13</vt:lpstr>
      <vt:lpstr>hxd.cds.post_bind.comments.q_14</vt:lpstr>
      <vt:lpstr>hxd.cds.post_bind.comments.q_15</vt:lpstr>
      <vt:lpstr>hxd.cds.post_bind.comments.q_16</vt:lpstr>
      <vt:lpstr>hxd.cds.post_bind.comments.q_17</vt:lpstr>
      <vt:lpstr>hxd.cds.post_bind.comments.q_18</vt:lpstr>
      <vt:lpstr>hxd.cds.post_bind.comments.q_19</vt:lpstr>
      <vt:lpstr>hxd.cds.post_bind.comments.q_2</vt:lpstr>
      <vt:lpstr>hxd.cds.post_bind.comments.q_20</vt:lpstr>
      <vt:lpstr>hxd.cds.post_bind.comments.q_21</vt:lpstr>
      <vt:lpstr>hxd.cds.post_bind.comments.q_22</vt:lpstr>
      <vt:lpstr>hxd.cds.post_bind.comments.q_23</vt:lpstr>
      <vt:lpstr>hxd.cds.post_bind.comments.q_24</vt:lpstr>
      <vt:lpstr>hxd.cds.post_bind.comments.q_25</vt:lpstr>
      <vt:lpstr>hxd.cds.post_bind.comments.q_26</vt:lpstr>
      <vt:lpstr>hxd.cds.post_bind.comments.q_27</vt:lpstr>
      <vt:lpstr>hxd.cds.post_bind.comments.q_28</vt:lpstr>
      <vt:lpstr>hxd.cds.post_bind.comments.q_29</vt:lpstr>
      <vt:lpstr>hxd.cds.post_bind.comments.q_3</vt:lpstr>
      <vt:lpstr>hxd.cds.post_bind.comments.q_30</vt:lpstr>
      <vt:lpstr>hxd.cds.post_bind.comments.q_31</vt:lpstr>
      <vt:lpstr>hxd.cds.post_bind.comments.q_32</vt:lpstr>
      <vt:lpstr>hxd.cds.post_bind.comments.q_33</vt:lpstr>
      <vt:lpstr>hxd.cds.post_bind.comments.q_34</vt:lpstr>
      <vt:lpstr>hxd.cds.post_bind.comments.q_4</vt:lpstr>
      <vt:lpstr>hxd.cds.post_bind.comments.q_5</vt:lpstr>
      <vt:lpstr>hxd.cds.post_bind.comments.q_6</vt:lpstr>
      <vt:lpstr>hxd.cds.post_bind.comments.q_7</vt:lpstr>
      <vt:lpstr>hxd.cds.post_bind.comments.q_8</vt:lpstr>
      <vt:lpstr>hxd.cds.post_bind.comments.q_9</vt:lpstr>
      <vt:lpstr>hxd.cds.pre_bind.answer.q_1</vt:lpstr>
      <vt:lpstr>hxd.cds.pre_bind.answer.q_2</vt:lpstr>
      <vt:lpstr>hxd.cds.pre_bind.answer.q_3</vt:lpstr>
      <vt:lpstr>hxd.cds.pre_bind.answer.q_4</vt:lpstr>
      <vt:lpstr>hxd.cds.pre_bind.answer.q_5</vt:lpstr>
      <vt:lpstr>hxd.cds.pre_bind.answer.q_6</vt:lpstr>
      <vt:lpstr>hxd.cds.pre_bind.answer.q_7</vt:lpstr>
      <vt:lpstr>hxd.cds.pre_bind.date</vt:lpstr>
      <vt:lpstr>hxd.cds.pre_bind.uw_signature</vt:lpstr>
      <vt:lpstr>hxd.cds.programme</vt:lpstr>
      <vt:lpstr>hxd.cds.rationale.basis_comments</vt:lpstr>
      <vt:lpstr>'Post Bind'!hxd.cds.rationale.facts_comments</vt:lpstr>
      <vt:lpstr>'Pre Bind'!hxd.cds.rationale.facts_comments</vt:lpstr>
      <vt:lpstr>hxd.cds.rationale.facts_comments</vt:lpstr>
      <vt:lpstr>'Post Bind'!hxd.cds.rationale.knowledge_comments</vt:lpstr>
      <vt:lpstr>'Pre Bind'!hxd.cds.rationale.knowledge_comments</vt:lpstr>
      <vt:lpstr>hxd.cds.rationale.knowledge_comments</vt:lpstr>
      <vt:lpstr>'Post Bind'!hxd.cds.rationale.portfolio_comments</vt:lpstr>
      <vt:lpstr>'Pre Bind'!hxd.cds.rationale.portfolio_comments</vt:lpstr>
      <vt:lpstr>hxd.cds.rationale.portfolio_comments</vt:lpstr>
      <vt:lpstr>'Post Bind'!hxd.cds.rationale.unusual_comments</vt:lpstr>
      <vt:lpstr>'Pre Bind'!hxd.cds.rationale.unusual_comments</vt:lpstr>
      <vt:lpstr>hxd.cds.rationale.unusual_comments</vt:lpstr>
      <vt:lpstr>hxd.cds.sanctions_clause</vt:lpstr>
      <vt:lpstr>hxd.cds.standard_fields.broker</vt:lpstr>
      <vt:lpstr>hxd.cds.standard_fields.expiry_date</vt:lpstr>
      <vt:lpstr>hxd.cds.standard_fields.inception_date</vt:lpstr>
      <vt:lpstr>hxd.cds.standard_fields.insured_name</vt:lpstr>
      <vt:lpstr>hxd.cds.standard_fields.is_renewal</vt:lpstr>
      <vt:lpstr>hxd.cds.standard_fields.underwriter</vt:lpstr>
      <vt:lpstr>hxd.cds.summary.multi_year_summary_ly.epi_estimated_summary_fx</vt:lpstr>
      <vt:lpstr>hxd.cds.summary.multi_year_summary_ly.epi_signed_summary_fx</vt:lpstr>
      <vt:lpstr>hxd.cds.summary.multi_year_summary_ly.epi_written_summary_fx</vt:lpstr>
      <vt:lpstr>hxd.cds.summary.multi_year_summary_ly.line_estimated_summary_fx</vt:lpstr>
      <vt:lpstr>hxd.cds.summary.multi_year_summary_ly.line_signed_summary_fx</vt:lpstr>
      <vt:lpstr>hxd.cds.summary.multi_year_summary_ly.line_written_summary_fx</vt:lpstr>
      <vt:lpstr>hxd.cds.summary.multi_year_summary_ly.mi_250</vt:lpstr>
      <vt:lpstr>hxd.cds.summary.multi_year_summary_ly.mi_250_estimate_prem_ratio</vt:lpstr>
      <vt:lpstr>hxd.cds.summary.multi_year_summary_ly.mi_250_prem_ratio</vt:lpstr>
      <vt:lpstr>hxd.cds.summary.multi_year_summary_ty.epi_estimated_summary_fx</vt:lpstr>
      <vt:lpstr>hxd.cds.summary.multi_year_summary_ty.epi_signed_summary_fx</vt:lpstr>
      <vt:lpstr>hxd.cds.summary.multi_year_summary_ty.epi_written_summary_fx</vt:lpstr>
      <vt:lpstr>hxd.cds.summary.multi_year_summary_ty.line_estimated_summary_fx</vt:lpstr>
      <vt:lpstr>hxd.cds.summary.multi_year_summary_ty.line_signed_summary_fx</vt:lpstr>
      <vt:lpstr>hxd.cds.summary.multi_year_summary_ty.line_written_summary_fx</vt:lpstr>
      <vt:lpstr>hxd.cds.summary.multi_year_summary_ty.mi_250</vt:lpstr>
      <vt:lpstr>hxd.cds.summary.multi_year_summary_ty.mi_250_estimate_prem_ratio</vt:lpstr>
      <vt:lpstr>hxd.cds.summary.multi_year_summary_ty.mi_250_prem_ratio</vt:lpstr>
      <vt:lpstr>hxd.cds.summary.ty.bpi</vt:lpstr>
      <vt:lpstr>hxd.cds.summary.ty.epi_adj_rate</vt:lpstr>
      <vt:lpstr>hxd.cds.summary.ty.epi_estimated_summary_fx</vt:lpstr>
      <vt:lpstr>hxd.cds.summary.ty.epi_signed_summary_fx</vt:lpstr>
      <vt:lpstr>hxd.cds.summary.ty.epi_written_summary_fx</vt:lpstr>
      <vt:lpstr>hxd.cds.summary.ty.fot_adequacy</vt:lpstr>
      <vt:lpstr>hxd.cds.summary.ty.line_estimated_summary_fx</vt:lpstr>
      <vt:lpstr>hxd.cds.summary.ty.line_signed_summary_fx</vt:lpstr>
      <vt:lpstr>hxd.cds.summary.ty.line_written_summary_fx</vt:lpstr>
      <vt:lpstr>hxd.cds.summary.ty.mi_10</vt:lpstr>
      <vt:lpstr>hxd.cds.summary.ty.mi_10_prem_ratio</vt:lpstr>
      <vt:lpstr>hxd.cds.summary.ty.mi_250</vt:lpstr>
      <vt:lpstr>hxd.cds.summary.ty.mi_250_prem_ratio</vt:lpstr>
      <vt:lpstr>hxd.cds.summary.ty.prem_full_line</vt:lpstr>
      <vt:lpstr>hxd.cds.summary.ty.risk_adjusted_rate_change</vt:lpstr>
      <vt:lpstr>hxd.cds.summary.ty.rms_adequacy</vt:lpstr>
      <vt:lpstr>hxd.cds.summary.ty.ulr</vt:lpstr>
      <vt:lpstr>hxd.cds.summary_comments</vt:lpstr>
      <vt:lpstr>hxd.cds.summary_fx_conversion</vt:lpstr>
      <vt:lpstr>hxd.cds.summary_uwa_exposure</vt:lpstr>
      <vt:lpstr>hxd.cds.summary_uwa_premium</vt:lpstr>
      <vt:lpstr>hxd.cds.territorial_focus_group</vt:lpstr>
      <vt:lpstr>hxd.cds.terrorism_code</vt:lpstr>
      <vt:lpstr>hxd.cds.uwa_limit_label</vt:lpstr>
      <vt:lpstr>hxd.cds.uwa_premium_label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Jamie Curtis</dc:creator>
  <cp:keywords/>
  <dc:description/>
  <cp:lastModifiedBy>Adam Tucker</cp:lastModifiedBy>
  <cp:revision/>
  <dcterms:created xsi:type="dcterms:W3CDTF">2025-07-30T15:23:25Z</dcterms:created>
  <dcterms:modified xsi:type="dcterms:W3CDTF">2026-05-05T09:16:23Z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0x010100AA28AC32A8EB114FAF4517D124A5FA74</vt:lpwstr>
  </property>
  <property fmtid="{D5CDD505-2E9C-101B-9397-08002B2CF9AE}" pid="3" name="MSIP_Label_e45a184a-ec6c-4706-a8fe-00eb3519811b_Enabled">
    <vt:lpwstr>true</vt:lpwstr>
  </property>
  <property fmtid="{D5CDD505-2E9C-101B-9397-08002B2CF9AE}" pid="4" name="MSIP_Label_e45a184a-ec6c-4706-a8fe-00eb3519811b_SetDate">
    <vt:lpwstr>2025-10-01T12:54:01Z</vt:lpwstr>
  </property>
  <property fmtid="{D5CDD505-2E9C-101B-9397-08002B2CF9AE}" pid="5" name="MSIP_Label_e45a184a-ec6c-4706-a8fe-00eb3519811b_Method">
    <vt:lpwstr>Privileged</vt:lpwstr>
  </property>
  <property fmtid="{D5CDD505-2E9C-101B-9397-08002B2CF9AE}" pid="6" name="MSIP_Label_e45a184a-ec6c-4706-a8fe-00eb3519811b_Name">
    <vt:lpwstr>Confidential</vt:lpwstr>
  </property>
  <property fmtid="{D5CDD505-2E9C-101B-9397-08002B2CF9AE}" pid="7" name="MSIP_Label_e45a184a-ec6c-4706-a8fe-00eb3519811b_SiteId">
    <vt:lpwstr>9a50eba8-7568-447a-bcb9-27a0d464aa80</vt:lpwstr>
  </property>
  <property fmtid="{D5CDD505-2E9C-101B-9397-08002B2CF9AE}" pid="8" name="MSIP_Label_e45a184a-ec6c-4706-a8fe-00eb3519811b_ActionId">
    <vt:lpwstr>cfb04fc0-0f48-4f01-8907-20efb9370ab1</vt:lpwstr>
  </property>
  <property fmtid="{D5CDD505-2E9C-101B-9397-08002B2CF9AE}" pid="9" name="MSIP_Label_e45a184a-ec6c-4706-a8fe-00eb3519811b_ContentBits">
    <vt:lpwstr>0</vt:lpwstr>
  </property>
  <property fmtid="{D5CDD505-2E9C-101B-9397-08002B2CF9AE}" pid="10" name="MSIP_Label_e45a184a-ec6c-4706-a8fe-00eb3519811b_Tag">
    <vt:lpwstr>10, 2, 1, 1</vt:lpwstr>
  </property>
</Properties>
</file>