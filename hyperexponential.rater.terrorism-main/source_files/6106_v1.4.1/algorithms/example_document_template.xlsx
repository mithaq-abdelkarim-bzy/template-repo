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beazley-my.sharepoint.com/personal/james_buckley_beazley_com/Documents/Documents/Downloads/"/>
    </mc:Choice>
  </mc:AlternateContent>
  <xr:revisionPtr revIDLastSave="19" documentId="13_ncr:1_{E71FD20B-F39F-46EE-A3E2-79C832C7C234}" xr6:coauthVersionLast="47" xr6:coauthVersionMax="47" xr10:uidLastSave="{5641C0D7-82A2-4ED7-BEBF-0BE8619F49B6}"/>
  <bookViews>
    <workbookView xWindow="-120" yWindow="-120" windowWidth="38640" windowHeight="21120" activeTab="4" xr2:uid="{00000000-000D-0000-FFFF-FFFF00000000}"/>
  </bookViews>
  <sheets>
    <sheet name="Risk Information" sheetId="1" r:id="rId1"/>
    <sheet name="Countries" sheetId="14" r:id="rId2"/>
    <sheet name="Exposure Details" sheetId="15" r:id="rId3"/>
    <sheet name="Construction" sheetId="20" r:id="rId4"/>
    <sheet name="Rating Summary" sheetId="16" r:id="rId5"/>
    <sheet name="Peril Sheet" sheetId="18" r:id="rId6"/>
  </sheets>
  <definedNames>
    <definedName name="agg_discount">'Exposure Details'!$D$19</definedName>
    <definedName name="aggregate_usage">'Exposure Details'!$K$15</definedName>
    <definedName name="bi_indemnity_periuod_months">'Exposure Details'!$K$13</definedName>
    <definedName name="bi_sum_insured">'Exposure Details'!$D$12</definedName>
    <definedName name="bi_wait_period_days">'Exposure Details'!$K$12</definedName>
    <definedName name="bpi">'Rating Summary'!$Q$24</definedName>
    <definedName name="broker_contact">'Risk Information'!$G$34</definedName>
    <definedName name="broker_name">'Risk Information'!$D$34</definedName>
    <definedName name="brokerage">'Risk Information'!$G$28</definedName>
    <definedName name="CIQWBGuid" hidden="1">"d1fa1c47-a428-497f-aca3-1ee4f6615dd2"</definedName>
    <definedName name="commentary_general">'Exposure Details'!$B$170</definedName>
    <definedName name="commentary_ihs">'Exposure Details'!$B$164</definedName>
    <definedName name="commentary_industry">'Exposure Details'!$B$152</definedName>
    <definedName name="commentary_perils">'Peril Sheet'!$B$19</definedName>
    <definedName name="commentary_policy">'Exposure Details'!$B$158</definedName>
    <definedName name="commentary_security">'Exposure Details'!$B$146</definedName>
    <definedName name="commentary_uw_rationale">'Rating Summary'!$B$73</definedName>
    <definedName name="confirm_limits_status">'Peril Sheet'!$E$13</definedName>
    <definedName name="construction_coverage">'Exposure Details'!$K$17</definedName>
    <definedName name="contingent_bi">'Exposure Details'!$K$14</definedName>
    <definedName name="days_difference">Construction!$I$11</definedName>
    <definedName name="expiry_date">'Risk Information'!$G$8</definedName>
    <definedName name="gross_benchmark_premium">'Rating Summary'!$E$19</definedName>
    <definedName name="gross_quoted_premium">'Rating Summary'!$E$17</definedName>
    <definedName name="gross_quoted_rol">'Rating Summary'!$J$17</definedName>
    <definedName name="gross_technical_premium">'Rating Summary'!$J$19</definedName>
    <definedName name="gross_technical_premium_pre_uw_adjustment">'Rating Summary'!$Q$19</definedName>
    <definedName name="impact_of_underwriting_adjustments">'Rating Summary'!$Q$26</definedName>
    <definedName name="inception_date">'Risk Information'!$D$8</definedName>
    <definedName name="insured_name">'Risk Information'!$D$12</definedName>
    <definedName name="is_renewal">'Risk Information'!$D$16</definedName>
    <definedName name="line_currency">'Risk Information'!$G$24</definedName>
    <definedName name="number_of_locations">'Exposure Details'!$D$18</definedName>
    <definedName name="order">'Risk Information'!$D$24</definedName>
    <definedName name="pd_sum_insured">'Exposure Details'!$D$13</definedName>
    <definedName name="policy_deductible">'Exposure Details'!$D$17</definedName>
    <definedName name="policy_excess">'Exposure Details'!$D$16</definedName>
    <definedName name="policy_limit">'Exposure Details'!$D$14</definedName>
    <definedName name="policy_sub_limit">'Exposure Details'!$D$15</definedName>
    <definedName name="policy_url">'Risk Information'!$F$3</definedName>
    <definedName name="priced_for_loss_ratio">'Rating Summary'!$E$26</definedName>
    <definedName name="_xlnm.Print_Area" localSheetId="3">Construction!$B$3:$R$36</definedName>
    <definedName name="_xlnm.Print_Area" localSheetId="1">Countries!$B$3:$AE$109</definedName>
    <definedName name="_xlnm.Print_Area" localSheetId="2">'Exposure Details'!$A$1:$Z$174</definedName>
    <definedName name="_xlnm.Print_Area" localSheetId="5">'Peril Sheet'!$B$3:$P$46</definedName>
    <definedName name="_xlnm.Print_Area" localSheetId="4">'Rating Summary'!$B$3:$W$91</definedName>
    <definedName name="_xlnm.Print_Area" localSheetId="0">'Risk Information'!$B$2:$I$35</definedName>
    <definedName name="return_on_capital">'Rating Summary'!$J$26</definedName>
    <definedName name="section_reference">'Risk Information'!$D$14</definedName>
    <definedName name="source_currency">'Risk Information'!$G$14</definedName>
    <definedName name="source_system">'Risk Information'!$G$10</definedName>
    <definedName name="status">'Risk Information'!$D$28</definedName>
    <definedName name="tbl_construction_default_approach">Construction!$C$20</definedName>
    <definedName name="tbl_construction_premium_build_up">Construction!$C$28</definedName>
    <definedName name="tbl_construction_premium_totals">Construction!$L$34</definedName>
    <definedName name="tbl_countries">Countries!$C$10</definedName>
    <definedName name="tbl_ihs_score">'Exposure Details'!$C$26</definedName>
    <definedName name="tbl_perils_cbi">'Peril Sheet'!$D$40</definedName>
    <definedName name="tbl_perils_general">'Peril Sheet'!$D$25</definedName>
    <definedName name="tbl_rate_change_drivers">'Rating Summary'!$F$85</definedName>
    <definedName name="tbl_rate_change_premiums">'Rating Summary'!$F$80</definedName>
    <definedName name="tbl_rating_annual_after_uw_adj">'Rating Summary'!$Q$44</definedName>
    <definedName name="tbl_rating_annual_before_uw_adj">'Rating Summary'!$Q$61</definedName>
    <definedName name="tbl_rating_term_after_uw_adj">'Rating Summary'!$F$44</definedName>
    <definedName name="tbl_rating_term_before_uw_adj">'Rating Summary'!$F$61</definedName>
    <definedName name="tbl_uw_adjustments">'Exposure Details'!$E$133</definedName>
    <definedName name="tbl_uw_authority">'Rating Summary'!$F$31</definedName>
    <definedName name="to_terrorism_only">'Risk Information'!$D$26</definedName>
    <definedName name="total_adjustment_score">'Exposure Details'!$J$142</definedName>
    <definedName name="total_sum_insured">'Exposure Details'!$D$11</definedName>
    <definedName name="tpi">'Rating Summary'!$E$24</definedName>
    <definedName name="tpi_pre_uw_adjustment">'Rating Summary'!$J$24</definedName>
    <definedName name="type_of_limit">'Exposure Details'!$K$11</definedName>
    <definedName name="underwriter">'Risk Information'!$D$10</definedName>
    <definedName name="underwriter_multiplier">'Exposure Details'!$Q$142</definedName>
    <definedName name="uw_ihs_adjustment">'Exposure Details'!$D$142</definedName>
    <definedName name="wl_war_on_land">'Risk Information'!$G$26</definedName>
    <definedName name="written_line">'Risk Information'!$D$22</definedName>
    <definedName name="written_line_basis">'Risk Information'!$G$22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4" l="1"/>
  <c r="B12" i="14" s="1"/>
  <c r="B13" i="14" s="1"/>
  <c r="B14" i="14" s="1"/>
  <c r="B15" i="14" s="1"/>
  <c r="B16" i="14" s="1"/>
  <c r="B17" i="14" s="1"/>
  <c r="B18" i="14" s="1"/>
  <c r="B19" i="14" s="1"/>
  <c r="B20" i="14" s="1"/>
  <c r="B21" i="14" s="1"/>
  <c r="B22" i="14" s="1"/>
  <c r="B23" i="14" s="1"/>
  <c r="B24" i="14" s="1"/>
  <c r="B25" i="14" s="1"/>
  <c r="B26" i="14" s="1"/>
  <c r="B27" i="14" s="1"/>
  <c r="B28" i="14" s="1"/>
  <c r="B29" i="14" s="1"/>
  <c r="B30" i="14" s="1"/>
  <c r="B31" i="14" s="1"/>
  <c r="B32" i="14" s="1"/>
  <c r="B33" i="14" s="1"/>
  <c r="B34" i="14" s="1"/>
  <c r="B35" i="14" s="1"/>
  <c r="B36" i="14" s="1"/>
  <c r="B37" i="14" s="1"/>
  <c r="B38" i="14" s="1"/>
  <c r="B39" i="14" s="1"/>
  <c r="B40" i="14" s="1"/>
  <c r="B41" i="14" s="1"/>
  <c r="B42" i="14" s="1"/>
  <c r="B43" i="14" s="1"/>
  <c r="B44" i="14" s="1"/>
  <c r="B45" i="14" s="1"/>
  <c r="B46" i="14" s="1"/>
  <c r="B47" i="14" s="1"/>
  <c r="B48" i="14" s="1"/>
  <c r="B49" i="14" s="1"/>
  <c r="B50" i="14" s="1"/>
  <c r="B51" i="14" s="1"/>
  <c r="B52" i="14" s="1"/>
  <c r="B53" i="14" s="1"/>
  <c r="B54" i="14" s="1"/>
  <c r="B55" i="14" s="1"/>
  <c r="B56" i="14" s="1"/>
  <c r="B57" i="14" s="1"/>
  <c r="B58" i="14" s="1"/>
  <c r="B59" i="14" s="1"/>
  <c r="B60" i="14" s="1"/>
  <c r="B61" i="14" s="1"/>
  <c r="B62" i="14" s="1"/>
  <c r="B63" i="14" s="1"/>
  <c r="B64" i="14" s="1"/>
  <c r="B65" i="14" s="1"/>
  <c r="B66" i="14" s="1"/>
  <c r="B67" i="14" s="1"/>
  <c r="B68" i="14" s="1"/>
  <c r="B69" i="14" s="1"/>
  <c r="B70" i="14" s="1"/>
  <c r="B71" i="14" s="1"/>
  <c r="B72" i="14" s="1"/>
  <c r="B73" i="14" s="1"/>
  <c r="B74" i="14" s="1"/>
  <c r="B75" i="14" s="1"/>
  <c r="B76" i="14" s="1"/>
  <c r="B77" i="14" s="1"/>
  <c r="B78" i="14" s="1"/>
  <c r="B79" i="14" s="1"/>
  <c r="B80" i="14" s="1"/>
  <c r="B81" i="14" s="1"/>
  <c r="B82" i="14" s="1"/>
  <c r="B83" i="14" s="1"/>
  <c r="B84" i="14" s="1"/>
  <c r="B85" i="14" s="1"/>
  <c r="B86" i="14" s="1"/>
  <c r="B87" i="14" s="1"/>
  <c r="B88" i="14" s="1"/>
  <c r="B89" i="14" s="1"/>
  <c r="B90" i="14" s="1"/>
  <c r="B91" i="14" s="1"/>
  <c r="B92" i="14" s="1"/>
  <c r="B93" i="14" s="1"/>
  <c r="B94" i="14" s="1"/>
  <c r="B95" i="14" s="1"/>
  <c r="B96" i="14" s="1"/>
  <c r="B97" i="14" s="1"/>
  <c r="B98" i="14" s="1"/>
  <c r="B99" i="14" s="1"/>
  <c r="B100" i="14" s="1"/>
  <c r="B101" i="14" s="1"/>
  <c r="B102" i="14" s="1"/>
  <c r="B103" i="14" s="1"/>
  <c r="B104" i="14" s="1"/>
  <c r="B105" i="14" s="1"/>
  <c r="B106" i="14" s="1"/>
  <c r="B107" i="14" s="1"/>
  <c r="B108" i="14" s="1"/>
  <c r="B109" i="14" s="1"/>
  <c r="D11" i="20"/>
  <c r="Q10" i="16"/>
  <c r="N13" i="18"/>
  <c r="N9" i="18"/>
  <c r="N11" i="18"/>
  <c r="E9" i="18"/>
  <c r="E11" i="18"/>
  <c r="I15" i="20"/>
  <c r="I13" i="20"/>
  <c r="D15" i="20"/>
  <c r="D13" i="20"/>
  <c r="I9" i="20"/>
  <c r="D9" i="20"/>
  <c r="Q12" i="16"/>
  <c r="E12" i="16" s="1"/>
  <c r="J12" i="16"/>
  <c r="E10" i="16"/>
  <c r="J10" i="16"/>
  <c r="B27" i="15"/>
  <c r="B28" i="15" s="1"/>
  <c r="B29" i="15" s="1"/>
  <c r="B30" i="15" s="1"/>
  <c r="B31" i="15" s="1"/>
  <c r="B32" i="15" s="1"/>
  <c r="B33" i="15" s="1"/>
  <c r="B34" i="15" s="1"/>
  <c r="B35" i="15" s="1"/>
  <c r="B36" i="15" s="1"/>
  <c r="B37" i="15" s="1"/>
  <c r="B38" i="15" s="1"/>
  <c r="B39" i="15" s="1"/>
  <c r="B40" i="15" s="1"/>
  <c r="B41" i="15" s="1"/>
  <c r="B42" i="15" s="1"/>
  <c r="B43" i="15" s="1"/>
  <c r="B44" i="15" s="1"/>
  <c r="B45" i="15" s="1"/>
  <c r="B46" i="15" s="1"/>
  <c r="B47" i="15" s="1"/>
  <c r="B48" i="15" s="1"/>
  <c r="B49" i="15" s="1"/>
  <c r="B50" i="15" s="1"/>
  <c r="B51" i="15" s="1"/>
  <c r="B52" i="15" s="1"/>
  <c r="B53" i="15" s="1"/>
  <c r="B54" i="15" s="1"/>
  <c r="B55" i="15" s="1"/>
  <c r="B56" i="15" s="1"/>
  <c r="B57" i="15" s="1"/>
  <c r="B58" i="15" s="1"/>
  <c r="B59" i="15" s="1"/>
  <c r="B60" i="15" s="1"/>
  <c r="B61" i="15" s="1"/>
  <c r="B62" i="15" s="1"/>
  <c r="B63" i="15" s="1"/>
  <c r="B64" i="15" s="1"/>
  <c r="B65" i="15" s="1"/>
  <c r="B66" i="15" s="1"/>
  <c r="B67" i="15" s="1"/>
  <c r="B68" i="15" s="1"/>
  <c r="B69" i="15" s="1"/>
  <c r="B70" i="15" s="1"/>
  <c r="B71" i="15" s="1"/>
  <c r="B72" i="15" s="1"/>
  <c r="B73" i="15" s="1"/>
  <c r="B74" i="15" s="1"/>
  <c r="B75" i="15" s="1"/>
  <c r="B76" i="15" s="1"/>
  <c r="B77" i="15" s="1"/>
  <c r="B78" i="15" s="1"/>
  <c r="B79" i="15" s="1"/>
  <c r="B80" i="15" s="1"/>
  <c r="B81" i="15" s="1"/>
  <c r="B82" i="15" s="1"/>
  <c r="B83" i="15" s="1"/>
  <c r="B84" i="15" s="1"/>
  <c r="B85" i="15" s="1"/>
  <c r="B86" i="15" s="1"/>
  <c r="B87" i="15" s="1"/>
  <c r="B88" i="15" s="1"/>
  <c r="B89" i="15" s="1"/>
  <c r="B90" i="15" s="1"/>
  <c r="B91" i="15" s="1"/>
  <c r="B92" i="15" s="1"/>
  <c r="B93" i="15" s="1"/>
  <c r="B94" i="15" s="1"/>
  <c r="B95" i="15" s="1"/>
  <c r="B96" i="15" s="1"/>
  <c r="B97" i="15" s="1"/>
  <c r="B98" i="15" s="1"/>
  <c r="B99" i="15" s="1"/>
  <c r="B100" i="15" s="1"/>
  <c r="B101" i="15" s="1"/>
  <c r="B102" i="15" s="1"/>
  <c r="B103" i="15" s="1"/>
  <c r="B104" i="15" s="1"/>
  <c r="B105" i="15" s="1"/>
  <c r="B106" i="15" s="1"/>
  <c r="B107" i="15" s="1"/>
  <c r="B108" i="15" s="1"/>
  <c r="B109" i="15" s="1"/>
  <c r="B110" i="15" s="1"/>
  <c r="B111" i="15" s="1"/>
  <c r="B112" i="15" s="1"/>
  <c r="B113" i="15" s="1"/>
  <c r="B114" i="15" s="1"/>
  <c r="B115" i="15" s="1"/>
  <c r="B116" i="15" s="1"/>
  <c r="B117" i="15" s="1"/>
  <c r="B118" i="15" s="1"/>
  <c r="B119" i="15" s="1"/>
  <c r="B120" i="15" s="1"/>
  <c r="B121" i="15" s="1"/>
  <c r="B122" i="15" s="1"/>
  <c r="B123" i="15" s="1"/>
  <c r="B124" i="15" s="1"/>
  <c r="B125" i="15" s="1"/>
</calcChain>
</file>

<file path=xl/sharedStrings.xml><?xml version="1.0" encoding="utf-8"?>
<sst xmlns="http://schemas.openxmlformats.org/spreadsheetml/2006/main" count="353" uniqueCount="242">
  <si>
    <t>Currency</t>
  </si>
  <si>
    <t>Inception Date</t>
  </si>
  <si>
    <t>Expiry Date</t>
  </si>
  <si>
    <t>Rating Summary</t>
  </si>
  <si>
    <t>TPI</t>
  </si>
  <si>
    <t>BPI</t>
  </si>
  <si>
    <t>Benchmark Premium</t>
  </si>
  <si>
    <t>Technical Premium</t>
  </si>
  <si>
    <t>Link to hx</t>
  </si>
  <si>
    <t>.</t>
  </si>
  <si>
    <t>Written Line</t>
  </si>
  <si>
    <t>Risk Information</t>
  </si>
  <si>
    <t>Underwriter</t>
  </si>
  <si>
    <t>Insured Name</t>
  </si>
  <si>
    <t>Status</t>
  </si>
  <si>
    <t>Brokerage</t>
  </si>
  <si>
    <t>Country</t>
  </si>
  <si>
    <t>Is Renewal</t>
  </si>
  <si>
    <t>Limit</t>
  </si>
  <si>
    <t>Excess</t>
  </si>
  <si>
    <t>Policy Information</t>
  </si>
  <si>
    <t>Broker Details</t>
  </si>
  <si>
    <t>Broker Name</t>
  </si>
  <si>
    <t>Broker Contact</t>
  </si>
  <si>
    <t>Industry</t>
  </si>
  <si>
    <t>Account Details</t>
  </si>
  <si>
    <t>Exposure Details</t>
  </si>
  <si>
    <t>Cover Details</t>
  </si>
  <si>
    <t>Underwriter Adjustments</t>
  </si>
  <si>
    <t>Min</t>
  </si>
  <si>
    <t>Max</t>
  </si>
  <si>
    <t>Summary</t>
  </si>
  <si>
    <t>Risk Details</t>
  </si>
  <si>
    <t>Policy Section Reference</t>
  </si>
  <si>
    <t>Gross Quoted Premium</t>
  </si>
  <si>
    <t>Gross Technical Premium</t>
  </si>
  <si>
    <t>Gross Technical Premium (Pre-UW Adjustment)</t>
  </si>
  <si>
    <t>Gross Benchmark Premium</t>
  </si>
  <si>
    <t>Pricing Metrics</t>
  </si>
  <si>
    <t>TPI (Pre-UW Adjustment)</t>
  </si>
  <si>
    <t>Priced-for Loss Ratio</t>
  </si>
  <si>
    <t>Return on Capital</t>
  </si>
  <si>
    <t>Impact of Underwriting Adjustments</t>
  </si>
  <si>
    <t>Priced Loss Ratio - Gross Gross</t>
  </si>
  <si>
    <t>Plan Premium</t>
  </si>
  <si>
    <t>Deductible</t>
  </si>
  <si>
    <t>Total</t>
  </si>
  <si>
    <t>Country Details</t>
  </si>
  <si>
    <t>Total Sum Insured</t>
  </si>
  <si>
    <t>Rate Change</t>
  </si>
  <si>
    <t>Renewal</t>
  </si>
  <si>
    <t>Expiring</t>
  </si>
  <si>
    <t>Premium</t>
  </si>
  <si>
    <t>Annualized (100% Share)</t>
  </si>
  <si>
    <t>Annualized (Beazley Share)</t>
  </si>
  <si>
    <t>Rate Drivers</t>
  </si>
  <si>
    <t>Exposure Change</t>
  </si>
  <si>
    <t>Risk Characteristics Change</t>
  </si>
  <si>
    <t>Deductible Change</t>
  </si>
  <si>
    <t>Limit Change</t>
  </si>
  <si>
    <t>Terms &amp; Conditions Change</t>
  </si>
  <si>
    <t>Other Change</t>
  </si>
  <si>
    <t>Risk Adjusted Rate Change</t>
  </si>
  <si>
    <t>Underwriter Rationale</t>
  </si>
  <si>
    <t>Comment</t>
  </si>
  <si>
    <t>Model%</t>
  </si>
  <si>
    <t>Selected%</t>
  </si>
  <si>
    <t>Source System</t>
  </si>
  <si>
    <t>Order</t>
  </si>
  <si>
    <t>Line (Currency)</t>
  </si>
  <si>
    <t>Written Line Basis</t>
  </si>
  <si>
    <t>TO (Terrorism Only)</t>
  </si>
  <si>
    <t>Countries</t>
  </si>
  <si>
    <t>Rated Country</t>
  </si>
  <si>
    <t>Proxy
Rating
Country</t>
  </si>
  <si>
    <t># Locations / 
Groups</t>
  </si>
  <si>
    <t>PML / 
Top Location TIV</t>
  </si>
  <si>
    <t>Coverage</t>
  </si>
  <si>
    <t>Sub-coverage</t>
  </si>
  <si>
    <t>Sub-limit</t>
  </si>
  <si>
    <t>Total
Sum Insured</t>
  </si>
  <si>
    <t>BI
Sum Insured</t>
  </si>
  <si>
    <t>PD
Sum Insured</t>
  </si>
  <si>
    <t>Liability
Risk</t>
  </si>
  <si>
    <t>Attritional
Risk</t>
  </si>
  <si>
    <t>Geog
Risk</t>
  </si>
  <si>
    <t>Location
Cat Risk</t>
  </si>
  <si>
    <t>Political</t>
  </si>
  <si>
    <t>Terrorism</t>
  </si>
  <si>
    <t>InterstateWar</t>
  </si>
  <si>
    <t>CivilWar</t>
  </si>
  <si>
    <t>Civil Unrest</t>
  </si>
  <si>
    <t>War</t>
  </si>
  <si>
    <t>Row</t>
  </si>
  <si>
    <t>From Raw IHS Data</t>
  </si>
  <si>
    <t>Labour Strikes</t>
  </si>
  <si>
    <t>Protests And Riots</t>
  </si>
  <si>
    <t>Civil War</t>
  </si>
  <si>
    <t>BI Sum Insured</t>
  </si>
  <si>
    <t>PD Sum Insured</t>
  </si>
  <si>
    <t>Policy Limit</t>
  </si>
  <si>
    <t>Policy Sub Limit</t>
  </si>
  <si>
    <t>Policy Excess</t>
  </si>
  <si>
    <t>Policy Deductible</t>
  </si>
  <si>
    <t>Number of Locations</t>
  </si>
  <si>
    <t>Agg Discount</t>
  </si>
  <si>
    <t>Summary Details</t>
  </si>
  <si>
    <t>Additional Details</t>
  </si>
  <si>
    <t>Type of Limit</t>
  </si>
  <si>
    <t>BI Wait Period (days)</t>
  </si>
  <si>
    <t>Contingent BI</t>
  </si>
  <si>
    <t>Aggregate Usage</t>
  </si>
  <si>
    <t>Construction Coverage</t>
  </si>
  <si>
    <t>Aggregate</t>
  </si>
  <si>
    <t>IHS Score Adjustment (tabular)</t>
  </si>
  <si>
    <t>Civil Unrest (Selected)</t>
  </si>
  <si>
    <t>ROE (Selected)</t>
  </si>
  <si>
    <t>War (Selected)</t>
  </si>
  <si>
    <t>Terrorism (Selected)</t>
  </si>
  <si>
    <t>Risk Adjustments</t>
  </si>
  <si>
    <t>Risk Level</t>
  </si>
  <si>
    <t>Override Score</t>
  </si>
  <si>
    <t>Selected Score</t>
  </si>
  <si>
    <t>Description</t>
  </si>
  <si>
    <t>Calculated Score</t>
  </si>
  <si>
    <t>Security</t>
  </si>
  <si>
    <t>Policy</t>
  </si>
  <si>
    <t>Total Adjustment Score</t>
  </si>
  <si>
    <t>Underwriter Multiplier</t>
  </si>
  <si>
    <t>Please provide detail on the Risk Level associated with the selected Security Score:</t>
  </si>
  <si>
    <t>Please provide detail on the Risk Level associated with the selected Industry Score:</t>
  </si>
  <si>
    <t>Please provide detail on the Risk Level associated with the selected Policy Score:</t>
  </si>
  <si>
    <t>Please provide detail on the Risk Level associated with the selected IHS Score:</t>
  </si>
  <si>
    <t>IHS Score</t>
  </si>
  <si>
    <t>Overall Summary</t>
  </si>
  <si>
    <t>Source Currency</t>
  </si>
  <si>
    <t>Underwriting Authority</t>
  </si>
  <si>
    <t>Authority</t>
  </si>
  <si>
    <t>Warning</t>
  </si>
  <si>
    <t>New Business Gross Line Cost</t>
  </si>
  <si>
    <t>New Business Beazley Net Premium</t>
  </si>
  <si>
    <t>Renewals Gross Line Cost</t>
  </si>
  <si>
    <t>Renewals Beazley Net Premium</t>
  </si>
  <si>
    <t>Term (months)</t>
  </si>
  <si>
    <t>Policy Period vs Annual Summary</t>
  </si>
  <si>
    <t>Term Summary - after UW Adj - Coverage Detail</t>
  </si>
  <si>
    <t>Total Property</t>
  </si>
  <si>
    <t>BI (Incl. CBI)</t>
  </si>
  <si>
    <t>PD</t>
  </si>
  <si>
    <t>Liability</t>
  </si>
  <si>
    <t>Construction</t>
  </si>
  <si>
    <t>Plan Rate-on-Line</t>
  </si>
  <si>
    <t>Plan Premium (after minimums)</t>
  </si>
  <si>
    <t>Plan Rate-on-Line (after minimums)</t>
  </si>
  <si>
    <t>Offered Premium</t>
  </si>
  <si>
    <t>Offered Rate-on-Line</t>
  </si>
  <si>
    <t>Offered Rate-on-Exposure</t>
  </si>
  <si>
    <t>Annual Summary - after UW Adj - Coverage Detail</t>
  </si>
  <si>
    <t>Term Summary - before UW Adj - Coverage Detail</t>
  </si>
  <si>
    <t>Annual Summary - before UW Adj - Coverage Detail</t>
  </si>
  <si>
    <t>Policy Summary</t>
  </si>
  <si>
    <t>Policy Reference</t>
  </si>
  <si>
    <t>Confirm Limits Status</t>
  </si>
  <si>
    <t>Summary of Perils</t>
  </si>
  <si>
    <t>Comments</t>
  </si>
  <si>
    <t>Sabotage</t>
  </si>
  <si>
    <t>RSCC</t>
  </si>
  <si>
    <t>Malicious Damage</t>
  </si>
  <si>
    <t>Insurrection</t>
  </si>
  <si>
    <t>Coup d'Etat</t>
  </si>
  <si>
    <t>War on Land</t>
  </si>
  <si>
    <t>Counter Insurgency</t>
  </si>
  <si>
    <t>Terrorism Liability</t>
  </si>
  <si>
    <t>Terrorism Cyber</t>
  </si>
  <si>
    <t>NRCB</t>
  </si>
  <si>
    <t>Looting</t>
  </si>
  <si>
    <t>Perils</t>
  </si>
  <si>
    <t>Covered Calculated</t>
  </si>
  <si>
    <t>Covered Override</t>
  </si>
  <si>
    <t>Covered Selected</t>
  </si>
  <si>
    <t>Limit Calculated</t>
  </si>
  <si>
    <t>Limit Override</t>
  </si>
  <si>
    <t>Limit Selected</t>
  </si>
  <si>
    <t>Excess Calculated</t>
  </si>
  <si>
    <t>Excess Override</t>
  </si>
  <si>
    <t>Excess Selected</t>
  </si>
  <si>
    <t>Deductible Calculated</t>
  </si>
  <si>
    <t>Deductible Override</t>
  </si>
  <si>
    <t>Deductible Selected</t>
  </si>
  <si>
    <t>Covered</t>
  </si>
  <si>
    <t>Distance</t>
  </si>
  <si>
    <t>Distance Metric</t>
  </si>
  <si>
    <t>Unnamed Customers &amp; Suppliers</t>
  </si>
  <si>
    <t>Named Customers &amp; Suppliers</t>
  </si>
  <si>
    <t>Service Interruption</t>
  </si>
  <si>
    <t>Denial of Access</t>
  </si>
  <si>
    <t>Ingress/Egress</t>
  </si>
  <si>
    <t>Civil/Military Authority</t>
  </si>
  <si>
    <t>CBI Perils</t>
  </si>
  <si>
    <t>Peril Sheet</t>
  </si>
  <si>
    <t>Policy Details</t>
  </si>
  <si>
    <t>Days Difference</t>
  </si>
  <si>
    <t>Default Approach</t>
  </si>
  <si>
    <t>Third</t>
  </si>
  <si>
    <t>Build Up %</t>
  </si>
  <si>
    <t>End Date</t>
  </si>
  <si>
    <t>Selected Build Up and Premium Summary</t>
  </si>
  <si>
    <t>Year End Date</t>
  </si>
  <si>
    <t>Build Up % Proposed</t>
  </si>
  <si>
    <t>Build Up % Override</t>
  </si>
  <si>
    <t>Build Up % Selected</t>
  </si>
  <si>
    <t>Sum Insured In Year</t>
  </si>
  <si>
    <t>ROE Cover</t>
  </si>
  <si>
    <t>ROE Sub Cover</t>
  </si>
  <si>
    <t>Exposure % Cover</t>
  </si>
  <si>
    <t>Exposure % Sub Cover</t>
  </si>
  <si>
    <t>Premium Cover</t>
  </si>
  <si>
    <t>Premium Sub Cover</t>
  </si>
  <si>
    <t>Premium Total</t>
  </si>
  <si>
    <t>Model Price</t>
  </si>
  <si>
    <t>UW Adjusted Price</t>
  </si>
  <si>
    <t>Benchmark Price</t>
  </si>
  <si>
    <t>Min Agg Adjusted Price</t>
  </si>
  <si>
    <t>Total Premium</t>
  </si>
  <si>
    <t>Annual Premium</t>
  </si>
  <si>
    <t>WL (War on Land)</t>
  </si>
  <si>
    <t>BI Indemnity Period (months)</t>
  </si>
  <si>
    <t>Leading Peril</t>
  </si>
  <si>
    <t>TIV %</t>
  </si>
  <si>
    <t>Civil Unrest (initial blend)</t>
  </si>
  <si>
    <t>Civil Unrest (Override)</t>
  </si>
  <si>
    <t>War (initial blend)</t>
  </si>
  <si>
    <t>War (Override)</t>
  </si>
  <si>
    <t>Terrorism (initial blend)</t>
  </si>
  <si>
    <t>Terrorism (Override)</t>
  </si>
  <si>
    <t>IHS Score (expiring policy)</t>
  </si>
  <si>
    <t>Territory Covered</t>
  </si>
  <si>
    <t>Expiring Override</t>
  </si>
  <si>
    <t>Beazley Share</t>
  </si>
  <si>
    <t>General Comments:</t>
  </si>
  <si>
    <t>Priced Quotes @ Term &amp; Beazley Share</t>
  </si>
  <si>
    <t xml:space="preserve"> (100 Percent)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</si>
</sst>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0.0%"/>
    <numFmt numFmtId="166" formatCode="0.0000%"/>
    <numFmt numFmtId="167" formatCode="#,##0_ ;\-#,##0\ "/>
  </numFmts>
  <fonts count="29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b/>
      <sz val="10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sz val="8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name val="Arial"/>
      <family val="2"/>
      <scheme val="minor"/>
    </font>
    <font>
      <b/>
      <sz val="13"/>
      <color rgb="FFBF417B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rgb="FF9C0006"/>
      <name val="Arial"/>
      <family val="2"/>
      <scheme val="minor"/>
    </font>
    <font>
      <b/>
      <sz val="20"/>
      <color rgb="FFBF417B"/>
      <name val="Arial"/>
      <family val="2"/>
      <scheme val="minor"/>
    </font>
    <font>
      <b/>
      <u/>
      <sz val="13"/>
      <color theme="1"/>
      <name val="Arial"/>
      <family val="2"/>
      <scheme val="minor"/>
    </font>
    <font>
      <sz val="11"/>
      <color rgb="FF4B0050"/>
      <name val="Arial"/>
      <family val="2"/>
      <scheme val="minor"/>
    </font>
    <font>
      <b/>
      <u/>
      <sz val="11"/>
      <color rgb="FF4B0050"/>
      <name val="Arial"/>
      <family val="2"/>
      <scheme val="minor"/>
    </font>
    <font>
      <sz val="11"/>
      <color rgb="FF151719"/>
      <name val="Inherit"/>
    </font>
    <font>
      <sz val="14"/>
      <color rgb="FF4B0050"/>
      <name val="Arial"/>
      <family val="2"/>
      <scheme val="minor"/>
    </font>
    <font>
      <sz val="14"/>
      <color rgb="FF151719"/>
      <name val="Inherit"/>
    </font>
    <font>
      <sz val="11"/>
      <color rgb="FF9C57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4"/>
      <color rgb="FF151719"/>
      <name val="Arial"/>
      <family val="2"/>
      <scheme val="minor"/>
    </font>
    <font>
      <b/>
      <sz val="11"/>
      <color rgb="FF4B0050"/>
      <name val="Arial"/>
      <family val="2"/>
      <scheme val="minor"/>
    </font>
    <font>
      <b/>
      <sz val="11"/>
      <color rgb="FF9C5700"/>
      <name val="Arial"/>
      <family val="2"/>
      <scheme val="minor"/>
    </font>
    <font>
      <sz val="10"/>
      <color theme="1"/>
      <name val="Arial"/>
      <family val="2"/>
      <scheme val="minor"/>
    </font>
    <font>
      <sz val="13"/>
      <color theme="3"/>
      <name val="Arial"/>
      <family val="2"/>
      <scheme val="minor"/>
    </font>
    <font>
      <b/>
      <sz val="9"/>
      <color theme="1"/>
      <name val="Arial"/>
      <family val="2"/>
      <scheme val="minor"/>
    </font>
    <font>
      <sz val="9"/>
      <color theme="0"/>
      <name val="Arial"/>
      <family val="2"/>
      <scheme val="minor"/>
    </font>
    <font>
      <sz val="9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rgb="FFBF417B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</borders>
  <cellStyleXfs count="15">
    <xf numFmtId="0" fontId="0" fillId="0" borderId="0"/>
    <xf numFmtId="0" fontId="2" fillId="0" borderId="1" applyNumberFormat="0" applyFill="0" applyAlignment="0" applyProtection="0"/>
    <xf numFmtId="0" fontId="3" fillId="0" borderId="0" applyNumberFormat="0" applyFill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164" fontId="1" fillId="0" borderId="0" applyFont="0" applyFill="0" applyBorder="0" applyAlignment="0" applyProtection="0"/>
    <xf numFmtId="0" fontId="11" fillId="4" borderId="0" applyNumberFormat="0" applyBorder="0" applyAlignment="0" applyProtection="0"/>
    <xf numFmtId="0" fontId="19" fillId="5" borderId="0" applyNumberFormat="0" applyBorder="0" applyAlignment="0" applyProtection="0"/>
    <xf numFmtId="9" fontId="1" fillId="0" borderId="0" applyFont="0" applyFill="0" applyBorder="0" applyAlignment="0" applyProtection="0"/>
    <xf numFmtId="3" fontId="1" fillId="0" borderId="0" applyFill="0" applyBorder="0" applyProtection="0"/>
    <xf numFmtId="4" fontId="1" fillId="0" borderId="5" applyFill="0" applyBorder="0" applyProtection="0">
      <alignment wrapText="1"/>
    </xf>
    <xf numFmtId="165" fontId="24" fillId="0" borderId="2" applyFill="0" applyBorder="0" applyProtection="0">
      <alignment horizontal="center"/>
    </xf>
    <xf numFmtId="9" fontId="1" fillId="0" borderId="13" applyFill="0" applyBorder="0" applyProtection="0"/>
    <xf numFmtId="166" fontId="1" fillId="0" borderId="6" applyFill="0" applyBorder="0" applyProtection="0"/>
    <xf numFmtId="10" fontId="24" fillId="0" borderId="15" applyFill="0" applyBorder="0" applyProtection="0">
      <alignment horizontal="center"/>
    </xf>
  </cellStyleXfs>
  <cellXfs count="338">
    <xf numFmtId="0" fontId="0" fillId="0" borderId="0" xfId="0"/>
    <xf numFmtId="3" fontId="4" fillId="0" borderId="12" xfId="4" applyNumberFormat="1" applyFont="1" applyFill="1" applyBorder="1" applyAlignment="1">
      <alignment horizontal="center"/>
    </xf>
    <xf numFmtId="0" fontId="6" fillId="0" borderId="12" xfId="3" applyFont="1" applyFill="1" applyBorder="1"/>
    <xf numFmtId="0" fontId="6" fillId="0" borderId="11" xfId="3" applyFont="1" applyFill="1" applyBorder="1"/>
    <xf numFmtId="0" fontId="9" fillId="0" borderId="0" xfId="1" applyFont="1" applyFill="1" applyBorder="1"/>
    <xf numFmtId="0" fontId="2" fillId="0" borderId="0" xfId="1" applyFill="1" applyBorder="1"/>
    <xf numFmtId="0" fontId="0" fillId="0" borderId="9" xfId="0" applyBorder="1"/>
    <xf numFmtId="0" fontId="5" fillId="0" borderId="0" xfId="0" applyFont="1"/>
    <xf numFmtId="0" fontId="7" fillId="0" borderId="0" xfId="2" applyFont="1" applyFill="1" applyAlignment="1">
      <alignment horizontal="right"/>
    </xf>
    <xf numFmtId="0" fontId="6" fillId="0" borderId="0" xfId="3" applyFont="1" applyFill="1"/>
    <xf numFmtId="0" fontId="10" fillId="0" borderId="0" xfId="0" applyFont="1" applyAlignment="1">
      <alignment horizontal="right"/>
    </xf>
    <xf numFmtId="0" fontId="8" fillId="0" borderId="0" xfId="0" applyFont="1"/>
    <xf numFmtId="0" fontId="12" fillId="0" borderId="0" xfId="1" applyFont="1" applyFill="1" applyBorder="1"/>
    <xf numFmtId="0" fontId="0" fillId="0" borderId="3" xfId="0" applyBorder="1"/>
    <xf numFmtId="0" fontId="0" fillId="0" borderId="1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14" xfId="0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13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8" fillId="0" borderId="0" xfId="0" applyFont="1" applyAlignment="1">
      <alignment horizontal="right" vertical="center"/>
    </xf>
    <xf numFmtId="0" fontId="13" fillId="0" borderId="0" xfId="0" applyFont="1" applyAlignment="1">
      <alignment horizontal="lef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7" xfId="0" applyBorder="1" applyAlignment="1">
      <alignment horizontal="right"/>
    </xf>
    <xf numFmtId="0" fontId="15" fillId="0" borderId="0" xfId="0" applyFont="1" applyAlignment="1">
      <alignment horizontal="right"/>
    </xf>
    <xf numFmtId="0" fontId="14" fillId="0" borderId="4" xfId="0" applyFont="1" applyBorder="1" applyAlignment="1">
      <alignment horizontal="right" vertical="center"/>
    </xf>
    <xf numFmtId="0" fontId="16" fillId="0" borderId="7" xfId="0" applyFont="1" applyBorder="1" applyAlignment="1">
      <alignment horizontal="right" vertical="center"/>
    </xf>
    <xf numFmtId="0" fontId="14" fillId="0" borderId="8" xfId="0" applyFont="1" applyBorder="1" applyAlignment="1">
      <alignment horizontal="right" vertical="center"/>
    </xf>
    <xf numFmtId="0" fontId="0" fillId="0" borderId="10" xfId="0" applyBorder="1" applyAlignment="1">
      <alignment horizontal="right"/>
    </xf>
    <xf numFmtId="0" fontId="5" fillId="0" borderId="0" xfId="0" applyFont="1" applyAlignment="1">
      <alignment wrapText="1"/>
    </xf>
    <xf numFmtId="0" fontId="0" fillId="0" borderId="0" xfId="0" applyAlignment="1">
      <alignment wrapText="1"/>
    </xf>
    <xf numFmtId="0" fontId="20" fillId="0" borderId="0" xfId="0" applyFont="1" applyAlignment="1">
      <alignment horizontal="center" wrapText="1"/>
    </xf>
    <xf numFmtId="0" fontId="10" fillId="0" borderId="2" xfId="0" applyFont="1" applyBorder="1" applyAlignment="1">
      <alignment horizontal="center" wrapText="1"/>
    </xf>
    <xf numFmtId="0" fontId="10" fillId="0" borderId="0" xfId="0" applyFont="1" applyAlignment="1">
      <alignment horizontal="center" wrapText="1"/>
    </xf>
    <xf numFmtId="0" fontId="10" fillId="0" borderId="10" xfId="0" applyFont="1" applyBorder="1" applyAlignment="1">
      <alignment horizontal="center" wrapText="1"/>
    </xf>
    <xf numFmtId="0" fontId="10" fillId="0" borderId="12" xfId="0" applyFont="1" applyBorder="1" applyAlignment="1">
      <alignment horizontal="center" wrapText="1"/>
    </xf>
    <xf numFmtId="0" fontId="10" fillId="0" borderId="11" xfId="0" applyFont="1" applyBorder="1" applyAlignment="1">
      <alignment horizontal="center" wrapText="1"/>
    </xf>
    <xf numFmtId="0" fontId="0" fillId="0" borderId="12" xfId="0" applyBorder="1"/>
    <xf numFmtId="0" fontId="10" fillId="0" borderId="10" xfId="0" applyFont="1" applyBorder="1"/>
    <xf numFmtId="0" fontId="10" fillId="0" borderId="12" xfId="0" applyFont="1" applyBorder="1"/>
    <xf numFmtId="0" fontId="10" fillId="0" borderId="11" xfId="0" applyFont="1" applyBorder="1"/>
    <xf numFmtId="0" fontId="10" fillId="0" borderId="10" xfId="0" applyFont="1" applyBorder="1" applyAlignment="1">
      <alignment horizontal="centerContinuous"/>
    </xf>
    <xf numFmtId="0" fontId="10" fillId="0" borderId="12" xfId="0" applyFont="1" applyBorder="1" applyAlignment="1">
      <alignment horizontal="centerContinuous"/>
    </xf>
    <xf numFmtId="0" fontId="10" fillId="0" borderId="11" xfId="0" applyFont="1" applyBorder="1" applyAlignment="1">
      <alignment horizontal="centerContinuous"/>
    </xf>
    <xf numFmtId="0" fontId="0" fillId="0" borderId="15" xfId="0" applyBorder="1" applyAlignment="1">
      <alignment wrapText="1"/>
    </xf>
    <xf numFmtId="0" fontId="0" fillId="0" borderId="15" xfId="0" applyBorder="1"/>
    <xf numFmtId="0" fontId="10" fillId="0" borderId="17" xfId="0" applyFont="1" applyBorder="1" applyAlignment="1">
      <alignment horizontal="center" wrapText="1"/>
    </xf>
    <xf numFmtId="0" fontId="21" fillId="0" borderId="0" xfId="0" applyFont="1" applyAlignment="1">
      <alignment horizontal="right" vertical="center"/>
    </xf>
    <xf numFmtId="0" fontId="17" fillId="0" borderId="0" xfId="0" applyFont="1" applyAlignment="1">
      <alignment horizontal="center" vertical="center"/>
    </xf>
    <xf numFmtId="0" fontId="0" fillId="0" borderId="0" xfId="0" applyAlignment="1">
      <alignment horizontal="centerContinuous"/>
    </xf>
    <xf numFmtId="0" fontId="22" fillId="0" borderId="0" xfId="0" applyFont="1"/>
    <xf numFmtId="0" fontId="22" fillId="0" borderId="0" xfId="0" applyFont="1" applyAlignment="1">
      <alignment vertical="center"/>
    </xf>
    <xf numFmtId="0" fontId="10" fillId="0" borderId="0" xfId="0" applyFont="1"/>
    <xf numFmtId="0" fontId="0" fillId="0" borderId="0" xfId="0" applyAlignment="1">
      <alignment horizontal="center" wrapText="1"/>
    </xf>
    <xf numFmtId="0" fontId="0" fillId="0" borderId="4" xfId="0" applyBorder="1" applyAlignment="1">
      <alignment horizontal="right"/>
    </xf>
    <xf numFmtId="3" fontId="0" fillId="0" borderId="4" xfId="0" applyNumberFormat="1" applyBorder="1"/>
    <xf numFmtId="0" fontId="0" fillId="0" borderId="6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11" xfId="0" applyBorder="1" applyAlignment="1">
      <alignment horizontal="right"/>
    </xf>
    <xf numFmtId="3" fontId="0" fillId="0" borderId="13" xfId="0" applyNumberFormat="1" applyBorder="1"/>
    <xf numFmtId="3" fontId="0" fillId="0" borderId="14" xfId="0" applyNumberFormat="1" applyBorder="1"/>
    <xf numFmtId="0" fontId="0" fillId="0" borderId="13" xfId="0" applyBorder="1" applyAlignment="1">
      <alignment wrapText="1"/>
    </xf>
    <xf numFmtId="0" fontId="10" fillId="0" borderId="18" xfId="0" applyFont="1" applyBorder="1" applyAlignment="1">
      <alignment horizontal="center" wrapText="1"/>
    </xf>
    <xf numFmtId="0" fontId="10" fillId="0" borderId="3" xfId="0" applyFont="1" applyBorder="1" applyAlignment="1">
      <alignment horizontal="center" wrapText="1"/>
    </xf>
    <xf numFmtId="0" fontId="10" fillId="0" borderId="13" xfId="0" applyFont="1" applyBorder="1" applyAlignment="1">
      <alignment horizontal="center" wrapText="1"/>
    </xf>
    <xf numFmtId="0" fontId="10" fillId="0" borderId="4" xfId="0" applyFont="1" applyBorder="1" applyAlignment="1">
      <alignment horizontal="center" wrapText="1"/>
    </xf>
    <xf numFmtId="0" fontId="22" fillId="0" borderId="10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10" fillId="0" borderId="6" xfId="0" applyFont="1" applyBorder="1" applyAlignment="1">
      <alignment horizontal="right"/>
    </xf>
    <xf numFmtId="0" fontId="10" fillId="0" borderId="8" xfId="0" applyFont="1" applyBorder="1" applyAlignment="1">
      <alignment horizontal="right"/>
    </xf>
    <xf numFmtId="0" fontId="10" fillId="0" borderId="12" xfId="0" applyFont="1" applyBorder="1" applyAlignment="1">
      <alignment horizontal="right"/>
    </xf>
    <xf numFmtId="0" fontId="10" fillId="0" borderId="14" xfId="0" applyFont="1" applyBorder="1" applyAlignment="1">
      <alignment horizontal="right"/>
    </xf>
    <xf numFmtId="0" fontId="10" fillId="0" borderId="21" xfId="0" applyFont="1" applyBorder="1" applyAlignment="1">
      <alignment horizontal="center" wrapText="1"/>
    </xf>
    <xf numFmtId="0" fontId="0" fillId="0" borderId="3" xfId="0" applyBorder="1" applyAlignment="1">
      <alignment wrapText="1"/>
    </xf>
    <xf numFmtId="0" fontId="10" fillId="0" borderId="4" xfId="0" applyFont="1" applyBorder="1" applyAlignment="1">
      <alignment horizontal="right"/>
    </xf>
    <xf numFmtId="0" fontId="14" fillId="0" borderId="0" xfId="0" applyFont="1" applyAlignment="1">
      <alignment horizontal="center" vertical="center"/>
    </xf>
    <xf numFmtId="0" fontId="0" fillId="0" borderId="17" xfId="0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10" xfId="0" applyFont="1" applyBorder="1" applyAlignment="1">
      <alignment horizontal="left"/>
    </xf>
    <xf numFmtId="14" fontId="24" fillId="0" borderId="2" xfId="4" applyNumberFormat="1" applyFont="1" applyFill="1" applyBorder="1" applyAlignment="1">
      <alignment horizontal="center"/>
    </xf>
    <xf numFmtId="0" fontId="24" fillId="0" borderId="2" xfId="4" applyNumberFormat="1" applyFont="1" applyFill="1" applyBorder="1" applyAlignment="1">
      <alignment horizontal="center"/>
    </xf>
    <xf numFmtId="165" fontId="24" fillId="0" borderId="2" xfId="4" applyNumberFormat="1" applyFont="1" applyFill="1" applyBorder="1" applyAlignment="1">
      <alignment horizontal="center"/>
    </xf>
    <xf numFmtId="0" fontId="25" fillId="0" borderId="0" xfId="1" applyFont="1" applyFill="1" applyBorder="1"/>
    <xf numFmtId="2" fontId="24" fillId="0" borderId="2" xfId="4" applyNumberFormat="1" applyFont="1" applyFill="1" applyBorder="1" applyAlignment="1">
      <alignment horizontal="center"/>
    </xf>
    <xf numFmtId="3" fontId="24" fillId="0" borderId="11" xfId="4" applyNumberFormat="1" applyFont="1" applyFill="1" applyBorder="1" applyAlignment="1">
      <alignment horizontal="center"/>
    </xf>
    <xf numFmtId="0" fontId="24" fillId="0" borderId="10" xfId="4" applyNumberFormat="1" applyFont="1" applyFill="1" applyBorder="1" applyAlignment="1">
      <alignment horizontal="left"/>
    </xf>
    <xf numFmtId="0" fontId="24" fillId="0" borderId="2" xfId="4" applyNumberFormat="1" applyFont="1" applyFill="1" applyBorder="1" applyAlignment="1">
      <alignment horizontal="left"/>
    </xf>
    <xf numFmtId="14" fontId="24" fillId="0" borderId="2" xfId="4" applyNumberFormat="1" applyFont="1" applyFill="1" applyBorder="1" applyAlignment="1">
      <alignment horizontal="left"/>
    </xf>
    <xf numFmtId="3" fontId="5" fillId="0" borderId="0" xfId="0" applyNumberFormat="1" applyFont="1"/>
    <xf numFmtId="3" fontId="0" fillId="0" borderId="0" xfId="0" applyNumberFormat="1"/>
    <xf numFmtId="3" fontId="2" fillId="0" borderId="0" xfId="1" applyNumberFormat="1" applyFill="1" applyBorder="1"/>
    <xf numFmtId="3" fontId="0" fillId="0" borderId="9" xfId="0" applyNumberFormat="1" applyBorder="1"/>
    <xf numFmtId="3" fontId="10" fillId="0" borderId="12" xfId="0" applyNumberFormat="1" applyFont="1" applyBorder="1" applyAlignment="1">
      <alignment horizontal="center" wrapText="1"/>
    </xf>
    <xf numFmtId="3" fontId="0" fillId="0" borderId="0" xfId="0" applyNumberFormat="1" applyAlignment="1">
      <alignment wrapText="1"/>
    </xf>
    <xf numFmtId="3" fontId="10" fillId="0" borderId="11" xfId="0" applyNumberFormat="1" applyFont="1" applyBorder="1" applyAlignment="1">
      <alignment horizontal="center" wrapText="1"/>
    </xf>
    <xf numFmtId="4" fontId="0" fillId="0" borderId="0" xfId="0" applyNumberFormat="1"/>
    <xf numFmtId="4" fontId="0" fillId="0" borderId="9" xfId="0" applyNumberFormat="1" applyBorder="1"/>
    <xf numFmtId="4" fontId="10" fillId="0" borderId="10" xfId="0" applyNumberFormat="1" applyFont="1" applyBorder="1" applyAlignment="1">
      <alignment horizontal="centerContinuous"/>
    </xf>
    <xf numFmtId="4" fontId="10" fillId="0" borderId="12" xfId="0" applyNumberFormat="1" applyFont="1" applyBorder="1" applyAlignment="1">
      <alignment horizontal="centerContinuous"/>
    </xf>
    <xf numFmtId="4" fontId="10" fillId="0" borderId="11" xfId="0" applyNumberFormat="1" applyFont="1" applyBorder="1" applyAlignment="1">
      <alignment horizontal="centerContinuous"/>
    </xf>
    <xf numFmtId="4" fontId="10" fillId="0" borderId="10" xfId="0" applyNumberFormat="1" applyFont="1" applyBorder="1" applyAlignment="1">
      <alignment horizontal="center" wrapText="1"/>
    </xf>
    <xf numFmtId="4" fontId="10" fillId="0" borderId="12" xfId="0" applyNumberFormat="1" applyFont="1" applyBorder="1" applyAlignment="1">
      <alignment horizontal="center" wrapText="1"/>
    </xf>
    <xf numFmtId="4" fontId="10" fillId="0" borderId="11" xfId="0" applyNumberFormat="1" applyFont="1" applyBorder="1" applyAlignment="1">
      <alignment horizontal="center" wrapText="1"/>
    </xf>
    <xf numFmtId="4" fontId="0" fillId="0" borderId="13" xfId="0" applyNumberFormat="1" applyBorder="1"/>
    <xf numFmtId="3" fontId="10" fillId="0" borderId="2" xfId="0" applyNumberFormat="1" applyFont="1" applyBorder="1" applyAlignment="1">
      <alignment horizontal="center" wrapText="1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3" xfId="0" applyBorder="1" applyAlignment="1">
      <alignment horizontal="center"/>
    </xf>
    <xf numFmtId="165" fontId="0" fillId="0" borderId="0" xfId="8" applyNumberFormat="1" applyFont="1"/>
    <xf numFmtId="166" fontId="0" fillId="0" borderId="6" xfId="8" applyNumberFormat="1" applyFont="1" applyBorder="1"/>
    <xf numFmtId="0" fontId="8" fillId="0" borderId="17" xfId="6" applyFont="1" applyFill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3" fontId="0" fillId="0" borderId="17" xfId="0" applyNumberFormat="1" applyBorder="1" applyAlignment="1">
      <alignment horizontal="center"/>
    </xf>
    <xf numFmtId="3" fontId="0" fillId="0" borderId="3" xfId="0" applyNumberFormat="1" applyBorder="1" applyAlignment="1">
      <alignment horizontal="center"/>
    </xf>
    <xf numFmtId="3" fontId="0" fillId="0" borderId="13" xfId="0" applyNumberFormat="1" applyBorder="1" applyAlignment="1">
      <alignment horizontal="center"/>
    </xf>
    <xf numFmtId="3" fontId="0" fillId="0" borderId="4" xfId="0" applyNumberFormat="1" applyBorder="1" applyAlignment="1">
      <alignment horizontal="center"/>
    </xf>
    <xf numFmtId="3" fontId="0" fillId="0" borderId="15" xfId="0" applyNumberFormat="1" applyBorder="1" applyAlignment="1">
      <alignment horizontal="center"/>
    </xf>
    <xf numFmtId="3" fontId="0" fillId="0" borderId="5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6" xfId="0" applyNumberFormat="1" applyBorder="1" applyAlignment="1">
      <alignment horizontal="center"/>
    </xf>
    <xf numFmtId="3" fontId="24" fillId="0" borderId="2" xfId="5" applyNumberFormat="1" applyFont="1" applyFill="1" applyBorder="1" applyAlignment="1">
      <alignment horizontal="center"/>
    </xf>
    <xf numFmtId="0" fontId="6" fillId="0" borderId="10" xfId="3" applyFont="1" applyFill="1" applyBorder="1" applyAlignment="1">
      <alignment horizontal="left"/>
    </xf>
    <xf numFmtId="0" fontId="8" fillId="0" borderId="3" xfId="6" applyFont="1" applyFill="1" applyBorder="1" applyAlignment="1">
      <alignment horizontal="center"/>
    </xf>
    <xf numFmtId="165" fontId="0" fillId="0" borderId="13" xfId="8" applyNumberFormat="1" applyFont="1" applyBorder="1"/>
    <xf numFmtId="165" fontId="0" fillId="0" borderId="14" xfId="8" applyNumberFormat="1" applyFont="1" applyBorder="1"/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165" fontId="10" fillId="0" borderId="5" xfId="8" applyNumberFormat="1" applyFont="1" applyBorder="1" applyAlignment="1">
      <alignment horizontal="center"/>
    </xf>
    <xf numFmtId="165" fontId="0" fillId="0" borderId="0" xfId="8" applyNumberFormat="1" applyFont="1" applyAlignment="1">
      <alignment horizontal="center"/>
    </xf>
    <xf numFmtId="165" fontId="0" fillId="0" borderId="22" xfId="8" applyNumberFormat="1" applyFont="1" applyBorder="1" applyAlignment="1">
      <alignment horizontal="center"/>
    </xf>
    <xf numFmtId="165" fontId="10" fillId="0" borderId="7" xfId="8" applyNumberFormat="1" applyFont="1" applyBorder="1" applyAlignment="1">
      <alignment horizontal="center"/>
    </xf>
    <xf numFmtId="165" fontId="0" fillId="0" borderId="14" xfId="8" applyNumberFormat="1" applyFont="1" applyBorder="1" applyAlignment="1">
      <alignment horizontal="center"/>
    </xf>
    <xf numFmtId="165" fontId="0" fillId="0" borderId="23" xfId="8" applyNumberFormat="1" applyFont="1" applyBorder="1" applyAlignment="1">
      <alignment horizontal="center"/>
    </xf>
    <xf numFmtId="3" fontId="0" fillId="0" borderId="14" xfId="0" applyNumberFormat="1" applyBorder="1" applyAlignment="1">
      <alignment horizontal="center"/>
    </xf>
    <xf numFmtId="166" fontId="0" fillId="0" borderId="5" xfId="8" applyNumberFormat="1" applyFont="1" applyBorder="1" applyAlignment="1">
      <alignment horizontal="center"/>
    </xf>
    <xf numFmtId="166" fontId="10" fillId="0" borderId="6" xfId="8" applyNumberFormat="1" applyFont="1" applyBorder="1" applyAlignment="1">
      <alignment horizontal="center"/>
    </xf>
    <xf numFmtId="166" fontId="0" fillId="0" borderId="7" xfId="8" applyNumberFormat="1" applyFont="1" applyBorder="1" applyAlignment="1">
      <alignment horizontal="center"/>
    </xf>
    <xf numFmtId="166" fontId="10" fillId="0" borderId="8" xfId="8" applyNumberFormat="1" applyFont="1" applyBorder="1" applyAlignment="1">
      <alignment horizontal="center"/>
    </xf>
    <xf numFmtId="10" fontId="0" fillId="0" borderId="5" xfId="8" applyNumberFormat="1" applyFont="1" applyBorder="1" applyAlignment="1">
      <alignment horizontal="center"/>
    </xf>
    <xf numFmtId="10" fontId="0" fillId="0" borderId="6" xfId="8" applyNumberFormat="1" applyFont="1" applyBorder="1" applyAlignment="1">
      <alignment horizontal="center"/>
    </xf>
    <xf numFmtId="10" fontId="0" fillId="0" borderId="7" xfId="8" applyNumberFormat="1" applyFont="1" applyBorder="1" applyAlignment="1">
      <alignment horizontal="center"/>
    </xf>
    <xf numFmtId="10" fontId="0" fillId="0" borderId="8" xfId="8" applyNumberFormat="1" applyFont="1" applyBorder="1" applyAlignment="1">
      <alignment horizontal="center"/>
    </xf>
    <xf numFmtId="3" fontId="10" fillId="0" borderId="0" xfId="0" applyNumberFormat="1" applyFont="1" applyAlignment="1">
      <alignment horizontal="center"/>
    </xf>
    <xf numFmtId="3" fontId="0" fillId="0" borderId="22" xfId="0" applyNumberFormat="1" applyBorder="1" applyAlignment="1">
      <alignment horizontal="center"/>
    </xf>
    <xf numFmtId="3" fontId="10" fillId="0" borderId="5" xfId="0" applyNumberFormat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3" fontId="10" fillId="0" borderId="14" xfId="0" applyNumberFormat="1" applyFont="1" applyBorder="1" applyAlignment="1">
      <alignment horizontal="center"/>
    </xf>
    <xf numFmtId="3" fontId="0" fillId="0" borderId="23" xfId="0" applyNumberFormat="1" applyBorder="1" applyAlignment="1">
      <alignment horizontal="center"/>
    </xf>
    <xf numFmtId="3" fontId="10" fillId="0" borderId="7" xfId="0" applyNumberFormat="1" applyFont="1" applyBorder="1" applyAlignment="1">
      <alignment horizontal="center"/>
    </xf>
    <xf numFmtId="3" fontId="0" fillId="0" borderId="8" xfId="0" applyNumberFormat="1" applyBorder="1" applyAlignment="1">
      <alignment horizontal="center"/>
    </xf>
    <xf numFmtId="3" fontId="8" fillId="0" borderId="17" xfId="6" applyNumberFormat="1" applyFont="1" applyFill="1" applyBorder="1"/>
    <xf numFmtId="3" fontId="7" fillId="0" borderId="13" xfId="0" applyNumberFormat="1" applyFont="1" applyBorder="1" applyAlignment="1">
      <alignment horizontal="right"/>
    </xf>
    <xf numFmtId="3" fontId="8" fillId="0" borderId="24" xfId="0" applyNumberFormat="1" applyFont="1" applyBorder="1"/>
    <xf numFmtId="3" fontId="7" fillId="0" borderId="3" xfId="0" applyNumberFormat="1" applyFont="1" applyBorder="1" applyAlignment="1">
      <alignment horizontal="right"/>
    </xf>
    <xf numFmtId="3" fontId="7" fillId="0" borderId="13" xfId="0" applyNumberFormat="1" applyFont="1" applyBorder="1"/>
    <xf numFmtId="3" fontId="8" fillId="0" borderId="13" xfId="0" applyNumberFormat="1" applyFont="1" applyBorder="1"/>
    <xf numFmtId="3" fontId="8" fillId="0" borderId="4" xfId="0" applyNumberFormat="1" applyFont="1" applyBorder="1"/>
    <xf numFmtId="3" fontId="8" fillId="0" borderId="7" xfId="0" applyNumberFormat="1" applyFont="1" applyBorder="1"/>
    <xf numFmtId="3" fontId="7" fillId="0" borderId="14" xfId="0" applyNumberFormat="1" applyFont="1" applyBorder="1" applyAlignment="1">
      <alignment horizontal="right"/>
    </xf>
    <xf numFmtId="3" fontId="8" fillId="0" borderId="23" xfId="0" applyNumberFormat="1" applyFont="1" applyBorder="1"/>
    <xf numFmtId="3" fontId="7" fillId="0" borderId="7" xfId="0" applyNumberFormat="1" applyFont="1" applyBorder="1" applyAlignment="1">
      <alignment horizontal="right"/>
    </xf>
    <xf numFmtId="3" fontId="7" fillId="0" borderId="14" xfId="0" applyNumberFormat="1" applyFont="1" applyBorder="1"/>
    <xf numFmtId="3" fontId="8" fillId="0" borderId="14" xfId="0" applyNumberFormat="1" applyFont="1" applyBorder="1"/>
    <xf numFmtId="3" fontId="8" fillId="0" borderId="8" xfId="0" applyNumberFormat="1" applyFont="1" applyBorder="1"/>
    <xf numFmtId="3" fontId="8" fillId="0" borderId="3" xfId="6" applyNumberFormat="1" applyFont="1" applyFill="1" applyBorder="1"/>
    <xf numFmtId="3" fontId="0" fillId="0" borderId="3" xfId="0" applyNumberFormat="1" applyBorder="1"/>
    <xf numFmtId="3" fontId="0" fillId="0" borderId="17" xfId="0" applyNumberFormat="1" applyBorder="1"/>
    <xf numFmtId="10" fontId="0" fillId="0" borderId="0" xfId="0" applyNumberFormat="1"/>
    <xf numFmtId="0" fontId="0" fillId="0" borderId="13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4" xfId="0" applyBorder="1" applyAlignment="1">
      <alignment horizontal="left"/>
    </xf>
    <xf numFmtId="0" fontId="0" fillId="0" borderId="12" xfId="0" applyBorder="1" applyAlignment="1">
      <alignment horizontal="left"/>
    </xf>
    <xf numFmtId="0" fontId="8" fillId="0" borderId="5" xfId="6" applyFont="1" applyFill="1" applyBorder="1" applyAlignment="1">
      <alignment horizontal="center"/>
    </xf>
    <xf numFmtId="9" fontId="0" fillId="0" borderId="13" xfId="5" applyNumberFormat="1" applyFont="1" applyBorder="1"/>
    <xf numFmtId="9" fontId="0" fillId="0" borderId="0" xfId="5" applyNumberFormat="1" applyFont="1"/>
    <xf numFmtId="0" fontId="8" fillId="0" borderId="3" xfId="5" applyNumberFormat="1" applyFont="1" applyFill="1" applyBorder="1"/>
    <xf numFmtId="0" fontId="0" fillId="0" borderId="5" xfId="5" applyNumberFormat="1" applyFont="1" applyBorder="1"/>
    <xf numFmtId="0" fontId="0" fillId="0" borderId="14" xfId="0" applyBorder="1" applyAlignment="1">
      <alignment wrapText="1"/>
    </xf>
    <xf numFmtId="0" fontId="10" fillId="0" borderId="3" xfId="0" applyFont="1" applyBorder="1" applyAlignment="1">
      <alignment horizontal="centerContinuous"/>
    </xf>
    <xf numFmtId="0" fontId="0" fillId="0" borderId="4" xfId="0" applyBorder="1" applyAlignment="1">
      <alignment horizontal="centerContinuous"/>
    </xf>
    <xf numFmtId="0" fontId="10" fillId="0" borderId="5" xfId="0" applyFont="1" applyBorder="1" applyAlignment="1">
      <alignment horizontal="centerContinuous"/>
    </xf>
    <xf numFmtId="0" fontId="0" fillId="0" borderId="6" xfId="0" applyBorder="1" applyAlignment="1">
      <alignment horizontal="centerContinuous"/>
    </xf>
    <xf numFmtId="0" fontId="10" fillId="0" borderId="7" xfId="0" applyFont="1" applyBorder="1" applyAlignment="1">
      <alignment horizontal="centerContinuous"/>
    </xf>
    <xf numFmtId="0" fontId="0" fillId="0" borderId="14" xfId="0" applyBorder="1" applyAlignment="1">
      <alignment horizontal="centerContinuous"/>
    </xf>
    <xf numFmtId="0" fontId="0" fillId="0" borderId="8" xfId="0" applyBorder="1" applyAlignment="1">
      <alignment horizontal="centerContinuous"/>
    </xf>
    <xf numFmtId="0" fontId="8" fillId="0" borderId="5" xfId="6" applyNumberFormat="1" applyFont="1" applyFill="1" applyBorder="1"/>
    <xf numFmtId="0" fontId="0" fillId="0" borderId="6" xfId="0" applyBorder="1" applyAlignment="1">
      <alignment wrapText="1"/>
    </xf>
    <xf numFmtId="0" fontId="0" fillId="0" borderId="5" xfId="0" applyBorder="1" applyAlignment="1">
      <alignment wrapText="1"/>
    </xf>
    <xf numFmtId="0" fontId="16" fillId="0" borderId="5" xfId="0" applyFont="1" applyBorder="1" applyAlignment="1">
      <alignment horizontal="right" vertical="center"/>
    </xf>
    <xf numFmtId="0" fontId="14" fillId="0" borderId="6" xfId="0" applyFont="1" applyBorder="1" applyAlignment="1">
      <alignment horizontal="right" vertical="center"/>
    </xf>
    <xf numFmtId="0" fontId="22" fillId="0" borderId="12" xfId="0" applyFont="1" applyBorder="1" applyAlignment="1">
      <alignment horizontal="left" vertical="center"/>
    </xf>
    <xf numFmtId="10" fontId="5" fillId="0" borderId="0" xfId="0" applyNumberFormat="1" applyFont="1"/>
    <xf numFmtId="10" fontId="10" fillId="0" borderId="0" xfId="0" applyNumberFormat="1" applyFont="1" applyAlignment="1">
      <alignment horizontal="right"/>
    </xf>
    <xf numFmtId="166" fontId="5" fillId="0" borderId="0" xfId="0" applyNumberFormat="1" applyFont="1"/>
    <xf numFmtId="166" fontId="0" fillId="0" borderId="0" xfId="0" applyNumberFormat="1"/>
    <xf numFmtId="166" fontId="19" fillId="5" borderId="0" xfId="7" applyNumberFormat="1"/>
    <xf numFmtId="166" fontId="23" fillId="5" borderId="0" xfId="7" applyNumberFormat="1" applyFont="1" applyAlignment="1">
      <alignment horizontal="right"/>
    </xf>
    <xf numFmtId="165" fontId="5" fillId="0" borderId="0" xfId="0" applyNumberFormat="1" applyFont="1"/>
    <xf numFmtId="165" fontId="0" fillId="0" borderId="0" xfId="0" applyNumberFormat="1"/>
    <xf numFmtId="165" fontId="19" fillId="5" borderId="0" xfId="7" applyNumberFormat="1"/>
    <xf numFmtId="165" fontId="23" fillId="5" borderId="0" xfId="7" applyNumberFormat="1" applyFont="1" applyAlignment="1">
      <alignment horizontal="right"/>
    </xf>
    <xf numFmtId="165" fontId="10" fillId="0" borderId="0" xfId="0" applyNumberFormat="1" applyFont="1" applyAlignment="1">
      <alignment horizontal="right"/>
    </xf>
    <xf numFmtId="3" fontId="1" fillId="0" borderId="0" xfId="9"/>
    <xf numFmtId="3" fontId="1" fillId="0" borderId="6" xfId="9" applyBorder="1"/>
    <xf numFmtId="3" fontId="1" fillId="0" borderId="15" xfId="9" applyBorder="1"/>
    <xf numFmtId="4" fontId="1" fillId="0" borderId="5" xfId="10" applyBorder="1">
      <alignment wrapText="1"/>
    </xf>
    <xf numFmtId="4" fontId="1" fillId="0" borderId="0" xfId="10" applyBorder="1">
      <alignment wrapText="1"/>
    </xf>
    <xf numFmtId="4" fontId="1" fillId="0" borderId="6" xfId="10" applyBorder="1">
      <alignment wrapText="1"/>
    </xf>
    <xf numFmtId="165" fontId="24" fillId="0" borderId="2" xfId="11">
      <alignment horizontal="center"/>
    </xf>
    <xf numFmtId="0" fontId="0" fillId="0" borderId="16" xfId="0" applyBorder="1"/>
    <xf numFmtId="4" fontId="1" fillId="0" borderId="3" xfId="10" applyFill="1" applyBorder="1">
      <alignment wrapText="1"/>
    </xf>
    <xf numFmtId="4" fontId="1" fillId="0" borderId="13" xfId="10" applyBorder="1">
      <alignment wrapText="1"/>
    </xf>
    <xf numFmtId="4" fontId="1" fillId="0" borderId="19" xfId="10" applyBorder="1">
      <alignment wrapText="1"/>
    </xf>
    <xf numFmtId="4" fontId="1" fillId="0" borderId="20" xfId="10" applyBorder="1">
      <alignment wrapText="1"/>
    </xf>
    <xf numFmtId="166" fontId="1" fillId="0" borderId="6" xfId="13" applyBorder="1"/>
    <xf numFmtId="4" fontId="1" fillId="0" borderId="15" xfId="10" applyBorder="1">
      <alignment wrapText="1"/>
    </xf>
    <xf numFmtId="4" fontId="1" fillId="0" borderId="16" xfId="10" applyBorder="1">
      <alignment wrapText="1"/>
    </xf>
    <xf numFmtId="4" fontId="1" fillId="0" borderId="7" xfId="10" applyBorder="1">
      <alignment wrapText="1"/>
    </xf>
    <xf numFmtId="4" fontId="1" fillId="0" borderId="14" xfId="10" applyBorder="1">
      <alignment wrapText="1"/>
    </xf>
    <xf numFmtId="4" fontId="1" fillId="0" borderId="8" xfId="10" applyBorder="1">
      <alignment wrapText="1"/>
    </xf>
    <xf numFmtId="3" fontId="1" fillId="0" borderId="3" xfId="9" applyFill="1" applyBorder="1"/>
    <xf numFmtId="3" fontId="1" fillId="0" borderId="4" xfId="9" applyFill="1" applyBorder="1"/>
    <xf numFmtId="3" fontId="1" fillId="0" borderId="5" xfId="9" applyFill="1" applyBorder="1"/>
    <xf numFmtId="3" fontId="1" fillId="0" borderId="6" xfId="9" applyFill="1" applyBorder="1"/>
    <xf numFmtId="3" fontId="1" fillId="0" borderId="7" xfId="9" applyFill="1" applyBorder="1"/>
    <xf numFmtId="3" fontId="1" fillId="0" borderId="8" xfId="9" applyFill="1" applyBorder="1"/>
    <xf numFmtId="3" fontId="1" fillId="0" borderId="17" xfId="9" applyFill="1" applyBorder="1"/>
    <xf numFmtId="3" fontId="1" fillId="0" borderId="3" xfId="9" applyBorder="1"/>
    <xf numFmtId="3" fontId="1" fillId="0" borderId="13" xfId="9" applyBorder="1"/>
    <xf numFmtId="3" fontId="1" fillId="0" borderId="4" xfId="9" applyBorder="1"/>
    <xf numFmtId="3" fontId="1" fillId="0" borderId="5" xfId="9" applyBorder="1"/>
    <xf numFmtId="3" fontId="1" fillId="0" borderId="17" xfId="9" applyBorder="1"/>
    <xf numFmtId="165" fontId="24" fillId="0" borderId="15" xfId="11" applyBorder="1">
      <alignment horizontal="center"/>
    </xf>
    <xf numFmtId="165" fontId="24" fillId="0" borderId="5" xfId="11" applyBorder="1">
      <alignment horizontal="center"/>
    </xf>
    <xf numFmtId="165" fontId="24" fillId="0" borderId="0" xfId="11" applyBorder="1">
      <alignment horizontal="center"/>
    </xf>
    <xf numFmtId="165" fontId="24" fillId="0" borderId="6" xfId="11" applyBorder="1">
      <alignment horizontal="center"/>
    </xf>
    <xf numFmtId="165" fontId="24" fillId="0" borderId="16" xfId="11" applyBorder="1">
      <alignment horizontal="center"/>
    </xf>
    <xf numFmtId="165" fontId="24" fillId="0" borderId="7" xfId="11" applyBorder="1">
      <alignment horizontal="center"/>
    </xf>
    <xf numFmtId="165" fontId="24" fillId="0" borderId="14" xfId="11" applyBorder="1">
      <alignment horizontal="center"/>
    </xf>
    <xf numFmtId="165" fontId="24" fillId="0" borderId="8" xfId="11" applyBorder="1">
      <alignment horizontal="center"/>
    </xf>
    <xf numFmtId="165" fontId="24" fillId="5" borderId="16" xfId="11" applyFill="1" applyBorder="1">
      <alignment horizontal="center"/>
    </xf>
    <xf numFmtId="165" fontId="24" fillId="5" borderId="7" xfId="11" applyFill="1" applyBorder="1">
      <alignment horizontal="center"/>
    </xf>
    <xf numFmtId="165" fontId="24" fillId="5" borderId="14" xfId="11" applyFill="1" applyBorder="1">
      <alignment horizontal="center"/>
    </xf>
    <xf numFmtId="165" fontId="24" fillId="5" borderId="8" xfId="11" applyFill="1" applyBorder="1">
      <alignment horizontal="center"/>
    </xf>
    <xf numFmtId="165" fontId="24" fillId="5" borderId="15" xfId="11" applyFill="1" applyBorder="1">
      <alignment horizontal="center"/>
    </xf>
    <xf numFmtId="165" fontId="24" fillId="5" borderId="5" xfId="11" applyFill="1" applyBorder="1">
      <alignment horizontal="center"/>
    </xf>
    <xf numFmtId="165" fontId="24" fillId="5" borderId="0" xfId="11" applyFill="1" applyBorder="1">
      <alignment horizontal="center"/>
    </xf>
    <xf numFmtId="165" fontId="24" fillId="5" borderId="6" xfId="11" applyFill="1" applyBorder="1">
      <alignment horizontal="center"/>
    </xf>
    <xf numFmtId="166" fontId="1" fillId="5" borderId="16" xfId="13" applyFill="1" applyBorder="1"/>
    <xf numFmtId="166" fontId="1" fillId="5" borderId="7" xfId="13" applyFill="1" applyBorder="1"/>
    <xf numFmtId="166" fontId="1" fillId="5" borderId="14" xfId="13" applyFill="1" applyBorder="1"/>
    <xf numFmtId="166" fontId="1" fillId="5" borderId="8" xfId="13" applyFill="1" applyBorder="1"/>
    <xf numFmtId="3" fontId="1" fillId="0" borderId="13" xfId="9" applyFill="1" applyBorder="1"/>
    <xf numFmtId="3" fontId="1" fillId="0" borderId="0" xfId="9" applyFill="1" applyBorder="1"/>
    <xf numFmtId="10" fontId="24" fillId="0" borderId="7" xfId="14" applyFill="1" applyBorder="1">
      <alignment horizontal="center"/>
    </xf>
    <xf numFmtId="10" fontId="24" fillId="0" borderId="14" xfId="14" applyFill="1" applyBorder="1">
      <alignment horizontal="center"/>
    </xf>
    <xf numFmtId="10" fontId="24" fillId="0" borderId="8" xfId="14" applyFill="1" applyBorder="1">
      <alignment horizontal="center"/>
    </xf>
    <xf numFmtId="10" fontId="24" fillId="0" borderId="3" xfId="14" applyFill="1" applyBorder="1">
      <alignment horizontal="center"/>
    </xf>
    <xf numFmtId="10" fontId="24" fillId="0" borderId="13" xfId="14" applyBorder="1">
      <alignment horizontal="center"/>
    </xf>
    <xf numFmtId="10" fontId="24" fillId="0" borderId="4" xfId="14" applyBorder="1">
      <alignment horizontal="center"/>
    </xf>
    <xf numFmtId="10" fontId="24" fillId="0" borderId="5" xfId="14" applyBorder="1">
      <alignment horizontal="center"/>
    </xf>
    <xf numFmtId="10" fontId="24" fillId="0" borderId="0" xfId="14" applyBorder="1">
      <alignment horizontal="center"/>
    </xf>
    <xf numFmtId="10" fontId="24" fillId="0" borderId="6" xfId="14" applyBorder="1">
      <alignment horizontal="center"/>
    </xf>
    <xf numFmtId="10" fontId="24" fillId="0" borderId="7" xfId="14" applyBorder="1">
      <alignment horizontal="center"/>
    </xf>
    <xf numFmtId="10" fontId="24" fillId="0" borderId="14" xfId="14" applyBorder="1">
      <alignment horizontal="center"/>
    </xf>
    <xf numFmtId="10" fontId="24" fillId="0" borderId="8" xfId="14" applyBorder="1">
      <alignment horizontal="center"/>
    </xf>
    <xf numFmtId="10" fontId="24" fillId="0" borderId="10" xfId="14" applyBorder="1">
      <alignment horizontal="center"/>
    </xf>
    <xf numFmtId="10" fontId="24" fillId="0" borderId="12" xfId="14" applyBorder="1">
      <alignment horizontal="center"/>
    </xf>
    <xf numFmtId="10" fontId="24" fillId="0" borderId="11" xfId="14" applyBorder="1">
      <alignment horizontal="center"/>
    </xf>
    <xf numFmtId="3" fontId="1" fillId="0" borderId="22" xfId="9" applyBorder="1"/>
    <xf numFmtId="3" fontId="1" fillId="0" borderId="7" xfId="9" applyBorder="1"/>
    <xf numFmtId="3" fontId="1" fillId="0" borderId="14" xfId="9" applyBorder="1"/>
    <xf numFmtId="3" fontId="1" fillId="0" borderId="23" xfId="9" applyBorder="1"/>
    <xf numFmtId="10" fontId="24" fillId="0" borderId="15" xfId="14" applyBorder="1">
      <alignment horizontal="center"/>
    </xf>
    <xf numFmtId="10" fontId="24" fillId="0" borderId="16" xfId="14" applyBorder="1">
      <alignment horizontal="center"/>
    </xf>
    <xf numFmtId="0" fontId="8" fillId="0" borderId="3" xfId="0" applyFont="1" applyBorder="1" applyAlignment="1">
      <alignment horizontal="left" vertical="top" wrapText="1"/>
    </xf>
    <xf numFmtId="0" fontId="8" fillId="0" borderId="13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8" fillId="0" borderId="6" xfId="0" applyFont="1" applyBorder="1" applyAlignment="1">
      <alignment horizontal="left" vertical="top" wrapText="1"/>
    </xf>
    <xf numFmtId="0" fontId="8" fillId="0" borderId="7" xfId="0" applyFont="1" applyBorder="1" applyAlignment="1">
      <alignment horizontal="left" vertical="top" wrapText="1"/>
    </xf>
    <xf numFmtId="0" fontId="8" fillId="0" borderId="14" xfId="0" applyFont="1" applyBorder="1" applyAlignment="1">
      <alignment horizontal="left" vertical="top" wrapText="1"/>
    </xf>
    <xf numFmtId="0" fontId="8" fillId="0" borderId="8" xfId="0" applyFont="1" applyBorder="1" applyAlignment="1">
      <alignment horizontal="left" vertical="top" wrapText="1"/>
    </xf>
    <xf numFmtId="165" fontId="24" fillId="0" borderId="2" xfId="11">
      <alignment horizontal="center"/>
    </xf>
    <xf numFmtId="3" fontId="1" fillId="0" borderId="10" xfId="9" applyFill="1" applyBorder="1"/>
    <xf numFmtId="3" fontId="1" fillId="0" borderId="11" xfId="9" applyFill="1" applyBorder="1"/>
    <xf numFmtId="167" fontId="4" fillId="0" borderId="10" xfId="5" applyNumberFormat="1" applyFont="1" applyFill="1" applyBorder="1" applyAlignment="1">
      <alignment horizontal="center"/>
    </xf>
    <xf numFmtId="167" fontId="4" fillId="0" borderId="11" xfId="5" applyNumberFormat="1" applyFont="1" applyFill="1" applyBorder="1" applyAlignment="1">
      <alignment horizontal="center"/>
    </xf>
    <xf numFmtId="3" fontId="4" fillId="0" borderId="10" xfId="5" applyNumberFormat="1" applyFont="1" applyFill="1" applyBorder="1" applyAlignment="1">
      <alignment horizontal="right"/>
    </xf>
    <xf numFmtId="3" fontId="4" fillId="0" borderId="11" xfId="5" applyNumberFormat="1" applyFont="1" applyFill="1" applyBorder="1" applyAlignment="1">
      <alignment horizontal="right"/>
    </xf>
    <xf numFmtId="3" fontId="4" fillId="0" borderId="10" xfId="5" applyNumberFormat="1" applyFont="1" applyFill="1" applyBorder="1" applyAlignment="1">
      <alignment horizontal="center"/>
    </xf>
    <xf numFmtId="3" fontId="4" fillId="0" borderId="11" xfId="5" applyNumberFormat="1" applyFont="1" applyFill="1" applyBorder="1" applyAlignment="1">
      <alignment horizontal="center"/>
    </xf>
    <xf numFmtId="14" fontId="24" fillId="0" borderId="10" xfId="4" applyNumberFormat="1" applyFont="1" applyFill="1" applyBorder="1" applyAlignment="1">
      <alignment horizontal="center"/>
    </xf>
    <xf numFmtId="14" fontId="24" fillId="0" borderId="11" xfId="4" applyNumberFormat="1" applyFont="1" applyFill="1" applyBorder="1" applyAlignment="1">
      <alignment horizontal="center"/>
    </xf>
    <xf numFmtId="4" fontId="4" fillId="0" borderId="10" xfId="5" applyNumberFormat="1" applyFont="1" applyFill="1" applyBorder="1" applyAlignment="1">
      <alignment horizontal="center"/>
    </xf>
    <xf numFmtId="4" fontId="4" fillId="0" borderId="11" xfId="5" applyNumberFormat="1" applyFont="1" applyFill="1" applyBorder="1" applyAlignment="1">
      <alignment horizontal="center"/>
    </xf>
    <xf numFmtId="0" fontId="0" fillId="0" borderId="1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166" fontId="1" fillId="0" borderId="10" xfId="13" applyFill="1" applyBorder="1"/>
    <xf numFmtId="166" fontId="1" fillId="0" borderId="11" xfId="13" applyFill="1" applyBorder="1"/>
    <xf numFmtId="3" fontId="4" fillId="0" borderId="10" xfId="5" applyNumberFormat="1" applyFont="1" applyFill="1" applyBorder="1" applyAlignment="1">
      <alignment horizontal="left"/>
    </xf>
    <xf numFmtId="3" fontId="4" fillId="0" borderId="12" xfId="5" applyNumberFormat="1" applyFont="1" applyFill="1" applyBorder="1" applyAlignment="1">
      <alignment horizontal="left"/>
    </xf>
    <xf numFmtId="3" fontId="4" fillId="0" borderId="11" xfId="5" applyNumberFormat="1" applyFont="1" applyFill="1" applyBorder="1" applyAlignment="1">
      <alignment horizontal="left"/>
    </xf>
    <xf numFmtId="0" fontId="26" fillId="0" borderId="0" xfId="0" applyFont="1" applyAlignment="1">
      <alignment horizontal="right"/>
    </xf>
    <xf numFmtId="0" fontId="27" fillId="0" borderId="0" xfId="0" applyFont="1"/>
    <xf numFmtId="0" fontId="28" fillId="0" borderId="0" xfId="0" applyFont="1"/>
    <xf numFmtId="0" fontId="28" fillId="0" borderId="0" xfId="0" applyFont="1" applyAlignment="1">
      <alignment horizontal="right"/>
    </xf>
    <xf numFmtId="0" fontId="26" fillId="0" borderId="0" xfId="0" applyFont="1"/>
  </cellXfs>
  <cellStyles count="15">
    <cellStyle name="20% - Accent1" xfId="3" builtinId="30"/>
    <cellStyle name="20% - Accent3" xfId="4" builtinId="38"/>
    <cellStyle name="Bad" xfId="6" builtinId="27"/>
    <cellStyle name="Comma" xfId="5" builtinId="3"/>
    <cellStyle name="Heading 2" xfId="1" builtinId="17"/>
    <cellStyle name="Heading 4" xfId="2" builtinId="19"/>
    <cellStyle name="Neutral" xfId="7" builtinId="28"/>
    <cellStyle name="Normal" xfId="0" builtinId="0"/>
    <cellStyle name="Percent" xfId="8" builtinId="5"/>
    <cellStyle name="Percent 0dp" xfId="12" xr:uid="{EC4FA4D1-C043-4FB7-AD5B-60AECAAF6AA2}"/>
    <cellStyle name="Percent 1dp" xfId="11" xr:uid="{A442135C-D3BB-4AE4-A1E2-B440A32512B0}"/>
    <cellStyle name="Percent 2" xfId="14" xr:uid="{7B4E11D7-BE97-49BE-8C63-A519559C4715}"/>
    <cellStyle name="Percent 4" xfId="13" xr:uid="{E61BEF26-E50E-4C1A-AE1B-B97A3F88F562}"/>
    <cellStyle name="Thousands" xfId="9" xr:uid="{72F6A5D9-3241-427B-8EA3-639FD7825D20}"/>
    <cellStyle name="Thousands 2dp" xfId="10" xr:uid="{76363BD0-20FB-4E92-B3A8-9225BB194FA4}"/>
  </cellStyles>
  <dxfs count="0"/>
  <tableStyles count="0" defaultTableStyle="TableStyleMedium2" defaultPivotStyle="PivotStyleLight16"/>
  <colors>
    <mruColors>
      <color rgb="FFF0F0F0"/>
      <color rgb="FFBF41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eme1">
  <a:themeElements>
    <a:clrScheme name="beazley Jul22">
      <a:dk1>
        <a:srgbClr val="000000"/>
      </a:dk1>
      <a:lt1>
        <a:srgbClr val="FFFFFF"/>
      </a:lt1>
      <a:dk2>
        <a:srgbClr val="DC199B"/>
      </a:dk2>
      <a:lt2>
        <a:srgbClr val="F0F0F0"/>
      </a:lt2>
      <a:accent1>
        <a:srgbClr val="DC199B"/>
      </a:accent1>
      <a:accent2>
        <a:srgbClr val="4B0050"/>
      </a:accent2>
      <a:accent3>
        <a:srgbClr val="C8C3CD"/>
      </a:accent3>
      <a:accent4>
        <a:srgbClr val="F56B00"/>
      </a:accent4>
      <a:accent5>
        <a:srgbClr val="FF82D4"/>
      </a:accent5>
      <a:accent6>
        <a:srgbClr val="3741A5"/>
      </a:accent6>
      <a:hlink>
        <a:srgbClr val="4B0050"/>
      </a:hlink>
      <a:folHlink>
        <a:srgbClr val="08A6C2"/>
      </a:folHlink>
    </a:clrScheme>
    <a:fontScheme name="Beasley">
      <a:majorFont>
        <a:latin typeface="Times New Roman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bg2"/>
        </a:solidFill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12700">
          <a:solidFill>
            <a:schemeClr val="tx1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wrap="square" lIns="0" tIns="0" rIns="0" bIns="0" rtlCol="0">
        <a:noAutofit/>
      </a:bodyPr>
      <a:lstStyle>
        <a:defPPr algn="l">
          <a:defRPr smtClean="0"/>
        </a:defPPr>
      </a:lstStyle>
    </a:txDef>
  </a:objectDefaults>
  <a:extraClrSchemeLst/>
  <a:extLst>
    <a:ext uri="{05A4C25C-085E-4340-85A3-A5531E510DB2}">
      <thm15:themeFamily xmlns:thm15="http://schemas.microsoft.com/office/thememl/2012/main" name="Theme1" id="{57F562B1-38BD-4BF3-8033-86E996D5EADF}" vid="{A2A659C7-164C-4E27-9B32-F1BBCA7AD1DE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J42"/>
  <sheetViews>
    <sheetView showGridLines="0" zoomScaleNormal="100" workbookViewId="0">
      <selection activeCell="K14" sqref="K14"/>
    </sheetView>
  </sheetViews>
  <sheetFormatPr defaultColWidth="9" defaultRowHeight="14.25"/>
  <cols>
    <col min="1" max="1" width="6.25" style="7" customWidth="1"/>
    <col min="2" max="2" width="10.125" customWidth="1"/>
    <col min="3" max="3" width="16" customWidth="1"/>
    <col min="4" max="4" width="21.125" customWidth="1"/>
    <col min="5" max="5" width="8.375" customWidth="1"/>
    <col min="6" max="6" width="12.5" customWidth="1"/>
    <col min="7" max="7" width="21.125" customWidth="1"/>
    <col min="8" max="8" width="6.5" customWidth="1"/>
    <col min="9" max="9" width="4.25" customWidth="1"/>
    <col min="10" max="10" width="6.25" customWidth="1"/>
    <col min="11" max="11" width="9" customWidth="1"/>
  </cols>
  <sheetData>
    <row r="2" spans="1:10" ht="26.25">
      <c r="B2" s="12" t="s">
        <v>11</v>
      </c>
      <c r="C2" s="4"/>
    </row>
    <row r="3" spans="1:10" ht="15">
      <c r="A3" s="7" t="s">
        <v>9</v>
      </c>
      <c r="E3" s="8" t="s">
        <v>8</v>
      </c>
      <c r="F3" s="143"/>
      <c r="G3" s="2"/>
      <c r="H3" s="3"/>
      <c r="I3" s="9"/>
    </row>
    <row r="5" spans="1:10" ht="17.25" thickBot="1">
      <c r="A5" s="7" t="s">
        <v>9</v>
      </c>
      <c r="B5" s="4" t="s">
        <v>25</v>
      </c>
      <c r="C5" s="5"/>
      <c r="D5" s="5"/>
      <c r="E5" s="5"/>
      <c r="F5" s="5"/>
      <c r="G5" s="5"/>
      <c r="H5" s="5"/>
      <c r="I5" s="5"/>
    </row>
    <row r="6" spans="1:10">
      <c r="A6" s="7" t="s">
        <v>9</v>
      </c>
      <c r="B6" s="6"/>
      <c r="C6" s="6"/>
      <c r="D6" s="6"/>
      <c r="E6" s="6"/>
      <c r="F6" s="6"/>
      <c r="G6" s="6"/>
      <c r="H6" s="6"/>
      <c r="I6" s="6"/>
    </row>
    <row r="8" spans="1:10" ht="15">
      <c r="C8" s="8" t="s">
        <v>1</v>
      </c>
      <c r="D8" s="90"/>
      <c r="F8" s="8" t="s">
        <v>2</v>
      </c>
      <c r="G8" s="90"/>
    </row>
    <row r="10" spans="1:10" ht="15">
      <c r="C10" s="10" t="s">
        <v>12</v>
      </c>
      <c r="D10" s="97"/>
      <c r="F10" s="8" t="s">
        <v>67</v>
      </c>
      <c r="G10" s="90"/>
      <c r="J10" s="8"/>
    </row>
    <row r="12" spans="1:10" ht="15">
      <c r="A12" s="7" t="s">
        <v>9</v>
      </c>
      <c r="C12" s="8" t="s">
        <v>13</v>
      </c>
      <c r="D12" s="96"/>
      <c r="E12" s="1"/>
      <c r="F12" s="1"/>
      <c r="G12" s="95"/>
    </row>
    <row r="13" spans="1:10">
      <c r="A13" s="7" t="s">
        <v>9</v>
      </c>
      <c r="F13" s="11"/>
    </row>
    <row r="14" spans="1:10" ht="15">
      <c r="A14" s="7" t="s">
        <v>9</v>
      </c>
      <c r="C14" s="8" t="s">
        <v>33</v>
      </c>
      <c r="D14" s="91"/>
      <c r="F14" s="8" t="s">
        <v>0</v>
      </c>
      <c r="G14" s="91"/>
    </row>
    <row r="15" spans="1:10">
      <c r="A15" s="7" t="s">
        <v>9</v>
      </c>
      <c r="F15" s="11"/>
    </row>
    <row r="16" spans="1:10" ht="15">
      <c r="A16"/>
      <c r="C16" s="8" t="s">
        <v>17</v>
      </c>
      <c r="D16" s="92"/>
      <c r="H16" s="8"/>
      <c r="I16" s="8"/>
      <c r="J16" s="8"/>
    </row>
    <row r="17" spans="1:9">
      <c r="A17" s="7" t="s">
        <v>9</v>
      </c>
    </row>
    <row r="18" spans="1:9">
      <c r="A18" s="7" t="s">
        <v>9</v>
      </c>
      <c r="H18" s="11"/>
    </row>
    <row r="19" spans="1:9" ht="17.25" thickBot="1">
      <c r="B19" s="4" t="s">
        <v>20</v>
      </c>
      <c r="C19" s="5"/>
      <c r="D19" s="93"/>
      <c r="E19" s="5"/>
      <c r="F19" s="5"/>
      <c r="G19" s="93"/>
      <c r="H19" s="5"/>
      <c r="I19" s="5"/>
    </row>
    <row r="20" spans="1:9">
      <c r="B20" s="6"/>
      <c r="C20" s="6"/>
      <c r="D20" s="6"/>
      <c r="E20" s="6"/>
      <c r="F20" s="6"/>
      <c r="G20" s="6"/>
      <c r="H20" s="6"/>
      <c r="I20" s="6"/>
    </row>
    <row r="22" spans="1:9" ht="15">
      <c r="C22" s="8" t="s">
        <v>10</v>
      </c>
      <c r="D22" s="233"/>
      <c r="E22" s="8"/>
      <c r="F22" s="8" t="s">
        <v>70</v>
      </c>
      <c r="G22" s="142"/>
    </row>
    <row r="24" spans="1:9" ht="15">
      <c r="C24" s="8" t="s">
        <v>68</v>
      </c>
      <c r="D24" s="233"/>
      <c r="F24" s="8" t="s">
        <v>69</v>
      </c>
      <c r="G24" s="142"/>
    </row>
    <row r="26" spans="1:9" ht="15">
      <c r="C26" s="8" t="s">
        <v>71</v>
      </c>
      <c r="D26" s="233"/>
      <c r="F26" s="8" t="s">
        <v>225</v>
      </c>
      <c r="G26" s="233"/>
    </row>
    <row r="28" spans="1:9" ht="15">
      <c r="C28" s="8" t="s">
        <v>14</v>
      </c>
      <c r="D28" s="94"/>
      <c r="F28" s="8" t="s">
        <v>15</v>
      </c>
      <c r="G28" s="233"/>
    </row>
    <row r="29" spans="1:9">
      <c r="H29" s="11"/>
    </row>
    <row r="30" spans="1:9">
      <c r="H30" s="11"/>
    </row>
    <row r="31" spans="1:9" ht="17.25" thickBot="1">
      <c r="B31" s="4" t="s">
        <v>21</v>
      </c>
      <c r="C31" s="5"/>
      <c r="D31" s="93"/>
      <c r="E31" s="5"/>
      <c r="F31" s="5"/>
      <c r="G31" s="93"/>
      <c r="H31" s="5"/>
      <c r="I31" s="5"/>
    </row>
    <row r="32" spans="1:9">
      <c r="B32" s="6"/>
      <c r="C32" s="6"/>
      <c r="D32" s="6"/>
      <c r="E32" s="6"/>
      <c r="F32" s="6"/>
      <c r="G32" s="6"/>
      <c r="H32" s="6"/>
      <c r="I32" s="6"/>
    </row>
    <row r="34" spans="1:8" ht="15">
      <c r="C34" s="10" t="s">
        <v>22</v>
      </c>
      <c r="D34" s="97"/>
      <c r="F34" s="8" t="s">
        <v>23</v>
      </c>
      <c r="G34" s="98"/>
    </row>
    <row r="35" spans="1:8">
      <c r="H35" s="11"/>
    </row>
    <row r="36" spans="1:8">
      <c r="H36" s="11"/>
    </row>
    <row r="37" spans="1:8">
      <c r="H37" s="11"/>
    </row>
    <row r="38" spans="1:8">
      <c r="H38" s="11"/>
    </row>
    <row r="40" spans="1:8">
      <c r="A40" s="7" t="s">
        <v>9</v>
      </c>
    </row>
    <row r="41" spans="1:8">
      <c r="A41" s="7" t="s">
        <v>9</v>
      </c>
    </row>
    <row r="42" spans="1:8">
      <c r="A42" s="7" t="s">
        <v>9</v>
      </c>
    </row>
  </sheetData>
  <pageMargins left="0.25" right="0.25" top="0.75" bottom="0.75" header="0.3" footer="0.3"/>
  <pageSetup paperSize="9" scale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9AEA9-52DD-40DC-9738-FD713755F37F}">
  <sheetPr codeName="Sheet2">
    <pageSetUpPr fitToPage="1"/>
  </sheetPr>
  <dimension ref="A1:AE110"/>
  <sheetViews>
    <sheetView showGridLines="0" zoomScale="85" zoomScaleNormal="85" workbookViewId="0"/>
  </sheetViews>
  <sheetFormatPr defaultColWidth="9" defaultRowHeight="14.25"/>
  <cols>
    <col min="1" max="1" width="6.25" style="7" customWidth="1"/>
    <col min="2" max="2" width="7.5" customWidth="1"/>
    <col min="3" max="5" width="14.5" customWidth="1"/>
    <col min="6" max="7" width="12.5" style="100" customWidth="1"/>
    <col min="8" max="8" width="12.5" customWidth="1"/>
    <col min="9" max="10" width="12.5" style="100" customWidth="1"/>
    <col min="11" max="11" width="12.5" style="117" customWidth="1"/>
    <col min="12" max="16" width="12.5" style="100" customWidth="1"/>
    <col min="21" max="28" width="9.375" style="106" customWidth="1"/>
    <col min="29" max="29" width="9.5" style="106" customWidth="1"/>
    <col min="30" max="30" width="12.5" style="100" customWidth="1"/>
    <col min="31" max="31" width="44" style="100" customWidth="1"/>
  </cols>
  <sheetData>
    <row r="1" spans="1:31">
      <c r="B1" s="7"/>
      <c r="C1" s="7"/>
      <c r="D1" s="7"/>
      <c r="E1" s="7"/>
      <c r="F1" s="99"/>
      <c r="G1" s="99"/>
      <c r="H1" s="7"/>
      <c r="I1" s="99"/>
      <c r="J1" s="99"/>
      <c r="K1" s="116"/>
      <c r="L1" s="99"/>
      <c r="M1" s="99"/>
      <c r="N1" s="99"/>
      <c r="O1" s="99"/>
      <c r="P1" s="99"/>
      <c r="Q1" s="7"/>
      <c r="R1" s="7"/>
      <c r="S1" s="7"/>
      <c r="AD1" s="99"/>
      <c r="AE1" s="99"/>
    </row>
    <row r="3" spans="1:31" ht="26.25">
      <c r="B3" s="12" t="s">
        <v>72</v>
      </c>
      <c r="C3" s="12"/>
    </row>
    <row r="4" spans="1:31">
      <c r="A4" s="7" t="s">
        <v>9</v>
      </c>
    </row>
    <row r="6" spans="1:31" ht="17.25" thickBot="1">
      <c r="A6" s="7" t="s">
        <v>9</v>
      </c>
      <c r="B6" s="4" t="s">
        <v>47</v>
      </c>
      <c r="C6" s="4"/>
      <c r="D6" s="5"/>
      <c r="E6" s="5"/>
      <c r="F6" s="101"/>
      <c r="G6" s="101"/>
      <c r="H6" s="5"/>
      <c r="I6" s="101"/>
      <c r="J6" s="101"/>
      <c r="K6" s="118"/>
      <c r="L6" s="101"/>
      <c r="M6" s="101"/>
      <c r="N6" s="101"/>
      <c r="O6" s="101"/>
      <c r="P6" s="101"/>
      <c r="AD6" s="101"/>
      <c r="AE6" s="101"/>
    </row>
    <row r="7" spans="1:31">
      <c r="A7" s="7" t="s">
        <v>9</v>
      </c>
      <c r="B7" s="6"/>
      <c r="C7" s="6"/>
      <c r="D7" s="6"/>
      <c r="E7" s="6"/>
      <c r="F7" s="102"/>
      <c r="G7" s="102"/>
      <c r="H7" s="6"/>
      <c r="I7" s="102"/>
      <c r="J7" s="102"/>
      <c r="K7" s="119"/>
      <c r="L7" s="102"/>
      <c r="M7" s="102"/>
      <c r="N7" s="102"/>
      <c r="O7" s="102"/>
      <c r="P7" s="102"/>
      <c r="Q7" s="6"/>
      <c r="R7" s="6"/>
      <c r="S7" s="6"/>
      <c r="T7" s="6"/>
      <c r="U7" s="107"/>
      <c r="V7" s="107"/>
      <c r="W7" s="107"/>
      <c r="X7" s="107"/>
      <c r="Y7" s="107"/>
      <c r="Z7" s="107"/>
      <c r="AA7" s="107"/>
      <c r="AB7" s="107"/>
      <c r="AC7" s="107"/>
      <c r="AD7" s="102"/>
      <c r="AE7" s="102"/>
    </row>
    <row r="8" spans="1:31" ht="15">
      <c r="U8" s="108" t="s">
        <v>94</v>
      </c>
      <c r="V8" s="109"/>
      <c r="W8" s="109"/>
      <c r="X8" s="109"/>
      <c r="Y8" s="109"/>
      <c r="Z8" s="110"/>
    </row>
    <row r="9" spans="1:31" s="41" customFormat="1" ht="45">
      <c r="A9" s="39"/>
      <c r="B9" s="40" t="s">
        <v>93</v>
      </c>
      <c r="C9" s="42" t="s">
        <v>73</v>
      </c>
      <c r="D9" s="43" t="s">
        <v>16</v>
      </c>
      <c r="E9" s="43" t="s">
        <v>74</v>
      </c>
      <c r="F9" s="103" t="s">
        <v>75</v>
      </c>
      <c r="G9" s="103" t="s">
        <v>76</v>
      </c>
      <c r="H9" s="43" t="s">
        <v>77</v>
      </c>
      <c r="I9" s="103" t="s">
        <v>18</v>
      </c>
      <c r="J9" s="103" t="s">
        <v>19</v>
      </c>
      <c r="K9" s="43" t="s">
        <v>78</v>
      </c>
      <c r="L9" s="103" t="s">
        <v>79</v>
      </c>
      <c r="M9" s="103" t="s">
        <v>45</v>
      </c>
      <c r="N9" s="103" t="s">
        <v>80</v>
      </c>
      <c r="O9" s="103" t="s">
        <v>81</v>
      </c>
      <c r="P9" s="105" t="s">
        <v>82</v>
      </c>
      <c r="Q9" s="42" t="s">
        <v>83</v>
      </c>
      <c r="R9" s="43" t="s">
        <v>84</v>
      </c>
      <c r="S9" s="43" t="s">
        <v>85</v>
      </c>
      <c r="T9" s="44" t="s">
        <v>86</v>
      </c>
      <c r="U9" s="111" t="s">
        <v>87</v>
      </c>
      <c r="V9" s="112" t="s">
        <v>88</v>
      </c>
      <c r="W9" s="112" t="s">
        <v>95</v>
      </c>
      <c r="X9" s="112" t="s">
        <v>96</v>
      </c>
      <c r="Y9" s="112" t="s">
        <v>89</v>
      </c>
      <c r="Z9" s="113" t="s">
        <v>97</v>
      </c>
      <c r="AA9" s="111" t="s">
        <v>91</v>
      </c>
      <c r="AB9" s="112" t="s">
        <v>92</v>
      </c>
      <c r="AC9" s="113" t="s">
        <v>88</v>
      </c>
      <c r="AD9" s="115" t="s">
        <v>80</v>
      </c>
      <c r="AE9" s="115" t="s">
        <v>138</v>
      </c>
    </row>
    <row r="10" spans="1:31" s="38" customFormat="1">
      <c r="A10" s="37"/>
      <c r="B10" s="52">
        <v>1</v>
      </c>
      <c r="C10" s="210"/>
      <c r="E10" s="104"/>
      <c r="F10" s="227"/>
      <c r="G10" s="227"/>
      <c r="I10" s="227"/>
      <c r="J10" s="227"/>
      <c r="K10" s="61"/>
      <c r="L10" s="227"/>
      <c r="M10" s="227"/>
      <c r="N10" s="227"/>
      <c r="O10" s="227"/>
      <c r="P10" s="228"/>
      <c r="Q10" s="212"/>
      <c r="T10" s="211"/>
      <c r="U10" s="230"/>
      <c r="V10" s="231"/>
      <c r="W10" s="231"/>
      <c r="X10" s="231"/>
      <c r="Y10" s="231"/>
      <c r="Z10" s="232"/>
      <c r="AA10" s="230"/>
      <c r="AB10" s="231"/>
      <c r="AC10" s="232"/>
      <c r="AD10" s="229"/>
      <c r="AE10" s="52"/>
    </row>
    <row r="11" spans="1:31">
      <c r="B11" s="53">
        <f t="shared" ref="B11:B74" si="0">+B10+1</f>
        <v>2</v>
      </c>
      <c r="C11" s="16"/>
      <c r="E11" s="100"/>
      <c r="F11" s="227"/>
      <c r="G11" s="227"/>
      <c r="I11" s="227"/>
      <c r="J11" s="227"/>
      <c r="L11" s="227"/>
      <c r="M11" s="227"/>
      <c r="N11" s="227"/>
      <c r="O11" s="227"/>
      <c r="P11" s="228"/>
      <c r="Q11" s="16"/>
      <c r="T11" s="17"/>
      <c r="U11" s="230"/>
      <c r="V11" s="231"/>
      <c r="W11" s="231"/>
      <c r="X11" s="231"/>
      <c r="Y11" s="231"/>
      <c r="Z11" s="232"/>
      <c r="AA11" s="230"/>
      <c r="AB11" s="231"/>
      <c r="AC11" s="232"/>
      <c r="AD11" s="229"/>
      <c r="AE11" s="53"/>
    </row>
    <row r="12" spans="1:31">
      <c r="B12" s="53">
        <f t="shared" si="0"/>
        <v>3</v>
      </c>
      <c r="C12" s="16"/>
      <c r="E12" s="100"/>
      <c r="F12" s="227"/>
      <c r="G12" s="227"/>
      <c r="I12" s="227"/>
      <c r="J12" s="227"/>
      <c r="L12" s="227"/>
      <c r="M12" s="227"/>
      <c r="N12" s="227"/>
      <c r="O12" s="227"/>
      <c r="P12" s="228"/>
      <c r="Q12" s="16"/>
      <c r="T12" s="17"/>
      <c r="U12" s="230"/>
      <c r="V12" s="231"/>
      <c r="W12" s="231"/>
      <c r="X12" s="231"/>
      <c r="Y12" s="231"/>
      <c r="Z12" s="232"/>
      <c r="AA12" s="230"/>
      <c r="AB12" s="231"/>
      <c r="AC12" s="232"/>
      <c r="AD12" s="229"/>
      <c r="AE12" s="53"/>
    </row>
    <row r="13" spans="1:31">
      <c r="B13" s="53">
        <f t="shared" si="0"/>
        <v>4</v>
      </c>
      <c r="C13" s="16"/>
      <c r="E13" s="100"/>
      <c r="F13" s="227"/>
      <c r="G13" s="227"/>
      <c r="I13" s="227"/>
      <c r="J13" s="227"/>
      <c r="L13" s="227"/>
      <c r="M13" s="227"/>
      <c r="N13" s="227"/>
      <c r="O13" s="227"/>
      <c r="P13" s="228"/>
      <c r="Q13" s="16"/>
      <c r="T13" s="17"/>
      <c r="U13" s="230"/>
      <c r="V13" s="231"/>
      <c r="W13" s="231"/>
      <c r="X13" s="231"/>
      <c r="Y13" s="231"/>
      <c r="Z13" s="232"/>
      <c r="AA13" s="230"/>
      <c r="AB13" s="231"/>
      <c r="AC13" s="232"/>
      <c r="AD13" s="229"/>
      <c r="AE13" s="53"/>
    </row>
    <row r="14" spans="1:31">
      <c r="B14" s="53">
        <f t="shared" si="0"/>
        <v>5</v>
      </c>
      <c r="C14" s="16"/>
      <c r="E14" s="100"/>
      <c r="F14" s="227"/>
      <c r="G14" s="227"/>
      <c r="I14" s="227"/>
      <c r="J14" s="227"/>
      <c r="L14" s="227"/>
      <c r="M14" s="227"/>
      <c r="N14" s="227"/>
      <c r="O14" s="227"/>
      <c r="P14" s="228"/>
      <c r="Q14" s="16"/>
      <c r="T14" s="17"/>
      <c r="U14" s="230"/>
      <c r="V14" s="231"/>
      <c r="W14" s="231"/>
      <c r="X14" s="231"/>
      <c r="Y14" s="231"/>
      <c r="Z14" s="232"/>
      <c r="AA14" s="230"/>
      <c r="AB14" s="231"/>
      <c r="AC14" s="232"/>
      <c r="AD14" s="229"/>
      <c r="AE14" s="53"/>
    </row>
    <row r="15" spans="1:31">
      <c r="B15" s="53">
        <f t="shared" si="0"/>
        <v>6</v>
      </c>
      <c r="C15" s="16"/>
      <c r="E15" s="100"/>
      <c r="F15" s="227"/>
      <c r="G15" s="227"/>
      <c r="I15" s="227"/>
      <c r="J15" s="227"/>
      <c r="L15" s="227"/>
      <c r="M15" s="227"/>
      <c r="N15" s="227"/>
      <c r="O15" s="227"/>
      <c r="P15" s="228"/>
      <c r="Q15" s="16"/>
      <c r="T15" s="17"/>
      <c r="U15" s="230"/>
      <c r="V15" s="231"/>
      <c r="W15" s="231"/>
      <c r="X15" s="231"/>
      <c r="Y15" s="231"/>
      <c r="Z15" s="232"/>
      <c r="AA15" s="230"/>
      <c r="AB15" s="231"/>
      <c r="AC15" s="232"/>
      <c r="AD15" s="229"/>
      <c r="AE15" s="53"/>
    </row>
    <row r="16" spans="1:31">
      <c r="B16" s="53">
        <f t="shared" si="0"/>
        <v>7</v>
      </c>
      <c r="C16" s="16"/>
      <c r="E16" s="100"/>
      <c r="F16" s="227"/>
      <c r="G16" s="227"/>
      <c r="I16" s="227"/>
      <c r="J16" s="227"/>
      <c r="L16" s="227"/>
      <c r="M16" s="227"/>
      <c r="N16" s="227"/>
      <c r="O16" s="227"/>
      <c r="P16" s="228"/>
      <c r="Q16" s="16"/>
      <c r="T16" s="17"/>
      <c r="U16" s="230"/>
      <c r="V16" s="231"/>
      <c r="W16" s="231"/>
      <c r="X16" s="231"/>
      <c r="Y16" s="231"/>
      <c r="Z16" s="232"/>
      <c r="AA16" s="230"/>
      <c r="AB16" s="231"/>
      <c r="AC16" s="232"/>
      <c r="AD16" s="229"/>
      <c r="AE16" s="53"/>
    </row>
    <row r="17" spans="2:31">
      <c r="B17" s="53">
        <f t="shared" si="0"/>
        <v>8</v>
      </c>
      <c r="C17" s="16"/>
      <c r="E17" s="100"/>
      <c r="F17" s="227"/>
      <c r="G17" s="227"/>
      <c r="I17" s="227"/>
      <c r="J17" s="227"/>
      <c r="L17" s="227"/>
      <c r="M17" s="227"/>
      <c r="N17" s="227"/>
      <c r="O17" s="227"/>
      <c r="P17" s="228"/>
      <c r="Q17" s="16"/>
      <c r="T17" s="17"/>
      <c r="U17" s="230"/>
      <c r="V17" s="231"/>
      <c r="W17" s="231"/>
      <c r="X17" s="231"/>
      <c r="Y17" s="231"/>
      <c r="Z17" s="232"/>
      <c r="AA17" s="230"/>
      <c r="AB17" s="231"/>
      <c r="AC17" s="232"/>
      <c r="AD17" s="229"/>
      <c r="AE17" s="53"/>
    </row>
    <row r="18" spans="2:31">
      <c r="B18" s="53">
        <f t="shared" si="0"/>
        <v>9</v>
      </c>
      <c r="C18" s="16"/>
      <c r="E18" s="100"/>
      <c r="F18" s="227"/>
      <c r="G18" s="227"/>
      <c r="I18" s="227"/>
      <c r="J18" s="227"/>
      <c r="L18" s="227"/>
      <c r="M18" s="227"/>
      <c r="N18" s="227"/>
      <c r="O18" s="227"/>
      <c r="P18" s="228"/>
      <c r="Q18" s="16"/>
      <c r="T18" s="17"/>
      <c r="U18" s="230"/>
      <c r="V18" s="231"/>
      <c r="W18" s="231"/>
      <c r="X18" s="231"/>
      <c r="Y18" s="231"/>
      <c r="Z18" s="232"/>
      <c r="AA18" s="230"/>
      <c r="AB18" s="231"/>
      <c r="AC18" s="232"/>
      <c r="AD18" s="229"/>
      <c r="AE18" s="53"/>
    </row>
    <row r="19" spans="2:31">
      <c r="B19" s="53">
        <f t="shared" si="0"/>
        <v>10</v>
      </c>
      <c r="C19" s="16"/>
      <c r="E19" s="100"/>
      <c r="F19" s="227"/>
      <c r="G19" s="227"/>
      <c r="I19" s="227"/>
      <c r="J19" s="227"/>
      <c r="L19" s="227"/>
      <c r="M19" s="227"/>
      <c r="N19" s="227"/>
      <c r="O19" s="227"/>
      <c r="P19" s="228"/>
      <c r="Q19" s="16"/>
      <c r="T19" s="17"/>
      <c r="U19" s="230"/>
      <c r="V19" s="231"/>
      <c r="W19" s="231"/>
      <c r="X19" s="231"/>
      <c r="Y19" s="231"/>
      <c r="Z19" s="232"/>
      <c r="AA19" s="230"/>
      <c r="AB19" s="231"/>
      <c r="AC19" s="232"/>
      <c r="AD19" s="229"/>
      <c r="AE19" s="53"/>
    </row>
    <row r="20" spans="2:31">
      <c r="B20" s="53">
        <f t="shared" si="0"/>
        <v>11</v>
      </c>
      <c r="C20" s="16"/>
      <c r="E20" s="100"/>
      <c r="F20" s="227"/>
      <c r="G20" s="227"/>
      <c r="I20" s="227"/>
      <c r="J20" s="227"/>
      <c r="L20" s="227"/>
      <c r="M20" s="227"/>
      <c r="N20" s="227"/>
      <c r="O20" s="227"/>
      <c r="P20" s="228"/>
      <c r="Q20" s="16"/>
      <c r="T20" s="17"/>
      <c r="U20" s="230"/>
      <c r="V20" s="231"/>
      <c r="W20" s="231"/>
      <c r="X20" s="231"/>
      <c r="Y20" s="231"/>
      <c r="Z20" s="232"/>
      <c r="AA20" s="230"/>
      <c r="AB20" s="231"/>
      <c r="AC20" s="232"/>
      <c r="AD20" s="229"/>
      <c r="AE20" s="53"/>
    </row>
    <row r="21" spans="2:31">
      <c r="B21" s="53">
        <f t="shared" si="0"/>
        <v>12</v>
      </c>
      <c r="C21" s="16"/>
      <c r="E21" s="100"/>
      <c r="F21" s="227"/>
      <c r="G21" s="227"/>
      <c r="I21" s="227"/>
      <c r="J21" s="227"/>
      <c r="L21" s="227"/>
      <c r="M21" s="227"/>
      <c r="N21" s="227"/>
      <c r="O21" s="227"/>
      <c r="P21" s="228"/>
      <c r="Q21" s="16"/>
      <c r="T21" s="17"/>
      <c r="U21" s="230"/>
      <c r="V21" s="231"/>
      <c r="W21" s="231"/>
      <c r="X21" s="231"/>
      <c r="Y21" s="231"/>
      <c r="Z21" s="232"/>
      <c r="AA21" s="230"/>
      <c r="AB21" s="231"/>
      <c r="AC21" s="232"/>
      <c r="AD21" s="229"/>
      <c r="AE21" s="53"/>
    </row>
    <row r="22" spans="2:31">
      <c r="B22" s="53">
        <f t="shared" si="0"/>
        <v>13</v>
      </c>
      <c r="C22" s="16"/>
      <c r="E22" s="100"/>
      <c r="F22" s="227"/>
      <c r="G22" s="227"/>
      <c r="I22" s="227"/>
      <c r="J22" s="227"/>
      <c r="L22" s="227"/>
      <c r="M22" s="227"/>
      <c r="N22" s="227"/>
      <c r="O22" s="227"/>
      <c r="P22" s="228"/>
      <c r="Q22" s="16"/>
      <c r="T22" s="17"/>
      <c r="U22" s="230"/>
      <c r="V22" s="231"/>
      <c r="W22" s="231"/>
      <c r="X22" s="231"/>
      <c r="Y22" s="231"/>
      <c r="Z22" s="232"/>
      <c r="AA22" s="230"/>
      <c r="AB22" s="231"/>
      <c r="AC22" s="232"/>
      <c r="AD22" s="229"/>
      <c r="AE22" s="53"/>
    </row>
    <row r="23" spans="2:31">
      <c r="B23" s="53">
        <f t="shared" si="0"/>
        <v>14</v>
      </c>
      <c r="C23" s="16"/>
      <c r="E23" s="100"/>
      <c r="F23" s="227"/>
      <c r="G23" s="227"/>
      <c r="I23" s="227"/>
      <c r="J23" s="227"/>
      <c r="L23" s="227"/>
      <c r="M23" s="227"/>
      <c r="N23" s="227"/>
      <c r="O23" s="227"/>
      <c r="P23" s="228"/>
      <c r="Q23" s="16"/>
      <c r="T23" s="17"/>
      <c r="U23" s="230"/>
      <c r="V23" s="231"/>
      <c r="W23" s="231"/>
      <c r="X23" s="231"/>
      <c r="Y23" s="231"/>
      <c r="Z23" s="232"/>
      <c r="AA23" s="230"/>
      <c r="AB23" s="231"/>
      <c r="AC23" s="232"/>
      <c r="AD23" s="229"/>
      <c r="AE23" s="53"/>
    </row>
    <row r="24" spans="2:31">
      <c r="B24" s="53">
        <f t="shared" si="0"/>
        <v>15</v>
      </c>
      <c r="C24" s="16"/>
      <c r="E24" s="100"/>
      <c r="F24" s="227"/>
      <c r="G24" s="227"/>
      <c r="I24" s="227"/>
      <c r="J24" s="227"/>
      <c r="L24" s="227"/>
      <c r="M24" s="227"/>
      <c r="N24" s="227"/>
      <c r="O24" s="227"/>
      <c r="P24" s="228"/>
      <c r="Q24" s="16"/>
      <c r="T24" s="17"/>
      <c r="U24" s="230"/>
      <c r="V24" s="231"/>
      <c r="W24" s="231"/>
      <c r="X24" s="231"/>
      <c r="Y24" s="231"/>
      <c r="Z24" s="232"/>
      <c r="AA24" s="230"/>
      <c r="AB24" s="231"/>
      <c r="AC24" s="232"/>
      <c r="AD24" s="229"/>
      <c r="AE24" s="53"/>
    </row>
    <row r="25" spans="2:31">
      <c r="B25" s="53">
        <f t="shared" si="0"/>
        <v>16</v>
      </c>
      <c r="C25" s="16"/>
      <c r="E25" s="100"/>
      <c r="F25" s="227"/>
      <c r="G25" s="227"/>
      <c r="I25" s="227"/>
      <c r="J25" s="227"/>
      <c r="L25" s="227"/>
      <c r="M25" s="227"/>
      <c r="N25" s="227"/>
      <c r="O25" s="227"/>
      <c r="P25" s="228"/>
      <c r="Q25" s="16"/>
      <c r="T25" s="17"/>
      <c r="U25" s="230"/>
      <c r="V25" s="231"/>
      <c r="W25" s="231"/>
      <c r="X25" s="231"/>
      <c r="Y25" s="231"/>
      <c r="Z25" s="232"/>
      <c r="AA25" s="230"/>
      <c r="AB25" s="231"/>
      <c r="AC25" s="232"/>
      <c r="AD25" s="229"/>
      <c r="AE25" s="53"/>
    </row>
    <row r="26" spans="2:31">
      <c r="B26" s="53">
        <f t="shared" si="0"/>
        <v>17</v>
      </c>
      <c r="C26" s="16"/>
      <c r="E26" s="100"/>
      <c r="F26" s="227"/>
      <c r="G26" s="227"/>
      <c r="I26" s="227"/>
      <c r="J26" s="227"/>
      <c r="L26" s="227"/>
      <c r="M26" s="227"/>
      <c r="N26" s="227"/>
      <c r="O26" s="227"/>
      <c r="P26" s="228"/>
      <c r="Q26" s="16"/>
      <c r="T26" s="17"/>
      <c r="U26" s="230"/>
      <c r="V26" s="231"/>
      <c r="W26" s="231"/>
      <c r="X26" s="231"/>
      <c r="Y26" s="231"/>
      <c r="Z26" s="232"/>
      <c r="AA26" s="230"/>
      <c r="AB26" s="231"/>
      <c r="AC26" s="232"/>
      <c r="AD26" s="229"/>
      <c r="AE26" s="53"/>
    </row>
    <row r="27" spans="2:31">
      <c r="B27" s="53">
        <f t="shared" si="0"/>
        <v>18</v>
      </c>
      <c r="C27" s="16"/>
      <c r="E27" s="100"/>
      <c r="F27" s="227"/>
      <c r="G27" s="227"/>
      <c r="I27" s="227"/>
      <c r="J27" s="227"/>
      <c r="L27" s="227"/>
      <c r="M27" s="227"/>
      <c r="N27" s="227"/>
      <c r="O27" s="227"/>
      <c r="P27" s="228"/>
      <c r="Q27" s="16"/>
      <c r="T27" s="17"/>
      <c r="U27" s="230"/>
      <c r="V27" s="231"/>
      <c r="W27" s="231"/>
      <c r="X27" s="231"/>
      <c r="Y27" s="231"/>
      <c r="Z27" s="232"/>
      <c r="AA27" s="230"/>
      <c r="AB27" s="231"/>
      <c r="AC27" s="232"/>
      <c r="AD27" s="229"/>
      <c r="AE27" s="53"/>
    </row>
    <row r="28" spans="2:31">
      <c r="B28" s="53">
        <f t="shared" si="0"/>
        <v>19</v>
      </c>
      <c r="C28" s="16"/>
      <c r="E28" s="100"/>
      <c r="F28" s="227"/>
      <c r="G28" s="227"/>
      <c r="I28" s="227"/>
      <c r="J28" s="227"/>
      <c r="L28" s="227"/>
      <c r="M28" s="227"/>
      <c r="N28" s="227"/>
      <c r="O28" s="227"/>
      <c r="P28" s="228"/>
      <c r="Q28" s="16"/>
      <c r="T28" s="17"/>
      <c r="U28" s="230"/>
      <c r="V28" s="231"/>
      <c r="W28" s="231"/>
      <c r="X28" s="231"/>
      <c r="Y28" s="231"/>
      <c r="Z28" s="232"/>
      <c r="AA28" s="230"/>
      <c r="AB28" s="231"/>
      <c r="AC28" s="232"/>
      <c r="AD28" s="229"/>
      <c r="AE28" s="53"/>
    </row>
    <row r="29" spans="2:31">
      <c r="B29" s="53">
        <f t="shared" si="0"/>
        <v>20</v>
      </c>
      <c r="C29" s="16"/>
      <c r="E29" s="100"/>
      <c r="F29" s="227"/>
      <c r="G29" s="227"/>
      <c r="I29" s="227"/>
      <c r="J29" s="227"/>
      <c r="L29" s="227"/>
      <c r="M29" s="227"/>
      <c r="N29" s="227"/>
      <c r="O29" s="227"/>
      <c r="P29" s="228"/>
      <c r="Q29" s="16"/>
      <c r="T29" s="17"/>
      <c r="U29" s="230"/>
      <c r="V29" s="231"/>
      <c r="W29" s="231"/>
      <c r="X29" s="231"/>
      <c r="Y29" s="231"/>
      <c r="Z29" s="232"/>
      <c r="AA29" s="230"/>
      <c r="AB29" s="231"/>
      <c r="AC29" s="232"/>
      <c r="AD29" s="229"/>
      <c r="AE29" s="53"/>
    </row>
    <row r="30" spans="2:31">
      <c r="B30" s="53">
        <f t="shared" si="0"/>
        <v>21</v>
      </c>
      <c r="C30" s="16"/>
      <c r="E30" s="100"/>
      <c r="F30" s="227"/>
      <c r="G30" s="227"/>
      <c r="I30" s="227"/>
      <c r="J30" s="227"/>
      <c r="L30" s="227"/>
      <c r="M30" s="227"/>
      <c r="N30" s="227"/>
      <c r="O30" s="227"/>
      <c r="P30" s="228"/>
      <c r="Q30" s="16"/>
      <c r="T30" s="17"/>
      <c r="U30" s="230"/>
      <c r="V30" s="231"/>
      <c r="W30" s="231"/>
      <c r="X30" s="231"/>
      <c r="Y30" s="231"/>
      <c r="Z30" s="232"/>
      <c r="AA30" s="230"/>
      <c r="AB30" s="231"/>
      <c r="AC30" s="232"/>
      <c r="AD30" s="229"/>
      <c r="AE30" s="53"/>
    </row>
    <row r="31" spans="2:31">
      <c r="B31" s="53">
        <f t="shared" si="0"/>
        <v>22</v>
      </c>
      <c r="C31" s="16"/>
      <c r="E31" s="100"/>
      <c r="F31" s="227"/>
      <c r="G31" s="227"/>
      <c r="I31" s="227"/>
      <c r="J31" s="227"/>
      <c r="L31" s="227"/>
      <c r="M31" s="227"/>
      <c r="N31" s="227"/>
      <c r="O31" s="227"/>
      <c r="P31" s="228"/>
      <c r="Q31" s="16"/>
      <c r="T31" s="17"/>
      <c r="U31" s="230"/>
      <c r="V31" s="231"/>
      <c r="W31" s="231"/>
      <c r="X31" s="231"/>
      <c r="Y31" s="231"/>
      <c r="Z31" s="232"/>
      <c r="AA31" s="230"/>
      <c r="AB31" s="231"/>
      <c r="AC31" s="232"/>
      <c r="AD31" s="229"/>
      <c r="AE31" s="53"/>
    </row>
    <row r="32" spans="2:31">
      <c r="B32" s="53">
        <f t="shared" si="0"/>
        <v>23</v>
      </c>
      <c r="C32" s="16"/>
      <c r="E32" s="100"/>
      <c r="F32" s="227"/>
      <c r="G32" s="227"/>
      <c r="I32" s="227"/>
      <c r="J32" s="227"/>
      <c r="L32" s="227"/>
      <c r="M32" s="227"/>
      <c r="N32" s="227"/>
      <c r="O32" s="227"/>
      <c r="P32" s="228"/>
      <c r="Q32" s="16"/>
      <c r="T32" s="17"/>
      <c r="U32" s="230"/>
      <c r="V32" s="231"/>
      <c r="W32" s="231"/>
      <c r="X32" s="231"/>
      <c r="Y32" s="231"/>
      <c r="Z32" s="232"/>
      <c r="AA32" s="230"/>
      <c r="AB32" s="231"/>
      <c r="AC32" s="232"/>
      <c r="AD32" s="229"/>
      <c r="AE32" s="53"/>
    </row>
    <row r="33" spans="2:31">
      <c r="B33" s="53">
        <f t="shared" si="0"/>
        <v>24</v>
      </c>
      <c r="C33" s="16"/>
      <c r="E33" s="100"/>
      <c r="F33" s="227"/>
      <c r="G33" s="227"/>
      <c r="I33" s="227"/>
      <c r="J33" s="227"/>
      <c r="L33" s="227"/>
      <c r="M33" s="227"/>
      <c r="N33" s="227"/>
      <c r="O33" s="227"/>
      <c r="P33" s="228"/>
      <c r="Q33" s="16"/>
      <c r="T33" s="17"/>
      <c r="U33" s="230"/>
      <c r="V33" s="231"/>
      <c r="W33" s="231"/>
      <c r="X33" s="231"/>
      <c r="Y33" s="231"/>
      <c r="Z33" s="232"/>
      <c r="AA33" s="230"/>
      <c r="AB33" s="231"/>
      <c r="AC33" s="232"/>
      <c r="AD33" s="229"/>
      <c r="AE33" s="53"/>
    </row>
    <row r="34" spans="2:31">
      <c r="B34" s="53">
        <f t="shared" si="0"/>
        <v>25</v>
      </c>
      <c r="C34" s="16"/>
      <c r="E34" s="100"/>
      <c r="F34" s="227"/>
      <c r="G34" s="227"/>
      <c r="I34" s="227"/>
      <c r="J34" s="227"/>
      <c r="L34" s="227"/>
      <c r="M34" s="227"/>
      <c r="N34" s="227"/>
      <c r="O34" s="227"/>
      <c r="P34" s="228"/>
      <c r="Q34" s="16"/>
      <c r="T34" s="17"/>
      <c r="U34" s="230"/>
      <c r="V34" s="231"/>
      <c r="W34" s="231"/>
      <c r="X34" s="231"/>
      <c r="Y34" s="231"/>
      <c r="Z34" s="232"/>
      <c r="AA34" s="230"/>
      <c r="AB34" s="231"/>
      <c r="AC34" s="232"/>
      <c r="AD34" s="229"/>
      <c r="AE34" s="53"/>
    </row>
    <row r="35" spans="2:31">
      <c r="B35" s="53">
        <f t="shared" si="0"/>
        <v>26</v>
      </c>
      <c r="C35" s="16"/>
      <c r="E35" s="100"/>
      <c r="F35" s="227"/>
      <c r="G35" s="227"/>
      <c r="I35" s="227"/>
      <c r="J35" s="227"/>
      <c r="L35" s="227"/>
      <c r="M35" s="227"/>
      <c r="N35" s="227"/>
      <c r="O35" s="227"/>
      <c r="P35" s="228"/>
      <c r="Q35" s="16"/>
      <c r="T35" s="17"/>
      <c r="U35" s="230"/>
      <c r="V35" s="231"/>
      <c r="W35" s="231"/>
      <c r="X35" s="231"/>
      <c r="Y35" s="231"/>
      <c r="Z35" s="232"/>
      <c r="AA35" s="230"/>
      <c r="AB35" s="231"/>
      <c r="AC35" s="232"/>
      <c r="AD35" s="229"/>
      <c r="AE35" s="53"/>
    </row>
    <row r="36" spans="2:31">
      <c r="B36" s="53">
        <f t="shared" si="0"/>
        <v>27</v>
      </c>
      <c r="C36" s="16"/>
      <c r="E36" s="100"/>
      <c r="F36" s="227"/>
      <c r="G36" s="227"/>
      <c r="I36" s="227"/>
      <c r="J36" s="227"/>
      <c r="L36" s="227"/>
      <c r="M36" s="227"/>
      <c r="N36" s="227"/>
      <c r="O36" s="227"/>
      <c r="P36" s="228"/>
      <c r="Q36" s="16"/>
      <c r="T36" s="17"/>
      <c r="U36" s="230"/>
      <c r="V36" s="231"/>
      <c r="W36" s="231"/>
      <c r="X36" s="231"/>
      <c r="Y36" s="231"/>
      <c r="Z36" s="232"/>
      <c r="AA36" s="230"/>
      <c r="AB36" s="231"/>
      <c r="AC36" s="232"/>
      <c r="AD36" s="229"/>
      <c r="AE36" s="53"/>
    </row>
    <row r="37" spans="2:31">
      <c r="B37" s="53">
        <f t="shared" si="0"/>
        <v>28</v>
      </c>
      <c r="C37" s="16"/>
      <c r="E37" s="100"/>
      <c r="F37" s="227"/>
      <c r="G37" s="227"/>
      <c r="I37" s="227"/>
      <c r="J37" s="227"/>
      <c r="L37" s="227"/>
      <c r="M37" s="227"/>
      <c r="N37" s="227"/>
      <c r="O37" s="227"/>
      <c r="P37" s="228"/>
      <c r="Q37" s="16"/>
      <c r="T37" s="17"/>
      <c r="U37" s="230"/>
      <c r="V37" s="231"/>
      <c r="W37" s="231"/>
      <c r="X37" s="231"/>
      <c r="Y37" s="231"/>
      <c r="Z37" s="232"/>
      <c r="AA37" s="230"/>
      <c r="AB37" s="231"/>
      <c r="AC37" s="232"/>
      <c r="AD37" s="229"/>
      <c r="AE37" s="53"/>
    </row>
    <row r="38" spans="2:31">
      <c r="B38" s="53">
        <f t="shared" si="0"/>
        <v>29</v>
      </c>
      <c r="C38" s="16"/>
      <c r="E38" s="100"/>
      <c r="F38" s="227"/>
      <c r="G38" s="227"/>
      <c r="I38" s="227"/>
      <c r="J38" s="227"/>
      <c r="L38" s="227"/>
      <c r="M38" s="227"/>
      <c r="N38" s="227"/>
      <c r="O38" s="227"/>
      <c r="P38" s="228"/>
      <c r="Q38" s="16"/>
      <c r="T38" s="17"/>
      <c r="U38" s="230"/>
      <c r="V38" s="231"/>
      <c r="W38" s="231"/>
      <c r="X38" s="231"/>
      <c r="Y38" s="231"/>
      <c r="Z38" s="232"/>
      <c r="AA38" s="230"/>
      <c r="AB38" s="231"/>
      <c r="AC38" s="232"/>
      <c r="AD38" s="229"/>
      <c r="AE38" s="53"/>
    </row>
    <row r="39" spans="2:31">
      <c r="B39" s="53">
        <f t="shared" si="0"/>
        <v>30</v>
      </c>
      <c r="C39" s="16"/>
      <c r="E39" s="100"/>
      <c r="F39" s="227"/>
      <c r="G39" s="227"/>
      <c r="I39" s="227"/>
      <c r="J39" s="227"/>
      <c r="L39" s="227"/>
      <c r="M39" s="227"/>
      <c r="N39" s="227"/>
      <c r="O39" s="227"/>
      <c r="P39" s="228"/>
      <c r="Q39" s="16"/>
      <c r="T39" s="17"/>
      <c r="U39" s="230"/>
      <c r="V39" s="231"/>
      <c r="W39" s="231"/>
      <c r="X39" s="231"/>
      <c r="Y39" s="231"/>
      <c r="Z39" s="232"/>
      <c r="AA39" s="230"/>
      <c r="AB39" s="231"/>
      <c r="AC39" s="232"/>
      <c r="AD39" s="229"/>
      <c r="AE39" s="53"/>
    </row>
    <row r="40" spans="2:31">
      <c r="B40" s="53">
        <f t="shared" si="0"/>
        <v>31</v>
      </c>
      <c r="C40" s="16"/>
      <c r="E40" s="100"/>
      <c r="F40" s="227"/>
      <c r="G40" s="227"/>
      <c r="I40" s="227"/>
      <c r="J40" s="227"/>
      <c r="L40" s="227"/>
      <c r="M40" s="227"/>
      <c r="N40" s="227"/>
      <c r="O40" s="227"/>
      <c r="P40" s="228"/>
      <c r="Q40" s="16"/>
      <c r="T40" s="17"/>
      <c r="U40" s="230"/>
      <c r="V40" s="231"/>
      <c r="W40" s="231"/>
      <c r="X40" s="231"/>
      <c r="Y40" s="231"/>
      <c r="Z40" s="232"/>
      <c r="AA40" s="230"/>
      <c r="AB40" s="231"/>
      <c r="AC40" s="232"/>
      <c r="AD40" s="229"/>
      <c r="AE40" s="53"/>
    </row>
    <row r="41" spans="2:31">
      <c r="B41" s="53">
        <f t="shared" si="0"/>
        <v>32</v>
      </c>
      <c r="C41" s="16"/>
      <c r="E41" s="100"/>
      <c r="F41" s="227"/>
      <c r="G41" s="227"/>
      <c r="I41" s="227"/>
      <c r="J41" s="227"/>
      <c r="L41" s="227"/>
      <c r="M41" s="227"/>
      <c r="N41" s="227"/>
      <c r="O41" s="227"/>
      <c r="P41" s="228"/>
      <c r="Q41" s="16"/>
      <c r="T41" s="17"/>
      <c r="U41" s="230"/>
      <c r="V41" s="231"/>
      <c r="W41" s="231"/>
      <c r="X41" s="231"/>
      <c r="Y41" s="231"/>
      <c r="Z41" s="232"/>
      <c r="AA41" s="230"/>
      <c r="AB41" s="231"/>
      <c r="AC41" s="232"/>
      <c r="AD41" s="229"/>
      <c r="AE41" s="53"/>
    </row>
    <row r="42" spans="2:31">
      <c r="B42" s="53">
        <f t="shared" si="0"/>
        <v>33</v>
      </c>
      <c r="C42" s="16"/>
      <c r="E42" s="100"/>
      <c r="F42" s="227"/>
      <c r="G42" s="227"/>
      <c r="I42" s="227"/>
      <c r="J42" s="227"/>
      <c r="L42" s="227"/>
      <c r="M42" s="227"/>
      <c r="N42" s="227"/>
      <c r="O42" s="227"/>
      <c r="P42" s="228"/>
      <c r="Q42" s="16"/>
      <c r="T42" s="17"/>
      <c r="U42" s="230"/>
      <c r="V42" s="231"/>
      <c r="W42" s="231"/>
      <c r="X42" s="231"/>
      <c r="Y42" s="231"/>
      <c r="Z42" s="232"/>
      <c r="AA42" s="230"/>
      <c r="AB42" s="231"/>
      <c r="AC42" s="232"/>
      <c r="AD42" s="229"/>
      <c r="AE42" s="53"/>
    </row>
    <row r="43" spans="2:31">
      <c r="B43" s="53">
        <f t="shared" si="0"/>
        <v>34</v>
      </c>
      <c r="C43" s="16"/>
      <c r="E43" s="100"/>
      <c r="F43" s="227"/>
      <c r="G43" s="227"/>
      <c r="I43" s="227"/>
      <c r="J43" s="227"/>
      <c r="L43" s="227"/>
      <c r="M43" s="227"/>
      <c r="N43" s="227"/>
      <c r="O43" s="227"/>
      <c r="P43" s="228"/>
      <c r="Q43" s="16"/>
      <c r="T43" s="17"/>
      <c r="U43" s="230"/>
      <c r="V43" s="231"/>
      <c r="W43" s="231"/>
      <c r="X43" s="231"/>
      <c r="Y43" s="231"/>
      <c r="Z43" s="232"/>
      <c r="AA43" s="230"/>
      <c r="AB43" s="231"/>
      <c r="AC43" s="232"/>
      <c r="AD43" s="229"/>
      <c r="AE43" s="53"/>
    </row>
    <row r="44" spans="2:31">
      <c r="B44" s="53">
        <f t="shared" si="0"/>
        <v>35</v>
      </c>
      <c r="C44" s="16"/>
      <c r="E44" s="100"/>
      <c r="F44" s="227"/>
      <c r="G44" s="227"/>
      <c r="I44" s="227"/>
      <c r="J44" s="227"/>
      <c r="L44" s="227"/>
      <c r="M44" s="227"/>
      <c r="N44" s="227"/>
      <c r="O44" s="227"/>
      <c r="P44" s="228"/>
      <c r="Q44" s="16"/>
      <c r="T44" s="17"/>
      <c r="U44" s="230"/>
      <c r="V44" s="231"/>
      <c r="W44" s="231"/>
      <c r="X44" s="231"/>
      <c r="Y44" s="231"/>
      <c r="Z44" s="232"/>
      <c r="AA44" s="230"/>
      <c r="AB44" s="231"/>
      <c r="AC44" s="232"/>
      <c r="AD44" s="229"/>
      <c r="AE44" s="53"/>
    </row>
    <row r="45" spans="2:31">
      <c r="B45" s="53">
        <f t="shared" si="0"/>
        <v>36</v>
      </c>
      <c r="C45" s="16"/>
      <c r="E45" s="100"/>
      <c r="F45" s="227"/>
      <c r="G45" s="227"/>
      <c r="I45" s="227"/>
      <c r="J45" s="227"/>
      <c r="L45" s="227"/>
      <c r="M45" s="227"/>
      <c r="N45" s="227"/>
      <c r="O45" s="227"/>
      <c r="P45" s="228"/>
      <c r="Q45" s="16"/>
      <c r="T45" s="17"/>
      <c r="U45" s="230"/>
      <c r="V45" s="231"/>
      <c r="W45" s="231"/>
      <c r="X45" s="231"/>
      <c r="Y45" s="231"/>
      <c r="Z45" s="232"/>
      <c r="AA45" s="230"/>
      <c r="AB45" s="231"/>
      <c r="AC45" s="232"/>
      <c r="AD45" s="229"/>
      <c r="AE45" s="53"/>
    </row>
    <row r="46" spans="2:31">
      <c r="B46" s="53">
        <f t="shared" si="0"/>
        <v>37</v>
      </c>
      <c r="C46" s="16"/>
      <c r="E46" s="100"/>
      <c r="F46" s="227"/>
      <c r="G46" s="227"/>
      <c r="I46" s="227"/>
      <c r="J46" s="227"/>
      <c r="L46" s="227"/>
      <c r="M46" s="227"/>
      <c r="N46" s="227"/>
      <c r="O46" s="227"/>
      <c r="P46" s="228"/>
      <c r="Q46" s="16"/>
      <c r="T46" s="17"/>
      <c r="U46" s="230"/>
      <c r="V46" s="231"/>
      <c r="W46" s="231"/>
      <c r="X46" s="231"/>
      <c r="Y46" s="231"/>
      <c r="Z46" s="232"/>
      <c r="AA46" s="230"/>
      <c r="AB46" s="231"/>
      <c r="AC46" s="232"/>
      <c r="AD46" s="229"/>
      <c r="AE46" s="53"/>
    </row>
    <row r="47" spans="2:31">
      <c r="B47" s="53">
        <f t="shared" si="0"/>
        <v>38</v>
      </c>
      <c r="C47" s="16"/>
      <c r="E47" s="100"/>
      <c r="F47" s="227"/>
      <c r="G47" s="227"/>
      <c r="I47" s="227"/>
      <c r="J47" s="227"/>
      <c r="L47" s="227"/>
      <c r="M47" s="227"/>
      <c r="N47" s="227"/>
      <c r="O47" s="227"/>
      <c r="P47" s="228"/>
      <c r="Q47" s="16"/>
      <c r="T47" s="17"/>
      <c r="U47" s="230"/>
      <c r="V47" s="231"/>
      <c r="W47" s="231"/>
      <c r="X47" s="231"/>
      <c r="Y47" s="231"/>
      <c r="Z47" s="232"/>
      <c r="AA47" s="230"/>
      <c r="AB47" s="231"/>
      <c r="AC47" s="232"/>
      <c r="AD47" s="229"/>
      <c r="AE47" s="53"/>
    </row>
    <row r="48" spans="2:31">
      <c r="B48" s="53">
        <f t="shared" si="0"/>
        <v>39</v>
      </c>
      <c r="C48" s="16"/>
      <c r="E48" s="100"/>
      <c r="F48" s="227"/>
      <c r="G48" s="227"/>
      <c r="I48" s="227"/>
      <c r="J48" s="227"/>
      <c r="L48" s="227"/>
      <c r="M48" s="227"/>
      <c r="N48" s="227"/>
      <c r="O48" s="227"/>
      <c r="P48" s="228"/>
      <c r="Q48" s="16"/>
      <c r="T48" s="17"/>
      <c r="U48" s="230"/>
      <c r="V48" s="231"/>
      <c r="W48" s="231"/>
      <c r="X48" s="231"/>
      <c r="Y48" s="231"/>
      <c r="Z48" s="232"/>
      <c r="AA48" s="230"/>
      <c r="AB48" s="231"/>
      <c r="AC48" s="232"/>
      <c r="AD48" s="229"/>
      <c r="AE48" s="53"/>
    </row>
    <row r="49" spans="2:31">
      <c r="B49" s="53">
        <f t="shared" si="0"/>
        <v>40</v>
      </c>
      <c r="C49" s="16"/>
      <c r="E49" s="100"/>
      <c r="F49" s="227"/>
      <c r="G49" s="227"/>
      <c r="I49" s="227"/>
      <c r="J49" s="227"/>
      <c r="L49" s="227"/>
      <c r="M49" s="227"/>
      <c r="N49" s="227"/>
      <c r="O49" s="227"/>
      <c r="P49" s="228"/>
      <c r="Q49" s="16"/>
      <c r="T49" s="17"/>
      <c r="U49" s="230"/>
      <c r="V49" s="231"/>
      <c r="W49" s="231"/>
      <c r="X49" s="231"/>
      <c r="Y49" s="231"/>
      <c r="Z49" s="232"/>
      <c r="AA49" s="230"/>
      <c r="AB49" s="231"/>
      <c r="AC49" s="232"/>
      <c r="AD49" s="229"/>
      <c r="AE49" s="53"/>
    </row>
    <row r="50" spans="2:31">
      <c r="B50" s="53">
        <f t="shared" si="0"/>
        <v>41</v>
      </c>
      <c r="C50" s="16"/>
      <c r="E50" s="100"/>
      <c r="F50" s="227"/>
      <c r="G50" s="227"/>
      <c r="I50" s="227"/>
      <c r="J50" s="227"/>
      <c r="L50" s="227"/>
      <c r="M50" s="227"/>
      <c r="N50" s="227"/>
      <c r="O50" s="227"/>
      <c r="P50" s="228"/>
      <c r="Q50" s="16"/>
      <c r="T50" s="17"/>
      <c r="U50" s="230"/>
      <c r="V50" s="231"/>
      <c r="W50" s="231"/>
      <c r="X50" s="231"/>
      <c r="Y50" s="231"/>
      <c r="Z50" s="232"/>
      <c r="AA50" s="230"/>
      <c r="AB50" s="231"/>
      <c r="AC50" s="232"/>
      <c r="AD50" s="229"/>
      <c r="AE50" s="53"/>
    </row>
    <row r="51" spans="2:31">
      <c r="B51" s="53">
        <f t="shared" si="0"/>
        <v>42</v>
      </c>
      <c r="C51" s="16"/>
      <c r="E51" s="100"/>
      <c r="F51" s="227"/>
      <c r="G51" s="227"/>
      <c r="I51" s="227"/>
      <c r="J51" s="227"/>
      <c r="L51" s="227"/>
      <c r="M51" s="227"/>
      <c r="N51" s="227"/>
      <c r="O51" s="227"/>
      <c r="P51" s="228"/>
      <c r="Q51" s="16"/>
      <c r="T51" s="17"/>
      <c r="U51" s="230"/>
      <c r="V51" s="231"/>
      <c r="W51" s="231"/>
      <c r="X51" s="231"/>
      <c r="Y51" s="231"/>
      <c r="Z51" s="232"/>
      <c r="AA51" s="230"/>
      <c r="AB51" s="231"/>
      <c r="AC51" s="232"/>
      <c r="AD51" s="229"/>
      <c r="AE51" s="53"/>
    </row>
    <row r="52" spans="2:31">
      <c r="B52" s="53">
        <f t="shared" si="0"/>
        <v>43</v>
      </c>
      <c r="C52" s="16"/>
      <c r="E52" s="100"/>
      <c r="F52" s="227"/>
      <c r="G52" s="227"/>
      <c r="I52" s="227"/>
      <c r="J52" s="227"/>
      <c r="L52" s="227"/>
      <c r="M52" s="227"/>
      <c r="N52" s="227"/>
      <c r="O52" s="227"/>
      <c r="P52" s="228"/>
      <c r="Q52" s="16"/>
      <c r="T52" s="17"/>
      <c r="U52" s="230"/>
      <c r="V52" s="231"/>
      <c r="W52" s="231"/>
      <c r="X52" s="231"/>
      <c r="Y52" s="231"/>
      <c r="Z52" s="232"/>
      <c r="AA52" s="230"/>
      <c r="AB52" s="231"/>
      <c r="AC52" s="232"/>
      <c r="AD52" s="229"/>
      <c r="AE52" s="53"/>
    </row>
    <row r="53" spans="2:31">
      <c r="B53" s="53">
        <f t="shared" si="0"/>
        <v>44</v>
      </c>
      <c r="C53" s="16"/>
      <c r="E53" s="100"/>
      <c r="F53" s="227"/>
      <c r="G53" s="227"/>
      <c r="I53" s="227"/>
      <c r="J53" s="227"/>
      <c r="L53" s="227"/>
      <c r="M53" s="227"/>
      <c r="N53" s="227"/>
      <c r="O53" s="227"/>
      <c r="P53" s="228"/>
      <c r="Q53" s="16"/>
      <c r="T53" s="17"/>
      <c r="U53" s="230"/>
      <c r="V53" s="231"/>
      <c r="W53" s="231"/>
      <c r="X53" s="231"/>
      <c r="Y53" s="231"/>
      <c r="Z53" s="232"/>
      <c r="AA53" s="230"/>
      <c r="AB53" s="231"/>
      <c r="AC53" s="232"/>
      <c r="AD53" s="229"/>
      <c r="AE53" s="53"/>
    </row>
    <row r="54" spans="2:31">
      <c r="B54" s="53">
        <f t="shared" si="0"/>
        <v>45</v>
      </c>
      <c r="C54" s="16"/>
      <c r="E54" s="100"/>
      <c r="F54" s="227"/>
      <c r="G54" s="227"/>
      <c r="I54" s="227"/>
      <c r="J54" s="227"/>
      <c r="L54" s="227"/>
      <c r="M54" s="227"/>
      <c r="N54" s="227"/>
      <c r="O54" s="227"/>
      <c r="P54" s="228"/>
      <c r="Q54" s="16"/>
      <c r="T54" s="17"/>
      <c r="U54" s="230"/>
      <c r="V54" s="231"/>
      <c r="W54" s="231"/>
      <c r="X54" s="231"/>
      <c r="Y54" s="231"/>
      <c r="Z54" s="232"/>
      <c r="AA54" s="230"/>
      <c r="AB54" s="231"/>
      <c r="AC54" s="232"/>
      <c r="AD54" s="229"/>
      <c r="AE54" s="53"/>
    </row>
    <row r="55" spans="2:31">
      <c r="B55" s="53">
        <f t="shared" si="0"/>
        <v>46</v>
      </c>
      <c r="C55" s="16"/>
      <c r="E55" s="100"/>
      <c r="F55" s="227"/>
      <c r="G55" s="227"/>
      <c r="I55" s="227"/>
      <c r="J55" s="227"/>
      <c r="L55" s="227"/>
      <c r="M55" s="227"/>
      <c r="N55" s="227"/>
      <c r="O55" s="227"/>
      <c r="P55" s="228"/>
      <c r="Q55" s="16"/>
      <c r="T55" s="17"/>
      <c r="U55" s="230"/>
      <c r="V55" s="231"/>
      <c r="W55" s="231"/>
      <c r="X55" s="231"/>
      <c r="Y55" s="231"/>
      <c r="Z55" s="232"/>
      <c r="AA55" s="230"/>
      <c r="AB55" s="231"/>
      <c r="AC55" s="232"/>
      <c r="AD55" s="229"/>
      <c r="AE55" s="53"/>
    </row>
    <row r="56" spans="2:31">
      <c r="B56" s="53">
        <f t="shared" si="0"/>
        <v>47</v>
      </c>
      <c r="C56" s="16"/>
      <c r="E56" s="100"/>
      <c r="F56" s="227"/>
      <c r="G56" s="227"/>
      <c r="I56" s="227"/>
      <c r="J56" s="227"/>
      <c r="L56" s="227"/>
      <c r="M56" s="227"/>
      <c r="N56" s="227"/>
      <c r="O56" s="227"/>
      <c r="P56" s="228"/>
      <c r="Q56" s="16"/>
      <c r="T56" s="17"/>
      <c r="U56" s="230"/>
      <c r="V56" s="231"/>
      <c r="W56" s="231"/>
      <c r="X56" s="231"/>
      <c r="Y56" s="231"/>
      <c r="Z56" s="232"/>
      <c r="AA56" s="230"/>
      <c r="AB56" s="231"/>
      <c r="AC56" s="232"/>
      <c r="AD56" s="229"/>
      <c r="AE56" s="53"/>
    </row>
    <row r="57" spans="2:31">
      <c r="B57" s="53">
        <f t="shared" si="0"/>
        <v>48</v>
      </c>
      <c r="C57" s="16"/>
      <c r="E57" s="100"/>
      <c r="F57" s="227"/>
      <c r="G57" s="227"/>
      <c r="I57" s="227"/>
      <c r="J57" s="227"/>
      <c r="L57" s="227"/>
      <c r="M57" s="227"/>
      <c r="N57" s="227"/>
      <c r="O57" s="227"/>
      <c r="P57" s="228"/>
      <c r="Q57" s="16"/>
      <c r="T57" s="17"/>
      <c r="U57" s="230"/>
      <c r="V57" s="231"/>
      <c r="W57" s="231"/>
      <c r="X57" s="231"/>
      <c r="Y57" s="231"/>
      <c r="Z57" s="232"/>
      <c r="AA57" s="230"/>
      <c r="AB57" s="231"/>
      <c r="AC57" s="232"/>
      <c r="AD57" s="229"/>
      <c r="AE57" s="53"/>
    </row>
    <row r="58" spans="2:31">
      <c r="B58" s="53">
        <f t="shared" si="0"/>
        <v>49</v>
      </c>
      <c r="C58" s="16"/>
      <c r="E58" s="100"/>
      <c r="F58" s="227"/>
      <c r="G58" s="227"/>
      <c r="I58" s="227"/>
      <c r="J58" s="227"/>
      <c r="L58" s="227"/>
      <c r="M58" s="227"/>
      <c r="N58" s="227"/>
      <c r="O58" s="227"/>
      <c r="P58" s="228"/>
      <c r="Q58" s="16"/>
      <c r="T58" s="17"/>
      <c r="U58" s="230"/>
      <c r="V58" s="231"/>
      <c r="W58" s="231"/>
      <c r="X58" s="231"/>
      <c r="Y58" s="231"/>
      <c r="Z58" s="232"/>
      <c r="AA58" s="230"/>
      <c r="AB58" s="231"/>
      <c r="AC58" s="232"/>
      <c r="AD58" s="229"/>
      <c r="AE58" s="53"/>
    </row>
    <row r="59" spans="2:31">
      <c r="B59" s="53">
        <f t="shared" si="0"/>
        <v>50</v>
      </c>
      <c r="C59" s="16"/>
      <c r="E59" s="100"/>
      <c r="F59" s="227"/>
      <c r="G59" s="227"/>
      <c r="I59" s="227"/>
      <c r="J59" s="227"/>
      <c r="L59" s="227"/>
      <c r="M59" s="227"/>
      <c r="N59" s="227"/>
      <c r="O59" s="227"/>
      <c r="P59" s="228"/>
      <c r="Q59" s="16"/>
      <c r="T59" s="17"/>
      <c r="U59" s="230"/>
      <c r="V59" s="231"/>
      <c r="W59" s="231"/>
      <c r="X59" s="231"/>
      <c r="Y59" s="231"/>
      <c r="Z59" s="232"/>
      <c r="AA59" s="230"/>
      <c r="AB59" s="231"/>
      <c r="AC59" s="232"/>
      <c r="AD59" s="229"/>
      <c r="AE59" s="53"/>
    </row>
    <row r="60" spans="2:31">
      <c r="B60" s="53">
        <f t="shared" si="0"/>
        <v>51</v>
      </c>
      <c r="C60" s="16"/>
      <c r="E60" s="100"/>
      <c r="F60" s="227"/>
      <c r="G60" s="227"/>
      <c r="I60" s="227"/>
      <c r="J60" s="227"/>
      <c r="L60" s="227"/>
      <c r="M60" s="227"/>
      <c r="N60" s="227"/>
      <c r="O60" s="227"/>
      <c r="P60" s="228"/>
      <c r="Q60" s="16"/>
      <c r="T60" s="17"/>
      <c r="U60" s="230"/>
      <c r="V60" s="231"/>
      <c r="W60" s="231"/>
      <c r="X60" s="231"/>
      <c r="Y60" s="231"/>
      <c r="Z60" s="232"/>
      <c r="AA60" s="230"/>
      <c r="AB60" s="231"/>
      <c r="AC60" s="232"/>
      <c r="AD60" s="229"/>
      <c r="AE60" s="53"/>
    </row>
    <row r="61" spans="2:31">
      <c r="B61" s="53">
        <f t="shared" si="0"/>
        <v>52</v>
      </c>
      <c r="C61" s="16"/>
      <c r="E61" s="100"/>
      <c r="F61" s="227"/>
      <c r="G61" s="227"/>
      <c r="I61" s="227"/>
      <c r="J61" s="227"/>
      <c r="L61" s="227"/>
      <c r="M61" s="227"/>
      <c r="N61" s="227"/>
      <c r="O61" s="227"/>
      <c r="P61" s="228"/>
      <c r="Q61" s="16"/>
      <c r="T61" s="17"/>
      <c r="U61" s="230"/>
      <c r="V61" s="231"/>
      <c r="W61" s="231"/>
      <c r="X61" s="231"/>
      <c r="Y61" s="231"/>
      <c r="Z61" s="232"/>
      <c r="AA61" s="230"/>
      <c r="AB61" s="231"/>
      <c r="AC61" s="232"/>
      <c r="AD61" s="229"/>
      <c r="AE61" s="53"/>
    </row>
    <row r="62" spans="2:31">
      <c r="B62" s="53">
        <f t="shared" si="0"/>
        <v>53</v>
      </c>
      <c r="C62" s="16"/>
      <c r="E62" s="100"/>
      <c r="F62" s="227"/>
      <c r="G62" s="227"/>
      <c r="I62" s="227"/>
      <c r="J62" s="227"/>
      <c r="L62" s="227"/>
      <c r="M62" s="227"/>
      <c r="N62" s="227"/>
      <c r="O62" s="227"/>
      <c r="P62" s="228"/>
      <c r="Q62" s="16"/>
      <c r="T62" s="17"/>
      <c r="U62" s="230"/>
      <c r="V62" s="231"/>
      <c r="W62" s="231"/>
      <c r="X62" s="231"/>
      <c r="Y62" s="231"/>
      <c r="Z62" s="232"/>
      <c r="AA62" s="230"/>
      <c r="AB62" s="231"/>
      <c r="AC62" s="232"/>
      <c r="AD62" s="229"/>
      <c r="AE62" s="53"/>
    </row>
    <row r="63" spans="2:31">
      <c r="B63" s="53">
        <f t="shared" si="0"/>
        <v>54</v>
      </c>
      <c r="C63" s="16"/>
      <c r="E63" s="100"/>
      <c r="F63" s="227"/>
      <c r="G63" s="227"/>
      <c r="I63" s="227"/>
      <c r="J63" s="227"/>
      <c r="L63" s="227"/>
      <c r="M63" s="227"/>
      <c r="N63" s="227"/>
      <c r="O63" s="227"/>
      <c r="P63" s="228"/>
      <c r="Q63" s="16"/>
      <c r="T63" s="17"/>
      <c r="U63" s="230"/>
      <c r="V63" s="231"/>
      <c r="W63" s="231"/>
      <c r="X63" s="231"/>
      <c r="Y63" s="231"/>
      <c r="Z63" s="232"/>
      <c r="AA63" s="230"/>
      <c r="AB63" s="231"/>
      <c r="AC63" s="232"/>
      <c r="AD63" s="229"/>
      <c r="AE63" s="53"/>
    </row>
    <row r="64" spans="2:31">
      <c r="B64" s="53">
        <f t="shared" si="0"/>
        <v>55</v>
      </c>
      <c r="C64" s="16"/>
      <c r="E64" s="100"/>
      <c r="F64" s="227"/>
      <c r="G64" s="227"/>
      <c r="I64" s="227"/>
      <c r="J64" s="227"/>
      <c r="L64" s="227"/>
      <c r="M64" s="227"/>
      <c r="N64" s="227"/>
      <c r="O64" s="227"/>
      <c r="P64" s="228"/>
      <c r="Q64" s="16"/>
      <c r="T64" s="17"/>
      <c r="U64" s="230"/>
      <c r="V64" s="231"/>
      <c r="W64" s="231"/>
      <c r="X64" s="231"/>
      <c r="Y64" s="231"/>
      <c r="Z64" s="232"/>
      <c r="AA64" s="230"/>
      <c r="AB64" s="231"/>
      <c r="AC64" s="232"/>
      <c r="AD64" s="229"/>
      <c r="AE64" s="53"/>
    </row>
    <row r="65" spans="2:31">
      <c r="B65" s="53">
        <f t="shared" si="0"/>
        <v>56</v>
      </c>
      <c r="C65" s="16"/>
      <c r="E65" s="100"/>
      <c r="F65" s="227"/>
      <c r="G65" s="227"/>
      <c r="I65" s="227"/>
      <c r="J65" s="227"/>
      <c r="L65" s="227"/>
      <c r="M65" s="227"/>
      <c r="N65" s="227"/>
      <c r="O65" s="227"/>
      <c r="P65" s="228"/>
      <c r="Q65" s="16"/>
      <c r="T65" s="17"/>
      <c r="U65" s="230"/>
      <c r="V65" s="231"/>
      <c r="W65" s="231"/>
      <c r="X65" s="231"/>
      <c r="Y65" s="231"/>
      <c r="Z65" s="232"/>
      <c r="AA65" s="230"/>
      <c r="AB65" s="231"/>
      <c r="AC65" s="232"/>
      <c r="AD65" s="229"/>
      <c r="AE65" s="53"/>
    </row>
    <row r="66" spans="2:31">
      <c r="B66" s="53">
        <f t="shared" si="0"/>
        <v>57</v>
      </c>
      <c r="C66" s="16"/>
      <c r="E66" s="100"/>
      <c r="F66" s="227"/>
      <c r="G66" s="227"/>
      <c r="I66" s="227"/>
      <c r="J66" s="227"/>
      <c r="L66" s="227"/>
      <c r="M66" s="227"/>
      <c r="N66" s="227"/>
      <c r="O66" s="227"/>
      <c r="P66" s="228"/>
      <c r="Q66" s="16"/>
      <c r="T66" s="17"/>
      <c r="U66" s="230"/>
      <c r="V66" s="231"/>
      <c r="W66" s="231"/>
      <c r="X66" s="231"/>
      <c r="Y66" s="231"/>
      <c r="Z66" s="232"/>
      <c r="AA66" s="230"/>
      <c r="AB66" s="231"/>
      <c r="AC66" s="232"/>
      <c r="AD66" s="229"/>
      <c r="AE66" s="53"/>
    </row>
    <row r="67" spans="2:31">
      <c r="B67" s="53">
        <f t="shared" si="0"/>
        <v>58</v>
      </c>
      <c r="C67" s="16"/>
      <c r="E67" s="100"/>
      <c r="F67" s="227"/>
      <c r="G67" s="227"/>
      <c r="I67" s="227"/>
      <c r="J67" s="227"/>
      <c r="L67" s="227"/>
      <c r="M67" s="227"/>
      <c r="N67" s="227"/>
      <c r="O67" s="227"/>
      <c r="P67" s="228"/>
      <c r="Q67" s="16"/>
      <c r="T67" s="17"/>
      <c r="U67" s="230"/>
      <c r="V67" s="231"/>
      <c r="W67" s="231"/>
      <c r="X67" s="231"/>
      <c r="Y67" s="231"/>
      <c r="Z67" s="232"/>
      <c r="AA67" s="230"/>
      <c r="AB67" s="231"/>
      <c r="AC67" s="232"/>
      <c r="AD67" s="229"/>
      <c r="AE67" s="53"/>
    </row>
    <row r="68" spans="2:31">
      <c r="B68" s="53">
        <f t="shared" si="0"/>
        <v>59</v>
      </c>
      <c r="C68" s="16"/>
      <c r="E68" s="100"/>
      <c r="F68" s="227"/>
      <c r="G68" s="227"/>
      <c r="I68" s="227"/>
      <c r="J68" s="227"/>
      <c r="L68" s="227"/>
      <c r="M68" s="227"/>
      <c r="N68" s="227"/>
      <c r="O68" s="227"/>
      <c r="P68" s="228"/>
      <c r="Q68" s="16"/>
      <c r="T68" s="17"/>
      <c r="U68" s="230"/>
      <c r="V68" s="231"/>
      <c r="W68" s="231"/>
      <c r="X68" s="231"/>
      <c r="Y68" s="231"/>
      <c r="Z68" s="232"/>
      <c r="AA68" s="230"/>
      <c r="AB68" s="231"/>
      <c r="AC68" s="232"/>
      <c r="AD68" s="229"/>
      <c r="AE68" s="53"/>
    </row>
    <row r="69" spans="2:31">
      <c r="B69" s="53">
        <f t="shared" si="0"/>
        <v>60</v>
      </c>
      <c r="C69" s="16"/>
      <c r="E69" s="100"/>
      <c r="F69" s="227"/>
      <c r="G69" s="227"/>
      <c r="I69" s="227"/>
      <c r="J69" s="227"/>
      <c r="L69" s="227"/>
      <c r="M69" s="227"/>
      <c r="N69" s="227"/>
      <c r="O69" s="227"/>
      <c r="P69" s="228"/>
      <c r="Q69" s="16"/>
      <c r="T69" s="17"/>
      <c r="U69" s="230"/>
      <c r="V69" s="231"/>
      <c r="W69" s="231"/>
      <c r="X69" s="231"/>
      <c r="Y69" s="231"/>
      <c r="Z69" s="232"/>
      <c r="AA69" s="230"/>
      <c r="AB69" s="231"/>
      <c r="AC69" s="232"/>
      <c r="AD69" s="229"/>
      <c r="AE69" s="53"/>
    </row>
    <row r="70" spans="2:31">
      <c r="B70" s="53">
        <f t="shared" si="0"/>
        <v>61</v>
      </c>
      <c r="C70" s="16"/>
      <c r="E70" s="100"/>
      <c r="F70" s="227"/>
      <c r="G70" s="227"/>
      <c r="I70" s="227"/>
      <c r="J70" s="227"/>
      <c r="L70" s="227"/>
      <c r="M70" s="227"/>
      <c r="N70" s="227"/>
      <c r="O70" s="227"/>
      <c r="P70" s="228"/>
      <c r="Q70" s="16"/>
      <c r="T70" s="17"/>
      <c r="U70" s="230"/>
      <c r="V70" s="231"/>
      <c r="W70" s="231"/>
      <c r="X70" s="231"/>
      <c r="Y70" s="231"/>
      <c r="Z70" s="232"/>
      <c r="AA70" s="230"/>
      <c r="AB70" s="231"/>
      <c r="AC70" s="232"/>
      <c r="AD70" s="229"/>
      <c r="AE70" s="53"/>
    </row>
    <row r="71" spans="2:31">
      <c r="B71" s="53">
        <f t="shared" si="0"/>
        <v>62</v>
      </c>
      <c r="C71" s="16"/>
      <c r="E71" s="100"/>
      <c r="F71" s="227"/>
      <c r="G71" s="227"/>
      <c r="I71" s="227"/>
      <c r="J71" s="227"/>
      <c r="L71" s="227"/>
      <c r="M71" s="227"/>
      <c r="N71" s="227"/>
      <c r="O71" s="227"/>
      <c r="P71" s="228"/>
      <c r="Q71" s="16"/>
      <c r="T71" s="17"/>
      <c r="U71" s="230"/>
      <c r="V71" s="231"/>
      <c r="W71" s="231"/>
      <c r="X71" s="231"/>
      <c r="Y71" s="231"/>
      <c r="Z71" s="232"/>
      <c r="AA71" s="230"/>
      <c r="AB71" s="231"/>
      <c r="AC71" s="232"/>
      <c r="AD71" s="229"/>
      <c r="AE71" s="53"/>
    </row>
    <row r="72" spans="2:31">
      <c r="B72" s="53">
        <f t="shared" si="0"/>
        <v>63</v>
      </c>
      <c r="C72" s="16"/>
      <c r="E72" s="100"/>
      <c r="F72" s="227"/>
      <c r="G72" s="227"/>
      <c r="I72" s="227"/>
      <c r="J72" s="227"/>
      <c r="L72" s="227"/>
      <c r="M72" s="227"/>
      <c r="N72" s="227"/>
      <c r="O72" s="227"/>
      <c r="P72" s="228"/>
      <c r="Q72" s="16"/>
      <c r="T72" s="17"/>
      <c r="U72" s="230"/>
      <c r="V72" s="231"/>
      <c r="W72" s="231"/>
      <c r="X72" s="231"/>
      <c r="Y72" s="231"/>
      <c r="Z72" s="232"/>
      <c r="AA72" s="230"/>
      <c r="AB72" s="231"/>
      <c r="AC72" s="232"/>
      <c r="AD72" s="229"/>
      <c r="AE72" s="53"/>
    </row>
    <row r="73" spans="2:31">
      <c r="B73" s="53">
        <f t="shared" si="0"/>
        <v>64</v>
      </c>
      <c r="C73" s="16"/>
      <c r="E73" s="100"/>
      <c r="F73" s="227"/>
      <c r="G73" s="227"/>
      <c r="I73" s="227"/>
      <c r="J73" s="227"/>
      <c r="L73" s="227"/>
      <c r="M73" s="227"/>
      <c r="N73" s="227"/>
      <c r="O73" s="227"/>
      <c r="P73" s="228"/>
      <c r="Q73" s="16"/>
      <c r="T73" s="17"/>
      <c r="U73" s="230"/>
      <c r="V73" s="231"/>
      <c r="W73" s="231"/>
      <c r="X73" s="231"/>
      <c r="Y73" s="231"/>
      <c r="Z73" s="232"/>
      <c r="AA73" s="230"/>
      <c r="AB73" s="231"/>
      <c r="AC73" s="232"/>
      <c r="AD73" s="229"/>
      <c r="AE73" s="53"/>
    </row>
    <row r="74" spans="2:31">
      <c r="B74" s="53">
        <f t="shared" si="0"/>
        <v>65</v>
      </c>
      <c r="C74" s="16"/>
      <c r="E74" s="100"/>
      <c r="F74" s="227"/>
      <c r="G74" s="227"/>
      <c r="I74" s="227"/>
      <c r="J74" s="227"/>
      <c r="L74" s="227"/>
      <c r="M74" s="227"/>
      <c r="N74" s="227"/>
      <c r="O74" s="227"/>
      <c r="P74" s="228"/>
      <c r="Q74" s="16"/>
      <c r="T74" s="17"/>
      <c r="U74" s="230"/>
      <c r="V74" s="231"/>
      <c r="W74" s="231"/>
      <c r="X74" s="231"/>
      <c r="Y74" s="231"/>
      <c r="Z74" s="232"/>
      <c r="AA74" s="230"/>
      <c r="AB74" s="231"/>
      <c r="AC74" s="232"/>
      <c r="AD74" s="229"/>
      <c r="AE74" s="53"/>
    </row>
    <row r="75" spans="2:31">
      <c r="B75" s="53">
        <f t="shared" ref="B75:B109" si="1">+B74+1</f>
        <v>66</v>
      </c>
      <c r="C75" s="16"/>
      <c r="E75" s="100"/>
      <c r="F75" s="227"/>
      <c r="G75" s="227"/>
      <c r="I75" s="227"/>
      <c r="J75" s="227"/>
      <c r="L75" s="227"/>
      <c r="M75" s="227"/>
      <c r="N75" s="227"/>
      <c r="O75" s="227"/>
      <c r="P75" s="228"/>
      <c r="Q75" s="16"/>
      <c r="T75" s="17"/>
      <c r="U75" s="230"/>
      <c r="V75" s="231"/>
      <c r="W75" s="231"/>
      <c r="X75" s="231"/>
      <c r="Y75" s="231"/>
      <c r="Z75" s="232"/>
      <c r="AA75" s="230"/>
      <c r="AB75" s="231"/>
      <c r="AC75" s="232"/>
      <c r="AD75" s="229"/>
      <c r="AE75" s="53"/>
    </row>
    <row r="76" spans="2:31">
      <c r="B76" s="53">
        <f t="shared" si="1"/>
        <v>67</v>
      </c>
      <c r="C76" s="16"/>
      <c r="E76" s="100"/>
      <c r="F76" s="227"/>
      <c r="G76" s="227"/>
      <c r="I76" s="227"/>
      <c r="J76" s="227"/>
      <c r="L76" s="227"/>
      <c r="M76" s="227"/>
      <c r="N76" s="227"/>
      <c r="O76" s="227"/>
      <c r="P76" s="228"/>
      <c r="Q76" s="16"/>
      <c r="T76" s="17"/>
      <c r="U76" s="230"/>
      <c r="V76" s="231"/>
      <c r="W76" s="231"/>
      <c r="X76" s="231"/>
      <c r="Y76" s="231"/>
      <c r="Z76" s="232"/>
      <c r="AA76" s="230"/>
      <c r="AB76" s="231"/>
      <c r="AC76" s="232"/>
      <c r="AD76" s="229"/>
      <c r="AE76" s="53"/>
    </row>
    <row r="77" spans="2:31">
      <c r="B77" s="53">
        <f t="shared" si="1"/>
        <v>68</v>
      </c>
      <c r="C77" s="16"/>
      <c r="E77" s="100"/>
      <c r="F77" s="227"/>
      <c r="G77" s="227"/>
      <c r="I77" s="227"/>
      <c r="J77" s="227"/>
      <c r="L77" s="227"/>
      <c r="M77" s="227"/>
      <c r="N77" s="227"/>
      <c r="O77" s="227"/>
      <c r="P77" s="228"/>
      <c r="Q77" s="16"/>
      <c r="T77" s="17"/>
      <c r="U77" s="230"/>
      <c r="V77" s="231"/>
      <c r="W77" s="231"/>
      <c r="X77" s="231"/>
      <c r="Y77" s="231"/>
      <c r="Z77" s="232"/>
      <c r="AA77" s="230"/>
      <c r="AB77" s="231"/>
      <c r="AC77" s="232"/>
      <c r="AD77" s="229"/>
      <c r="AE77" s="53"/>
    </row>
    <row r="78" spans="2:31">
      <c r="B78" s="53">
        <f t="shared" si="1"/>
        <v>69</v>
      </c>
      <c r="C78" s="16"/>
      <c r="E78" s="100"/>
      <c r="F78" s="227"/>
      <c r="G78" s="227"/>
      <c r="I78" s="227"/>
      <c r="J78" s="227"/>
      <c r="L78" s="227"/>
      <c r="M78" s="227"/>
      <c r="N78" s="227"/>
      <c r="O78" s="227"/>
      <c r="P78" s="228"/>
      <c r="Q78" s="16"/>
      <c r="T78" s="17"/>
      <c r="U78" s="230"/>
      <c r="V78" s="231"/>
      <c r="W78" s="231"/>
      <c r="X78" s="231"/>
      <c r="Y78" s="231"/>
      <c r="Z78" s="232"/>
      <c r="AA78" s="230"/>
      <c r="AB78" s="231"/>
      <c r="AC78" s="232"/>
      <c r="AD78" s="229"/>
      <c r="AE78" s="53"/>
    </row>
    <row r="79" spans="2:31">
      <c r="B79" s="53">
        <f t="shared" si="1"/>
        <v>70</v>
      </c>
      <c r="C79" s="16"/>
      <c r="E79" s="100"/>
      <c r="F79" s="227"/>
      <c r="G79" s="227"/>
      <c r="I79" s="227"/>
      <c r="J79" s="227"/>
      <c r="L79" s="227"/>
      <c r="M79" s="227"/>
      <c r="N79" s="227"/>
      <c r="O79" s="227"/>
      <c r="P79" s="228"/>
      <c r="Q79" s="16"/>
      <c r="T79" s="17"/>
      <c r="U79" s="230"/>
      <c r="V79" s="231"/>
      <c r="W79" s="231"/>
      <c r="X79" s="231"/>
      <c r="Y79" s="231"/>
      <c r="Z79" s="232"/>
      <c r="AA79" s="230"/>
      <c r="AB79" s="231"/>
      <c r="AC79" s="232"/>
      <c r="AD79" s="229"/>
      <c r="AE79" s="53"/>
    </row>
    <row r="80" spans="2:31">
      <c r="B80" s="53">
        <f t="shared" si="1"/>
        <v>71</v>
      </c>
      <c r="C80" s="16"/>
      <c r="E80" s="100"/>
      <c r="F80" s="227"/>
      <c r="G80" s="227"/>
      <c r="I80" s="227"/>
      <c r="J80" s="227"/>
      <c r="L80" s="227"/>
      <c r="M80" s="227"/>
      <c r="N80" s="227"/>
      <c r="O80" s="227"/>
      <c r="P80" s="228"/>
      <c r="Q80" s="16"/>
      <c r="T80" s="17"/>
      <c r="U80" s="230"/>
      <c r="V80" s="231"/>
      <c r="W80" s="231"/>
      <c r="X80" s="231"/>
      <c r="Y80" s="231"/>
      <c r="Z80" s="232"/>
      <c r="AA80" s="230"/>
      <c r="AB80" s="231"/>
      <c r="AC80" s="232"/>
      <c r="AD80" s="229"/>
      <c r="AE80" s="53"/>
    </row>
    <row r="81" spans="2:31">
      <c r="B81" s="53">
        <f t="shared" si="1"/>
        <v>72</v>
      </c>
      <c r="C81" s="16"/>
      <c r="E81" s="100"/>
      <c r="F81" s="227"/>
      <c r="G81" s="227"/>
      <c r="I81" s="227"/>
      <c r="J81" s="227"/>
      <c r="L81" s="227"/>
      <c r="M81" s="227"/>
      <c r="N81" s="227"/>
      <c r="O81" s="227"/>
      <c r="P81" s="228"/>
      <c r="Q81" s="16"/>
      <c r="T81" s="17"/>
      <c r="U81" s="230"/>
      <c r="V81" s="231"/>
      <c r="W81" s="231"/>
      <c r="X81" s="231"/>
      <c r="Y81" s="231"/>
      <c r="Z81" s="232"/>
      <c r="AA81" s="230"/>
      <c r="AB81" s="231"/>
      <c r="AC81" s="232"/>
      <c r="AD81" s="229"/>
      <c r="AE81" s="53"/>
    </row>
    <row r="82" spans="2:31">
      <c r="B82" s="53">
        <f t="shared" si="1"/>
        <v>73</v>
      </c>
      <c r="C82" s="16"/>
      <c r="E82" s="100"/>
      <c r="F82" s="227"/>
      <c r="G82" s="227"/>
      <c r="I82" s="227"/>
      <c r="J82" s="227"/>
      <c r="L82" s="227"/>
      <c r="M82" s="227"/>
      <c r="N82" s="227"/>
      <c r="O82" s="227"/>
      <c r="P82" s="228"/>
      <c r="Q82" s="16"/>
      <c r="T82" s="17"/>
      <c r="U82" s="230"/>
      <c r="V82" s="231"/>
      <c r="W82" s="231"/>
      <c r="X82" s="231"/>
      <c r="Y82" s="231"/>
      <c r="Z82" s="232"/>
      <c r="AA82" s="230"/>
      <c r="AB82" s="231"/>
      <c r="AC82" s="232"/>
      <c r="AD82" s="229"/>
      <c r="AE82" s="53"/>
    </row>
    <row r="83" spans="2:31">
      <c r="B83" s="53">
        <f t="shared" si="1"/>
        <v>74</v>
      </c>
      <c r="C83" s="16"/>
      <c r="E83" s="100"/>
      <c r="F83" s="227"/>
      <c r="G83" s="227"/>
      <c r="I83" s="227"/>
      <c r="J83" s="227"/>
      <c r="L83" s="227"/>
      <c r="M83" s="227"/>
      <c r="N83" s="227"/>
      <c r="O83" s="227"/>
      <c r="P83" s="228"/>
      <c r="Q83" s="16"/>
      <c r="T83" s="17"/>
      <c r="U83" s="230"/>
      <c r="V83" s="231"/>
      <c r="W83" s="231"/>
      <c r="X83" s="231"/>
      <c r="Y83" s="231"/>
      <c r="Z83" s="232"/>
      <c r="AA83" s="230"/>
      <c r="AB83" s="231"/>
      <c r="AC83" s="232"/>
      <c r="AD83" s="229"/>
      <c r="AE83" s="53"/>
    </row>
    <row r="84" spans="2:31">
      <c r="B84" s="53">
        <f t="shared" si="1"/>
        <v>75</v>
      </c>
      <c r="C84" s="16"/>
      <c r="E84" s="100"/>
      <c r="F84" s="227"/>
      <c r="G84" s="227"/>
      <c r="I84" s="227"/>
      <c r="J84" s="227"/>
      <c r="L84" s="227"/>
      <c r="M84" s="227"/>
      <c r="N84" s="227"/>
      <c r="O84" s="227"/>
      <c r="P84" s="228"/>
      <c r="Q84" s="16"/>
      <c r="T84" s="17"/>
      <c r="U84" s="230"/>
      <c r="V84" s="231"/>
      <c r="W84" s="231"/>
      <c r="X84" s="231"/>
      <c r="Y84" s="231"/>
      <c r="Z84" s="232"/>
      <c r="AA84" s="230"/>
      <c r="AB84" s="231"/>
      <c r="AC84" s="232"/>
      <c r="AD84" s="229"/>
      <c r="AE84" s="53"/>
    </row>
    <row r="85" spans="2:31">
      <c r="B85" s="53">
        <f t="shared" si="1"/>
        <v>76</v>
      </c>
      <c r="C85" s="16"/>
      <c r="E85" s="100"/>
      <c r="F85" s="227"/>
      <c r="G85" s="227"/>
      <c r="I85" s="227"/>
      <c r="J85" s="227"/>
      <c r="L85" s="227"/>
      <c r="M85" s="227"/>
      <c r="N85" s="227"/>
      <c r="O85" s="227"/>
      <c r="P85" s="228"/>
      <c r="Q85" s="16"/>
      <c r="T85" s="17"/>
      <c r="U85" s="230"/>
      <c r="V85" s="231"/>
      <c r="W85" s="231"/>
      <c r="X85" s="231"/>
      <c r="Y85" s="231"/>
      <c r="Z85" s="232"/>
      <c r="AA85" s="230"/>
      <c r="AB85" s="231"/>
      <c r="AC85" s="232"/>
      <c r="AD85" s="229"/>
      <c r="AE85" s="53"/>
    </row>
    <row r="86" spans="2:31">
      <c r="B86" s="53">
        <f t="shared" si="1"/>
        <v>77</v>
      </c>
      <c r="C86" s="16"/>
      <c r="E86" s="100"/>
      <c r="F86" s="227"/>
      <c r="G86" s="227"/>
      <c r="I86" s="227"/>
      <c r="J86" s="227"/>
      <c r="L86" s="227"/>
      <c r="M86" s="227"/>
      <c r="N86" s="227"/>
      <c r="O86" s="227"/>
      <c r="P86" s="228"/>
      <c r="Q86" s="16"/>
      <c r="T86" s="17"/>
      <c r="U86" s="230"/>
      <c r="V86" s="231"/>
      <c r="W86" s="231"/>
      <c r="X86" s="231"/>
      <c r="Y86" s="231"/>
      <c r="Z86" s="232"/>
      <c r="AA86" s="230"/>
      <c r="AB86" s="231"/>
      <c r="AC86" s="232"/>
      <c r="AD86" s="229"/>
      <c r="AE86" s="53"/>
    </row>
    <row r="87" spans="2:31">
      <c r="B87" s="53">
        <f t="shared" si="1"/>
        <v>78</v>
      </c>
      <c r="C87" s="16"/>
      <c r="E87" s="100"/>
      <c r="F87" s="227"/>
      <c r="G87" s="227"/>
      <c r="I87" s="227"/>
      <c r="J87" s="227"/>
      <c r="L87" s="227"/>
      <c r="M87" s="227"/>
      <c r="N87" s="227"/>
      <c r="O87" s="227"/>
      <c r="P87" s="228"/>
      <c r="Q87" s="16"/>
      <c r="T87" s="17"/>
      <c r="U87" s="230"/>
      <c r="V87" s="231"/>
      <c r="W87" s="231"/>
      <c r="X87" s="231"/>
      <c r="Y87" s="231"/>
      <c r="Z87" s="232"/>
      <c r="AA87" s="230"/>
      <c r="AB87" s="231"/>
      <c r="AC87" s="232"/>
      <c r="AD87" s="229"/>
      <c r="AE87" s="53"/>
    </row>
    <row r="88" spans="2:31">
      <c r="B88" s="53">
        <f t="shared" si="1"/>
        <v>79</v>
      </c>
      <c r="C88" s="16"/>
      <c r="E88" s="100"/>
      <c r="F88" s="227"/>
      <c r="G88" s="227"/>
      <c r="I88" s="227"/>
      <c r="J88" s="227"/>
      <c r="L88" s="227"/>
      <c r="M88" s="227"/>
      <c r="N88" s="227"/>
      <c r="O88" s="227"/>
      <c r="P88" s="228"/>
      <c r="Q88" s="16"/>
      <c r="T88" s="17"/>
      <c r="U88" s="230"/>
      <c r="V88" s="231"/>
      <c r="W88" s="231"/>
      <c r="X88" s="231"/>
      <c r="Y88" s="231"/>
      <c r="Z88" s="232"/>
      <c r="AA88" s="230"/>
      <c r="AB88" s="231"/>
      <c r="AC88" s="232"/>
      <c r="AD88" s="229"/>
      <c r="AE88" s="53"/>
    </row>
    <row r="89" spans="2:31">
      <c r="B89" s="53">
        <f t="shared" si="1"/>
        <v>80</v>
      </c>
      <c r="C89" s="16"/>
      <c r="E89" s="100"/>
      <c r="F89" s="227"/>
      <c r="G89" s="227"/>
      <c r="I89" s="227"/>
      <c r="J89" s="227"/>
      <c r="L89" s="227"/>
      <c r="M89" s="227"/>
      <c r="N89" s="227"/>
      <c r="O89" s="227"/>
      <c r="P89" s="228"/>
      <c r="Q89" s="16"/>
      <c r="T89" s="17"/>
      <c r="U89" s="230"/>
      <c r="V89" s="231"/>
      <c r="W89" s="231"/>
      <c r="X89" s="231"/>
      <c r="Y89" s="231"/>
      <c r="Z89" s="232"/>
      <c r="AA89" s="230"/>
      <c r="AB89" s="231"/>
      <c r="AC89" s="232"/>
      <c r="AD89" s="229"/>
      <c r="AE89" s="53"/>
    </row>
    <row r="90" spans="2:31">
      <c r="B90" s="53">
        <f t="shared" si="1"/>
        <v>81</v>
      </c>
      <c r="C90" s="16"/>
      <c r="E90" s="100"/>
      <c r="F90" s="227"/>
      <c r="G90" s="227"/>
      <c r="I90" s="227"/>
      <c r="J90" s="227"/>
      <c r="L90" s="227"/>
      <c r="M90" s="227"/>
      <c r="N90" s="227"/>
      <c r="O90" s="227"/>
      <c r="P90" s="228"/>
      <c r="Q90" s="16"/>
      <c r="T90" s="17"/>
      <c r="U90" s="230"/>
      <c r="V90" s="231"/>
      <c r="W90" s="231"/>
      <c r="X90" s="231"/>
      <c r="Y90" s="231"/>
      <c r="Z90" s="232"/>
      <c r="AA90" s="230"/>
      <c r="AB90" s="231"/>
      <c r="AC90" s="232"/>
      <c r="AD90" s="229"/>
      <c r="AE90" s="53"/>
    </row>
    <row r="91" spans="2:31">
      <c r="B91" s="53">
        <f t="shared" si="1"/>
        <v>82</v>
      </c>
      <c r="C91" s="16"/>
      <c r="E91" s="100"/>
      <c r="F91" s="227"/>
      <c r="G91" s="227"/>
      <c r="I91" s="227"/>
      <c r="J91" s="227"/>
      <c r="L91" s="227"/>
      <c r="M91" s="227"/>
      <c r="N91" s="227"/>
      <c r="O91" s="227"/>
      <c r="P91" s="228"/>
      <c r="Q91" s="16"/>
      <c r="T91" s="17"/>
      <c r="U91" s="230"/>
      <c r="V91" s="231"/>
      <c r="W91" s="231"/>
      <c r="X91" s="231"/>
      <c r="Y91" s="231"/>
      <c r="Z91" s="232"/>
      <c r="AA91" s="230"/>
      <c r="AB91" s="231"/>
      <c r="AC91" s="232"/>
      <c r="AD91" s="229"/>
      <c r="AE91" s="53"/>
    </row>
    <row r="92" spans="2:31">
      <c r="B92" s="53">
        <f t="shared" si="1"/>
        <v>83</v>
      </c>
      <c r="C92" s="16"/>
      <c r="E92" s="100"/>
      <c r="F92" s="227"/>
      <c r="G92" s="227"/>
      <c r="I92" s="227"/>
      <c r="J92" s="227"/>
      <c r="L92" s="227"/>
      <c r="M92" s="227"/>
      <c r="N92" s="227"/>
      <c r="O92" s="227"/>
      <c r="P92" s="228"/>
      <c r="Q92" s="16"/>
      <c r="T92" s="17"/>
      <c r="U92" s="230"/>
      <c r="V92" s="231"/>
      <c r="W92" s="231"/>
      <c r="X92" s="231"/>
      <c r="Y92" s="231"/>
      <c r="Z92" s="232"/>
      <c r="AA92" s="230"/>
      <c r="AB92" s="231"/>
      <c r="AC92" s="232"/>
      <c r="AD92" s="229"/>
      <c r="AE92" s="53"/>
    </row>
    <row r="93" spans="2:31">
      <c r="B93" s="53">
        <f t="shared" si="1"/>
        <v>84</v>
      </c>
      <c r="C93" s="16"/>
      <c r="E93" s="100"/>
      <c r="F93" s="227"/>
      <c r="G93" s="227"/>
      <c r="I93" s="227"/>
      <c r="J93" s="227"/>
      <c r="L93" s="227"/>
      <c r="M93" s="227"/>
      <c r="N93" s="227"/>
      <c r="O93" s="227"/>
      <c r="P93" s="228"/>
      <c r="Q93" s="16"/>
      <c r="T93" s="17"/>
      <c r="U93" s="230"/>
      <c r="V93" s="231"/>
      <c r="W93" s="231"/>
      <c r="X93" s="231"/>
      <c r="Y93" s="231"/>
      <c r="Z93" s="232"/>
      <c r="AA93" s="230"/>
      <c r="AB93" s="231"/>
      <c r="AC93" s="232"/>
      <c r="AD93" s="229"/>
      <c r="AE93" s="53"/>
    </row>
    <row r="94" spans="2:31">
      <c r="B94" s="53">
        <f t="shared" si="1"/>
        <v>85</v>
      </c>
      <c r="C94" s="16"/>
      <c r="E94" s="100"/>
      <c r="F94" s="227"/>
      <c r="G94" s="227"/>
      <c r="I94" s="227"/>
      <c r="J94" s="227"/>
      <c r="L94" s="227"/>
      <c r="M94" s="227"/>
      <c r="N94" s="227"/>
      <c r="O94" s="227"/>
      <c r="P94" s="228"/>
      <c r="Q94" s="16"/>
      <c r="T94" s="17"/>
      <c r="U94" s="230"/>
      <c r="V94" s="231"/>
      <c r="W94" s="231"/>
      <c r="X94" s="231"/>
      <c r="Y94" s="231"/>
      <c r="Z94" s="232"/>
      <c r="AA94" s="230"/>
      <c r="AB94" s="231"/>
      <c r="AC94" s="232"/>
      <c r="AD94" s="229"/>
      <c r="AE94" s="53"/>
    </row>
    <row r="95" spans="2:31">
      <c r="B95" s="53">
        <f t="shared" si="1"/>
        <v>86</v>
      </c>
      <c r="C95" s="16"/>
      <c r="E95" s="100"/>
      <c r="F95" s="227"/>
      <c r="G95" s="227"/>
      <c r="I95" s="227"/>
      <c r="J95" s="227"/>
      <c r="L95" s="227"/>
      <c r="M95" s="227"/>
      <c r="N95" s="227"/>
      <c r="O95" s="227"/>
      <c r="P95" s="228"/>
      <c r="Q95" s="16"/>
      <c r="T95" s="17"/>
      <c r="U95" s="230"/>
      <c r="V95" s="231"/>
      <c r="W95" s="231"/>
      <c r="X95" s="231"/>
      <c r="Y95" s="231"/>
      <c r="Z95" s="232"/>
      <c r="AA95" s="230"/>
      <c r="AB95" s="231"/>
      <c r="AC95" s="232"/>
      <c r="AD95" s="229"/>
      <c r="AE95" s="53"/>
    </row>
    <row r="96" spans="2:31">
      <c r="B96" s="53">
        <f t="shared" si="1"/>
        <v>87</v>
      </c>
      <c r="C96" s="16"/>
      <c r="E96" s="100"/>
      <c r="F96" s="227"/>
      <c r="G96" s="227"/>
      <c r="I96" s="227"/>
      <c r="J96" s="227"/>
      <c r="L96" s="227"/>
      <c r="M96" s="227"/>
      <c r="N96" s="227"/>
      <c r="O96" s="227"/>
      <c r="P96" s="228"/>
      <c r="Q96" s="16"/>
      <c r="T96" s="17"/>
      <c r="U96" s="230"/>
      <c r="V96" s="231"/>
      <c r="W96" s="231"/>
      <c r="X96" s="231"/>
      <c r="Y96" s="231"/>
      <c r="Z96" s="232"/>
      <c r="AA96" s="230"/>
      <c r="AB96" s="231"/>
      <c r="AC96" s="232"/>
      <c r="AD96" s="229"/>
      <c r="AE96" s="53"/>
    </row>
    <row r="97" spans="2:31">
      <c r="B97" s="53">
        <f t="shared" si="1"/>
        <v>88</v>
      </c>
      <c r="C97" s="16"/>
      <c r="E97" s="100"/>
      <c r="F97" s="227"/>
      <c r="G97" s="227"/>
      <c r="I97" s="227"/>
      <c r="J97" s="227"/>
      <c r="L97" s="227"/>
      <c r="M97" s="227"/>
      <c r="N97" s="227"/>
      <c r="O97" s="227"/>
      <c r="P97" s="228"/>
      <c r="Q97" s="16"/>
      <c r="T97" s="17"/>
      <c r="U97" s="230"/>
      <c r="V97" s="231"/>
      <c r="W97" s="231"/>
      <c r="X97" s="231"/>
      <c r="Y97" s="231"/>
      <c r="Z97" s="232"/>
      <c r="AA97" s="230"/>
      <c r="AB97" s="231"/>
      <c r="AC97" s="232"/>
      <c r="AD97" s="229"/>
      <c r="AE97" s="53"/>
    </row>
    <row r="98" spans="2:31">
      <c r="B98" s="53">
        <f t="shared" si="1"/>
        <v>89</v>
      </c>
      <c r="C98" s="16"/>
      <c r="E98" s="100"/>
      <c r="F98" s="227"/>
      <c r="G98" s="227"/>
      <c r="I98" s="227"/>
      <c r="J98" s="227"/>
      <c r="L98" s="227"/>
      <c r="M98" s="227"/>
      <c r="N98" s="227"/>
      <c r="O98" s="227"/>
      <c r="P98" s="228"/>
      <c r="Q98" s="16"/>
      <c r="T98" s="17"/>
      <c r="U98" s="230"/>
      <c r="V98" s="231"/>
      <c r="W98" s="231"/>
      <c r="X98" s="231"/>
      <c r="Y98" s="231"/>
      <c r="Z98" s="232"/>
      <c r="AA98" s="230"/>
      <c r="AB98" s="231"/>
      <c r="AC98" s="232"/>
      <c r="AD98" s="229"/>
      <c r="AE98" s="53"/>
    </row>
    <row r="99" spans="2:31">
      <c r="B99" s="53">
        <f t="shared" si="1"/>
        <v>90</v>
      </c>
      <c r="C99" s="16"/>
      <c r="E99" s="100"/>
      <c r="F99" s="227"/>
      <c r="G99" s="227"/>
      <c r="I99" s="227"/>
      <c r="J99" s="227"/>
      <c r="L99" s="227"/>
      <c r="M99" s="227"/>
      <c r="N99" s="227"/>
      <c r="O99" s="227"/>
      <c r="P99" s="228"/>
      <c r="Q99" s="16"/>
      <c r="T99" s="17"/>
      <c r="U99" s="230"/>
      <c r="V99" s="231"/>
      <c r="W99" s="231"/>
      <c r="X99" s="231"/>
      <c r="Y99" s="231"/>
      <c r="Z99" s="232"/>
      <c r="AA99" s="230"/>
      <c r="AB99" s="231"/>
      <c r="AC99" s="232"/>
      <c r="AD99" s="229"/>
      <c r="AE99" s="53"/>
    </row>
    <row r="100" spans="2:31">
      <c r="B100" s="53">
        <f t="shared" si="1"/>
        <v>91</v>
      </c>
      <c r="C100" s="16"/>
      <c r="E100" s="100"/>
      <c r="F100" s="227"/>
      <c r="G100" s="227"/>
      <c r="I100" s="227"/>
      <c r="J100" s="227"/>
      <c r="L100" s="227"/>
      <c r="M100" s="227"/>
      <c r="N100" s="227"/>
      <c r="O100" s="227"/>
      <c r="P100" s="228"/>
      <c r="Q100" s="16"/>
      <c r="T100" s="17"/>
      <c r="U100" s="230"/>
      <c r="V100" s="231"/>
      <c r="W100" s="231"/>
      <c r="X100" s="231"/>
      <c r="Y100" s="231"/>
      <c r="Z100" s="232"/>
      <c r="AA100" s="230"/>
      <c r="AB100" s="231"/>
      <c r="AC100" s="232"/>
      <c r="AD100" s="229"/>
      <c r="AE100" s="53"/>
    </row>
    <row r="101" spans="2:31">
      <c r="B101" s="53">
        <f t="shared" si="1"/>
        <v>92</v>
      </c>
      <c r="C101" s="16"/>
      <c r="E101" s="100"/>
      <c r="F101" s="227"/>
      <c r="G101" s="227"/>
      <c r="I101" s="227"/>
      <c r="J101" s="227"/>
      <c r="L101" s="227"/>
      <c r="M101" s="227"/>
      <c r="N101" s="227"/>
      <c r="O101" s="227"/>
      <c r="P101" s="228"/>
      <c r="Q101" s="16"/>
      <c r="T101" s="17"/>
      <c r="U101" s="230"/>
      <c r="V101" s="231"/>
      <c r="W101" s="231"/>
      <c r="X101" s="231"/>
      <c r="Y101" s="231"/>
      <c r="Z101" s="232"/>
      <c r="AA101" s="230"/>
      <c r="AB101" s="231"/>
      <c r="AC101" s="232"/>
      <c r="AD101" s="229"/>
      <c r="AE101" s="53"/>
    </row>
    <row r="102" spans="2:31">
      <c r="B102" s="53">
        <f t="shared" si="1"/>
        <v>93</v>
      </c>
      <c r="C102" s="16"/>
      <c r="E102" s="100"/>
      <c r="F102" s="227"/>
      <c r="G102" s="227"/>
      <c r="I102" s="227"/>
      <c r="J102" s="227"/>
      <c r="L102" s="227"/>
      <c r="M102" s="227"/>
      <c r="N102" s="227"/>
      <c r="O102" s="227"/>
      <c r="P102" s="228"/>
      <c r="Q102" s="16"/>
      <c r="T102" s="17"/>
      <c r="U102" s="230"/>
      <c r="V102" s="231"/>
      <c r="W102" s="231"/>
      <c r="X102" s="231"/>
      <c r="Y102" s="231"/>
      <c r="Z102" s="232"/>
      <c r="AA102" s="230"/>
      <c r="AB102" s="231"/>
      <c r="AC102" s="232"/>
      <c r="AD102" s="229"/>
      <c r="AE102" s="53"/>
    </row>
    <row r="103" spans="2:31">
      <c r="B103" s="53">
        <f t="shared" si="1"/>
        <v>94</v>
      </c>
      <c r="C103" s="16"/>
      <c r="E103" s="100"/>
      <c r="F103" s="227"/>
      <c r="G103" s="227"/>
      <c r="I103" s="227"/>
      <c r="J103" s="227"/>
      <c r="L103" s="227"/>
      <c r="M103" s="227"/>
      <c r="N103" s="227"/>
      <c r="O103" s="227"/>
      <c r="P103" s="228"/>
      <c r="Q103" s="16"/>
      <c r="T103" s="17"/>
      <c r="U103" s="230"/>
      <c r="V103" s="231"/>
      <c r="W103" s="231"/>
      <c r="X103" s="231"/>
      <c r="Y103" s="231"/>
      <c r="Z103" s="232"/>
      <c r="AA103" s="230"/>
      <c r="AB103" s="231"/>
      <c r="AC103" s="232"/>
      <c r="AD103" s="229"/>
      <c r="AE103" s="53"/>
    </row>
    <row r="104" spans="2:31">
      <c r="B104" s="53">
        <f t="shared" si="1"/>
        <v>95</v>
      </c>
      <c r="C104" s="16"/>
      <c r="E104" s="100"/>
      <c r="F104" s="227"/>
      <c r="G104" s="227"/>
      <c r="I104" s="227"/>
      <c r="J104" s="227"/>
      <c r="L104" s="227"/>
      <c r="M104" s="227"/>
      <c r="N104" s="227"/>
      <c r="O104" s="227"/>
      <c r="P104" s="228"/>
      <c r="Q104" s="16"/>
      <c r="T104" s="17"/>
      <c r="U104" s="230"/>
      <c r="V104" s="231"/>
      <c r="W104" s="231"/>
      <c r="X104" s="231"/>
      <c r="Y104" s="231"/>
      <c r="Z104" s="232"/>
      <c r="AA104" s="230"/>
      <c r="AB104" s="231"/>
      <c r="AC104" s="232"/>
      <c r="AD104" s="229"/>
      <c r="AE104" s="53"/>
    </row>
    <row r="105" spans="2:31">
      <c r="B105" s="53">
        <f t="shared" si="1"/>
        <v>96</v>
      </c>
      <c r="C105" s="16"/>
      <c r="E105" s="100"/>
      <c r="F105" s="227"/>
      <c r="G105" s="227"/>
      <c r="I105" s="227"/>
      <c r="J105" s="227"/>
      <c r="L105" s="227"/>
      <c r="M105" s="227"/>
      <c r="N105" s="227"/>
      <c r="O105" s="227"/>
      <c r="P105" s="228"/>
      <c r="Q105" s="16"/>
      <c r="T105" s="17"/>
      <c r="U105" s="230"/>
      <c r="V105" s="231"/>
      <c r="W105" s="231"/>
      <c r="X105" s="231"/>
      <c r="Y105" s="231"/>
      <c r="Z105" s="232"/>
      <c r="AA105" s="230"/>
      <c r="AB105" s="231"/>
      <c r="AC105" s="232"/>
      <c r="AD105" s="229"/>
      <c r="AE105" s="53"/>
    </row>
    <row r="106" spans="2:31">
      <c r="B106" s="53">
        <f t="shared" si="1"/>
        <v>97</v>
      </c>
      <c r="C106" s="16"/>
      <c r="E106" s="100"/>
      <c r="F106" s="227"/>
      <c r="G106" s="227"/>
      <c r="I106" s="227"/>
      <c r="J106" s="227"/>
      <c r="L106" s="227"/>
      <c r="M106" s="227"/>
      <c r="N106" s="227"/>
      <c r="O106" s="227"/>
      <c r="P106" s="228"/>
      <c r="Q106" s="16"/>
      <c r="T106" s="17"/>
      <c r="U106" s="230"/>
      <c r="V106" s="231"/>
      <c r="W106" s="231"/>
      <c r="X106" s="231"/>
      <c r="Y106" s="231"/>
      <c r="Z106" s="232"/>
      <c r="AA106" s="230"/>
      <c r="AB106" s="231"/>
      <c r="AC106" s="232"/>
      <c r="AD106" s="229"/>
      <c r="AE106" s="53"/>
    </row>
    <row r="107" spans="2:31">
      <c r="B107" s="53">
        <f t="shared" si="1"/>
        <v>98</v>
      </c>
      <c r="C107" s="16"/>
      <c r="E107" s="100"/>
      <c r="F107" s="227"/>
      <c r="G107" s="227"/>
      <c r="I107" s="227"/>
      <c r="J107" s="227"/>
      <c r="L107" s="227"/>
      <c r="M107" s="227"/>
      <c r="N107" s="227"/>
      <c r="O107" s="227"/>
      <c r="P107" s="228"/>
      <c r="Q107" s="16"/>
      <c r="T107" s="17"/>
      <c r="U107" s="230"/>
      <c r="V107" s="231"/>
      <c r="W107" s="231"/>
      <c r="X107" s="231"/>
      <c r="Y107" s="231"/>
      <c r="Z107" s="232"/>
      <c r="AA107" s="230"/>
      <c r="AB107" s="231"/>
      <c r="AC107" s="232"/>
      <c r="AD107" s="229"/>
      <c r="AE107" s="53"/>
    </row>
    <row r="108" spans="2:31">
      <c r="B108" s="53">
        <f t="shared" si="1"/>
        <v>99</v>
      </c>
      <c r="C108" s="16"/>
      <c r="E108" s="100"/>
      <c r="F108" s="227"/>
      <c r="G108" s="227"/>
      <c r="I108" s="227"/>
      <c r="J108" s="227"/>
      <c r="L108" s="227"/>
      <c r="M108" s="227"/>
      <c r="N108" s="227"/>
      <c r="O108" s="227"/>
      <c r="P108" s="228"/>
      <c r="Q108" s="16"/>
      <c r="T108" s="17"/>
      <c r="U108" s="230"/>
      <c r="V108" s="231"/>
      <c r="W108" s="231"/>
      <c r="X108" s="231"/>
      <c r="Y108" s="231"/>
      <c r="Z108" s="232"/>
      <c r="AA108" s="230"/>
      <c r="AB108" s="231"/>
      <c r="AC108" s="232"/>
      <c r="AD108" s="229"/>
      <c r="AE108" s="53"/>
    </row>
    <row r="109" spans="2:31">
      <c r="B109" s="53">
        <f t="shared" si="1"/>
        <v>100</v>
      </c>
      <c r="C109" s="16"/>
      <c r="E109" s="100"/>
      <c r="F109" s="227"/>
      <c r="G109" s="227"/>
      <c r="I109" s="227"/>
      <c r="J109" s="227"/>
      <c r="L109" s="227"/>
      <c r="M109" s="227"/>
      <c r="N109" s="227"/>
      <c r="O109" s="227"/>
      <c r="P109" s="228"/>
      <c r="Q109" s="16"/>
      <c r="T109" s="17"/>
      <c r="U109" s="230"/>
      <c r="V109" s="231"/>
      <c r="W109" s="231"/>
      <c r="X109" s="231"/>
      <c r="Y109" s="231"/>
      <c r="Z109" s="232"/>
      <c r="AA109" s="230"/>
      <c r="AB109" s="231"/>
      <c r="AC109" s="232"/>
      <c r="AD109" s="229"/>
      <c r="AE109" s="53"/>
    </row>
    <row r="110" spans="2:31">
      <c r="B110" s="14"/>
      <c r="C110" s="14"/>
      <c r="D110" s="14"/>
      <c r="E110" s="14"/>
      <c r="F110" s="67"/>
      <c r="G110" s="67"/>
      <c r="H110" s="14"/>
      <c r="I110" s="67"/>
      <c r="J110" s="67"/>
      <c r="K110" s="120"/>
      <c r="L110" s="67"/>
      <c r="M110" s="67"/>
      <c r="N110" s="67"/>
      <c r="O110" s="67"/>
      <c r="P110" s="67"/>
      <c r="Q110" s="14"/>
      <c r="R110" s="14"/>
      <c r="S110" s="14"/>
      <c r="T110" s="14"/>
      <c r="U110" s="114"/>
      <c r="V110" s="114"/>
      <c r="W110" s="114"/>
      <c r="X110" s="114"/>
      <c r="Y110" s="114"/>
      <c r="Z110" s="114"/>
      <c r="AA110" s="114"/>
      <c r="AB110" s="114"/>
      <c r="AC110" s="114"/>
      <c r="AD110" s="67"/>
      <c r="AE110" s="67"/>
    </row>
  </sheetData>
  <pageMargins left="0.25" right="0.25" top="0.75" bottom="0.75" header="0.3" footer="0.3"/>
  <pageSetup paperSize="9" scale="3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A23ED-A292-4481-B7D2-9F275FB75978}">
  <sheetPr codeName="Sheet4">
    <pageSetUpPr fitToPage="1"/>
  </sheetPr>
  <dimension ref="A1:Y173"/>
  <sheetViews>
    <sheetView showGridLines="0" zoomScaleNormal="100" workbookViewId="0"/>
  </sheetViews>
  <sheetFormatPr defaultColWidth="9" defaultRowHeight="14.25"/>
  <cols>
    <col min="1" max="1" width="6.25" style="7" customWidth="1"/>
    <col min="2" max="19" width="10.5" customWidth="1"/>
    <col min="21" max="23" width="9.875" customWidth="1"/>
    <col min="24" max="24" width="9.75" customWidth="1"/>
    <col min="26" max="26" width="3.5" customWidth="1"/>
  </cols>
  <sheetData>
    <row r="1" spans="1:20" ht="15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T1" s="8"/>
    </row>
    <row r="2" spans="1:20" ht="15">
      <c r="T2" s="8"/>
    </row>
    <row r="3" spans="1:20" ht="26.25">
      <c r="B3" s="12" t="s">
        <v>26</v>
      </c>
      <c r="T3" s="8"/>
    </row>
    <row r="4" spans="1:20" ht="15">
      <c r="A4" s="7" t="s">
        <v>9</v>
      </c>
      <c r="T4" s="8"/>
    </row>
    <row r="5" spans="1:20" ht="15">
      <c r="T5" s="8"/>
    </row>
    <row r="6" spans="1:20" ht="17.25" thickBot="1">
      <c r="A6" s="7" t="s">
        <v>9</v>
      </c>
      <c r="B6" s="4" t="s">
        <v>27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8"/>
    </row>
    <row r="7" spans="1:20" ht="15">
      <c r="A7" s="7" t="s">
        <v>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8"/>
    </row>
    <row r="8" spans="1:20" ht="16.5">
      <c r="B8" s="28" t="s">
        <v>106</v>
      </c>
      <c r="T8" s="8"/>
    </row>
    <row r="9" spans="1:20" ht="16.5">
      <c r="I9" s="28" t="s">
        <v>107</v>
      </c>
      <c r="T9" s="8"/>
    </row>
    <row r="10" spans="1:20" ht="15">
      <c r="D10" s="57" t="s">
        <v>113</v>
      </c>
      <c r="E10" s="57"/>
      <c r="T10" s="8"/>
    </row>
    <row r="11" spans="1:20" ht="15">
      <c r="C11" s="8" t="s">
        <v>48</v>
      </c>
      <c r="D11" s="310"/>
      <c r="E11" s="311"/>
      <c r="J11" s="8" t="s">
        <v>108</v>
      </c>
      <c r="K11" s="314"/>
      <c r="L11" s="315"/>
      <c r="T11" s="8"/>
    </row>
    <row r="12" spans="1:20" ht="15">
      <c r="C12" s="8" t="s">
        <v>98</v>
      </c>
      <c r="D12" s="310"/>
      <c r="E12" s="311"/>
      <c r="J12" s="8" t="s">
        <v>109</v>
      </c>
      <c r="K12" s="310"/>
      <c r="L12" s="311"/>
      <c r="T12" s="8"/>
    </row>
    <row r="13" spans="1:20" ht="15">
      <c r="C13" s="8" t="s">
        <v>99</v>
      </c>
      <c r="D13" s="310"/>
      <c r="E13" s="311"/>
      <c r="J13" s="8" t="s">
        <v>226</v>
      </c>
      <c r="K13" s="310"/>
      <c r="L13" s="311"/>
      <c r="T13" s="8"/>
    </row>
    <row r="14" spans="1:20" ht="15">
      <c r="C14" s="8" t="s">
        <v>100</v>
      </c>
      <c r="D14" s="310"/>
      <c r="E14" s="311"/>
      <c r="J14" s="8" t="s">
        <v>110</v>
      </c>
      <c r="K14" s="314"/>
      <c r="L14" s="315"/>
      <c r="T14" s="8"/>
    </row>
    <row r="15" spans="1:20" ht="15">
      <c r="C15" s="8" t="s">
        <v>101</v>
      </c>
      <c r="D15" s="310"/>
      <c r="E15" s="311"/>
      <c r="J15" s="8" t="s">
        <v>111</v>
      </c>
      <c r="K15" s="314"/>
      <c r="L15" s="315"/>
      <c r="T15" s="8"/>
    </row>
    <row r="16" spans="1:20" ht="15">
      <c r="C16" s="8" t="s">
        <v>102</v>
      </c>
      <c r="D16" s="310"/>
      <c r="E16" s="311"/>
      <c r="T16" s="8"/>
    </row>
    <row r="17" spans="2:25" ht="15">
      <c r="C17" s="8" t="s">
        <v>103</v>
      </c>
      <c r="D17" s="310"/>
      <c r="E17" s="311"/>
      <c r="J17" s="8" t="s">
        <v>112</v>
      </c>
      <c r="K17" s="314"/>
      <c r="L17" s="315"/>
      <c r="T17" s="8"/>
    </row>
    <row r="18" spans="2:25" ht="15">
      <c r="C18" s="8" t="s">
        <v>104</v>
      </c>
      <c r="D18" s="310"/>
      <c r="E18" s="311"/>
      <c r="T18" s="8"/>
    </row>
    <row r="19" spans="2:25" ht="15">
      <c r="C19" s="8" t="s">
        <v>105</v>
      </c>
      <c r="D19" s="309"/>
      <c r="E19" s="309"/>
      <c r="T19" s="8"/>
    </row>
    <row r="20" spans="2:25" ht="15">
      <c r="T20" s="8"/>
    </row>
    <row r="22" spans="2:25" ht="17.25" thickBot="1">
      <c r="B22" s="4" t="s">
        <v>114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spans="2:25"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5" spans="2:25" ht="60">
      <c r="B25" s="40" t="s">
        <v>73</v>
      </c>
      <c r="C25" s="40" t="s">
        <v>73</v>
      </c>
      <c r="D25" s="42" t="s">
        <v>227</v>
      </c>
      <c r="E25" s="43" t="s">
        <v>228</v>
      </c>
      <c r="F25" s="42" t="s">
        <v>95</v>
      </c>
      <c r="G25" s="43" t="s">
        <v>96</v>
      </c>
      <c r="H25" s="70" t="s">
        <v>229</v>
      </c>
      <c r="I25" s="43" t="s">
        <v>230</v>
      </c>
      <c r="J25" s="70" t="s">
        <v>115</v>
      </c>
      <c r="K25" s="44" t="s">
        <v>116</v>
      </c>
      <c r="L25" s="42" t="s">
        <v>89</v>
      </c>
      <c r="M25" s="43" t="s">
        <v>90</v>
      </c>
      <c r="N25" s="70" t="s">
        <v>231</v>
      </c>
      <c r="O25" s="43" t="s">
        <v>232</v>
      </c>
      <c r="P25" s="70" t="s">
        <v>117</v>
      </c>
      <c r="Q25" s="44" t="s">
        <v>116</v>
      </c>
      <c r="R25" s="42" t="s">
        <v>88</v>
      </c>
      <c r="S25" s="43" t="s">
        <v>87</v>
      </c>
      <c r="T25" s="43" t="s">
        <v>229</v>
      </c>
      <c r="U25" s="43" t="s">
        <v>231</v>
      </c>
      <c r="V25" s="70" t="s">
        <v>233</v>
      </c>
      <c r="W25" s="43" t="s">
        <v>234</v>
      </c>
      <c r="X25" s="70" t="s">
        <v>118</v>
      </c>
      <c r="Y25" s="44" t="s">
        <v>116</v>
      </c>
    </row>
    <row r="26" spans="2:25">
      <c r="B26" s="53">
        <v>1</v>
      </c>
      <c r="C26" s="53"/>
      <c r="D26" s="200"/>
      <c r="E26" s="198"/>
      <c r="F26" s="235"/>
      <c r="G26" s="236"/>
      <c r="H26" s="237"/>
      <c r="I26" s="231"/>
      <c r="J26" s="237"/>
      <c r="K26" s="122"/>
      <c r="L26" s="230"/>
      <c r="M26" s="231"/>
      <c r="N26" s="237"/>
      <c r="O26" s="231"/>
      <c r="P26" s="237"/>
      <c r="Q26" s="122"/>
      <c r="R26" s="230"/>
      <c r="S26" s="231"/>
      <c r="T26" s="231"/>
      <c r="U26" s="231"/>
      <c r="V26" s="237"/>
      <c r="W26" s="231"/>
      <c r="X26" s="237"/>
      <c r="Y26" s="239"/>
    </row>
    <row r="27" spans="2:25">
      <c r="B27" s="53">
        <f>B26+1</f>
        <v>2</v>
      </c>
      <c r="C27" s="53"/>
      <c r="D27" s="201"/>
      <c r="E27" s="199"/>
      <c r="F27" s="230"/>
      <c r="G27" s="231"/>
      <c r="H27" s="237"/>
      <c r="I27" s="231"/>
      <c r="J27" s="237"/>
      <c r="K27" s="122"/>
      <c r="L27" s="230"/>
      <c r="M27" s="231"/>
      <c r="N27" s="237"/>
      <c r="O27" s="231"/>
      <c r="P27" s="237"/>
      <c r="Q27" s="122"/>
      <c r="R27" s="230"/>
      <c r="S27" s="231"/>
      <c r="T27" s="231"/>
      <c r="U27" s="231"/>
      <c r="V27" s="237"/>
      <c r="W27" s="231"/>
      <c r="X27" s="237"/>
      <c r="Y27" s="239"/>
    </row>
    <row r="28" spans="2:25">
      <c r="B28" s="53">
        <f t="shared" ref="B28:B91" si="0">B27+1</f>
        <v>3</v>
      </c>
      <c r="C28" s="53"/>
      <c r="D28" s="201"/>
      <c r="E28" s="199"/>
      <c r="F28" s="230"/>
      <c r="G28" s="231"/>
      <c r="H28" s="237"/>
      <c r="I28" s="231"/>
      <c r="J28" s="237"/>
      <c r="K28" s="122"/>
      <c r="L28" s="230"/>
      <c r="M28" s="231"/>
      <c r="N28" s="237"/>
      <c r="O28" s="231"/>
      <c r="P28" s="237"/>
      <c r="Q28" s="122"/>
      <c r="R28" s="230"/>
      <c r="S28" s="231"/>
      <c r="T28" s="231"/>
      <c r="U28" s="231"/>
      <c r="V28" s="237"/>
      <c r="W28" s="231"/>
      <c r="X28" s="237"/>
      <c r="Y28" s="239"/>
    </row>
    <row r="29" spans="2:25">
      <c r="B29" s="53">
        <f t="shared" si="0"/>
        <v>4</v>
      </c>
      <c r="C29" s="53"/>
      <c r="D29" s="201"/>
      <c r="E29" s="199"/>
      <c r="F29" s="230"/>
      <c r="G29" s="231"/>
      <c r="H29" s="237"/>
      <c r="I29" s="231"/>
      <c r="J29" s="237"/>
      <c r="K29" s="122"/>
      <c r="L29" s="230"/>
      <c r="M29" s="231"/>
      <c r="N29" s="237"/>
      <c r="O29" s="231"/>
      <c r="P29" s="237"/>
      <c r="Q29" s="122"/>
      <c r="R29" s="230"/>
      <c r="S29" s="231"/>
      <c r="T29" s="231"/>
      <c r="U29" s="231"/>
      <c r="V29" s="237"/>
      <c r="W29" s="231"/>
      <c r="X29" s="237"/>
      <c r="Y29" s="239"/>
    </row>
    <row r="30" spans="2:25">
      <c r="B30" s="53">
        <f t="shared" si="0"/>
        <v>5</v>
      </c>
      <c r="C30" s="53"/>
      <c r="D30" s="201"/>
      <c r="E30" s="199"/>
      <c r="F30" s="230"/>
      <c r="G30" s="231"/>
      <c r="H30" s="237"/>
      <c r="I30" s="231"/>
      <c r="J30" s="237"/>
      <c r="K30" s="122"/>
      <c r="L30" s="230"/>
      <c r="M30" s="231"/>
      <c r="N30" s="237"/>
      <c r="O30" s="231"/>
      <c r="P30" s="237"/>
      <c r="Q30" s="122"/>
      <c r="R30" s="230"/>
      <c r="S30" s="231"/>
      <c r="T30" s="231"/>
      <c r="U30" s="231"/>
      <c r="V30" s="237"/>
      <c r="W30" s="231"/>
      <c r="X30" s="237"/>
      <c r="Y30" s="239"/>
    </row>
    <row r="31" spans="2:25">
      <c r="B31" s="53">
        <f t="shared" si="0"/>
        <v>6</v>
      </c>
      <c r="C31" s="53"/>
      <c r="D31" s="201"/>
      <c r="E31" s="199"/>
      <c r="F31" s="230"/>
      <c r="G31" s="231"/>
      <c r="H31" s="237"/>
      <c r="I31" s="231"/>
      <c r="J31" s="237"/>
      <c r="K31" s="122"/>
      <c r="L31" s="230"/>
      <c r="M31" s="231"/>
      <c r="N31" s="237"/>
      <c r="O31" s="231"/>
      <c r="P31" s="237"/>
      <c r="Q31" s="122"/>
      <c r="R31" s="230"/>
      <c r="S31" s="231"/>
      <c r="T31" s="231"/>
      <c r="U31" s="231"/>
      <c r="V31" s="237"/>
      <c r="W31" s="231"/>
      <c r="X31" s="237"/>
      <c r="Y31" s="239"/>
    </row>
    <row r="32" spans="2:25">
      <c r="B32" s="53">
        <f t="shared" si="0"/>
        <v>7</v>
      </c>
      <c r="C32" s="53"/>
      <c r="D32" s="201"/>
      <c r="E32" s="199"/>
      <c r="F32" s="230"/>
      <c r="G32" s="231"/>
      <c r="H32" s="237"/>
      <c r="I32" s="231"/>
      <c r="J32" s="237"/>
      <c r="K32" s="122"/>
      <c r="L32" s="230"/>
      <c r="M32" s="231"/>
      <c r="N32" s="237"/>
      <c r="O32" s="231"/>
      <c r="P32" s="237"/>
      <c r="Q32" s="122"/>
      <c r="R32" s="230"/>
      <c r="S32" s="231"/>
      <c r="T32" s="231"/>
      <c r="U32" s="231"/>
      <c r="V32" s="237"/>
      <c r="W32" s="231"/>
      <c r="X32" s="237"/>
      <c r="Y32" s="239"/>
    </row>
    <row r="33" spans="2:25">
      <c r="B33" s="53">
        <f t="shared" si="0"/>
        <v>8</v>
      </c>
      <c r="C33" s="53"/>
      <c r="D33" s="201"/>
      <c r="E33" s="199"/>
      <c r="F33" s="230"/>
      <c r="G33" s="231"/>
      <c r="H33" s="237"/>
      <c r="I33" s="231"/>
      <c r="J33" s="237"/>
      <c r="K33" s="122"/>
      <c r="L33" s="230"/>
      <c r="M33" s="231"/>
      <c r="N33" s="237"/>
      <c r="O33" s="231"/>
      <c r="P33" s="237"/>
      <c r="Q33" s="122"/>
      <c r="R33" s="230"/>
      <c r="S33" s="231"/>
      <c r="T33" s="231"/>
      <c r="U33" s="231"/>
      <c r="V33" s="237"/>
      <c r="W33" s="231"/>
      <c r="X33" s="237"/>
      <c r="Y33" s="239"/>
    </row>
    <row r="34" spans="2:25">
      <c r="B34" s="53">
        <f t="shared" si="0"/>
        <v>9</v>
      </c>
      <c r="C34" s="53"/>
      <c r="D34" s="201"/>
      <c r="E34" s="199"/>
      <c r="F34" s="230"/>
      <c r="G34" s="231"/>
      <c r="H34" s="237"/>
      <c r="I34" s="231"/>
      <c r="J34" s="237"/>
      <c r="K34" s="122"/>
      <c r="L34" s="230"/>
      <c r="M34" s="231"/>
      <c r="N34" s="237"/>
      <c r="O34" s="231"/>
      <c r="P34" s="237"/>
      <c r="Q34" s="122"/>
      <c r="R34" s="230"/>
      <c r="S34" s="231"/>
      <c r="T34" s="231"/>
      <c r="U34" s="231"/>
      <c r="V34" s="237"/>
      <c r="W34" s="231"/>
      <c r="X34" s="237"/>
      <c r="Y34" s="239"/>
    </row>
    <row r="35" spans="2:25">
      <c r="B35" s="53">
        <f t="shared" si="0"/>
        <v>10</v>
      </c>
      <c r="C35" s="53"/>
      <c r="D35" s="201"/>
      <c r="E35" s="199"/>
      <c r="F35" s="230"/>
      <c r="G35" s="231"/>
      <c r="H35" s="237"/>
      <c r="I35" s="231"/>
      <c r="J35" s="237"/>
      <c r="K35" s="122"/>
      <c r="L35" s="230"/>
      <c r="M35" s="231"/>
      <c r="N35" s="237"/>
      <c r="O35" s="231"/>
      <c r="P35" s="237"/>
      <c r="Q35" s="122"/>
      <c r="R35" s="230"/>
      <c r="S35" s="231"/>
      <c r="T35" s="231"/>
      <c r="U35" s="231"/>
      <c r="V35" s="237"/>
      <c r="W35" s="231"/>
      <c r="X35" s="237"/>
      <c r="Y35" s="239"/>
    </row>
    <row r="36" spans="2:25">
      <c r="B36" s="53">
        <f t="shared" si="0"/>
        <v>11</v>
      </c>
      <c r="C36" s="53"/>
      <c r="D36" s="201"/>
      <c r="E36" s="199"/>
      <c r="F36" s="230"/>
      <c r="G36" s="231"/>
      <c r="H36" s="237"/>
      <c r="I36" s="231"/>
      <c r="J36" s="237"/>
      <c r="K36" s="122"/>
      <c r="L36" s="230"/>
      <c r="M36" s="231"/>
      <c r="N36" s="237"/>
      <c r="O36" s="231"/>
      <c r="P36" s="237"/>
      <c r="Q36" s="122"/>
      <c r="R36" s="230"/>
      <c r="S36" s="231"/>
      <c r="T36" s="231"/>
      <c r="U36" s="231"/>
      <c r="V36" s="237"/>
      <c r="W36" s="231"/>
      <c r="X36" s="237"/>
      <c r="Y36" s="239"/>
    </row>
    <row r="37" spans="2:25">
      <c r="B37" s="53">
        <f t="shared" si="0"/>
        <v>12</v>
      </c>
      <c r="C37" s="53"/>
      <c r="D37" s="201"/>
      <c r="E37" s="199"/>
      <c r="F37" s="230"/>
      <c r="G37" s="231"/>
      <c r="H37" s="237"/>
      <c r="I37" s="231"/>
      <c r="J37" s="237"/>
      <c r="K37" s="122"/>
      <c r="L37" s="230"/>
      <c r="M37" s="231"/>
      <c r="N37" s="237"/>
      <c r="O37" s="231"/>
      <c r="P37" s="237"/>
      <c r="Q37" s="122"/>
      <c r="R37" s="230"/>
      <c r="S37" s="231"/>
      <c r="T37" s="231"/>
      <c r="U37" s="231"/>
      <c r="V37" s="237"/>
      <c r="W37" s="231"/>
      <c r="X37" s="237"/>
      <c r="Y37" s="239"/>
    </row>
    <row r="38" spans="2:25">
      <c r="B38" s="53">
        <f t="shared" si="0"/>
        <v>13</v>
      </c>
      <c r="C38" s="53"/>
      <c r="D38" s="201"/>
      <c r="E38" s="199"/>
      <c r="F38" s="230"/>
      <c r="G38" s="231"/>
      <c r="H38" s="237"/>
      <c r="I38" s="231"/>
      <c r="J38" s="237"/>
      <c r="K38" s="122"/>
      <c r="L38" s="230"/>
      <c r="M38" s="231"/>
      <c r="N38" s="237"/>
      <c r="O38" s="231"/>
      <c r="P38" s="237"/>
      <c r="Q38" s="122"/>
      <c r="R38" s="230"/>
      <c r="S38" s="231"/>
      <c r="T38" s="231"/>
      <c r="U38" s="231"/>
      <c r="V38" s="237"/>
      <c r="W38" s="231"/>
      <c r="X38" s="237"/>
      <c r="Y38" s="239"/>
    </row>
    <row r="39" spans="2:25">
      <c r="B39" s="53">
        <f t="shared" si="0"/>
        <v>14</v>
      </c>
      <c r="C39" s="53"/>
      <c r="D39" s="201"/>
      <c r="E39" s="199"/>
      <c r="F39" s="230"/>
      <c r="G39" s="231"/>
      <c r="H39" s="237"/>
      <c r="I39" s="231"/>
      <c r="J39" s="237"/>
      <c r="K39" s="122"/>
      <c r="L39" s="230"/>
      <c r="M39" s="231"/>
      <c r="N39" s="237"/>
      <c r="O39" s="231"/>
      <c r="P39" s="237"/>
      <c r="Q39" s="122"/>
      <c r="R39" s="230"/>
      <c r="S39" s="231"/>
      <c r="T39" s="231"/>
      <c r="U39" s="231"/>
      <c r="V39" s="237"/>
      <c r="W39" s="231"/>
      <c r="X39" s="237"/>
      <c r="Y39" s="239"/>
    </row>
    <row r="40" spans="2:25">
      <c r="B40" s="53">
        <f t="shared" si="0"/>
        <v>15</v>
      </c>
      <c r="C40" s="53"/>
      <c r="D40" s="201"/>
      <c r="E40" s="199"/>
      <c r="F40" s="230"/>
      <c r="G40" s="231"/>
      <c r="H40" s="237"/>
      <c r="I40" s="231"/>
      <c r="J40" s="237"/>
      <c r="K40" s="122"/>
      <c r="L40" s="230"/>
      <c r="M40" s="231"/>
      <c r="N40" s="237"/>
      <c r="O40" s="231"/>
      <c r="P40" s="237"/>
      <c r="Q40" s="122"/>
      <c r="R40" s="230"/>
      <c r="S40" s="231"/>
      <c r="T40" s="231"/>
      <c r="U40" s="231"/>
      <c r="V40" s="237"/>
      <c r="W40" s="231"/>
      <c r="X40" s="237"/>
      <c r="Y40" s="239"/>
    </row>
    <row r="41" spans="2:25">
      <c r="B41" s="53">
        <f t="shared" si="0"/>
        <v>16</v>
      </c>
      <c r="C41" s="53"/>
      <c r="D41" s="201"/>
      <c r="E41" s="199"/>
      <c r="F41" s="230"/>
      <c r="G41" s="231"/>
      <c r="H41" s="237"/>
      <c r="I41" s="231"/>
      <c r="J41" s="237"/>
      <c r="K41" s="122"/>
      <c r="L41" s="230"/>
      <c r="M41" s="231"/>
      <c r="N41" s="237"/>
      <c r="O41" s="231"/>
      <c r="P41" s="237"/>
      <c r="Q41" s="122"/>
      <c r="R41" s="230"/>
      <c r="S41" s="231"/>
      <c r="T41" s="231"/>
      <c r="U41" s="231"/>
      <c r="V41" s="237"/>
      <c r="W41" s="231"/>
      <c r="X41" s="237"/>
      <c r="Y41" s="239"/>
    </row>
    <row r="42" spans="2:25">
      <c r="B42" s="53">
        <f t="shared" si="0"/>
        <v>17</v>
      </c>
      <c r="C42" s="53"/>
      <c r="D42" s="201"/>
      <c r="E42" s="199"/>
      <c r="F42" s="230"/>
      <c r="G42" s="231"/>
      <c r="H42" s="237"/>
      <c r="I42" s="231"/>
      <c r="J42" s="237"/>
      <c r="K42" s="122"/>
      <c r="L42" s="230"/>
      <c r="M42" s="231"/>
      <c r="N42" s="237"/>
      <c r="O42" s="231"/>
      <c r="P42" s="237"/>
      <c r="Q42" s="122"/>
      <c r="R42" s="230"/>
      <c r="S42" s="231"/>
      <c r="T42" s="231"/>
      <c r="U42" s="231"/>
      <c r="V42" s="237"/>
      <c r="W42" s="231"/>
      <c r="X42" s="237"/>
      <c r="Y42" s="239"/>
    </row>
    <row r="43" spans="2:25">
      <c r="B43" s="53">
        <f t="shared" si="0"/>
        <v>18</v>
      </c>
      <c r="C43" s="53"/>
      <c r="D43" s="201"/>
      <c r="E43" s="199"/>
      <c r="F43" s="230"/>
      <c r="G43" s="231"/>
      <c r="H43" s="237"/>
      <c r="I43" s="231"/>
      <c r="J43" s="237"/>
      <c r="K43" s="122"/>
      <c r="L43" s="230"/>
      <c r="M43" s="231"/>
      <c r="N43" s="237"/>
      <c r="O43" s="231"/>
      <c r="P43" s="237"/>
      <c r="Q43" s="122"/>
      <c r="R43" s="230"/>
      <c r="S43" s="231"/>
      <c r="T43" s="231"/>
      <c r="U43" s="231"/>
      <c r="V43" s="237"/>
      <c r="W43" s="231"/>
      <c r="X43" s="237"/>
      <c r="Y43" s="239"/>
    </row>
    <row r="44" spans="2:25">
      <c r="B44" s="53">
        <f t="shared" si="0"/>
        <v>19</v>
      </c>
      <c r="C44" s="53"/>
      <c r="D44" s="201"/>
      <c r="E44" s="199"/>
      <c r="F44" s="230"/>
      <c r="G44" s="231"/>
      <c r="H44" s="237"/>
      <c r="I44" s="231"/>
      <c r="J44" s="237"/>
      <c r="K44" s="122"/>
      <c r="L44" s="230"/>
      <c r="M44" s="231"/>
      <c r="N44" s="237"/>
      <c r="O44" s="231"/>
      <c r="P44" s="237"/>
      <c r="Q44" s="122"/>
      <c r="R44" s="230"/>
      <c r="S44" s="231"/>
      <c r="T44" s="231"/>
      <c r="U44" s="231"/>
      <c r="V44" s="237"/>
      <c r="W44" s="231"/>
      <c r="X44" s="237"/>
      <c r="Y44" s="239"/>
    </row>
    <row r="45" spans="2:25">
      <c r="B45" s="53">
        <f t="shared" si="0"/>
        <v>20</v>
      </c>
      <c r="C45" s="53"/>
      <c r="D45" s="201"/>
      <c r="E45" s="199"/>
      <c r="F45" s="230"/>
      <c r="G45" s="231"/>
      <c r="H45" s="237"/>
      <c r="I45" s="231"/>
      <c r="J45" s="237"/>
      <c r="K45" s="122"/>
      <c r="L45" s="230"/>
      <c r="M45" s="231"/>
      <c r="N45" s="237"/>
      <c r="O45" s="231"/>
      <c r="P45" s="237"/>
      <c r="Q45" s="122"/>
      <c r="R45" s="230"/>
      <c r="S45" s="231"/>
      <c r="T45" s="231"/>
      <c r="U45" s="231"/>
      <c r="V45" s="237"/>
      <c r="W45" s="231"/>
      <c r="X45" s="237"/>
      <c r="Y45" s="239"/>
    </row>
    <row r="46" spans="2:25">
      <c r="B46" s="53">
        <f t="shared" si="0"/>
        <v>21</v>
      </c>
      <c r="C46" s="53"/>
      <c r="D46" s="201"/>
      <c r="E46" s="199"/>
      <c r="F46" s="230"/>
      <c r="G46" s="231"/>
      <c r="H46" s="237"/>
      <c r="I46" s="231"/>
      <c r="J46" s="237"/>
      <c r="K46" s="122"/>
      <c r="L46" s="230"/>
      <c r="M46" s="231"/>
      <c r="N46" s="237"/>
      <c r="O46" s="231"/>
      <c r="P46" s="237"/>
      <c r="Q46" s="122"/>
      <c r="R46" s="230"/>
      <c r="S46" s="231"/>
      <c r="T46" s="231"/>
      <c r="U46" s="231"/>
      <c r="V46" s="237"/>
      <c r="W46" s="231"/>
      <c r="X46" s="237"/>
      <c r="Y46" s="239"/>
    </row>
    <row r="47" spans="2:25">
      <c r="B47" s="53">
        <f t="shared" si="0"/>
        <v>22</v>
      </c>
      <c r="C47" s="53"/>
      <c r="D47" s="201"/>
      <c r="E47" s="199"/>
      <c r="F47" s="230"/>
      <c r="G47" s="231"/>
      <c r="H47" s="237"/>
      <c r="I47" s="231"/>
      <c r="J47" s="237"/>
      <c r="K47" s="122"/>
      <c r="L47" s="230"/>
      <c r="M47" s="231"/>
      <c r="N47" s="237"/>
      <c r="O47" s="231"/>
      <c r="P47" s="237"/>
      <c r="Q47" s="122"/>
      <c r="R47" s="230"/>
      <c r="S47" s="231"/>
      <c r="T47" s="231"/>
      <c r="U47" s="231"/>
      <c r="V47" s="237"/>
      <c r="W47" s="231"/>
      <c r="X47" s="237"/>
      <c r="Y47" s="239"/>
    </row>
    <row r="48" spans="2:25">
      <c r="B48" s="53">
        <f t="shared" si="0"/>
        <v>23</v>
      </c>
      <c r="C48" s="53"/>
      <c r="D48" s="201"/>
      <c r="E48" s="199"/>
      <c r="F48" s="230"/>
      <c r="G48" s="231"/>
      <c r="H48" s="237"/>
      <c r="I48" s="231"/>
      <c r="J48" s="237"/>
      <c r="K48" s="122"/>
      <c r="L48" s="230"/>
      <c r="M48" s="231"/>
      <c r="N48" s="237"/>
      <c r="O48" s="231"/>
      <c r="P48" s="237"/>
      <c r="Q48" s="122"/>
      <c r="R48" s="230"/>
      <c r="S48" s="231"/>
      <c r="T48" s="231"/>
      <c r="U48" s="231"/>
      <c r="V48" s="237"/>
      <c r="W48" s="231"/>
      <c r="X48" s="237"/>
      <c r="Y48" s="239"/>
    </row>
    <row r="49" spans="2:25">
      <c r="B49" s="53">
        <f t="shared" si="0"/>
        <v>24</v>
      </c>
      <c r="C49" s="53"/>
      <c r="D49" s="201"/>
      <c r="E49" s="199"/>
      <c r="F49" s="230"/>
      <c r="G49" s="231"/>
      <c r="H49" s="237"/>
      <c r="I49" s="231"/>
      <c r="J49" s="237"/>
      <c r="K49" s="122"/>
      <c r="L49" s="230"/>
      <c r="M49" s="231"/>
      <c r="N49" s="237"/>
      <c r="O49" s="231"/>
      <c r="P49" s="237"/>
      <c r="Q49" s="122"/>
      <c r="R49" s="230"/>
      <c r="S49" s="231"/>
      <c r="T49" s="231"/>
      <c r="U49" s="231"/>
      <c r="V49" s="237"/>
      <c r="W49" s="231"/>
      <c r="X49" s="237"/>
      <c r="Y49" s="239"/>
    </row>
    <row r="50" spans="2:25">
      <c r="B50" s="53">
        <f t="shared" si="0"/>
        <v>25</v>
      </c>
      <c r="C50" s="53"/>
      <c r="D50" s="201"/>
      <c r="E50" s="199"/>
      <c r="F50" s="230"/>
      <c r="G50" s="231"/>
      <c r="H50" s="237"/>
      <c r="I50" s="231"/>
      <c r="J50" s="237"/>
      <c r="K50" s="122"/>
      <c r="L50" s="230"/>
      <c r="M50" s="231"/>
      <c r="N50" s="237"/>
      <c r="O50" s="231"/>
      <c r="P50" s="237"/>
      <c r="Q50" s="122"/>
      <c r="R50" s="230"/>
      <c r="S50" s="231"/>
      <c r="T50" s="231"/>
      <c r="U50" s="231"/>
      <c r="V50" s="237"/>
      <c r="W50" s="231"/>
      <c r="X50" s="237"/>
      <c r="Y50" s="239"/>
    </row>
    <row r="51" spans="2:25">
      <c r="B51" s="53">
        <f t="shared" si="0"/>
        <v>26</v>
      </c>
      <c r="C51" s="53"/>
      <c r="D51" s="201"/>
      <c r="E51" s="199"/>
      <c r="F51" s="230"/>
      <c r="G51" s="231"/>
      <c r="H51" s="237"/>
      <c r="I51" s="231"/>
      <c r="J51" s="237"/>
      <c r="K51" s="122"/>
      <c r="L51" s="230"/>
      <c r="M51" s="231"/>
      <c r="N51" s="237"/>
      <c r="O51" s="231"/>
      <c r="P51" s="237"/>
      <c r="Q51" s="122"/>
      <c r="R51" s="230"/>
      <c r="S51" s="231"/>
      <c r="T51" s="231"/>
      <c r="U51" s="231"/>
      <c r="V51" s="237"/>
      <c r="W51" s="231"/>
      <c r="X51" s="237"/>
      <c r="Y51" s="239"/>
    </row>
    <row r="52" spans="2:25">
      <c r="B52" s="53">
        <f t="shared" si="0"/>
        <v>27</v>
      </c>
      <c r="C52" s="53"/>
      <c r="D52" s="201"/>
      <c r="E52" s="199"/>
      <c r="F52" s="230"/>
      <c r="G52" s="231"/>
      <c r="H52" s="237"/>
      <c r="I52" s="231"/>
      <c r="J52" s="237"/>
      <c r="K52" s="122"/>
      <c r="L52" s="230"/>
      <c r="M52" s="231"/>
      <c r="N52" s="237"/>
      <c r="O52" s="231"/>
      <c r="P52" s="237"/>
      <c r="Q52" s="122"/>
      <c r="R52" s="230"/>
      <c r="S52" s="231"/>
      <c r="T52" s="231"/>
      <c r="U52" s="231"/>
      <c r="V52" s="237"/>
      <c r="W52" s="231"/>
      <c r="X52" s="237"/>
      <c r="Y52" s="239"/>
    </row>
    <row r="53" spans="2:25">
      <c r="B53" s="53">
        <f t="shared" si="0"/>
        <v>28</v>
      </c>
      <c r="C53" s="53"/>
      <c r="D53" s="201"/>
      <c r="E53" s="199"/>
      <c r="F53" s="230"/>
      <c r="G53" s="231"/>
      <c r="H53" s="237"/>
      <c r="I53" s="231"/>
      <c r="J53" s="237"/>
      <c r="K53" s="122"/>
      <c r="L53" s="230"/>
      <c r="M53" s="231"/>
      <c r="N53" s="237"/>
      <c r="O53" s="231"/>
      <c r="P53" s="237"/>
      <c r="Q53" s="122"/>
      <c r="R53" s="230"/>
      <c r="S53" s="231"/>
      <c r="T53" s="231"/>
      <c r="U53" s="231"/>
      <c r="V53" s="237"/>
      <c r="W53" s="231"/>
      <c r="X53" s="237"/>
      <c r="Y53" s="239"/>
    </row>
    <row r="54" spans="2:25">
      <c r="B54" s="53">
        <f t="shared" si="0"/>
        <v>29</v>
      </c>
      <c r="C54" s="53"/>
      <c r="D54" s="201"/>
      <c r="E54" s="199"/>
      <c r="F54" s="230"/>
      <c r="G54" s="231"/>
      <c r="H54" s="237"/>
      <c r="I54" s="231"/>
      <c r="J54" s="237"/>
      <c r="K54" s="122"/>
      <c r="L54" s="230"/>
      <c r="M54" s="231"/>
      <c r="N54" s="237"/>
      <c r="O54" s="231"/>
      <c r="P54" s="237"/>
      <c r="Q54" s="122"/>
      <c r="R54" s="230"/>
      <c r="S54" s="231"/>
      <c r="T54" s="231"/>
      <c r="U54" s="231"/>
      <c r="V54" s="237"/>
      <c r="W54" s="231"/>
      <c r="X54" s="237"/>
      <c r="Y54" s="239"/>
    </row>
    <row r="55" spans="2:25">
      <c r="B55" s="53">
        <f t="shared" si="0"/>
        <v>30</v>
      </c>
      <c r="C55" s="53"/>
      <c r="D55" s="201"/>
      <c r="E55" s="199"/>
      <c r="F55" s="230"/>
      <c r="G55" s="231"/>
      <c r="H55" s="237"/>
      <c r="I55" s="231"/>
      <c r="J55" s="237"/>
      <c r="K55" s="122"/>
      <c r="L55" s="230"/>
      <c r="M55" s="231"/>
      <c r="N55" s="237"/>
      <c r="O55" s="231"/>
      <c r="P55" s="237"/>
      <c r="Q55" s="122"/>
      <c r="R55" s="230"/>
      <c r="S55" s="231"/>
      <c r="T55" s="231"/>
      <c r="U55" s="231"/>
      <c r="V55" s="237"/>
      <c r="W55" s="231"/>
      <c r="X55" s="237"/>
      <c r="Y55" s="239"/>
    </row>
    <row r="56" spans="2:25">
      <c r="B56" s="53">
        <f t="shared" si="0"/>
        <v>31</v>
      </c>
      <c r="C56" s="53"/>
      <c r="D56" s="201"/>
      <c r="E56" s="199"/>
      <c r="F56" s="230"/>
      <c r="G56" s="231"/>
      <c r="H56" s="237"/>
      <c r="I56" s="231"/>
      <c r="J56" s="237"/>
      <c r="K56" s="122"/>
      <c r="L56" s="230"/>
      <c r="M56" s="231"/>
      <c r="N56" s="237"/>
      <c r="O56" s="231"/>
      <c r="P56" s="237"/>
      <c r="Q56" s="122"/>
      <c r="R56" s="230"/>
      <c r="S56" s="231"/>
      <c r="T56" s="231"/>
      <c r="U56" s="231"/>
      <c r="V56" s="237"/>
      <c r="W56" s="231"/>
      <c r="X56" s="237"/>
      <c r="Y56" s="239"/>
    </row>
    <row r="57" spans="2:25">
      <c r="B57" s="53">
        <f t="shared" si="0"/>
        <v>32</v>
      </c>
      <c r="C57" s="53"/>
      <c r="D57" s="201"/>
      <c r="E57" s="199"/>
      <c r="F57" s="230"/>
      <c r="G57" s="231"/>
      <c r="H57" s="237"/>
      <c r="I57" s="231"/>
      <c r="J57" s="237"/>
      <c r="K57" s="122"/>
      <c r="L57" s="230"/>
      <c r="M57" s="231"/>
      <c r="N57" s="237"/>
      <c r="O57" s="231"/>
      <c r="P57" s="237"/>
      <c r="Q57" s="122"/>
      <c r="R57" s="230"/>
      <c r="S57" s="231"/>
      <c r="T57" s="231"/>
      <c r="U57" s="231"/>
      <c r="V57" s="237"/>
      <c r="W57" s="231"/>
      <c r="X57" s="237"/>
      <c r="Y57" s="239"/>
    </row>
    <row r="58" spans="2:25">
      <c r="B58" s="53">
        <f t="shared" si="0"/>
        <v>33</v>
      </c>
      <c r="C58" s="53"/>
      <c r="D58" s="201"/>
      <c r="E58" s="199"/>
      <c r="F58" s="230"/>
      <c r="G58" s="231"/>
      <c r="H58" s="237"/>
      <c r="I58" s="231"/>
      <c r="J58" s="237"/>
      <c r="K58" s="122"/>
      <c r="L58" s="230"/>
      <c r="M58" s="231"/>
      <c r="N58" s="237"/>
      <c r="O58" s="231"/>
      <c r="P58" s="237"/>
      <c r="Q58" s="122"/>
      <c r="R58" s="230"/>
      <c r="S58" s="231"/>
      <c r="T58" s="231"/>
      <c r="U58" s="231"/>
      <c r="V58" s="237"/>
      <c r="W58" s="231"/>
      <c r="X58" s="237"/>
      <c r="Y58" s="239"/>
    </row>
    <row r="59" spans="2:25">
      <c r="B59" s="53">
        <f t="shared" si="0"/>
        <v>34</v>
      </c>
      <c r="C59" s="53"/>
      <c r="D59" s="201"/>
      <c r="E59" s="199"/>
      <c r="F59" s="230"/>
      <c r="G59" s="231"/>
      <c r="H59" s="237"/>
      <c r="I59" s="231"/>
      <c r="J59" s="237"/>
      <c r="K59" s="122"/>
      <c r="L59" s="230"/>
      <c r="M59" s="231"/>
      <c r="N59" s="237"/>
      <c r="O59" s="231"/>
      <c r="P59" s="237"/>
      <c r="Q59" s="122"/>
      <c r="R59" s="230"/>
      <c r="S59" s="231"/>
      <c r="T59" s="231"/>
      <c r="U59" s="231"/>
      <c r="V59" s="237"/>
      <c r="W59" s="231"/>
      <c r="X59" s="237"/>
      <c r="Y59" s="239"/>
    </row>
    <row r="60" spans="2:25">
      <c r="B60" s="53">
        <f t="shared" si="0"/>
        <v>35</v>
      </c>
      <c r="C60" s="53"/>
      <c r="D60" s="201"/>
      <c r="E60" s="199"/>
      <c r="F60" s="230"/>
      <c r="G60" s="231"/>
      <c r="H60" s="237"/>
      <c r="I60" s="231"/>
      <c r="J60" s="237"/>
      <c r="K60" s="122"/>
      <c r="L60" s="230"/>
      <c r="M60" s="231"/>
      <c r="N60" s="237"/>
      <c r="O60" s="231"/>
      <c r="P60" s="237"/>
      <c r="Q60" s="122"/>
      <c r="R60" s="230"/>
      <c r="S60" s="231"/>
      <c r="T60" s="231"/>
      <c r="U60" s="231"/>
      <c r="V60" s="237"/>
      <c r="W60" s="231"/>
      <c r="X60" s="237"/>
      <c r="Y60" s="239"/>
    </row>
    <row r="61" spans="2:25">
      <c r="B61" s="53">
        <f t="shared" si="0"/>
        <v>36</v>
      </c>
      <c r="C61" s="53"/>
      <c r="D61" s="201"/>
      <c r="E61" s="199"/>
      <c r="F61" s="230"/>
      <c r="G61" s="231"/>
      <c r="H61" s="237"/>
      <c r="I61" s="231"/>
      <c r="J61" s="237"/>
      <c r="K61" s="122"/>
      <c r="L61" s="230"/>
      <c r="M61" s="231"/>
      <c r="N61" s="237"/>
      <c r="O61" s="231"/>
      <c r="P61" s="237"/>
      <c r="Q61" s="122"/>
      <c r="R61" s="230"/>
      <c r="S61" s="231"/>
      <c r="T61" s="231"/>
      <c r="U61" s="231"/>
      <c r="V61" s="237"/>
      <c r="W61" s="231"/>
      <c r="X61" s="237"/>
      <c r="Y61" s="239"/>
    </row>
    <row r="62" spans="2:25">
      <c r="B62" s="53">
        <f t="shared" si="0"/>
        <v>37</v>
      </c>
      <c r="C62" s="53"/>
      <c r="D62" s="201"/>
      <c r="E62" s="199"/>
      <c r="F62" s="230"/>
      <c r="G62" s="231"/>
      <c r="H62" s="237"/>
      <c r="I62" s="231"/>
      <c r="J62" s="237"/>
      <c r="K62" s="122"/>
      <c r="L62" s="230"/>
      <c r="M62" s="231"/>
      <c r="N62" s="237"/>
      <c r="O62" s="231"/>
      <c r="P62" s="237"/>
      <c r="Q62" s="122"/>
      <c r="R62" s="230"/>
      <c r="S62" s="231"/>
      <c r="T62" s="231"/>
      <c r="U62" s="231"/>
      <c r="V62" s="237"/>
      <c r="W62" s="231"/>
      <c r="X62" s="237"/>
      <c r="Y62" s="239"/>
    </row>
    <row r="63" spans="2:25">
      <c r="B63" s="53">
        <f t="shared" si="0"/>
        <v>38</v>
      </c>
      <c r="C63" s="53"/>
      <c r="D63" s="201"/>
      <c r="E63" s="199"/>
      <c r="F63" s="230"/>
      <c r="G63" s="231"/>
      <c r="H63" s="237"/>
      <c r="I63" s="231"/>
      <c r="J63" s="237"/>
      <c r="K63" s="122"/>
      <c r="L63" s="230"/>
      <c r="M63" s="231"/>
      <c r="N63" s="237"/>
      <c r="O63" s="231"/>
      <c r="P63" s="237"/>
      <c r="Q63" s="122"/>
      <c r="R63" s="230"/>
      <c r="S63" s="231"/>
      <c r="T63" s="231"/>
      <c r="U63" s="231"/>
      <c r="V63" s="237"/>
      <c r="W63" s="231"/>
      <c r="X63" s="237"/>
      <c r="Y63" s="239"/>
    </row>
    <row r="64" spans="2:25">
      <c r="B64" s="53">
        <f t="shared" si="0"/>
        <v>39</v>
      </c>
      <c r="C64" s="53"/>
      <c r="D64" s="201"/>
      <c r="E64" s="199"/>
      <c r="F64" s="230"/>
      <c r="G64" s="231"/>
      <c r="H64" s="237"/>
      <c r="I64" s="231"/>
      <c r="J64" s="237"/>
      <c r="K64" s="122"/>
      <c r="L64" s="230"/>
      <c r="M64" s="231"/>
      <c r="N64" s="237"/>
      <c r="O64" s="231"/>
      <c r="P64" s="237"/>
      <c r="Q64" s="122"/>
      <c r="R64" s="230"/>
      <c r="S64" s="231"/>
      <c r="T64" s="231"/>
      <c r="U64" s="231"/>
      <c r="V64" s="237"/>
      <c r="W64" s="231"/>
      <c r="X64" s="237"/>
      <c r="Y64" s="239"/>
    </row>
    <row r="65" spans="2:25">
      <c r="B65" s="53">
        <f t="shared" si="0"/>
        <v>40</v>
      </c>
      <c r="C65" s="53"/>
      <c r="D65" s="201"/>
      <c r="E65" s="199"/>
      <c r="F65" s="230"/>
      <c r="G65" s="231"/>
      <c r="H65" s="237"/>
      <c r="I65" s="231"/>
      <c r="J65" s="237"/>
      <c r="K65" s="122"/>
      <c r="L65" s="230"/>
      <c r="M65" s="231"/>
      <c r="N65" s="237"/>
      <c r="O65" s="231"/>
      <c r="P65" s="237"/>
      <c r="Q65" s="122"/>
      <c r="R65" s="230"/>
      <c r="S65" s="231"/>
      <c r="T65" s="231"/>
      <c r="U65" s="231"/>
      <c r="V65" s="237"/>
      <c r="W65" s="231"/>
      <c r="X65" s="237"/>
      <c r="Y65" s="239"/>
    </row>
    <row r="66" spans="2:25">
      <c r="B66" s="53">
        <f t="shared" si="0"/>
        <v>41</v>
      </c>
      <c r="C66" s="53"/>
      <c r="D66" s="201"/>
      <c r="E66" s="199"/>
      <c r="F66" s="230"/>
      <c r="G66" s="231"/>
      <c r="H66" s="237"/>
      <c r="I66" s="231"/>
      <c r="J66" s="237"/>
      <c r="K66" s="122"/>
      <c r="L66" s="230"/>
      <c r="M66" s="231"/>
      <c r="N66" s="237"/>
      <c r="O66" s="231"/>
      <c r="P66" s="237"/>
      <c r="Q66" s="122"/>
      <c r="R66" s="230"/>
      <c r="S66" s="231"/>
      <c r="T66" s="231"/>
      <c r="U66" s="231"/>
      <c r="V66" s="237"/>
      <c r="W66" s="231"/>
      <c r="X66" s="237"/>
      <c r="Y66" s="239"/>
    </row>
    <row r="67" spans="2:25">
      <c r="B67" s="53">
        <f t="shared" si="0"/>
        <v>42</v>
      </c>
      <c r="C67" s="53"/>
      <c r="D67" s="201"/>
      <c r="E67" s="199"/>
      <c r="F67" s="230"/>
      <c r="G67" s="231"/>
      <c r="H67" s="237"/>
      <c r="I67" s="231"/>
      <c r="J67" s="237"/>
      <c r="K67" s="122"/>
      <c r="L67" s="230"/>
      <c r="M67" s="231"/>
      <c r="N67" s="237"/>
      <c r="O67" s="231"/>
      <c r="P67" s="237"/>
      <c r="Q67" s="122"/>
      <c r="R67" s="230"/>
      <c r="S67" s="231"/>
      <c r="T67" s="231"/>
      <c r="U67" s="231"/>
      <c r="V67" s="237"/>
      <c r="W67" s="231"/>
      <c r="X67" s="237"/>
      <c r="Y67" s="239"/>
    </row>
    <row r="68" spans="2:25">
      <c r="B68" s="53">
        <f t="shared" si="0"/>
        <v>43</v>
      </c>
      <c r="C68" s="53"/>
      <c r="D68" s="201"/>
      <c r="E68" s="199"/>
      <c r="F68" s="230"/>
      <c r="G68" s="231"/>
      <c r="H68" s="237"/>
      <c r="I68" s="231"/>
      <c r="J68" s="237"/>
      <c r="K68" s="122"/>
      <c r="L68" s="230"/>
      <c r="M68" s="231"/>
      <c r="N68" s="237"/>
      <c r="O68" s="231"/>
      <c r="P68" s="237"/>
      <c r="Q68" s="122"/>
      <c r="R68" s="230"/>
      <c r="S68" s="231"/>
      <c r="T68" s="231"/>
      <c r="U68" s="231"/>
      <c r="V68" s="237"/>
      <c r="W68" s="231"/>
      <c r="X68" s="237"/>
      <c r="Y68" s="239"/>
    </row>
    <row r="69" spans="2:25">
      <c r="B69" s="53">
        <f t="shared" si="0"/>
        <v>44</v>
      </c>
      <c r="C69" s="53"/>
      <c r="D69" s="201"/>
      <c r="E69" s="199"/>
      <c r="F69" s="230"/>
      <c r="G69" s="231"/>
      <c r="H69" s="237"/>
      <c r="I69" s="231"/>
      <c r="J69" s="237"/>
      <c r="K69" s="122"/>
      <c r="L69" s="230"/>
      <c r="M69" s="231"/>
      <c r="N69" s="237"/>
      <c r="O69" s="231"/>
      <c r="P69" s="237"/>
      <c r="Q69" s="122"/>
      <c r="R69" s="230"/>
      <c r="S69" s="231"/>
      <c r="T69" s="231"/>
      <c r="U69" s="231"/>
      <c r="V69" s="237"/>
      <c r="W69" s="231"/>
      <c r="X69" s="237"/>
      <c r="Y69" s="239"/>
    </row>
    <row r="70" spans="2:25">
      <c r="B70" s="53">
        <f t="shared" si="0"/>
        <v>45</v>
      </c>
      <c r="C70" s="53"/>
      <c r="D70" s="201"/>
      <c r="E70" s="199"/>
      <c r="F70" s="230"/>
      <c r="G70" s="231"/>
      <c r="H70" s="237"/>
      <c r="I70" s="231"/>
      <c r="J70" s="237"/>
      <c r="K70" s="122"/>
      <c r="L70" s="230"/>
      <c r="M70" s="231"/>
      <c r="N70" s="237"/>
      <c r="O70" s="231"/>
      <c r="P70" s="237"/>
      <c r="Q70" s="122"/>
      <c r="R70" s="230"/>
      <c r="S70" s="231"/>
      <c r="T70" s="231"/>
      <c r="U70" s="231"/>
      <c r="V70" s="237"/>
      <c r="W70" s="231"/>
      <c r="X70" s="237"/>
      <c r="Y70" s="239"/>
    </row>
    <row r="71" spans="2:25">
      <c r="B71" s="53">
        <f t="shared" si="0"/>
        <v>46</v>
      </c>
      <c r="C71" s="53"/>
      <c r="D71" s="201"/>
      <c r="E71" s="199"/>
      <c r="F71" s="230"/>
      <c r="G71" s="231"/>
      <c r="H71" s="237"/>
      <c r="I71" s="231"/>
      <c r="J71" s="237"/>
      <c r="K71" s="122"/>
      <c r="L71" s="230"/>
      <c r="M71" s="231"/>
      <c r="N71" s="237"/>
      <c r="O71" s="231"/>
      <c r="P71" s="237"/>
      <c r="Q71" s="122"/>
      <c r="R71" s="230"/>
      <c r="S71" s="231"/>
      <c r="T71" s="231"/>
      <c r="U71" s="231"/>
      <c r="V71" s="237"/>
      <c r="W71" s="231"/>
      <c r="X71" s="237"/>
      <c r="Y71" s="239"/>
    </row>
    <row r="72" spans="2:25">
      <c r="B72" s="53">
        <f t="shared" si="0"/>
        <v>47</v>
      </c>
      <c r="C72" s="53"/>
      <c r="D72" s="201"/>
      <c r="E72" s="199"/>
      <c r="F72" s="230"/>
      <c r="G72" s="231"/>
      <c r="H72" s="237"/>
      <c r="I72" s="231"/>
      <c r="J72" s="237"/>
      <c r="K72" s="122"/>
      <c r="L72" s="230"/>
      <c r="M72" s="231"/>
      <c r="N72" s="237"/>
      <c r="O72" s="231"/>
      <c r="P72" s="237"/>
      <c r="Q72" s="122"/>
      <c r="R72" s="230"/>
      <c r="S72" s="231"/>
      <c r="T72" s="231"/>
      <c r="U72" s="231"/>
      <c r="V72" s="237"/>
      <c r="W72" s="231"/>
      <c r="X72" s="237"/>
      <c r="Y72" s="239"/>
    </row>
    <row r="73" spans="2:25">
      <c r="B73" s="53">
        <f t="shared" si="0"/>
        <v>48</v>
      </c>
      <c r="C73" s="53"/>
      <c r="D73" s="201"/>
      <c r="E73" s="199"/>
      <c r="F73" s="230"/>
      <c r="G73" s="231"/>
      <c r="H73" s="237"/>
      <c r="I73" s="231"/>
      <c r="J73" s="237"/>
      <c r="K73" s="122"/>
      <c r="L73" s="230"/>
      <c r="M73" s="231"/>
      <c r="N73" s="237"/>
      <c r="O73" s="231"/>
      <c r="P73" s="237"/>
      <c r="Q73" s="122"/>
      <c r="R73" s="230"/>
      <c r="S73" s="231"/>
      <c r="T73" s="231"/>
      <c r="U73" s="231"/>
      <c r="V73" s="237"/>
      <c r="W73" s="231"/>
      <c r="X73" s="237"/>
      <c r="Y73" s="239"/>
    </row>
    <row r="74" spans="2:25">
      <c r="B74" s="53">
        <f t="shared" si="0"/>
        <v>49</v>
      </c>
      <c r="C74" s="53"/>
      <c r="D74" s="201"/>
      <c r="E74" s="199"/>
      <c r="F74" s="230"/>
      <c r="G74" s="231"/>
      <c r="H74" s="237"/>
      <c r="I74" s="231"/>
      <c r="J74" s="237"/>
      <c r="K74" s="122"/>
      <c r="L74" s="230"/>
      <c r="M74" s="231"/>
      <c r="N74" s="237"/>
      <c r="O74" s="231"/>
      <c r="P74" s="237"/>
      <c r="Q74" s="122"/>
      <c r="R74" s="230"/>
      <c r="S74" s="231"/>
      <c r="T74" s="231"/>
      <c r="U74" s="231"/>
      <c r="V74" s="237"/>
      <c r="W74" s="231"/>
      <c r="X74" s="237"/>
      <c r="Y74" s="239"/>
    </row>
    <row r="75" spans="2:25">
      <c r="B75" s="53">
        <f t="shared" si="0"/>
        <v>50</v>
      </c>
      <c r="C75" s="53"/>
      <c r="D75" s="201"/>
      <c r="E75" s="199"/>
      <c r="F75" s="230"/>
      <c r="G75" s="231"/>
      <c r="H75" s="237"/>
      <c r="I75" s="231"/>
      <c r="J75" s="237"/>
      <c r="K75" s="122"/>
      <c r="L75" s="230"/>
      <c r="M75" s="231"/>
      <c r="N75" s="237"/>
      <c r="O75" s="231"/>
      <c r="P75" s="237"/>
      <c r="Q75" s="122"/>
      <c r="R75" s="230"/>
      <c r="S75" s="231"/>
      <c r="T75" s="231"/>
      <c r="U75" s="231"/>
      <c r="V75" s="237"/>
      <c r="W75" s="231"/>
      <c r="X75" s="237"/>
      <c r="Y75" s="239"/>
    </row>
    <row r="76" spans="2:25">
      <c r="B76" s="53">
        <f t="shared" si="0"/>
        <v>51</v>
      </c>
      <c r="C76" s="53"/>
      <c r="D76" s="201"/>
      <c r="E76" s="199"/>
      <c r="F76" s="230"/>
      <c r="G76" s="231"/>
      <c r="H76" s="237"/>
      <c r="I76" s="231"/>
      <c r="J76" s="237"/>
      <c r="K76" s="122"/>
      <c r="L76" s="230"/>
      <c r="M76" s="231"/>
      <c r="N76" s="237"/>
      <c r="O76" s="231"/>
      <c r="P76" s="237"/>
      <c r="Q76" s="122"/>
      <c r="R76" s="230"/>
      <c r="S76" s="231"/>
      <c r="T76" s="231"/>
      <c r="U76" s="231"/>
      <c r="V76" s="237"/>
      <c r="W76" s="231"/>
      <c r="X76" s="237"/>
      <c r="Y76" s="239"/>
    </row>
    <row r="77" spans="2:25">
      <c r="B77" s="53">
        <f t="shared" si="0"/>
        <v>52</v>
      </c>
      <c r="C77" s="53"/>
      <c r="D77" s="201"/>
      <c r="E77" s="199"/>
      <c r="F77" s="230"/>
      <c r="G77" s="231"/>
      <c r="H77" s="237"/>
      <c r="I77" s="231"/>
      <c r="J77" s="237"/>
      <c r="K77" s="122"/>
      <c r="L77" s="230"/>
      <c r="M77" s="231"/>
      <c r="N77" s="237"/>
      <c r="O77" s="231"/>
      <c r="P77" s="237"/>
      <c r="Q77" s="122"/>
      <c r="R77" s="230"/>
      <c r="S77" s="231"/>
      <c r="T77" s="231"/>
      <c r="U77" s="231"/>
      <c r="V77" s="237"/>
      <c r="W77" s="231"/>
      <c r="X77" s="237"/>
      <c r="Y77" s="239"/>
    </row>
    <row r="78" spans="2:25">
      <c r="B78" s="53">
        <f t="shared" si="0"/>
        <v>53</v>
      </c>
      <c r="C78" s="53"/>
      <c r="D78" s="201"/>
      <c r="E78" s="199"/>
      <c r="F78" s="230"/>
      <c r="G78" s="231"/>
      <c r="H78" s="237"/>
      <c r="I78" s="231"/>
      <c r="J78" s="237"/>
      <c r="K78" s="122"/>
      <c r="L78" s="230"/>
      <c r="M78" s="231"/>
      <c r="N78" s="237"/>
      <c r="O78" s="231"/>
      <c r="P78" s="237"/>
      <c r="Q78" s="122"/>
      <c r="R78" s="230"/>
      <c r="S78" s="231"/>
      <c r="T78" s="231"/>
      <c r="U78" s="231"/>
      <c r="V78" s="237"/>
      <c r="W78" s="231"/>
      <c r="X78" s="237"/>
      <c r="Y78" s="239"/>
    </row>
    <row r="79" spans="2:25">
      <c r="B79" s="53">
        <f t="shared" si="0"/>
        <v>54</v>
      </c>
      <c r="C79" s="53"/>
      <c r="D79" s="201"/>
      <c r="E79" s="199"/>
      <c r="F79" s="230"/>
      <c r="G79" s="231"/>
      <c r="H79" s="237"/>
      <c r="I79" s="231"/>
      <c r="J79" s="237"/>
      <c r="K79" s="122"/>
      <c r="L79" s="230"/>
      <c r="M79" s="231"/>
      <c r="N79" s="237"/>
      <c r="O79" s="231"/>
      <c r="P79" s="237"/>
      <c r="Q79" s="122"/>
      <c r="R79" s="230"/>
      <c r="S79" s="231"/>
      <c r="T79" s="231"/>
      <c r="U79" s="231"/>
      <c r="V79" s="237"/>
      <c r="W79" s="231"/>
      <c r="X79" s="237"/>
      <c r="Y79" s="239"/>
    </row>
    <row r="80" spans="2:25">
      <c r="B80" s="53">
        <f t="shared" si="0"/>
        <v>55</v>
      </c>
      <c r="C80" s="53"/>
      <c r="D80" s="201"/>
      <c r="E80" s="199"/>
      <c r="F80" s="230"/>
      <c r="G80" s="231"/>
      <c r="H80" s="237"/>
      <c r="I80" s="231"/>
      <c r="J80" s="237"/>
      <c r="K80" s="122"/>
      <c r="L80" s="230"/>
      <c r="M80" s="231"/>
      <c r="N80" s="237"/>
      <c r="O80" s="231"/>
      <c r="P80" s="237"/>
      <c r="Q80" s="122"/>
      <c r="R80" s="230"/>
      <c r="S80" s="231"/>
      <c r="T80" s="231"/>
      <c r="U80" s="231"/>
      <c r="V80" s="237"/>
      <c r="W80" s="231"/>
      <c r="X80" s="237"/>
      <c r="Y80" s="239"/>
    </row>
    <row r="81" spans="2:25">
      <c r="B81" s="53">
        <f t="shared" si="0"/>
        <v>56</v>
      </c>
      <c r="C81" s="53"/>
      <c r="D81" s="201"/>
      <c r="E81" s="199"/>
      <c r="F81" s="230"/>
      <c r="G81" s="231"/>
      <c r="H81" s="237"/>
      <c r="I81" s="231"/>
      <c r="J81" s="237"/>
      <c r="K81" s="122"/>
      <c r="L81" s="230"/>
      <c r="M81" s="231"/>
      <c r="N81" s="237"/>
      <c r="O81" s="231"/>
      <c r="P81" s="237"/>
      <c r="Q81" s="122"/>
      <c r="R81" s="230"/>
      <c r="S81" s="231"/>
      <c r="T81" s="231"/>
      <c r="U81" s="231"/>
      <c r="V81" s="237"/>
      <c r="W81" s="231"/>
      <c r="X81" s="237"/>
      <c r="Y81" s="239"/>
    </row>
    <row r="82" spans="2:25">
      <c r="B82" s="53">
        <f t="shared" si="0"/>
        <v>57</v>
      </c>
      <c r="C82" s="53"/>
      <c r="D82" s="201"/>
      <c r="E82" s="199"/>
      <c r="F82" s="230"/>
      <c r="G82" s="231"/>
      <c r="H82" s="237"/>
      <c r="I82" s="231"/>
      <c r="J82" s="237"/>
      <c r="K82" s="122"/>
      <c r="L82" s="230"/>
      <c r="M82" s="231"/>
      <c r="N82" s="237"/>
      <c r="O82" s="231"/>
      <c r="P82" s="237"/>
      <c r="Q82" s="122"/>
      <c r="R82" s="230"/>
      <c r="S82" s="231"/>
      <c r="T82" s="231"/>
      <c r="U82" s="231"/>
      <c r="V82" s="237"/>
      <c r="W82" s="231"/>
      <c r="X82" s="237"/>
      <c r="Y82" s="239"/>
    </row>
    <row r="83" spans="2:25">
      <c r="B83" s="53">
        <f t="shared" si="0"/>
        <v>58</v>
      </c>
      <c r="C83" s="53"/>
      <c r="D83" s="201"/>
      <c r="E83" s="199"/>
      <c r="F83" s="230"/>
      <c r="G83" s="231"/>
      <c r="H83" s="237"/>
      <c r="I83" s="231"/>
      <c r="J83" s="237"/>
      <c r="K83" s="122"/>
      <c r="L83" s="230"/>
      <c r="M83" s="231"/>
      <c r="N83" s="237"/>
      <c r="O83" s="231"/>
      <c r="P83" s="237"/>
      <c r="Q83" s="122"/>
      <c r="R83" s="230"/>
      <c r="S83" s="231"/>
      <c r="T83" s="231"/>
      <c r="U83" s="231"/>
      <c r="V83" s="237"/>
      <c r="W83" s="231"/>
      <c r="X83" s="237"/>
      <c r="Y83" s="239"/>
    </row>
    <row r="84" spans="2:25">
      <c r="B84" s="53">
        <f t="shared" si="0"/>
        <v>59</v>
      </c>
      <c r="C84" s="53"/>
      <c r="D84" s="201"/>
      <c r="E84" s="199"/>
      <c r="F84" s="230"/>
      <c r="G84" s="231"/>
      <c r="H84" s="237"/>
      <c r="I84" s="231"/>
      <c r="J84" s="237"/>
      <c r="K84" s="122"/>
      <c r="L84" s="230"/>
      <c r="M84" s="231"/>
      <c r="N84" s="237"/>
      <c r="O84" s="231"/>
      <c r="P84" s="237"/>
      <c r="Q84" s="122"/>
      <c r="R84" s="230"/>
      <c r="S84" s="231"/>
      <c r="T84" s="231"/>
      <c r="U84" s="231"/>
      <c r="V84" s="237"/>
      <c r="W84" s="231"/>
      <c r="X84" s="237"/>
      <c r="Y84" s="239"/>
    </row>
    <row r="85" spans="2:25">
      <c r="B85" s="53">
        <f t="shared" si="0"/>
        <v>60</v>
      </c>
      <c r="C85" s="53"/>
      <c r="D85" s="201"/>
      <c r="E85" s="199"/>
      <c r="F85" s="230"/>
      <c r="G85" s="231"/>
      <c r="H85" s="237"/>
      <c r="I85" s="231"/>
      <c r="J85" s="237"/>
      <c r="K85" s="122"/>
      <c r="L85" s="230"/>
      <c r="M85" s="231"/>
      <c r="N85" s="237"/>
      <c r="O85" s="231"/>
      <c r="P85" s="237"/>
      <c r="Q85" s="122"/>
      <c r="R85" s="230"/>
      <c r="S85" s="231"/>
      <c r="T85" s="231"/>
      <c r="U85" s="231"/>
      <c r="V85" s="237"/>
      <c r="W85" s="231"/>
      <c r="X85" s="237"/>
      <c r="Y85" s="239"/>
    </row>
    <row r="86" spans="2:25">
      <c r="B86" s="53">
        <f t="shared" si="0"/>
        <v>61</v>
      </c>
      <c r="C86" s="53"/>
      <c r="D86" s="201"/>
      <c r="E86" s="199"/>
      <c r="F86" s="230"/>
      <c r="G86" s="231"/>
      <c r="H86" s="237"/>
      <c r="I86" s="231"/>
      <c r="J86" s="237"/>
      <c r="K86" s="122"/>
      <c r="L86" s="230"/>
      <c r="M86" s="231"/>
      <c r="N86" s="237"/>
      <c r="O86" s="231"/>
      <c r="P86" s="237"/>
      <c r="Q86" s="122"/>
      <c r="R86" s="230"/>
      <c r="S86" s="231"/>
      <c r="T86" s="231"/>
      <c r="U86" s="231"/>
      <c r="V86" s="237"/>
      <c r="W86" s="231"/>
      <c r="X86" s="237"/>
      <c r="Y86" s="239"/>
    </row>
    <row r="87" spans="2:25">
      <c r="B87" s="53">
        <f t="shared" si="0"/>
        <v>62</v>
      </c>
      <c r="C87" s="53"/>
      <c r="D87" s="201"/>
      <c r="E87" s="199"/>
      <c r="F87" s="230"/>
      <c r="G87" s="231"/>
      <c r="H87" s="237"/>
      <c r="I87" s="231"/>
      <c r="J87" s="237"/>
      <c r="K87" s="122"/>
      <c r="L87" s="230"/>
      <c r="M87" s="231"/>
      <c r="N87" s="237"/>
      <c r="O87" s="231"/>
      <c r="P87" s="237"/>
      <c r="Q87" s="122"/>
      <c r="R87" s="230"/>
      <c r="S87" s="231"/>
      <c r="T87" s="231"/>
      <c r="U87" s="231"/>
      <c r="V87" s="237"/>
      <c r="W87" s="231"/>
      <c r="X87" s="237"/>
      <c r="Y87" s="239"/>
    </row>
    <row r="88" spans="2:25">
      <c r="B88" s="53">
        <f t="shared" si="0"/>
        <v>63</v>
      </c>
      <c r="C88" s="53"/>
      <c r="D88" s="201"/>
      <c r="E88" s="199"/>
      <c r="F88" s="230"/>
      <c r="G88" s="231"/>
      <c r="H88" s="237"/>
      <c r="I88" s="231"/>
      <c r="J88" s="237"/>
      <c r="K88" s="122"/>
      <c r="L88" s="230"/>
      <c r="M88" s="231"/>
      <c r="N88" s="237"/>
      <c r="O88" s="231"/>
      <c r="P88" s="237"/>
      <c r="Q88" s="122"/>
      <c r="R88" s="230"/>
      <c r="S88" s="231"/>
      <c r="T88" s="231"/>
      <c r="U88" s="231"/>
      <c r="V88" s="237"/>
      <c r="W88" s="231"/>
      <c r="X88" s="237"/>
      <c r="Y88" s="239"/>
    </row>
    <row r="89" spans="2:25">
      <c r="B89" s="53">
        <f t="shared" si="0"/>
        <v>64</v>
      </c>
      <c r="C89" s="53"/>
      <c r="D89" s="201"/>
      <c r="E89" s="199"/>
      <c r="F89" s="230"/>
      <c r="G89" s="231"/>
      <c r="H89" s="237"/>
      <c r="I89" s="231"/>
      <c r="J89" s="237"/>
      <c r="K89" s="122"/>
      <c r="L89" s="230"/>
      <c r="M89" s="231"/>
      <c r="N89" s="237"/>
      <c r="O89" s="231"/>
      <c r="P89" s="237"/>
      <c r="Q89" s="122"/>
      <c r="R89" s="230"/>
      <c r="S89" s="231"/>
      <c r="T89" s="231"/>
      <c r="U89" s="231"/>
      <c r="V89" s="237"/>
      <c r="W89" s="231"/>
      <c r="X89" s="237"/>
      <c r="Y89" s="239"/>
    </row>
    <row r="90" spans="2:25">
      <c r="B90" s="53">
        <f t="shared" si="0"/>
        <v>65</v>
      </c>
      <c r="C90" s="53"/>
      <c r="D90" s="201"/>
      <c r="E90" s="199"/>
      <c r="F90" s="230"/>
      <c r="G90" s="231"/>
      <c r="H90" s="237"/>
      <c r="I90" s="231"/>
      <c r="J90" s="237"/>
      <c r="K90" s="122"/>
      <c r="L90" s="230"/>
      <c r="M90" s="231"/>
      <c r="N90" s="237"/>
      <c r="O90" s="231"/>
      <c r="P90" s="237"/>
      <c r="Q90" s="122"/>
      <c r="R90" s="230"/>
      <c r="S90" s="231"/>
      <c r="T90" s="231"/>
      <c r="U90" s="231"/>
      <c r="V90" s="237"/>
      <c r="W90" s="231"/>
      <c r="X90" s="237"/>
      <c r="Y90" s="239"/>
    </row>
    <row r="91" spans="2:25">
      <c r="B91" s="53">
        <f t="shared" si="0"/>
        <v>66</v>
      </c>
      <c r="C91" s="53"/>
      <c r="D91" s="201"/>
      <c r="E91" s="199"/>
      <c r="F91" s="230"/>
      <c r="G91" s="231"/>
      <c r="H91" s="237"/>
      <c r="I91" s="231"/>
      <c r="J91" s="237"/>
      <c r="K91" s="122"/>
      <c r="L91" s="230"/>
      <c r="M91" s="231"/>
      <c r="N91" s="237"/>
      <c r="O91" s="231"/>
      <c r="P91" s="237"/>
      <c r="Q91" s="122"/>
      <c r="R91" s="230"/>
      <c r="S91" s="231"/>
      <c r="T91" s="231"/>
      <c r="U91" s="231"/>
      <c r="V91" s="237"/>
      <c r="W91" s="231"/>
      <c r="X91" s="237"/>
      <c r="Y91" s="239"/>
    </row>
    <row r="92" spans="2:25">
      <c r="B92" s="53">
        <f t="shared" ref="B92:B125" si="1">B91+1</f>
        <v>67</v>
      </c>
      <c r="C92" s="53"/>
      <c r="D92" s="201"/>
      <c r="E92" s="199"/>
      <c r="F92" s="230"/>
      <c r="G92" s="231"/>
      <c r="H92" s="237"/>
      <c r="I92" s="231"/>
      <c r="J92" s="237"/>
      <c r="K92" s="122"/>
      <c r="L92" s="230"/>
      <c r="M92" s="231"/>
      <c r="N92" s="237"/>
      <c r="O92" s="231"/>
      <c r="P92" s="237"/>
      <c r="Q92" s="122"/>
      <c r="R92" s="230"/>
      <c r="S92" s="231"/>
      <c r="T92" s="231"/>
      <c r="U92" s="231"/>
      <c r="V92" s="237"/>
      <c r="W92" s="231"/>
      <c r="X92" s="237"/>
      <c r="Y92" s="239"/>
    </row>
    <row r="93" spans="2:25">
      <c r="B93" s="53">
        <f t="shared" si="1"/>
        <v>68</v>
      </c>
      <c r="C93" s="53"/>
      <c r="D93" s="201"/>
      <c r="E93" s="199"/>
      <c r="F93" s="230"/>
      <c r="G93" s="231"/>
      <c r="H93" s="237"/>
      <c r="I93" s="231"/>
      <c r="J93" s="237"/>
      <c r="K93" s="122"/>
      <c r="L93" s="230"/>
      <c r="M93" s="231"/>
      <c r="N93" s="237"/>
      <c r="O93" s="231"/>
      <c r="P93" s="237"/>
      <c r="Q93" s="122"/>
      <c r="R93" s="230"/>
      <c r="S93" s="231"/>
      <c r="T93" s="231"/>
      <c r="U93" s="231"/>
      <c r="V93" s="237"/>
      <c r="W93" s="231"/>
      <c r="X93" s="237"/>
      <c r="Y93" s="239"/>
    </row>
    <row r="94" spans="2:25">
      <c r="B94" s="53">
        <f t="shared" si="1"/>
        <v>69</v>
      </c>
      <c r="C94" s="53"/>
      <c r="D94" s="201"/>
      <c r="E94" s="199"/>
      <c r="F94" s="230"/>
      <c r="G94" s="231"/>
      <c r="H94" s="237"/>
      <c r="I94" s="231"/>
      <c r="J94" s="237"/>
      <c r="K94" s="122"/>
      <c r="L94" s="230"/>
      <c r="M94" s="231"/>
      <c r="N94" s="237"/>
      <c r="O94" s="231"/>
      <c r="P94" s="237"/>
      <c r="Q94" s="122"/>
      <c r="R94" s="230"/>
      <c r="S94" s="231"/>
      <c r="T94" s="231"/>
      <c r="U94" s="231"/>
      <c r="V94" s="237"/>
      <c r="W94" s="231"/>
      <c r="X94" s="237"/>
      <c r="Y94" s="239"/>
    </row>
    <row r="95" spans="2:25">
      <c r="B95" s="53">
        <f t="shared" si="1"/>
        <v>70</v>
      </c>
      <c r="C95" s="53"/>
      <c r="D95" s="201"/>
      <c r="E95" s="199"/>
      <c r="F95" s="230"/>
      <c r="G95" s="231"/>
      <c r="H95" s="237"/>
      <c r="I95" s="231"/>
      <c r="J95" s="237"/>
      <c r="K95" s="122"/>
      <c r="L95" s="230"/>
      <c r="M95" s="231"/>
      <c r="N95" s="237"/>
      <c r="O95" s="231"/>
      <c r="P95" s="237"/>
      <c r="Q95" s="122"/>
      <c r="R95" s="230"/>
      <c r="S95" s="231"/>
      <c r="T95" s="231"/>
      <c r="U95" s="231"/>
      <c r="V95" s="237"/>
      <c r="W95" s="231"/>
      <c r="X95" s="237"/>
      <c r="Y95" s="239"/>
    </row>
    <row r="96" spans="2:25">
      <c r="B96" s="53">
        <f t="shared" si="1"/>
        <v>71</v>
      </c>
      <c r="C96" s="53"/>
      <c r="D96" s="201"/>
      <c r="E96" s="199"/>
      <c r="F96" s="230"/>
      <c r="G96" s="231"/>
      <c r="H96" s="237"/>
      <c r="I96" s="231"/>
      <c r="J96" s="237"/>
      <c r="K96" s="122"/>
      <c r="L96" s="230"/>
      <c r="M96" s="231"/>
      <c r="N96" s="237"/>
      <c r="O96" s="231"/>
      <c r="P96" s="237"/>
      <c r="Q96" s="122"/>
      <c r="R96" s="230"/>
      <c r="S96" s="231"/>
      <c r="T96" s="231"/>
      <c r="U96" s="231"/>
      <c r="V96" s="237"/>
      <c r="W96" s="231"/>
      <c r="X96" s="237"/>
      <c r="Y96" s="239"/>
    </row>
    <row r="97" spans="2:25">
      <c r="B97" s="53">
        <f t="shared" si="1"/>
        <v>72</v>
      </c>
      <c r="C97" s="53"/>
      <c r="D97" s="201"/>
      <c r="E97" s="199"/>
      <c r="F97" s="230"/>
      <c r="G97" s="231"/>
      <c r="H97" s="237"/>
      <c r="I97" s="231"/>
      <c r="J97" s="237"/>
      <c r="K97" s="122"/>
      <c r="L97" s="230"/>
      <c r="M97" s="231"/>
      <c r="N97" s="237"/>
      <c r="O97" s="231"/>
      <c r="P97" s="237"/>
      <c r="Q97" s="122"/>
      <c r="R97" s="230"/>
      <c r="S97" s="231"/>
      <c r="T97" s="231"/>
      <c r="U97" s="231"/>
      <c r="V97" s="237"/>
      <c r="W97" s="231"/>
      <c r="X97" s="237"/>
      <c r="Y97" s="239"/>
    </row>
    <row r="98" spans="2:25">
      <c r="B98" s="53">
        <f t="shared" si="1"/>
        <v>73</v>
      </c>
      <c r="C98" s="53"/>
      <c r="D98" s="201"/>
      <c r="E98" s="199"/>
      <c r="F98" s="230"/>
      <c r="G98" s="231"/>
      <c r="H98" s="237"/>
      <c r="I98" s="231"/>
      <c r="J98" s="237"/>
      <c r="K98" s="122"/>
      <c r="L98" s="230"/>
      <c r="M98" s="231"/>
      <c r="N98" s="237"/>
      <c r="O98" s="231"/>
      <c r="P98" s="237"/>
      <c r="Q98" s="122"/>
      <c r="R98" s="230"/>
      <c r="S98" s="231"/>
      <c r="T98" s="231"/>
      <c r="U98" s="231"/>
      <c r="V98" s="237"/>
      <c r="W98" s="231"/>
      <c r="X98" s="237"/>
      <c r="Y98" s="239"/>
    </row>
    <row r="99" spans="2:25">
      <c r="B99" s="53">
        <f t="shared" si="1"/>
        <v>74</v>
      </c>
      <c r="C99" s="53"/>
      <c r="D99" s="201"/>
      <c r="E99" s="199"/>
      <c r="F99" s="230"/>
      <c r="G99" s="231"/>
      <c r="H99" s="237"/>
      <c r="I99" s="231"/>
      <c r="J99" s="237"/>
      <c r="K99" s="122"/>
      <c r="L99" s="230"/>
      <c r="M99" s="231"/>
      <c r="N99" s="237"/>
      <c r="O99" s="231"/>
      <c r="P99" s="237"/>
      <c r="Q99" s="122"/>
      <c r="R99" s="230"/>
      <c r="S99" s="231"/>
      <c r="T99" s="231"/>
      <c r="U99" s="231"/>
      <c r="V99" s="237"/>
      <c r="W99" s="231"/>
      <c r="X99" s="237"/>
      <c r="Y99" s="239"/>
    </row>
    <row r="100" spans="2:25">
      <c r="B100" s="53">
        <f t="shared" si="1"/>
        <v>75</v>
      </c>
      <c r="C100" s="53"/>
      <c r="D100" s="201"/>
      <c r="E100" s="199"/>
      <c r="F100" s="230"/>
      <c r="G100" s="231"/>
      <c r="H100" s="237"/>
      <c r="I100" s="231"/>
      <c r="J100" s="237"/>
      <c r="K100" s="122"/>
      <c r="L100" s="230"/>
      <c r="M100" s="231"/>
      <c r="N100" s="237"/>
      <c r="O100" s="231"/>
      <c r="P100" s="237"/>
      <c r="Q100" s="122"/>
      <c r="R100" s="230"/>
      <c r="S100" s="231"/>
      <c r="T100" s="231"/>
      <c r="U100" s="231"/>
      <c r="V100" s="237"/>
      <c r="W100" s="231"/>
      <c r="X100" s="237"/>
      <c r="Y100" s="239"/>
    </row>
    <row r="101" spans="2:25">
      <c r="B101" s="53">
        <f t="shared" si="1"/>
        <v>76</v>
      </c>
      <c r="C101" s="53"/>
      <c r="D101" s="201"/>
      <c r="E101" s="199"/>
      <c r="F101" s="230"/>
      <c r="G101" s="231"/>
      <c r="H101" s="237"/>
      <c r="I101" s="231"/>
      <c r="J101" s="237"/>
      <c r="K101" s="122"/>
      <c r="L101" s="230"/>
      <c r="M101" s="231"/>
      <c r="N101" s="237"/>
      <c r="O101" s="231"/>
      <c r="P101" s="237"/>
      <c r="Q101" s="122"/>
      <c r="R101" s="230"/>
      <c r="S101" s="231"/>
      <c r="T101" s="231"/>
      <c r="U101" s="231"/>
      <c r="V101" s="237"/>
      <c r="W101" s="231"/>
      <c r="X101" s="237"/>
      <c r="Y101" s="239"/>
    </row>
    <row r="102" spans="2:25">
      <c r="B102" s="53">
        <f t="shared" si="1"/>
        <v>77</v>
      </c>
      <c r="C102" s="53"/>
      <c r="D102" s="201"/>
      <c r="E102" s="199"/>
      <c r="F102" s="230"/>
      <c r="G102" s="231"/>
      <c r="H102" s="237"/>
      <c r="I102" s="231"/>
      <c r="J102" s="237"/>
      <c r="K102" s="122"/>
      <c r="L102" s="230"/>
      <c r="M102" s="231"/>
      <c r="N102" s="237"/>
      <c r="O102" s="231"/>
      <c r="P102" s="237"/>
      <c r="Q102" s="122"/>
      <c r="R102" s="230"/>
      <c r="S102" s="231"/>
      <c r="T102" s="231"/>
      <c r="U102" s="231"/>
      <c r="V102" s="237"/>
      <c r="W102" s="231"/>
      <c r="X102" s="237"/>
      <c r="Y102" s="239"/>
    </row>
    <row r="103" spans="2:25">
      <c r="B103" s="53">
        <f t="shared" si="1"/>
        <v>78</v>
      </c>
      <c r="C103" s="53"/>
      <c r="D103" s="201"/>
      <c r="E103" s="199"/>
      <c r="F103" s="230"/>
      <c r="G103" s="231"/>
      <c r="H103" s="237"/>
      <c r="I103" s="231"/>
      <c r="J103" s="237"/>
      <c r="K103" s="122"/>
      <c r="L103" s="230"/>
      <c r="M103" s="231"/>
      <c r="N103" s="237"/>
      <c r="O103" s="231"/>
      <c r="P103" s="237"/>
      <c r="Q103" s="122"/>
      <c r="R103" s="230"/>
      <c r="S103" s="231"/>
      <c r="T103" s="231"/>
      <c r="U103" s="231"/>
      <c r="V103" s="237"/>
      <c r="W103" s="231"/>
      <c r="X103" s="237"/>
      <c r="Y103" s="239"/>
    </row>
    <row r="104" spans="2:25">
      <c r="B104" s="53">
        <f t="shared" si="1"/>
        <v>79</v>
      </c>
      <c r="C104" s="53"/>
      <c r="D104" s="201"/>
      <c r="E104" s="199"/>
      <c r="F104" s="230"/>
      <c r="G104" s="231"/>
      <c r="H104" s="237"/>
      <c r="I104" s="231"/>
      <c r="J104" s="237"/>
      <c r="K104" s="122"/>
      <c r="L104" s="230"/>
      <c r="M104" s="231"/>
      <c r="N104" s="237"/>
      <c r="O104" s="231"/>
      <c r="P104" s="237"/>
      <c r="Q104" s="122"/>
      <c r="R104" s="230"/>
      <c r="S104" s="231"/>
      <c r="T104" s="231"/>
      <c r="U104" s="231"/>
      <c r="V104" s="237"/>
      <c r="W104" s="231"/>
      <c r="X104" s="237"/>
      <c r="Y104" s="239"/>
    </row>
    <row r="105" spans="2:25">
      <c r="B105" s="53">
        <f t="shared" si="1"/>
        <v>80</v>
      </c>
      <c r="C105" s="53"/>
      <c r="D105" s="201"/>
      <c r="E105" s="199"/>
      <c r="F105" s="230"/>
      <c r="G105" s="231"/>
      <c r="H105" s="237"/>
      <c r="I105" s="231"/>
      <c r="J105" s="237"/>
      <c r="K105" s="122"/>
      <c r="L105" s="230"/>
      <c r="M105" s="231"/>
      <c r="N105" s="237"/>
      <c r="O105" s="231"/>
      <c r="P105" s="237"/>
      <c r="Q105" s="122"/>
      <c r="R105" s="230"/>
      <c r="S105" s="231"/>
      <c r="T105" s="231"/>
      <c r="U105" s="231"/>
      <c r="V105" s="237"/>
      <c r="W105" s="231"/>
      <c r="X105" s="237"/>
      <c r="Y105" s="239"/>
    </row>
    <row r="106" spans="2:25">
      <c r="B106" s="53">
        <f t="shared" si="1"/>
        <v>81</v>
      </c>
      <c r="C106" s="53"/>
      <c r="D106" s="201"/>
      <c r="E106" s="199"/>
      <c r="F106" s="230"/>
      <c r="G106" s="231"/>
      <c r="H106" s="237"/>
      <c r="I106" s="231"/>
      <c r="J106" s="237"/>
      <c r="K106" s="122"/>
      <c r="L106" s="230"/>
      <c r="M106" s="231"/>
      <c r="N106" s="237"/>
      <c r="O106" s="231"/>
      <c r="P106" s="237"/>
      <c r="Q106" s="122"/>
      <c r="R106" s="230"/>
      <c r="S106" s="231"/>
      <c r="T106" s="231"/>
      <c r="U106" s="231"/>
      <c r="V106" s="237"/>
      <c r="W106" s="231"/>
      <c r="X106" s="237"/>
      <c r="Y106" s="239"/>
    </row>
    <row r="107" spans="2:25">
      <c r="B107" s="53">
        <f t="shared" si="1"/>
        <v>82</v>
      </c>
      <c r="C107" s="53"/>
      <c r="D107" s="201"/>
      <c r="E107" s="199"/>
      <c r="F107" s="230"/>
      <c r="G107" s="231"/>
      <c r="H107" s="237"/>
      <c r="I107" s="231"/>
      <c r="J107" s="237"/>
      <c r="K107" s="122"/>
      <c r="L107" s="230"/>
      <c r="M107" s="231"/>
      <c r="N107" s="237"/>
      <c r="O107" s="231"/>
      <c r="P107" s="237"/>
      <c r="Q107" s="122"/>
      <c r="R107" s="230"/>
      <c r="S107" s="231"/>
      <c r="T107" s="231"/>
      <c r="U107" s="231"/>
      <c r="V107" s="237"/>
      <c r="W107" s="231"/>
      <c r="X107" s="237"/>
      <c r="Y107" s="239"/>
    </row>
    <row r="108" spans="2:25">
      <c r="B108" s="53">
        <f t="shared" si="1"/>
        <v>83</v>
      </c>
      <c r="C108" s="53"/>
      <c r="D108" s="201"/>
      <c r="E108" s="199"/>
      <c r="F108" s="230"/>
      <c r="G108" s="231"/>
      <c r="H108" s="237"/>
      <c r="I108" s="231"/>
      <c r="J108" s="237"/>
      <c r="K108" s="122"/>
      <c r="L108" s="230"/>
      <c r="M108" s="231"/>
      <c r="N108" s="237"/>
      <c r="O108" s="231"/>
      <c r="P108" s="237"/>
      <c r="Q108" s="122"/>
      <c r="R108" s="230"/>
      <c r="S108" s="231"/>
      <c r="T108" s="231"/>
      <c r="U108" s="231"/>
      <c r="V108" s="237"/>
      <c r="W108" s="231"/>
      <c r="X108" s="237"/>
      <c r="Y108" s="239"/>
    </row>
    <row r="109" spans="2:25">
      <c r="B109" s="53">
        <f t="shared" si="1"/>
        <v>84</v>
      </c>
      <c r="C109" s="53"/>
      <c r="D109" s="201"/>
      <c r="E109" s="199"/>
      <c r="F109" s="230"/>
      <c r="G109" s="231"/>
      <c r="H109" s="237"/>
      <c r="I109" s="231"/>
      <c r="J109" s="237"/>
      <c r="K109" s="122"/>
      <c r="L109" s="230"/>
      <c r="M109" s="231"/>
      <c r="N109" s="237"/>
      <c r="O109" s="231"/>
      <c r="P109" s="237"/>
      <c r="Q109" s="122"/>
      <c r="R109" s="230"/>
      <c r="S109" s="231"/>
      <c r="T109" s="231"/>
      <c r="U109" s="231"/>
      <c r="V109" s="237"/>
      <c r="W109" s="231"/>
      <c r="X109" s="237"/>
      <c r="Y109" s="239"/>
    </row>
    <row r="110" spans="2:25">
      <c r="B110" s="53">
        <f t="shared" si="1"/>
        <v>85</v>
      </c>
      <c r="C110" s="53"/>
      <c r="D110" s="201"/>
      <c r="E110" s="199"/>
      <c r="F110" s="230"/>
      <c r="G110" s="231"/>
      <c r="H110" s="237"/>
      <c r="I110" s="231"/>
      <c r="J110" s="237"/>
      <c r="K110" s="122"/>
      <c r="L110" s="230"/>
      <c r="M110" s="231"/>
      <c r="N110" s="237"/>
      <c r="O110" s="231"/>
      <c r="P110" s="237"/>
      <c r="Q110" s="122"/>
      <c r="R110" s="230"/>
      <c r="S110" s="231"/>
      <c r="T110" s="231"/>
      <c r="U110" s="231"/>
      <c r="V110" s="237"/>
      <c r="W110" s="231"/>
      <c r="X110" s="237"/>
      <c r="Y110" s="239"/>
    </row>
    <row r="111" spans="2:25">
      <c r="B111" s="53">
        <f t="shared" si="1"/>
        <v>86</v>
      </c>
      <c r="C111" s="53"/>
      <c r="D111" s="201"/>
      <c r="E111" s="199"/>
      <c r="F111" s="230"/>
      <c r="G111" s="231"/>
      <c r="H111" s="237"/>
      <c r="I111" s="231"/>
      <c r="J111" s="237"/>
      <c r="K111" s="122"/>
      <c r="L111" s="230"/>
      <c r="M111" s="231"/>
      <c r="N111" s="237"/>
      <c r="O111" s="231"/>
      <c r="P111" s="237"/>
      <c r="Q111" s="122"/>
      <c r="R111" s="230"/>
      <c r="S111" s="231"/>
      <c r="T111" s="231"/>
      <c r="U111" s="231"/>
      <c r="V111" s="237"/>
      <c r="W111" s="231"/>
      <c r="X111" s="237"/>
      <c r="Y111" s="239"/>
    </row>
    <row r="112" spans="2:25">
      <c r="B112" s="53">
        <f t="shared" si="1"/>
        <v>87</v>
      </c>
      <c r="C112" s="53"/>
      <c r="D112" s="201"/>
      <c r="E112" s="199"/>
      <c r="F112" s="230"/>
      <c r="G112" s="231"/>
      <c r="H112" s="237"/>
      <c r="I112" s="231"/>
      <c r="J112" s="237"/>
      <c r="K112" s="122"/>
      <c r="L112" s="230"/>
      <c r="M112" s="231"/>
      <c r="N112" s="237"/>
      <c r="O112" s="231"/>
      <c r="P112" s="237"/>
      <c r="Q112" s="122"/>
      <c r="R112" s="230"/>
      <c r="S112" s="231"/>
      <c r="T112" s="231"/>
      <c r="U112" s="231"/>
      <c r="V112" s="237"/>
      <c r="W112" s="231"/>
      <c r="X112" s="237"/>
      <c r="Y112" s="239"/>
    </row>
    <row r="113" spans="2:25">
      <c r="B113" s="53">
        <f t="shared" si="1"/>
        <v>88</v>
      </c>
      <c r="C113" s="53"/>
      <c r="D113" s="201"/>
      <c r="E113" s="199"/>
      <c r="F113" s="230"/>
      <c r="G113" s="231"/>
      <c r="H113" s="237"/>
      <c r="I113" s="231"/>
      <c r="J113" s="237"/>
      <c r="K113" s="122"/>
      <c r="L113" s="230"/>
      <c r="M113" s="231"/>
      <c r="N113" s="237"/>
      <c r="O113" s="231"/>
      <c r="P113" s="237"/>
      <c r="Q113" s="122"/>
      <c r="R113" s="230"/>
      <c r="S113" s="231"/>
      <c r="T113" s="231"/>
      <c r="U113" s="231"/>
      <c r="V113" s="237"/>
      <c r="W113" s="231"/>
      <c r="X113" s="237"/>
      <c r="Y113" s="239"/>
    </row>
    <row r="114" spans="2:25">
      <c r="B114" s="53">
        <f t="shared" si="1"/>
        <v>89</v>
      </c>
      <c r="C114" s="53"/>
      <c r="D114" s="201"/>
      <c r="E114" s="199"/>
      <c r="F114" s="230"/>
      <c r="G114" s="231"/>
      <c r="H114" s="237"/>
      <c r="I114" s="231"/>
      <c r="J114" s="237"/>
      <c r="K114" s="122"/>
      <c r="L114" s="230"/>
      <c r="M114" s="231"/>
      <c r="N114" s="237"/>
      <c r="O114" s="231"/>
      <c r="P114" s="237"/>
      <c r="Q114" s="122"/>
      <c r="R114" s="230"/>
      <c r="S114" s="231"/>
      <c r="T114" s="231"/>
      <c r="U114" s="231"/>
      <c r="V114" s="237"/>
      <c r="W114" s="231"/>
      <c r="X114" s="237"/>
      <c r="Y114" s="239"/>
    </row>
    <row r="115" spans="2:25">
      <c r="B115" s="53">
        <f t="shared" si="1"/>
        <v>90</v>
      </c>
      <c r="C115" s="53"/>
      <c r="D115" s="201"/>
      <c r="E115" s="199"/>
      <c r="F115" s="230"/>
      <c r="G115" s="231"/>
      <c r="H115" s="237"/>
      <c r="I115" s="231"/>
      <c r="J115" s="237"/>
      <c r="K115" s="122"/>
      <c r="L115" s="230"/>
      <c r="M115" s="231"/>
      <c r="N115" s="237"/>
      <c r="O115" s="231"/>
      <c r="P115" s="237"/>
      <c r="Q115" s="122"/>
      <c r="R115" s="230"/>
      <c r="S115" s="231"/>
      <c r="T115" s="231"/>
      <c r="U115" s="231"/>
      <c r="V115" s="237"/>
      <c r="W115" s="231"/>
      <c r="X115" s="237"/>
      <c r="Y115" s="239"/>
    </row>
    <row r="116" spans="2:25">
      <c r="B116" s="53">
        <f t="shared" si="1"/>
        <v>91</v>
      </c>
      <c r="C116" s="53"/>
      <c r="D116" s="201"/>
      <c r="E116" s="199"/>
      <c r="F116" s="230"/>
      <c r="G116" s="231"/>
      <c r="H116" s="237"/>
      <c r="I116" s="231"/>
      <c r="J116" s="237"/>
      <c r="K116" s="122"/>
      <c r="L116" s="230"/>
      <c r="M116" s="231"/>
      <c r="N116" s="237"/>
      <c r="O116" s="231"/>
      <c r="P116" s="237"/>
      <c r="Q116" s="122"/>
      <c r="R116" s="230"/>
      <c r="S116" s="231"/>
      <c r="T116" s="231"/>
      <c r="U116" s="231"/>
      <c r="V116" s="237"/>
      <c r="W116" s="231"/>
      <c r="X116" s="237"/>
      <c r="Y116" s="239"/>
    </row>
    <row r="117" spans="2:25">
      <c r="B117" s="53">
        <f t="shared" si="1"/>
        <v>92</v>
      </c>
      <c r="C117" s="53"/>
      <c r="D117" s="201"/>
      <c r="E117" s="199"/>
      <c r="F117" s="230"/>
      <c r="G117" s="231"/>
      <c r="H117" s="237"/>
      <c r="I117" s="231"/>
      <c r="J117" s="237"/>
      <c r="K117" s="122"/>
      <c r="L117" s="230"/>
      <c r="M117" s="231"/>
      <c r="N117" s="237"/>
      <c r="O117" s="231"/>
      <c r="P117" s="237"/>
      <c r="Q117" s="122"/>
      <c r="R117" s="230"/>
      <c r="S117" s="231"/>
      <c r="T117" s="231"/>
      <c r="U117" s="231"/>
      <c r="V117" s="237"/>
      <c r="W117" s="231"/>
      <c r="X117" s="237"/>
      <c r="Y117" s="239"/>
    </row>
    <row r="118" spans="2:25">
      <c r="B118" s="53">
        <f t="shared" si="1"/>
        <v>93</v>
      </c>
      <c r="C118" s="53"/>
      <c r="D118" s="201"/>
      <c r="E118" s="199"/>
      <c r="F118" s="230"/>
      <c r="G118" s="231"/>
      <c r="H118" s="237"/>
      <c r="I118" s="231"/>
      <c r="J118" s="237"/>
      <c r="K118" s="122"/>
      <c r="L118" s="230"/>
      <c r="M118" s="231"/>
      <c r="N118" s="237"/>
      <c r="O118" s="231"/>
      <c r="P118" s="237"/>
      <c r="Q118" s="122"/>
      <c r="R118" s="230"/>
      <c r="S118" s="231"/>
      <c r="T118" s="231"/>
      <c r="U118" s="231"/>
      <c r="V118" s="237"/>
      <c r="W118" s="231"/>
      <c r="X118" s="237"/>
      <c r="Y118" s="239"/>
    </row>
    <row r="119" spans="2:25">
      <c r="B119" s="53">
        <f t="shared" si="1"/>
        <v>94</v>
      </c>
      <c r="C119" s="53"/>
      <c r="D119" s="201"/>
      <c r="E119" s="199"/>
      <c r="F119" s="230"/>
      <c r="G119" s="231"/>
      <c r="H119" s="237"/>
      <c r="I119" s="231"/>
      <c r="J119" s="237"/>
      <c r="K119" s="122"/>
      <c r="L119" s="230"/>
      <c r="M119" s="231"/>
      <c r="N119" s="237"/>
      <c r="O119" s="231"/>
      <c r="P119" s="237"/>
      <c r="Q119" s="122"/>
      <c r="R119" s="230"/>
      <c r="S119" s="231"/>
      <c r="T119" s="231"/>
      <c r="U119" s="231"/>
      <c r="V119" s="237"/>
      <c r="W119" s="231"/>
      <c r="X119" s="237"/>
      <c r="Y119" s="239"/>
    </row>
    <row r="120" spans="2:25">
      <c r="B120" s="53">
        <f t="shared" si="1"/>
        <v>95</v>
      </c>
      <c r="C120" s="53"/>
      <c r="D120" s="201"/>
      <c r="E120" s="199"/>
      <c r="F120" s="230"/>
      <c r="G120" s="231"/>
      <c r="H120" s="237"/>
      <c r="I120" s="231"/>
      <c r="J120" s="237"/>
      <c r="K120" s="122"/>
      <c r="L120" s="230"/>
      <c r="M120" s="231"/>
      <c r="N120" s="237"/>
      <c r="O120" s="231"/>
      <c r="P120" s="237"/>
      <c r="Q120" s="122"/>
      <c r="R120" s="230"/>
      <c r="S120" s="231"/>
      <c r="T120" s="231"/>
      <c r="U120" s="231"/>
      <c r="V120" s="237"/>
      <c r="W120" s="231"/>
      <c r="X120" s="237"/>
      <c r="Y120" s="239"/>
    </row>
    <row r="121" spans="2:25">
      <c r="B121" s="53">
        <f t="shared" si="1"/>
        <v>96</v>
      </c>
      <c r="C121" s="53"/>
      <c r="D121" s="201"/>
      <c r="E121" s="199"/>
      <c r="F121" s="230"/>
      <c r="G121" s="231"/>
      <c r="H121" s="237"/>
      <c r="I121" s="231"/>
      <c r="J121" s="237"/>
      <c r="K121" s="122"/>
      <c r="L121" s="230"/>
      <c r="M121" s="231"/>
      <c r="N121" s="237"/>
      <c r="O121" s="231"/>
      <c r="P121" s="237"/>
      <c r="Q121" s="122"/>
      <c r="R121" s="230"/>
      <c r="S121" s="231"/>
      <c r="T121" s="231"/>
      <c r="U121" s="231"/>
      <c r="V121" s="237"/>
      <c r="W121" s="231"/>
      <c r="X121" s="237"/>
      <c r="Y121" s="239"/>
    </row>
    <row r="122" spans="2:25">
      <c r="B122" s="53">
        <f t="shared" si="1"/>
        <v>97</v>
      </c>
      <c r="C122" s="53"/>
      <c r="D122" s="201"/>
      <c r="E122" s="199"/>
      <c r="F122" s="230"/>
      <c r="G122" s="231"/>
      <c r="H122" s="237"/>
      <c r="I122" s="231"/>
      <c r="J122" s="237"/>
      <c r="K122" s="122"/>
      <c r="L122" s="230"/>
      <c r="M122" s="231"/>
      <c r="N122" s="237"/>
      <c r="O122" s="231"/>
      <c r="P122" s="237"/>
      <c r="Q122" s="122"/>
      <c r="R122" s="230"/>
      <c r="S122" s="231"/>
      <c r="T122" s="231"/>
      <c r="U122" s="231"/>
      <c r="V122" s="237"/>
      <c r="W122" s="231"/>
      <c r="X122" s="237"/>
      <c r="Y122" s="239"/>
    </row>
    <row r="123" spans="2:25">
      <c r="B123" s="53">
        <f t="shared" si="1"/>
        <v>98</v>
      </c>
      <c r="C123" s="53"/>
      <c r="D123" s="201"/>
      <c r="E123" s="199"/>
      <c r="F123" s="230"/>
      <c r="G123" s="231"/>
      <c r="H123" s="237"/>
      <c r="I123" s="231"/>
      <c r="J123" s="237"/>
      <c r="K123" s="122"/>
      <c r="L123" s="230"/>
      <c r="M123" s="231"/>
      <c r="N123" s="237"/>
      <c r="O123" s="231"/>
      <c r="P123" s="237"/>
      <c r="Q123" s="122"/>
      <c r="R123" s="230"/>
      <c r="S123" s="231"/>
      <c r="T123" s="231"/>
      <c r="U123" s="231"/>
      <c r="V123" s="237"/>
      <c r="W123" s="231"/>
      <c r="X123" s="237"/>
      <c r="Y123" s="239"/>
    </row>
    <row r="124" spans="2:25">
      <c r="B124" s="53">
        <f t="shared" si="1"/>
        <v>99</v>
      </c>
      <c r="C124" s="53"/>
      <c r="D124" s="201"/>
      <c r="E124" s="199"/>
      <c r="F124" s="230"/>
      <c r="G124" s="231"/>
      <c r="H124" s="237"/>
      <c r="I124" s="231"/>
      <c r="J124" s="237"/>
      <c r="K124" s="122"/>
      <c r="L124" s="230"/>
      <c r="M124" s="231"/>
      <c r="N124" s="237"/>
      <c r="O124" s="231"/>
      <c r="P124" s="237"/>
      <c r="Q124" s="122"/>
      <c r="R124" s="230"/>
      <c r="S124" s="231"/>
      <c r="T124" s="231"/>
      <c r="U124" s="231"/>
      <c r="V124" s="237"/>
      <c r="W124" s="231"/>
      <c r="X124" s="237"/>
      <c r="Y124" s="239"/>
    </row>
    <row r="125" spans="2:25">
      <c r="B125" s="53">
        <f t="shared" si="1"/>
        <v>100</v>
      </c>
      <c r="C125" s="234"/>
      <c r="D125" s="201"/>
      <c r="E125" s="199"/>
      <c r="F125" s="230"/>
      <c r="G125" s="231"/>
      <c r="H125" s="238"/>
      <c r="I125" s="231"/>
      <c r="J125" s="238"/>
      <c r="K125" s="122"/>
      <c r="L125" s="230"/>
      <c r="M125" s="231"/>
      <c r="N125" s="238"/>
      <c r="O125" s="231"/>
      <c r="P125" s="238"/>
      <c r="Q125" s="122"/>
      <c r="R125" s="230"/>
      <c r="S125" s="231"/>
      <c r="T125" s="231"/>
      <c r="U125" s="231"/>
      <c r="V125" s="238"/>
      <c r="W125" s="231"/>
      <c r="X125" s="238"/>
      <c r="Y125" s="239"/>
    </row>
    <row r="126" spans="2:25">
      <c r="B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Y126" s="14"/>
    </row>
    <row r="128" spans="2:25" ht="17.25" thickBot="1">
      <c r="B128" s="4" t="s">
        <v>119</v>
      </c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spans="1:25"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 spans="1:25" ht="16.5">
      <c r="B130" s="28" t="s">
        <v>28</v>
      </c>
    </row>
    <row r="131" spans="1:25" ht="16.5">
      <c r="J131" s="25"/>
      <c r="T131" s="8"/>
    </row>
    <row r="132" spans="1:25" s="38" customFormat="1" ht="30">
      <c r="A132" s="37"/>
      <c r="C132" s="202"/>
      <c r="E132" s="40" t="s">
        <v>120</v>
      </c>
      <c r="F132" s="40" t="s">
        <v>124</v>
      </c>
      <c r="G132" s="42" t="s">
        <v>29</v>
      </c>
      <c r="H132" s="43" t="s">
        <v>121</v>
      </c>
      <c r="I132" s="44" t="s">
        <v>30</v>
      </c>
      <c r="J132" s="40" t="s">
        <v>122</v>
      </c>
      <c r="K132" s="89" t="s">
        <v>123</v>
      </c>
      <c r="L132" s="43"/>
      <c r="M132" s="43"/>
      <c r="N132" s="43"/>
      <c r="O132" s="43"/>
      <c r="P132" s="43"/>
      <c r="Q132" s="43"/>
      <c r="R132" s="43"/>
      <c r="S132" s="43"/>
      <c r="T132" s="43"/>
      <c r="U132" s="44"/>
    </row>
    <row r="133" spans="1:25" ht="15">
      <c r="A133"/>
      <c r="B133" s="203" t="s">
        <v>125</v>
      </c>
      <c r="C133" s="57"/>
      <c r="D133" s="204"/>
      <c r="E133" s="123"/>
      <c r="F133" s="134"/>
      <c r="G133" s="135"/>
      <c r="H133" s="136"/>
      <c r="I133" s="137"/>
      <c r="J133" s="134"/>
      <c r="K133" s="131"/>
      <c r="L133" s="14"/>
      <c r="M133" s="14"/>
      <c r="N133" s="14"/>
      <c r="O133" s="14"/>
      <c r="P133" s="14"/>
      <c r="Q133" s="14"/>
      <c r="R133" s="14"/>
      <c r="S133" s="14"/>
      <c r="T133" s="14"/>
      <c r="U133" s="15"/>
    </row>
    <row r="134" spans="1:25" ht="15">
      <c r="B134" s="205" t="s">
        <v>24</v>
      </c>
      <c r="C134" s="57"/>
      <c r="D134" s="206"/>
      <c r="E134" s="124"/>
      <c r="F134" s="138"/>
      <c r="G134" s="139"/>
      <c r="H134" s="140"/>
      <c r="I134" s="141"/>
      <c r="J134" s="138"/>
      <c r="K134" s="132"/>
      <c r="U134" s="17"/>
    </row>
    <row r="135" spans="1:25" ht="15">
      <c r="B135" s="205" t="s">
        <v>126</v>
      </c>
      <c r="C135" s="57"/>
      <c r="D135" s="206"/>
      <c r="E135" s="124"/>
      <c r="F135" s="138"/>
      <c r="G135" s="139"/>
      <c r="H135" s="140"/>
      <c r="I135" s="141"/>
      <c r="J135" s="138"/>
      <c r="K135" s="132"/>
      <c r="U135" s="17"/>
    </row>
    <row r="136" spans="1:25" ht="15">
      <c r="B136" s="205" t="s">
        <v>133</v>
      </c>
      <c r="C136" s="57"/>
      <c r="D136" s="206"/>
      <c r="E136" s="124"/>
      <c r="F136" s="240"/>
      <c r="G136" s="230"/>
      <c r="H136" s="231"/>
      <c r="I136" s="232"/>
      <c r="J136" s="240"/>
      <c r="K136" s="132"/>
      <c r="U136" s="17"/>
    </row>
    <row r="137" spans="1:25" ht="15">
      <c r="B137" s="207" t="s">
        <v>235</v>
      </c>
      <c r="C137" s="208"/>
      <c r="D137" s="209"/>
      <c r="E137" s="125"/>
      <c r="F137" s="241"/>
      <c r="G137" s="242"/>
      <c r="H137" s="243"/>
      <c r="I137" s="244"/>
      <c r="J137" s="241"/>
      <c r="K137" s="133"/>
      <c r="L137" s="19"/>
      <c r="M137" s="19"/>
      <c r="N137" s="19"/>
      <c r="O137" s="19"/>
      <c r="P137" s="19"/>
      <c r="Q137" s="19"/>
      <c r="R137" s="19"/>
      <c r="S137" s="19"/>
      <c r="T137" s="19"/>
      <c r="U137" s="20"/>
    </row>
    <row r="140" spans="1:25" ht="16.5">
      <c r="B140" s="28" t="s">
        <v>31</v>
      </c>
    </row>
    <row r="142" spans="1:25" ht="15">
      <c r="C142" s="10" t="s">
        <v>128</v>
      </c>
      <c r="D142" s="309"/>
      <c r="E142" s="309"/>
      <c r="I142" s="10" t="s">
        <v>127</v>
      </c>
      <c r="J142" s="312"/>
      <c r="K142" s="313"/>
      <c r="P142" s="10" t="s">
        <v>128</v>
      </c>
      <c r="Q142" s="309"/>
      <c r="R142" s="309"/>
    </row>
    <row r="145" spans="2:19" ht="15">
      <c r="B145" s="58" t="s">
        <v>129</v>
      </c>
    </row>
    <row r="146" spans="2:19">
      <c r="B146" s="300"/>
      <c r="C146" s="301"/>
      <c r="D146" s="301"/>
      <c r="E146" s="301"/>
      <c r="F146" s="301"/>
      <c r="G146" s="301"/>
      <c r="H146" s="301"/>
      <c r="I146" s="301"/>
      <c r="J146" s="301"/>
      <c r="K146" s="301"/>
      <c r="L146" s="301"/>
      <c r="M146" s="301"/>
      <c r="N146" s="301"/>
      <c r="O146" s="301"/>
      <c r="P146" s="301"/>
      <c r="Q146" s="301"/>
      <c r="R146" s="301"/>
      <c r="S146" s="302"/>
    </row>
    <row r="147" spans="2:19">
      <c r="B147" s="303"/>
      <c r="C147" s="304"/>
      <c r="D147" s="304"/>
      <c r="E147" s="304"/>
      <c r="F147" s="304"/>
      <c r="G147" s="304"/>
      <c r="H147" s="304"/>
      <c r="I147" s="304"/>
      <c r="J147" s="304"/>
      <c r="K147" s="304"/>
      <c r="L147" s="304"/>
      <c r="M147" s="304"/>
      <c r="N147" s="304"/>
      <c r="O147" s="304"/>
      <c r="P147" s="304"/>
      <c r="Q147" s="304"/>
      <c r="R147" s="304"/>
      <c r="S147" s="305"/>
    </row>
    <row r="148" spans="2:19">
      <c r="B148" s="303"/>
      <c r="C148" s="304"/>
      <c r="D148" s="304"/>
      <c r="E148" s="304"/>
      <c r="F148" s="304"/>
      <c r="G148" s="304"/>
      <c r="H148" s="304"/>
      <c r="I148" s="304"/>
      <c r="J148" s="304"/>
      <c r="K148" s="304"/>
      <c r="L148" s="304"/>
      <c r="M148" s="304"/>
      <c r="N148" s="304"/>
      <c r="O148" s="304"/>
      <c r="P148" s="304"/>
      <c r="Q148" s="304"/>
      <c r="R148" s="304"/>
      <c r="S148" s="305"/>
    </row>
    <row r="149" spans="2:19">
      <c r="B149" s="306"/>
      <c r="C149" s="307"/>
      <c r="D149" s="307"/>
      <c r="E149" s="307"/>
      <c r="F149" s="307"/>
      <c r="G149" s="307"/>
      <c r="H149" s="307"/>
      <c r="I149" s="307"/>
      <c r="J149" s="307"/>
      <c r="K149" s="307"/>
      <c r="L149" s="307"/>
      <c r="M149" s="307"/>
      <c r="N149" s="307"/>
      <c r="O149" s="307"/>
      <c r="P149" s="307"/>
      <c r="Q149" s="307"/>
      <c r="R149" s="307"/>
      <c r="S149" s="308"/>
    </row>
    <row r="151" spans="2:19" ht="15">
      <c r="B151" s="58" t="s">
        <v>130</v>
      </c>
    </row>
    <row r="152" spans="2:19">
      <c r="B152" s="300"/>
      <c r="C152" s="301"/>
      <c r="D152" s="301"/>
      <c r="E152" s="301"/>
      <c r="F152" s="301"/>
      <c r="G152" s="301"/>
      <c r="H152" s="301"/>
      <c r="I152" s="301"/>
      <c r="J152" s="301"/>
      <c r="K152" s="301"/>
      <c r="L152" s="301"/>
      <c r="M152" s="301"/>
      <c r="N152" s="301"/>
      <c r="O152" s="301"/>
      <c r="P152" s="301"/>
      <c r="Q152" s="301"/>
      <c r="R152" s="301"/>
      <c r="S152" s="302"/>
    </row>
    <row r="153" spans="2:19">
      <c r="B153" s="303"/>
      <c r="C153" s="304"/>
      <c r="D153" s="304"/>
      <c r="E153" s="304"/>
      <c r="F153" s="304"/>
      <c r="G153" s="304"/>
      <c r="H153" s="304"/>
      <c r="I153" s="304"/>
      <c r="J153" s="304"/>
      <c r="K153" s="304"/>
      <c r="L153" s="304"/>
      <c r="M153" s="304"/>
      <c r="N153" s="304"/>
      <c r="O153" s="304"/>
      <c r="P153" s="304"/>
      <c r="Q153" s="304"/>
      <c r="R153" s="304"/>
      <c r="S153" s="305"/>
    </row>
    <row r="154" spans="2:19">
      <c r="B154" s="303"/>
      <c r="C154" s="304"/>
      <c r="D154" s="304"/>
      <c r="E154" s="304"/>
      <c r="F154" s="304"/>
      <c r="G154" s="304"/>
      <c r="H154" s="304"/>
      <c r="I154" s="304"/>
      <c r="J154" s="304"/>
      <c r="K154" s="304"/>
      <c r="L154" s="304"/>
      <c r="M154" s="304"/>
      <c r="N154" s="304"/>
      <c r="O154" s="304"/>
      <c r="P154" s="304"/>
      <c r="Q154" s="304"/>
      <c r="R154" s="304"/>
      <c r="S154" s="305"/>
    </row>
    <row r="155" spans="2:19">
      <c r="B155" s="306"/>
      <c r="C155" s="307"/>
      <c r="D155" s="307"/>
      <c r="E155" s="307"/>
      <c r="F155" s="307"/>
      <c r="G155" s="307"/>
      <c r="H155" s="307"/>
      <c r="I155" s="307"/>
      <c r="J155" s="307"/>
      <c r="K155" s="307"/>
      <c r="L155" s="307"/>
      <c r="M155" s="307"/>
      <c r="N155" s="307"/>
      <c r="O155" s="307"/>
      <c r="P155" s="307"/>
      <c r="Q155" s="307"/>
      <c r="R155" s="307"/>
      <c r="S155" s="308"/>
    </row>
    <row r="157" spans="2:19" ht="15">
      <c r="B157" s="58" t="s">
        <v>131</v>
      </c>
    </row>
    <row r="158" spans="2:19">
      <c r="B158" s="300"/>
      <c r="C158" s="301"/>
      <c r="D158" s="301"/>
      <c r="E158" s="301"/>
      <c r="F158" s="301"/>
      <c r="G158" s="301"/>
      <c r="H158" s="301"/>
      <c r="I158" s="301"/>
      <c r="J158" s="301"/>
      <c r="K158" s="301"/>
      <c r="L158" s="301"/>
      <c r="M158" s="301"/>
      <c r="N158" s="301"/>
      <c r="O158" s="301"/>
      <c r="P158" s="301"/>
      <c r="Q158" s="301"/>
      <c r="R158" s="301"/>
      <c r="S158" s="302"/>
    </row>
    <row r="159" spans="2:19">
      <c r="B159" s="303"/>
      <c r="C159" s="304"/>
      <c r="D159" s="304"/>
      <c r="E159" s="304"/>
      <c r="F159" s="304"/>
      <c r="G159" s="304"/>
      <c r="H159" s="304"/>
      <c r="I159" s="304"/>
      <c r="J159" s="304"/>
      <c r="K159" s="304"/>
      <c r="L159" s="304"/>
      <c r="M159" s="304"/>
      <c r="N159" s="304"/>
      <c r="O159" s="304"/>
      <c r="P159" s="304"/>
      <c r="Q159" s="304"/>
      <c r="R159" s="304"/>
      <c r="S159" s="305"/>
    </row>
    <row r="160" spans="2:19">
      <c r="B160" s="303"/>
      <c r="C160" s="304"/>
      <c r="D160" s="304"/>
      <c r="E160" s="304"/>
      <c r="F160" s="304"/>
      <c r="G160" s="304"/>
      <c r="H160" s="304"/>
      <c r="I160" s="304"/>
      <c r="J160" s="304"/>
      <c r="K160" s="304"/>
      <c r="L160" s="304"/>
      <c r="M160" s="304"/>
      <c r="N160" s="304"/>
      <c r="O160" s="304"/>
      <c r="P160" s="304"/>
      <c r="Q160" s="304"/>
      <c r="R160" s="304"/>
      <c r="S160" s="305"/>
    </row>
    <row r="161" spans="2:19">
      <c r="B161" s="306"/>
      <c r="C161" s="307"/>
      <c r="D161" s="307"/>
      <c r="E161" s="307"/>
      <c r="F161" s="307"/>
      <c r="G161" s="307"/>
      <c r="H161" s="307"/>
      <c r="I161" s="307"/>
      <c r="J161" s="307"/>
      <c r="K161" s="307"/>
      <c r="L161" s="307"/>
      <c r="M161" s="307"/>
      <c r="N161" s="307"/>
      <c r="O161" s="307"/>
      <c r="P161" s="307"/>
      <c r="Q161" s="307"/>
      <c r="R161" s="307"/>
      <c r="S161" s="308"/>
    </row>
    <row r="163" spans="2:19" ht="15">
      <c r="B163" s="58" t="s">
        <v>132</v>
      </c>
    </row>
    <row r="164" spans="2:19">
      <c r="B164" s="300"/>
      <c r="C164" s="301"/>
      <c r="D164" s="301"/>
      <c r="E164" s="301"/>
      <c r="F164" s="301"/>
      <c r="G164" s="301"/>
      <c r="H164" s="301"/>
      <c r="I164" s="301"/>
      <c r="J164" s="301"/>
      <c r="K164" s="301"/>
      <c r="L164" s="301"/>
      <c r="M164" s="301"/>
      <c r="N164" s="301"/>
      <c r="O164" s="301"/>
      <c r="P164" s="301"/>
      <c r="Q164" s="301"/>
      <c r="R164" s="301"/>
      <c r="S164" s="302"/>
    </row>
    <row r="165" spans="2:19">
      <c r="B165" s="303"/>
      <c r="C165" s="304"/>
      <c r="D165" s="304"/>
      <c r="E165" s="304"/>
      <c r="F165" s="304"/>
      <c r="G165" s="304"/>
      <c r="H165" s="304"/>
      <c r="I165" s="304"/>
      <c r="J165" s="304"/>
      <c r="K165" s="304"/>
      <c r="L165" s="304"/>
      <c r="M165" s="304"/>
      <c r="N165" s="304"/>
      <c r="O165" s="304"/>
      <c r="P165" s="304"/>
      <c r="Q165" s="304"/>
      <c r="R165" s="304"/>
      <c r="S165" s="305"/>
    </row>
    <row r="166" spans="2:19">
      <c r="B166" s="303"/>
      <c r="C166" s="304"/>
      <c r="D166" s="304"/>
      <c r="E166" s="304"/>
      <c r="F166" s="304"/>
      <c r="G166" s="304"/>
      <c r="H166" s="304"/>
      <c r="I166" s="304"/>
      <c r="J166" s="304"/>
      <c r="K166" s="304"/>
      <c r="L166" s="304"/>
      <c r="M166" s="304"/>
      <c r="N166" s="304"/>
      <c r="O166" s="304"/>
      <c r="P166" s="304"/>
      <c r="Q166" s="304"/>
      <c r="R166" s="304"/>
      <c r="S166" s="305"/>
    </row>
    <row r="167" spans="2:19">
      <c r="B167" s="306"/>
      <c r="C167" s="307"/>
      <c r="D167" s="307"/>
      <c r="E167" s="307"/>
      <c r="F167" s="307"/>
      <c r="G167" s="307"/>
      <c r="H167" s="307"/>
      <c r="I167" s="307"/>
      <c r="J167" s="307"/>
      <c r="K167" s="307"/>
      <c r="L167" s="307"/>
      <c r="M167" s="307"/>
      <c r="N167" s="307"/>
      <c r="O167" s="307"/>
      <c r="P167" s="307"/>
      <c r="Q167" s="307"/>
      <c r="R167" s="307"/>
      <c r="S167" s="308"/>
    </row>
    <row r="169" spans="2:19" ht="15">
      <c r="B169" s="58" t="s">
        <v>239</v>
      </c>
    </row>
    <row r="170" spans="2:19">
      <c r="B170" s="300"/>
      <c r="C170" s="301"/>
      <c r="D170" s="301"/>
      <c r="E170" s="301"/>
      <c r="F170" s="301"/>
      <c r="G170" s="301"/>
      <c r="H170" s="301"/>
      <c r="I170" s="301"/>
      <c r="J170" s="301"/>
      <c r="K170" s="301"/>
      <c r="L170" s="301"/>
      <c r="M170" s="301"/>
      <c r="N170" s="301"/>
      <c r="O170" s="301"/>
      <c r="P170" s="301"/>
      <c r="Q170" s="301"/>
      <c r="R170" s="301"/>
      <c r="S170" s="302"/>
    </row>
    <row r="171" spans="2:19">
      <c r="B171" s="303"/>
      <c r="C171" s="304"/>
      <c r="D171" s="304"/>
      <c r="E171" s="304"/>
      <c r="F171" s="304"/>
      <c r="G171" s="304"/>
      <c r="H171" s="304"/>
      <c r="I171" s="304"/>
      <c r="J171" s="304"/>
      <c r="K171" s="304"/>
      <c r="L171" s="304"/>
      <c r="M171" s="304"/>
      <c r="N171" s="304"/>
      <c r="O171" s="304"/>
      <c r="P171" s="304"/>
      <c r="Q171" s="304"/>
      <c r="R171" s="304"/>
      <c r="S171" s="305"/>
    </row>
    <row r="172" spans="2:19">
      <c r="B172" s="303"/>
      <c r="C172" s="304"/>
      <c r="D172" s="304"/>
      <c r="E172" s="304"/>
      <c r="F172" s="304"/>
      <c r="G172" s="304"/>
      <c r="H172" s="304"/>
      <c r="I172" s="304"/>
      <c r="J172" s="304"/>
      <c r="K172" s="304"/>
      <c r="L172" s="304"/>
      <c r="M172" s="304"/>
      <c r="N172" s="304"/>
      <c r="O172" s="304"/>
      <c r="P172" s="304"/>
      <c r="Q172" s="304"/>
      <c r="R172" s="304"/>
      <c r="S172" s="305"/>
    </row>
    <row r="173" spans="2:19">
      <c r="B173" s="306"/>
      <c r="C173" s="307"/>
      <c r="D173" s="307"/>
      <c r="E173" s="307"/>
      <c r="F173" s="307"/>
      <c r="G173" s="307"/>
      <c r="H173" s="307"/>
      <c r="I173" s="307"/>
      <c r="J173" s="307"/>
      <c r="K173" s="307"/>
      <c r="L173" s="307"/>
      <c r="M173" s="307"/>
      <c r="N173" s="307"/>
      <c r="O173" s="307"/>
      <c r="P173" s="307"/>
      <c r="Q173" s="307"/>
      <c r="R173" s="307"/>
      <c r="S173" s="308"/>
    </row>
  </sheetData>
  <mergeCells count="23">
    <mergeCell ref="K11:L11"/>
    <mergeCell ref="K17:L17"/>
    <mergeCell ref="B146:S149"/>
    <mergeCell ref="B152:S155"/>
    <mergeCell ref="B158:S161"/>
    <mergeCell ref="D17:E17"/>
    <mergeCell ref="D18:E18"/>
    <mergeCell ref="D19:E19"/>
    <mergeCell ref="K12:L12"/>
    <mergeCell ref="K13:L13"/>
    <mergeCell ref="K14:L14"/>
    <mergeCell ref="K15:L15"/>
    <mergeCell ref="D11:E11"/>
    <mergeCell ref="B170:S173"/>
    <mergeCell ref="D142:E142"/>
    <mergeCell ref="D12:E12"/>
    <mergeCell ref="D13:E13"/>
    <mergeCell ref="D14:E14"/>
    <mergeCell ref="D15:E15"/>
    <mergeCell ref="D16:E16"/>
    <mergeCell ref="B164:S167"/>
    <mergeCell ref="Q142:R142"/>
    <mergeCell ref="J142:K142"/>
  </mergeCells>
  <pageMargins left="0.25" right="0.25" top="0.75" bottom="0.75" header="0.3" footer="0.3"/>
  <pageSetup paperSize="9" scale="27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A0349-9908-4BF0-9149-E314F5CCE038}">
  <sheetPr codeName="Sheet6">
    <pageSetUpPr fitToPage="1"/>
  </sheetPr>
  <dimension ref="A1:V36"/>
  <sheetViews>
    <sheetView showGridLines="0" zoomScaleNormal="100" workbookViewId="0"/>
  </sheetViews>
  <sheetFormatPr defaultColWidth="9" defaultRowHeight="14.25"/>
  <cols>
    <col min="1" max="1" width="6.25" style="7" customWidth="1"/>
    <col min="2" max="2" width="14.625" customWidth="1"/>
    <col min="3" max="18" width="11.375" customWidth="1"/>
  </cols>
  <sheetData>
    <row r="1" spans="1:22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</row>
    <row r="3" spans="1:22" ht="26.25">
      <c r="B3" s="12" t="s">
        <v>150</v>
      </c>
      <c r="C3" s="12"/>
    </row>
    <row r="4" spans="1:22">
      <c r="A4" s="7" t="s">
        <v>9</v>
      </c>
    </row>
    <row r="6" spans="1:22" ht="17.25" thickBot="1">
      <c r="A6" s="7" t="s">
        <v>9</v>
      </c>
      <c r="B6" s="4" t="s">
        <v>150</v>
      </c>
      <c r="C6" s="4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</row>
    <row r="7" spans="1:22">
      <c r="A7" s="7" t="s">
        <v>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  <row r="8" spans="1:22" ht="16.5">
      <c r="B8" s="28" t="s">
        <v>200</v>
      </c>
      <c r="D8" s="60"/>
      <c r="H8" s="26"/>
      <c r="M8" s="10"/>
      <c r="N8" s="10"/>
      <c r="O8" s="10"/>
      <c r="P8" s="60"/>
    </row>
    <row r="9" spans="1:22" ht="15">
      <c r="C9" s="10" t="s">
        <v>1</v>
      </c>
      <c r="D9" s="318" t="str">
        <f>IF(inception_date="","",inception_date)</f>
        <v/>
      </c>
      <c r="E9" s="319"/>
      <c r="H9" s="10" t="s">
        <v>2</v>
      </c>
      <c r="I9" s="318" t="str">
        <f>IF(expiry_date="","",expiry_date)</f>
        <v/>
      </c>
      <c r="J9" s="319"/>
      <c r="M9" s="10"/>
      <c r="N9" s="10"/>
      <c r="O9" s="10"/>
    </row>
    <row r="10" spans="1:22" ht="15">
      <c r="M10" s="10"/>
      <c r="N10" s="10"/>
      <c r="O10" s="10"/>
      <c r="P10" s="60"/>
    </row>
    <row r="11" spans="1:22" ht="15">
      <c r="C11" s="10" t="s">
        <v>48</v>
      </c>
      <c r="D11" s="320" t="str">
        <f>IF(total_sum_insured="","",total_sum_insured)</f>
        <v/>
      </c>
      <c r="E11" s="321"/>
      <c r="H11" s="10" t="s">
        <v>201</v>
      </c>
      <c r="I11" s="316"/>
      <c r="J11" s="317"/>
      <c r="M11" s="10"/>
      <c r="N11" s="10"/>
      <c r="O11" s="10"/>
      <c r="P11" s="60"/>
    </row>
    <row r="12" spans="1:22" ht="15">
      <c r="C12" s="10"/>
      <c r="H12" s="10"/>
      <c r="M12" s="10"/>
      <c r="N12" s="10"/>
      <c r="O12" s="10"/>
      <c r="P12" s="60"/>
    </row>
    <row r="13" spans="1:22" ht="15">
      <c r="C13" s="10" t="s">
        <v>100</v>
      </c>
      <c r="D13" s="316" t="str">
        <f>IF(policy_limit="","",policy_limit)</f>
        <v/>
      </c>
      <c r="E13" s="317"/>
      <c r="H13" s="10" t="s">
        <v>101</v>
      </c>
      <c r="I13" s="316" t="str">
        <f>IF(policy_sub_limit="","",policy_sub_limit)</f>
        <v/>
      </c>
      <c r="J13" s="317"/>
      <c r="M13" s="10"/>
      <c r="N13" s="10"/>
      <c r="O13" s="10"/>
      <c r="P13" s="60"/>
    </row>
    <row r="14" spans="1:22" ht="15">
      <c r="C14" s="10"/>
      <c r="H14" s="10"/>
      <c r="M14" s="10"/>
      <c r="N14" s="10"/>
      <c r="O14" s="10"/>
      <c r="P14" s="60"/>
    </row>
    <row r="15" spans="1:22" ht="15">
      <c r="C15" s="10" t="s">
        <v>102</v>
      </c>
      <c r="D15" s="316" t="str">
        <f>IF(policy_excess="","",policy_excess)</f>
        <v/>
      </c>
      <c r="E15" s="317"/>
      <c r="H15" s="10" t="s">
        <v>103</v>
      </c>
      <c r="I15" s="316" t="str">
        <f>IF(policy_deductible="","",policy_deductible)</f>
        <v/>
      </c>
      <c r="J15" s="317"/>
      <c r="M15" s="10"/>
      <c r="N15" s="10"/>
      <c r="O15" s="10"/>
      <c r="P15" s="60"/>
    </row>
    <row r="16" spans="1:22" ht="15">
      <c r="D16" s="60"/>
      <c r="M16" s="10"/>
      <c r="N16" s="10"/>
      <c r="O16" s="10"/>
      <c r="P16" s="60"/>
    </row>
    <row r="17" spans="2:19" ht="16.5">
      <c r="B17" s="28" t="s">
        <v>202</v>
      </c>
      <c r="D17" s="60"/>
      <c r="I17" s="10"/>
      <c r="M17" s="10"/>
      <c r="N17" s="10"/>
      <c r="O17" s="10"/>
      <c r="P17" s="60"/>
      <c r="S17" s="59"/>
    </row>
    <row r="18" spans="2:19" ht="16.5">
      <c r="B18" s="28"/>
      <c r="D18" s="60"/>
      <c r="I18" s="10"/>
      <c r="M18" s="10"/>
      <c r="N18" s="10"/>
      <c r="O18" s="10"/>
      <c r="P18" s="60"/>
      <c r="S18" s="84"/>
    </row>
    <row r="19" spans="2:19" ht="15">
      <c r="B19" s="13"/>
      <c r="C19" s="86" t="s">
        <v>203</v>
      </c>
      <c r="D19" s="87" t="s">
        <v>204</v>
      </c>
      <c r="E19" s="88" t="s">
        <v>205</v>
      </c>
      <c r="I19" s="10"/>
      <c r="M19" s="10"/>
      <c r="N19" s="10"/>
      <c r="O19" s="10"/>
      <c r="P19" s="60"/>
      <c r="S19" s="84"/>
    </row>
    <row r="20" spans="2:19" ht="15">
      <c r="B20" s="85">
        <v>1</v>
      </c>
      <c r="C20" s="144"/>
      <c r="D20" s="145"/>
      <c r="E20" s="147"/>
      <c r="I20" s="10"/>
      <c r="M20" s="10"/>
      <c r="N20" s="10"/>
      <c r="O20" s="10"/>
      <c r="P20" s="60"/>
      <c r="S20" s="84"/>
    </row>
    <row r="21" spans="2:19" ht="15">
      <c r="B21" s="23">
        <v>2</v>
      </c>
      <c r="C21" s="129"/>
      <c r="D21" s="121"/>
      <c r="E21" s="148"/>
      <c r="I21" s="10"/>
      <c r="M21" s="10"/>
      <c r="N21" s="10"/>
      <c r="O21" s="10"/>
      <c r="P21" s="60"/>
      <c r="S21" s="84"/>
    </row>
    <row r="22" spans="2:19" ht="15">
      <c r="B22" s="24">
        <v>3</v>
      </c>
      <c r="C22" s="126"/>
      <c r="D22" s="146"/>
      <c r="E22" s="149"/>
      <c r="I22" s="10"/>
      <c r="M22" s="10"/>
      <c r="N22" s="10"/>
      <c r="O22" s="10"/>
      <c r="P22" s="60"/>
      <c r="S22" s="84"/>
    </row>
    <row r="23" spans="2:19" ht="15">
      <c r="D23" s="60"/>
      <c r="I23" s="10"/>
      <c r="M23" s="10"/>
      <c r="N23" s="10"/>
      <c r="O23" s="10"/>
      <c r="P23" s="60"/>
      <c r="S23" s="84"/>
    </row>
    <row r="24" spans="2:19" ht="15">
      <c r="D24" s="60"/>
      <c r="I24" s="10"/>
      <c r="M24" s="10"/>
      <c r="N24" s="10"/>
      <c r="O24" s="10"/>
      <c r="P24" s="60"/>
      <c r="S24" s="84"/>
    </row>
    <row r="25" spans="2:19" ht="16.5">
      <c r="B25" s="28" t="s">
        <v>206</v>
      </c>
      <c r="D25" s="60"/>
      <c r="I25" s="10"/>
      <c r="M25" s="10"/>
      <c r="N25" s="10"/>
      <c r="O25" s="10"/>
      <c r="P25" s="60"/>
      <c r="S25" s="84"/>
    </row>
    <row r="26" spans="2:19" ht="15">
      <c r="D26" s="60"/>
      <c r="I26" s="10"/>
      <c r="M26" s="10"/>
      <c r="N26" s="10"/>
      <c r="O26" s="10"/>
      <c r="P26" s="60"/>
      <c r="S26" s="84"/>
    </row>
    <row r="27" spans="2:19" ht="45">
      <c r="B27" s="21"/>
      <c r="C27" s="40" t="s">
        <v>207</v>
      </c>
      <c r="D27" s="42" t="s">
        <v>208</v>
      </c>
      <c r="E27" s="43" t="s">
        <v>209</v>
      </c>
      <c r="F27" s="81" t="s">
        <v>210</v>
      </c>
      <c r="G27" s="43" t="s">
        <v>211</v>
      </c>
      <c r="H27" s="42" t="s">
        <v>212</v>
      </c>
      <c r="I27" s="44" t="s">
        <v>213</v>
      </c>
      <c r="J27" s="42" t="s">
        <v>214</v>
      </c>
      <c r="K27" s="44" t="s">
        <v>215</v>
      </c>
      <c r="L27" s="42" t="s">
        <v>216</v>
      </c>
      <c r="M27" s="43" t="s">
        <v>217</v>
      </c>
      <c r="N27" s="81" t="s">
        <v>218</v>
      </c>
      <c r="O27" s="42" t="s">
        <v>219</v>
      </c>
      <c r="P27" s="43" t="s">
        <v>220</v>
      </c>
      <c r="Q27" s="43" t="s">
        <v>221</v>
      </c>
      <c r="R27" s="44" t="s">
        <v>222</v>
      </c>
      <c r="S27" s="84"/>
    </row>
    <row r="28" spans="2:19" ht="15">
      <c r="B28" s="85">
        <v>1</v>
      </c>
      <c r="C28" s="123"/>
      <c r="D28" s="152"/>
      <c r="E28" s="153"/>
      <c r="F28" s="154"/>
      <c r="G28" s="140"/>
      <c r="H28" s="159"/>
      <c r="I28" s="160"/>
      <c r="J28" s="163"/>
      <c r="K28" s="164"/>
      <c r="L28" s="139"/>
      <c r="M28" s="167"/>
      <c r="N28" s="168"/>
      <c r="O28" s="169"/>
      <c r="P28" s="167"/>
      <c r="Q28" s="140"/>
      <c r="R28" s="141"/>
      <c r="S28" s="84"/>
    </row>
    <row r="29" spans="2:19" ht="15">
      <c r="B29" s="23">
        <v>2</v>
      </c>
      <c r="C29" s="23"/>
      <c r="D29" s="152"/>
      <c r="E29" s="153"/>
      <c r="F29" s="154"/>
      <c r="G29" s="140"/>
      <c r="H29" s="159"/>
      <c r="I29" s="160"/>
      <c r="J29" s="163"/>
      <c r="K29" s="164"/>
      <c r="L29" s="139"/>
      <c r="M29" s="167"/>
      <c r="N29" s="168"/>
      <c r="O29" s="169"/>
      <c r="P29" s="167"/>
      <c r="Q29" s="140"/>
      <c r="R29" s="141"/>
      <c r="S29" s="84"/>
    </row>
    <row r="30" spans="2:19" ht="15">
      <c r="B30" s="23">
        <v>3</v>
      </c>
      <c r="C30" s="23"/>
      <c r="D30" s="152"/>
      <c r="E30" s="153"/>
      <c r="F30" s="154"/>
      <c r="G30" s="140"/>
      <c r="H30" s="159"/>
      <c r="I30" s="160"/>
      <c r="J30" s="163"/>
      <c r="K30" s="164"/>
      <c r="L30" s="139"/>
      <c r="M30" s="167"/>
      <c r="N30" s="168"/>
      <c r="O30" s="169"/>
      <c r="P30" s="167"/>
      <c r="Q30" s="140"/>
      <c r="R30" s="141"/>
      <c r="S30" s="84"/>
    </row>
    <row r="31" spans="2:19" ht="15">
      <c r="B31" s="23">
        <v>4</v>
      </c>
      <c r="C31" s="23"/>
      <c r="D31" s="152"/>
      <c r="E31" s="153"/>
      <c r="F31" s="154"/>
      <c r="G31" s="140"/>
      <c r="H31" s="159"/>
      <c r="I31" s="160"/>
      <c r="J31" s="163"/>
      <c r="K31" s="164"/>
      <c r="L31" s="139"/>
      <c r="M31" s="167"/>
      <c r="N31" s="168"/>
      <c r="O31" s="169"/>
      <c r="P31" s="167"/>
      <c r="Q31" s="140"/>
      <c r="R31" s="141"/>
      <c r="S31" s="84"/>
    </row>
    <row r="32" spans="2:19" ht="15">
      <c r="B32" s="24">
        <v>5</v>
      </c>
      <c r="C32" s="24"/>
      <c r="D32" s="155"/>
      <c r="E32" s="156"/>
      <c r="F32" s="157"/>
      <c r="G32" s="158"/>
      <c r="H32" s="161"/>
      <c r="I32" s="162"/>
      <c r="J32" s="165"/>
      <c r="K32" s="166"/>
      <c r="L32" s="170"/>
      <c r="M32" s="171"/>
      <c r="N32" s="172"/>
      <c r="O32" s="173"/>
      <c r="P32" s="171"/>
      <c r="Q32" s="158"/>
      <c r="R32" s="174"/>
      <c r="S32" s="84"/>
    </row>
    <row r="33" spans="2:19" ht="15">
      <c r="D33" s="60"/>
      <c r="I33" s="10"/>
      <c r="M33" s="10"/>
      <c r="N33" s="10"/>
      <c r="O33" s="10"/>
      <c r="P33" s="60"/>
      <c r="S33" s="84"/>
    </row>
    <row r="34" spans="2:19" ht="15">
      <c r="B34" s="85" t="s">
        <v>223</v>
      </c>
      <c r="D34" s="60"/>
      <c r="I34" s="10"/>
      <c r="L34" s="189"/>
      <c r="M34" s="176"/>
      <c r="N34" s="177"/>
      <c r="O34" s="178"/>
      <c r="P34" s="179"/>
      <c r="Q34" s="180"/>
      <c r="R34" s="181"/>
    </row>
    <row r="35" spans="2:19" ht="15">
      <c r="B35" s="24" t="s">
        <v>224</v>
      </c>
      <c r="D35" s="60"/>
      <c r="I35" s="10"/>
      <c r="L35" s="182"/>
      <c r="M35" s="183"/>
      <c r="N35" s="184"/>
      <c r="O35" s="185"/>
      <c r="P35" s="186"/>
      <c r="Q35" s="187"/>
      <c r="R35" s="188"/>
    </row>
    <row r="36" spans="2:19" ht="15">
      <c r="D36" s="60"/>
      <c r="I36" s="10"/>
      <c r="M36" s="10"/>
      <c r="N36" s="10"/>
      <c r="O36" s="10"/>
      <c r="P36" s="60"/>
    </row>
  </sheetData>
  <mergeCells count="8">
    <mergeCell ref="I15:J15"/>
    <mergeCell ref="D9:E9"/>
    <mergeCell ref="I9:J9"/>
    <mergeCell ref="D11:E11"/>
    <mergeCell ref="D13:E13"/>
    <mergeCell ref="D15:E15"/>
    <mergeCell ref="I11:J11"/>
    <mergeCell ref="I13:J13"/>
  </mergeCells>
  <pageMargins left="0.25" right="0.25" top="0.75" bottom="0.75" header="0.3" footer="0.3"/>
  <pageSetup paperSize="9" scale="67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56A01-4DD7-4DB7-AA5E-EB2C21AE9380}">
  <sheetPr codeName="Sheet8">
    <pageSetUpPr fitToPage="1"/>
  </sheetPr>
  <dimension ref="A1:W91"/>
  <sheetViews>
    <sheetView showGridLines="0" tabSelected="1" zoomScaleNormal="100" workbookViewId="0">
      <selection activeCell="H14" sqref="H14"/>
    </sheetView>
  </sheetViews>
  <sheetFormatPr defaultColWidth="9" defaultRowHeight="14.25"/>
  <cols>
    <col min="1" max="1" width="6.25" style="7" customWidth="1"/>
    <col min="2" max="2" width="7.5" customWidth="1"/>
    <col min="3" max="5" width="9.25" customWidth="1"/>
    <col min="6" max="11" width="10.75" customWidth="1"/>
    <col min="12" max="15" width="9.25" customWidth="1"/>
    <col min="16" max="16" width="6.25" customWidth="1"/>
    <col min="17" max="17" width="9" customWidth="1"/>
    <col min="23" max="23" width="3.125" customWidth="1"/>
  </cols>
  <sheetData>
    <row r="1" spans="1:2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</row>
    <row r="3" spans="1:23" ht="26.25">
      <c r="B3" s="12" t="s">
        <v>3</v>
      </c>
      <c r="C3" s="12"/>
    </row>
    <row r="4" spans="1:23">
      <c r="A4" s="7" t="s">
        <v>9</v>
      </c>
    </row>
    <row r="6" spans="1:23" ht="17.25" thickBot="1">
      <c r="A6" s="7" t="s">
        <v>9</v>
      </c>
      <c r="B6" s="4" t="s">
        <v>134</v>
      </c>
      <c r="C6" s="4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23">
      <c r="A7" s="7" t="s">
        <v>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spans="1:23" ht="16.5">
      <c r="B8" s="28" t="s">
        <v>32</v>
      </c>
    </row>
    <row r="10" spans="1:23" ht="15">
      <c r="D10" s="10" t="s">
        <v>33</v>
      </c>
      <c r="E10" s="316" t="str">
        <f>IF(section_reference="","",section_reference)</f>
        <v/>
      </c>
      <c r="F10" s="317"/>
      <c r="I10" s="10" t="s">
        <v>14</v>
      </c>
      <c r="J10" s="316" t="str">
        <f>IF(status="","",status)</f>
        <v/>
      </c>
      <c r="K10" s="317"/>
      <c r="P10" s="10" t="s">
        <v>135</v>
      </c>
      <c r="Q10" s="316" t="str">
        <f>IF(source_currency="","",source_currency)</f>
        <v/>
      </c>
      <c r="R10" s="317"/>
    </row>
    <row r="11" spans="1:23" ht="15">
      <c r="D11" s="60"/>
      <c r="H11" s="26"/>
      <c r="P11" s="60"/>
    </row>
    <row r="12" spans="1:23" ht="15">
      <c r="D12" s="10" t="s">
        <v>34</v>
      </c>
      <c r="E12" s="316" t="str">
        <f>IFERROR(gross_quoted_premium/Q12,"")</f>
        <v/>
      </c>
      <c r="F12" s="317"/>
      <c r="I12" s="10" t="s">
        <v>15</v>
      </c>
      <c r="J12" s="309" t="str">
        <f>IF(brokerage="","",brokerage)</f>
        <v/>
      </c>
      <c r="K12" s="309"/>
      <c r="P12" s="10" t="s">
        <v>10</v>
      </c>
      <c r="Q12" s="309" t="str">
        <f>IF(written_line="","",written_line)</f>
        <v/>
      </c>
      <c r="R12" s="309"/>
    </row>
    <row r="13" spans="1:23" s="335" customFormat="1" ht="12">
      <c r="A13" s="334"/>
      <c r="D13" s="333" t="s">
        <v>241</v>
      </c>
      <c r="H13" s="336"/>
      <c r="P13" s="337"/>
    </row>
    <row r="14" spans="1:23" ht="15">
      <c r="D14" s="60"/>
      <c r="H14" s="26"/>
      <c r="P14" s="60"/>
    </row>
    <row r="15" spans="1:23" ht="16.5">
      <c r="B15" s="28" t="s">
        <v>240</v>
      </c>
      <c r="D15" s="60"/>
      <c r="H15" s="26"/>
      <c r="P15" s="60"/>
    </row>
    <row r="16" spans="1:23" ht="15">
      <c r="D16" s="60"/>
      <c r="H16" s="26"/>
      <c r="P16" s="60"/>
    </row>
    <row r="17" spans="2:23" ht="15">
      <c r="D17" s="10" t="s">
        <v>34</v>
      </c>
      <c r="E17" s="310"/>
      <c r="F17" s="311"/>
      <c r="I17" s="10" t="s">
        <v>155</v>
      </c>
      <c r="J17" s="328"/>
      <c r="K17" s="329"/>
    </row>
    <row r="18" spans="2:23" ht="15">
      <c r="D18" s="60"/>
      <c r="I18" s="10"/>
      <c r="P18" s="60"/>
    </row>
    <row r="19" spans="2:23" ht="15">
      <c r="D19" s="10" t="s">
        <v>37</v>
      </c>
      <c r="E19" s="310"/>
      <c r="F19" s="311"/>
      <c r="I19" s="10" t="s">
        <v>35</v>
      </c>
      <c r="J19" s="310"/>
      <c r="K19" s="311"/>
      <c r="P19" s="10" t="s">
        <v>36</v>
      </c>
      <c r="Q19" s="310"/>
      <c r="R19" s="311"/>
    </row>
    <row r="20" spans="2:23" ht="15">
      <c r="D20" s="60"/>
      <c r="I20" s="60"/>
      <c r="P20" s="60"/>
    </row>
    <row r="21" spans="2:23" ht="15">
      <c r="D21" s="60"/>
      <c r="H21" s="26"/>
      <c r="I21" s="60"/>
      <c r="P21" s="60"/>
    </row>
    <row r="22" spans="2:23" ht="16.5">
      <c r="B22" s="28" t="s">
        <v>38</v>
      </c>
      <c r="D22" s="60"/>
      <c r="H22" s="26"/>
      <c r="I22" s="60"/>
      <c r="P22" s="60"/>
    </row>
    <row r="23" spans="2:23" ht="15">
      <c r="D23" s="60"/>
      <c r="H23" s="26"/>
      <c r="I23" s="60"/>
      <c r="P23" s="60"/>
    </row>
    <row r="24" spans="2:23" ht="15">
      <c r="D24" s="10" t="s">
        <v>4</v>
      </c>
      <c r="E24" s="309"/>
      <c r="F24" s="309"/>
      <c r="I24" s="10" t="s">
        <v>39</v>
      </c>
      <c r="J24" s="309"/>
      <c r="K24" s="309"/>
      <c r="P24" s="10" t="s">
        <v>5</v>
      </c>
      <c r="Q24" s="309"/>
      <c r="R24" s="309"/>
    </row>
    <row r="25" spans="2:23" ht="15">
      <c r="D25" s="60"/>
      <c r="I25" s="10"/>
      <c r="P25" s="60"/>
    </row>
    <row r="26" spans="2:23" ht="15">
      <c r="D26" s="10" t="s">
        <v>40</v>
      </c>
      <c r="E26" s="309"/>
      <c r="F26" s="309"/>
      <c r="I26" s="10" t="s">
        <v>41</v>
      </c>
      <c r="J26" s="309"/>
      <c r="K26" s="309"/>
      <c r="P26" s="10" t="s">
        <v>42</v>
      </c>
      <c r="Q26" s="309"/>
      <c r="R26" s="309"/>
    </row>
    <row r="29" spans="2:23" ht="16.5">
      <c r="B29" s="28" t="s">
        <v>136</v>
      </c>
    </row>
    <row r="30" spans="2:23" ht="15">
      <c r="F30" s="49" t="s">
        <v>137</v>
      </c>
      <c r="G30" s="50"/>
      <c r="H30" s="49" t="s">
        <v>126</v>
      </c>
      <c r="I30" s="51"/>
      <c r="J30" s="50" t="s">
        <v>138</v>
      </c>
      <c r="K30" s="50"/>
      <c r="L30" s="50"/>
      <c r="M30" s="51"/>
      <c r="W30" s="59"/>
    </row>
    <row r="31" spans="2:23" ht="18">
      <c r="E31" s="10" t="s">
        <v>139</v>
      </c>
      <c r="F31" s="245"/>
      <c r="G31" s="246"/>
      <c r="H31" s="245"/>
      <c r="I31" s="246"/>
      <c r="J31" s="131"/>
      <c r="K31" s="193"/>
      <c r="L31" s="193"/>
      <c r="M31" s="147"/>
      <c r="W31" s="56"/>
    </row>
    <row r="32" spans="2:23" ht="18">
      <c r="E32" s="10" t="s">
        <v>140</v>
      </c>
      <c r="F32" s="247"/>
      <c r="G32" s="248"/>
      <c r="H32" s="247"/>
      <c r="I32" s="248"/>
      <c r="J32" s="132"/>
      <c r="K32" s="194"/>
      <c r="L32" s="194"/>
      <c r="M32" s="148"/>
      <c r="W32" s="56"/>
    </row>
    <row r="33" spans="1:23" ht="18">
      <c r="E33" s="10" t="s">
        <v>141</v>
      </c>
      <c r="F33" s="247"/>
      <c r="G33" s="248"/>
      <c r="H33" s="247"/>
      <c r="I33" s="248"/>
      <c r="J33" s="132"/>
      <c r="K33" s="194"/>
      <c r="L33" s="194"/>
      <c r="M33" s="148"/>
      <c r="W33" s="56"/>
    </row>
    <row r="34" spans="1:23" ht="15">
      <c r="E34" s="10" t="s">
        <v>142</v>
      </c>
      <c r="F34" s="247"/>
      <c r="G34" s="248"/>
      <c r="H34" s="247"/>
      <c r="I34" s="248"/>
      <c r="J34" s="132"/>
      <c r="K34" s="194"/>
      <c r="L34" s="194"/>
      <c r="M34" s="148"/>
    </row>
    <row r="35" spans="1:23" ht="18">
      <c r="E35" s="10" t="s">
        <v>143</v>
      </c>
      <c r="F35" s="249"/>
      <c r="G35" s="250"/>
      <c r="H35" s="249"/>
      <c r="I35" s="250"/>
      <c r="J35" s="133"/>
      <c r="K35" s="195"/>
      <c r="L35" s="195"/>
      <c r="M35" s="149"/>
      <c r="W35" s="55"/>
    </row>
    <row r="39" spans="1:23" ht="17.25" thickBot="1">
      <c r="B39" s="4" t="s">
        <v>144</v>
      </c>
      <c r="C39" s="4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</row>
    <row r="40" spans="1:23"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</row>
    <row r="41" spans="1:23" ht="16.5">
      <c r="B41" s="28" t="s">
        <v>145</v>
      </c>
      <c r="M41" s="28" t="s">
        <v>157</v>
      </c>
    </row>
    <row r="42" spans="1:23" ht="16.5">
      <c r="B42" s="28"/>
      <c r="M42" s="28"/>
    </row>
    <row r="43" spans="1:23" ht="30">
      <c r="F43" s="54" t="s">
        <v>46</v>
      </c>
      <c r="G43" s="71" t="s">
        <v>146</v>
      </c>
      <c r="H43" s="72" t="s">
        <v>147</v>
      </c>
      <c r="I43" s="73" t="s">
        <v>148</v>
      </c>
      <c r="J43" s="71" t="s">
        <v>149</v>
      </c>
      <c r="K43" s="73" t="s">
        <v>150</v>
      </c>
      <c r="L43" s="61"/>
      <c r="Q43" s="54" t="s">
        <v>46</v>
      </c>
      <c r="R43" s="71" t="s">
        <v>146</v>
      </c>
      <c r="S43" s="72" t="s">
        <v>147</v>
      </c>
      <c r="T43" s="73" t="s">
        <v>148</v>
      </c>
      <c r="U43" s="71" t="s">
        <v>149</v>
      </c>
      <c r="V43" s="73" t="s">
        <v>150</v>
      </c>
    </row>
    <row r="44" spans="1:23" ht="15">
      <c r="E44" s="10" t="s">
        <v>44</v>
      </c>
      <c r="F44" s="251"/>
      <c r="G44" s="252"/>
      <c r="H44" s="253"/>
      <c r="I44" s="254"/>
      <c r="J44" s="252"/>
      <c r="K44" s="254"/>
      <c r="P44" s="10" t="s">
        <v>44</v>
      </c>
      <c r="Q44" s="251"/>
      <c r="R44" s="252"/>
      <c r="S44" s="253"/>
      <c r="T44" s="254"/>
      <c r="U44" s="252"/>
      <c r="V44" s="254"/>
    </row>
    <row r="45" spans="1:23" s="192" customFormat="1" ht="15">
      <c r="A45" s="216"/>
      <c r="E45" s="217" t="s">
        <v>151</v>
      </c>
      <c r="F45" s="298"/>
      <c r="G45" s="285"/>
      <c r="H45" s="286"/>
      <c r="I45" s="287"/>
      <c r="J45" s="285"/>
      <c r="K45" s="287"/>
      <c r="P45" s="217" t="s">
        <v>151</v>
      </c>
      <c r="Q45" s="298"/>
      <c r="R45" s="285"/>
      <c r="S45" s="286"/>
      <c r="T45" s="287"/>
      <c r="U45" s="285"/>
      <c r="V45" s="287"/>
    </row>
    <row r="46" spans="1:23" ht="15">
      <c r="E46" s="10" t="s">
        <v>152</v>
      </c>
      <c r="F46" s="229"/>
      <c r="G46" s="255"/>
      <c r="H46" s="227"/>
      <c r="I46" s="228"/>
      <c r="J46" s="255"/>
      <c r="K46" s="228"/>
      <c r="P46" s="10" t="s">
        <v>152</v>
      </c>
      <c r="Q46" s="229"/>
      <c r="R46" s="255"/>
      <c r="S46" s="227"/>
      <c r="T46" s="228"/>
      <c r="U46" s="255"/>
      <c r="V46" s="228"/>
    </row>
    <row r="47" spans="1:23" s="192" customFormat="1" ht="15">
      <c r="A47" s="216"/>
      <c r="E47" s="217" t="s">
        <v>153</v>
      </c>
      <c r="F47" s="299"/>
      <c r="G47" s="288"/>
      <c r="H47" s="289"/>
      <c r="I47" s="290"/>
      <c r="J47" s="288"/>
      <c r="K47" s="290"/>
      <c r="P47" s="217" t="s">
        <v>153</v>
      </c>
      <c r="Q47" s="299"/>
      <c r="R47" s="288"/>
      <c r="S47" s="289"/>
      <c r="T47" s="290"/>
      <c r="U47" s="288"/>
      <c r="V47" s="290"/>
    </row>
    <row r="48" spans="1:23" ht="15">
      <c r="E48" s="10" t="s">
        <v>154</v>
      </c>
      <c r="F48" s="256"/>
      <c r="G48" s="252"/>
      <c r="H48" s="253"/>
      <c r="I48" s="254"/>
      <c r="J48" s="252"/>
      <c r="K48" s="254"/>
      <c r="P48" s="10" t="s">
        <v>154</v>
      </c>
      <c r="Q48" s="256"/>
      <c r="R48" s="252"/>
      <c r="S48" s="253"/>
      <c r="T48" s="254"/>
      <c r="U48" s="252"/>
      <c r="V48" s="254"/>
    </row>
    <row r="49" spans="1:22" s="192" customFormat="1" ht="15">
      <c r="A49" s="216"/>
      <c r="E49" s="217" t="s">
        <v>155</v>
      </c>
      <c r="F49" s="298"/>
      <c r="G49" s="285"/>
      <c r="H49" s="286"/>
      <c r="I49" s="287"/>
      <c r="J49" s="285"/>
      <c r="K49" s="287"/>
      <c r="P49" s="217" t="s">
        <v>155</v>
      </c>
      <c r="Q49" s="298"/>
      <c r="R49" s="285"/>
      <c r="S49" s="286"/>
      <c r="T49" s="287"/>
      <c r="U49" s="285"/>
      <c r="V49" s="287"/>
    </row>
    <row r="50" spans="1:22" s="219" customFormat="1" ht="15">
      <c r="A50" s="218"/>
      <c r="C50" s="220"/>
      <c r="D50" s="220"/>
      <c r="E50" s="221" t="s">
        <v>156</v>
      </c>
      <c r="F50" s="273"/>
      <c r="G50" s="274"/>
      <c r="H50" s="275"/>
      <c r="I50" s="276"/>
      <c r="J50" s="274"/>
      <c r="K50" s="276"/>
      <c r="N50" s="220"/>
      <c r="O50" s="220"/>
      <c r="P50" s="221" t="s">
        <v>156</v>
      </c>
      <c r="Q50" s="273"/>
      <c r="R50" s="274"/>
      <c r="S50" s="275"/>
      <c r="T50" s="276"/>
      <c r="U50" s="274"/>
      <c r="V50" s="276"/>
    </row>
    <row r="51" spans="1:22" ht="15">
      <c r="E51" s="10" t="s">
        <v>7</v>
      </c>
      <c r="F51" s="256"/>
      <c r="G51" s="252"/>
      <c r="H51" s="253"/>
      <c r="I51" s="254"/>
      <c r="J51" s="252"/>
      <c r="K51" s="254"/>
      <c r="P51" s="10" t="s">
        <v>7</v>
      </c>
      <c r="Q51" s="256"/>
      <c r="R51" s="252"/>
      <c r="S51" s="253"/>
      <c r="T51" s="254"/>
      <c r="U51" s="252"/>
      <c r="V51" s="254"/>
    </row>
    <row r="52" spans="1:22" s="223" customFormat="1" ht="15">
      <c r="A52" s="222"/>
      <c r="C52" s="224"/>
      <c r="D52" s="224"/>
      <c r="E52" s="225" t="s">
        <v>4</v>
      </c>
      <c r="F52" s="265"/>
      <c r="G52" s="266"/>
      <c r="H52" s="267"/>
      <c r="I52" s="268"/>
      <c r="J52" s="266"/>
      <c r="K52" s="268"/>
      <c r="N52" s="224"/>
      <c r="O52" s="224"/>
      <c r="P52" s="225" t="s">
        <v>4</v>
      </c>
      <c r="Q52" s="265"/>
      <c r="R52" s="266"/>
      <c r="S52" s="267"/>
      <c r="T52" s="268"/>
      <c r="U52" s="266"/>
      <c r="V52" s="268"/>
    </row>
    <row r="53" spans="1:22" ht="15">
      <c r="E53" s="10" t="s">
        <v>6</v>
      </c>
      <c r="F53" s="256"/>
      <c r="G53" s="252"/>
      <c r="H53" s="253"/>
      <c r="I53" s="254"/>
      <c r="J53" s="252"/>
      <c r="K53" s="254"/>
      <c r="P53" s="10" t="s">
        <v>6</v>
      </c>
      <c r="Q53" s="256"/>
      <c r="R53" s="252"/>
      <c r="S53" s="253"/>
      <c r="T53" s="254"/>
      <c r="U53" s="252"/>
      <c r="V53" s="254"/>
    </row>
    <row r="54" spans="1:22" s="223" customFormat="1" ht="15">
      <c r="A54" s="222"/>
      <c r="C54" s="224"/>
      <c r="D54" s="224"/>
      <c r="E54" s="225" t="s">
        <v>5</v>
      </c>
      <c r="F54" s="269"/>
      <c r="G54" s="270"/>
      <c r="H54" s="271"/>
      <c r="I54" s="272"/>
      <c r="J54" s="270"/>
      <c r="K54" s="272"/>
      <c r="N54" s="224"/>
      <c r="O54" s="224"/>
      <c r="P54" s="225" t="s">
        <v>5</v>
      </c>
      <c r="Q54" s="269"/>
      <c r="R54" s="270"/>
      <c r="S54" s="271"/>
      <c r="T54" s="272"/>
      <c r="U54" s="270"/>
      <c r="V54" s="272"/>
    </row>
    <row r="55" spans="1:22" s="223" customFormat="1" ht="15">
      <c r="A55" s="222"/>
      <c r="E55" s="226" t="s">
        <v>43</v>
      </c>
      <c r="F55" s="261"/>
      <c r="G55" s="262"/>
      <c r="H55" s="263"/>
      <c r="I55" s="264"/>
      <c r="J55" s="262"/>
      <c r="K55" s="264"/>
      <c r="P55" s="226" t="s">
        <v>43</v>
      </c>
      <c r="Q55" s="261"/>
      <c r="R55" s="262"/>
      <c r="S55" s="263"/>
      <c r="T55" s="264"/>
      <c r="U55" s="262"/>
      <c r="V55" s="264"/>
    </row>
    <row r="58" spans="1:22" ht="16.5">
      <c r="B58" s="28" t="s">
        <v>158</v>
      </c>
      <c r="M58" s="28" t="s">
        <v>159</v>
      </c>
    </row>
    <row r="59" spans="1:22" ht="16.5">
      <c r="B59" s="28"/>
      <c r="M59" s="28"/>
    </row>
    <row r="60" spans="1:22" ht="30">
      <c r="F60" s="54" t="s">
        <v>46</v>
      </c>
      <c r="G60" s="71" t="s">
        <v>146</v>
      </c>
      <c r="H60" s="72" t="s">
        <v>147</v>
      </c>
      <c r="I60" s="73" t="s">
        <v>148</v>
      </c>
      <c r="J60" s="71" t="s">
        <v>149</v>
      </c>
      <c r="K60" s="73" t="s">
        <v>150</v>
      </c>
      <c r="L60" s="41"/>
      <c r="M60" s="60"/>
      <c r="N60" s="60"/>
      <c r="O60" s="60"/>
      <c r="P60" s="60"/>
      <c r="Q60" s="54" t="s">
        <v>46</v>
      </c>
      <c r="R60" s="71" t="s">
        <v>146</v>
      </c>
      <c r="S60" s="72" t="s">
        <v>147</v>
      </c>
      <c r="T60" s="73" t="s">
        <v>148</v>
      </c>
      <c r="U60" s="71" t="s">
        <v>149</v>
      </c>
      <c r="V60" s="73" t="s">
        <v>150</v>
      </c>
    </row>
    <row r="61" spans="1:22" ht="15">
      <c r="E61" s="10" t="s">
        <v>44</v>
      </c>
      <c r="F61" s="175"/>
      <c r="G61" s="190"/>
      <c r="H61" s="67"/>
      <c r="I61" s="63"/>
      <c r="J61" s="190"/>
      <c r="K61" s="63"/>
      <c r="P61" s="10" t="s">
        <v>44</v>
      </c>
      <c r="Q61" s="251"/>
      <c r="R61" s="252"/>
      <c r="S61" s="253"/>
      <c r="T61" s="254"/>
      <c r="U61" s="252"/>
      <c r="V61" s="254"/>
    </row>
    <row r="62" spans="1:22" s="192" customFormat="1" ht="15">
      <c r="A62" s="216"/>
      <c r="E62" s="217" t="s">
        <v>153</v>
      </c>
      <c r="F62" s="299"/>
      <c r="G62" s="288"/>
      <c r="H62" s="289"/>
      <c r="I62" s="290"/>
      <c r="J62" s="288"/>
      <c r="K62" s="290"/>
      <c r="P62" s="217" t="s">
        <v>153</v>
      </c>
      <c r="Q62" s="299"/>
      <c r="R62" s="288"/>
      <c r="S62" s="289"/>
      <c r="T62" s="290"/>
      <c r="U62" s="288"/>
      <c r="V62" s="290"/>
    </row>
    <row r="63" spans="1:22" ht="15">
      <c r="E63" s="10" t="s">
        <v>7</v>
      </c>
      <c r="F63" s="191"/>
      <c r="G63" s="190"/>
      <c r="H63" s="67"/>
      <c r="I63" s="63"/>
      <c r="J63" s="190"/>
      <c r="K63" s="63"/>
      <c r="P63" s="10" t="s">
        <v>7</v>
      </c>
      <c r="Q63" s="256"/>
      <c r="R63" s="252"/>
      <c r="S63" s="253"/>
      <c r="T63" s="254"/>
      <c r="U63" s="252"/>
      <c r="V63" s="254"/>
    </row>
    <row r="64" spans="1:22" s="223" customFormat="1" ht="15">
      <c r="A64" s="222"/>
      <c r="E64" s="226" t="s">
        <v>4</v>
      </c>
      <c r="F64" s="261"/>
      <c r="G64" s="262"/>
      <c r="H64" s="263"/>
      <c r="I64" s="264"/>
      <c r="J64" s="262"/>
      <c r="K64" s="264"/>
      <c r="P64" s="226" t="s">
        <v>4</v>
      </c>
      <c r="Q64" s="261"/>
      <c r="R64" s="262"/>
      <c r="S64" s="263"/>
      <c r="T64" s="264"/>
      <c r="U64" s="262"/>
      <c r="V64" s="264"/>
    </row>
    <row r="65" spans="1:23" ht="15">
      <c r="E65" s="10" t="s">
        <v>6</v>
      </c>
      <c r="F65" s="191"/>
      <c r="G65" s="190"/>
      <c r="H65" s="67"/>
      <c r="I65" s="63"/>
      <c r="J65" s="190"/>
      <c r="K65" s="63"/>
      <c r="P65" s="10" t="s">
        <v>6</v>
      </c>
      <c r="Q65" s="256"/>
      <c r="R65" s="252"/>
      <c r="S65" s="253"/>
      <c r="T65" s="254"/>
      <c r="U65" s="252"/>
      <c r="V65" s="254"/>
    </row>
    <row r="66" spans="1:23" s="223" customFormat="1" ht="15">
      <c r="A66" s="222"/>
      <c r="E66" s="226" t="s">
        <v>5</v>
      </c>
      <c r="F66" s="257"/>
      <c r="G66" s="258"/>
      <c r="H66" s="259"/>
      <c r="I66" s="260"/>
      <c r="J66" s="258"/>
      <c r="K66" s="260"/>
      <c r="P66" s="226" t="s">
        <v>5</v>
      </c>
      <c r="Q66" s="257"/>
      <c r="R66" s="258"/>
      <c r="S66" s="259"/>
      <c r="T66" s="260"/>
      <c r="U66" s="258"/>
      <c r="V66" s="260"/>
    </row>
    <row r="67" spans="1:23" s="223" customFormat="1" ht="15">
      <c r="A67" s="222"/>
      <c r="E67" s="226" t="s">
        <v>43</v>
      </c>
      <c r="F67" s="261"/>
      <c r="G67" s="262"/>
      <c r="H67" s="263"/>
      <c r="I67" s="264"/>
      <c r="J67" s="262"/>
      <c r="K67" s="264"/>
      <c r="P67" s="226" t="s">
        <v>43</v>
      </c>
      <c r="Q67" s="261"/>
      <c r="R67" s="262"/>
      <c r="S67" s="263"/>
      <c r="T67" s="264"/>
      <c r="U67" s="262"/>
      <c r="V67" s="264"/>
    </row>
    <row r="71" spans="1:23" ht="17.25" thickBot="1">
      <c r="B71" s="4" t="s">
        <v>63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</row>
    <row r="72" spans="1:23"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</row>
    <row r="73" spans="1:23" ht="14.25" customHeight="1">
      <c r="B73" s="300"/>
      <c r="C73" s="301"/>
      <c r="D73" s="301"/>
      <c r="E73" s="301"/>
      <c r="F73" s="301"/>
      <c r="G73" s="301"/>
      <c r="H73" s="301"/>
      <c r="I73" s="301"/>
      <c r="J73" s="301"/>
      <c r="K73" s="301"/>
      <c r="L73" s="301"/>
      <c r="M73" s="301"/>
      <c r="N73" s="301"/>
      <c r="O73" s="301"/>
      <c r="P73" s="301"/>
      <c r="Q73" s="301"/>
      <c r="R73" s="301"/>
      <c r="S73" s="301"/>
      <c r="T73" s="322"/>
      <c r="U73" s="322"/>
      <c r="V73" s="323"/>
    </row>
    <row r="74" spans="1:23">
      <c r="B74" s="303"/>
      <c r="C74" s="304"/>
      <c r="D74" s="304"/>
      <c r="E74" s="304"/>
      <c r="F74" s="304"/>
      <c r="G74" s="304"/>
      <c r="H74" s="304"/>
      <c r="I74" s="304"/>
      <c r="J74" s="304"/>
      <c r="K74" s="304"/>
      <c r="L74" s="304"/>
      <c r="M74" s="304"/>
      <c r="N74" s="304"/>
      <c r="O74" s="304"/>
      <c r="P74" s="304"/>
      <c r="Q74" s="304"/>
      <c r="R74" s="304"/>
      <c r="S74" s="304"/>
      <c r="T74" s="324"/>
      <c r="U74" s="324"/>
      <c r="V74" s="325"/>
    </row>
    <row r="75" spans="1:23">
      <c r="B75" s="306"/>
      <c r="C75" s="307"/>
      <c r="D75" s="307"/>
      <c r="E75" s="307"/>
      <c r="F75" s="307"/>
      <c r="G75" s="307"/>
      <c r="H75" s="307"/>
      <c r="I75" s="307"/>
      <c r="J75" s="307"/>
      <c r="K75" s="307"/>
      <c r="L75" s="307"/>
      <c r="M75" s="307"/>
      <c r="N75" s="307"/>
      <c r="O75" s="307"/>
      <c r="P75" s="307"/>
      <c r="Q75" s="307"/>
      <c r="R75" s="307"/>
      <c r="S75" s="307"/>
      <c r="T75" s="326"/>
      <c r="U75" s="326"/>
      <c r="V75" s="327"/>
    </row>
    <row r="77" spans="1:23" ht="17.25" thickBot="1">
      <c r="B77" s="4" t="s">
        <v>49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</row>
    <row r="78" spans="1:23"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</row>
    <row r="79" spans="1:23" ht="15">
      <c r="E79" s="32" t="s">
        <v>52</v>
      </c>
      <c r="F79" s="74" t="s">
        <v>50</v>
      </c>
      <c r="G79" s="75"/>
      <c r="H79" s="75" t="s">
        <v>51</v>
      </c>
      <c r="I79" s="76"/>
      <c r="J79" s="215" t="s">
        <v>237</v>
      </c>
      <c r="K79" s="76"/>
    </row>
    <row r="80" spans="1:23">
      <c r="C80" s="13"/>
      <c r="D80" s="14"/>
      <c r="E80" s="33" t="s">
        <v>53</v>
      </c>
      <c r="F80" s="245"/>
      <c r="G80" s="277"/>
      <c r="H80" s="277"/>
      <c r="I80" s="246"/>
      <c r="J80" s="277"/>
      <c r="K80" s="246"/>
    </row>
    <row r="81" spans="3:14">
      <c r="C81" s="213"/>
      <c r="E81" s="214" t="s">
        <v>54</v>
      </c>
      <c r="F81" s="247"/>
      <c r="G81" s="278"/>
      <c r="H81" s="278"/>
      <c r="I81" s="248"/>
      <c r="J81" s="278"/>
      <c r="K81" s="248"/>
    </row>
    <row r="82" spans="3:14">
      <c r="C82" s="34"/>
      <c r="D82" s="19"/>
      <c r="E82" s="35" t="s">
        <v>238</v>
      </c>
      <c r="F82" s="279"/>
      <c r="G82" s="280"/>
      <c r="H82" s="280"/>
      <c r="I82" s="281"/>
      <c r="J82" s="280"/>
      <c r="K82" s="281"/>
    </row>
    <row r="84" spans="3:14" ht="18">
      <c r="C84" s="27"/>
      <c r="E84" s="32" t="s">
        <v>55</v>
      </c>
      <c r="F84" s="46" t="s">
        <v>65</v>
      </c>
      <c r="G84" s="47"/>
      <c r="H84" s="47" t="s">
        <v>66</v>
      </c>
      <c r="I84" s="48"/>
      <c r="J84" s="47" t="s">
        <v>64</v>
      </c>
      <c r="K84" s="47"/>
      <c r="L84" s="45"/>
      <c r="M84" s="45"/>
      <c r="N84" s="22"/>
    </row>
    <row r="85" spans="3:14">
      <c r="C85" s="29"/>
      <c r="D85" s="14"/>
      <c r="E85" s="62" t="s">
        <v>56</v>
      </c>
      <c r="F85" s="282"/>
      <c r="G85" s="283"/>
      <c r="H85" s="283"/>
      <c r="I85" s="284"/>
      <c r="J85" s="193"/>
      <c r="K85" s="14"/>
      <c r="L85" s="14"/>
      <c r="M85" s="14"/>
      <c r="N85" s="15"/>
    </row>
    <row r="86" spans="3:14">
      <c r="C86" s="30"/>
      <c r="E86" s="64" t="s">
        <v>57</v>
      </c>
      <c r="F86" s="285"/>
      <c r="G86" s="286"/>
      <c r="H86" s="286"/>
      <c r="I86" s="287"/>
      <c r="J86" s="194"/>
      <c r="N86" s="17"/>
    </row>
    <row r="87" spans="3:14">
      <c r="C87" s="30"/>
      <c r="E87" s="64" t="s">
        <v>58</v>
      </c>
      <c r="F87" s="285"/>
      <c r="G87" s="286"/>
      <c r="H87" s="286"/>
      <c r="I87" s="287"/>
      <c r="J87" s="194"/>
      <c r="N87" s="17"/>
    </row>
    <row r="88" spans="3:14">
      <c r="C88" s="30"/>
      <c r="E88" s="64" t="s">
        <v>59</v>
      </c>
      <c r="F88" s="285"/>
      <c r="G88" s="286"/>
      <c r="H88" s="286"/>
      <c r="I88" s="287"/>
      <c r="J88" s="194"/>
      <c r="N88" s="17"/>
    </row>
    <row r="89" spans="3:14">
      <c r="C89" s="30"/>
      <c r="E89" s="64" t="s">
        <v>60</v>
      </c>
      <c r="F89" s="285"/>
      <c r="G89" s="286"/>
      <c r="H89" s="286"/>
      <c r="I89" s="287"/>
      <c r="J89" s="194"/>
      <c r="N89" s="17"/>
    </row>
    <row r="90" spans="3:14">
      <c r="C90" s="31"/>
      <c r="D90" s="19"/>
      <c r="E90" s="65" t="s">
        <v>61</v>
      </c>
      <c r="F90" s="288"/>
      <c r="G90" s="289"/>
      <c r="H90" s="289"/>
      <c r="I90" s="290"/>
      <c r="J90" s="195"/>
      <c r="K90" s="19"/>
      <c r="L90" s="19"/>
      <c r="M90" s="19"/>
      <c r="N90" s="20"/>
    </row>
    <row r="91" spans="3:14">
      <c r="C91" s="36"/>
      <c r="D91" s="45"/>
      <c r="E91" s="66" t="s">
        <v>62</v>
      </c>
      <c r="F91" s="291"/>
      <c r="G91" s="292"/>
      <c r="H91" s="292"/>
      <c r="I91" s="293"/>
      <c r="J91" s="196"/>
      <c r="K91" s="45"/>
      <c r="L91" s="45"/>
      <c r="M91" s="45"/>
      <c r="N91" s="22"/>
    </row>
  </sheetData>
  <mergeCells count="18">
    <mergeCell ref="E17:F17"/>
    <mergeCell ref="E12:F12"/>
    <mergeCell ref="B73:V75"/>
    <mergeCell ref="Q12:R12"/>
    <mergeCell ref="J12:K12"/>
    <mergeCell ref="J10:K10"/>
    <mergeCell ref="E10:F10"/>
    <mergeCell ref="Q26:R26"/>
    <mergeCell ref="Q24:R24"/>
    <mergeCell ref="J24:K24"/>
    <mergeCell ref="J26:K26"/>
    <mergeCell ref="E26:F26"/>
    <mergeCell ref="E24:F24"/>
    <mergeCell ref="E19:F19"/>
    <mergeCell ref="J19:K19"/>
    <mergeCell ref="Q19:R19"/>
    <mergeCell ref="Q10:R10"/>
    <mergeCell ref="J17:K17"/>
  </mergeCells>
  <pageMargins left="0.25" right="0.25" top="0.75" bottom="0.75" header="0.3" footer="0.3"/>
  <pageSetup paperSize="9" scale="48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C4252-B7AE-40E3-B86A-0067402C53FE}">
  <sheetPr codeName="Sheet9">
    <pageSetUpPr fitToPage="1"/>
  </sheetPr>
  <dimension ref="A1:V45"/>
  <sheetViews>
    <sheetView showGridLines="0" zoomScaleNormal="100" workbookViewId="0"/>
  </sheetViews>
  <sheetFormatPr defaultColWidth="9" defaultRowHeight="14.25"/>
  <cols>
    <col min="1" max="1" width="6.25" style="7" customWidth="1"/>
    <col min="2" max="2" width="11.125" customWidth="1"/>
    <col min="3" max="3" width="19.875" customWidth="1"/>
    <col min="4" max="15" width="11.125" customWidth="1"/>
    <col min="16" max="16" width="6.25" customWidth="1"/>
  </cols>
  <sheetData>
    <row r="1" spans="1:22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</row>
    <row r="3" spans="1:22" ht="26.25">
      <c r="B3" s="12" t="s">
        <v>199</v>
      </c>
      <c r="C3" s="12"/>
    </row>
    <row r="4" spans="1:22">
      <c r="A4" s="7" t="s">
        <v>9</v>
      </c>
    </row>
    <row r="6" spans="1:22" ht="17.25" thickBot="1">
      <c r="A6" s="7" t="s">
        <v>9</v>
      </c>
      <c r="B6" s="4" t="s">
        <v>160</v>
      </c>
      <c r="C6" s="4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spans="1:22">
      <c r="A7" s="7" t="s">
        <v>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22" ht="15">
      <c r="D8" s="60"/>
      <c r="H8" s="26"/>
      <c r="P8" s="60"/>
    </row>
    <row r="9" spans="1:22" ht="15">
      <c r="D9" s="10" t="s">
        <v>13</v>
      </c>
      <c r="E9" s="330" t="str">
        <f>IF(insured_name="","",insured_name)</f>
        <v/>
      </c>
      <c r="F9" s="331"/>
      <c r="G9" s="331"/>
      <c r="H9" s="332"/>
      <c r="M9" s="10" t="s">
        <v>104</v>
      </c>
      <c r="N9" s="310" t="str">
        <f>IF(number_of_locations="","",number_of_locations)</f>
        <v/>
      </c>
      <c r="O9" s="311"/>
    </row>
    <row r="10" spans="1:22" ht="15">
      <c r="D10" s="60"/>
      <c r="I10" s="10"/>
      <c r="P10" s="60"/>
    </row>
    <row r="11" spans="1:22" ht="15">
      <c r="D11" s="10" t="s">
        <v>161</v>
      </c>
      <c r="E11" s="330" t="str">
        <f>IF(section_reference="","",section_reference)</f>
        <v/>
      </c>
      <c r="F11" s="331"/>
      <c r="G11" s="331"/>
      <c r="H11" s="332"/>
      <c r="I11" s="10"/>
      <c r="M11" s="10" t="s">
        <v>48</v>
      </c>
      <c r="N11" s="310" t="str">
        <f>IF(inception_date="","",inception_date)</f>
        <v/>
      </c>
      <c r="O11" s="311"/>
      <c r="P11" s="60"/>
    </row>
    <row r="12" spans="1:22" ht="15">
      <c r="D12" s="60"/>
      <c r="I12" s="10"/>
      <c r="M12" s="10"/>
      <c r="P12" s="60"/>
    </row>
    <row r="13" spans="1:22" ht="15">
      <c r="D13" s="10" t="s">
        <v>162</v>
      </c>
      <c r="E13" s="330"/>
      <c r="F13" s="331"/>
      <c r="G13" s="331"/>
      <c r="H13" s="332"/>
      <c r="I13" s="10"/>
      <c r="M13" s="10" t="s">
        <v>108</v>
      </c>
      <c r="N13" s="316" t="str">
        <f>IF(type_of_limit="","",type_of_limit)</f>
        <v/>
      </c>
      <c r="O13" s="317"/>
      <c r="P13" s="60"/>
    </row>
    <row r="14" spans="1:22" ht="15">
      <c r="D14" s="60"/>
      <c r="I14" s="10"/>
      <c r="M14" s="10"/>
      <c r="P14" s="60"/>
    </row>
    <row r="15" spans="1:22" ht="15">
      <c r="D15" s="60"/>
      <c r="I15" s="10"/>
      <c r="M15" s="10"/>
      <c r="P15" s="60"/>
    </row>
    <row r="16" spans="1:22" ht="17.25" thickBot="1">
      <c r="B16" s="4" t="s">
        <v>163</v>
      </c>
      <c r="C16" s="4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</row>
    <row r="17" spans="2:16"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2:16" ht="15">
      <c r="B18" s="60" t="s">
        <v>164</v>
      </c>
      <c r="D18" s="60"/>
      <c r="H18" s="26"/>
      <c r="P18" s="60"/>
    </row>
    <row r="19" spans="2:16" ht="15" customHeight="1">
      <c r="B19" s="300"/>
      <c r="C19" s="301"/>
      <c r="D19" s="301"/>
      <c r="E19" s="301"/>
      <c r="F19" s="301"/>
      <c r="G19" s="301"/>
      <c r="H19" s="301"/>
      <c r="I19" s="301"/>
      <c r="J19" s="301"/>
      <c r="K19" s="301"/>
      <c r="L19" s="301"/>
      <c r="M19" s="301"/>
      <c r="N19" s="301"/>
      <c r="O19" s="302"/>
      <c r="P19" s="60"/>
    </row>
    <row r="20" spans="2:16" ht="15">
      <c r="B20" s="303"/>
      <c r="C20" s="304"/>
      <c r="D20" s="304"/>
      <c r="E20" s="304"/>
      <c r="F20" s="304"/>
      <c r="G20" s="304"/>
      <c r="H20" s="304"/>
      <c r="I20" s="304"/>
      <c r="J20" s="304"/>
      <c r="K20" s="304"/>
      <c r="L20" s="304"/>
      <c r="M20" s="304"/>
      <c r="N20" s="304"/>
      <c r="O20" s="305"/>
      <c r="P20" s="60"/>
    </row>
    <row r="21" spans="2:16" ht="15">
      <c r="B21" s="306"/>
      <c r="C21" s="307"/>
      <c r="D21" s="307"/>
      <c r="E21" s="307"/>
      <c r="F21" s="307"/>
      <c r="G21" s="307"/>
      <c r="H21" s="307"/>
      <c r="I21" s="307"/>
      <c r="J21" s="307"/>
      <c r="K21" s="307"/>
      <c r="L21" s="307"/>
      <c r="M21" s="307"/>
      <c r="N21" s="307"/>
      <c r="O21" s="308"/>
      <c r="P21" s="60"/>
    </row>
    <row r="22" spans="2:16" ht="15">
      <c r="D22" s="60"/>
      <c r="I22" s="10"/>
      <c r="M22" s="10"/>
      <c r="P22" s="60"/>
    </row>
    <row r="23" spans="2:16" ht="16.5">
      <c r="B23" s="28" t="s">
        <v>176</v>
      </c>
      <c r="D23" s="25"/>
      <c r="P23" s="60"/>
    </row>
    <row r="24" spans="2:16" ht="30">
      <c r="B24" s="21"/>
      <c r="C24" s="79"/>
      <c r="D24" s="42" t="s">
        <v>177</v>
      </c>
      <c r="E24" s="43" t="s">
        <v>178</v>
      </c>
      <c r="F24" s="81" t="s">
        <v>179</v>
      </c>
      <c r="G24" s="42" t="s">
        <v>180</v>
      </c>
      <c r="H24" s="43" t="s">
        <v>181</v>
      </c>
      <c r="I24" s="81" t="s">
        <v>182</v>
      </c>
      <c r="J24" s="42" t="s">
        <v>183</v>
      </c>
      <c r="K24" s="43" t="s">
        <v>184</v>
      </c>
      <c r="L24" s="81" t="s">
        <v>185</v>
      </c>
      <c r="M24" s="42" t="s">
        <v>186</v>
      </c>
      <c r="N24" s="43" t="s">
        <v>187</v>
      </c>
      <c r="O24" s="81" t="s">
        <v>188</v>
      </c>
    </row>
    <row r="25" spans="2:16" ht="15">
      <c r="B25" s="16"/>
      <c r="C25" s="10" t="s">
        <v>88</v>
      </c>
      <c r="D25" s="197"/>
      <c r="E25" s="117"/>
      <c r="F25" s="150"/>
      <c r="G25" s="255"/>
      <c r="H25" s="227"/>
      <c r="I25" s="294"/>
      <c r="J25" s="255"/>
      <c r="K25" s="227"/>
      <c r="L25" s="294"/>
      <c r="M25" s="255"/>
      <c r="N25" s="227"/>
      <c r="O25" s="294"/>
    </row>
    <row r="26" spans="2:16" ht="15">
      <c r="B26" s="16"/>
      <c r="C26" s="10" t="s">
        <v>165</v>
      </c>
      <c r="D26" s="129"/>
      <c r="E26" s="117"/>
      <c r="F26" s="150"/>
      <c r="G26" s="255"/>
      <c r="H26" s="227"/>
      <c r="I26" s="294"/>
      <c r="J26" s="255"/>
      <c r="K26" s="227"/>
      <c r="L26" s="294"/>
      <c r="M26" s="255"/>
      <c r="N26" s="227"/>
      <c r="O26" s="294"/>
    </row>
    <row r="27" spans="2:16" ht="15">
      <c r="B27" s="16"/>
      <c r="C27" s="10" t="s">
        <v>166</v>
      </c>
      <c r="D27" s="129"/>
      <c r="E27" s="117"/>
      <c r="F27" s="150"/>
      <c r="G27" s="255"/>
      <c r="H27" s="227"/>
      <c r="I27" s="294"/>
      <c r="J27" s="255"/>
      <c r="K27" s="227"/>
      <c r="L27" s="294"/>
      <c r="M27" s="255"/>
      <c r="N27" s="227"/>
      <c r="O27" s="294"/>
    </row>
    <row r="28" spans="2:16" ht="15">
      <c r="B28" s="16"/>
      <c r="C28" s="10" t="s">
        <v>167</v>
      </c>
      <c r="D28" s="129"/>
      <c r="E28" s="117"/>
      <c r="F28" s="150"/>
      <c r="G28" s="255"/>
      <c r="H28" s="227"/>
      <c r="I28" s="294"/>
      <c r="J28" s="255"/>
      <c r="K28" s="227"/>
      <c r="L28" s="294"/>
      <c r="M28" s="255"/>
      <c r="N28" s="227"/>
      <c r="O28" s="294"/>
    </row>
    <row r="29" spans="2:16" ht="15">
      <c r="B29" s="16"/>
      <c r="C29" s="10" t="s">
        <v>168</v>
      </c>
      <c r="D29" s="129"/>
      <c r="E29" s="117"/>
      <c r="F29" s="150"/>
      <c r="G29" s="255"/>
      <c r="H29" s="227"/>
      <c r="I29" s="294"/>
      <c r="J29" s="255"/>
      <c r="K29" s="227"/>
      <c r="L29" s="294"/>
      <c r="M29" s="255"/>
      <c r="N29" s="227"/>
      <c r="O29" s="294"/>
    </row>
    <row r="30" spans="2:16" ht="15">
      <c r="B30" s="16"/>
      <c r="C30" s="10" t="s">
        <v>169</v>
      </c>
      <c r="D30" s="129"/>
      <c r="E30" s="117"/>
      <c r="F30" s="150"/>
      <c r="G30" s="255"/>
      <c r="H30" s="227"/>
      <c r="I30" s="294"/>
      <c r="J30" s="255"/>
      <c r="K30" s="227"/>
      <c r="L30" s="294"/>
      <c r="M30" s="255"/>
      <c r="N30" s="227"/>
      <c r="O30" s="294"/>
    </row>
    <row r="31" spans="2:16" ht="15">
      <c r="B31" s="16"/>
      <c r="C31" s="10" t="s">
        <v>170</v>
      </c>
      <c r="D31" s="129"/>
      <c r="E31" s="117"/>
      <c r="F31" s="150"/>
      <c r="G31" s="255"/>
      <c r="H31" s="227"/>
      <c r="I31" s="294"/>
      <c r="J31" s="255"/>
      <c r="K31" s="227"/>
      <c r="L31" s="294"/>
      <c r="M31" s="255"/>
      <c r="N31" s="227"/>
      <c r="O31" s="294"/>
    </row>
    <row r="32" spans="2:16" ht="15">
      <c r="B32" s="16"/>
      <c r="C32" s="10" t="s">
        <v>171</v>
      </c>
      <c r="D32" s="129"/>
      <c r="E32" s="117"/>
      <c r="F32" s="150"/>
      <c r="G32" s="255"/>
      <c r="H32" s="227"/>
      <c r="I32" s="294"/>
      <c r="J32" s="255"/>
      <c r="K32" s="227"/>
      <c r="L32" s="294"/>
      <c r="M32" s="255"/>
      <c r="N32" s="227"/>
      <c r="O32" s="294"/>
    </row>
    <row r="33" spans="2:15" ht="15">
      <c r="B33" s="16"/>
      <c r="C33" s="10" t="s">
        <v>172</v>
      </c>
      <c r="D33" s="129"/>
      <c r="E33" s="117"/>
      <c r="F33" s="150"/>
      <c r="G33" s="255"/>
      <c r="H33" s="227"/>
      <c r="I33" s="294"/>
      <c r="J33" s="255"/>
      <c r="K33" s="227"/>
      <c r="L33" s="294"/>
      <c r="M33" s="255"/>
      <c r="N33" s="227"/>
      <c r="O33" s="294"/>
    </row>
    <row r="34" spans="2:15" ht="15">
      <c r="B34" s="16"/>
      <c r="C34" s="10" t="s">
        <v>173</v>
      </c>
      <c r="D34" s="129"/>
      <c r="E34" s="117"/>
      <c r="F34" s="150"/>
      <c r="G34" s="255"/>
      <c r="H34" s="227"/>
      <c r="I34" s="294"/>
      <c r="J34" s="255"/>
      <c r="K34" s="227"/>
      <c r="L34" s="294"/>
      <c r="M34" s="255"/>
      <c r="N34" s="227"/>
      <c r="O34" s="294"/>
    </row>
    <row r="35" spans="2:15" ht="15">
      <c r="B35" s="16"/>
      <c r="C35" s="10" t="s">
        <v>174</v>
      </c>
      <c r="D35" s="129"/>
      <c r="E35" s="117"/>
      <c r="F35" s="150"/>
      <c r="G35" s="255"/>
      <c r="H35" s="227"/>
      <c r="I35" s="294"/>
      <c r="J35" s="255"/>
      <c r="K35" s="227"/>
      <c r="L35" s="294"/>
      <c r="M35" s="255"/>
      <c r="N35" s="227"/>
      <c r="O35" s="294"/>
    </row>
    <row r="36" spans="2:15" ht="15">
      <c r="B36" s="18"/>
      <c r="C36" s="80" t="s">
        <v>175</v>
      </c>
      <c r="D36" s="126"/>
      <c r="E36" s="127"/>
      <c r="F36" s="151"/>
      <c r="G36" s="295"/>
      <c r="H36" s="296"/>
      <c r="I36" s="297"/>
      <c r="J36" s="295"/>
      <c r="K36" s="296"/>
      <c r="L36" s="297"/>
      <c r="M36" s="295"/>
      <c r="N36" s="296"/>
      <c r="O36" s="297"/>
    </row>
    <row r="38" spans="2:15" ht="16.5">
      <c r="B38" s="28" t="s">
        <v>198</v>
      </c>
    </row>
    <row r="39" spans="2:15" ht="30">
      <c r="B39" s="82"/>
      <c r="C39" s="69"/>
      <c r="D39" s="42" t="s">
        <v>189</v>
      </c>
      <c r="E39" s="43" t="s">
        <v>18</v>
      </c>
      <c r="F39" s="43" t="s">
        <v>19</v>
      </c>
      <c r="G39" s="43" t="s">
        <v>45</v>
      </c>
      <c r="H39" s="43" t="s">
        <v>236</v>
      </c>
      <c r="I39" s="43" t="s">
        <v>190</v>
      </c>
      <c r="J39" s="44" t="s">
        <v>191</v>
      </c>
    </row>
    <row r="40" spans="2:15" ht="15">
      <c r="B40" s="13"/>
      <c r="C40" s="83" t="s">
        <v>192</v>
      </c>
      <c r="D40" s="197"/>
      <c r="E40" s="227"/>
      <c r="F40" s="227"/>
      <c r="G40" s="227"/>
      <c r="H40" s="100"/>
      <c r="I40" s="227"/>
      <c r="J40" s="130"/>
    </row>
    <row r="41" spans="2:15" ht="15">
      <c r="B41" s="16"/>
      <c r="C41" s="77" t="s">
        <v>193</v>
      </c>
      <c r="D41" s="117"/>
      <c r="E41" s="227"/>
      <c r="F41" s="227"/>
      <c r="G41" s="227"/>
      <c r="H41" s="100"/>
      <c r="I41" s="227"/>
      <c r="J41" s="130"/>
    </row>
    <row r="42" spans="2:15" ht="15">
      <c r="B42" s="16"/>
      <c r="C42" s="77" t="s">
        <v>194</v>
      </c>
      <c r="D42" s="117"/>
      <c r="E42" s="227"/>
      <c r="F42" s="227"/>
      <c r="G42" s="227"/>
      <c r="H42" s="100"/>
      <c r="I42" s="227"/>
      <c r="J42" s="130"/>
    </row>
    <row r="43" spans="2:15" ht="15">
      <c r="B43" s="16"/>
      <c r="C43" s="77" t="s">
        <v>195</v>
      </c>
      <c r="D43" s="117"/>
      <c r="E43" s="227"/>
      <c r="F43" s="227"/>
      <c r="G43" s="227"/>
      <c r="H43" s="100"/>
      <c r="I43" s="227"/>
      <c r="J43" s="130"/>
    </row>
    <row r="44" spans="2:15" ht="15">
      <c r="B44" s="16"/>
      <c r="C44" s="77" t="s">
        <v>196</v>
      </c>
      <c r="D44" s="117"/>
      <c r="E44" s="227"/>
      <c r="F44" s="227"/>
      <c r="G44" s="227"/>
      <c r="H44" s="100"/>
      <c r="I44" s="227"/>
      <c r="J44" s="130"/>
    </row>
    <row r="45" spans="2:15" ht="15">
      <c r="B45" s="18"/>
      <c r="C45" s="78" t="s">
        <v>197</v>
      </c>
      <c r="D45" s="127"/>
      <c r="E45" s="296"/>
      <c r="F45" s="296"/>
      <c r="G45" s="296"/>
      <c r="H45" s="68"/>
      <c r="I45" s="296"/>
      <c r="J45" s="128"/>
    </row>
  </sheetData>
  <mergeCells count="7">
    <mergeCell ref="B19:O21"/>
    <mergeCell ref="E11:H11"/>
    <mergeCell ref="E9:H9"/>
    <mergeCell ref="E13:H13"/>
    <mergeCell ref="N13:O13"/>
    <mergeCell ref="N11:O11"/>
    <mergeCell ref="N9:O9"/>
  </mergeCells>
  <pageMargins left="0.25" right="0.25" top="0.75" bottom="0.75" header="0.3" footer="0.3"/>
  <pageSetup paperSize="9" scale="7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78</vt:i4>
      </vt:variant>
    </vt:vector>
  </HeadingPairs>
  <TitlesOfParts>
    <vt:vector size="84" baseType="lpstr">
      <vt:lpstr>Risk Information</vt:lpstr>
      <vt:lpstr>Countries</vt:lpstr>
      <vt:lpstr>Exposure Details</vt:lpstr>
      <vt:lpstr>Construction</vt:lpstr>
      <vt:lpstr>Rating Summary</vt:lpstr>
      <vt:lpstr>Peril Sheet</vt:lpstr>
      <vt:lpstr>agg_discount</vt:lpstr>
      <vt:lpstr>aggregate_usage</vt:lpstr>
      <vt:lpstr>bi_indemnity_periuod_months</vt:lpstr>
      <vt:lpstr>bi_sum_insured</vt:lpstr>
      <vt:lpstr>bi_wait_period_days</vt:lpstr>
      <vt:lpstr>bpi</vt:lpstr>
      <vt:lpstr>broker_contact</vt:lpstr>
      <vt:lpstr>broker_name</vt:lpstr>
      <vt:lpstr>brokerage</vt:lpstr>
      <vt:lpstr>commentary_general</vt:lpstr>
      <vt:lpstr>commentary_ihs</vt:lpstr>
      <vt:lpstr>commentary_industry</vt:lpstr>
      <vt:lpstr>commentary_perils</vt:lpstr>
      <vt:lpstr>commentary_policy</vt:lpstr>
      <vt:lpstr>commentary_security</vt:lpstr>
      <vt:lpstr>commentary_uw_rationale</vt:lpstr>
      <vt:lpstr>confirm_limits_status</vt:lpstr>
      <vt:lpstr>construction_coverage</vt:lpstr>
      <vt:lpstr>contingent_bi</vt:lpstr>
      <vt:lpstr>days_difference</vt:lpstr>
      <vt:lpstr>expiry_date</vt:lpstr>
      <vt:lpstr>gross_benchmark_premium</vt:lpstr>
      <vt:lpstr>gross_quoted_premium</vt:lpstr>
      <vt:lpstr>gross_quoted_rol</vt:lpstr>
      <vt:lpstr>gross_technical_premium</vt:lpstr>
      <vt:lpstr>gross_technical_premium_pre_uw_adjustment</vt:lpstr>
      <vt:lpstr>impact_of_underwriting_adjustments</vt:lpstr>
      <vt:lpstr>inception_date</vt:lpstr>
      <vt:lpstr>insured_name</vt:lpstr>
      <vt:lpstr>is_renewal</vt:lpstr>
      <vt:lpstr>line_currency</vt:lpstr>
      <vt:lpstr>number_of_locations</vt:lpstr>
      <vt:lpstr>order</vt:lpstr>
      <vt:lpstr>pd_sum_insured</vt:lpstr>
      <vt:lpstr>policy_deductible</vt:lpstr>
      <vt:lpstr>policy_excess</vt:lpstr>
      <vt:lpstr>policy_limit</vt:lpstr>
      <vt:lpstr>policy_sub_limit</vt:lpstr>
      <vt:lpstr>policy_url</vt:lpstr>
      <vt:lpstr>priced_for_loss_ratio</vt:lpstr>
      <vt:lpstr>Construction!Print_Area</vt:lpstr>
      <vt:lpstr>Countries!Print_Area</vt:lpstr>
      <vt:lpstr>'Exposure Details'!Print_Area</vt:lpstr>
      <vt:lpstr>'Peril Sheet'!Print_Area</vt:lpstr>
      <vt:lpstr>'Rating Summary'!Print_Area</vt:lpstr>
      <vt:lpstr>'Risk Information'!Print_Area</vt:lpstr>
      <vt:lpstr>return_on_capital</vt:lpstr>
      <vt:lpstr>section_reference</vt:lpstr>
      <vt:lpstr>source_currency</vt:lpstr>
      <vt:lpstr>source_system</vt:lpstr>
      <vt:lpstr>status</vt:lpstr>
      <vt:lpstr>tbl_construction_default_approach</vt:lpstr>
      <vt:lpstr>tbl_construction_premium_build_up</vt:lpstr>
      <vt:lpstr>tbl_construction_premium_totals</vt:lpstr>
      <vt:lpstr>tbl_countries</vt:lpstr>
      <vt:lpstr>tbl_ihs_score</vt:lpstr>
      <vt:lpstr>tbl_perils_cbi</vt:lpstr>
      <vt:lpstr>tbl_perils_general</vt:lpstr>
      <vt:lpstr>tbl_rate_change_drivers</vt:lpstr>
      <vt:lpstr>tbl_rate_change_premiums</vt:lpstr>
      <vt:lpstr>tbl_rating_annual_after_uw_adj</vt:lpstr>
      <vt:lpstr>tbl_rating_annual_before_uw_adj</vt:lpstr>
      <vt:lpstr>tbl_rating_term_after_uw_adj</vt:lpstr>
      <vt:lpstr>tbl_rating_term_before_uw_adj</vt:lpstr>
      <vt:lpstr>tbl_uw_adjustments</vt:lpstr>
      <vt:lpstr>tbl_uw_authority</vt:lpstr>
      <vt:lpstr>to_terrorism_only</vt:lpstr>
      <vt:lpstr>total_adjustment_score</vt:lpstr>
      <vt:lpstr>total_sum_insured</vt:lpstr>
      <vt:lpstr>tpi</vt:lpstr>
      <vt:lpstr>tpi_pre_uw_adjustment</vt:lpstr>
      <vt:lpstr>type_of_limit</vt:lpstr>
      <vt:lpstr>underwriter</vt:lpstr>
      <vt:lpstr>underwriter_multiplier</vt:lpstr>
      <vt:lpstr>uw_ihs_adjustment</vt:lpstr>
      <vt:lpstr>wl_war_on_land</vt:lpstr>
      <vt:lpstr>written_line</vt:lpstr>
      <vt:lpstr>written_line_basis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Enrico Contaldo</dc:creator>
  <cp:lastModifiedBy>James Buckley</cp:lastModifiedBy>
  <cp:lastPrinted>2025-08-12T15:32:34Z</cp:lastPrinted>
  <dcterms:created xsi:type="dcterms:W3CDTF">2015-06-05T18:19:34Z</dcterms:created>
  <dcterms:modified xsi:type="dcterms:W3CDTF">2025-09-29T15:10:18Z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d91fd61-bc48-4588-8d11-80a491ed1fbf_Enabled">
    <vt:lpwstr>true</vt:lpwstr>
  </property>
  <property fmtid="{D5CDD505-2E9C-101B-9397-08002B2CF9AE}" pid="3" name="MSIP_Label_ed91fd61-bc48-4588-8d11-80a491ed1fbf_SetDate">
    <vt:lpwstr>2025-06-03T14:01:46Z</vt:lpwstr>
  </property>
  <property fmtid="{D5CDD505-2E9C-101B-9397-08002B2CF9AE}" pid="4" name="MSIP_Label_ed91fd61-bc48-4588-8d11-80a491ed1fbf_Method">
    <vt:lpwstr>Privileged</vt:lpwstr>
  </property>
  <property fmtid="{D5CDD505-2E9C-101B-9397-08002B2CF9AE}" pid="5" name="MSIP_Label_ed91fd61-bc48-4588-8d11-80a491ed1fbf_Name">
    <vt:lpwstr>Internal</vt:lpwstr>
  </property>
  <property fmtid="{D5CDD505-2E9C-101B-9397-08002B2CF9AE}" pid="6" name="MSIP_Label_ed91fd61-bc48-4588-8d11-80a491ed1fbf_SiteId">
    <vt:lpwstr>9a50eba8-7568-447a-bcb9-27a0d464aa80</vt:lpwstr>
  </property>
  <property fmtid="{D5CDD505-2E9C-101B-9397-08002B2CF9AE}" pid="7" name="MSIP_Label_ed91fd61-bc48-4588-8d11-80a491ed1fbf_ActionId">
    <vt:lpwstr>6b66485d-076c-455f-a51f-16c1beb43cc1</vt:lpwstr>
  </property>
  <property fmtid="{D5CDD505-2E9C-101B-9397-08002B2CF9AE}" pid="8" name="MSIP_Label_ed91fd61-bc48-4588-8d11-80a491ed1fbf_ContentBits">
    <vt:lpwstr>0</vt:lpwstr>
  </property>
  <property fmtid="{D5CDD505-2E9C-101B-9397-08002B2CF9AE}" pid="9" name="MSIP_Label_ed91fd61-bc48-4588-8d11-80a491ed1fbf_Tag">
    <vt:lpwstr>10, 0, 1, 1</vt:lpwstr>
  </property>
</Properties>
</file>