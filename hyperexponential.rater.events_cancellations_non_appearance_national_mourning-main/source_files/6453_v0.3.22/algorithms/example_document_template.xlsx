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W:\Finance\Actuarial\Pricing\01 - Property\JB\Contingency\excel output file\"/>
    </mc:Choice>
  </mc:AlternateContent>
  <xr:revisionPtr revIDLastSave="0" documentId="8_{21137AE2-87E5-4294-8F57-A9190F4DB232}" xr6:coauthVersionLast="47" xr6:coauthVersionMax="47" xr10:uidLastSave="{00000000-0000-0000-0000-000000000000}"/>
  <bookViews>
    <workbookView xWindow="38280" yWindow="-120" windowWidth="29040" windowHeight="15840" tabRatio="895" activeTab="1" xr2:uid="{6D2E7A6F-5796-4991-9982-C532054B8709}"/>
  </bookViews>
  <sheets>
    <sheet name="RiskInformation" sheetId="1" r:id="rId1"/>
    <sheet name="Exposure" sheetId="8" r:id="rId2"/>
    <sheet name="NationalMourning" sheetId="12" r:id="rId3"/>
    <sheet name="NonAppearance" sheetId="11" r:id="rId4"/>
    <sheet name="ExperienceRating" sheetId="13" r:id="rId5"/>
    <sheet name="RatingSummary" sheetId="10" r:id="rId6"/>
    <sheet name="Rationale_and_RateChg" sheetId="14" r:id="rId7"/>
    <sheet name="Actuarial_Event" sheetId="17" state="hidden" r:id="rId8"/>
    <sheet name="Actuarial_NM" sheetId="18" state="hidden" r:id="rId9"/>
    <sheet name="Actuarial_ExperienceAnalysis" sheetId="19" state="hidden" r:id="rId10"/>
    <sheet name="Actuarial_Policy" sheetId="15" state="hidden" r:id="rId11"/>
    <sheet name="Actuarial_Claim" sheetId="16" state="hidden" r:id="rId12"/>
    <sheet name="helper_wrap_text" sheetId="9" state="hidden" r:id="rId13"/>
  </sheets>
  <definedNames>
    <definedName name="CIQWBGuid" hidden="1">"d1fa1c47-a428-497f-aca3-1ee4f6615dd2"</definedName>
    <definedName name="exper.bi_date_last">ExperienceRating!$L$12</definedName>
    <definedName name="exper.bi_rerun">ExperienceRating!$L$13</definedName>
    <definedName name="exper.bi_status_last">ExperienceRating!$L$11</definedName>
    <definedName name="exper.bi_val_calc">ExperienceRating!$L$15</definedName>
    <definedName name="exper.bi_val_last">ExperienceRating!$L$14</definedName>
    <definedName name="exper.el_calc">ExperienceRating!$H$15</definedName>
    <definedName name="exper.el_ovd">ExperienceRating!$G$15</definedName>
    <definedName name="exper.el_sel">ExperienceRating!$E$15</definedName>
    <definedName name="exper.eval_date_est">ExperienceRating!$E$11</definedName>
    <definedName name="exper.eval_date_ovd">ExperienceRating!$E$12</definedName>
    <definedName name="exper.tbl_actuarial">ExperienceRating!$C$78</definedName>
    <definedName name="exper.tbl_actuarial_total_attr_bf_lr">ExperienceRating!$N$89</definedName>
    <definedName name="exper.tbl_actuarial_total_attr_bf_ultimate">ExperienceRating!$K$89</definedName>
    <definedName name="exper.tbl_actuarial_total_attr_cl_lr">ExperienceRating!$M$89</definedName>
    <definedName name="exper.tbl_actuarial_total_attr_cl_ultimate">ExperienceRating!$J$89</definedName>
    <definedName name="exper.tbl_actuarial_total_attr_ie_ultimate">ExperienceRating!$L$89</definedName>
    <definedName name="exper.tbl_actuarial_total_attr_ielr">ExperienceRating!$O$89</definedName>
    <definedName name="exper.tbl_actuarial_total_attr_ulr">ExperienceRating!$R$89</definedName>
    <definedName name="exper.tbl_actuarial_total_attr_ultimate">ExperienceRating!$Q$89</definedName>
    <definedName name="exper.tbl_actuarial_total_cat_bf_lr">ExperienceRating!$AI$89</definedName>
    <definedName name="exper.tbl_actuarial_total_cat_bf_ultimate">ExperienceRating!$AF$89</definedName>
    <definedName name="exper.tbl_actuarial_total_cat_cl_lr">ExperienceRating!$AH$89</definedName>
    <definedName name="exper.tbl_actuarial_total_cat_cl_ultimate">ExperienceRating!$AE$89</definedName>
    <definedName name="exper.tbl_actuarial_total_cat_ie_ultimate">ExperienceRating!$AG$89</definedName>
    <definedName name="exper.tbl_actuarial_total_cat_ielr">ExperienceRating!$AJ$89</definedName>
    <definedName name="exper.tbl_actuarial_total_cat_ulr">ExperienceRating!$AM$89</definedName>
    <definedName name="exper.tbl_actuarial_total_cat_ultimate">ExperienceRating!$AL$89</definedName>
    <definedName name="exper.tbl_actuarial_total_gnol_el_attr">ExperienceRating!$E$89</definedName>
    <definedName name="exper.tbl_actuarial_total_gnol_el_cat">ExperienceRating!$G$89</definedName>
    <definedName name="exper.tbl_actuarial_total_gnol_el_large">ExperienceRating!$F$89</definedName>
    <definedName name="exper.tbl_actuarial_total_gnol_el_total">ExperienceRating!$H$89</definedName>
    <definedName name="exper.tbl_actuarial_total_gnol_p">ExperienceRating!$D$89</definedName>
    <definedName name="exper.tbl_actuarial_total_large_bf_lr">ExperienceRating!$X$89</definedName>
    <definedName name="exper.tbl_actuarial_total_large_bf_ultimate">ExperienceRating!$U$89</definedName>
    <definedName name="exper.tbl_actuarial_total_large_cl_lr">ExperienceRating!$W$89</definedName>
    <definedName name="exper.tbl_actuarial_total_large_cl_ultimate">ExperienceRating!$T$89</definedName>
    <definedName name="exper.tbl_actuarial_total_large_ie_ultimate">ExperienceRating!$V$89</definedName>
    <definedName name="exper.tbl_actuarial_total_large_ielr">ExperienceRating!$Y$89</definedName>
    <definedName name="exper.tbl_actuarial_total_large_ulr">ExperienceRating!$AC$89</definedName>
    <definedName name="exper.tbl_actuarial_total_large_ultimate">ExperienceRating!$AB$89</definedName>
    <definedName name="exper.tbl_actuarial_total_total_bf_lr">ExperienceRating!$AT$89</definedName>
    <definedName name="exper.tbl_actuarial_total_total_bf_ultimate">ExperienceRating!$AP$89</definedName>
    <definedName name="exper.tbl_actuarial_total_total_cl_lr">ExperienceRating!$AS$89</definedName>
    <definedName name="exper.tbl_actuarial_total_total_cl_ultimate">ExperienceRating!$AO$89</definedName>
    <definedName name="exper.tbl_actuarial_total_total_ie_ultimate">ExperienceRating!$AQ$89</definedName>
    <definedName name="exper.tbl_actuarial_total_total_ielr">ExperienceRating!$AU$89</definedName>
    <definedName name="exper.tbl_actuarial_total_total_ulr">ExperienceRating!$AV$89</definedName>
    <definedName name="exper.tbl_actuarial_total_total_ultimate">ExperienceRating!$AR$89</definedName>
    <definedName name="exper.tbl_actuarial_total_year">ExperienceRating!$C$89</definedName>
    <definedName name="exper.tbl_assump">ExperienceRating!$C$43</definedName>
    <definedName name="exper.tbl_overall">ExperienceRating!$C$24</definedName>
    <definedName name="exper.tbl_overall_total_gnol_el">ExperienceRating!$H$36</definedName>
    <definedName name="exper.tbl_overall_total_gnol_lr">ExperienceRating!$I$36</definedName>
    <definedName name="exper.tbl_overall_total_gnol_p">ExperienceRating!$G$36</definedName>
    <definedName name="exper.tbl_overall_total_tiv_calc">ExperienceRating!$E$36</definedName>
    <definedName name="exper.tbl_overall_total_tiv_ovd">ExperienceRating!$F$36</definedName>
    <definedName name="exper.tbl_overall_total_year">ExperienceRating!$C$36</definedName>
    <definedName name="exper.tbl_project">ExperienceRating!$C$60</definedName>
    <definedName name="exper.tbl_project_total_attr_bf_lr">ExperienceRating!$J$71</definedName>
    <definedName name="exper.tbl_project_total_attr_cl_lr">ExperienceRating!$I$71</definedName>
    <definedName name="exper.tbl_project_total_attr_ielr">ExperienceRating!$K$71</definedName>
    <definedName name="exper.tbl_project_total_attr_ulr">ExperienceRating!$N$71</definedName>
    <definedName name="exper.tbl_project_total_attr_ultimate">ExperienceRating!$M$71</definedName>
    <definedName name="exper.tbl_project_total_cat_cl_lr">ExperienceRating!$T$71</definedName>
    <definedName name="exper.tbl_project_total_cat_ielr">ExperienceRating!$U$71</definedName>
    <definedName name="exper.tbl_project_total_cat_ulr">ExperienceRating!$X$71</definedName>
    <definedName name="exper.tbl_project_total_cat_ultimate">ExperienceRating!$W$71</definedName>
    <definedName name="exper.tbl_project_total_gnol_el_attr">ExperienceRating!$E$71</definedName>
    <definedName name="exper.tbl_project_total_gnol_el_cat">ExperienceRating!$G$71</definedName>
    <definedName name="exper.tbl_project_total_gnol_el_large">ExperienceRating!$F$71</definedName>
    <definedName name="exper.tbl_project_total_gnol_p">ExperienceRating!$D$71</definedName>
    <definedName name="exper.tbl_project_total_large_cl_lr">ExperienceRating!$O$71</definedName>
    <definedName name="exper.tbl_project_total_large_ielr">ExperienceRating!$P$71</definedName>
    <definedName name="exper.tbl_project_total_large_ulr">ExperienceRating!$S$71</definedName>
    <definedName name="exper.tbl_project_total_large_ultimate">ExperienceRating!$R$71</definedName>
    <definedName name="exper.tbl_project_total_total_ulr">ExperienceRating!$Z$71</definedName>
    <definedName name="exper.tbl_project_total_total_ultimate">ExperienceRating!$Y$71</definedName>
    <definedName name="exper.tbl_project_total_year">ExperienceRating!$C$71</definedName>
    <definedName name="exper.trend_backfill">ExperienceRating!$E$21</definedName>
    <definedName name="exper.wgt_calc">ExperienceRating!$H$16</definedName>
    <definedName name="exper.wgt_ovd">ExperienceRating!$G$16</definedName>
    <definedName name="exper.wgt_sel">ExperienceRating!$E$16</definedName>
    <definedName name="expo.agg_deductible">Exposure!$K$17</definedName>
    <definedName name="expo.agg_limit">Exposure!$K$13</definedName>
    <definedName name="expo.agg_tiv_calc">Exposure!$D$67</definedName>
    <definedName name="expo.agg_tiv_sel">Exposure!$I$67</definedName>
    <definedName name="expo.agg_tiv_warning">Exposure!$M$67</definedName>
    <definedName name="expo.curve_comments">Exposure!$I$45</definedName>
    <definedName name="expo.curve_warning">Exposure!$M$45</definedName>
    <definedName name="expo.deductible">Exposure!$D$17</definedName>
    <definedName name="expo.event_table">Exposure!$C$73</definedName>
    <definedName name="expo.event_type">Exposure!$D$11</definedName>
    <definedName name="expo.excess">Exposure!$K$15</definedName>
    <definedName name="expo.experience_factor">Exposure!$M$49</definedName>
    <definedName name="expo.experience_ilr">Exposure!$I$49</definedName>
    <definedName name="expo.experience_use">Exposure!$D$49</definedName>
    <definedName name="expo.exposure_curve">Exposure!$D$45</definedName>
    <definedName name="expo.ihs_last_run_status">Exposure!$D$57</definedName>
    <definedName name="expo.ihs_rerun_status">Exposure!$D$59</definedName>
    <definedName name="expo.ihs_value">Exposure!$D$61</definedName>
    <definedName name="expo.limit">Exposure!$D$13</definedName>
    <definedName name="expo.ncb_factor">Exposure!$M$51</definedName>
    <definedName name="expo.ncb_pct">Exposure!$I$51</definedName>
    <definedName name="expo.ncb_use">Exposure!$D$51</definedName>
    <definedName name="expo.sim_last_run_status">Exposure!$K$57</definedName>
    <definedName name="expo.sim_rerun_status">Exposure!$K$59</definedName>
    <definedName name="expo.sim_value">Exposure!$K$61</definedName>
    <definedName name="expo.tbl_coverage">Exposure!$D$23</definedName>
    <definedName name="expo.terror_cityload">Exposure!$M$41</definedName>
    <definedName name="expo.terror_profile">Exposure!$I$41</definedName>
    <definedName name="expo.terror_td">Exposure!$D$41</definedName>
    <definedName name="expo.use_excess">Exposure!$D$15</definedName>
    <definedName name="na.avg_value">NonAppearance!$E$15</definedName>
    <definedName name="na.base_rate">NonAppearance!$K$11</definedName>
    <definedName name="na.claim_experience">NonAppearance!$E$26</definedName>
    <definedName name="na.comment">NonAppearance!$C$42</definedName>
    <definedName name="na.curve">NonAppearance!$E$33</definedName>
    <definedName name="na.el_fgu">NonAppearance!$E$19</definedName>
    <definedName name="na.el_fgu_mod">NonAppearance!$E$30</definedName>
    <definedName name="na.genre">NonAppearance!$E$11</definedName>
    <definedName name="na.mod_claim_experience">NonAppearance!$K$26</definedName>
    <definedName name="na.mod_nmp">NonAppearance!$K$28</definedName>
    <definedName name="na.mod_num_members">NonAppearance!$K$24</definedName>
    <definedName name="na.mod_total">NonAppearance!$K$30</definedName>
    <definedName name="na.num_members">NonAppearance!$E$24</definedName>
    <definedName name="na.num_shows">NonAppearance!$E$13</definedName>
    <definedName name="na.tiv">NonAppearance!$E$17</definedName>
    <definedName name="na.uw_adj_final">NonAppearance!$H$38</definedName>
    <definedName name="na.uw_adj_max">NonAppearance!$G$38</definedName>
    <definedName name="na.uw_adj_min">NonAppearance!$E$38</definedName>
    <definedName name="na.uw_adj_selected">NonAppearance!$F$38</definedName>
    <definedName name="nm.cover">NationalMourning!$D$11</definedName>
    <definedName name="nm.mourning_period">NationalMourning!$K$11</definedName>
    <definedName name="nm.o75_b1_adj_affl">NationalMourning!$K$23</definedName>
    <definedName name="nm.o75_b1_adj_health">NationalMourning!$L$23</definedName>
    <definedName name="nm.o75_b1_age">NationalMourning!$H$23</definedName>
    <definedName name="nm.o75_b1_check">NationalMourning!$O$23</definedName>
    <definedName name="nm.o75_b1_country">NationalMourning!$E$23</definedName>
    <definedName name="nm.o75_b1_dob">NationalMourning!$G$23</definedName>
    <definedName name="nm.o75_b1_gender">NationalMourning!$F$23</definedName>
    <definedName name="nm.o75_b1_include">NationalMourning!$C$23</definedName>
    <definedName name="nm.o75_b1_name">NationalMourning!$D$23</definedName>
    <definedName name="nm.o75_b1_pod">NationalMourning!$I$23</definedName>
    <definedName name="nm.o75_b1_pod_adj">NationalMourning!$M$23</definedName>
    <definedName name="nm.o75_b1_pos">NationalMourning!$J$23</definedName>
    <definedName name="nm.o75_b1_pos_adj">NationalMourning!$N$23</definedName>
    <definedName name="nm.o75_b2_adj_affl">NationalMourning!$K$24</definedName>
    <definedName name="nm.o75_b2_adj_health">NationalMourning!$L$24</definedName>
    <definedName name="nm.o75_b2_age">NationalMourning!$H$24</definedName>
    <definedName name="nm.o75_b2_check">NationalMourning!$O$24</definedName>
    <definedName name="nm.o75_b2_country">NationalMourning!$E$24</definedName>
    <definedName name="nm.o75_b2_dob">NationalMourning!$G$24</definedName>
    <definedName name="nm.o75_b2_gender">NationalMourning!$F$24</definedName>
    <definedName name="nm.o75_b2_include">NationalMourning!$C$24</definedName>
    <definedName name="nm.o75_b2_name">NationalMourning!$D$24</definedName>
    <definedName name="nm.o75_b2_pod">NationalMourning!$I$24</definedName>
    <definedName name="nm.o75_b2_pod_adj">NationalMourning!$M$24</definedName>
    <definedName name="nm.o75_b2_pos">NationalMourning!$J$24</definedName>
    <definedName name="nm.o75_b2_pos_adj">NationalMourning!$N$24</definedName>
    <definedName name="nm.o75_table">NationalMourning!$C$25</definedName>
    <definedName name="nm.u75_adj_affl">NationalMourning!$K$17</definedName>
    <definedName name="nm.u75_adj_health">NationalMourning!$L$17</definedName>
    <definedName name="nm.u75_age">NationalMourning!$H$17</definedName>
    <definedName name="nm.u75_check">NationalMourning!$O$17</definedName>
    <definedName name="nm.u75_country">NationalMourning!$E$17</definedName>
    <definedName name="nm.u75_include">NationalMourning!$C$17</definedName>
    <definedName name="nm.u75_pod">NationalMourning!$I$17</definedName>
    <definedName name="nm.u75_pod_adj">NationalMourning!$M$17</definedName>
    <definedName name="nm.u75_pos">NationalMourning!$J$17</definedName>
    <definedName name="nm.u75_pos_adj">NationalMourning!$N$17</definedName>
    <definedName name="_xlnm.Print_Area" localSheetId="4">ExperienceRating!$B$3:$AE$71</definedName>
    <definedName name="_xlnm.Print_Area" localSheetId="1">Exposure!$B$3:$P$97</definedName>
    <definedName name="_xlnm.Print_Area" localSheetId="2">NationalMourning!$B$3:$P$28</definedName>
    <definedName name="_xlnm.Print_Area" localSheetId="3">NonAppearance!$B$3:$N$45</definedName>
    <definedName name="_xlnm.Print_Area" localSheetId="5">RatingSummary!$B$3:$S$94</definedName>
    <definedName name="_xlnm.Print_Area" localSheetId="6">Rationale_and_RateChg!$B$3:$I$41</definedName>
    <definedName name="_xlnm.Print_Area" localSheetId="0">RiskInformation!$B$2:$I$50</definedName>
    <definedName name="rc.actuarial_rationale">Rationale_and_RateChg!$B$15</definedName>
    <definedName name="rc.actuarial_reviewed">Rationale_and_RateChg!$D$13</definedName>
    <definedName name="rc.expiring_id">Rationale_and_RateChg!$D$21</definedName>
    <definedName name="rc.tbl_rc_drivers">Rationale_and_RateChg!$D$33</definedName>
    <definedName name="rc.tbl_rc_profile">Rationale_and_RateChg!$D$24</definedName>
    <definedName name="rc.uw_rationale">Rationale_and_RateChg!$B$7</definedName>
    <definedName name="ri.actuary_view">RiskInformation!$E$42</definedName>
    <definedName name="ri.broker_contact">RiskInformation!$G$34</definedName>
    <definedName name="ri.broker_name">RiskInformation!$D$34</definedName>
    <definedName name="ri.brokerage">RiskInformation!$E$26</definedName>
    <definedName name="ri.currency">RiskInformation!$D$12</definedName>
    <definedName name="ri.det_agg_approach">RiskInformation!$E$50</definedName>
    <definedName name="ri.disable_validation">RiskInformation!$E$54</definedName>
    <definedName name="ri.event_name">RiskInformation!$C$24</definedName>
    <definedName name="ri.expiry_date">RiskInformation!$G$8</definedName>
    <definedName name="ri.hx_link">RiskInformation!$F$3</definedName>
    <definedName name="ri.inception_date">RiskInformation!$D$8</definedName>
    <definedName name="ri.insured_name">RiskInformation!$D$16</definedName>
    <definedName name="ri.is_migrated">RiskInformation!$E$52</definedName>
    <definedName name="ri.is_renewal">RiskInformation!$G$12</definedName>
    <definedName name="ri.old_nm_approach">RiskInformation!$E$48</definedName>
    <definedName name="ri.product_bool">RiskInformation!$G$10</definedName>
    <definedName name="ri.rater_priced">RiskInformation!$E$44</definedName>
    <definedName name="ri.schema_view">RiskInformation!$E$46</definedName>
    <definedName name="ri.section_ref_ec">RiskInformation!$D$14</definedName>
    <definedName name="ri.section_ref_na">RiskInformation!$G$14</definedName>
    <definedName name="ri.status">RiskInformation!$G$26</definedName>
    <definedName name="ri.underwriter">RiskInformation!$D$10</definedName>
    <definedName name="ri.written_line">RiskInformation!$C$26</definedName>
    <definedName name="rs.agg_adj">RatingSummary!$L$21</definedName>
    <definedName name="rs.agg_limit">RatingSummary!$E$30</definedName>
    <definedName name="rs.bench_premium_100">RatingSummary!$D$37</definedName>
    <definedName name="rs.bench_premium_afb">RatingSummary!$F$37</definedName>
    <definedName name="rs.bpi">RatingSummary!$C$44</definedName>
    <definedName name="rs.brokerage">RatingSummary!$G$28</definedName>
    <definedName name="rs.clmnum_calc">RatingSummary!$F$13</definedName>
    <definedName name="rs.clmnum_ovd">RatingSummary!$H$13</definedName>
    <definedName name="rs.clmnum_sim">RatingSummary!$J$13</definedName>
    <definedName name="rs.currency">RatingSummary!$E$28</definedName>
    <definedName name="rs.deductible">RatingSummary!$I$30</definedName>
    <definedName name="rs.deductible_agg">RatingSummary!$K$30</definedName>
    <definedName name="rs.det_el_adj">RatingSummary!$L$19</definedName>
    <definedName name="rs.det_el_cap">RatingSummary!$H$19</definedName>
    <definedName name="rs.det_el_uncap">RatingSummary!$F$19</definedName>
    <definedName name="rs.excess">RatingSummary!$K$28</definedName>
    <definedName name="rs.limit">RatingSummary!$C$30</definedName>
    <definedName name="rs.num_sims">RatingSummary!$J$21</definedName>
    <definedName name="rs.pflr">RatingSummary!$G$44</definedName>
    <definedName name="rs.quoted_premium_100">RatingSummary!$D$35</definedName>
    <definedName name="rs.quoted_premium_afb">RatingSummary!$F$35</definedName>
    <definedName name="rs.quoted_roe">RatingSummary!$K$37</definedName>
    <definedName name="rs.quoted_rol">RatingSummary!$K$35</definedName>
    <definedName name="rs.rater_priced">RatingSummary!$D$7</definedName>
    <definedName name="rs.roc">RatingSummary!$K$46</definedName>
    <definedName name="rs.sim_check_calc">RatingSummary!$H$15</definedName>
    <definedName name="rs.sim_check_last">RatingSummary!$J$15</definedName>
    <definedName name="rs.sim_el_adj">RatingSummary!$J$17</definedName>
    <definedName name="rs.sim_el_cap">RatingSummary!$H$17</definedName>
    <definedName name="rs.sim_el_scaled">RatingSummary!$L$17</definedName>
    <definedName name="rs.sim_el_uncap">RatingSummary!$F$17</definedName>
    <definedName name="rs.sim_error">RatingSummary!$F$21</definedName>
    <definedName name="rs.sim_last_status">RatingSummary!$F$15</definedName>
    <definedName name="rs.sim_rerun">RatingSummary!$L$15</definedName>
    <definedName name="rs.status">RatingSummary!$C$28</definedName>
    <definedName name="rs.tech_premium_100">RatingSummary!$D$39</definedName>
    <definedName name="rs.tech_premium_afb">RatingSummary!$F$39</definedName>
    <definedName name="rs.tpi">RatingSummary!$C$46</definedName>
    <definedName name="rs.tpi_pre">RatingSummary!$G$46</definedName>
    <definedName name="rs.use_excess">RatingSummary!$G$30</definedName>
    <definedName name="rs.uw_adj">RatingSummary!$K$44</definedName>
    <definedName name="rs.written_line">RatingSummary!$I$28</definedName>
    <definedName name="tbl_actuarial_claim">Actuarial_Claim!$A$3</definedName>
    <definedName name="tbl_actuarial_event">Actuarial_Event!$A$3</definedName>
    <definedName name="tbl_actuarial_experience_analysis">Actuarial_ExperienceAnalysis!$A$3</definedName>
    <definedName name="tbl_actuarial_nm">Actuarial_NM!$A$3</definedName>
    <definedName name="tbl_actuarial_policy">Actuarial_Policy!$A$3</definedName>
    <definedName name="tbl_metrics_el">RatingSummary!$D$86</definedName>
    <definedName name="tbl_metrics_post">RatingSummary!$D$55</definedName>
    <definedName name="tbl_metrics_pre">RatingSummary!$D$71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1" i="8" l="1"/>
  <c r="A1" i="10"/>
  <c r="A1" i="13"/>
  <c r="A1" i="11"/>
  <c r="A1" i="14"/>
  <c r="A1" i="12"/>
</calcChain>
</file>

<file path=xl/sharedStrings.xml><?xml version="1.0" encoding="utf-8"?>
<sst xmlns="http://schemas.openxmlformats.org/spreadsheetml/2006/main" count="1294" uniqueCount="1054">
  <si>
    <t>Currency</t>
  </si>
  <si>
    <t>Inception Date</t>
  </si>
  <si>
    <t>Expiry Date</t>
  </si>
  <si>
    <t>Rating Summary</t>
  </si>
  <si>
    <t>TPI</t>
  </si>
  <si>
    <t>BPI</t>
  </si>
  <si>
    <t>Link to hx</t>
  </si>
  <si>
    <t>.</t>
  </si>
  <si>
    <t>Written Line</t>
  </si>
  <si>
    <t>Risk Information</t>
  </si>
  <si>
    <t>Underwriter</t>
  </si>
  <si>
    <t>Insured Name</t>
  </si>
  <si>
    <t>Status</t>
  </si>
  <si>
    <t>Brokerage</t>
  </si>
  <si>
    <t>Country</t>
  </si>
  <si>
    <t>Is Renewal</t>
  </si>
  <si>
    <t>Limit</t>
  </si>
  <si>
    <t>Excess</t>
  </si>
  <si>
    <t>Policy Information</t>
  </si>
  <si>
    <t>Broker Details</t>
  </si>
  <si>
    <t>Broker Name</t>
  </si>
  <si>
    <t>Broker Contact</t>
  </si>
  <si>
    <t>Account Details</t>
  </si>
  <si>
    <t>Exposure Details</t>
  </si>
  <si>
    <t>Underwriter Adjustments</t>
  </si>
  <si>
    <t>Underwriter Adjustment</t>
  </si>
  <si>
    <t>Override</t>
  </si>
  <si>
    <t>Selected</t>
  </si>
  <si>
    <t>Risk Details</t>
  </si>
  <si>
    <t>Gross Quoted Premium</t>
  </si>
  <si>
    <t>Gross Technical Premium</t>
  </si>
  <si>
    <t>Gross Benchmark Premium</t>
  </si>
  <si>
    <t>Pricing Metrics</t>
  </si>
  <si>
    <t>TPI (Pre-UW Adjustment)</t>
  </si>
  <si>
    <t>Return on Capital</t>
  </si>
  <si>
    <t>Impact of Underwriting Adjustments</t>
  </si>
  <si>
    <t>Priced Quotes</t>
  </si>
  <si>
    <t>Exposure Curve</t>
  </si>
  <si>
    <t>Sublimit</t>
  </si>
  <si>
    <t>Deductible</t>
  </si>
  <si>
    <t>Exposure Details Political</t>
  </si>
  <si>
    <t>Exposure Details CRCF</t>
  </si>
  <si>
    <t>Rate Change</t>
  </si>
  <si>
    <t>Renewal</t>
  </si>
  <si>
    <t>Expiring</t>
  </si>
  <si>
    <t>Rate Drivers</t>
  </si>
  <si>
    <t>Exposure Change</t>
  </si>
  <si>
    <t>Risk Characteristics Change</t>
  </si>
  <si>
    <t>Deductible Change</t>
  </si>
  <si>
    <t>Limit Change</t>
  </si>
  <si>
    <t>Terms &amp; Conditions Change</t>
  </si>
  <si>
    <t>Risk Adjusted Rate Change</t>
  </si>
  <si>
    <t>Underwriter Rationale</t>
  </si>
  <si>
    <t>Comment</t>
  </si>
  <si>
    <t>Include Non Appearance</t>
  </si>
  <si>
    <t>Section Reference</t>
  </si>
  <si>
    <t>Section Ref - Event Cancel</t>
  </si>
  <si>
    <t>Section Ref - Non Appearance</t>
  </si>
  <si>
    <t>Event Name</t>
  </si>
  <si>
    <t>Actuarial</t>
  </si>
  <si>
    <t>Show Actuarial View</t>
  </si>
  <si>
    <t>View Data Schema</t>
  </si>
  <si>
    <t>Use National Mourning Approach (old excel model)</t>
  </si>
  <si>
    <t>Run Deterministic Agg Approach (old excel model)</t>
  </si>
  <si>
    <t>Event Cancellation - Coverages</t>
  </si>
  <si>
    <t>Policy Details</t>
  </si>
  <si>
    <t>Type of Event</t>
  </si>
  <si>
    <t>Aggregate Limit</t>
  </si>
  <si>
    <t>Use Excess (not deductible)</t>
  </si>
  <si>
    <t>Aggregate Deductible</t>
  </si>
  <si>
    <t>All Risks</t>
  </si>
  <si>
    <t>Covered</t>
  </si>
  <si>
    <t>Trigger</t>
  </si>
  <si>
    <t>% of Delegates</t>
  </si>
  <si>
    <t>Minimum</t>
  </si>
  <si>
    <t>Adverse Weather</t>
  </si>
  <si>
    <t>Earthquake</t>
  </si>
  <si>
    <t>Windstorm</t>
  </si>
  <si>
    <t>Wildfire</t>
  </si>
  <si>
    <t>Terrorism</t>
  </si>
  <si>
    <t>Cyber</t>
  </si>
  <si>
    <t>National Mourning</t>
  </si>
  <si>
    <t>Riots and Civil Commotion</t>
  </si>
  <si>
    <t>Strike</t>
  </si>
  <si>
    <t>Maximum</t>
  </si>
  <si>
    <t>Selected - Final</t>
  </si>
  <si>
    <t>UW Comment</t>
  </si>
  <si>
    <t>Expected Loss USD</t>
  </si>
  <si>
    <t>Expected Loss</t>
  </si>
  <si>
    <t>Expected Loss after UW Adj</t>
  </si>
  <si>
    <t>War</t>
  </si>
  <si>
    <t>Catastrophic Non-App</t>
  </si>
  <si>
    <t>Events</t>
  </si>
  <si>
    <t>Event Cancellation Modifiers</t>
  </si>
  <si>
    <t>Exposure Curve Selected</t>
  </si>
  <si>
    <t>Use Experience</t>
  </si>
  <si>
    <t>Use NCB</t>
  </si>
  <si>
    <t>Incurred Loss Ratio</t>
  </si>
  <si>
    <t>NCB % Offered</t>
  </si>
  <si>
    <t>Factor</t>
  </si>
  <si>
    <t>Comments</t>
  </si>
  <si>
    <t>Terrorism Terms</t>
  </si>
  <si>
    <t>Time/Distance</t>
  </si>
  <si>
    <t>Profile of Events</t>
  </si>
  <si>
    <t>City Load</t>
  </si>
  <si>
    <t>Experience Factor</t>
  </si>
  <si>
    <t>Event Cancellation - Events</t>
  </si>
  <si>
    <t>Aggregate TIV Calculated</t>
  </si>
  <si>
    <t>Aggregate TIV Entered</t>
  </si>
  <si>
    <t>Warning</t>
  </si>
  <si>
    <t>State (US)</t>
  </si>
  <si>
    <t>Date Start</t>
  </si>
  <si>
    <t>Date End</t>
  </si>
  <si>
    <t>Insured Value</t>
  </si>
  <si>
    <t>Venue</t>
  </si>
  <si>
    <t>Check</t>
  </si>
  <si>
    <t>IHS Terrorism</t>
  </si>
  <si>
    <t>IHS Riots and Civil Commotion</t>
  </si>
  <si>
    <t>IHS Strike</t>
  </si>
  <si>
    <t>IHS War</t>
  </si>
  <si>
    <t>Settings</t>
  </si>
  <si>
    <t>Status IHS Last Load</t>
  </si>
  <si>
    <t>Does Data need to be reloaded</t>
  </si>
  <si>
    <t>IHS Data to be extracted</t>
  </si>
  <si>
    <t>Status Last Simulation</t>
  </si>
  <si>
    <t>Does Simulation need rerun</t>
  </si>
  <si>
    <t>Simulation Check Value</t>
  </si>
  <si>
    <t>Level of Cover</t>
  </si>
  <si>
    <t>Mourning Period</t>
  </si>
  <si>
    <t>Model?</t>
  </si>
  <si>
    <t>Name</t>
  </si>
  <si>
    <t>Gender</t>
  </si>
  <si>
    <t>Date of Birth</t>
  </si>
  <si>
    <t>Age</t>
  </si>
  <si>
    <t>Annual
Probability
Death</t>
  </si>
  <si>
    <t>Annual
Probability
Survive</t>
  </si>
  <si>
    <t>Affluence
Adjustment</t>
  </si>
  <si>
    <t>Health
Adjustment</t>
  </si>
  <si>
    <t>Adjusted Annual
Probability
Death</t>
  </si>
  <si>
    <t>Adjusted Annual
Probability
Survive</t>
  </si>
  <si>
    <t>National Mourning - Under 75s</t>
  </si>
  <si>
    <t>National Mourning - Over 75s</t>
  </si>
  <si>
    <t>Non Appearance</t>
  </si>
  <si>
    <t>Exposure Measure</t>
  </si>
  <si>
    <t>Genre</t>
  </si>
  <si>
    <t>Base Rate</t>
  </si>
  <si>
    <t>Number of Shows</t>
  </si>
  <si>
    <t>Aggregate Insured Value</t>
  </si>
  <si>
    <t>Expected Loss FGU</t>
  </si>
  <si>
    <t>Objective Modifiers</t>
  </si>
  <si>
    <t>Number of Band Members</t>
  </si>
  <si>
    <t>Claims Experience</t>
  </si>
  <si>
    <t>Non Modelled Perils Rate Modifier</t>
  </si>
  <si>
    <t>Claims Experience Rate Modifier</t>
  </si>
  <si>
    <t>Number of Band Members Rate Modifier</t>
  </si>
  <si>
    <t>Total Modifier</t>
  </si>
  <si>
    <t>Expected Loss - FGU Modified</t>
  </si>
  <si>
    <t>First Loss Curve</t>
  </si>
  <si>
    <t>Final</t>
  </si>
  <si>
    <t>Underwriter Comment</t>
  </si>
  <si>
    <t>Experience Rating</t>
  </si>
  <si>
    <t>Initial Selections</t>
  </si>
  <si>
    <t>Key Values</t>
  </si>
  <si>
    <t>Evaluation Date (est 6mth prior)</t>
  </si>
  <si>
    <t>Evaluation Date (if known)</t>
  </si>
  <si>
    <t>BI Data Load</t>
  </si>
  <si>
    <t>Status - Last Load</t>
  </si>
  <si>
    <t>Date - Last Load</t>
  </si>
  <si>
    <t>Reload Data</t>
  </si>
  <si>
    <t>Calculated</t>
  </si>
  <si>
    <t>Final Loss Cost</t>
  </si>
  <si>
    <t>Weight</t>
  </si>
  <si>
    <t>Year</t>
  </si>
  <si>
    <t>Overall</t>
  </si>
  <si>
    <t>Exposure Trend Backfill</t>
  </si>
  <si>
    <t>Include</t>
  </si>
  <si>
    <t>Exposure TIV
Backfilled
(Source Currency)</t>
  </si>
  <si>
    <t>Exposure TIV
Override
(Source Currency)</t>
  </si>
  <si>
    <t>GN Premium -
Onlevelled</t>
  </si>
  <si>
    <t>Ultimate
Incurred -
Inflated and
Projected</t>
  </si>
  <si>
    <t>Total ULR -
On-Levelled
and
Projected</t>
  </si>
  <si>
    <t>Incurred per
TIV(000s)</t>
  </si>
  <si>
    <t>Input and Assumptions</t>
  </si>
  <si>
    <t>Gross Net Premium (source currency)</t>
  </si>
  <si>
    <t>Attritional (source currency)</t>
  </si>
  <si>
    <t>Large (source currency)</t>
  </si>
  <si>
    <t>Cat (source currency)</t>
  </si>
  <si>
    <t>Assumptions</t>
  </si>
  <si>
    <t>Gross Net
Premium -
Loaded from BI</t>
  </si>
  <si>
    <t>Gross Net
Premium -
Override</t>
  </si>
  <si>
    <t>Incurred -
Loaded from BI</t>
  </si>
  <si>
    <t>Incurred -
Override</t>
  </si>
  <si>
    <t>Rate
Change -
Default</t>
  </si>
  <si>
    <t>Rate
Change -
Override</t>
  </si>
  <si>
    <t>Rate
Change</t>
  </si>
  <si>
    <t>Rate
Change
Index</t>
  </si>
  <si>
    <t>Inflation
-
Default</t>
  </si>
  <si>
    <t>Inflation
-
Override</t>
  </si>
  <si>
    <t>Inflation</t>
  </si>
  <si>
    <t>Inflation
Index</t>
  </si>
  <si>
    <t>%Ultimate
Attritional -
Calculated</t>
  </si>
  <si>
    <t>%Ultimate
Attritional -
Override</t>
  </si>
  <si>
    <t>IELR
Attritional -
Calculated</t>
  </si>
  <si>
    <t>IELR
Attritional -
Override</t>
  </si>
  <si>
    <t>%Ultimate
Large -
Calculated</t>
  </si>
  <si>
    <t>%Ultimate
Large -
Override</t>
  </si>
  <si>
    <t>IELR
Large -
Calculated</t>
  </si>
  <si>
    <t>IELR
Large -
Override</t>
  </si>
  <si>
    <t>%Ultimate
Cat -
Calculated</t>
  </si>
  <si>
    <t>%Ultimate
Cat -
Override</t>
  </si>
  <si>
    <t>IELR
Cat -
Calculated</t>
  </si>
  <si>
    <t>IELR
Cat -
 Override</t>
  </si>
  <si>
    <t>LR Projection</t>
  </si>
  <si>
    <t>On-Levelling</t>
  </si>
  <si>
    <t>Attritional Projection</t>
  </si>
  <si>
    <t>Large Projection</t>
  </si>
  <si>
    <t>CAT Projection</t>
  </si>
  <si>
    <t>Total Projection</t>
  </si>
  <si>
    <t>Gross Net
Premium -
On-Levelled</t>
  </si>
  <si>
    <t>Attritional
Incurred -
Inflated</t>
  </si>
  <si>
    <t>Large
Incurred -
Inflated</t>
  </si>
  <si>
    <t>Cat
Incurred -
Inflated</t>
  </si>
  <si>
    <t>Development
Pattern</t>
  </si>
  <si>
    <t>CL ULR</t>
  </si>
  <si>
    <t>BF ULR</t>
  </si>
  <si>
    <t>IELR</t>
  </si>
  <si>
    <t>Method</t>
  </si>
  <si>
    <t>Attritional
Final
Incurred</t>
  </si>
  <si>
    <t>Attritional
Final
ULR</t>
  </si>
  <si>
    <t>Large
CL ULR</t>
  </si>
  <si>
    <t>Large
IELR</t>
  </si>
  <si>
    <t>Large
Final
Incurred</t>
  </si>
  <si>
    <t>Large
Final
ULR</t>
  </si>
  <si>
    <t>Cat
CL ULR</t>
  </si>
  <si>
    <t>Cat
IELR
(BP)</t>
  </si>
  <si>
    <t>Cat
Final
Incurred</t>
  </si>
  <si>
    <t>Cat
Final
ULR</t>
  </si>
  <si>
    <t>Total
Final
Incurred</t>
  </si>
  <si>
    <t>Total
Final
ULR</t>
  </si>
  <si>
    <t>LR Projection - Actuarial</t>
  </si>
  <si>
    <t>Total
Incurred -
Inflated</t>
  </si>
  <si>
    <t>CL -
Ultimate
Incurred</t>
  </si>
  <si>
    <t>BF -
Ultimate
Incurred</t>
  </si>
  <si>
    <t>IELR -
Ultimate
Incurred</t>
  </si>
  <si>
    <t>Large
Development
Pattern</t>
  </si>
  <si>
    <t>Large
CL -
Final
Incurred</t>
  </si>
  <si>
    <t>Large
BF -
Final
Incurred</t>
  </si>
  <si>
    <t>Large
IELR -
Final
Incurred</t>
  </si>
  <si>
    <t>Large
BF ULR</t>
  </si>
  <si>
    <t>Large
Credibility</t>
  </si>
  <si>
    <t>Cat
Development
Pattern</t>
  </si>
  <si>
    <t>Cat
CL -
Final
Incurred</t>
  </si>
  <si>
    <t>Cat
BF -
Final
Incurred</t>
  </si>
  <si>
    <t>Cat
IELR -
Final
Incurred</t>
  </si>
  <si>
    <t>Cat
BF ULR</t>
  </si>
  <si>
    <t>Total
Development
Pattern</t>
  </si>
  <si>
    <t>Total
CL -
Final
Incurred</t>
  </si>
  <si>
    <t>Total
BF -
Final
Incurred</t>
  </si>
  <si>
    <t>Total
IELR -
Final
Incurred</t>
  </si>
  <si>
    <t>Total
CL ULR</t>
  </si>
  <si>
    <t>Total
BF ULR</t>
  </si>
  <si>
    <t>Total
IELR</t>
  </si>
  <si>
    <t>Decay
Factor</t>
  </si>
  <si>
    <t>Exposure
Factor</t>
  </si>
  <si>
    <t>Development
Factor</t>
  </si>
  <si>
    <t>Overall
(intermediate)</t>
  </si>
  <si>
    <t>Overall
(Final)</t>
  </si>
  <si>
    <t>Rating Methodology</t>
  </si>
  <si>
    <t>Rater Priced or Case Priced?</t>
  </si>
  <si>
    <t>Overall Summary</t>
  </si>
  <si>
    <t>Agg Limit</t>
  </si>
  <si>
    <t>Use Excess</t>
  </si>
  <si>
    <t>Agg Deductible</t>
  </si>
  <si>
    <t>Offered Rate-on-Line</t>
  </si>
  <si>
    <t>Offered Rate-on-Exposure</t>
  </si>
  <si>
    <t>Priced-for Loss Ratio (Gross Net)</t>
  </si>
  <si>
    <t>Metrics</t>
  </si>
  <si>
    <t>Summary - after UW Adjustments</t>
  </si>
  <si>
    <t>Gross Quoted Premium (100%)</t>
  </si>
  <si>
    <t>Gross Technical Premium (100%)</t>
  </si>
  <si>
    <t>Technical Rate-on-Line</t>
  </si>
  <si>
    <t>Gross Benchmark Premium (100%)</t>
  </si>
  <si>
    <t>Benchmark Rate-on-Line</t>
  </si>
  <si>
    <t>Event Cancellation</t>
  </si>
  <si>
    <t>Combined Total</t>
  </si>
  <si>
    <t>Non Appearance Total</t>
  </si>
  <si>
    <t>Event Cancellation Total</t>
  </si>
  <si>
    <t>Summary - before UW Adjustments</t>
  </si>
  <si>
    <t>Loss Costs</t>
  </si>
  <si>
    <t>Exposure Loss Cost</t>
  </si>
  <si>
    <t>Aggregate Adjustment</t>
  </si>
  <si>
    <t>Experience Weight</t>
  </si>
  <si>
    <t>Experience Loss Cost</t>
  </si>
  <si>
    <t>Blended Loss Cost no Uw Adj</t>
  </si>
  <si>
    <t>Blended Loss Cost with Uw Adj</t>
  </si>
  <si>
    <t>Rationale &amp; Rate Change</t>
  </si>
  <si>
    <t>Other (inc. Brookerage) Change</t>
  </si>
  <si>
    <t>Model</t>
  </si>
  <si>
    <t>UW Override</t>
  </si>
  <si>
    <t>Profile</t>
  </si>
  <si>
    <t>Premium - Annualised (100% Line)</t>
  </si>
  <si>
    <t>Premium - Annualised (Bzly Line)</t>
  </si>
  <si>
    <t>Expiring Revalued</t>
  </si>
  <si>
    <t>Expiring Policy Option ID</t>
  </si>
  <si>
    <t>Simulation</t>
  </si>
  <si>
    <t>Before Override</t>
  </si>
  <si>
    <t>Simulated</t>
  </si>
  <si>
    <t>Status-last run</t>
  </si>
  <si>
    <t>Check - Last run</t>
  </si>
  <si>
    <t>Check - Prospective</t>
  </si>
  <si>
    <t>Rerun?</t>
  </si>
  <si>
    <t>Uncapped</t>
  </si>
  <si>
    <t>Capped</t>
  </si>
  <si>
    <t>Cap, Adj, Scaled</t>
  </si>
  <si>
    <t>Cap &amp; Adj</t>
  </si>
  <si>
    <t>Simulated  Output ==&gt;&gt;</t>
  </si>
  <si>
    <t>Deterministic Output ==&gt;&gt;</t>
  </si>
  <si>
    <t># Sims</t>
  </si>
  <si>
    <t>Agg Adj</t>
  </si>
  <si>
    <t>Sim Error vs Deterministic</t>
  </si>
  <si>
    <t>Claim number ==&gt;&gt;</t>
  </si>
  <si>
    <t>Simulation ==&gt;&gt;</t>
  </si>
  <si>
    <t>label</t>
  </si>
  <si>
    <t>Label</t>
  </si>
  <si>
    <t>include</t>
  </si>
  <si>
    <t>name</t>
  </si>
  <si>
    <t>country</t>
  </si>
  <si>
    <t>gender</t>
  </si>
  <si>
    <t>date_of_birth</t>
  </si>
  <si>
    <t>age</t>
  </si>
  <si>
    <t>prob_die</t>
  </si>
  <si>
    <t>Annual Probability Death</t>
  </si>
  <si>
    <t>prob_live</t>
  </si>
  <si>
    <t>Annual Probability Survive</t>
  </si>
  <si>
    <t>mod_affluence</t>
  </si>
  <si>
    <t>Affluence Adjustment</t>
  </si>
  <si>
    <t>mod_health</t>
  </si>
  <si>
    <t>Health Adjustment</t>
  </si>
  <si>
    <t>prob_die_mod</t>
  </si>
  <si>
    <t>Adjusted Annual Probability Death</t>
  </si>
  <si>
    <t>prob_live_mod</t>
  </si>
  <si>
    <t>Adjusted Annual Probability Survive</t>
  </si>
  <si>
    <t>check</t>
  </si>
  <si>
    <t>event_name</t>
  </si>
  <si>
    <t>state</t>
  </si>
  <si>
    <t>date_start</t>
  </si>
  <si>
    <t>date_end</t>
  </si>
  <si>
    <t>tiv</t>
  </si>
  <si>
    <t>venue</t>
  </si>
  <si>
    <t>ihs_terrorism</t>
  </si>
  <si>
    <t>ihs_riots_and_civil_commotion</t>
  </si>
  <si>
    <t>ihs_strike</t>
  </si>
  <si>
    <t>ihs_war</t>
  </si>
  <si>
    <t>country_code</t>
  </si>
  <si>
    <t>Country Code OR Region</t>
  </si>
  <si>
    <t>date_cover_start</t>
  </si>
  <si>
    <t>Cover Start Date (calculated)</t>
  </si>
  <si>
    <t>mths_diff</t>
  </si>
  <si>
    <t>Absolute months between Cover Start Date and End Date (round up)</t>
  </si>
  <si>
    <t>venue_multiplier</t>
  </si>
  <si>
    <t>Venue Multiplier</t>
  </si>
  <si>
    <t>tiv_usd</t>
  </si>
  <si>
    <t>TIV USD</t>
  </si>
  <si>
    <t>cap_tiv_usd</t>
  </si>
  <si>
    <t>TIV in Limit (USD)</t>
  </si>
  <si>
    <t>m_terrorism</t>
  </si>
  <si>
    <t>Terrorism m</t>
  </si>
  <si>
    <t>c_terrorism</t>
  </si>
  <si>
    <t>Terrorism C</t>
  </si>
  <si>
    <t>m_riots_and_civil_commotion</t>
  </si>
  <si>
    <t>Riot m</t>
  </si>
  <si>
    <t>c_riots_and_civil_commotion</t>
  </si>
  <si>
    <t>Riot C</t>
  </si>
  <si>
    <t>m_strike</t>
  </si>
  <si>
    <t>Strike m</t>
  </si>
  <si>
    <t>c_strike</t>
  </si>
  <si>
    <t>Strike C</t>
  </si>
  <si>
    <t>m_war</t>
  </si>
  <si>
    <t>War m</t>
  </si>
  <si>
    <t>c_war</t>
  </si>
  <si>
    <t>War C</t>
  </si>
  <si>
    <t>base_rate_adverse_weather</t>
  </si>
  <si>
    <t>Base Rate Adverse Weather</t>
  </si>
  <si>
    <t>pat_adverse_weather</t>
  </si>
  <si>
    <t>Pattern Adverse Weather</t>
  </si>
  <si>
    <t>base_rate_windstorm</t>
  </si>
  <si>
    <t>Base Rate Windstorm</t>
  </si>
  <si>
    <t>pat_windstorm</t>
  </si>
  <si>
    <t>Pattern Windstorm</t>
  </si>
  <si>
    <t>base_rate_wildfire</t>
  </si>
  <si>
    <t>Base Rate Wildfire</t>
  </si>
  <si>
    <t>pat_wildfire</t>
  </si>
  <si>
    <t>Pattern Wildfire</t>
  </si>
  <si>
    <t>base_rate_earthquake</t>
  </si>
  <si>
    <t>Base Rate Earthquake</t>
  </si>
  <si>
    <t>pat_earthquake</t>
  </si>
  <si>
    <t>Pattern Earthquake</t>
  </si>
  <si>
    <t>season_adverse_weather</t>
  </si>
  <si>
    <t>Seasonality Adjustment Adverse Weather</t>
  </si>
  <si>
    <t>season_windstorm</t>
  </si>
  <si>
    <t>Seasonality Adjustment Windstorm</t>
  </si>
  <si>
    <t>season_wildfire</t>
  </si>
  <si>
    <t>Seasonality Adjustment Wildfire</t>
  </si>
  <si>
    <t>nm_o75_sx</t>
  </si>
  <si>
    <t>Over 75s Annual Survival Probability</t>
  </si>
  <si>
    <t>nm_o75_sx_mod</t>
  </si>
  <si>
    <t>Over 75s Annual Survival Probability (adjusted)</t>
  </si>
  <si>
    <t>nm_u75_sx</t>
  </si>
  <si>
    <t>Under 75s Annual Survival Probability</t>
  </si>
  <si>
    <t>nm_sx</t>
  </si>
  <si>
    <t>Cohort Annual Survival Rate</t>
  </si>
  <si>
    <t>nm_qx</t>
  </si>
  <si>
    <t>Cohort Annual Mortality Rate</t>
  </si>
  <si>
    <t>nm_qx_daily</t>
  </si>
  <si>
    <t>Daily Mortality Rate</t>
  </si>
  <si>
    <t>nm_u75_sx_mod</t>
  </si>
  <si>
    <t>Under 75s Annual Survival Probability (adjusted)</t>
  </si>
  <si>
    <t>nm_sx_mod</t>
  </si>
  <si>
    <t>Cohort Annual Survival Rate (adjusted)</t>
  </si>
  <si>
    <t>nm_qx_mod</t>
  </si>
  <si>
    <t>Cohort Annual Mortality Rate (adjusted)</t>
  </si>
  <si>
    <t>nm_qx_daily_mod</t>
  </si>
  <si>
    <t>Daily Mortality Rate (adjusted)</t>
  </si>
  <si>
    <t>nm_death_rate</t>
  </si>
  <si>
    <t>Death Day Rate</t>
  </si>
  <si>
    <t>nm_funeral_rate</t>
  </si>
  <si>
    <t>Funeral Day Rate</t>
  </si>
  <si>
    <t>nm_mourning_rate</t>
  </si>
  <si>
    <t>Mourning Period Rate</t>
  </si>
  <si>
    <t>nm_rate</t>
  </si>
  <si>
    <t>National Mourning Selected Rate</t>
  </si>
  <si>
    <t>nm_death_rate_mod</t>
  </si>
  <si>
    <t>Death Day Rate (adjusted)</t>
  </si>
  <si>
    <t>nm_funeral_rate_mod</t>
  </si>
  <si>
    <t>Funeral Day Rate (adjusted)</t>
  </si>
  <si>
    <t>nm_mourning_rate_mod</t>
  </si>
  <si>
    <t>Mourning Period Rate (adjusted)</t>
  </si>
  <si>
    <t>nm_rate_mod</t>
  </si>
  <si>
    <t>National Mourning Selected Rate (adjusted)</t>
  </si>
  <si>
    <t>rate_all_risks</t>
  </si>
  <si>
    <t>Total Rate Standard Cover</t>
  </si>
  <si>
    <t>rate_adverse_weather</t>
  </si>
  <si>
    <t>Total Rate Adverse Weather</t>
  </si>
  <si>
    <t>rate_windstorm</t>
  </si>
  <si>
    <t>Total Rate Windstorm</t>
  </si>
  <si>
    <t>rate_wildfire</t>
  </si>
  <si>
    <t>Total Rate Wildfire</t>
  </si>
  <si>
    <t>rate_earthquake</t>
  </si>
  <si>
    <t>Total Rate Earthquake</t>
  </si>
  <si>
    <t>rate_cyber</t>
  </si>
  <si>
    <t>Total Rate Cyber</t>
  </si>
  <si>
    <t>rate_national_mourning</t>
  </si>
  <si>
    <t>Total Rate National Mourning</t>
  </si>
  <si>
    <t>rate_national_mourning_mod</t>
  </si>
  <si>
    <t>Total Rate National Mourning (after uw mods)</t>
  </si>
  <si>
    <t>rate_terrorism</t>
  </si>
  <si>
    <t>Total Rate Terrorism</t>
  </si>
  <si>
    <t>rate_riots_and_civil_commotion</t>
  </si>
  <si>
    <t>Total Rate Riots and Civil Commotion</t>
  </si>
  <si>
    <t>rate_strike</t>
  </si>
  <si>
    <t>Total Rate Strike</t>
  </si>
  <si>
    <t>rate_war</t>
  </si>
  <si>
    <t>Total Rate War</t>
  </si>
  <si>
    <t>rate_catastrophic_non_app</t>
  </si>
  <si>
    <t>Total Rate Catastrophic Non - App</t>
  </si>
  <si>
    <t>el_usd_total</t>
  </si>
  <si>
    <t>FGU Expected Loss Total</t>
  </si>
  <si>
    <t>net_el_usd_total</t>
  </si>
  <si>
    <t>Layer 1 Expected Loss Total</t>
  </si>
  <si>
    <t>struct_pct_all_risks</t>
  </si>
  <si>
    <t>Layer 1 FLC Standard Cover</t>
  </si>
  <si>
    <t>el_usd_all_risks</t>
  </si>
  <si>
    <t>FGU Expected Loss Standard Cover</t>
  </si>
  <si>
    <t>net_el_usd_all_risks</t>
  </si>
  <si>
    <t>Layer 1 Expected Loss Standard Cover</t>
  </si>
  <si>
    <t>struct_pct_terrorism</t>
  </si>
  <si>
    <t>Layer 1 FLC Terrorism</t>
  </si>
  <si>
    <t>el_usd_terrorism</t>
  </si>
  <si>
    <t>FGU Expected Loss Terrorism</t>
  </si>
  <si>
    <t>net_el_usd_terrorism</t>
  </si>
  <si>
    <t>Layer 1 Expected Loss Terrorism</t>
  </si>
  <si>
    <t>struct_pct_cyber</t>
  </si>
  <si>
    <t>Layer 1 FLC Cyber</t>
  </si>
  <si>
    <t>el_usd_cyber</t>
  </si>
  <si>
    <t>FGU Expected Loss Cyber</t>
  </si>
  <si>
    <t>net_el_usd_cyber</t>
  </si>
  <si>
    <t>Layer 1 Expected Loss Cyber</t>
  </si>
  <si>
    <t>struct_pct_national_mourning</t>
  </si>
  <si>
    <t>Layer 1 FLC National Mourning</t>
  </si>
  <si>
    <t>el_usd_national_mourning</t>
  </si>
  <si>
    <t>FGU Expected Loss National Mourning</t>
  </si>
  <si>
    <t>net_el_usd_national_mourning</t>
  </si>
  <si>
    <t>Layer 1 Expected Loss National Mourning</t>
  </si>
  <si>
    <t>struct_pct_riots_and_civil_commotion</t>
  </si>
  <si>
    <t>Layer 1 FLC Riots and Civil Commotion</t>
  </si>
  <si>
    <t>el_usd_riots_and_civil_commotion</t>
  </si>
  <si>
    <t>FGU Expected Loss Riots and Civil Commotion</t>
  </si>
  <si>
    <t>net_el_usd_riots_and_civil_commotion</t>
  </si>
  <si>
    <t>Layer 1 Expected Loss Riots and Civil Commotion</t>
  </si>
  <si>
    <t>struct_pct_strike</t>
  </si>
  <si>
    <t>Layer 1 FLC Strike</t>
  </si>
  <si>
    <t>el_usd_strike</t>
  </si>
  <si>
    <t>FGU Expected Loss Strike</t>
  </si>
  <si>
    <t>net_el_usd_strike</t>
  </si>
  <si>
    <t>Layer 1 Expected Loss Strike</t>
  </si>
  <si>
    <t>struct_pct_war</t>
  </si>
  <si>
    <t>Layer 1 FLC War</t>
  </si>
  <si>
    <t>el_usd_war</t>
  </si>
  <si>
    <t>FGU Expected Loss War</t>
  </si>
  <si>
    <t>net_el_usd_war</t>
  </si>
  <si>
    <t>Layer 1 Expected Loss War</t>
  </si>
  <si>
    <t>struct_pct_catastrophic_non_app</t>
  </si>
  <si>
    <t>Layer 1 FLC Catastrophic Non App</t>
  </si>
  <si>
    <t>el_usd_catastrophic_non_app</t>
  </si>
  <si>
    <t>FGU Expected Loss Catastrophic Non App</t>
  </si>
  <si>
    <t>net_el_usd_catastrophic_non_app</t>
  </si>
  <si>
    <t>Layer 1 Expected Loss Catastrophic Non App</t>
  </si>
  <si>
    <t>struct_pct_adverse_weather</t>
  </si>
  <si>
    <t>Layer 1 FLC Adverse Weather</t>
  </si>
  <si>
    <t>el_usd_adverse_weather</t>
  </si>
  <si>
    <t>FGU Expected Loss Adverse Weather</t>
  </si>
  <si>
    <t>net_el_usd_adverse_weather</t>
  </si>
  <si>
    <t>Layer 1 Expected Loss Adverse Weather</t>
  </si>
  <si>
    <t>struct_pct_windstorm</t>
  </si>
  <si>
    <t>Layer 1 FLC Windstorm</t>
  </si>
  <si>
    <t>el_usd_windstorm</t>
  </si>
  <si>
    <t>FGU Expected Loss Windstorm</t>
  </si>
  <si>
    <t>net_el_usd_windstorm</t>
  </si>
  <si>
    <t>Layer 1 Expected Loss Windstorm</t>
  </si>
  <si>
    <t>struct_pct_wildfire</t>
  </si>
  <si>
    <t>Layer 1 FLC Wildfire</t>
  </si>
  <si>
    <t>el_usd_wildfire</t>
  </si>
  <si>
    <t>FGU Expected Loss Wildfire</t>
  </si>
  <si>
    <t>net_el_usd_wildfire</t>
  </si>
  <si>
    <t>Layer 1 Expected Loss Wildfire</t>
  </si>
  <si>
    <t>struct_pct_earthquake</t>
  </si>
  <si>
    <t>Layer 1 FLC Earthquake</t>
  </si>
  <si>
    <t>el_usd_earthquake</t>
  </si>
  <si>
    <t>FGU Expected Loss Earthquake</t>
  </si>
  <si>
    <t>net_el_usd_earthquake</t>
  </si>
  <si>
    <t>Layer 1 Expected Loss Earthquake</t>
  </si>
  <si>
    <t>el_usd_national_mourning_mod</t>
  </si>
  <si>
    <t>FGU Expected Loss National Mourning (after uw mods)</t>
  </si>
  <si>
    <t>net_el_usd_national_mourning_mod</t>
  </si>
  <si>
    <t>Layer 1 Expected Loss National Mourning (after uw mods)</t>
  </si>
  <si>
    <t>policy_ref</t>
  </si>
  <si>
    <t>Policy Reference</t>
  </si>
  <si>
    <t>section_ref</t>
  </si>
  <si>
    <t>yoa</t>
  </si>
  <si>
    <t>YOA</t>
  </si>
  <si>
    <t>coverage_name</t>
  </si>
  <si>
    <t>Coverage Name</t>
  </si>
  <si>
    <t>trifocus_name</t>
  </si>
  <si>
    <t>TriFocus Name</t>
  </si>
  <si>
    <t>division</t>
  </si>
  <si>
    <t>Division</t>
  </si>
  <si>
    <t>settlement_fx</t>
  </si>
  <si>
    <t>Settlement Currency</t>
  </si>
  <si>
    <t>index_bzly</t>
  </si>
  <si>
    <t>Index</t>
  </si>
  <si>
    <t>class_code</t>
  </si>
  <si>
    <t>Class of Business Code</t>
  </si>
  <si>
    <t>bool_ec</t>
  </si>
  <si>
    <t>Flag Event Cancellation</t>
  </si>
  <si>
    <t>bool_na</t>
  </si>
  <si>
    <t>Flag Non Appearance</t>
  </si>
  <si>
    <t>gnwp_bzly_usd</t>
  </si>
  <si>
    <t>GNWP @ Beazley Share (USD)</t>
  </si>
  <si>
    <t>incurred_bzly_usd</t>
  </si>
  <si>
    <t>Incurred @ Beazley Share (USD)</t>
  </si>
  <si>
    <t>gnwp_100_usd</t>
  </si>
  <si>
    <t>GNWP @ 100% (USD)</t>
  </si>
  <si>
    <t>incurred_100_usd</t>
  </si>
  <si>
    <t>Incurred @ 100% (USD)</t>
  </si>
  <si>
    <t>share_bzly</t>
  </si>
  <si>
    <t>Beazley Share</t>
  </si>
  <si>
    <t>rate_chg_init</t>
  </si>
  <si>
    <t>Rate Change Initial</t>
  </si>
  <si>
    <t>rate_chg</t>
  </si>
  <si>
    <t>Rate Change Reformatted</t>
  </si>
  <si>
    <t>fx_rate_usd_sett</t>
  </si>
  <si>
    <t>Fx Rate to Sett Fx from BI USD</t>
  </si>
  <si>
    <t>gnwp_bzly</t>
  </si>
  <si>
    <t>GNWP @ Beazley Share (Sett Fx)</t>
  </si>
  <si>
    <t>incurred_bzly</t>
  </si>
  <si>
    <t>Incurred @ Beazley Share (Sett Fx)</t>
  </si>
  <si>
    <t>gnwp_100</t>
  </si>
  <si>
    <t>GNWP @ 100% (Sett Fx)</t>
  </si>
  <si>
    <t>incurred_100</t>
  </si>
  <si>
    <t>Incurred @ 100% (Sett Fx)</t>
  </si>
  <si>
    <t>gnwp_bzly_scc</t>
  </si>
  <si>
    <t>GNWP @ Beazley Share (policy fx)</t>
  </si>
  <si>
    <t>incurred_bzly_scc</t>
  </si>
  <si>
    <t>Incurred @ Beazley Share (policy fx)</t>
  </si>
  <si>
    <t>gnwp_100_scc</t>
  </si>
  <si>
    <t>GNWP @ 100% (policy fx)</t>
  </si>
  <si>
    <t>incurred_100_scc</t>
  </si>
  <si>
    <t>Incurred @ 100% (policy fx)</t>
  </si>
  <si>
    <t>claim_ref</t>
  </si>
  <si>
    <t>Claim Reference</t>
  </si>
  <si>
    <t>cat_code_bzly</t>
  </si>
  <si>
    <t>Cat Code - Beazley</t>
  </si>
  <si>
    <t>cat_desc_bzly</t>
  </si>
  <si>
    <t>Cat Description - Beazley</t>
  </si>
  <si>
    <t>cat_code_mkt</t>
  </si>
  <si>
    <t>Cat Code - Market</t>
  </si>
  <si>
    <t>cat_desc_mkt</t>
  </si>
  <si>
    <t>Cat Description = Beazley</t>
  </si>
  <si>
    <t>cat_bzly_bool</t>
  </si>
  <si>
    <t>Cat Flag Beazley</t>
  </si>
  <si>
    <t>cause_of_loss</t>
  </si>
  <si>
    <t>Cause of Loss</t>
  </si>
  <si>
    <t>bool_covid</t>
  </si>
  <si>
    <t>Flag Covid</t>
  </si>
  <si>
    <t>bool_large</t>
  </si>
  <si>
    <t>Flag Large</t>
  </si>
  <si>
    <t>Incurred @ Beazley Share Sett Fx</t>
  </si>
  <si>
    <t>os_bzly</t>
  </si>
  <si>
    <t>Outstanding @ Beazley Share Sett Fx</t>
  </si>
  <si>
    <t>Incurred @ 100% Sett Fx</t>
  </si>
  <si>
    <t>Incurred @ Beazley Share</t>
  </si>
  <si>
    <t>os_bzly_scc</t>
  </si>
  <si>
    <t>Outstanding @ Beazley Share</t>
  </si>
  <si>
    <t>Incurred @ 100%</t>
  </si>
  <si>
    <t>incurred_100_scc_attr</t>
  </si>
  <si>
    <t>Attritional Incurred @ 100% (policy fx)</t>
  </si>
  <si>
    <t>incurred_100_scc_large</t>
  </si>
  <si>
    <t>Large Incurred @ 100% (policy fx)</t>
  </si>
  <si>
    <t>incurred_100_scc_cat</t>
  </si>
  <si>
    <t>Cat Incurred @ 100% (policy fx)</t>
  </si>
  <si>
    <t>yoa_label</t>
  </si>
  <si>
    <t>tiv_calc</t>
  </si>
  <si>
    <t>Exposure TIV Backfilled (Source Currency)</t>
  </si>
  <si>
    <t>tiv_ovd</t>
  </si>
  <si>
    <t>Exposure TIV Override (Source Currency)</t>
  </si>
  <si>
    <t>Exposure TIV (Source Currency)</t>
  </si>
  <si>
    <t>gnwp_ol_dup</t>
  </si>
  <si>
    <t>GN Premium - Onlevelled</t>
  </si>
  <si>
    <t>total_ol_selected_ultimate_dup</t>
  </si>
  <si>
    <t>Ultimate Incurred - Inflated and Projected</t>
  </si>
  <si>
    <t>total_ol_selected_ulr_dup</t>
  </si>
  <si>
    <t>Total ULR - On-Levelled and Projected</t>
  </si>
  <si>
    <t>total_ol_selected_ult_to_tiv</t>
  </si>
  <si>
    <t>Incurred per TIV(000s)</t>
  </si>
  <si>
    <t>gnwp_nominal_calc</t>
  </si>
  <si>
    <t>Gross Net Premium - Loaded from BI</t>
  </si>
  <si>
    <t>gnwp_nominal_ovd</t>
  </si>
  <si>
    <t>Gross Net Premium - Override</t>
  </si>
  <si>
    <t>gnwp_nominal</t>
  </si>
  <si>
    <t>Gross Net Written Premium</t>
  </si>
  <si>
    <t>attr_incurred_calc</t>
  </si>
  <si>
    <t>Incurred - Loaded from BI</t>
  </si>
  <si>
    <t>attr_incurred_ovd</t>
  </si>
  <si>
    <t>Incurred - Override</t>
  </si>
  <si>
    <t>attr_incurred</t>
  </si>
  <si>
    <t>Incurred</t>
  </si>
  <si>
    <t>large_incurred_calc</t>
  </si>
  <si>
    <t>large_incurred_ovd</t>
  </si>
  <si>
    <t>large_incurred</t>
  </si>
  <si>
    <t>cat_incurred_calc</t>
  </si>
  <si>
    <t>cat_incurred_ovd</t>
  </si>
  <si>
    <t>cat_incurred</t>
  </si>
  <si>
    <t>rate_inc_calc</t>
  </si>
  <si>
    <t>Rate Change - Default</t>
  </si>
  <si>
    <t>rate_inc_ovd</t>
  </si>
  <si>
    <t>Rate Change - Override</t>
  </si>
  <si>
    <t>rate_inc</t>
  </si>
  <si>
    <t>rate_cum</t>
  </si>
  <si>
    <t>Rate Change Index</t>
  </si>
  <si>
    <t>inf_inc_calc</t>
  </si>
  <si>
    <t>Inflation - Default</t>
  </si>
  <si>
    <t>inf_inc_ovd</t>
  </si>
  <si>
    <t>Inflation - Override</t>
  </si>
  <si>
    <t>inf_inc</t>
  </si>
  <si>
    <t>inf_cum</t>
  </si>
  <si>
    <t>Inflation Index</t>
  </si>
  <si>
    <t>attr_pct_ultimate_calc</t>
  </si>
  <si>
    <t>%Ultimate Attritional - Calculated</t>
  </si>
  <si>
    <t>attr_pct_ultimate_ovd</t>
  </si>
  <si>
    <t>%Ultimate Attritional - Override</t>
  </si>
  <si>
    <t>large_pct_ultimate_calc</t>
  </si>
  <si>
    <t>%Ultimate Large - Calculated</t>
  </si>
  <si>
    <t>large_pct_ultimate_ovd</t>
  </si>
  <si>
    <t>%Ultimate Large - Override</t>
  </si>
  <si>
    <t>cat_pct_ultimate_calc</t>
  </si>
  <si>
    <t>%Ultimate Cat - Calculated</t>
  </si>
  <si>
    <t>cat_pct_ultimate_ovd</t>
  </si>
  <si>
    <t>%Ultimate Cat - Override</t>
  </si>
  <si>
    <t>attr_ielr_calc</t>
  </si>
  <si>
    <t>IELR Attritional - Calculated</t>
  </si>
  <si>
    <t>attr_ielr_ovd</t>
  </si>
  <si>
    <t>IELR Attritional - Override</t>
  </si>
  <si>
    <t>large_ielr_calc</t>
  </si>
  <si>
    <t>IELR Large - Calculated</t>
  </si>
  <si>
    <t>large_ielr_ovd</t>
  </si>
  <si>
    <t>IELR Large - Override</t>
  </si>
  <si>
    <t>cat_ielr_calc</t>
  </si>
  <si>
    <t>IELR Cat - Calculated</t>
  </si>
  <si>
    <t>cat_ielr_ovd</t>
  </si>
  <si>
    <t>IELR Cat - Override</t>
  </si>
  <si>
    <t>gnwp_ol</t>
  </si>
  <si>
    <t>Gross Net Premium - On-Levelled</t>
  </si>
  <si>
    <t>attr_ol_incurred</t>
  </si>
  <si>
    <t>Attritional Incurred - Inflated</t>
  </si>
  <si>
    <t>large_ol_incurred</t>
  </si>
  <si>
    <t>Large Incurred - Inflated</t>
  </si>
  <si>
    <t>cat_ol_incurred</t>
  </si>
  <si>
    <t>Cat Incurred - Inflated</t>
  </si>
  <si>
    <t>total_ol_incurred</t>
  </si>
  <si>
    <t>Total Incurred - Inflated</t>
  </si>
  <si>
    <t>attr_pct_ultimate</t>
  </si>
  <si>
    <t>Development Pattern</t>
  </si>
  <si>
    <t>attr_method</t>
  </si>
  <si>
    <t>attr_ol_cl_ultimate</t>
  </si>
  <si>
    <t>CL - Ultimate Incurred</t>
  </si>
  <si>
    <t>attr_ol_bf_ultimate</t>
  </si>
  <si>
    <t>BF - Ultimate Incurred</t>
  </si>
  <si>
    <t>attr_ol_ielr_ultimate</t>
  </si>
  <si>
    <t>IELR - Ultimate Incurred</t>
  </si>
  <si>
    <t>attr_ol_selected_ultimate</t>
  </si>
  <si>
    <t>Attritional Final Incurred</t>
  </si>
  <si>
    <t>attr_ol_cl_lr</t>
  </si>
  <si>
    <t>attr_ol_bf_lr</t>
  </si>
  <si>
    <t>attr_ol_ielr</t>
  </si>
  <si>
    <t>attr_ol_selected_ulr</t>
  </si>
  <si>
    <t>Attritional Final ULR</t>
  </si>
  <si>
    <t>large_pct_ultimate</t>
  </si>
  <si>
    <t>Large Development Pattern</t>
  </si>
  <si>
    <t>large_method</t>
  </si>
  <si>
    <t>large_credibility</t>
  </si>
  <si>
    <t>Large Credibility</t>
  </si>
  <si>
    <t>large_ol_cl_ultimate</t>
  </si>
  <si>
    <t>Large CL - Final Incurred</t>
  </si>
  <si>
    <t>large_ol_bf_ultimate</t>
  </si>
  <si>
    <t>Large BF - Final Incurred</t>
  </si>
  <si>
    <t>large_ol_ielr_ultimate</t>
  </si>
  <si>
    <t>Large IELR - Final Incurred</t>
  </si>
  <si>
    <t>large_ol_selected_ultimate</t>
  </si>
  <si>
    <t>Large Final Incurred</t>
  </si>
  <si>
    <t>large_ol_cl_lr</t>
  </si>
  <si>
    <t>Large CL ULR</t>
  </si>
  <si>
    <t>large_ol_bf_lr</t>
  </si>
  <si>
    <t>Large BF ULR</t>
  </si>
  <si>
    <t>large_ol_ielr</t>
  </si>
  <si>
    <t>Large IELR</t>
  </si>
  <si>
    <t>large_ol_selected_ulr</t>
  </si>
  <si>
    <t>Large Final ULR</t>
  </si>
  <si>
    <t>cat_pct_ultimate</t>
  </si>
  <si>
    <t>Cat Development Pattern</t>
  </si>
  <si>
    <t>cat_method</t>
  </si>
  <si>
    <t>cat_ol_cl_ultimate</t>
  </si>
  <si>
    <t>Cat CL - Final Incurred</t>
  </si>
  <si>
    <t>cat_ol_bf_ultimate</t>
  </si>
  <si>
    <t>Cat BF - Final Incurred</t>
  </si>
  <si>
    <t>cat_ol_ielr_ultimate</t>
  </si>
  <si>
    <t>Cat IELR - Final Incurred</t>
  </si>
  <si>
    <t>cat_ol_selected_ultimate</t>
  </si>
  <si>
    <t>Cat Final Incurred</t>
  </si>
  <si>
    <t>cat_ol_cl_lr</t>
  </si>
  <si>
    <t>Cat CL ULR</t>
  </si>
  <si>
    <t>cat_ol_bf_lr</t>
  </si>
  <si>
    <t>Cat BF ULR</t>
  </si>
  <si>
    <t>cat_ol_ielr</t>
  </si>
  <si>
    <t>Cat IELR (BP)</t>
  </si>
  <si>
    <t>cat_ol_selected_ulr</t>
  </si>
  <si>
    <t>Cat Final ULR</t>
  </si>
  <si>
    <t>total_pct_ultimate</t>
  </si>
  <si>
    <t>Total Development Pattern</t>
  </si>
  <si>
    <t>total_ol_cl_ultimate</t>
  </si>
  <si>
    <t>Total CL - Final Incurred</t>
  </si>
  <si>
    <t>total_ol_bf_ultimate</t>
  </si>
  <si>
    <t>Total BF - Final Incurred</t>
  </si>
  <si>
    <t>total_ol_ielr_ultimate</t>
  </si>
  <si>
    <t>Total IELR - Final Incurred</t>
  </si>
  <si>
    <t>total_ol_selected_ultimate</t>
  </si>
  <si>
    <t>Total Final Incurred</t>
  </si>
  <si>
    <t>total_ol_cl_lr</t>
  </si>
  <si>
    <t>Total CL ULR</t>
  </si>
  <si>
    <t>total_ol_bf_lr</t>
  </si>
  <si>
    <t>Total BF ULR</t>
  </si>
  <si>
    <t>total_ol_ielr</t>
  </si>
  <si>
    <t>Total IELR</t>
  </si>
  <si>
    <t>total_ol_selected_ulr</t>
  </si>
  <si>
    <t>Total Final ULR</t>
  </si>
  <si>
    <t>wgt_include</t>
  </si>
  <si>
    <t>wgt_decay</t>
  </si>
  <si>
    <t>Decay Factor</t>
  </si>
  <si>
    <t>wgt_exposure</t>
  </si>
  <si>
    <t>Exposure Factor</t>
  </si>
  <si>
    <t>wgt_pct_ult</t>
  </si>
  <si>
    <t>Development Factor</t>
  </si>
  <si>
    <t>wgt_overall_initial</t>
  </si>
  <si>
    <t>Overall (intermediate)</t>
  </si>
  <si>
    <t>wgt_overall_final</t>
  </si>
  <si>
    <t>Overall (Final)</t>
  </si>
  <si>
    <t>AFB</t>
  </si>
  <si>
    <t>ri.inception_date</t>
  </si>
  <si>
    <t>ri.expiry_date</t>
  </si>
  <si>
    <t>ri.underwriter</t>
  </si>
  <si>
    <t>ri.currency</t>
  </si>
  <si>
    <t>ri.section_ref_ec</t>
  </si>
  <si>
    <t>ri.insured_name</t>
  </si>
  <si>
    <t>ri.product_bool</t>
  </si>
  <si>
    <t>ri.is_renewal</t>
  </si>
  <si>
    <t>ri.section_ref_na</t>
  </si>
  <si>
    <t>ri.event_name</t>
  </si>
  <si>
    <t>ri.written_line</t>
  </si>
  <si>
    <t>ri.brokerage</t>
  </si>
  <si>
    <t>ri.status</t>
  </si>
  <si>
    <t>ri.broker_contact</t>
  </si>
  <si>
    <t>ri.broker_name</t>
  </si>
  <si>
    <t>ri.actuary_view</t>
  </si>
  <si>
    <t>ri.schema_view</t>
  </si>
  <si>
    <t>ri.old_nm_approach</t>
  </si>
  <si>
    <t>ri.det_agg_approach</t>
  </si>
  <si>
    <t>expo.event_type</t>
  </si>
  <si>
    <t>expo.limit</t>
  </si>
  <si>
    <t>expo.use_excess</t>
  </si>
  <si>
    <t>expo.deductible</t>
  </si>
  <si>
    <t>expo.agg_limit</t>
  </si>
  <si>
    <t>expo.excess</t>
  </si>
  <si>
    <t>expo.agg_deductible</t>
  </si>
  <si>
    <t>expo.terror_td</t>
  </si>
  <si>
    <t>expo.exposure_curve</t>
  </si>
  <si>
    <t>expo.experience_use</t>
  </si>
  <si>
    <t>expo.ncb_use</t>
  </si>
  <si>
    <t>expo.terror_profile</t>
  </si>
  <si>
    <t>expo.curve_comments</t>
  </si>
  <si>
    <t>expo.experience_ilr</t>
  </si>
  <si>
    <t>expo.ncb_pct</t>
  </si>
  <si>
    <t>expo.terror_cityload</t>
  </si>
  <si>
    <t>expo.experience_factor</t>
  </si>
  <si>
    <t>expo.ncb_factor</t>
  </si>
  <si>
    <t>expo.ihs_last_run_status</t>
  </si>
  <si>
    <t>expo.ihs_rerun_status</t>
  </si>
  <si>
    <t>expo.ihs_value</t>
  </si>
  <si>
    <t>expo.sim_last_run_status</t>
  </si>
  <si>
    <t>expo.sim_rerun_status</t>
  </si>
  <si>
    <t>expo.sim_value</t>
  </si>
  <si>
    <t>expo.agg_tiv_calc</t>
  </si>
  <si>
    <t>expo.agg_tiv_sel</t>
  </si>
  <si>
    <t>expo.agg_tiv_warning</t>
  </si>
  <si>
    <t>expo.event_table</t>
  </si>
  <si>
    <t>Average Show Value</t>
  </si>
  <si>
    <t>na.curve</t>
  </si>
  <si>
    <t>na.genre</t>
  </si>
  <si>
    <t>na.num_shows</t>
  </si>
  <si>
    <t>na.avg_value</t>
  </si>
  <si>
    <t>na.tiv</t>
  </si>
  <si>
    <t>na.el_fgu</t>
  </si>
  <si>
    <t>na.base_rate</t>
  </si>
  <si>
    <t>na.num_members</t>
  </si>
  <si>
    <t>na.claim_experience</t>
  </si>
  <si>
    <t>na.el_fgu_mod</t>
  </si>
  <si>
    <t>na.mod_num_members</t>
  </si>
  <si>
    <t>na.mod_claim_experience</t>
  </si>
  <si>
    <t>na.mod_nmp</t>
  </si>
  <si>
    <t>na.mod_total</t>
  </si>
  <si>
    <t>na.uw_adj_min</t>
  </si>
  <si>
    <t>na.uw_adj_selected</t>
  </si>
  <si>
    <t>na.uw_adj_max</t>
  </si>
  <si>
    <t>na.uw_adj_final</t>
  </si>
  <si>
    <t>na.comment</t>
  </si>
  <si>
    <t>ri.hx_link</t>
  </si>
  <si>
    <t>nm.cover</t>
  </si>
  <si>
    <t>nm.mourning_period</t>
  </si>
  <si>
    <t>nm.u75_include</t>
  </si>
  <si>
    <t>nm.u75_country</t>
  </si>
  <si>
    <t>nm.u75_age</t>
  </si>
  <si>
    <t>nm.u75_pod</t>
  </si>
  <si>
    <t>nm.u75_pos</t>
  </si>
  <si>
    <t>nm.u75_adj_affl</t>
  </si>
  <si>
    <t>nm.u75_adj_health</t>
  </si>
  <si>
    <t>nm.u75_pod_adj</t>
  </si>
  <si>
    <t>nm.u75_pos_adj</t>
  </si>
  <si>
    <t>nm.u75_check</t>
  </si>
  <si>
    <t>nm.o75_b1_include</t>
  </si>
  <si>
    <t>nm.o75_b1_name</t>
  </si>
  <si>
    <t>nm.o75_b1_country</t>
  </si>
  <si>
    <t>nm.o75_b1_gender</t>
  </si>
  <si>
    <t>nm.o75_b1_dob</t>
  </si>
  <si>
    <t>nm.o75_b1_age</t>
  </si>
  <si>
    <t>nm.o75_b1_pod</t>
  </si>
  <si>
    <t>nm.o75_b1_pos</t>
  </si>
  <si>
    <t>nm.o75_b1_adj_affl</t>
  </si>
  <si>
    <t>nm.o75_b1_adj_health</t>
  </si>
  <si>
    <t>nm.o75_b1_pod_adj</t>
  </si>
  <si>
    <t>nm.o75_b1_pos_adj</t>
  </si>
  <si>
    <t>nm.o75_b1_check</t>
  </si>
  <si>
    <t>nm.o75_b2_include</t>
  </si>
  <si>
    <t>nm.o75_b2_name</t>
  </si>
  <si>
    <t>nm.o75_b2_country</t>
  </si>
  <si>
    <t>nm.o75_b2_gender</t>
  </si>
  <si>
    <t>nm.o75_b2_dob</t>
  </si>
  <si>
    <t>nm.o75_b2_age</t>
  </si>
  <si>
    <t>nm.o75_b2_pod</t>
  </si>
  <si>
    <t>nm.o75_b2_pos</t>
  </si>
  <si>
    <t>nm.o75_b2_adj_affl</t>
  </si>
  <si>
    <t>nm.o75_b2_adj_health</t>
  </si>
  <si>
    <t>nm.o75_b2_pod_adj</t>
  </si>
  <si>
    <t>nm.o75_b2_pos_adj</t>
  </si>
  <si>
    <t>nm.o75_b2_check</t>
  </si>
  <si>
    <t>nm.o75_table</t>
  </si>
  <si>
    <t>Check Value - Last Load</t>
  </si>
  <si>
    <t>Check Value - Calculated</t>
  </si>
  <si>
    <t/>
  </si>
  <si>
    <t>exper.eval_date_est</t>
  </si>
  <si>
    <t>exper.eval_date_ovd</t>
  </si>
  <si>
    <t>exper.bi_status_last</t>
  </si>
  <si>
    <t>exper.bi_date_last</t>
  </si>
  <si>
    <t>exper.bi_rerun</t>
  </si>
  <si>
    <t>exper.bi_val_last</t>
  </si>
  <si>
    <t>exper.bi_val_calc</t>
  </si>
  <si>
    <t>exper.el_sel</t>
  </si>
  <si>
    <t>exper.wgt_sel</t>
  </si>
  <si>
    <t>exper.el_ovd</t>
  </si>
  <si>
    <t>exper.wgt_ovd</t>
  </si>
  <si>
    <t>exper.el_calc</t>
  </si>
  <si>
    <t>exper.wgt_calc</t>
  </si>
  <si>
    <t>exper.trend_backfill</t>
  </si>
  <si>
    <t>rs.rater_priced</t>
  </si>
  <si>
    <t>rs.agg_adj</t>
  </si>
  <si>
    <t>rs.clmnum_calc</t>
  </si>
  <si>
    <t>rs.clmnum_ovd</t>
  </si>
  <si>
    <t>rs.clmnum_sim</t>
  </si>
  <si>
    <t>rs.sim_last_status</t>
  </si>
  <si>
    <t>rs.sim_check_calc</t>
  </si>
  <si>
    <t>rs.sim_check_last</t>
  </si>
  <si>
    <t>rs.sim_rerun</t>
  </si>
  <si>
    <t>rs.sim_el_uncap</t>
  </si>
  <si>
    <t>rs.sim_el_cap</t>
  </si>
  <si>
    <t>rs.sim_el_adj</t>
  </si>
  <si>
    <t>rs.sim_el_scaled</t>
  </si>
  <si>
    <t>rs.det_el_uncap</t>
  </si>
  <si>
    <t>rs.det_el_cap</t>
  </si>
  <si>
    <t>rs.det_el_adj</t>
  </si>
  <si>
    <t>rs.sim_error</t>
  </si>
  <si>
    <t>rs.num_sims</t>
  </si>
  <si>
    <t>rs.deductible_agg</t>
  </si>
  <si>
    <t>rs.status</t>
  </si>
  <si>
    <t>rs.currency</t>
  </si>
  <si>
    <t>rs.brokerage</t>
  </si>
  <si>
    <t>rs.written_line</t>
  </si>
  <si>
    <t>rs.limit</t>
  </si>
  <si>
    <t>rs.agg_limit</t>
  </si>
  <si>
    <t>rs.use_excess</t>
  </si>
  <si>
    <t>rs.deductible</t>
  </si>
  <si>
    <t>rs.quoted_roe</t>
  </si>
  <si>
    <t>rs.quoted_premium_100</t>
  </si>
  <si>
    <t>rs.quoted_premium_afb</t>
  </si>
  <si>
    <t>rs.bench_premium_100</t>
  </si>
  <si>
    <t>rs.bench_premium_afb</t>
  </si>
  <si>
    <t>rs.tech_premium_100</t>
  </si>
  <si>
    <t>rs.tech_premium_afb</t>
  </si>
  <si>
    <t>rs.quoted_rol</t>
  </si>
  <si>
    <t>rs.tpi</t>
  </si>
  <si>
    <t>rs.bpi</t>
  </si>
  <si>
    <t>rs.pflr</t>
  </si>
  <si>
    <t>rs.uw_adj</t>
  </si>
  <si>
    <t>rs.roc</t>
  </si>
  <si>
    <t>rs.tpi_pre</t>
  </si>
  <si>
    <t>tbl_metrics_post</t>
  </si>
  <si>
    <t>tbl_metrics_pre</t>
  </si>
  <si>
    <t>tbl_metrics_el</t>
  </si>
  <si>
    <t>rc.uw_rationale</t>
  </si>
  <si>
    <t>rc.expiring_id</t>
  </si>
  <si>
    <t>rc.tbl_rc_profile</t>
  </si>
  <si>
    <t>rc.tbl_rc_drivers</t>
  </si>
  <si>
    <t>tbl_actuarial_event</t>
  </si>
  <si>
    <t>tbl_actuarial_nm</t>
  </si>
  <si>
    <t>tbl_actuarial_experience_analysis</t>
  </si>
  <si>
    <t>tbl_actuarial_policy</t>
  </si>
  <si>
    <t>tbl_actuarial_claim</t>
  </si>
  <si>
    <t>exper.tbl_overall</t>
  </si>
  <si>
    <t>exper.tbl_overall_total_year</t>
  </si>
  <si>
    <t>exper.tbl_overall_total_tiv_calc</t>
  </si>
  <si>
    <t>exper.tbl_overall_total_tiv_ovd</t>
  </si>
  <si>
    <t>exper.tbl_overall_total_gnol_p</t>
  </si>
  <si>
    <t>exper.tbl_overall_total_gnol_el</t>
  </si>
  <si>
    <t>exper.tbl_overall_total_gnol_lr</t>
  </si>
  <si>
    <t>exper.tbl_assump</t>
  </si>
  <si>
    <t>exper.tbl_project</t>
  </si>
  <si>
    <t>exper.tbl_project_total_year</t>
  </si>
  <si>
    <t>exper.tbl_project_total_gnol_p</t>
  </si>
  <si>
    <t>exper.tbl_project_total_gnol_el_attr</t>
  </si>
  <si>
    <t>exper.tbl_project_total_gnol_el_large</t>
  </si>
  <si>
    <t>exper.tbl_project_total_gnol_el_cat</t>
  </si>
  <si>
    <t>exper.tbl_project_total_attr_cl_lr</t>
  </si>
  <si>
    <t>exper.tbl_project_total_attr_bf_lr</t>
  </si>
  <si>
    <t>exper.tbl_project_total_attr_ielr</t>
  </si>
  <si>
    <t>exper.tbl_project_total_attr_ultimate</t>
  </si>
  <si>
    <t>exper.tbl_project_total_attr_ulr</t>
  </si>
  <si>
    <t>exper.tbl_project_total_large_cl_lr</t>
  </si>
  <si>
    <t>exper.tbl_project_total_large_ielr</t>
  </si>
  <si>
    <t>exper.tbl_project_total_large_ultimate</t>
  </si>
  <si>
    <t>exper.tbl_project_total_large_ulr</t>
  </si>
  <si>
    <t>exper.tbl_project_total_cat_cl_lr</t>
  </si>
  <si>
    <t>exper.tbl_project_total_cat_ielr</t>
  </si>
  <si>
    <t>exper.tbl_project_total_cat_ultimate</t>
  </si>
  <si>
    <t>exper.tbl_project_total_cat_ulr</t>
  </si>
  <si>
    <t>exper.tbl_project_total_total_ultimate</t>
  </si>
  <si>
    <t>exper.tbl_project_total_total_ulr</t>
  </si>
  <si>
    <t>exper.tbl_actuarial</t>
  </si>
  <si>
    <t>exper.tbl_actuarial_total_year</t>
  </si>
  <si>
    <t>exper.tbl_actuarial_total_gnol_p</t>
  </si>
  <si>
    <t>exper.tbl_actuarial_total_gnol_el_attr</t>
  </si>
  <si>
    <t>exper.tbl_actuarial_total_gnol_el_large</t>
  </si>
  <si>
    <t>exper.tbl_actuarial_total_gnol_el_cat</t>
  </si>
  <si>
    <t>exper.tbl_actuarial_total_gnol_el_total</t>
  </si>
  <si>
    <t>exper.tbl_actuarial_total_attr_cl_ultimate</t>
  </si>
  <si>
    <t>exper.tbl_actuarial_total_attr_bf_ultimate</t>
  </si>
  <si>
    <t>exper.tbl_actuarial_total_attr_ie_ultimate</t>
  </si>
  <si>
    <t>exper.tbl_actuarial_total_attr_cl_lr</t>
  </si>
  <si>
    <t>exper.tbl_actuarial_total_attr_bf_lr</t>
  </si>
  <si>
    <t>exper.tbl_actuarial_total_attr_ielr</t>
  </si>
  <si>
    <t>exper.tbl_actuarial_total_attr_ultimate</t>
  </si>
  <si>
    <t>exper.tbl_actuarial_total_attr_ulr</t>
  </si>
  <si>
    <t>exper.tbl_actuarial_total_large_cl_ultimate</t>
  </si>
  <si>
    <t>exper.tbl_actuarial_total_large_bf_ultimate</t>
  </si>
  <si>
    <t>exper.tbl_actuarial_total_large_ie_ultimate</t>
  </si>
  <si>
    <t>exper.tbl_actuarial_total_large_cl_lr</t>
  </si>
  <si>
    <t>exper.tbl_actuarial_total_large_bf_lr</t>
  </si>
  <si>
    <t>exper.tbl_actuarial_total_large_ielr</t>
  </si>
  <si>
    <t>exper.tbl_actuarial_total_large_ultimate</t>
  </si>
  <si>
    <t>exper.tbl_actuarial_total_large_ulr</t>
  </si>
  <si>
    <t>exper.tbl_actuarial_total_cat_cl_ultimate</t>
  </si>
  <si>
    <t>exper.tbl_actuarial_total_cat_bf_ultimate</t>
  </si>
  <si>
    <t>exper.tbl_actuarial_total_cat_ie_ultimate</t>
  </si>
  <si>
    <t>exper.tbl_actuarial_total_cat_cl_lr</t>
  </si>
  <si>
    <t>exper.tbl_actuarial_total_cat_bf_lr</t>
  </si>
  <si>
    <t>exper.tbl_actuarial_total_cat_ielr</t>
  </si>
  <si>
    <t>exper.tbl_actuarial_total_cat_ultimate</t>
  </si>
  <si>
    <t>exper.tbl_actuarial_total_cat_ulr</t>
  </si>
  <si>
    <t>exper.tbl_actuarial_total_total_cl_ultimate</t>
  </si>
  <si>
    <t>exper.tbl_actuarial_total_total_bf_ultimate</t>
  </si>
  <si>
    <t>exper.tbl_actuarial_total_total_ie_ultimate</t>
  </si>
  <si>
    <t>exper.tbl_actuarial_total_total_ultimate</t>
  </si>
  <si>
    <t>exper.tbl_actuarial_total_total_cl_lr</t>
  </si>
  <si>
    <t>exper.tbl_actuarial_total_total_bf_lr</t>
  </si>
  <si>
    <t>exper.tbl_actuarial_total_total_ielr</t>
  </si>
  <si>
    <t>exper.tbl_actuarial_total_total_ulr</t>
  </si>
  <si>
    <t>expo.tbl_coverage</t>
  </si>
  <si>
    <t>rs.excess</t>
  </si>
  <si>
    <t>Rate Priced or Case Priced?</t>
  </si>
  <si>
    <t>ri.rater_priced</t>
  </si>
  <si>
    <t>Is Migrated</t>
  </si>
  <si>
    <t>Disable Validation</t>
  </si>
  <si>
    <t>ri.is_migrated</t>
  </si>
  <si>
    <t>ri.disable_validation</t>
  </si>
  <si>
    <t>Actuarial Rationale</t>
  </si>
  <si>
    <t>Actuarial Reviewed:</t>
  </si>
  <si>
    <t>rc.actuarial_reviewed</t>
  </si>
  <si>
    <t>rc.actuarial_rationale</t>
  </si>
  <si>
    <t>expo.curve_warning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</si>
</sst>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0.000%"/>
    <numFmt numFmtId="166" formatCode="0.000"/>
    <numFmt numFmtId="167" formatCode="#,##0.000"/>
    <numFmt numFmtId="168" formatCode="#,##0.0"/>
  </numFmts>
  <fonts count="33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3"/>
      <color rgb="FFBF417B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20"/>
      <color rgb="FFBF417B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rgb="FF4B0050"/>
      <name val="Arial"/>
      <family val="2"/>
      <scheme val="minor"/>
    </font>
    <font>
      <b/>
      <u/>
      <sz val="11"/>
      <color rgb="FF4B0050"/>
      <name val="Arial"/>
      <family val="2"/>
      <scheme val="minor"/>
    </font>
    <font>
      <sz val="11"/>
      <color rgb="FF151719"/>
      <name val="Inherit"/>
    </font>
    <font>
      <sz val="14"/>
      <color rgb="FF151719"/>
      <name val="Inherit"/>
    </font>
    <font>
      <b/>
      <u/>
      <sz val="12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u/>
      <sz val="12"/>
      <color rgb="FF4B005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9"/>
      <color theme="0"/>
      <name val="Arial Narrow"/>
      <family val="2"/>
    </font>
    <font>
      <b/>
      <sz val="9"/>
      <color theme="1"/>
      <name val="Arial Narrow"/>
      <family val="2"/>
    </font>
    <font>
      <u/>
      <sz val="10"/>
      <color theme="1"/>
      <name val="Arial"/>
      <family val="2"/>
      <scheme val="minor"/>
    </font>
    <font>
      <sz val="11"/>
      <color theme="1"/>
      <name val="Segoe UI"/>
      <family val="2"/>
    </font>
    <font>
      <sz val="14"/>
      <color theme="1"/>
      <name val="Arial"/>
      <family val="2"/>
      <scheme val="minor"/>
    </font>
    <font>
      <b/>
      <u/>
      <sz val="8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BF417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43" fontId="1" fillId="0" borderId="0" applyFont="0" applyFill="0" applyBorder="0" applyAlignment="0" applyProtection="0"/>
    <xf numFmtId="0" fontId="12" fillId="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405">
    <xf numFmtId="0" fontId="0" fillId="0" borderId="0" xfId="0"/>
    <xf numFmtId="164" fontId="4" fillId="0" borderId="2" xfId="4" applyNumberFormat="1" applyFont="1" applyFill="1" applyBorder="1" applyAlignment="1">
      <alignment horizontal="center"/>
    </xf>
    <xf numFmtId="3" fontId="4" fillId="0" borderId="2" xfId="5" applyNumberFormat="1" applyFont="1" applyFill="1" applyBorder="1" applyAlignment="1">
      <alignment horizontal="center"/>
    </xf>
    <xf numFmtId="0" fontId="6" fillId="0" borderId="12" xfId="3" applyFont="1" applyFill="1" applyBorder="1"/>
    <xf numFmtId="0" fontId="6" fillId="0" borderId="11" xfId="3" applyFont="1" applyFill="1" applyBorder="1"/>
    <xf numFmtId="0" fontId="9" fillId="0" borderId="0" xfId="1" applyFont="1" applyFill="1" applyBorder="1"/>
    <xf numFmtId="0" fontId="2" fillId="0" borderId="0" xfId="1" applyFill="1" applyBorder="1"/>
    <xf numFmtId="0" fontId="0" fillId="0" borderId="9" xfId="0" applyBorder="1"/>
    <xf numFmtId="0" fontId="5" fillId="0" borderId="0" xfId="0" applyFont="1"/>
    <xf numFmtId="0" fontId="7" fillId="0" borderId="0" xfId="2" applyFont="1" applyFill="1" applyAlignment="1">
      <alignment horizontal="right"/>
    </xf>
    <xf numFmtId="0" fontId="6" fillId="0" borderId="0" xfId="3" applyFont="1" applyFill="1"/>
    <xf numFmtId="0" fontId="10" fillId="0" borderId="0" xfId="0" applyFont="1" applyAlignment="1">
      <alignment horizontal="right"/>
    </xf>
    <xf numFmtId="0" fontId="8" fillId="0" borderId="0" xfId="0" applyFont="1"/>
    <xf numFmtId="0" fontId="13" fillId="0" borderId="0" xfId="1" applyFont="1" applyFill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14" fillId="0" borderId="0" xfId="0" applyFont="1" applyAlignment="1">
      <alignment horizontal="right"/>
    </xf>
    <xf numFmtId="3" fontId="4" fillId="0" borderId="0" xfId="5" applyNumberFormat="1" applyFont="1" applyFill="1" applyBorder="1" applyAlignment="1">
      <alignment horizont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18" fillId="0" borderId="0" xfId="0" applyFont="1" applyAlignment="1">
      <alignment horizontal="right" vertical="center"/>
    </xf>
    <xf numFmtId="0" fontId="12" fillId="4" borderId="0" xfId="6"/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7" xfId="0" applyBorder="1" applyAlignment="1">
      <alignment horizontal="right"/>
    </xf>
    <xf numFmtId="0" fontId="19" fillId="0" borderId="0" xfId="0" applyFont="1"/>
    <xf numFmtId="0" fontId="16" fillId="0" borderId="0" xfId="0" applyFont="1" applyAlignment="1">
      <alignment horizontal="right"/>
    </xf>
    <xf numFmtId="0" fontId="15" fillId="0" borderId="4" xfId="0" applyFont="1" applyBorder="1" applyAlignment="1">
      <alignment horizontal="right" vertical="center"/>
    </xf>
    <xf numFmtId="0" fontId="17" fillId="0" borderId="7" xfId="0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0" fillId="0" borderId="14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1" xfId="0" applyBorder="1" applyAlignment="1">
      <alignment horizontal="right"/>
    </xf>
    <xf numFmtId="164" fontId="4" fillId="0" borderId="2" xfId="9" applyNumberFormat="1" applyFont="1" applyFill="1" applyBorder="1" applyAlignment="1">
      <alignment horizontal="center"/>
    </xf>
    <xf numFmtId="3" fontId="0" fillId="0" borderId="0" xfId="0" applyNumberFormat="1"/>
    <xf numFmtId="3" fontId="0" fillId="0" borderId="4" xfId="0" applyNumberFormat="1" applyBorder="1"/>
    <xf numFmtId="3" fontId="0" fillId="0" borderId="7" xfId="0" applyNumberFormat="1" applyBorder="1"/>
    <xf numFmtId="3" fontId="0" fillId="0" borderId="8" xfId="0" applyNumberFormat="1" applyBorder="1"/>
    <xf numFmtId="164" fontId="0" fillId="0" borderId="0" xfId="0" applyNumberFormat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0" fontId="0" fillId="0" borderId="14" xfId="0" applyNumberFormat="1" applyBorder="1"/>
    <xf numFmtId="3" fontId="0" fillId="0" borderId="6" xfId="0" applyNumberFormat="1" applyBorder="1"/>
    <xf numFmtId="3" fontId="0" fillId="0" borderId="14" xfId="0" applyNumberFormat="1" applyBorder="1"/>
    <xf numFmtId="3" fontId="4" fillId="0" borderId="10" xfId="4" applyNumberFormat="1" applyFont="1" applyFill="1" applyBorder="1" applyAlignment="1"/>
    <xf numFmtId="165" fontId="0" fillId="0" borderId="0" xfId="0" applyNumberFormat="1"/>
    <xf numFmtId="0" fontId="23" fillId="0" borderId="2" xfId="0" applyFont="1" applyBorder="1" applyAlignment="1">
      <alignment horizontal="center"/>
    </xf>
    <xf numFmtId="0" fontId="10" fillId="0" borderId="0" xfId="0" applyFont="1"/>
    <xf numFmtId="0" fontId="23" fillId="0" borderId="0" xfId="0" applyFont="1"/>
    <xf numFmtId="0" fontId="10" fillId="0" borderId="12" xfId="0" applyFont="1" applyBorder="1" applyAlignment="1">
      <alignment horizontal="center" wrapText="1"/>
    </xf>
    <xf numFmtId="0" fontId="10" fillId="0" borderId="11" xfId="0" applyFont="1" applyBorder="1" applyAlignment="1">
      <alignment horizontal="center" wrapText="1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0" fillId="0" borderId="0" xfId="0" applyAlignment="1">
      <alignment wrapText="1"/>
    </xf>
    <xf numFmtId="14" fontId="4" fillId="0" borderId="0" xfId="4" applyNumberFormat="1" applyFont="1" applyFill="1" applyBorder="1" applyAlignment="1"/>
    <xf numFmtId="0" fontId="21" fillId="0" borderId="0" xfId="0" applyFont="1"/>
    <xf numFmtId="0" fontId="0" fillId="0" borderId="12" xfId="0" applyBorder="1"/>
    <xf numFmtId="0" fontId="10" fillId="0" borderId="10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24" fillId="0" borderId="0" xfId="0" applyFont="1"/>
    <xf numFmtId="0" fontId="7" fillId="0" borderId="0" xfId="2" applyFont="1" applyFill="1" applyAlignment="1">
      <alignment horizontal="centerContinuous"/>
    </xf>
    <xf numFmtId="3" fontId="0" fillId="0" borderId="11" xfId="0" applyNumberFormat="1" applyBorder="1"/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6" fillId="0" borderId="11" xfId="0" applyFont="1" applyBorder="1" applyAlignment="1">
      <alignment wrapText="1"/>
    </xf>
    <xf numFmtId="0" fontId="28" fillId="0" borderId="3" xfId="0" applyFont="1" applyBorder="1" applyAlignment="1">
      <alignment horizontal="centerContinuous"/>
    </xf>
    <xf numFmtId="0" fontId="28" fillId="0" borderId="4" xfId="0" applyFont="1" applyBorder="1" applyAlignment="1">
      <alignment horizontal="centerContinuous"/>
    </xf>
    <xf numFmtId="0" fontId="28" fillId="0" borderId="10" xfId="0" applyFont="1" applyBorder="1" applyAlignment="1">
      <alignment horizontal="centerContinuous"/>
    </xf>
    <xf numFmtId="0" fontId="28" fillId="0" borderId="12" xfId="0" applyFont="1" applyBorder="1" applyAlignment="1">
      <alignment horizontal="centerContinuous"/>
    </xf>
    <xf numFmtId="0" fontId="28" fillId="0" borderId="11" xfId="0" applyFont="1" applyBorder="1" applyAlignment="1">
      <alignment horizontal="centerContinuous"/>
    </xf>
    <xf numFmtId="0" fontId="26" fillId="0" borderId="12" xfId="0" applyFont="1" applyBorder="1" applyAlignment="1">
      <alignment wrapText="1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10" xfId="0" applyFont="1" applyBorder="1" applyAlignment="1">
      <alignment horizontal="center" wrapText="1"/>
    </xf>
    <xf numFmtId="0" fontId="26" fillId="0" borderId="11" xfId="0" applyFont="1" applyBorder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28" fillId="5" borderId="10" xfId="0" applyFont="1" applyFill="1" applyBorder="1" applyAlignment="1">
      <alignment horizontal="centerContinuous"/>
    </xf>
    <xf numFmtId="0" fontId="28" fillId="5" borderId="12" xfId="0" applyFont="1" applyFill="1" applyBorder="1" applyAlignment="1">
      <alignment horizontal="centerContinuous"/>
    </xf>
    <xf numFmtId="0" fontId="28" fillId="5" borderId="11" xfId="0" applyFont="1" applyFill="1" applyBorder="1" applyAlignment="1">
      <alignment horizontal="centerContinuous"/>
    </xf>
    <xf numFmtId="0" fontId="26" fillId="5" borderId="10" xfId="0" applyFont="1" applyFill="1" applyBorder="1" applyAlignment="1">
      <alignment horizontal="center" wrapText="1"/>
    </xf>
    <xf numFmtId="0" fontId="26" fillId="5" borderId="12" xfId="0" applyFont="1" applyFill="1" applyBorder="1" applyAlignment="1">
      <alignment horizontal="center" wrapText="1"/>
    </xf>
    <xf numFmtId="0" fontId="26" fillId="5" borderId="11" xfId="0" applyFont="1" applyFill="1" applyBorder="1" applyAlignment="1">
      <alignment horizontal="center" wrapText="1"/>
    </xf>
    <xf numFmtId="0" fontId="0" fillId="5" borderId="5" xfId="0" applyFill="1" applyBorder="1"/>
    <xf numFmtId="0" fontId="0" fillId="5" borderId="0" xfId="0" applyFill="1"/>
    <xf numFmtId="0" fontId="0" fillId="5" borderId="7" xfId="0" applyFill="1" applyBorder="1"/>
    <xf numFmtId="0" fontId="10" fillId="5" borderId="3" xfId="0" applyFont="1" applyFill="1" applyBorder="1" applyAlignment="1">
      <alignment wrapText="1"/>
    </xf>
    <xf numFmtId="0" fontId="10" fillId="5" borderId="13" xfId="0" applyFont="1" applyFill="1" applyBorder="1" applyAlignment="1">
      <alignment wrapText="1"/>
    </xf>
    <xf numFmtId="0" fontId="10" fillId="5" borderId="4" xfId="0" applyFont="1" applyFill="1" applyBorder="1" applyAlignment="1">
      <alignment wrapText="1"/>
    </xf>
    <xf numFmtId="0" fontId="10" fillId="5" borderId="12" xfId="0" applyFont="1" applyFill="1" applyBorder="1" applyAlignment="1">
      <alignment horizontal="center" wrapText="1"/>
    </xf>
    <xf numFmtId="0" fontId="10" fillId="5" borderId="11" xfId="0" applyFont="1" applyFill="1" applyBorder="1" applyAlignment="1">
      <alignment horizontal="center" wrapText="1"/>
    </xf>
    <xf numFmtId="3" fontId="0" fillId="5" borderId="0" xfId="0" applyNumberFormat="1" applyFill="1"/>
    <xf numFmtId="3" fontId="0" fillId="5" borderId="6" xfId="0" applyNumberFormat="1" applyFill="1" applyBorder="1"/>
    <xf numFmtId="3" fontId="0" fillId="5" borderId="14" xfId="0" applyNumberFormat="1" applyFill="1" applyBorder="1"/>
    <xf numFmtId="3" fontId="0" fillId="5" borderId="8" xfId="0" applyNumberFormat="1" applyFill="1" applyBorder="1"/>
    <xf numFmtId="0" fontId="10" fillId="5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0" fontId="8" fillId="5" borderId="0" xfId="0" applyFont="1" applyFill="1"/>
    <xf numFmtId="0" fontId="28" fillId="0" borderId="13" xfId="0" applyFont="1" applyBorder="1" applyAlignment="1">
      <alignment horizontal="centerContinuous"/>
    </xf>
    <xf numFmtId="0" fontId="0" fillId="0" borderId="12" xfId="0" applyBorder="1" applyAlignment="1">
      <alignment horizontal="centerContinuous"/>
    </xf>
    <xf numFmtId="0" fontId="0" fillId="0" borderId="11" xfId="0" applyBorder="1" applyAlignment="1">
      <alignment horizontal="centerContinuous"/>
    </xf>
    <xf numFmtId="0" fontId="10" fillId="0" borderId="10" xfId="0" applyFont="1" applyBorder="1" applyAlignment="1">
      <alignment horizontal="centerContinuous"/>
    </xf>
    <xf numFmtId="3" fontId="0" fillId="0" borderId="5" xfId="0" applyNumberFormat="1" applyBorder="1"/>
    <xf numFmtId="0" fontId="29" fillId="0" borderId="2" xfId="0" applyFont="1" applyBorder="1" applyAlignment="1">
      <alignment horizontal="center"/>
    </xf>
    <xf numFmtId="0" fontId="29" fillId="0" borderId="10" xfId="0" applyFont="1" applyBorder="1" applyAlignment="1">
      <alignment horizontal="center" wrapText="1"/>
    </xf>
    <xf numFmtId="0" fontId="5" fillId="5" borderId="0" xfId="0" applyFont="1" applyFill="1"/>
    <xf numFmtId="0" fontId="9" fillId="5" borderId="0" xfId="1" applyFont="1" applyFill="1" applyBorder="1"/>
    <xf numFmtId="0" fontId="2" fillId="5" borderId="0" xfId="1" applyFill="1" applyBorder="1"/>
    <xf numFmtId="0" fontId="0" fillId="5" borderId="9" xfId="0" applyFill="1" applyBorder="1"/>
    <xf numFmtId="0" fontId="28" fillId="5" borderId="0" xfId="0" applyFont="1" applyFill="1"/>
    <xf numFmtId="0" fontId="5" fillId="5" borderId="0" xfId="0" applyFont="1" applyFill="1" applyAlignment="1">
      <alignment wrapText="1"/>
    </xf>
    <xf numFmtId="0" fontId="26" fillId="5" borderId="0" xfId="0" applyFont="1" applyFill="1" applyAlignment="1">
      <alignment horizontal="center" wrapText="1"/>
    </xf>
    <xf numFmtId="0" fontId="29" fillId="5" borderId="10" xfId="0" applyFont="1" applyFill="1" applyBorder="1" applyAlignment="1">
      <alignment horizontal="center" wrapText="1"/>
    </xf>
    <xf numFmtId="0" fontId="0" fillId="5" borderId="10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11" xfId="0" applyFill="1" applyBorder="1" applyAlignment="1">
      <alignment wrapText="1"/>
    </xf>
    <xf numFmtId="0" fontId="0" fillId="5" borderId="0" xfId="0" applyFill="1" applyAlignment="1">
      <alignment wrapText="1"/>
    </xf>
    <xf numFmtId="0" fontId="10" fillId="5" borderId="5" xfId="0" applyFont="1" applyFill="1" applyBorder="1" applyAlignment="1">
      <alignment horizontal="center"/>
    </xf>
    <xf numFmtId="3" fontId="0" fillId="5" borderId="13" xfId="0" applyNumberFormat="1" applyFill="1" applyBorder="1"/>
    <xf numFmtId="3" fontId="0" fillId="5" borderId="3" xfId="0" applyNumberFormat="1" applyFill="1" applyBorder="1"/>
    <xf numFmtId="0" fontId="0" fillId="5" borderId="3" xfId="0" applyFill="1" applyBorder="1"/>
    <xf numFmtId="0" fontId="10" fillId="5" borderId="7" xfId="0" applyFont="1" applyFill="1" applyBorder="1" applyAlignment="1">
      <alignment horizontal="center"/>
    </xf>
    <xf numFmtId="3" fontId="0" fillId="5" borderId="7" xfId="0" applyNumberFormat="1" applyFill="1" applyBorder="1"/>
    <xf numFmtId="3" fontId="0" fillId="5" borderId="12" xfId="0" applyNumberFormat="1" applyFill="1" applyBorder="1"/>
    <xf numFmtId="3" fontId="0" fillId="5" borderId="10" xfId="0" applyNumberFormat="1" applyFill="1" applyBorder="1"/>
    <xf numFmtId="0" fontId="0" fillId="5" borderId="10" xfId="0" applyFill="1" applyBorder="1"/>
    <xf numFmtId="0" fontId="16" fillId="0" borderId="0" xfId="0" applyFont="1" applyAlignment="1">
      <alignment horizontal="left" vertical="center"/>
    </xf>
    <xf numFmtId="10" fontId="0" fillId="0" borderId="0" xfId="0" applyNumberFormat="1"/>
    <xf numFmtId="0" fontId="0" fillId="0" borderId="0" xfId="0" applyAlignment="1">
      <alignment horizontal="center" wrapText="1"/>
    </xf>
    <xf numFmtId="10" fontId="0" fillId="0" borderId="13" xfId="0" applyNumberForma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0" fontId="0" fillId="0" borderId="3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0" fontId="0" fillId="0" borderId="2" xfId="0" applyNumberFormat="1" applyBorder="1"/>
    <xf numFmtId="10" fontId="0" fillId="0" borderId="12" xfId="0" applyNumberFormat="1" applyBorder="1"/>
    <xf numFmtId="10" fontId="0" fillId="0" borderId="11" xfId="0" applyNumberFormat="1" applyBorder="1"/>
    <xf numFmtId="10" fontId="0" fillId="0" borderId="10" xfId="0" applyNumberFormat="1" applyBorder="1"/>
    <xf numFmtId="0" fontId="0" fillId="0" borderId="13" xfId="0" applyBorder="1" applyAlignment="1">
      <alignment horizontal="right"/>
    </xf>
    <xf numFmtId="10" fontId="10" fillId="0" borderId="17" xfId="0" applyNumberFormat="1" applyFont="1" applyBorder="1" applyAlignment="1">
      <alignment horizontal="center" wrapText="1"/>
    </xf>
    <xf numFmtId="10" fontId="10" fillId="0" borderId="13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5" fillId="0" borderId="6" xfId="0" applyFont="1" applyBorder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3" fontId="0" fillId="0" borderId="17" xfId="0" applyNumberFormat="1" applyBorder="1"/>
    <xf numFmtId="3" fontId="0" fillId="0" borderId="16" xfId="0" applyNumberFormat="1" applyBorder="1"/>
    <xf numFmtId="0" fontId="15" fillId="0" borderId="12" xfId="0" applyFont="1" applyBorder="1" applyAlignment="1">
      <alignment horizontal="center" vertical="center" wrapText="1"/>
    </xf>
    <xf numFmtId="3" fontId="0" fillId="0" borderId="13" xfId="0" applyNumberFormat="1" applyBorder="1"/>
    <xf numFmtId="0" fontId="31" fillId="5" borderId="0" xfId="0" applyFont="1" applyFill="1"/>
    <xf numFmtId="0" fontId="7" fillId="5" borderId="0" xfId="2" applyFont="1" applyFill="1" applyAlignment="1">
      <alignment horizontal="right"/>
    </xf>
    <xf numFmtId="3" fontId="4" fillId="5" borderId="2" xfId="5" applyNumberFormat="1" applyFont="1" applyFill="1" applyBorder="1" applyAlignment="1">
      <alignment horizontal="center"/>
    </xf>
    <xf numFmtId="164" fontId="4" fillId="5" borderId="0" xfId="9" applyNumberFormat="1" applyFont="1" applyFill="1" applyBorder="1" applyAlignment="1">
      <alignment horizontal="center"/>
    </xf>
    <xf numFmtId="3" fontId="4" fillId="5" borderId="0" xfId="5" applyNumberFormat="1" applyFont="1" applyFill="1" applyBorder="1" applyAlignment="1">
      <alignment horizontal="center"/>
    </xf>
    <xf numFmtId="0" fontId="30" fillId="0" borderId="24" xfId="0" applyFont="1" applyBorder="1" applyAlignment="1">
      <alignment vertical="center"/>
    </xf>
    <xf numFmtId="0" fontId="22" fillId="0" borderId="0" xfId="0" applyFont="1" applyAlignment="1">
      <alignment wrapText="1"/>
    </xf>
    <xf numFmtId="49" fontId="0" fillId="0" borderId="0" xfId="0" applyNumberFormat="1"/>
    <xf numFmtId="49" fontId="7" fillId="0" borderId="0" xfId="2" applyNumberFormat="1" applyFont="1" applyFill="1" applyAlignment="1">
      <alignment horizontal="right"/>
    </xf>
    <xf numFmtId="49" fontId="4" fillId="0" borderId="2" xfId="4" applyNumberFormat="1" applyFont="1" applyFill="1" applyBorder="1" applyAlignment="1">
      <alignment horizontal="center"/>
    </xf>
    <xf numFmtId="49" fontId="10" fillId="0" borderId="0" xfId="0" applyNumberFormat="1" applyFont="1" applyAlignment="1">
      <alignment horizontal="right"/>
    </xf>
    <xf numFmtId="49" fontId="4" fillId="0" borderId="2" xfId="4" applyNumberFormat="1" applyFont="1" applyFill="1" applyBorder="1" applyAlignment="1">
      <alignment horizontal="left"/>
    </xf>
    <xf numFmtId="49" fontId="4" fillId="0" borderId="0" xfId="4" applyNumberFormat="1" applyFont="1" applyFill="1" applyBorder="1" applyAlignment="1">
      <alignment horizontal="center"/>
    </xf>
    <xf numFmtId="49" fontId="5" fillId="0" borderId="0" xfId="0" applyNumberFormat="1" applyFont="1"/>
    <xf numFmtId="49" fontId="4" fillId="0" borderId="10" xfId="4" applyNumberFormat="1" applyFont="1" applyFill="1" applyBorder="1" applyAlignment="1">
      <alignment horizontal="left"/>
    </xf>
    <xf numFmtId="49" fontId="4" fillId="0" borderId="12" xfId="4" applyNumberFormat="1" applyFont="1" applyFill="1" applyBorder="1" applyAlignment="1">
      <alignment horizontal="center"/>
    </xf>
    <xf numFmtId="49" fontId="4" fillId="0" borderId="11" xfId="4" applyNumberFormat="1" applyFont="1" applyFill="1" applyBorder="1" applyAlignment="1">
      <alignment horizontal="center"/>
    </xf>
    <xf numFmtId="49" fontId="4" fillId="5" borderId="2" xfId="4" applyNumberFormat="1" applyFont="1" applyFill="1" applyBorder="1" applyAlignment="1">
      <alignment horizontal="left"/>
    </xf>
    <xf numFmtId="49" fontId="0" fillId="0" borderId="14" xfId="0" applyNumberFormat="1" applyBorder="1"/>
    <xf numFmtId="164" fontId="0" fillId="0" borderId="14" xfId="0" applyNumberFormat="1" applyBorder="1"/>
    <xf numFmtId="49" fontId="4" fillId="0" borderId="10" xfId="4" applyNumberFormat="1" applyFont="1" applyFill="1" applyBorder="1" applyAlignment="1"/>
    <xf numFmtId="49" fontId="0" fillId="0" borderId="11" xfId="0" applyNumberFormat="1" applyBorder="1"/>
    <xf numFmtId="4" fontId="4" fillId="0" borderId="10" xfId="4" applyNumberFormat="1" applyFont="1" applyFill="1" applyBorder="1" applyAlignment="1"/>
    <xf numFmtId="4" fontId="0" fillId="0" borderId="11" xfId="0" applyNumberFormat="1" applyBorder="1"/>
    <xf numFmtId="49" fontId="0" fillId="0" borderId="18" xfId="0" applyNumberFormat="1" applyBorder="1"/>
    <xf numFmtId="49" fontId="0" fillId="0" borderId="19" xfId="0" applyNumberFormat="1" applyBorder="1"/>
    <xf numFmtId="49" fontId="0" fillId="0" borderId="21" xfId="0" applyNumberFormat="1" applyBorder="1"/>
    <xf numFmtId="49" fontId="0" fillId="0" borderId="22" xfId="0" applyNumberFormat="1" applyBorder="1"/>
    <xf numFmtId="3" fontId="0" fillId="0" borderId="19" xfId="0" applyNumberFormat="1" applyBorder="1"/>
    <xf numFmtId="3" fontId="0" fillId="0" borderId="22" xfId="0" applyNumberFormat="1" applyBorder="1"/>
    <xf numFmtId="166" fontId="0" fillId="5" borderId="18" xfId="0" applyNumberFormat="1" applyFill="1" applyBorder="1"/>
    <xf numFmtId="166" fontId="0" fillId="5" borderId="19" xfId="0" applyNumberFormat="1" applyFill="1" applyBorder="1"/>
    <xf numFmtId="166" fontId="0" fillId="5" borderId="20" xfId="0" applyNumberFormat="1" applyFill="1" applyBorder="1"/>
    <xf numFmtId="166" fontId="0" fillId="5" borderId="21" xfId="0" applyNumberFormat="1" applyFill="1" applyBorder="1"/>
    <xf numFmtId="166" fontId="0" fillId="5" borderId="22" xfId="0" applyNumberFormat="1" applyFill="1" applyBorder="1"/>
    <xf numFmtId="166" fontId="0" fillId="5" borderId="23" xfId="0" applyNumberFormat="1" applyFill="1" applyBorder="1"/>
    <xf numFmtId="9" fontId="0" fillId="0" borderId="11" xfId="0" applyNumberFormat="1" applyBorder="1"/>
    <xf numFmtId="49" fontId="10" fillId="0" borderId="16" xfId="0" applyNumberFormat="1" applyFont="1" applyBorder="1" applyAlignment="1">
      <alignment horizontal="center"/>
    </xf>
    <xf numFmtId="4" fontId="0" fillId="0" borderId="14" xfId="0" applyNumberFormat="1" applyBorder="1"/>
    <xf numFmtId="165" fontId="0" fillId="0" borderId="14" xfId="0" applyNumberFormat="1" applyBorder="1"/>
    <xf numFmtId="9" fontId="0" fillId="0" borderId="14" xfId="0" applyNumberFormat="1" applyBorder="1"/>
    <xf numFmtId="9" fontId="0" fillId="0" borderId="8" xfId="0" applyNumberFormat="1" applyBorder="1"/>
    <xf numFmtId="49" fontId="10" fillId="0" borderId="15" xfId="0" applyNumberFormat="1" applyFont="1" applyBorder="1" applyAlignment="1">
      <alignment horizontal="center"/>
    </xf>
    <xf numFmtId="4" fontId="0" fillId="0" borderId="0" xfId="0" applyNumberFormat="1"/>
    <xf numFmtId="49" fontId="0" fillId="0" borderId="6" xfId="0" applyNumberFormat="1" applyBorder="1"/>
    <xf numFmtId="49" fontId="0" fillId="0" borderId="8" xfId="0" applyNumberFormat="1" applyBorder="1"/>
    <xf numFmtId="49" fontId="0" fillId="0" borderId="13" xfId="0" applyNumberFormat="1" applyBorder="1"/>
    <xf numFmtId="165" fontId="0" fillId="0" borderId="13" xfId="0" applyNumberFormat="1" applyBorder="1"/>
    <xf numFmtId="49" fontId="0" fillId="0" borderId="4" xfId="0" applyNumberFormat="1" applyBorder="1"/>
    <xf numFmtId="164" fontId="4" fillId="5" borderId="2" xfId="4" applyNumberFormat="1" applyFont="1" applyFill="1" applyBorder="1" applyAlignment="1"/>
    <xf numFmtId="164" fontId="0" fillId="5" borderId="2" xfId="0" applyNumberFormat="1" applyFill="1" applyBorder="1"/>
    <xf numFmtId="3" fontId="0" fillId="0" borderId="10" xfId="0" applyNumberFormat="1" applyBorder="1" applyAlignment="1">
      <alignment horizontal="center"/>
    </xf>
    <xf numFmtId="3" fontId="0" fillId="5" borderId="2" xfId="0" applyNumberFormat="1" applyFill="1" applyBorder="1"/>
    <xf numFmtId="3" fontId="0" fillId="5" borderId="4" xfId="0" applyNumberFormat="1" applyFill="1" applyBorder="1"/>
    <xf numFmtId="164" fontId="4" fillId="0" borderId="10" xfId="4" applyNumberFormat="1" applyFont="1" applyFill="1" applyBorder="1" applyAlignment="1"/>
    <xf numFmtId="49" fontId="10" fillId="0" borderId="0" xfId="0" applyNumberFormat="1" applyFont="1" applyAlignment="1">
      <alignment horizontal="center"/>
    </xf>
    <xf numFmtId="49" fontId="10" fillId="0" borderId="14" xfId="0" applyNumberFormat="1" applyFont="1" applyBorder="1" applyAlignment="1">
      <alignment horizontal="center"/>
    </xf>
    <xf numFmtId="4" fontId="0" fillId="0" borderId="6" xfId="0" applyNumberFormat="1" applyBorder="1"/>
    <xf numFmtId="4" fontId="0" fillId="0" borderId="8" xfId="0" applyNumberFormat="1" applyBorder="1"/>
    <xf numFmtId="3" fontId="10" fillId="0" borderId="5" xfId="0" applyNumberFormat="1" applyFont="1" applyBorder="1" applyAlignment="1">
      <alignment horizontal="center"/>
    </xf>
    <xf numFmtId="3" fontId="10" fillId="0" borderId="7" xfId="0" applyNumberFormat="1" applyFont="1" applyBorder="1" applyAlignment="1">
      <alignment horizontal="center"/>
    </xf>
    <xf numFmtId="167" fontId="0" fillId="0" borderId="5" xfId="0" applyNumberFormat="1" applyBorder="1"/>
    <xf numFmtId="167" fontId="0" fillId="0" borderId="0" xfId="0" applyNumberFormat="1"/>
    <xf numFmtId="167" fontId="0" fillId="0" borderId="6" xfId="0" applyNumberFormat="1" applyBorder="1"/>
    <xf numFmtId="167" fontId="0" fillId="0" borderId="7" xfId="0" applyNumberFormat="1" applyBorder="1"/>
    <xf numFmtId="167" fontId="0" fillId="0" borderId="14" xfId="0" applyNumberFormat="1" applyBorder="1"/>
    <xf numFmtId="167" fontId="0" fillId="0" borderId="8" xfId="0" applyNumberFormat="1" applyBorder="1"/>
    <xf numFmtId="164" fontId="0" fillId="5" borderId="5" xfId="0" applyNumberFormat="1" applyFill="1" applyBorder="1"/>
    <xf numFmtId="164" fontId="0" fillId="5" borderId="0" xfId="0" applyNumberFormat="1" applyFill="1"/>
    <xf numFmtId="164" fontId="0" fillId="5" borderId="6" xfId="0" applyNumberFormat="1" applyFill="1" applyBorder="1"/>
    <xf numFmtId="164" fontId="0" fillId="5" borderId="7" xfId="0" applyNumberFormat="1" applyFill="1" applyBorder="1"/>
    <xf numFmtId="164" fontId="0" fillId="5" borderId="14" xfId="0" applyNumberFormat="1" applyFill="1" applyBorder="1"/>
    <xf numFmtId="164" fontId="0" fillId="5" borderId="8" xfId="0" applyNumberFormat="1" applyFill="1" applyBorder="1"/>
    <xf numFmtId="3" fontId="10" fillId="0" borderId="0" xfId="0" applyNumberFormat="1" applyFont="1" applyAlignment="1">
      <alignment horizontal="center"/>
    </xf>
    <xf numFmtId="3" fontId="10" fillId="0" borderId="14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14" xfId="0" applyNumberFormat="1" applyFont="1" applyBorder="1" applyAlignment="1">
      <alignment horizontal="center"/>
    </xf>
    <xf numFmtId="3" fontId="10" fillId="5" borderId="3" xfId="0" applyNumberFormat="1" applyFont="1" applyFill="1" applyBorder="1" applyAlignment="1">
      <alignment horizontal="center"/>
    </xf>
    <xf numFmtId="3" fontId="10" fillId="5" borderId="13" xfId="0" applyNumberFormat="1" applyFont="1" applyFill="1" applyBorder="1" applyAlignment="1">
      <alignment horizontal="center"/>
    </xf>
    <xf numFmtId="3" fontId="10" fillId="5" borderId="5" xfId="0" applyNumberFormat="1" applyFont="1" applyFill="1" applyBorder="1" applyAlignment="1">
      <alignment horizontal="center"/>
    </xf>
    <xf numFmtId="3" fontId="10" fillId="5" borderId="0" xfId="0" applyNumberFormat="1" applyFont="1" applyFill="1" applyAlignment="1">
      <alignment horizontal="center"/>
    </xf>
    <xf numFmtId="3" fontId="10" fillId="5" borderId="7" xfId="0" applyNumberFormat="1" applyFont="1" applyFill="1" applyBorder="1" applyAlignment="1">
      <alignment horizontal="center"/>
    </xf>
    <xf numFmtId="3" fontId="10" fillId="5" borderId="14" xfId="0" applyNumberFormat="1" applyFont="1" applyFill="1" applyBorder="1" applyAlignment="1">
      <alignment horizontal="center"/>
    </xf>
    <xf numFmtId="164" fontId="0" fillId="5" borderId="3" xfId="0" applyNumberFormat="1" applyFill="1" applyBorder="1"/>
    <xf numFmtId="164" fontId="0" fillId="5" borderId="10" xfId="0" applyNumberFormat="1" applyFill="1" applyBorder="1"/>
    <xf numFmtId="164" fontId="0" fillId="5" borderId="13" xfId="0" applyNumberFormat="1" applyFill="1" applyBorder="1"/>
    <xf numFmtId="164" fontId="0" fillId="5" borderId="12" xfId="0" applyNumberFormat="1" applyFill="1" applyBorder="1"/>
    <xf numFmtId="164" fontId="0" fillId="5" borderId="4" xfId="0" applyNumberFormat="1" applyFill="1" applyBorder="1"/>
    <xf numFmtId="164" fontId="0" fillId="5" borderId="11" xfId="0" applyNumberFormat="1" applyFill="1" applyBorder="1"/>
    <xf numFmtId="49" fontId="0" fillId="5" borderId="13" xfId="0" applyNumberFormat="1" applyFill="1" applyBorder="1"/>
    <xf numFmtId="49" fontId="0" fillId="5" borderId="0" xfId="0" applyNumberFormat="1" applyFill="1"/>
    <xf numFmtId="49" fontId="0" fillId="5" borderId="14" xfId="0" applyNumberFormat="1" applyFill="1" applyBorder="1"/>
    <xf numFmtId="49" fontId="0" fillId="5" borderId="12" xfId="0" applyNumberFormat="1" applyFill="1" applyBorder="1"/>
    <xf numFmtId="168" fontId="0" fillId="5" borderId="0" xfId="0" applyNumberFormat="1" applyFill="1"/>
    <xf numFmtId="168" fontId="0" fillId="5" borderId="14" xfId="0" applyNumberFormat="1" applyFill="1" applyBorder="1"/>
    <xf numFmtId="168" fontId="0" fillId="5" borderId="12" xfId="0" applyNumberFormat="1" applyFill="1" applyBorder="1"/>
    <xf numFmtId="166" fontId="0" fillId="5" borderId="5" xfId="0" applyNumberFormat="1" applyFill="1" applyBorder="1"/>
    <xf numFmtId="166" fontId="0" fillId="5" borderId="0" xfId="0" applyNumberFormat="1" applyFill="1"/>
    <xf numFmtId="166" fontId="0" fillId="5" borderId="6" xfId="0" applyNumberFormat="1" applyFill="1" applyBorder="1"/>
    <xf numFmtId="166" fontId="0" fillId="5" borderId="7" xfId="0" applyNumberFormat="1" applyFill="1" applyBorder="1"/>
    <xf numFmtId="166" fontId="0" fillId="5" borderId="14" xfId="0" applyNumberFormat="1" applyFill="1" applyBorder="1"/>
    <xf numFmtId="166" fontId="0" fillId="5" borderId="8" xfId="0" applyNumberFormat="1" applyFill="1" applyBorder="1"/>
    <xf numFmtId="166" fontId="0" fillId="5" borderId="10" xfId="0" applyNumberFormat="1" applyFill="1" applyBorder="1"/>
    <xf numFmtId="166" fontId="0" fillId="5" borderId="12" xfId="0" applyNumberFormat="1" applyFill="1" applyBorder="1"/>
    <xf numFmtId="166" fontId="0" fillId="5" borderId="11" xfId="0" applyNumberFormat="1" applyFill="1" applyBorder="1"/>
    <xf numFmtId="49" fontId="4" fillId="0" borderId="2" xfId="5" applyNumberFormat="1" applyFont="1" applyFill="1" applyBorder="1" applyAlignment="1">
      <alignment horizontal="center"/>
    </xf>
    <xf numFmtId="4" fontId="4" fillId="5" borderId="2" xfId="5" applyNumberFormat="1" applyFont="1" applyFill="1" applyBorder="1" applyAlignment="1">
      <alignment horizontal="center"/>
    </xf>
    <xf numFmtId="4" fontId="4" fillId="5" borderId="2" xfId="9" applyNumberFormat="1" applyFont="1" applyFill="1" applyBorder="1" applyAlignment="1">
      <alignment horizontal="center"/>
    </xf>
    <xf numFmtId="49" fontId="4" fillId="5" borderId="2" xfId="5" applyNumberFormat="1" applyFont="1" applyFill="1" applyBorder="1" applyAlignment="1">
      <alignment horizontal="center"/>
    </xf>
    <xf numFmtId="49" fontId="4" fillId="5" borderId="2" xfId="9" applyNumberFormat="1" applyFont="1" applyFill="1" applyBorder="1" applyAlignment="1">
      <alignment horizontal="center"/>
    </xf>
    <xf numFmtId="3" fontId="4" fillId="5" borderId="2" xfId="9" applyNumberFormat="1" applyFont="1" applyFill="1" applyBorder="1" applyAlignment="1">
      <alignment horizontal="center"/>
    </xf>
    <xf numFmtId="165" fontId="4" fillId="5" borderId="2" xfId="5" applyNumberFormat="1" applyFont="1" applyFill="1" applyBorder="1" applyAlignment="1">
      <alignment horizontal="center"/>
    </xf>
    <xf numFmtId="165" fontId="4" fillId="5" borderId="2" xfId="9" applyNumberFormat="1" applyFont="1" applyFill="1" applyBorder="1" applyAlignment="1">
      <alignment horizontal="center"/>
    </xf>
    <xf numFmtId="49" fontId="4" fillId="0" borderId="2" xfId="9" applyNumberFormat="1" applyFont="1" applyFill="1" applyBorder="1" applyAlignment="1">
      <alignment horizontal="center"/>
    </xf>
    <xf numFmtId="3" fontId="4" fillId="0" borderId="2" xfId="9" applyNumberFormat="1" applyFont="1" applyFill="1" applyBorder="1" applyAlignment="1">
      <alignment horizontal="center"/>
    </xf>
    <xf numFmtId="165" fontId="4" fillId="0" borderId="2" xfId="5" applyNumberFormat="1" applyFont="1" applyFill="1" applyBorder="1" applyAlignment="1">
      <alignment horizontal="center"/>
    </xf>
    <xf numFmtId="3" fontId="0" fillId="0" borderId="3" xfId="0" applyNumberFormat="1" applyBorder="1"/>
    <xf numFmtId="165" fontId="0" fillId="0" borderId="15" xfId="0" applyNumberFormat="1" applyBorder="1"/>
    <xf numFmtId="165" fontId="0" fillId="0" borderId="6" xfId="0" applyNumberFormat="1" applyBorder="1"/>
    <xf numFmtId="165" fontId="0" fillId="0" borderId="5" xfId="0" applyNumberFormat="1" applyBorder="1"/>
    <xf numFmtId="165" fontId="0" fillId="0" borderId="16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164" fontId="0" fillId="0" borderId="16" xfId="0" applyNumberFormat="1" applyBorder="1"/>
    <xf numFmtId="0" fontId="10" fillId="5" borderId="0" xfId="0" applyFont="1" applyFill="1"/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right" vertical="center"/>
    </xf>
    <xf numFmtId="0" fontId="10" fillId="5" borderId="10" xfId="0" applyFont="1" applyFill="1" applyBorder="1" applyAlignment="1">
      <alignment horizontal="centerContinuous"/>
    </xf>
    <xf numFmtId="0" fontId="0" fillId="5" borderId="12" xfId="0" applyFill="1" applyBorder="1" applyAlignment="1">
      <alignment horizontal="centerContinuous"/>
    </xf>
    <xf numFmtId="0" fontId="0" fillId="5" borderId="11" xfId="0" applyFill="1" applyBorder="1" applyAlignment="1">
      <alignment horizontal="centerContinuous"/>
    </xf>
    <xf numFmtId="0" fontId="0" fillId="5" borderId="0" xfId="0" applyFill="1" applyAlignment="1">
      <alignment horizontal="center" wrapText="1"/>
    </xf>
    <xf numFmtId="10" fontId="10" fillId="5" borderId="17" xfId="0" applyNumberFormat="1" applyFont="1" applyFill="1" applyBorder="1" applyAlignment="1">
      <alignment horizontal="center" wrapText="1"/>
    </xf>
    <xf numFmtId="10" fontId="10" fillId="5" borderId="13" xfId="0" applyNumberFormat="1" applyFont="1" applyFill="1" applyBorder="1" applyAlignment="1">
      <alignment horizontal="center" wrapText="1"/>
    </xf>
    <xf numFmtId="0" fontId="10" fillId="5" borderId="4" xfId="0" applyFont="1" applyFill="1" applyBorder="1" applyAlignment="1">
      <alignment horizontal="center" wrapText="1"/>
    </xf>
    <xf numFmtId="10" fontId="0" fillId="5" borderId="3" xfId="0" applyNumberFormat="1" applyFill="1" applyBorder="1" applyAlignment="1">
      <alignment horizontal="center" wrapText="1"/>
    </xf>
    <xf numFmtId="10" fontId="0" fillId="5" borderId="13" xfId="0" applyNumberFormat="1" applyFill="1" applyBorder="1" applyAlignment="1">
      <alignment horizontal="center" wrapText="1"/>
    </xf>
    <xf numFmtId="0" fontId="0" fillId="5" borderId="13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5" borderId="13" xfId="0" applyFill="1" applyBorder="1" applyAlignment="1">
      <alignment horizontal="right"/>
    </xf>
    <xf numFmtId="3" fontId="0" fillId="5" borderId="17" xfId="0" applyNumberFormat="1" applyFill="1" applyBorder="1"/>
    <xf numFmtId="165" fontId="0" fillId="5" borderId="15" xfId="0" applyNumberFormat="1" applyFill="1" applyBorder="1"/>
    <xf numFmtId="165" fontId="0" fillId="5" borderId="0" xfId="0" applyNumberFormat="1" applyFill="1"/>
    <xf numFmtId="165" fontId="0" fillId="5" borderId="6" xfId="0" applyNumberFormat="1" applyFill="1" applyBorder="1"/>
    <xf numFmtId="165" fontId="0" fillId="5" borderId="5" xfId="0" applyNumberFormat="1" applyFill="1" applyBorder="1"/>
    <xf numFmtId="0" fontId="0" fillId="5" borderId="14" xfId="0" applyFill="1" applyBorder="1" applyAlignment="1">
      <alignment horizontal="right"/>
    </xf>
    <xf numFmtId="164" fontId="0" fillId="5" borderId="16" xfId="0" applyNumberFormat="1" applyFill="1" applyBorder="1"/>
    <xf numFmtId="0" fontId="0" fillId="5" borderId="11" xfId="0" applyFill="1" applyBorder="1" applyAlignment="1">
      <alignment horizontal="right"/>
    </xf>
    <xf numFmtId="165" fontId="0" fillId="0" borderId="17" xfId="0" applyNumberFormat="1" applyBorder="1"/>
    <xf numFmtId="165" fontId="0" fillId="0" borderId="4" xfId="0" applyNumberFormat="1" applyBorder="1"/>
    <xf numFmtId="165" fontId="0" fillId="0" borderId="3" xfId="0" applyNumberFormat="1" applyBorder="1"/>
    <xf numFmtId="1" fontId="0" fillId="0" borderId="2" xfId="0" applyNumberFormat="1" applyBorder="1"/>
    <xf numFmtId="49" fontId="0" fillId="0" borderId="5" xfId="0" applyNumberFormat="1" applyBorder="1"/>
    <xf numFmtId="49" fontId="0" fillId="0" borderId="0" xfId="0" applyNumberFormat="1" applyAlignment="1">
      <alignment horizontal="center"/>
    </xf>
    <xf numFmtId="9" fontId="4" fillId="0" borderId="10" xfId="4" applyNumberFormat="1" applyFont="1" applyFill="1" applyBorder="1" applyAlignment="1"/>
    <xf numFmtId="9" fontId="10" fillId="0" borderId="2" xfId="0" applyNumberFormat="1" applyFont="1" applyBorder="1"/>
    <xf numFmtId="9" fontId="10" fillId="0" borderId="11" xfId="0" applyNumberFormat="1" applyFont="1" applyBorder="1"/>
    <xf numFmtId="0" fontId="32" fillId="0" borderId="10" xfId="10" applyFont="1" applyFill="1" applyBorder="1"/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" fontId="0" fillId="0" borderId="13" xfId="0" applyNumberFormat="1" applyBorder="1"/>
    <xf numFmtId="9" fontId="0" fillId="0" borderId="13" xfId="0" applyNumberFormat="1" applyBorder="1"/>
    <xf numFmtId="9" fontId="0" fillId="0" borderId="4" xfId="0" applyNumberFormat="1" applyBorder="1"/>
    <xf numFmtId="0" fontId="7" fillId="5" borderId="0" xfId="2" applyFont="1" applyFill="1" applyBorder="1" applyAlignment="1">
      <alignment horizontal="right"/>
    </xf>
    <xf numFmtId="49" fontId="0" fillId="0" borderId="2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3" fontId="0" fillId="0" borderId="12" xfId="0" applyNumberFormat="1" applyBorder="1"/>
    <xf numFmtId="164" fontId="0" fillId="0" borderId="12" xfId="0" applyNumberFormat="1" applyBorder="1"/>
    <xf numFmtId="164" fontId="0" fillId="0" borderId="10" xfId="0" applyNumberFormat="1" applyBorder="1" applyAlignment="1">
      <alignment horizontal="center"/>
    </xf>
    <xf numFmtId="49" fontId="0" fillId="0" borderId="12" xfId="0" applyNumberFormat="1" applyBorder="1"/>
    <xf numFmtId="3" fontId="0" fillId="0" borderId="12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3" fontId="0" fillId="0" borderId="10" xfId="0" applyNumberFormat="1" applyBorder="1"/>
    <xf numFmtId="0" fontId="0" fillId="0" borderId="10" xfId="0" applyBorder="1" applyAlignment="1">
      <alignment horizontal="center"/>
    </xf>
    <xf numFmtId="0" fontId="0" fillId="5" borderId="10" xfId="0" applyFill="1" applyBorder="1" applyAlignment="1">
      <alignment horizontal="center"/>
    </xf>
    <xf numFmtId="3" fontId="0" fillId="5" borderId="10" xfId="0" applyNumberFormat="1" applyFill="1" applyBorder="1" applyAlignment="1">
      <alignment horizontal="center"/>
    </xf>
    <xf numFmtId="3" fontId="0" fillId="5" borderId="12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12" xfId="0" applyFill="1" applyBorder="1" applyAlignment="1">
      <alignment horizontal="right"/>
    </xf>
    <xf numFmtId="3" fontId="0" fillId="5" borderId="11" xfId="0" applyNumberFormat="1" applyFill="1" applyBorder="1"/>
    <xf numFmtId="165" fontId="0" fillId="5" borderId="17" xfId="0" applyNumberFormat="1" applyFill="1" applyBorder="1"/>
    <xf numFmtId="165" fontId="0" fillId="5" borderId="13" xfId="0" applyNumberFormat="1" applyFill="1" applyBorder="1"/>
    <xf numFmtId="165" fontId="0" fillId="5" borderId="4" xfId="0" applyNumberFormat="1" applyFill="1" applyBorder="1"/>
    <xf numFmtId="165" fontId="0" fillId="5" borderId="3" xfId="0" applyNumberFormat="1" applyFill="1" applyBorder="1"/>
    <xf numFmtId="3" fontId="0" fillId="5" borderId="16" xfId="0" applyNumberFormat="1" applyFill="1" applyBorder="1"/>
    <xf numFmtId="49" fontId="0" fillId="0" borderId="15" xfId="0" applyNumberFormat="1" applyBorder="1" applyAlignment="1">
      <alignment horizontal="center"/>
    </xf>
    <xf numFmtId="9" fontId="0" fillId="0" borderId="0" xfId="0" applyNumberFormat="1"/>
    <xf numFmtId="9" fontId="0" fillId="0" borderId="6" xfId="0" applyNumberFormat="1" applyBorder="1"/>
    <xf numFmtId="0" fontId="0" fillId="0" borderId="1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7" fillId="5" borderId="0" xfId="2" applyFont="1" applyFill="1" applyAlignment="1">
      <alignment horizontal="left"/>
    </xf>
    <xf numFmtId="0" fontId="10" fillId="5" borderId="10" xfId="0" applyFont="1" applyFill="1" applyBorder="1" applyAlignment="1">
      <alignment horizontal="center" wrapText="1"/>
    </xf>
    <xf numFmtId="3" fontId="0" fillId="5" borderId="5" xfId="0" applyNumberFormat="1" applyFill="1" applyBorder="1"/>
    <xf numFmtId="49" fontId="0" fillId="0" borderId="20" xfId="0" applyNumberFormat="1" applyBorder="1"/>
    <xf numFmtId="49" fontId="0" fillId="0" borderId="23" xfId="0" applyNumberFormat="1" applyBorder="1"/>
    <xf numFmtId="10" fontId="10" fillId="0" borderId="2" xfId="0" applyNumberFormat="1" applyFont="1" applyBorder="1" applyAlignment="1">
      <alignment horizontal="center" wrapText="1"/>
    </xf>
    <xf numFmtId="10" fontId="10" fillId="0" borderId="12" xfId="0" applyNumberFormat="1" applyFont="1" applyBorder="1" applyAlignment="1">
      <alignment horizontal="center" wrapText="1"/>
    </xf>
    <xf numFmtId="10" fontId="0" fillId="0" borderId="10" xfId="0" applyNumberFormat="1" applyBorder="1" applyAlignment="1">
      <alignment horizontal="center" wrapText="1"/>
    </xf>
    <xf numFmtId="10" fontId="0" fillId="0" borderId="12" xfId="0" applyNumberForma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49" fontId="4" fillId="0" borderId="10" xfId="4" applyNumberFormat="1" applyFont="1" applyFill="1" applyBorder="1" applyAlignment="1">
      <alignment horizontal="center"/>
    </xf>
    <xf numFmtId="49" fontId="4" fillId="0" borderId="12" xfId="4" applyNumberFormat="1" applyFont="1" applyFill="1" applyBorder="1" applyAlignment="1">
      <alignment horizontal="center"/>
    </xf>
    <xf numFmtId="49" fontId="4" fillId="0" borderId="11" xfId="4" applyNumberFormat="1" applyFont="1" applyFill="1" applyBorder="1" applyAlignment="1">
      <alignment horizontal="center"/>
    </xf>
    <xf numFmtId="49" fontId="4" fillId="0" borderId="10" xfId="4" applyNumberFormat="1" applyFont="1" applyFill="1" applyBorder="1" applyAlignment="1">
      <alignment horizontal="left"/>
    </xf>
    <xf numFmtId="49" fontId="4" fillId="0" borderId="12" xfId="4" applyNumberFormat="1" applyFont="1" applyFill="1" applyBorder="1" applyAlignment="1">
      <alignment horizontal="left"/>
    </xf>
    <xf numFmtId="49" fontId="4" fillId="0" borderId="11" xfId="4" applyNumberFormat="1" applyFont="1" applyFill="1" applyBorder="1" applyAlignment="1">
      <alignment horizontal="left"/>
    </xf>
    <xf numFmtId="3" fontId="4" fillId="0" borderId="10" xfId="4" applyNumberFormat="1" applyFont="1" applyFill="1" applyBorder="1" applyAlignment="1">
      <alignment horizontal="center"/>
    </xf>
    <xf numFmtId="3" fontId="4" fillId="0" borderId="11" xfId="4" applyNumberFormat="1" applyFont="1" applyFill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10" fontId="4" fillId="0" borderId="10" xfId="4" applyNumberFormat="1" applyFont="1" applyFill="1" applyBorder="1" applyAlignment="1">
      <alignment horizontal="center"/>
    </xf>
    <xf numFmtId="10" fontId="4" fillId="0" borderId="11" xfId="4" applyNumberFormat="1" applyFont="1" applyFill="1" applyBorder="1" applyAlignment="1">
      <alignment horizontal="center"/>
    </xf>
    <xf numFmtId="164" fontId="4" fillId="0" borderId="10" xfId="4" applyNumberFormat="1" applyFont="1" applyFill="1" applyBorder="1" applyAlignment="1">
      <alignment horizontal="center"/>
    </xf>
    <xf numFmtId="164" fontId="4" fillId="0" borderId="11" xfId="4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49" fontId="4" fillId="5" borderId="10" xfId="4" applyNumberFormat="1" applyFont="1" applyFill="1" applyBorder="1" applyAlignment="1">
      <alignment horizontal="center"/>
    </xf>
    <xf numFmtId="49" fontId="4" fillId="5" borderId="11" xfId="4" applyNumberFormat="1" applyFont="1" applyFill="1" applyBorder="1" applyAlignment="1">
      <alignment horizontal="center"/>
    </xf>
    <xf numFmtId="49" fontId="0" fillId="0" borderId="3" xfId="0" applyNumberFormat="1" applyBorder="1" applyAlignment="1">
      <alignment vertical="top" wrapText="1"/>
    </xf>
    <xf numFmtId="49" fontId="0" fillId="0" borderId="13" xfId="0" applyNumberFormat="1" applyBorder="1" applyAlignment="1">
      <alignment vertical="top" wrapText="1"/>
    </xf>
    <xf numFmtId="49" fontId="0" fillId="0" borderId="4" xfId="0" applyNumberFormat="1" applyBorder="1" applyAlignment="1">
      <alignment vertical="top" wrapText="1"/>
    </xf>
    <xf numFmtId="49" fontId="0" fillId="0" borderId="5" xfId="0" applyNumberFormat="1" applyBorder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6" xfId="0" applyNumberFormat="1" applyBorder="1" applyAlignment="1">
      <alignment vertical="top" wrapText="1"/>
    </xf>
    <xf numFmtId="49" fontId="0" fillId="0" borderId="7" xfId="0" applyNumberFormat="1" applyBorder="1" applyAlignment="1">
      <alignment vertical="top" wrapText="1"/>
    </xf>
    <xf numFmtId="49" fontId="0" fillId="0" borderId="14" xfId="0" applyNumberFormat="1" applyBorder="1" applyAlignment="1">
      <alignment vertical="top" wrapText="1"/>
    </xf>
    <xf numFmtId="49" fontId="0" fillId="0" borderId="8" xfId="0" applyNumberFormat="1" applyBorder="1" applyAlignment="1">
      <alignment vertical="top" wrapText="1"/>
    </xf>
    <xf numFmtId="0" fontId="0" fillId="0" borderId="0" xfId="0" applyBorder="1"/>
    <xf numFmtId="1" fontId="0" fillId="6" borderId="2" xfId="0" applyNumberFormat="1" applyFill="1" applyBorder="1"/>
    <xf numFmtId="49" fontId="0" fillId="6" borderId="3" xfId="0" applyNumberFormat="1" applyFill="1" applyBorder="1" applyAlignment="1">
      <alignment vertical="top" wrapText="1"/>
    </xf>
    <xf numFmtId="49" fontId="0" fillId="6" borderId="13" xfId="0" applyNumberFormat="1" applyFill="1" applyBorder="1" applyAlignment="1">
      <alignment vertical="top" wrapText="1"/>
    </xf>
    <xf numFmtId="49" fontId="0" fillId="6" borderId="4" xfId="0" applyNumberFormat="1" applyFill="1" applyBorder="1" applyAlignment="1">
      <alignment vertical="top" wrapText="1"/>
    </xf>
    <xf numFmtId="49" fontId="0" fillId="6" borderId="5" xfId="0" applyNumberFormat="1" applyFill="1" applyBorder="1" applyAlignment="1">
      <alignment vertical="top" wrapText="1"/>
    </xf>
    <xf numFmtId="49" fontId="0" fillId="6" borderId="0" xfId="0" applyNumberFormat="1" applyFill="1" applyAlignment="1">
      <alignment vertical="top" wrapText="1"/>
    </xf>
    <xf numFmtId="49" fontId="0" fillId="6" borderId="6" xfId="0" applyNumberFormat="1" applyFill="1" applyBorder="1" applyAlignment="1">
      <alignment vertical="top" wrapText="1"/>
    </xf>
    <xf numFmtId="49" fontId="0" fillId="6" borderId="7" xfId="0" applyNumberFormat="1" applyFill="1" applyBorder="1" applyAlignment="1">
      <alignment vertical="top" wrapText="1"/>
    </xf>
    <xf numFmtId="49" fontId="0" fillId="6" borderId="14" xfId="0" applyNumberFormat="1" applyFill="1" applyBorder="1" applyAlignment="1">
      <alignment vertical="top" wrapText="1"/>
    </xf>
    <xf numFmtId="49" fontId="0" fillId="6" borderId="8" xfId="0" applyNumberFormat="1" applyFill="1" applyBorder="1" applyAlignment="1">
      <alignment vertical="top" wrapText="1"/>
    </xf>
  </cellXfs>
  <cellStyles count="11">
    <cellStyle name="20% - Accent1" xfId="3" builtinId="30"/>
    <cellStyle name="20% - Accent3" xfId="4" builtinId="38"/>
    <cellStyle name="Bad" xfId="6" builtinId="27"/>
    <cellStyle name="Comma" xfId="5" builtinId="3"/>
    <cellStyle name="Comma 2" xfId="7" xr:uid="{686864AE-8768-462B-A910-45775CB80FDB}"/>
    <cellStyle name="Comma 3" xfId="8" xr:uid="{20E672D1-7687-46A5-A1DE-C529302CD6EF}"/>
    <cellStyle name="Heading 2" xfId="1" builtinId="17"/>
    <cellStyle name="Heading 4" xfId="2" builtinId="19"/>
    <cellStyle name="Hyperlink" xfId="10" builtinId="8"/>
    <cellStyle name="Normal" xfId="0" builtinId="0"/>
    <cellStyle name="Percent" xfId="9" builtinId="5"/>
  </cellStyles>
  <dxfs count="8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0F0F0"/>
      <color rgb="FFBF41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56"/>
  <sheetViews>
    <sheetView showGridLines="0" topLeftCell="A29" workbookViewId="0">
      <selection activeCell="E48" sqref="E48"/>
    </sheetView>
  </sheetViews>
  <sheetFormatPr defaultColWidth="9" defaultRowHeight="14.25"/>
  <cols>
    <col min="1" max="1" width="6.25" style="8" customWidth="1"/>
    <col min="2" max="8" width="16.5" customWidth="1"/>
    <col min="9" max="9" width="2.875" customWidth="1"/>
    <col min="10" max="10" width="6.25" customWidth="1"/>
    <col min="11" max="11" width="9" customWidth="1"/>
  </cols>
  <sheetData>
    <row r="1" spans="1:9">
      <c r="A1" s="8">
        <f>IF(ri.actuary_view="No",0,1)</f>
        <v>1</v>
      </c>
    </row>
    <row r="2" spans="1:9" ht="26.25">
      <c r="B2" s="13" t="s">
        <v>9</v>
      </c>
      <c r="C2" s="5"/>
    </row>
    <row r="3" spans="1:9" ht="15">
      <c r="A3" s="8" t="s">
        <v>7</v>
      </c>
      <c r="E3" s="9" t="s">
        <v>6</v>
      </c>
      <c r="F3" s="316" t="s">
        <v>863</v>
      </c>
      <c r="G3" s="3"/>
      <c r="H3" s="4"/>
      <c r="I3" s="10"/>
    </row>
    <row r="5" spans="1:9" ht="17.25" thickBot="1">
      <c r="A5" s="8" t="s">
        <v>7</v>
      </c>
      <c r="B5" s="5" t="s">
        <v>22</v>
      </c>
      <c r="C5" s="6"/>
      <c r="D5" s="6"/>
      <c r="E5" s="6"/>
      <c r="F5" s="6"/>
      <c r="G5" s="6"/>
      <c r="H5" s="6"/>
      <c r="I5" s="6"/>
    </row>
    <row r="6" spans="1:9">
      <c r="A6" s="8" t="s">
        <v>7</v>
      </c>
      <c r="B6" s="7"/>
      <c r="C6" s="7"/>
      <c r="D6" s="7"/>
      <c r="E6" s="7"/>
      <c r="F6" s="7"/>
      <c r="G6" s="7"/>
      <c r="H6" s="7"/>
      <c r="I6" s="7"/>
    </row>
    <row r="8" spans="1:9" ht="15">
      <c r="B8" s="167"/>
      <c r="C8" s="168" t="s">
        <v>1</v>
      </c>
      <c r="D8" s="169" t="s">
        <v>796</v>
      </c>
      <c r="E8" s="167"/>
      <c r="F8" s="168" t="s">
        <v>2</v>
      </c>
      <c r="G8" s="169" t="s">
        <v>797</v>
      </c>
      <c r="H8" s="167"/>
    </row>
    <row r="9" spans="1:9">
      <c r="B9" s="167"/>
      <c r="C9" s="167"/>
      <c r="D9" s="312"/>
      <c r="E9" s="167"/>
      <c r="F9" s="167"/>
      <c r="G9" s="312"/>
      <c r="H9" s="167"/>
    </row>
    <row r="10" spans="1:9" ht="15">
      <c r="B10" s="167"/>
      <c r="C10" s="170" t="s">
        <v>10</v>
      </c>
      <c r="D10" s="169" t="s">
        <v>798</v>
      </c>
      <c r="E10" s="167"/>
      <c r="F10" s="168" t="s">
        <v>54</v>
      </c>
      <c r="G10" s="169" t="s">
        <v>802</v>
      </c>
      <c r="H10" s="167"/>
    </row>
    <row r="11" spans="1:9">
      <c r="B11" s="167"/>
      <c r="C11" s="167"/>
      <c r="D11" s="312"/>
      <c r="E11" s="167"/>
      <c r="F11" s="167"/>
      <c r="G11" s="312"/>
      <c r="H11" s="167"/>
    </row>
    <row r="12" spans="1:9" ht="15">
      <c r="B12" s="167"/>
      <c r="C12" s="168" t="s">
        <v>0</v>
      </c>
      <c r="D12" s="169" t="s">
        <v>799</v>
      </c>
      <c r="E12" s="167"/>
      <c r="F12" s="168" t="s">
        <v>15</v>
      </c>
      <c r="G12" s="169" t="s">
        <v>803</v>
      </c>
      <c r="H12" s="167"/>
    </row>
    <row r="13" spans="1:9" ht="15">
      <c r="B13" s="167"/>
      <c r="C13" s="168"/>
      <c r="D13" s="172"/>
      <c r="E13" s="167"/>
      <c r="F13" s="168"/>
      <c r="G13" s="172"/>
      <c r="H13" s="167"/>
    </row>
    <row r="14" spans="1:9" ht="15">
      <c r="B14" s="167"/>
      <c r="C14" s="168" t="s">
        <v>56</v>
      </c>
      <c r="D14" s="169" t="s">
        <v>800</v>
      </c>
      <c r="E14" s="173"/>
      <c r="F14" s="168" t="s">
        <v>57</v>
      </c>
      <c r="G14" s="169" t="s">
        <v>804</v>
      </c>
      <c r="H14" s="167"/>
    </row>
    <row r="15" spans="1:9">
      <c r="B15" s="167"/>
      <c r="C15" s="167"/>
      <c r="D15" s="167"/>
      <c r="E15" s="167"/>
      <c r="F15" s="167"/>
      <c r="G15" s="167"/>
      <c r="H15" s="167"/>
    </row>
    <row r="16" spans="1:9" ht="15">
      <c r="A16" s="8" t="s">
        <v>7</v>
      </c>
      <c r="B16" s="167"/>
      <c r="C16" s="168" t="s">
        <v>11</v>
      </c>
      <c r="D16" s="174" t="s">
        <v>801</v>
      </c>
      <c r="E16" s="175"/>
      <c r="F16" s="175"/>
      <c r="G16" s="176"/>
      <c r="H16" s="167"/>
    </row>
    <row r="17" spans="1:9">
      <c r="A17" s="8" t="s">
        <v>7</v>
      </c>
      <c r="F17" s="12"/>
    </row>
    <row r="18" spans="1:9">
      <c r="A18" s="8" t="s">
        <v>7</v>
      </c>
    </row>
    <row r="19" spans="1:9">
      <c r="A19" s="8" t="s">
        <v>7</v>
      </c>
      <c r="F19" s="12"/>
    </row>
    <row r="20" spans="1:9">
      <c r="A20" s="8" t="s">
        <v>7</v>
      </c>
      <c r="H20" s="12"/>
    </row>
    <row r="21" spans="1:9" ht="17.25" thickBot="1">
      <c r="B21" s="5" t="s">
        <v>18</v>
      </c>
      <c r="C21" s="6"/>
      <c r="D21" s="6"/>
      <c r="E21" s="6"/>
      <c r="F21" s="6"/>
      <c r="G21" s="6"/>
      <c r="H21" s="6"/>
      <c r="I21" s="6"/>
    </row>
    <row r="22" spans="1:9">
      <c r="B22" s="7"/>
      <c r="C22" s="7"/>
      <c r="D22" s="7"/>
      <c r="E22" s="7"/>
      <c r="F22" s="7"/>
      <c r="G22" s="7"/>
      <c r="H22" s="7"/>
      <c r="I22" s="7"/>
    </row>
    <row r="24" spans="1:9" ht="15">
      <c r="B24" s="9" t="s">
        <v>58</v>
      </c>
      <c r="C24" s="361" t="s">
        <v>805</v>
      </c>
      <c r="D24" s="362"/>
      <c r="E24" s="362"/>
      <c r="F24" s="362"/>
      <c r="G24" s="363"/>
    </row>
    <row r="26" spans="1:9" ht="15">
      <c r="B26" s="9" t="s">
        <v>8</v>
      </c>
      <c r="C26" s="1" t="s">
        <v>806</v>
      </c>
      <c r="D26" s="9" t="s">
        <v>13</v>
      </c>
      <c r="E26" s="1" t="s">
        <v>807</v>
      </c>
      <c r="F26" s="9" t="s">
        <v>12</v>
      </c>
      <c r="G26" s="171" t="s">
        <v>808</v>
      </c>
    </row>
    <row r="29" spans="1:9">
      <c r="H29" s="12"/>
    </row>
    <row r="30" spans="1:9">
      <c r="H30" s="12"/>
    </row>
    <row r="31" spans="1:9" ht="17.25" thickBot="1">
      <c r="B31" s="5" t="s">
        <v>19</v>
      </c>
      <c r="C31" s="6"/>
      <c r="D31" s="6"/>
      <c r="E31" s="6"/>
      <c r="F31" s="6"/>
      <c r="G31" s="6"/>
      <c r="H31" s="6"/>
      <c r="I31" s="6"/>
    </row>
    <row r="32" spans="1:9">
      <c r="B32" s="7"/>
      <c r="C32" s="7"/>
      <c r="D32" s="7"/>
      <c r="E32" s="7"/>
      <c r="F32" s="7"/>
      <c r="G32" s="7"/>
      <c r="H32" s="7"/>
      <c r="I32" s="7"/>
    </row>
    <row r="34" spans="2:9" ht="15">
      <c r="C34" s="11" t="s">
        <v>20</v>
      </c>
      <c r="D34" s="171" t="s">
        <v>810</v>
      </c>
      <c r="F34" s="9" t="s">
        <v>21</v>
      </c>
      <c r="G34" s="171" t="s">
        <v>809</v>
      </c>
    </row>
    <row r="35" spans="2:9">
      <c r="H35" s="12"/>
    </row>
    <row r="36" spans="2:9">
      <c r="H36" s="12"/>
    </row>
    <row r="37" spans="2:9">
      <c r="H37" s="12"/>
    </row>
    <row r="38" spans="2:9">
      <c r="H38" s="12"/>
    </row>
    <row r="39" spans="2:9" ht="17.25" thickBot="1">
      <c r="B39" s="5" t="s">
        <v>59</v>
      </c>
      <c r="C39" s="6"/>
      <c r="D39" s="6"/>
      <c r="E39" s="6"/>
      <c r="F39" s="6"/>
      <c r="G39" s="6"/>
      <c r="H39" s="6"/>
      <c r="I39" s="6"/>
    </row>
    <row r="40" spans="2:9">
      <c r="B40" s="7"/>
      <c r="C40" s="7"/>
      <c r="D40" s="7"/>
      <c r="E40" s="7"/>
      <c r="F40" s="7"/>
      <c r="G40" s="7"/>
      <c r="H40" s="7"/>
      <c r="I40" s="7"/>
    </row>
    <row r="42" spans="2:9" ht="15">
      <c r="D42" s="11" t="s">
        <v>60</v>
      </c>
      <c r="E42" s="171" t="s">
        <v>811</v>
      </c>
    </row>
    <row r="43" spans="2:9">
      <c r="D43" s="22"/>
    </row>
    <row r="44" spans="2:9" ht="15">
      <c r="B44" s="96"/>
      <c r="C44" s="96"/>
      <c r="D44" s="107" t="s">
        <v>1043</v>
      </c>
      <c r="E44" s="177" t="s">
        <v>1044</v>
      </c>
      <c r="F44" s="96"/>
      <c r="G44" s="96"/>
      <c r="H44" s="96"/>
      <c r="I44" s="96"/>
    </row>
    <row r="45" spans="2:9">
      <c r="B45" s="96"/>
      <c r="C45" s="96"/>
      <c r="D45" s="108"/>
      <c r="E45" s="96"/>
      <c r="F45" s="96"/>
      <c r="G45" s="96"/>
      <c r="H45" s="96"/>
      <c r="I45" s="96"/>
    </row>
    <row r="46" spans="2:9" ht="15">
      <c r="B46" s="96"/>
      <c r="C46" s="96"/>
      <c r="D46" s="107" t="s">
        <v>61</v>
      </c>
      <c r="E46" s="177" t="s">
        <v>812</v>
      </c>
      <c r="F46" s="96"/>
      <c r="G46" s="96"/>
      <c r="H46" s="96"/>
      <c r="I46" s="96"/>
    </row>
    <row r="47" spans="2:9">
      <c r="B47" s="96"/>
      <c r="C47" s="96"/>
      <c r="D47" s="108"/>
      <c r="E47" s="96"/>
      <c r="F47" s="96"/>
      <c r="G47" s="96"/>
      <c r="H47" s="96"/>
      <c r="I47" s="96"/>
    </row>
    <row r="48" spans="2:9" ht="15">
      <c r="B48" s="96"/>
      <c r="C48" s="96"/>
      <c r="D48" s="107" t="s">
        <v>62</v>
      </c>
      <c r="E48" s="177" t="s">
        <v>813</v>
      </c>
      <c r="F48" s="96"/>
      <c r="G48" s="96"/>
      <c r="H48" s="109"/>
      <c r="I48" s="96"/>
    </row>
    <row r="49" spans="1:9">
      <c r="B49" s="96"/>
      <c r="C49" s="96"/>
      <c r="D49" s="108"/>
      <c r="E49" s="96"/>
      <c r="F49" s="96"/>
      <c r="G49" s="96"/>
      <c r="H49" s="96"/>
      <c r="I49" s="96"/>
    </row>
    <row r="50" spans="1:9" ht="15">
      <c r="A50" s="8" t="s">
        <v>7</v>
      </c>
      <c r="B50" s="96"/>
      <c r="C50" s="96"/>
      <c r="D50" s="107" t="s">
        <v>63</v>
      </c>
      <c r="E50" s="177" t="s">
        <v>814</v>
      </c>
      <c r="F50" s="96"/>
      <c r="G50" s="96"/>
      <c r="H50" s="96"/>
      <c r="I50" s="96"/>
    </row>
    <row r="51" spans="1:9">
      <c r="B51" s="96"/>
      <c r="C51" s="96"/>
      <c r="D51" s="108"/>
      <c r="E51" s="96"/>
      <c r="F51" s="96"/>
      <c r="G51" s="96"/>
      <c r="H51" s="96"/>
      <c r="I51" s="96"/>
    </row>
    <row r="52" spans="1:9" ht="15">
      <c r="B52" s="96"/>
      <c r="C52" s="96"/>
      <c r="D52" s="107" t="s">
        <v>1045</v>
      </c>
      <c r="E52" s="177" t="s">
        <v>1047</v>
      </c>
      <c r="F52" s="96"/>
      <c r="G52" s="96"/>
      <c r="H52" s="96"/>
      <c r="I52" s="96"/>
    </row>
    <row r="53" spans="1:9">
      <c r="B53" s="96"/>
      <c r="C53" s="96"/>
      <c r="D53" s="108"/>
      <c r="E53" s="96"/>
      <c r="F53" s="96"/>
      <c r="G53" s="96"/>
      <c r="H53" s="96"/>
      <c r="I53" s="96"/>
    </row>
    <row r="54" spans="1:9" ht="15">
      <c r="B54" s="96"/>
      <c r="C54" s="96"/>
      <c r="D54" s="107" t="s">
        <v>1046</v>
      </c>
      <c r="E54" s="177" t="s">
        <v>1048</v>
      </c>
      <c r="F54" s="96"/>
      <c r="G54" s="96"/>
      <c r="H54" s="96"/>
      <c r="I54" s="96"/>
    </row>
    <row r="55" spans="1:9">
      <c r="A55" s="8" t="s">
        <v>7</v>
      </c>
    </row>
    <row r="56" spans="1:9">
      <c r="A56" s="8" t="s">
        <v>7</v>
      </c>
    </row>
  </sheetData>
  <mergeCells count="1">
    <mergeCell ref="C24:G24"/>
  </mergeCells>
  <conditionalFormatting sqref="A44:XFD54">
    <cfRule type="expression" dxfId="5" priority="4">
      <formula>$A$1=0</formula>
    </cfRule>
  </conditionalFormatting>
  <pageMargins left="0.25" right="0.25" top="0.75" bottom="0.75" header="0.3" footer="0.3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73AA1-5373-451A-B4F7-FA7580E3E107}">
  <sheetPr codeName="Sheet3">
    <pageSetUpPr fitToPage="1"/>
  </sheetPr>
  <dimension ref="A1:U172"/>
  <sheetViews>
    <sheetView showGridLines="0" tabSelected="1" zoomScale="85" zoomScaleNormal="85" workbookViewId="0"/>
  </sheetViews>
  <sheetFormatPr defaultColWidth="9" defaultRowHeight="14.25" outlineLevelRow="1"/>
  <cols>
    <col min="1" max="1" width="6.25" style="8" customWidth="1"/>
    <col min="2" max="2" width="7.5" customWidth="1"/>
    <col min="3" max="3" width="23.625" customWidth="1"/>
    <col min="4" max="4" width="9.25" customWidth="1"/>
    <col min="5" max="5" width="10.625" customWidth="1"/>
    <col min="6" max="6" width="9.25" customWidth="1"/>
    <col min="7" max="7" width="10.625" customWidth="1"/>
    <col min="8" max="8" width="9.25" customWidth="1"/>
    <col min="9" max="11" width="10.25" customWidth="1"/>
    <col min="12" max="12" width="10.75" customWidth="1"/>
    <col min="13" max="15" width="9.25" customWidth="1"/>
    <col min="16" max="16" width="10.625" customWidth="1"/>
    <col min="17" max="17" width="9" customWidth="1"/>
  </cols>
  <sheetData>
    <row r="1" spans="1:21">
      <c r="A1" s="8">
        <f>RiskInformation!A1</f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 ht="26.25">
      <c r="B3" s="13" t="s">
        <v>23</v>
      </c>
      <c r="C3" s="13"/>
    </row>
    <row r="4" spans="1:21">
      <c r="A4" s="8" t="s">
        <v>7</v>
      </c>
    </row>
    <row r="6" spans="1:21" ht="17.25" thickBot="1">
      <c r="A6" s="8" t="s">
        <v>7</v>
      </c>
      <c r="B6" s="5" t="s">
        <v>64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21">
      <c r="A7" s="8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9" spans="1:21" ht="15.75">
      <c r="C9" s="70" t="s">
        <v>65</v>
      </c>
    </row>
    <row r="10" spans="1:21">
      <c r="B10" s="8"/>
    </row>
    <row r="11" spans="1:21" ht="15">
      <c r="C11" s="9" t="s">
        <v>66</v>
      </c>
      <c r="D11" s="361" t="s">
        <v>815</v>
      </c>
      <c r="E11" s="363"/>
    </row>
    <row r="12" spans="1:21" ht="15">
      <c r="D12" s="57"/>
      <c r="E12" s="57"/>
    </row>
    <row r="13" spans="1:21" ht="15">
      <c r="C13" s="9" t="s">
        <v>16</v>
      </c>
      <c r="D13" s="367" t="s">
        <v>816</v>
      </c>
      <c r="E13" s="368"/>
      <c r="J13" s="9" t="s">
        <v>67</v>
      </c>
      <c r="K13" s="367" t="s">
        <v>819</v>
      </c>
      <c r="L13" s="368"/>
    </row>
    <row r="14" spans="1:21" ht="15">
      <c r="D14" s="57"/>
      <c r="E14" s="57"/>
    </row>
    <row r="15" spans="1:21" ht="15">
      <c r="C15" s="9" t="s">
        <v>68</v>
      </c>
      <c r="D15" s="369" t="s">
        <v>817</v>
      </c>
      <c r="E15" s="370"/>
      <c r="J15" s="9" t="s">
        <v>17</v>
      </c>
      <c r="K15" s="367" t="s">
        <v>820</v>
      </c>
      <c r="L15" s="368"/>
    </row>
    <row r="16" spans="1:21" ht="15">
      <c r="D16" s="57"/>
      <c r="E16" s="57"/>
    </row>
    <row r="17" spans="3:16" ht="15">
      <c r="C17" s="9" t="s">
        <v>39</v>
      </c>
      <c r="D17" s="367" t="s">
        <v>818</v>
      </c>
      <c r="E17" s="368"/>
      <c r="J17" s="9" t="s">
        <v>69</v>
      </c>
      <c r="K17" s="367" t="s">
        <v>821</v>
      </c>
      <c r="L17" s="368"/>
    </row>
    <row r="20" spans="3:16" ht="15.75">
      <c r="C20" s="70" t="s">
        <v>92</v>
      </c>
    </row>
    <row r="21" spans="3:16" ht="16.5">
      <c r="D21" s="19"/>
    </row>
    <row r="22" spans="3:16" ht="45">
      <c r="C22" s="56"/>
      <c r="D22" s="59" t="s">
        <v>71</v>
      </c>
      <c r="E22" s="59" t="s">
        <v>38</v>
      </c>
      <c r="F22" s="59" t="s">
        <v>72</v>
      </c>
      <c r="G22" s="59" t="s">
        <v>73</v>
      </c>
      <c r="H22" s="59" t="s">
        <v>74</v>
      </c>
      <c r="I22" s="59" t="s">
        <v>27</v>
      </c>
      <c r="J22" s="59" t="s">
        <v>84</v>
      </c>
      <c r="K22" s="59" t="s">
        <v>85</v>
      </c>
      <c r="L22" s="60" t="s">
        <v>86</v>
      </c>
      <c r="N22" s="351" t="s">
        <v>87</v>
      </c>
      <c r="O22" s="101" t="s">
        <v>88</v>
      </c>
      <c r="P22" s="102" t="s">
        <v>89</v>
      </c>
    </row>
    <row r="23" spans="3:16" ht="15">
      <c r="C23" s="61" t="s">
        <v>70</v>
      </c>
      <c r="D23" s="167" t="s">
        <v>1041</v>
      </c>
      <c r="E23" s="39"/>
      <c r="F23" s="167"/>
      <c r="G23" s="139"/>
      <c r="H23" s="139"/>
      <c r="I23" s="139"/>
      <c r="J23" s="139"/>
      <c r="K23" s="139"/>
      <c r="L23" s="52"/>
      <c r="N23" s="352"/>
      <c r="O23" s="103"/>
      <c r="P23" s="104"/>
    </row>
    <row r="24" spans="3:16" ht="15">
      <c r="C24" s="61" t="s">
        <v>75</v>
      </c>
      <c r="D24" s="167"/>
      <c r="E24" s="39"/>
      <c r="F24" s="167"/>
      <c r="G24" s="139"/>
      <c r="H24" s="139"/>
      <c r="I24" s="139"/>
      <c r="J24" s="139"/>
      <c r="K24" s="139"/>
      <c r="L24" s="52"/>
      <c r="N24" s="352"/>
      <c r="O24" s="103"/>
      <c r="P24" s="104"/>
    </row>
    <row r="25" spans="3:16" ht="15">
      <c r="C25" s="61" t="s">
        <v>76</v>
      </c>
      <c r="D25" s="167"/>
      <c r="E25" s="39"/>
      <c r="F25" s="167"/>
      <c r="G25" s="139"/>
      <c r="H25" s="139"/>
      <c r="I25" s="139"/>
      <c r="J25" s="139"/>
      <c r="K25" s="139"/>
      <c r="L25" s="52"/>
      <c r="N25" s="352"/>
      <c r="O25" s="103"/>
      <c r="P25" s="104"/>
    </row>
    <row r="26" spans="3:16" ht="15">
      <c r="C26" s="61" t="s">
        <v>77</v>
      </c>
      <c r="D26" s="167"/>
      <c r="E26" s="39"/>
      <c r="F26" s="167"/>
      <c r="G26" s="139"/>
      <c r="H26" s="139"/>
      <c r="I26" s="139"/>
      <c r="J26" s="139"/>
      <c r="K26" s="139"/>
      <c r="L26" s="52"/>
      <c r="N26" s="352"/>
      <c r="O26" s="103"/>
      <c r="P26" s="104"/>
    </row>
    <row r="27" spans="3:16" ht="15">
      <c r="C27" s="61" t="s">
        <v>78</v>
      </c>
      <c r="D27" s="167"/>
      <c r="E27" s="39"/>
      <c r="F27" s="167"/>
      <c r="G27" s="139"/>
      <c r="H27" s="139"/>
      <c r="I27" s="139"/>
      <c r="J27" s="139"/>
      <c r="K27" s="139"/>
      <c r="L27" s="52"/>
      <c r="N27" s="352"/>
      <c r="O27" s="103"/>
      <c r="P27" s="104"/>
    </row>
    <row r="28" spans="3:16" ht="15">
      <c r="C28" s="61" t="s">
        <v>79</v>
      </c>
      <c r="D28" s="167"/>
      <c r="E28" s="39"/>
      <c r="F28" s="167"/>
      <c r="G28" s="139"/>
      <c r="H28" s="139"/>
      <c r="I28" s="139"/>
      <c r="J28" s="139"/>
      <c r="K28" s="139"/>
      <c r="L28" s="52"/>
      <c r="N28" s="352"/>
      <c r="O28" s="103"/>
      <c r="P28" s="104"/>
    </row>
    <row r="29" spans="3:16" ht="15">
      <c r="C29" s="61" t="s">
        <v>80</v>
      </c>
      <c r="D29" s="167"/>
      <c r="E29" s="39"/>
      <c r="F29" s="167"/>
      <c r="G29" s="139"/>
      <c r="H29" s="139"/>
      <c r="I29" s="139"/>
      <c r="J29" s="139"/>
      <c r="K29" s="139"/>
      <c r="L29" s="52"/>
      <c r="N29" s="352"/>
      <c r="O29" s="103"/>
      <c r="P29" s="104"/>
    </row>
    <row r="30" spans="3:16" ht="15">
      <c r="C30" s="61" t="s">
        <v>81</v>
      </c>
      <c r="D30" s="167"/>
      <c r="E30" s="39"/>
      <c r="F30" s="167"/>
      <c r="G30" s="139"/>
      <c r="H30" s="139"/>
      <c r="I30" s="139"/>
      <c r="J30" s="139"/>
      <c r="K30" s="139"/>
      <c r="L30" s="52"/>
      <c r="N30" s="352"/>
      <c r="O30" s="103"/>
      <c r="P30" s="104"/>
    </row>
    <row r="31" spans="3:16" ht="15">
      <c r="C31" s="61" t="s">
        <v>82</v>
      </c>
      <c r="D31" s="167"/>
      <c r="E31" s="39"/>
      <c r="F31" s="167"/>
      <c r="G31" s="139"/>
      <c r="H31" s="139"/>
      <c r="I31" s="139"/>
      <c r="J31" s="139"/>
      <c r="K31" s="139"/>
      <c r="L31" s="52"/>
      <c r="N31" s="352"/>
      <c r="O31" s="103"/>
      <c r="P31" s="104"/>
    </row>
    <row r="32" spans="3:16" ht="15">
      <c r="C32" s="61" t="s">
        <v>83</v>
      </c>
      <c r="D32" s="167"/>
      <c r="E32" s="39"/>
      <c r="F32" s="167"/>
      <c r="G32" s="139"/>
      <c r="H32" s="139"/>
      <c r="I32" s="139"/>
      <c r="J32" s="139"/>
      <c r="K32" s="139"/>
      <c r="L32" s="52"/>
      <c r="N32" s="352"/>
      <c r="O32" s="103"/>
      <c r="P32" s="104"/>
    </row>
    <row r="33" spans="2:16" ht="15">
      <c r="C33" s="61" t="s">
        <v>90</v>
      </c>
      <c r="D33" s="167"/>
      <c r="E33" s="39"/>
      <c r="F33" s="167"/>
      <c r="G33" s="139"/>
      <c r="H33" s="139"/>
      <c r="I33" s="139"/>
      <c r="J33" s="139"/>
      <c r="K33" s="139"/>
      <c r="L33" s="52"/>
      <c r="N33" s="352"/>
      <c r="O33" s="103"/>
      <c r="P33" s="104"/>
    </row>
    <row r="34" spans="2:16" ht="15">
      <c r="C34" s="62" t="s">
        <v>91</v>
      </c>
      <c r="D34" s="178"/>
      <c r="E34" s="53"/>
      <c r="F34" s="178"/>
      <c r="G34" s="51"/>
      <c r="H34" s="51"/>
      <c r="I34" s="51"/>
      <c r="J34" s="51"/>
      <c r="K34" s="51"/>
      <c r="L34" s="42"/>
      <c r="N34" s="134"/>
      <c r="O34" s="105"/>
      <c r="P34" s="106"/>
    </row>
    <row r="37" spans="2:16" ht="17.25" thickBot="1">
      <c r="B37" s="5" t="s">
        <v>93</v>
      </c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2:16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40" spans="2:16" ht="15.75">
      <c r="C40" s="70" t="s">
        <v>101</v>
      </c>
    </row>
    <row r="41" spans="2:16" ht="15">
      <c r="C41" s="9" t="s">
        <v>102</v>
      </c>
      <c r="D41" s="180" t="s">
        <v>822</v>
      </c>
      <c r="E41" s="181"/>
      <c r="H41" s="9" t="s">
        <v>103</v>
      </c>
      <c r="I41" s="180" t="s">
        <v>826</v>
      </c>
      <c r="J41" s="181"/>
      <c r="L41" s="9" t="s">
        <v>104</v>
      </c>
      <c r="M41" s="180" t="s">
        <v>830</v>
      </c>
      <c r="N41" s="181"/>
    </row>
    <row r="44" spans="2:16" ht="15.75">
      <c r="C44" s="70" t="s">
        <v>37</v>
      </c>
    </row>
    <row r="45" spans="2:16" ht="15">
      <c r="C45" s="9" t="s">
        <v>94</v>
      </c>
      <c r="D45" s="180" t="s">
        <v>823</v>
      </c>
      <c r="E45" s="181"/>
      <c r="H45" s="9" t="s">
        <v>100</v>
      </c>
      <c r="I45" s="180" t="s">
        <v>827</v>
      </c>
      <c r="J45" s="181"/>
      <c r="L45" s="9" t="s">
        <v>109</v>
      </c>
      <c r="M45" s="180" t="s">
        <v>1053</v>
      </c>
      <c r="N45" s="181"/>
    </row>
    <row r="48" spans="2:16" ht="15.75">
      <c r="C48" s="70" t="s">
        <v>105</v>
      </c>
    </row>
    <row r="49" spans="1:16" ht="15">
      <c r="C49" s="9" t="s">
        <v>95</v>
      </c>
      <c r="D49" s="180" t="s">
        <v>824</v>
      </c>
      <c r="E49" s="181"/>
      <c r="H49" s="9" t="s">
        <v>97</v>
      </c>
      <c r="I49" s="180" t="s">
        <v>828</v>
      </c>
      <c r="J49" s="181"/>
      <c r="L49" s="9" t="s">
        <v>99</v>
      </c>
      <c r="M49" s="182" t="s">
        <v>831</v>
      </c>
      <c r="N49" s="183"/>
    </row>
    <row r="51" spans="1:16" ht="15">
      <c r="C51" s="9" t="s">
        <v>96</v>
      </c>
      <c r="D51" s="180" t="s">
        <v>825</v>
      </c>
      <c r="E51" s="181"/>
      <c r="H51" s="168" t="s">
        <v>98</v>
      </c>
      <c r="I51" s="313" t="s">
        <v>829</v>
      </c>
      <c r="J51" s="196"/>
      <c r="L51" s="9" t="s">
        <v>99</v>
      </c>
      <c r="M51" s="182" t="s">
        <v>832</v>
      </c>
      <c r="N51" s="183"/>
    </row>
    <row r="54" spans="1:16" ht="17.25" outlineLevel="1" thickBot="1">
      <c r="B54" s="5" t="s">
        <v>120</v>
      </c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 outlineLevel="1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outlineLevel="1"/>
    <row r="57" spans="1:16" ht="15" outlineLevel="1">
      <c r="C57" s="9" t="s">
        <v>121</v>
      </c>
      <c r="D57" s="364" t="s">
        <v>833</v>
      </c>
      <c r="E57" s="365"/>
      <c r="F57" s="365"/>
      <c r="G57" s="366"/>
      <c r="J57" s="9" t="s">
        <v>124</v>
      </c>
      <c r="K57" s="364" t="s">
        <v>836</v>
      </c>
      <c r="L57" s="365"/>
      <c r="M57" s="365"/>
      <c r="N57" s="366"/>
    </row>
    <row r="58" spans="1:16" ht="15" outlineLevel="1">
      <c r="C58" s="9"/>
      <c r="D58" s="64"/>
      <c r="J58" s="9"/>
      <c r="K58" s="64"/>
    </row>
    <row r="59" spans="1:16" ht="15" outlineLevel="1">
      <c r="C59" s="9" t="s">
        <v>122</v>
      </c>
      <c r="D59" s="364" t="s">
        <v>834</v>
      </c>
      <c r="E59" s="365"/>
      <c r="F59" s="365"/>
      <c r="G59" s="366"/>
      <c r="J59" s="9" t="s">
        <v>125</v>
      </c>
      <c r="K59" s="364" t="s">
        <v>837</v>
      </c>
      <c r="L59" s="365"/>
      <c r="M59" s="365"/>
      <c r="N59" s="366"/>
    </row>
    <row r="60" spans="1:16" ht="15" outlineLevel="1">
      <c r="C60" s="9"/>
      <c r="D60" s="64"/>
      <c r="J60" s="9"/>
      <c r="K60" s="64"/>
    </row>
    <row r="61" spans="1:16" s="57" customFormat="1" ht="15" outlineLevel="1">
      <c r="A61" s="65"/>
      <c r="C61" s="9" t="s">
        <v>123</v>
      </c>
      <c r="D61" s="364" t="s">
        <v>835</v>
      </c>
      <c r="E61" s="365"/>
      <c r="F61" s="365"/>
      <c r="G61" s="366"/>
      <c r="H61" t="s">
        <v>905</v>
      </c>
      <c r="I61"/>
      <c r="J61" s="9" t="s">
        <v>126</v>
      </c>
      <c r="K61" s="364" t="s">
        <v>838</v>
      </c>
      <c r="L61" s="365"/>
      <c r="M61" s="365"/>
      <c r="N61" s="366"/>
    </row>
    <row r="62" spans="1:16" outlineLevel="1"/>
    <row r="63" spans="1:16" ht="15" outlineLevel="1">
      <c r="C63" s="58"/>
    </row>
    <row r="64" spans="1:16" ht="17.25" thickBot="1">
      <c r="B64" s="5" t="s">
        <v>106</v>
      </c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spans="2:16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7" spans="2:16" ht="15">
      <c r="C67" s="9" t="s">
        <v>107</v>
      </c>
      <c r="D67" s="54" t="s">
        <v>839</v>
      </c>
      <c r="E67" s="72"/>
      <c r="H67" s="9" t="s">
        <v>108</v>
      </c>
      <c r="I67" s="54" t="s">
        <v>840</v>
      </c>
      <c r="J67" s="72"/>
      <c r="L67" s="9" t="s">
        <v>109</v>
      </c>
      <c r="M67" s="180" t="s">
        <v>841</v>
      </c>
      <c r="N67" s="181"/>
    </row>
    <row r="70" spans="2:16" ht="15.75">
      <c r="C70" s="70" t="s">
        <v>92</v>
      </c>
    </row>
    <row r="71" spans="2:16" ht="15.75">
      <c r="C71" s="70"/>
    </row>
    <row r="72" spans="2:16" ht="60">
      <c r="C72" s="67" t="s">
        <v>58</v>
      </c>
      <c r="D72" s="68" t="s">
        <v>14</v>
      </c>
      <c r="E72" s="68" t="s">
        <v>110</v>
      </c>
      <c r="F72" s="68" t="s">
        <v>111</v>
      </c>
      <c r="G72" s="68" t="s">
        <v>112</v>
      </c>
      <c r="H72" s="68" t="s">
        <v>113</v>
      </c>
      <c r="I72" s="68" t="s">
        <v>114</v>
      </c>
      <c r="J72" s="69" t="s">
        <v>115</v>
      </c>
      <c r="L72" s="98" t="s">
        <v>116</v>
      </c>
      <c r="M72" s="99" t="s">
        <v>117</v>
      </c>
      <c r="N72" s="99" t="s">
        <v>118</v>
      </c>
      <c r="O72" s="100" t="s">
        <v>119</v>
      </c>
    </row>
    <row r="73" spans="2:16">
      <c r="C73" s="184" t="s">
        <v>842</v>
      </c>
      <c r="D73" s="185"/>
      <c r="E73" s="185"/>
      <c r="F73" s="185"/>
      <c r="G73" s="185"/>
      <c r="H73" s="188"/>
      <c r="I73" s="185"/>
      <c r="J73" s="353"/>
      <c r="L73" s="190"/>
      <c r="M73" s="191"/>
      <c r="N73" s="191"/>
      <c r="O73" s="192"/>
    </row>
    <row r="74" spans="2:16">
      <c r="C74" s="186"/>
      <c r="D74" s="187"/>
      <c r="E74" s="187"/>
      <c r="F74" s="187"/>
      <c r="G74" s="187"/>
      <c r="H74" s="189"/>
      <c r="I74" s="187"/>
      <c r="J74" s="354"/>
      <c r="L74" s="193"/>
      <c r="M74" s="194"/>
      <c r="N74" s="194"/>
      <c r="O74" s="195"/>
    </row>
    <row r="75" spans="2:16">
      <c r="C75" s="186"/>
      <c r="D75" s="187"/>
      <c r="E75" s="187"/>
      <c r="F75" s="187"/>
      <c r="G75" s="187"/>
      <c r="H75" s="189"/>
      <c r="I75" s="187"/>
      <c r="J75" s="354"/>
      <c r="L75" s="193"/>
      <c r="M75" s="194"/>
      <c r="N75" s="194"/>
      <c r="O75" s="195"/>
    </row>
    <row r="76" spans="2:16">
      <c r="C76" s="186"/>
      <c r="D76" s="187"/>
      <c r="E76" s="187"/>
      <c r="F76" s="187"/>
      <c r="G76" s="187"/>
      <c r="H76" s="189"/>
      <c r="I76" s="187"/>
      <c r="J76" s="354"/>
      <c r="L76" s="193"/>
      <c r="M76" s="194"/>
      <c r="N76" s="194"/>
      <c r="O76" s="195"/>
    </row>
    <row r="77" spans="2:16">
      <c r="C77" s="186"/>
      <c r="D77" s="187"/>
      <c r="E77" s="187"/>
      <c r="F77" s="187"/>
      <c r="G77" s="187"/>
      <c r="H77" s="189"/>
      <c r="I77" s="187"/>
      <c r="J77" s="354"/>
      <c r="L77" s="193"/>
      <c r="M77" s="194"/>
      <c r="N77" s="194"/>
      <c r="O77" s="195"/>
    </row>
    <row r="78" spans="2:16">
      <c r="C78" s="186"/>
      <c r="D78" s="187"/>
      <c r="E78" s="187"/>
      <c r="F78" s="187"/>
      <c r="G78" s="187"/>
      <c r="H78" s="189"/>
      <c r="I78" s="187"/>
      <c r="J78" s="354"/>
      <c r="L78" s="193"/>
      <c r="M78" s="194"/>
      <c r="N78" s="194"/>
      <c r="O78" s="195"/>
    </row>
    <row r="79" spans="2:16">
      <c r="C79" s="186"/>
      <c r="D79" s="187"/>
      <c r="E79" s="187"/>
      <c r="F79" s="187"/>
      <c r="G79" s="187"/>
      <c r="H79" s="189"/>
      <c r="I79" s="187"/>
      <c r="J79" s="354"/>
      <c r="L79" s="193"/>
      <c r="M79" s="194"/>
      <c r="N79" s="194"/>
      <c r="O79" s="195"/>
    </row>
    <row r="80" spans="2:16">
      <c r="C80" s="186"/>
      <c r="D80" s="187"/>
      <c r="E80" s="187"/>
      <c r="F80" s="187"/>
      <c r="G80" s="187"/>
      <c r="H80" s="189"/>
      <c r="I80" s="187"/>
      <c r="J80" s="354"/>
      <c r="L80" s="193"/>
      <c r="M80" s="194"/>
      <c r="N80" s="194"/>
      <c r="O80" s="195"/>
    </row>
    <row r="81" spans="3:15">
      <c r="C81" s="186"/>
      <c r="D81" s="187"/>
      <c r="E81" s="187"/>
      <c r="F81" s="187"/>
      <c r="G81" s="187"/>
      <c r="H81" s="189"/>
      <c r="I81" s="187"/>
      <c r="J81" s="354"/>
      <c r="L81" s="193"/>
      <c r="M81" s="194"/>
      <c r="N81" s="194"/>
      <c r="O81" s="195"/>
    </row>
    <row r="82" spans="3:15">
      <c r="C82" s="186"/>
      <c r="D82" s="187"/>
      <c r="E82" s="187"/>
      <c r="F82" s="187"/>
      <c r="G82" s="187"/>
      <c r="H82" s="189"/>
      <c r="I82" s="187"/>
      <c r="J82" s="354"/>
      <c r="L82" s="193"/>
      <c r="M82" s="194"/>
      <c r="N82" s="194"/>
      <c r="O82" s="195"/>
    </row>
    <row r="83" spans="3:15">
      <c r="C83" s="186"/>
      <c r="D83" s="187"/>
      <c r="E83" s="187"/>
      <c r="F83" s="187"/>
      <c r="G83" s="187"/>
      <c r="H83" s="189"/>
      <c r="I83" s="187"/>
      <c r="J83" s="354"/>
      <c r="L83" s="193"/>
      <c r="M83" s="194"/>
      <c r="N83" s="194"/>
      <c r="O83" s="195"/>
    </row>
    <row r="84" spans="3:15">
      <c r="C84" s="186"/>
      <c r="D84" s="187"/>
      <c r="E84" s="187"/>
      <c r="F84" s="187"/>
      <c r="G84" s="187"/>
      <c r="H84" s="189"/>
      <c r="I84" s="187"/>
      <c r="J84" s="354"/>
      <c r="L84" s="193"/>
      <c r="M84" s="194"/>
      <c r="N84" s="194"/>
      <c r="O84" s="195"/>
    </row>
    <row r="85" spans="3:15">
      <c r="C85" s="186"/>
      <c r="D85" s="187"/>
      <c r="E85" s="187"/>
      <c r="F85" s="187"/>
      <c r="G85" s="187"/>
      <c r="H85" s="189"/>
      <c r="I85" s="187"/>
      <c r="J85" s="354"/>
      <c r="L85" s="193"/>
      <c r="M85" s="194"/>
      <c r="N85" s="194"/>
      <c r="O85" s="195"/>
    </row>
    <row r="86" spans="3:15">
      <c r="C86" s="186"/>
      <c r="D86" s="187"/>
      <c r="E86" s="187"/>
      <c r="F86" s="187"/>
      <c r="G86" s="187"/>
      <c r="H86" s="189"/>
      <c r="I86" s="187"/>
      <c r="J86" s="354"/>
      <c r="L86" s="193"/>
      <c r="M86" s="194"/>
      <c r="N86" s="194"/>
      <c r="O86" s="195"/>
    </row>
    <row r="87" spans="3:15">
      <c r="C87" s="186"/>
      <c r="D87" s="187"/>
      <c r="E87" s="187"/>
      <c r="F87" s="187"/>
      <c r="G87" s="187"/>
      <c r="H87" s="189"/>
      <c r="I87" s="187"/>
      <c r="J87" s="354"/>
      <c r="L87" s="193"/>
      <c r="M87" s="194"/>
      <c r="N87" s="194"/>
      <c r="O87" s="195"/>
    </row>
    <row r="88" spans="3:15">
      <c r="C88" s="186"/>
      <c r="D88" s="187"/>
      <c r="E88" s="187"/>
      <c r="F88" s="187"/>
      <c r="G88" s="187"/>
      <c r="H88" s="189"/>
      <c r="I88" s="187"/>
      <c r="J88" s="354"/>
      <c r="L88" s="193"/>
      <c r="M88" s="194"/>
      <c r="N88" s="194"/>
      <c r="O88" s="195"/>
    </row>
    <row r="89" spans="3:15">
      <c r="C89" s="186"/>
      <c r="D89" s="187"/>
      <c r="E89" s="187"/>
      <c r="F89" s="187"/>
      <c r="G89" s="187"/>
      <c r="H89" s="189"/>
      <c r="I89" s="187"/>
      <c r="J89" s="354"/>
      <c r="L89" s="193"/>
      <c r="M89" s="194"/>
      <c r="N89" s="194"/>
      <c r="O89" s="195"/>
    </row>
    <row r="90" spans="3:15">
      <c r="C90" s="186"/>
      <c r="D90" s="187"/>
      <c r="E90" s="187"/>
      <c r="F90" s="187"/>
      <c r="G90" s="187"/>
      <c r="H90" s="189"/>
      <c r="I90" s="187"/>
      <c r="J90" s="354"/>
      <c r="L90" s="193"/>
      <c r="M90" s="194"/>
      <c r="N90" s="194"/>
      <c r="O90" s="195"/>
    </row>
    <row r="91" spans="3:15">
      <c r="C91" s="186"/>
      <c r="D91" s="187"/>
      <c r="E91" s="187"/>
      <c r="F91" s="187"/>
      <c r="G91" s="187"/>
      <c r="H91" s="189"/>
      <c r="I91" s="187"/>
      <c r="J91" s="354"/>
      <c r="L91" s="193"/>
      <c r="M91" s="194"/>
      <c r="N91" s="194"/>
      <c r="O91" s="195"/>
    </row>
    <row r="92" spans="3:15">
      <c r="C92" s="186"/>
      <c r="D92" s="187"/>
      <c r="E92" s="187"/>
      <c r="F92" s="187"/>
      <c r="G92" s="187"/>
      <c r="H92" s="189"/>
      <c r="I92" s="187"/>
      <c r="J92" s="354"/>
      <c r="L92" s="193"/>
      <c r="M92" s="194"/>
      <c r="N92" s="194"/>
      <c r="O92" s="195"/>
    </row>
    <row r="93" spans="3:15">
      <c r="C93" s="186"/>
      <c r="D93" s="187"/>
      <c r="E93" s="187"/>
      <c r="F93" s="187"/>
      <c r="G93" s="187"/>
      <c r="H93" s="189"/>
      <c r="I93" s="187"/>
      <c r="J93" s="354"/>
      <c r="L93" s="193"/>
      <c r="M93" s="194"/>
      <c r="N93" s="194"/>
      <c r="O93" s="195"/>
    </row>
    <row r="94" spans="3:15">
      <c r="C94" s="186"/>
      <c r="D94" s="187"/>
      <c r="E94" s="187"/>
      <c r="F94" s="187"/>
      <c r="G94" s="187"/>
      <c r="H94" s="189"/>
      <c r="I94" s="187"/>
      <c r="J94" s="354"/>
      <c r="L94" s="193"/>
      <c r="M94" s="194"/>
      <c r="N94" s="194"/>
      <c r="O94" s="195"/>
    </row>
    <row r="95" spans="3:15">
      <c r="C95" s="186"/>
      <c r="D95" s="187"/>
      <c r="E95" s="187"/>
      <c r="F95" s="187"/>
      <c r="G95" s="187"/>
      <c r="H95" s="189"/>
      <c r="I95" s="187"/>
      <c r="J95" s="354"/>
      <c r="L95" s="193"/>
      <c r="M95" s="194"/>
      <c r="N95" s="194"/>
      <c r="O95" s="195"/>
    </row>
    <row r="96" spans="3:15">
      <c r="C96" s="186"/>
      <c r="D96" s="187"/>
      <c r="E96" s="187"/>
      <c r="F96" s="187"/>
      <c r="G96" s="187"/>
      <c r="H96" s="189"/>
      <c r="I96" s="187"/>
      <c r="J96" s="354"/>
      <c r="L96" s="193"/>
      <c r="M96" s="194"/>
      <c r="N96" s="194"/>
      <c r="O96" s="195"/>
    </row>
    <row r="97" spans="3:15">
      <c r="C97" s="186"/>
      <c r="D97" s="187"/>
      <c r="E97" s="187"/>
      <c r="F97" s="187"/>
      <c r="G97" s="187"/>
      <c r="H97" s="189"/>
      <c r="I97" s="187"/>
      <c r="J97" s="354"/>
      <c r="L97" s="193"/>
      <c r="M97" s="194"/>
      <c r="N97" s="194"/>
      <c r="O97" s="195"/>
    </row>
    <row r="98" spans="3:15">
      <c r="C98" s="186"/>
      <c r="D98" s="187"/>
      <c r="E98" s="187"/>
      <c r="F98" s="187"/>
      <c r="G98" s="187"/>
      <c r="H98" s="189"/>
      <c r="I98" s="187"/>
      <c r="J98" s="354"/>
      <c r="L98" s="193"/>
      <c r="M98" s="194"/>
      <c r="N98" s="194"/>
      <c r="O98" s="195"/>
    </row>
    <row r="99" spans="3:15">
      <c r="C99" s="186"/>
      <c r="D99" s="187"/>
      <c r="E99" s="187"/>
      <c r="F99" s="187"/>
      <c r="G99" s="187"/>
      <c r="H99" s="189"/>
      <c r="I99" s="187"/>
      <c r="J99" s="354"/>
      <c r="L99" s="193"/>
      <c r="M99" s="194"/>
      <c r="N99" s="194"/>
      <c r="O99" s="195"/>
    </row>
    <row r="100" spans="3:15">
      <c r="C100" s="186"/>
      <c r="D100" s="187"/>
      <c r="E100" s="187"/>
      <c r="F100" s="187"/>
      <c r="G100" s="187"/>
      <c r="H100" s="189"/>
      <c r="I100" s="187"/>
      <c r="J100" s="354"/>
      <c r="L100" s="193"/>
      <c r="M100" s="194"/>
      <c r="N100" s="194"/>
      <c r="O100" s="195"/>
    </row>
    <row r="101" spans="3:15">
      <c r="C101" s="186"/>
      <c r="D101" s="187"/>
      <c r="E101" s="187"/>
      <c r="F101" s="187"/>
      <c r="G101" s="187"/>
      <c r="H101" s="189"/>
      <c r="I101" s="187"/>
      <c r="J101" s="354"/>
      <c r="L101" s="193"/>
      <c r="M101" s="194"/>
      <c r="N101" s="194"/>
      <c r="O101" s="195"/>
    </row>
    <row r="102" spans="3:15">
      <c r="C102" s="186"/>
      <c r="D102" s="187"/>
      <c r="E102" s="187"/>
      <c r="F102" s="187"/>
      <c r="G102" s="187"/>
      <c r="H102" s="189"/>
      <c r="I102" s="187"/>
      <c r="J102" s="354"/>
      <c r="L102" s="193"/>
      <c r="M102" s="194"/>
      <c r="N102" s="194"/>
      <c r="O102" s="195"/>
    </row>
    <row r="103" spans="3:15">
      <c r="C103" s="186"/>
      <c r="D103" s="187"/>
      <c r="E103" s="187"/>
      <c r="F103" s="187"/>
      <c r="G103" s="187"/>
      <c r="H103" s="189"/>
      <c r="I103" s="187"/>
      <c r="J103" s="354"/>
      <c r="L103" s="193"/>
      <c r="M103" s="194"/>
      <c r="N103" s="194"/>
      <c r="O103" s="195"/>
    </row>
    <row r="104" spans="3:15">
      <c r="C104" s="186"/>
      <c r="D104" s="187"/>
      <c r="E104" s="187"/>
      <c r="F104" s="187"/>
      <c r="G104" s="187"/>
      <c r="H104" s="189"/>
      <c r="I104" s="187"/>
      <c r="J104" s="354"/>
      <c r="L104" s="193"/>
      <c r="M104" s="194"/>
      <c r="N104" s="194"/>
      <c r="O104" s="195"/>
    </row>
    <row r="105" spans="3:15">
      <c r="C105" s="186"/>
      <c r="D105" s="187"/>
      <c r="E105" s="187"/>
      <c r="F105" s="187"/>
      <c r="G105" s="187"/>
      <c r="H105" s="189"/>
      <c r="I105" s="187"/>
      <c r="J105" s="354"/>
      <c r="L105" s="193"/>
      <c r="M105" s="194"/>
      <c r="N105" s="194"/>
      <c r="O105" s="195"/>
    </row>
    <row r="106" spans="3:15">
      <c r="C106" s="186"/>
      <c r="D106" s="187"/>
      <c r="E106" s="187"/>
      <c r="F106" s="187"/>
      <c r="G106" s="187"/>
      <c r="H106" s="189"/>
      <c r="I106" s="187"/>
      <c r="J106" s="354"/>
      <c r="L106" s="193"/>
      <c r="M106" s="194"/>
      <c r="N106" s="194"/>
      <c r="O106" s="195"/>
    </row>
    <row r="107" spans="3:15">
      <c r="C107" s="186"/>
      <c r="D107" s="187"/>
      <c r="E107" s="187"/>
      <c r="F107" s="187"/>
      <c r="G107" s="187"/>
      <c r="H107" s="189"/>
      <c r="I107" s="187"/>
      <c r="J107" s="354"/>
      <c r="L107" s="193"/>
      <c r="M107" s="194"/>
      <c r="N107" s="194"/>
      <c r="O107" s="195"/>
    </row>
    <row r="108" spans="3:15">
      <c r="C108" s="186"/>
      <c r="D108" s="187"/>
      <c r="E108" s="187"/>
      <c r="F108" s="187"/>
      <c r="G108" s="187"/>
      <c r="H108" s="189"/>
      <c r="I108" s="187"/>
      <c r="J108" s="354"/>
      <c r="L108" s="193"/>
      <c r="M108" s="194"/>
      <c r="N108" s="194"/>
      <c r="O108" s="195"/>
    </row>
    <row r="109" spans="3:15">
      <c r="C109" s="186"/>
      <c r="D109" s="187"/>
      <c r="E109" s="187"/>
      <c r="F109" s="187"/>
      <c r="G109" s="187"/>
      <c r="H109" s="189"/>
      <c r="I109" s="187"/>
      <c r="J109" s="354"/>
      <c r="L109" s="193"/>
      <c r="M109" s="194"/>
      <c r="N109" s="194"/>
      <c r="O109" s="195"/>
    </row>
    <row r="110" spans="3:15">
      <c r="C110" s="186"/>
      <c r="D110" s="187"/>
      <c r="E110" s="187"/>
      <c r="F110" s="187"/>
      <c r="G110" s="187"/>
      <c r="H110" s="189"/>
      <c r="I110" s="187"/>
      <c r="J110" s="354"/>
      <c r="L110" s="193"/>
      <c r="M110" s="194"/>
      <c r="N110" s="194"/>
      <c r="O110" s="195"/>
    </row>
    <row r="111" spans="3:15">
      <c r="C111" s="186"/>
      <c r="D111" s="187"/>
      <c r="E111" s="187"/>
      <c r="F111" s="187"/>
      <c r="G111" s="187"/>
      <c r="H111" s="189"/>
      <c r="I111" s="187"/>
      <c r="J111" s="354"/>
      <c r="L111" s="193"/>
      <c r="M111" s="194"/>
      <c r="N111" s="194"/>
      <c r="O111" s="195"/>
    </row>
    <row r="112" spans="3:15">
      <c r="C112" s="186"/>
      <c r="D112" s="187"/>
      <c r="E112" s="187"/>
      <c r="F112" s="187"/>
      <c r="G112" s="187"/>
      <c r="H112" s="189"/>
      <c r="I112" s="187"/>
      <c r="J112" s="354"/>
      <c r="L112" s="193"/>
      <c r="M112" s="194"/>
      <c r="N112" s="194"/>
      <c r="O112" s="195"/>
    </row>
    <row r="113" spans="3:15">
      <c r="C113" s="186"/>
      <c r="D113" s="187"/>
      <c r="E113" s="187"/>
      <c r="F113" s="187"/>
      <c r="G113" s="187"/>
      <c r="H113" s="189"/>
      <c r="I113" s="187"/>
      <c r="J113" s="354"/>
      <c r="L113" s="193"/>
      <c r="M113" s="194"/>
      <c r="N113" s="194"/>
      <c r="O113" s="195"/>
    </row>
    <row r="114" spans="3:15">
      <c r="C114" s="186"/>
      <c r="D114" s="187"/>
      <c r="E114" s="187"/>
      <c r="F114" s="187"/>
      <c r="G114" s="187"/>
      <c r="H114" s="189"/>
      <c r="I114" s="187"/>
      <c r="J114" s="354"/>
      <c r="L114" s="193"/>
      <c r="M114" s="194"/>
      <c r="N114" s="194"/>
      <c r="O114" s="195"/>
    </row>
    <row r="115" spans="3:15">
      <c r="C115" s="186"/>
      <c r="D115" s="187"/>
      <c r="E115" s="187"/>
      <c r="F115" s="187"/>
      <c r="G115" s="187"/>
      <c r="H115" s="189"/>
      <c r="I115" s="187"/>
      <c r="J115" s="354"/>
      <c r="L115" s="193"/>
      <c r="M115" s="194"/>
      <c r="N115" s="194"/>
      <c r="O115" s="195"/>
    </row>
    <row r="116" spans="3:15">
      <c r="C116" s="186"/>
      <c r="D116" s="187"/>
      <c r="E116" s="187"/>
      <c r="F116" s="187"/>
      <c r="G116" s="187"/>
      <c r="H116" s="189"/>
      <c r="I116" s="187"/>
      <c r="J116" s="354"/>
      <c r="L116" s="193"/>
      <c r="M116" s="194"/>
      <c r="N116" s="194"/>
      <c r="O116" s="195"/>
    </row>
    <row r="117" spans="3:15">
      <c r="C117" s="186"/>
      <c r="D117" s="187"/>
      <c r="E117" s="187"/>
      <c r="F117" s="187"/>
      <c r="G117" s="187"/>
      <c r="H117" s="189"/>
      <c r="I117" s="187"/>
      <c r="J117" s="354"/>
      <c r="L117" s="193"/>
      <c r="M117" s="194"/>
      <c r="N117" s="194"/>
      <c r="O117" s="195"/>
    </row>
    <row r="118" spans="3:15">
      <c r="C118" s="186"/>
      <c r="D118" s="187"/>
      <c r="E118" s="187"/>
      <c r="F118" s="187"/>
      <c r="G118" s="187"/>
      <c r="H118" s="189"/>
      <c r="I118" s="187"/>
      <c r="J118" s="354"/>
      <c r="L118" s="193"/>
      <c r="M118" s="194"/>
      <c r="N118" s="194"/>
      <c r="O118" s="195"/>
    </row>
    <row r="119" spans="3:15">
      <c r="C119" s="186"/>
      <c r="D119" s="187"/>
      <c r="E119" s="187"/>
      <c r="F119" s="187"/>
      <c r="G119" s="187"/>
      <c r="H119" s="189"/>
      <c r="I119" s="187"/>
      <c r="J119" s="354"/>
      <c r="L119" s="193"/>
      <c r="M119" s="194"/>
      <c r="N119" s="194"/>
      <c r="O119" s="195"/>
    </row>
    <row r="120" spans="3:15">
      <c r="C120" s="186"/>
      <c r="D120" s="187"/>
      <c r="E120" s="187"/>
      <c r="F120" s="187"/>
      <c r="G120" s="187"/>
      <c r="H120" s="189"/>
      <c r="I120" s="187"/>
      <c r="J120" s="354"/>
      <c r="L120" s="193"/>
      <c r="M120" s="194"/>
      <c r="N120" s="194"/>
      <c r="O120" s="195"/>
    </row>
    <row r="121" spans="3:15">
      <c r="C121" s="186"/>
      <c r="D121" s="187"/>
      <c r="E121" s="187"/>
      <c r="F121" s="187"/>
      <c r="G121" s="187"/>
      <c r="H121" s="189"/>
      <c r="I121" s="187"/>
      <c r="J121" s="354"/>
      <c r="L121" s="193"/>
      <c r="M121" s="194"/>
      <c r="N121" s="194"/>
      <c r="O121" s="195"/>
    </row>
    <row r="122" spans="3:15">
      <c r="C122" s="186"/>
      <c r="D122" s="187"/>
      <c r="E122" s="187"/>
      <c r="F122" s="187"/>
      <c r="G122" s="187"/>
      <c r="H122" s="189"/>
      <c r="I122" s="187"/>
      <c r="J122" s="354"/>
      <c r="L122" s="193"/>
      <c r="M122" s="194"/>
      <c r="N122" s="194"/>
      <c r="O122" s="195"/>
    </row>
    <row r="123" spans="3:15">
      <c r="C123" s="186"/>
      <c r="D123" s="187"/>
      <c r="E123" s="187"/>
      <c r="F123" s="187"/>
      <c r="G123" s="187"/>
      <c r="H123" s="189"/>
      <c r="I123" s="187"/>
      <c r="J123" s="354"/>
      <c r="L123" s="193"/>
      <c r="M123" s="194"/>
      <c r="N123" s="194"/>
      <c r="O123" s="195"/>
    </row>
    <row r="124" spans="3:15">
      <c r="C124" s="186"/>
      <c r="D124" s="187"/>
      <c r="E124" s="187"/>
      <c r="F124" s="187"/>
      <c r="G124" s="187"/>
      <c r="H124" s="189"/>
      <c r="I124" s="187"/>
      <c r="J124" s="354"/>
      <c r="L124" s="193"/>
      <c r="M124" s="194"/>
      <c r="N124" s="194"/>
      <c r="O124" s="195"/>
    </row>
    <row r="125" spans="3:15">
      <c r="C125" s="186"/>
      <c r="D125" s="187"/>
      <c r="E125" s="187"/>
      <c r="F125" s="187"/>
      <c r="G125" s="187"/>
      <c r="H125" s="189"/>
      <c r="I125" s="187"/>
      <c r="J125" s="354"/>
      <c r="L125" s="193"/>
      <c r="M125" s="194"/>
      <c r="N125" s="194"/>
      <c r="O125" s="195"/>
    </row>
    <row r="126" spans="3:15">
      <c r="C126" s="186"/>
      <c r="D126" s="187"/>
      <c r="E126" s="187"/>
      <c r="F126" s="187"/>
      <c r="G126" s="187"/>
      <c r="H126" s="189"/>
      <c r="I126" s="187"/>
      <c r="J126" s="354"/>
      <c r="L126" s="193"/>
      <c r="M126" s="194"/>
      <c r="N126" s="194"/>
      <c r="O126" s="195"/>
    </row>
    <row r="127" spans="3:15">
      <c r="C127" s="186"/>
      <c r="D127" s="187"/>
      <c r="E127" s="187"/>
      <c r="F127" s="187"/>
      <c r="G127" s="187"/>
      <c r="H127" s="189"/>
      <c r="I127" s="187"/>
      <c r="J127" s="354"/>
      <c r="L127" s="193"/>
      <c r="M127" s="194"/>
      <c r="N127" s="194"/>
      <c r="O127" s="195"/>
    </row>
    <row r="128" spans="3:15">
      <c r="C128" s="186"/>
      <c r="D128" s="187"/>
      <c r="E128" s="187"/>
      <c r="F128" s="187"/>
      <c r="G128" s="187"/>
      <c r="H128" s="189"/>
      <c r="I128" s="187"/>
      <c r="J128" s="354"/>
      <c r="L128" s="193"/>
      <c r="M128" s="194"/>
      <c r="N128" s="194"/>
      <c r="O128" s="195"/>
    </row>
    <row r="129" spans="3:15">
      <c r="C129" s="186"/>
      <c r="D129" s="187"/>
      <c r="E129" s="187"/>
      <c r="F129" s="187"/>
      <c r="G129" s="187"/>
      <c r="H129" s="189"/>
      <c r="I129" s="187"/>
      <c r="J129" s="354"/>
      <c r="L129" s="193"/>
      <c r="M129" s="194"/>
      <c r="N129" s="194"/>
      <c r="O129" s="195"/>
    </row>
    <row r="130" spans="3:15">
      <c r="C130" s="186"/>
      <c r="D130" s="187"/>
      <c r="E130" s="187"/>
      <c r="F130" s="187"/>
      <c r="G130" s="187"/>
      <c r="H130" s="189"/>
      <c r="I130" s="187"/>
      <c r="J130" s="354"/>
      <c r="L130" s="193"/>
      <c r="M130" s="194"/>
      <c r="N130" s="194"/>
      <c r="O130" s="195"/>
    </row>
    <row r="131" spans="3:15">
      <c r="C131" s="186"/>
      <c r="D131" s="187"/>
      <c r="E131" s="187"/>
      <c r="F131" s="187"/>
      <c r="G131" s="187"/>
      <c r="H131" s="189"/>
      <c r="I131" s="187"/>
      <c r="J131" s="354"/>
      <c r="L131" s="193"/>
      <c r="M131" s="194"/>
      <c r="N131" s="194"/>
      <c r="O131" s="195"/>
    </row>
    <row r="132" spans="3:15">
      <c r="C132" s="186"/>
      <c r="D132" s="187"/>
      <c r="E132" s="187"/>
      <c r="F132" s="187"/>
      <c r="G132" s="187"/>
      <c r="H132" s="189"/>
      <c r="I132" s="187"/>
      <c r="J132" s="354"/>
      <c r="L132" s="193"/>
      <c r="M132" s="194"/>
      <c r="N132" s="194"/>
      <c r="O132" s="195"/>
    </row>
    <row r="133" spans="3:15">
      <c r="C133" s="186"/>
      <c r="D133" s="187"/>
      <c r="E133" s="187"/>
      <c r="F133" s="187"/>
      <c r="G133" s="187"/>
      <c r="H133" s="189"/>
      <c r="I133" s="187"/>
      <c r="J133" s="354"/>
      <c r="L133" s="193"/>
      <c r="M133" s="194"/>
      <c r="N133" s="194"/>
      <c r="O133" s="195"/>
    </row>
    <row r="134" spans="3:15">
      <c r="C134" s="186"/>
      <c r="D134" s="187"/>
      <c r="E134" s="187"/>
      <c r="F134" s="187"/>
      <c r="G134" s="187"/>
      <c r="H134" s="189"/>
      <c r="I134" s="187"/>
      <c r="J134" s="354"/>
      <c r="L134" s="193"/>
      <c r="M134" s="194"/>
      <c r="N134" s="194"/>
      <c r="O134" s="195"/>
    </row>
    <row r="135" spans="3:15">
      <c r="C135" s="186"/>
      <c r="D135" s="187"/>
      <c r="E135" s="187"/>
      <c r="F135" s="187"/>
      <c r="G135" s="187"/>
      <c r="H135" s="189"/>
      <c r="I135" s="187"/>
      <c r="J135" s="354"/>
      <c r="L135" s="193"/>
      <c r="M135" s="194"/>
      <c r="N135" s="194"/>
      <c r="O135" s="195"/>
    </row>
    <row r="136" spans="3:15">
      <c r="C136" s="186"/>
      <c r="D136" s="187"/>
      <c r="E136" s="187"/>
      <c r="F136" s="187"/>
      <c r="G136" s="187"/>
      <c r="H136" s="189"/>
      <c r="I136" s="187"/>
      <c r="J136" s="354"/>
      <c r="L136" s="193"/>
      <c r="M136" s="194"/>
      <c r="N136" s="194"/>
      <c r="O136" s="195"/>
    </row>
    <row r="137" spans="3:15">
      <c r="C137" s="186"/>
      <c r="D137" s="187"/>
      <c r="E137" s="187"/>
      <c r="F137" s="187"/>
      <c r="G137" s="187"/>
      <c r="H137" s="189"/>
      <c r="I137" s="187"/>
      <c r="J137" s="354"/>
      <c r="L137" s="193"/>
      <c r="M137" s="194"/>
      <c r="N137" s="194"/>
      <c r="O137" s="195"/>
    </row>
    <row r="138" spans="3:15">
      <c r="C138" s="186"/>
      <c r="D138" s="187"/>
      <c r="E138" s="187"/>
      <c r="F138" s="187"/>
      <c r="G138" s="187"/>
      <c r="H138" s="189"/>
      <c r="I138" s="187"/>
      <c r="J138" s="354"/>
      <c r="L138" s="193"/>
      <c r="M138" s="194"/>
      <c r="N138" s="194"/>
      <c r="O138" s="195"/>
    </row>
    <row r="139" spans="3:15">
      <c r="C139" s="186"/>
      <c r="D139" s="187"/>
      <c r="E139" s="187"/>
      <c r="F139" s="187"/>
      <c r="G139" s="187"/>
      <c r="H139" s="189"/>
      <c r="I139" s="187"/>
      <c r="J139" s="354"/>
      <c r="L139" s="193"/>
      <c r="M139" s="194"/>
      <c r="N139" s="194"/>
      <c r="O139" s="195"/>
    </row>
    <row r="140" spans="3:15">
      <c r="C140" s="186"/>
      <c r="D140" s="187"/>
      <c r="E140" s="187"/>
      <c r="F140" s="187"/>
      <c r="G140" s="187"/>
      <c r="H140" s="189"/>
      <c r="I140" s="187"/>
      <c r="J140" s="354"/>
      <c r="L140" s="193"/>
      <c r="M140" s="194"/>
      <c r="N140" s="194"/>
      <c r="O140" s="195"/>
    </row>
    <row r="141" spans="3:15">
      <c r="C141" s="186"/>
      <c r="D141" s="187"/>
      <c r="E141" s="187"/>
      <c r="F141" s="187"/>
      <c r="G141" s="187"/>
      <c r="H141" s="189"/>
      <c r="I141" s="187"/>
      <c r="J141" s="354"/>
      <c r="L141" s="193"/>
      <c r="M141" s="194"/>
      <c r="N141" s="194"/>
      <c r="O141" s="195"/>
    </row>
    <row r="142" spans="3:15">
      <c r="C142" s="186"/>
      <c r="D142" s="187"/>
      <c r="E142" s="187"/>
      <c r="F142" s="187"/>
      <c r="G142" s="187"/>
      <c r="H142" s="189"/>
      <c r="I142" s="187"/>
      <c r="J142" s="354"/>
      <c r="L142" s="193"/>
      <c r="M142" s="194"/>
      <c r="N142" s="194"/>
      <c r="O142" s="195"/>
    </row>
    <row r="143" spans="3:15">
      <c r="C143" s="186"/>
      <c r="D143" s="187"/>
      <c r="E143" s="187"/>
      <c r="F143" s="187"/>
      <c r="G143" s="187"/>
      <c r="H143" s="189"/>
      <c r="I143" s="187"/>
      <c r="J143" s="354"/>
      <c r="L143" s="193"/>
      <c r="M143" s="194"/>
      <c r="N143" s="194"/>
      <c r="O143" s="195"/>
    </row>
    <row r="144" spans="3:15">
      <c r="C144" s="186"/>
      <c r="D144" s="187"/>
      <c r="E144" s="187"/>
      <c r="F144" s="187"/>
      <c r="G144" s="187"/>
      <c r="H144" s="189"/>
      <c r="I144" s="187"/>
      <c r="J144" s="354"/>
      <c r="L144" s="193"/>
      <c r="M144" s="194"/>
      <c r="N144" s="194"/>
      <c r="O144" s="195"/>
    </row>
    <row r="145" spans="3:15">
      <c r="C145" s="186"/>
      <c r="D145" s="187"/>
      <c r="E145" s="187"/>
      <c r="F145" s="187"/>
      <c r="G145" s="187"/>
      <c r="H145" s="189"/>
      <c r="I145" s="187"/>
      <c r="J145" s="354"/>
      <c r="L145" s="193"/>
      <c r="M145" s="194"/>
      <c r="N145" s="194"/>
      <c r="O145" s="195"/>
    </row>
    <row r="146" spans="3:15">
      <c r="C146" s="186"/>
      <c r="D146" s="187"/>
      <c r="E146" s="187"/>
      <c r="F146" s="187"/>
      <c r="G146" s="187"/>
      <c r="H146" s="189"/>
      <c r="I146" s="187"/>
      <c r="J146" s="354"/>
      <c r="L146" s="193"/>
      <c r="M146" s="194"/>
      <c r="N146" s="194"/>
      <c r="O146" s="195"/>
    </row>
    <row r="147" spans="3:15">
      <c r="C147" s="186"/>
      <c r="D147" s="187"/>
      <c r="E147" s="187"/>
      <c r="F147" s="187"/>
      <c r="G147" s="187"/>
      <c r="H147" s="189"/>
      <c r="I147" s="187"/>
      <c r="J147" s="354"/>
      <c r="L147" s="193"/>
      <c r="M147" s="194"/>
      <c r="N147" s="194"/>
      <c r="O147" s="195"/>
    </row>
    <row r="148" spans="3:15">
      <c r="C148" s="186"/>
      <c r="D148" s="187"/>
      <c r="E148" s="187"/>
      <c r="F148" s="187"/>
      <c r="G148" s="187"/>
      <c r="H148" s="189"/>
      <c r="I148" s="187"/>
      <c r="J148" s="354"/>
      <c r="L148" s="193"/>
      <c r="M148" s="194"/>
      <c r="N148" s="194"/>
      <c r="O148" s="195"/>
    </row>
    <row r="149" spans="3:15">
      <c r="C149" s="186"/>
      <c r="D149" s="187"/>
      <c r="E149" s="187"/>
      <c r="F149" s="187"/>
      <c r="G149" s="187"/>
      <c r="H149" s="189"/>
      <c r="I149" s="187"/>
      <c r="J149" s="354"/>
      <c r="L149" s="193"/>
      <c r="M149" s="194"/>
      <c r="N149" s="194"/>
      <c r="O149" s="195"/>
    </row>
    <row r="150" spans="3:15">
      <c r="C150" s="186"/>
      <c r="D150" s="187"/>
      <c r="E150" s="187"/>
      <c r="F150" s="187"/>
      <c r="G150" s="187"/>
      <c r="H150" s="189"/>
      <c r="I150" s="187"/>
      <c r="J150" s="354"/>
      <c r="L150" s="193"/>
      <c r="M150" s="194"/>
      <c r="N150" s="194"/>
      <c r="O150" s="195"/>
    </row>
    <row r="151" spans="3:15">
      <c r="C151" s="186"/>
      <c r="D151" s="187"/>
      <c r="E151" s="187"/>
      <c r="F151" s="187"/>
      <c r="G151" s="187"/>
      <c r="H151" s="189"/>
      <c r="I151" s="187"/>
      <c r="J151" s="354"/>
      <c r="L151" s="193"/>
      <c r="M151" s="194"/>
      <c r="N151" s="194"/>
      <c r="O151" s="195"/>
    </row>
    <row r="152" spans="3:15">
      <c r="C152" s="186"/>
      <c r="D152" s="187"/>
      <c r="E152" s="187"/>
      <c r="F152" s="187"/>
      <c r="G152" s="187"/>
      <c r="H152" s="189"/>
      <c r="I152" s="187"/>
      <c r="J152" s="354"/>
      <c r="L152" s="193"/>
      <c r="M152" s="194"/>
      <c r="N152" s="194"/>
      <c r="O152" s="195"/>
    </row>
    <row r="153" spans="3:15">
      <c r="C153" s="186"/>
      <c r="D153" s="187"/>
      <c r="E153" s="187"/>
      <c r="F153" s="187"/>
      <c r="G153" s="187"/>
      <c r="H153" s="189"/>
      <c r="I153" s="187"/>
      <c r="J153" s="354"/>
      <c r="L153" s="193"/>
      <c r="M153" s="194"/>
      <c r="N153" s="194"/>
      <c r="O153" s="195"/>
    </row>
    <row r="154" spans="3:15">
      <c r="C154" s="186"/>
      <c r="D154" s="187"/>
      <c r="E154" s="187"/>
      <c r="F154" s="187"/>
      <c r="G154" s="187"/>
      <c r="H154" s="189"/>
      <c r="I154" s="187"/>
      <c r="J154" s="354"/>
      <c r="L154" s="193"/>
      <c r="M154" s="194"/>
      <c r="N154" s="194"/>
      <c r="O154" s="195"/>
    </row>
    <row r="155" spans="3:15">
      <c r="C155" s="186"/>
      <c r="D155" s="187"/>
      <c r="E155" s="187"/>
      <c r="F155" s="187"/>
      <c r="G155" s="187"/>
      <c r="H155" s="189"/>
      <c r="I155" s="187"/>
      <c r="J155" s="354"/>
      <c r="L155" s="193"/>
      <c r="M155" s="194"/>
      <c r="N155" s="194"/>
      <c r="O155" s="195"/>
    </row>
    <row r="156" spans="3:15">
      <c r="C156" s="186"/>
      <c r="D156" s="187"/>
      <c r="E156" s="187"/>
      <c r="F156" s="187"/>
      <c r="G156" s="187"/>
      <c r="H156" s="189"/>
      <c r="I156" s="187"/>
      <c r="J156" s="354"/>
      <c r="L156" s="193"/>
      <c r="M156" s="194"/>
      <c r="N156" s="194"/>
      <c r="O156" s="195"/>
    </row>
    <row r="157" spans="3:15">
      <c r="C157" s="186"/>
      <c r="D157" s="187"/>
      <c r="E157" s="187"/>
      <c r="F157" s="187"/>
      <c r="G157" s="187"/>
      <c r="H157" s="189"/>
      <c r="I157" s="187"/>
      <c r="J157" s="354"/>
      <c r="L157" s="193"/>
      <c r="M157" s="194"/>
      <c r="N157" s="194"/>
      <c r="O157" s="195"/>
    </row>
    <row r="158" spans="3:15">
      <c r="C158" s="186"/>
      <c r="D158" s="187"/>
      <c r="E158" s="187"/>
      <c r="F158" s="187"/>
      <c r="G158" s="187"/>
      <c r="H158" s="189"/>
      <c r="I158" s="187"/>
      <c r="J158" s="354"/>
      <c r="L158" s="193"/>
      <c r="M158" s="194"/>
      <c r="N158" s="194"/>
      <c r="O158" s="195"/>
    </row>
    <row r="159" spans="3:15">
      <c r="C159" s="186"/>
      <c r="D159" s="187"/>
      <c r="E159" s="187"/>
      <c r="F159" s="187"/>
      <c r="G159" s="187"/>
      <c r="H159" s="189"/>
      <c r="I159" s="187"/>
      <c r="J159" s="354"/>
      <c r="L159" s="193"/>
      <c r="M159" s="194"/>
      <c r="N159" s="194"/>
      <c r="O159" s="195"/>
    </row>
    <row r="160" spans="3:15">
      <c r="C160" s="186"/>
      <c r="D160" s="187"/>
      <c r="E160" s="187"/>
      <c r="F160" s="187"/>
      <c r="G160" s="187"/>
      <c r="H160" s="189"/>
      <c r="I160" s="187"/>
      <c r="J160" s="354"/>
      <c r="L160" s="193"/>
      <c r="M160" s="194"/>
      <c r="N160" s="194"/>
      <c r="O160" s="195"/>
    </row>
    <row r="161" spans="3:15">
      <c r="C161" s="186"/>
      <c r="D161" s="187"/>
      <c r="E161" s="187"/>
      <c r="F161" s="187"/>
      <c r="G161" s="187"/>
      <c r="H161" s="189"/>
      <c r="I161" s="187"/>
      <c r="J161" s="354"/>
      <c r="L161" s="193"/>
      <c r="M161" s="194"/>
      <c r="N161" s="194"/>
      <c r="O161" s="195"/>
    </row>
    <row r="162" spans="3:15">
      <c r="C162" s="186"/>
      <c r="D162" s="187"/>
      <c r="E162" s="187"/>
      <c r="F162" s="187"/>
      <c r="G162" s="187"/>
      <c r="H162" s="189"/>
      <c r="I162" s="187"/>
      <c r="J162" s="354"/>
      <c r="L162" s="193"/>
      <c r="M162" s="194"/>
      <c r="N162" s="194"/>
      <c r="O162" s="195"/>
    </row>
    <row r="163" spans="3:15">
      <c r="C163" s="186"/>
      <c r="D163" s="187"/>
      <c r="E163" s="187"/>
      <c r="F163" s="187"/>
      <c r="G163" s="187"/>
      <c r="H163" s="189"/>
      <c r="I163" s="187"/>
      <c r="J163" s="354"/>
      <c r="L163" s="193"/>
      <c r="M163" s="194"/>
      <c r="N163" s="194"/>
      <c r="O163" s="195"/>
    </row>
    <row r="164" spans="3:15">
      <c r="C164" s="186"/>
      <c r="D164" s="187"/>
      <c r="E164" s="187"/>
      <c r="F164" s="187"/>
      <c r="G164" s="187"/>
      <c r="H164" s="189"/>
      <c r="I164" s="187"/>
      <c r="J164" s="354"/>
      <c r="L164" s="193"/>
      <c r="M164" s="194"/>
      <c r="N164" s="194"/>
      <c r="O164" s="195"/>
    </row>
    <row r="165" spans="3:15">
      <c r="C165" s="186"/>
      <c r="D165" s="187"/>
      <c r="E165" s="187"/>
      <c r="F165" s="187"/>
      <c r="G165" s="187"/>
      <c r="H165" s="189"/>
      <c r="I165" s="187"/>
      <c r="J165" s="354"/>
      <c r="L165" s="193"/>
      <c r="M165" s="194"/>
      <c r="N165" s="194"/>
      <c r="O165" s="195"/>
    </row>
    <row r="166" spans="3:15">
      <c r="C166" s="186"/>
      <c r="D166" s="187"/>
      <c r="E166" s="187"/>
      <c r="F166" s="187"/>
      <c r="G166" s="187"/>
      <c r="H166" s="189"/>
      <c r="I166" s="187"/>
      <c r="J166" s="354"/>
      <c r="L166" s="193"/>
      <c r="M166" s="194"/>
      <c r="N166" s="194"/>
      <c r="O166" s="195"/>
    </row>
    <row r="167" spans="3:15">
      <c r="C167" s="186"/>
      <c r="D167" s="187"/>
      <c r="E167" s="187"/>
      <c r="F167" s="187"/>
      <c r="G167" s="187"/>
      <c r="H167" s="189"/>
      <c r="I167" s="187"/>
      <c r="J167" s="354"/>
      <c r="L167" s="193"/>
      <c r="M167" s="194"/>
      <c r="N167" s="194"/>
      <c r="O167" s="195"/>
    </row>
    <row r="168" spans="3:15">
      <c r="C168" s="186"/>
      <c r="D168" s="187"/>
      <c r="E168" s="187"/>
      <c r="F168" s="187"/>
      <c r="G168" s="187"/>
      <c r="H168" s="189"/>
      <c r="I168" s="187"/>
      <c r="J168" s="354"/>
      <c r="L168" s="193"/>
      <c r="M168" s="194"/>
      <c r="N168" s="194"/>
      <c r="O168" s="195"/>
    </row>
    <row r="169" spans="3:15">
      <c r="C169" s="186"/>
      <c r="D169" s="187"/>
      <c r="E169" s="187"/>
      <c r="F169" s="187"/>
      <c r="G169" s="187"/>
      <c r="H169" s="189"/>
      <c r="I169" s="187"/>
      <c r="J169" s="354"/>
      <c r="L169" s="193"/>
      <c r="M169" s="194"/>
      <c r="N169" s="194"/>
      <c r="O169" s="195"/>
    </row>
    <row r="170" spans="3:15">
      <c r="C170" s="186"/>
      <c r="D170" s="187"/>
      <c r="E170" s="187"/>
      <c r="F170" s="187"/>
      <c r="G170" s="187"/>
      <c r="H170" s="189"/>
      <c r="I170" s="187"/>
      <c r="J170" s="354"/>
      <c r="L170" s="193"/>
      <c r="M170" s="194"/>
      <c r="N170" s="194"/>
      <c r="O170" s="195"/>
    </row>
    <row r="171" spans="3:15">
      <c r="C171" s="186"/>
      <c r="D171" s="187"/>
      <c r="E171" s="187"/>
      <c r="F171" s="187"/>
      <c r="G171" s="187"/>
      <c r="H171" s="189"/>
      <c r="I171" s="187"/>
      <c r="J171" s="354"/>
      <c r="L171" s="193"/>
      <c r="M171" s="194"/>
      <c r="N171" s="194"/>
      <c r="O171" s="195"/>
    </row>
    <row r="172" spans="3:15">
      <c r="C172" s="186"/>
      <c r="D172" s="187"/>
      <c r="E172" s="187"/>
      <c r="F172" s="187"/>
      <c r="G172" s="187"/>
      <c r="H172" s="189"/>
      <c r="I172" s="187"/>
      <c r="J172" s="354"/>
      <c r="L172" s="193"/>
      <c r="M172" s="194"/>
      <c r="N172" s="194"/>
      <c r="O172" s="195"/>
    </row>
  </sheetData>
  <dataConsolidate/>
  <mergeCells count="13">
    <mergeCell ref="D17:E17"/>
    <mergeCell ref="K17:L17"/>
    <mergeCell ref="K15:L15"/>
    <mergeCell ref="D11:E11"/>
    <mergeCell ref="D13:E13"/>
    <mergeCell ref="K13:L13"/>
    <mergeCell ref="D15:E15"/>
    <mergeCell ref="K61:N61"/>
    <mergeCell ref="K59:N59"/>
    <mergeCell ref="K57:N57"/>
    <mergeCell ref="D61:G61"/>
    <mergeCell ref="D59:G59"/>
    <mergeCell ref="D57:G57"/>
  </mergeCells>
  <phoneticPr fontId="11" type="noConversion"/>
  <conditionalFormatting sqref="L72:O172">
    <cfRule type="expression" dxfId="4" priority="2">
      <formula>$A$1=0</formula>
    </cfRule>
  </conditionalFormatting>
  <conditionalFormatting sqref="N22:P34">
    <cfRule type="expression" dxfId="3" priority="3">
      <formula>$A$1=0</formula>
    </cfRule>
  </conditionalFormatting>
  <conditionalFormatting sqref="L45:N45">
    <cfRule type="expression" dxfId="0" priority="1">
      <formula>$M$45=""</formula>
    </cfRule>
  </conditionalFormatting>
  <pageMargins left="0.25" right="0.25" top="0.75" bottom="0.75" header="0.3" footer="0.3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3047-AFAE-4AC3-B738-B63C9BC01A6B}">
  <sheetPr codeName="Sheet2">
    <pageSetUpPr fitToPage="1"/>
  </sheetPr>
  <dimension ref="A1:U27"/>
  <sheetViews>
    <sheetView showGridLines="0" zoomScaleNormal="100" workbookViewId="0"/>
  </sheetViews>
  <sheetFormatPr defaultColWidth="9" defaultRowHeight="14.25"/>
  <cols>
    <col min="1" max="1" width="6.25" style="8" customWidth="1"/>
    <col min="2" max="2" width="7.5" customWidth="1"/>
    <col min="3" max="3" width="23.625" customWidth="1"/>
    <col min="4" max="6" width="9.25" customWidth="1"/>
    <col min="7" max="7" width="10.625" customWidth="1"/>
    <col min="8" max="8" width="9.25" customWidth="1"/>
    <col min="9" max="14" width="10.625" customWidth="1"/>
    <col min="15" max="15" width="9.25" customWidth="1"/>
    <col min="16" max="16" width="6.25" customWidth="1"/>
    <col min="17" max="17" width="9" customWidth="1"/>
  </cols>
  <sheetData>
    <row r="1" spans="1:21">
      <c r="A1" s="8">
        <f>RiskInformation!A1</f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3" spans="1:21" ht="26.25">
      <c r="B3" s="13" t="s">
        <v>81</v>
      </c>
      <c r="C3" s="13"/>
    </row>
    <row r="4" spans="1:21">
      <c r="A4" s="8" t="s">
        <v>7</v>
      </c>
    </row>
    <row r="6" spans="1:21" ht="17.25" thickBot="1">
      <c r="A6" s="8" t="s">
        <v>7</v>
      </c>
      <c r="B6" s="5" t="s">
        <v>81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21">
      <c r="A7" s="8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9" spans="1:21" ht="15.75">
      <c r="C9" s="70" t="s">
        <v>65</v>
      </c>
    </row>
    <row r="10" spans="1:21">
      <c r="B10" s="8"/>
    </row>
    <row r="11" spans="1:21" ht="15">
      <c r="C11" s="9" t="s">
        <v>127</v>
      </c>
      <c r="D11" s="180" t="s">
        <v>864</v>
      </c>
      <c r="E11" s="181"/>
      <c r="J11" s="9" t="s">
        <v>128</v>
      </c>
      <c r="K11" s="367" t="s">
        <v>865</v>
      </c>
      <c r="L11" s="368"/>
    </row>
    <row r="14" spans="1:21" ht="15.75">
      <c r="C14" s="70" t="s">
        <v>140</v>
      </c>
    </row>
    <row r="15" spans="1:21" ht="16.5">
      <c r="D15" s="19"/>
    </row>
    <row r="16" spans="1:21" ht="60">
      <c r="C16" s="56" t="s">
        <v>129</v>
      </c>
      <c r="D16" s="59"/>
      <c r="E16" s="59" t="s">
        <v>14</v>
      </c>
      <c r="F16" s="59"/>
      <c r="G16" s="59"/>
      <c r="H16" s="59" t="s">
        <v>133</v>
      </c>
      <c r="I16" s="59" t="s">
        <v>134</v>
      </c>
      <c r="J16" s="59" t="s">
        <v>135</v>
      </c>
      <c r="K16" s="59" t="s">
        <v>136</v>
      </c>
      <c r="L16" s="60" t="s">
        <v>137</v>
      </c>
      <c r="M16" s="59" t="s">
        <v>138</v>
      </c>
      <c r="N16" s="59" t="s">
        <v>139</v>
      </c>
      <c r="O16" s="60" t="s">
        <v>115</v>
      </c>
    </row>
    <row r="17" spans="3:15">
      <c r="C17" s="317" t="s">
        <v>866</v>
      </c>
      <c r="D17" s="178"/>
      <c r="E17" s="178" t="s">
        <v>867</v>
      </c>
      <c r="F17" s="178"/>
      <c r="G17" s="178"/>
      <c r="H17" s="198" t="s">
        <v>868</v>
      </c>
      <c r="I17" s="199" t="s">
        <v>869</v>
      </c>
      <c r="J17" s="199" t="s">
        <v>870</v>
      </c>
      <c r="K17" s="200" t="s">
        <v>871</v>
      </c>
      <c r="L17" s="201" t="s">
        <v>872</v>
      </c>
      <c r="M17" s="199" t="s">
        <v>873</v>
      </c>
      <c r="N17" s="199" t="s">
        <v>874</v>
      </c>
      <c r="O17" s="205" t="s">
        <v>875</v>
      </c>
    </row>
    <row r="20" spans="3:15" ht="15.75">
      <c r="C20" s="70" t="s">
        <v>141</v>
      </c>
    </row>
    <row r="21" spans="3:15" ht="16.5">
      <c r="D21" s="19"/>
    </row>
    <row r="22" spans="3:15" ht="60">
      <c r="C22" s="56" t="s">
        <v>129</v>
      </c>
      <c r="D22" s="59" t="s">
        <v>130</v>
      </c>
      <c r="E22" s="59" t="s">
        <v>14</v>
      </c>
      <c r="F22" s="59" t="s">
        <v>131</v>
      </c>
      <c r="G22" s="59" t="s">
        <v>132</v>
      </c>
      <c r="H22" s="59" t="s">
        <v>133</v>
      </c>
      <c r="I22" s="59" t="s">
        <v>134</v>
      </c>
      <c r="J22" s="59" t="s">
        <v>135</v>
      </c>
      <c r="K22" s="59" t="s">
        <v>136</v>
      </c>
      <c r="L22" s="60" t="s">
        <v>137</v>
      </c>
      <c r="M22" s="59" t="s">
        <v>138</v>
      </c>
      <c r="N22" s="59" t="s">
        <v>139</v>
      </c>
      <c r="O22" s="60" t="s">
        <v>115</v>
      </c>
    </row>
    <row r="23" spans="3:15">
      <c r="C23" s="318" t="s">
        <v>876</v>
      </c>
      <c r="D23" s="206" t="s">
        <v>877</v>
      </c>
      <c r="E23" s="206" t="s">
        <v>878</v>
      </c>
      <c r="F23" s="206" t="s">
        <v>879</v>
      </c>
      <c r="G23" s="206" t="s">
        <v>880</v>
      </c>
      <c r="H23" s="319" t="s">
        <v>881</v>
      </c>
      <c r="I23" s="207" t="s">
        <v>882</v>
      </c>
      <c r="J23" s="207" t="s">
        <v>883</v>
      </c>
      <c r="K23" s="320" t="s">
        <v>884</v>
      </c>
      <c r="L23" s="321" t="s">
        <v>885</v>
      </c>
      <c r="M23" s="207" t="s">
        <v>886</v>
      </c>
      <c r="N23" s="207" t="s">
        <v>887</v>
      </c>
      <c r="O23" s="208" t="s">
        <v>888</v>
      </c>
    </row>
    <row r="24" spans="3:15">
      <c r="C24" s="317" t="s">
        <v>889</v>
      </c>
      <c r="D24" s="178" t="s">
        <v>890</v>
      </c>
      <c r="E24" s="178" t="s">
        <v>891</v>
      </c>
      <c r="F24" s="178" t="s">
        <v>892</v>
      </c>
      <c r="G24" s="178" t="s">
        <v>893</v>
      </c>
      <c r="H24" s="198" t="s">
        <v>894</v>
      </c>
      <c r="I24" s="199" t="s">
        <v>895</v>
      </c>
      <c r="J24" s="199" t="s">
        <v>896</v>
      </c>
      <c r="K24" s="200" t="s">
        <v>897</v>
      </c>
      <c r="L24" s="201" t="s">
        <v>898</v>
      </c>
      <c r="M24" s="199" t="s">
        <v>899</v>
      </c>
      <c r="N24" s="199" t="s">
        <v>900</v>
      </c>
      <c r="O24" s="205" t="s">
        <v>901</v>
      </c>
    </row>
    <row r="25" spans="3:15">
      <c r="C25" s="345" t="s">
        <v>902</v>
      </c>
      <c r="D25" s="167"/>
      <c r="E25" s="167"/>
      <c r="F25" s="167"/>
      <c r="G25" s="167"/>
      <c r="H25" s="203"/>
      <c r="I25" s="55"/>
      <c r="J25" s="55"/>
      <c r="K25" s="346"/>
      <c r="L25" s="347"/>
      <c r="M25" s="55"/>
      <c r="N25" s="55"/>
      <c r="O25" s="204"/>
    </row>
    <row r="26" spans="3:15">
      <c r="C26" s="345"/>
      <c r="D26" s="167"/>
      <c r="E26" s="167"/>
      <c r="F26" s="167"/>
      <c r="G26" s="167"/>
      <c r="H26" s="203"/>
      <c r="I26" s="55"/>
      <c r="J26" s="55"/>
      <c r="K26" s="346"/>
      <c r="L26" s="347"/>
      <c r="M26" s="55"/>
      <c r="N26" s="55"/>
      <c r="O26" s="204"/>
    </row>
    <row r="27" spans="3:15">
      <c r="C27" s="317"/>
      <c r="D27" s="178"/>
      <c r="E27" s="178"/>
      <c r="F27" s="178"/>
      <c r="G27" s="178"/>
      <c r="H27" s="198"/>
      <c r="I27" s="199"/>
      <c r="J27" s="199"/>
      <c r="K27" s="200"/>
      <c r="L27" s="201"/>
      <c r="M27" s="199"/>
      <c r="N27" s="199"/>
      <c r="O27" s="205"/>
    </row>
  </sheetData>
  <dataConsolidate/>
  <mergeCells count="1">
    <mergeCell ref="K11:L11"/>
  </mergeCells>
  <pageMargins left="0.25" right="0.25" top="0.75" bottom="0.75" header="0.3" footer="0.3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FE1B-8084-48D4-92D2-D18598FCDD16}">
  <sheetPr codeName="Sheet6">
    <pageSetUpPr fitToPage="1"/>
  </sheetPr>
  <dimension ref="A1:S43"/>
  <sheetViews>
    <sheetView showGridLines="0" zoomScaleNormal="100" workbookViewId="0">
      <selection activeCell="C42" sqref="C42:L43"/>
    </sheetView>
  </sheetViews>
  <sheetFormatPr defaultColWidth="9" defaultRowHeight="14.25"/>
  <cols>
    <col min="1" max="1" width="6.25" style="8" customWidth="1"/>
    <col min="2" max="2" width="7.5" customWidth="1"/>
    <col min="3" max="4" width="12.125" customWidth="1"/>
    <col min="5" max="9" width="9.25" customWidth="1"/>
    <col min="10" max="10" width="11.125" customWidth="1"/>
    <col min="11" max="12" width="10.625" customWidth="1"/>
    <col min="13" max="13" width="9.25" customWidth="1"/>
    <col min="14" max="14" width="6.25" customWidth="1"/>
    <col min="15" max="15" width="9" customWidth="1"/>
  </cols>
  <sheetData>
    <row r="1" spans="1:19">
      <c r="A1" s="8">
        <f>RiskInformation!A1</f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3" spans="1:19" ht="26.25">
      <c r="B3" s="13" t="s">
        <v>142</v>
      </c>
      <c r="C3" s="13"/>
      <c r="D3" s="13"/>
      <c r="G3" s="13"/>
    </row>
    <row r="4" spans="1:19">
      <c r="A4" s="8" t="s">
        <v>7</v>
      </c>
    </row>
    <row r="6" spans="1:19" ht="17.25" thickBot="1">
      <c r="A6" s="8" t="s">
        <v>7</v>
      </c>
      <c r="B6" s="5" t="s">
        <v>142</v>
      </c>
      <c r="C6" s="5"/>
      <c r="D6" s="5"/>
      <c r="E6" s="6"/>
      <c r="F6" s="6"/>
      <c r="G6" s="5"/>
      <c r="H6" s="6"/>
      <c r="I6" s="6"/>
      <c r="J6" s="6"/>
      <c r="K6" s="6"/>
      <c r="L6" s="6"/>
      <c r="M6" s="6"/>
      <c r="N6" s="6"/>
    </row>
    <row r="7" spans="1:19">
      <c r="A7" s="8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9" spans="1:19" ht="15.75">
      <c r="C9" s="70" t="s">
        <v>143</v>
      </c>
      <c r="D9" s="70"/>
    </row>
    <row r="10" spans="1:19">
      <c r="B10" s="8"/>
    </row>
    <row r="11" spans="1:19" ht="15">
      <c r="D11" s="9" t="s">
        <v>144</v>
      </c>
      <c r="E11" s="361" t="s">
        <v>845</v>
      </c>
      <c r="F11" s="363"/>
      <c r="J11" s="9" t="s">
        <v>145</v>
      </c>
      <c r="K11" s="377" t="s">
        <v>850</v>
      </c>
      <c r="L11" s="378"/>
    </row>
    <row r="13" spans="1:19" ht="15">
      <c r="D13" s="9" t="s">
        <v>146</v>
      </c>
      <c r="E13" s="367" t="s">
        <v>846</v>
      </c>
      <c r="F13" s="368"/>
    </row>
    <row r="15" spans="1:19" ht="15">
      <c r="D15" s="9" t="s">
        <v>843</v>
      </c>
      <c r="E15" s="367" t="s">
        <v>847</v>
      </c>
      <c r="F15" s="368"/>
    </row>
    <row r="17" spans="2:12" ht="15">
      <c r="D17" s="9" t="s">
        <v>147</v>
      </c>
      <c r="E17" s="367" t="s">
        <v>848</v>
      </c>
      <c r="F17" s="368"/>
    </row>
    <row r="19" spans="2:12" ht="15">
      <c r="D19" s="9" t="s">
        <v>148</v>
      </c>
      <c r="E19" s="367" t="s">
        <v>849</v>
      </c>
      <c r="F19" s="368"/>
    </row>
    <row r="22" spans="2:12" ht="15.75">
      <c r="C22" s="70" t="s">
        <v>149</v>
      </c>
      <c r="D22" s="70"/>
    </row>
    <row r="23" spans="2:12">
      <c r="B23" s="8"/>
    </row>
    <row r="24" spans="2:12" ht="15">
      <c r="D24" s="9" t="s">
        <v>150</v>
      </c>
      <c r="E24" s="361" t="s">
        <v>851</v>
      </c>
      <c r="F24" s="363"/>
      <c r="J24" s="9" t="s">
        <v>154</v>
      </c>
      <c r="K24" s="377" t="s">
        <v>854</v>
      </c>
      <c r="L24" s="378"/>
    </row>
    <row r="26" spans="2:12" ht="15">
      <c r="D26" s="9" t="s">
        <v>151</v>
      </c>
      <c r="E26" s="361" t="s">
        <v>852</v>
      </c>
      <c r="F26" s="363"/>
      <c r="J26" s="9" t="s">
        <v>153</v>
      </c>
      <c r="K26" s="377" t="s">
        <v>855</v>
      </c>
      <c r="L26" s="378"/>
    </row>
    <row r="28" spans="2:12" ht="15">
      <c r="J28" s="9" t="s">
        <v>152</v>
      </c>
      <c r="K28" s="377" t="s">
        <v>856</v>
      </c>
      <c r="L28" s="378"/>
    </row>
    <row r="30" spans="2:12" ht="15">
      <c r="D30" s="9" t="s">
        <v>156</v>
      </c>
      <c r="E30" s="367" t="s">
        <v>853</v>
      </c>
      <c r="F30" s="368"/>
      <c r="J30" s="9" t="s">
        <v>155</v>
      </c>
      <c r="K30" s="377" t="s">
        <v>857</v>
      </c>
      <c r="L30" s="378"/>
    </row>
    <row r="33" spans="3:12" ht="15">
      <c r="D33" s="9" t="s">
        <v>157</v>
      </c>
      <c r="E33" s="361" t="s">
        <v>844</v>
      </c>
      <c r="F33" s="363"/>
    </row>
    <row r="36" spans="3:12" ht="15.75">
      <c r="C36" s="70" t="s">
        <v>24</v>
      </c>
      <c r="D36" s="70"/>
    </row>
    <row r="37" spans="3:12" ht="15">
      <c r="E37" s="9" t="s">
        <v>74</v>
      </c>
      <c r="F37" s="9" t="s">
        <v>27</v>
      </c>
      <c r="G37" s="9" t="s">
        <v>84</v>
      </c>
      <c r="H37" s="9" t="s">
        <v>158</v>
      </c>
    </row>
    <row r="38" spans="3:12" ht="15">
      <c r="E38" s="314" t="s">
        <v>858</v>
      </c>
      <c r="F38" s="315" t="s">
        <v>859</v>
      </c>
      <c r="G38" s="315" t="s">
        <v>860</v>
      </c>
      <c r="H38" s="315" t="s">
        <v>861</v>
      </c>
    </row>
    <row r="40" spans="3:12" ht="15.75">
      <c r="C40" s="70" t="s">
        <v>159</v>
      </c>
      <c r="D40" s="70"/>
    </row>
    <row r="42" spans="3:12">
      <c r="C42" s="371" t="s">
        <v>862</v>
      </c>
      <c r="D42" s="372"/>
      <c r="E42" s="372"/>
      <c r="F42" s="372"/>
      <c r="G42" s="372"/>
      <c r="H42" s="372"/>
      <c r="I42" s="372"/>
      <c r="J42" s="372"/>
      <c r="K42" s="372"/>
      <c r="L42" s="373"/>
    </row>
    <row r="43" spans="3:12">
      <c r="C43" s="374"/>
      <c r="D43" s="375"/>
      <c r="E43" s="375"/>
      <c r="F43" s="375"/>
      <c r="G43" s="375"/>
      <c r="H43" s="375"/>
      <c r="I43" s="375"/>
      <c r="J43" s="375"/>
      <c r="K43" s="375"/>
      <c r="L43" s="376"/>
    </row>
  </sheetData>
  <dataConsolidate/>
  <mergeCells count="15">
    <mergeCell ref="C42:L43"/>
    <mergeCell ref="K11:L11"/>
    <mergeCell ref="K24:L24"/>
    <mergeCell ref="K26:L26"/>
    <mergeCell ref="K28:L28"/>
    <mergeCell ref="K30:L30"/>
    <mergeCell ref="E11:F11"/>
    <mergeCell ref="E13:F13"/>
    <mergeCell ref="E15:F15"/>
    <mergeCell ref="E17:F17"/>
    <mergeCell ref="E19:F19"/>
    <mergeCell ref="E24:F24"/>
    <mergeCell ref="E26:F26"/>
    <mergeCell ref="E30:F30"/>
    <mergeCell ref="E33:F33"/>
  </mergeCells>
  <pageMargins left="0.25" right="0.25" top="0.75" bottom="0.75" header="0.3" footer="0.3"/>
  <pageSetup paperSize="9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8335-8758-4AD1-B06D-FBFBD2F34D58}">
  <sheetPr codeName="Sheet7">
    <pageSetUpPr fitToPage="1"/>
  </sheetPr>
  <dimension ref="A1:BB90"/>
  <sheetViews>
    <sheetView showGridLines="0" zoomScaleNormal="100" workbookViewId="0"/>
  </sheetViews>
  <sheetFormatPr defaultColWidth="9" defaultRowHeight="14.25" outlineLevelRow="1"/>
  <cols>
    <col min="1" max="1" width="6.25" style="8" customWidth="1"/>
    <col min="2" max="2" width="7.5" customWidth="1"/>
    <col min="3" max="4" width="12" customWidth="1"/>
    <col min="5" max="7" width="11.5" customWidth="1"/>
    <col min="8" max="8" width="10.625" customWidth="1"/>
    <col min="9" max="11" width="9.25" customWidth="1"/>
    <col min="12" max="12" width="9.75" customWidth="1"/>
    <col min="13" max="13" width="10.75" customWidth="1"/>
    <col min="14" max="15" width="9.25" customWidth="1"/>
    <col min="16" max="17" width="6.75" customWidth="1"/>
    <col min="18" max="18" width="9" customWidth="1"/>
  </cols>
  <sheetData>
    <row r="1" spans="1:22">
      <c r="A1" s="8">
        <f>RiskInformation!A1</f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3" spans="1:22" ht="26.25">
      <c r="B3" s="13" t="s">
        <v>160</v>
      </c>
      <c r="C3" s="13"/>
      <c r="D3" s="13"/>
    </row>
    <row r="4" spans="1:22">
      <c r="A4" s="8" t="s">
        <v>7</v>
      </c>
    </row>
    <row r="6" spans="1:22" ht="17.25" thickBot="1">
      <c r="A6" s="8" t="s">
        <v>7</v>
      </c>
      <c r="B6" s="5" t="s">
        <v>161</v>
      </c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22">
      <c r="A7" s="8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9" spans="1:22" ht="15.75">
      <c r="C9" s="70" t="s">
        <v>162</v>
      </c>
      <c r="D9" s="70"/>
      <c r="J9" s="70" t="s">
        <v>165</v>
      </c>
    </row>
    <row r="10" spans="1:22">
      <c r="B10" s="8"/>
    </row>
    <row r="11" spans="1:22" ht="15">
      <c r="D11" s="9" t="s">
        <v>163</v>
      </c>
      <c r="E11" s="180" t="s">
        <v>906</v>
      </c>
      <c r="F11" s="181"/>
      <c r="K11" s="9" t="s">
        <v>166</v>
      </c>
      <c r="L11" s="361" t="s">
        <v>908</v>
      </c>
      <c r="M11" s="363"/>
    </row>
    <row r="12" spans="1:22" ht="15">
      <c r="D12" s="9" t="s">
        <v>164</v>
      </c>
      <c r="E12" s="180" t="s">
        <v>907</v>
      </c>
      <c r="F12" s="181"/>
      <c r="K12" s="9" t="s">
        <v>167</v>
      </c>
      <c r="L12" s="361" t="s">
        <v>909</v>
      </c>
      <c r="M12" s="363"/>
    </row>
    <row r="13" spans="1:22" ht="15">
      <c r="K13" s="9" t="s">
        <v>168</v>
      </c>
      <c r="L13" s="361" t="s">
        <v>910</v>
      </c>
      <c r="M13" s="363"/>
    </row>
    <row r="14" spans="1:22" ht="15">
      <c r="E14" s="71" t="s">
        <v>27</v>
      </c>
      <c r="F14" s="71"/>
      <c r="G14" s="107" t="s">
        <v>26</v>
      </c>
      <c r="H14" s="107" t="s">
        <v>169</v>
      </c>
      <c r="J14" s="96"/>
      <c r="K14" s="322" t="s">
        <v>903</v>
      </c>
      <c r="L14" s="383" t="s">
        <v>911</v>
      </c>
      <c r="M14" s="384"/>
    </row>
    <row r="15" spans="1:22" ht="15">
      <c r="D15" s="9" t="s">
        <v>170</v>
      </c>
      <c r="E15" s="381" t="s">
        <v>913</v>
      </c>
      <c r="F15" s="382"/>
      <c r="G15" s="212" t="s">
        <v>915</v>
      </c>
      <c r="H15" s="213" t="s">
        <v>917</v>
      </c>
      <c r="J15" s="96"/>
      <c r="K15" s="322" t="s">
        <v>904</v>
      </c>
      <c r="L15" s="383" t="s">
        <v>912</v>
      </c>
      <c r="M15" s="384"/>
    </row>
    <row r="16" spans="1:22" ht="15">
      <c r="D16" s="9" t="s">
        <v>171</v>
      </c>
      <c r="E16" s="379" t="s">
        <v>914</v>
      </c>
      <c r="F16" s="380"/>
      <c r="G16" s="209" t="s">
        <v>916</v>
      </c>
      <c r="H16" s="210" t="s">
        <v>918</v>
      </c>
    </row>
    <row r="19" spans="2:17" ht="17.25" thickBot="1">
      <c r="B19" s="5" t="s">
        <v>173</v>
      </c>
      <c r="C19" s="5"/>
      <c r="D19" s="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2:17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2:17" ht="15">
      <c r="D21" s="9" t="s">
        <v>174</v>
      </c>
      <c r="E21" s="214" t="s">
        <v>919</v>
      </c>
      <c r="F21" s="50"/>
    </row>
    <row r="23" spans="2:17" ht="51">
      <c r="C23" s="115" t="s">
        <v>172</v>
      </c>
      <c r="D23" s="83" t="s">
        <v>175</v>
      </c>
      <c r="E23" s="83" t="s">
        <v>176</v>
      </c>
      <c r="F23" s="83" t="s">
        <v>177</v>
      </c>
      <c r="G23" s="83" t="s">
        <v>178</v>
      </c>
      <c r="H23" s="83" t="s">
        <v>179</v>
      </c>
      <c r="I23" s="83" t="s">
        <v>180</v>
      </c>
      <c r="J23" s="77" t="s">
        <v>181</v>
      </c>
    </row>
    <row r="24" spans="2:17" ht="15">
      <c r="C24" s="202" t="s">
        <v>973</v>
      </c>
      <c r="D24" s="215"/>
      <c r="E24" s="39"/>
      <c r="F24" s="39"/>
      <c r="G24" s="39"/>
      <c r="H24" s="39"/>
      <c r="I24" s="43"/>
      <c r="J24" s="217"/>
    </row>
    <row r="25" spans="2:17" ht="15">
      <c r="C25" s="202"/>
      <c r="D25" s="215"/>
      <c r="E25" s="39"/>
      <c r="F25" s="39"/>
      <c r="G25" s="39"/>
      <c r="H25" s="39"/>
      <c r="I25" s="43"/>
      <c r="J25" s="217"/>
    </row>
    <row r="26" spans="2:17" ht="15">
      <c r="C26" s="202"/>
      <c r="D26" s="215"/>
      <c r="E26" s="39"/>
      <c r="F26" s="39"/>
      <c r="G26" s="39"/>
      <c r="H26" s="39"/>
      <c r="I26" s="43"/>
      <c r="J26" s="217"/>
    </row>
    <row r="27" spans="2:17" ht="15">
      <c r="C27" s="202"/>
      <c r="D27" s="215"/>
      <c r="E27" s="39"/>
      <c r="F27" s="39"/>
      <c r="G27" s="39"/>
      <c r="H27" s="39"/>
      <c r="I27" s="43"/>
      <c r="J27" s="217"/>
    </row>
    <row r="28" spans="2:17" ht="15">
      <c r="C28" s="202"/>
      <c r="D28" s="215"/>
      <c r="E28" s="39"/>
      <c r="F28" s="39"/>
      <c r="G28" s="39"/>
      <c r="H28" s="39"/>
      <c r="I28" s="43"/>
      <c r="J28" s="217"/>
    </row>
    <row r="29" spans="2:17" ht="15">
      <c r="C29" s="202"/>
      <c r="D29" s="215"/>
      <c r="E29" s="39"/>
      <c r="F29" s="39"/>
      <c r="G29" s="39"/>
      <c r="H29" s="39"/>
      <c r="I29" s="43"/>
      <c r="J29" s="217"/>
    </row>
    <row r="30" spans="2:17" ht="15">
      <c r="C30" s="202"/>
      <c r="D30" s="215"/>
      <c r="E30" s="39"/>
      <c r="F30" s="39"/>
      <c r="G30" s="39"/>
      <c r="H30" s="39"/>
      <c r="I30" s="43"/>
      <c r="J30" s="217"/>
    </row>
    <row r="31" spans="2:17" ht="15">
      <c r="C31" s="202"/>
      <c r="D31" s="215"/>
      <c r="E31" s="39"/>
      <c r="F31" s="39"/>
      <c r="G31" s="39"/>
      <c r="H31" s="39"/>
      <c r="I31" s="43"/>
      <c r="J31" s="217"/>
    </row>
    <row r="32" spans="2:17" ht="15">
      <c r="C32" s="202"/>
      <c r="D32" s="215"/>
      <c r="E32" s="39"/>
      <c r="F32" s="39"/>
      <c r="G32" s="39"/>
      <c r="H32" s="39"/>
      <c r="I32" s="43"/>
      <c r="J32" s="217"/>
    </row>
    <row r="33" spans="1:31" ht="15">
      <c r="C33" s="202"/>
      <c r="D33" s="215"/>
      <c r="E33" s="39"/>
      <c r="F33" s="39"/>
      <c r="G33" s="39"/>
      <c r="H33" s="39"/>
      <c r="I33" s="43"/>
      <c r="J33" s="217"/>
    </row>
    <row r="34" spans="1:31" ht="15">
      <c r="C34" s="197"/>
      <c r="D34" s="216"/>
      <c r="E34" s="53"/>
      <c r="F34" s="53"/>
      <c r="G34" s="53"/>
      <c r="H34" s="53"/>
      <c r="I34" s="179"/>
      <c r="J34" s="218"/>
    </row>
    <row r="35" spans="1:31">
      <c r="C35" s="167"/>
      <c r="D35" s="167"/>
      <c r="E35" s="39"/>
      <c r="F35" s="39"/>
      <c r="G35" s="39"/>
      <c r="H35" s="39"/>
      <c r="I35" s="43"/>
      <c r="J35" s="203"/>
    </row>
    <row r="36" spans="1:31">
      <c r="C36" s="323" t="s">
        <v>974</v>
      </c>
      <c r="D36" s="324"/>
      <c r="E36" s="325" t="s">
        <v>975</v>
      </c>
      <c r="F36" s="325" t="s">
        <v>976</v>
      </c>
      <c r="G36" s="325" t="s">
        <v>977</v>
      </c>
      <c r="H36" s="325" t="s">
        <v>978</v>
      </c>
      <c r="I36" s="326" t="s">
        <v>979</v>
      </c>
      <c r="J36" s="183"/>
    </row>
    <row r="39" spans="1:31" ht="17.25" thickBot="1">
      <c r="B39" s="5" t="s">
        <v>182</v>
      </c>
      <c r="C39" s="5"/>
      <c r="D39" s="5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3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31" s="76" customFormat="1" ht="13.5">
      <c r="A41" s="75"/>
      <c r="D41" s="78" t="s">
        <v>183</v>
      </c>
      <c r="E41" s="79"/>
      <c r="F41" s="78" t="s">
        <v>184</v>
      </c>
      <c r="G41" s="79"/>
      <c r="H41" s="78" t="s">
        <v>185</v>
      </c>
      <c r="I41" s="79"/>
      <c r="J41" s="78" t="s">
        <v>186</v>
      </c>
      <c r="K41" s="79"/>
      <c r="L41" s="80" t="s">
        <v>187</v>
      </c>
      <c r="M41" s="81"/>
      <c r="N41" s="81"/>
      <c r="O41" s="81"/>
      <c r="P41" s="81"/>
      <c r="Q41" s="81"/>
      <c r="R41" s="81"/>
      <c r="S41" s="82"/>
      <c r="T41" s="89" t="s">
        <v>59</v>
      </c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1"/>
    </row>
    <row r="42" spans="1:31" s="85" customFormat="1" ht="38.25">
      <c r="A42" s="84"/>
      <c r="C42" s="116" t="s">
        <v>172</v>
      </c>
      <c r="D42" s="86" t="s">
        <v>188</v>
      </c>
      <c r="E42" s="87" t="s">
        <v>189</v>
      </c>
      <c r="F42" s="86" t="s">
        <v>190</v>
      </c>
      <c r="G42" s="87" t="s">
        <v>191</v>
      </c>
      <c r="H42" s="86" t="s">
        <v>190</v>
      </c>
      <c r="I42" s="87" t="s">
        <v>191</v>
      </c>
      <c r="J42" s="86" t="s">
        <v>190</v>
      </c>
      <c r="K42" s="87" t="s">
        <v>191</v>
      </c>
      <c r="L42" s="86" t="s">
        <v>192</v>
      </c>
      <c r="M42" s="88" t="s">
        <v>193</v>
      </c>
      <c r="N42" s="88" t="s">
        <v>194</v>
      </c>
      <c r="O42" s="87" t="s">
        <v>195</v>
      </c>
      <c r="P42" s="88" t="s">
        <v>196</v>
      </c>
      <c r="Q42" s="88" t="s">
        <v>197</v>
      </c>
      <c r="R42" s="88" t="s">
        <v>198</v>
      </c>
      <c r="S42" s="87" t="s">
        <v>199</v>
      </c>
      <c r="T42" s="92" t="s">
        <v>200</v>
      </c>
      <c r="U42" s="93" t="s">
        <v>201</v>
      </c>
      <c r="V42" s="93" t="s">
        <v>202</v>
      </c>
      <c r="W42" s="94" t="s">
        <v>203</v>
      </c>
      <c r="X42" s="92" t="s">
        <v>204</v>
      </c>
      <c r="Y42" s="93" t="s">
        <v>205</v>
      </c>
      <c r="Z42" s="93" t="s">
        <v>206</v>
      </c>
      <c r="AA42" s="94" t="s">
        <v>207</v>
      </c>
      <c r="AB42" s="93" t="s">
        <v>208</v>
      </c>
      <c r="AC42" s="93" t="s">
        <v>209</v>
      </c>
      <c r="AD42" s="93" t="s">
        <v>210</v>
      </c>
      <c r="AE42" s="94" t="s">
        <v>211</v>
      </c>
    </row>
    <row r="43" spans="1:31" ht="15">
      <c r="C43" s="337" t="s">
        <v>980</v>
      </c>
      <c r="D43" s="219"/>
      <c r="E43" s="52"/>
      <c r="F43" s="219"/>
      <c r="G43" s="52"/>
      <c r="H43" s="219"/>
      <c r="I43" s="52"/>
      <c r="J43" s="219"/>
      <c r="K43" s="52"/>
      <c r="L43" s="221"/>
      <c r="M43" s="222"/>
      <c r="N43" s="222"/>
      <c r="O43" s="223"/>
      <c r="P43" s="222"/>
      <c r="Q43" s="222"/>
      <c r="R43" s="222"/>
      <c r="S43" s="223"/>
      <c r="T43" s="227"/>
      <c r="U43" s="228"/>
      <c r="V43" s="228"/>
      <c r="W43" s="229"/>
      <c r="X43" s="227"/>
      <c r="Y43" s="228"/>
      <c r="Z43" s="228"/>
      <c r="AA43" s="229"/>
      <c r="AB43" s="228"/>
      <c r="AC43" s="228"/>
      <c r="AD43" s="228"/>
      <c r="AE43" s="229"/>
    </row>
    <row r="44" spans="1:31" ht="15">
      <c r="C44" s="73"/>
      <c r="D44" s="219"/>
      <c r="E44" s="52"/>
      <c r="F44" s="219"/>
      <c r="G44" s="52"/>
      <c r="H44" s="219"/>
      <c r="I44" s="52"/>
      <c r="J44" s="219"/>
      <c r="K44" s="52"/>
      <c r="L44" s="221"/>
      <c r="M44" s="222"/>
      <c r="N44" s="222"/>
      <c r="O44" s="223"/>
      <c r="P44" s="222"/>
      <c r="Q44" s="222"/>
      <c r="R44" s="222"/>
      <c r="S44" s="223"/>
      <c r="T44" s="227"/>
      <c r="U44" s="228"/>
      <c r="V44" s="228"/>
      <c r="W44" s="229"/>
      <c r="X44" s="227"/>
      <c r="Y44" s="228"/>
      <c r="Z44" s="228"/>
      <c r="AA44" s="229"/>
      <c r="AB44" s="228"/>
      <c r="AC44" s="228"/>
      <c r="AD44" s="228"/>
      <c r="AE44" s="229"/>
    </row>
    <row r="45" spans="1:31" ht="15">
      <c r="C45" s="73"/>
      <c r="D45" s="219"/>
      <c r="E45" s="52"/>
      <c r="F45" s="219"/>
      <c r="G45" s="52"/>
      <c r="H45" s="219"/>
      <c r="I45" s="52"/>
      <c r="J45" s="219"/>
      <c r="K45" s="52"/>
      <c r="L45" s="221"/>
      <c r="M45" s="222"/>
      <c r="N45" s="222"/>
      <c r="O45" s="223"/>
      <c r="P45" s="222"/>
      <c r="Q45" s="222"/>
      <c r="R45" s="222"/>
      <c r="S45" s="223"/>
      <c r="T45" s="227"/>
      <c r="U45" s="228"/>
      <c r="V45" s="228"/>
      <c r="W45" s="229"/>
      <c r="X45" s="227"/>
      <c r="Y45" s="228"/>
      <c r="Z45" s="228"/>
      <c r="AA45" s="229"/>
      <c r="AB45" s="228"/>
      <c r="AC45" s="228"/>
      <c r="AD45" s="228"/>
      <c r="AE45" s="229"/>
    </row>
    <row r="46" spans="1:31" ht="15">
      <c r="C46" s="73"/>
      <c r="D46" s="219"/>
      <c r="E46" s="52"/>
      <c r="F46" s="219"/>
      <c r="G46" s="52"/>
      <c r="H46" s="219"/>
      <c r="I46" s="52"/>
      <c r="J46" s="219"/>
      <c r="K46" s="52"/>
      <c r="L46" s="221"/>
      <c r="M46" s="222"/>
      <c r="N46" s="222"/>
      <c r="O46" s="223"/>
      <c r="P46" s="222"/>
      <c r="Q46" s="222"/>
      <c r="R46" s="222"/>
      <c r="S46" s="223"/>
      <c r="T46" s="227"/>
      <c r="U46" s="228"/>
      <c r="V46" s="228"/>
      <c r="W46" s="229"/>
      <c r="X46" s="227"/>
      <c r="Y46" s="228"/>
      <c r="Z46" s="228"/>
      <c r="AA46" s="229"/>
      <c r="AB46" s="228"/>
      <c r="AC46" s="228"/>
      <c r="AD46" s="228"/>
      <c r="AE46" s="229"/>
    </row>
    <row r="47" spans="1:31" ht="15">
      <c r="C47" s="73"/>
      <c r="D47" s="219"/>
      <c r="E47" s="52"/>
      <c r="F47" s="219"/>
      <c r="G47" s="52"/>
      <c r="H47" s="219"/>
      <c r="I47" s="52"/>
      <c r="J47" s="219"/>
      <c r="K47" s="52"/>
      <c r="L47" s="221"/>
      <c r="M47" s="222"/>
      <c r="N47" s="222"/>
      <c r="O47" s="223"/>
      <c r="P47" s="222"/>
      <c r="Q47" s="222"/>
      <c r="R47" s="222"/>
      <c r="S47" s="223"/>
      <c r="T47" s="227"/>
      <c r="U47" s="228"/>
      <c r="V47" s="228"/>
      <c r="W47" s="229"/>
      <c r="X47" s="227"/>
      <c r="Y47" s="228"/>
      <c r="Z47" s="228"/>
      <c r="AA47" s="229"/>
      <c r="AB47" s="228"/>
      <c r="AC47" s="228"/>
      <c r="AD47" s="228"/>
      <c r="AE47" s="229"/>
    </row>
    <row r="48" spans="1:31" ht="15">
      <c r="C48" s="73"/>
      <c r="D48" s="219"/>
      <c r="E48" s="52"/>
      <c r="F48" s="219"/>
      <c r="G48" s="52"/>
      <c r="H48" s="219"/>
      <c r="I48" s="52"/>
      <c r="J48" s="219"/>
      <c r="K48" s="52"/>
      <c r="L48" s="221"/>
      <c r="M48" s="222"/>
      <c r="N48" s="222"/>
      <c r="O48" s="223"/>
      <c r="P48" s="222"/>
      <c r="Q48" s="222"/>
      <c r="R48" s="222"/>
      <c r="S48" s="223"/>
      <c r="T48" s="227"/>
      <c r="U48" s="228"/>
      <c r="V48" s="228"/>
      <c r="W48" s="229"/>
      <c r="X48" s="227"/>
      <c r="Y48" s="228"/>
      <c r="Z48" s="228"/>
      <c r="AA48" s="229"/>
      <c r="AB48" s="228"/>
      <c r="AC48" s="228"/>
      <c r="AD48" s="228"/>
      <c r="AE48" s="229"/>
    </row>
    <row r="49" spans="1:31" ht="15">
      <c r="C49" s="73"/>
      <c r="D49" s="219"/>
      <c r="E49" s="52"/>
      <c r="F49" s="219"/>
      <c r="G49" s="52"/>
      <c r="H49" s="219"/>
      <c r="I49" s="52"/>
      <c r="J49" s="219"/>
      <c r="K49" s="52"/>
      <c r="L49" s="221"/>
      <c r="M49" s="222"/>
      <c r="N49" s="222"/>
      <c r="O49" s="223"/>
      <c r="P49" s="222"/>
      <c r="Q49" s="222"/>
      <c r="R49" s="222"/>
      <c r="S49" s="223"/>
      <c r="T49" s="227"/>
      <c r="U49" s="228"/>
      <c r="V49" s="228"/>
      <c r="W49" s="229"/>
      <c r="X49" s="227"/>
      <c r="Y49" s="228"/>
      <c r="Z49" s="228"/>
      <c r="AA49" s="229"/>
      <c r="AB49" s="228"/>
      <c r="AC49" s="228"/>
      <c r="AD49" s="228"/>
      <c r="AE49" s="229"/>
    </row>
    <row r="50" spans="1:31" ht="15">
      <c r="C50" s="73"/>
      <c r="D50" s="219"/>
      <c r="E50" s="52"/>
      <c r="F50" s="219"/>
      <c r="G50" s="52"/>
      <c r="H50" s="219"/>
      <c r="I50" s="52"/>
      <c r="J50" s="219"/>
      <c r="K50" s="52"/>
      <c r="L50" s="221"/>
      <c r="M50" s="222"/>
      <c r="N50" s="222"/>
      <c r="O50" s="223"/>
      <c r="P50" s="222"/>
      <c r="Q50" s="222"/>
      <c r="R50" s="222"/>
      <c r="S50" s="223"/>
      <c r="T50" s="227"/>
      <c r="U50" s="228"/>
      <c r="V50" s="228"/>
      <c r="W50" s="229"/>
      <c r="X50" s="227"/>
      <c r="Y50" s="228"/>
      <c r="Z50" s="228"/>
      <c r="AA50" s="229"/>
      <c r="AB50" s="228"/>
      <c r="AC50" s="228"/>
      <c r="AD50" s="228"/>
      <c r="AE50" s="229"/>
    </row>
    <row r="51" spans="1:31" ht="15">
      <c r="C51" s="73"/>
      <c r="D51" s="219"/>
      <c r="E51" s="52"/>
      <c r="F51" s="219"/>
      <c r="G51" s="52"/>
      <c r="H51" s="219"/>
      <c r="I51" s="52"/>
      <c r="J51" s="219"/>
      <c r="K51" s="52"/>
      <c r="L51" s="221"/>
      <c r="M51" s="222"/>
      <c r="N51" s="222"/>
      <c r="O51" s="223"/>
      <c r="P51" s="222"/>
      <c r="Q51" s="222"/>
      <c r="R51" s="222"/>
      <c r="S51" s="223"/>
      <c r="T51" s="227"/>
      <c r="U51" s="228"/>
      <c r="V51" s="228"/>
      <c r="W51" s="229"/>
      <c r="X51" s="227"/>
      <c r="Y51" s="228"/>
      <c r="Z51" s="228"/>
      <c r="AA51" s="229"/>
      <c r="AB51" s="228"/>
      <c r="AC51" s="228"/>
      <c r="AD51" s="228"/>
      <c r="AE51" s="229"/>
    </row>
    <row r="52" spans="1:31" ht="15">
      <c r="C52" s="73"/>
      <c r="D52" s="219"/>
      <c r="E52" s="52"/>
      <c r="F52" s="219"/>
      <c r="G52" s="52"/>
      <c r="H52" s="219"/>
      <c r="I52" s="52"/>
      <c r="J52" s="219"/>
      <c r="K52" s="52"/>
      <c r="L52" s="221"/>
      <c r="M52" s="222"/>
      <c r="N52" s="222"/>
      <c r="O52" s="223"/>
      <c r="P52" s="222"/>
      <c r="Q52" s="222"/>
      <c r="R52" s="222"/>
      <c r="S52" s="223"/>
      <c r="T52" s="227"/>
      <c r="U52" s="228"/>
      <c r="V52" s="228"/>
      <c r="W52" s="229"/>
      <c r="X52" s="227"/>
      <c r="Y52" s="228"/>
      <c r="Z52" s="228"/>
      <c r="AA52" s="229"/>
      <c r="AB52" s="228"/>
      <c r="AC52" s="228"/>
      <c r="AD52" s="228"/>
      <c r="AE52" s="229"/>
    </row>
    <row r="53" spans="1:31" ht="15">
      <c r="C53" s="74"/>
      <c r="D53" s="220"/>
      <c r="E53" s="42"/>
      <c r="F53" s="220"/>
      <c r="G53" s="42"/>
      <c r="H53" s="220"/>
      <c r="I53" s="42"/>
      <c r="J53" s="220"/>
      <c r="K53" s="42"/>
      <c r="L53" s="224"/>
      <c r="M53" s="225"/>
      <c r="N53" s="225"/>
      <c r="O53" s="226"/>
      <c r="P53" s="225"/>
      <c r="Q53" s="225"/>
      <c r="R53" s="225"/>
      <c r="S53" s="226"/>
      <c r="T53" s="230"/>
      <c r="U53" s="231"/>
      <c r="V53" s="231"/>
      <c r="W53" s="232"/>
      <c r="X53" s="230"/>
      <c r="Y53" s="231"/>
      <c r="Z53" s="231"/>
      <c r="AA53" s="232"/>
      <c r="AB53" s="231"/>
      <c r="AC53" s="231"/>
      <c r="AD53" s="231"/>
      <c r="AE53" s="232"/>
    </row>
    <row r="56" spans="1:31" ht="17.25" thickBot="1">
      <c r="B56" s="5" t="s">
        <v>212</v>
      </c>
      <c r="C56" s="5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31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31" s="76" customFormat="1" ht="15">
      <c r="A58" s="75"/>
      <c r="D58" s="78" t="s">
        <v>213</v>
      </c>
      <c r="E58" s="110"/>
      <c r="F58" s="110"/>
      <c r="G58" s="79"/>
      <c r="H58" s="110" t="s">
        <v>214</v>
      </c>
      <c r="I58" s="110"/>
      <c r="J58" s="110"/>
      <c r="K58" s="110"/>
      <c r="L58" s="81"/>
      <c r="M58" s="81"/>
      <c r="N58" s="81"/>
      <c r="O58" s="80" t="s">
        <v>215</v>
      </c>
      <c r="P58" s="81"/>
      <c r="Q58" s="81"/>
      <c r="R58" s="81"/>
      <c r="S58" s="82"/>
      <c r="T58" s="80" t="s">
        <v>216</v>
      </c>
      <c r="U58" s="81"/>
      <c r="V58" s="81"/>
      <c r="W58" s="81"/>
      <c r="X58" s="82"/>
      <c r="Y58" s="80" t="s">
        <v>217</v>
      </c>
      <c r="Z58" s="82"/>
      <c r="AA58"/>
    </row>
    <row r="59" spans="1:31" s="85" customFormat="1" ht="38.25">
      <c r="A59" s="84"/>
      <c r="C59" s="116" t="s">
        <v>172</v>
      </c>
      <c r="D59" s="86" t="s">
        <v>218</v>
      </c>
      <c r="E59" s="88" t="s">
        <v>219</v>
      </c>
      <c r="F59" s="88" t="s">
        <v>220</v>
      </c>
      <c r="G59" s="87" t="s">
        <v>221</v>
      </c>
      <c r="H59" s="88" t="s">
        <v>222</v>
      </c>
      <c r="I59" s="88" t="s">
        <v>223</v>
      </c>
      <c r="J59" s="88" t="s">
        <v>224</v>
      </c>
      <c r="K59" s="88" t="s">
        <v>225</v>
      </c>
      <c r="L59" s="88" t="s">
        <v>226</v>
      </c>
      <c r="M59" s="88" t="s">
        <v>227</v>
      </c>
      <c r="N59" s="88" t="s">
        <v>228</v>
      </c>
      <c r="O59" s="86" t="s">
        <v>229</v>
      </c>
      <c r="P59" s="88" t="s">
        <v>230</v>
      </c>
      <c r="Q59" s="88" t="s">
        <v>226</v>
      </c>
      <c r="R59" s="88" t="s">
        <v>231</v>
      </c>
      <c r="S59" s="87" t="s">
        <v>232</v>
      </c>
      <c r="T59" s="86" t="s">
        <v>233</v>
      </c>
      <c r="U59" s="88" t="s">
        <v>234</v>
      </c>
      <c r="V59" s="88" t="s">
        <v>226</v>
      </c>
      <c r="W59" s="88" t="s">
        <v>235</v>
      </c>
      <c r="X59" s="87" t="s">
        <v>236</v>
      </c>
      <c r="Y59" s="86" t="s">
        <v>237</v>
      </c>
      <c r="Z59" s="87" t="s">
        <v>238</v>
      </c>
      <c r="AA59"/>
      <c r="AB59"/>
      <c r="AC59"/>
      <c r="AD59"/>
      <c r="AE59"/>
    </row>
    <row r="60" spans="1:31" ht="15">
      <c r="C60" s="337" t="s">
        <v>981</v>
      </c>
      <c r="D60" s="219"/>
      <c r="E60" s="39"/>
      <c r="F60" s="233"/>
      <c r="G60" s="52"/>
      <c r="H60" s="235"/>
      <c r="I60" s="43"/>
      <c r="J60" s="235"/>
      <c r="K60" s="43"/>
      <c r="L60" s="167"/>
      <c r="M60" s="39"/>
      <c r="N60" s="43"/>
      <c r="O60" s="45"/>
      <c r="P60" s="43"/>
      <c r="Q60" s="167"/>
      <c r="R60" s="39"/>
      <c r="S60" s="46"/>
      <c r="T60" s="45"/>
      <c r="U60" s="43"/>
      <c r="V60" s="167"/>
      <c r="W60" s="39"/>
      <c r="X60" s="46"/>
      <c r="Y60" s="114"/>
      <c r="Z60" s="46"/>
    </row>
    <row r="61" spans="1:31" ht="15">
      <c r="C61" s="73"/>
      <c r="D61" s="219"/>
      <c r="E61" s="39"/>
      <c r="F61" s="233"/>
      <c r="G61" s="52"/>
      <c r="H61" s="235"/>
      <c r="I61" s="43"/>
      <c r="J61" s="235"/>
      <c r="K61" s="43"/>
      <c r="L61" s="167"/>
      <c r="M61" s="39"/>
      <c r="N61" s="43"/>
      <c r="O61" s="45"/>
      <c r="P61" s="43"/>
      <c r="Q61" s="167"/>
      <c r="R61" s="39"/>
      <c r="S61" s="46"/>
      <c r="T61" s="45"/>
      <c r="U61" s="43"/>
      <c r="V61" s="167"/>
      <c r="W61" s="39"/>
      <c r="X61" s="46"/>
      <c r="Y61" s="114"/>
      <c r="Z61" s="46"/>
    </row>
    <row r="62" spans="1:31" ht="15">
      <c r="C62" s="73"/>
      <c r="D62" s="219"/>
      <c r="E62" s="39"/>
      <c r="F62" s="233"/>
      <c r="G62" s="52"/>
      <c r="H62" s="235"/>
      <c r="I62" s="43"/>
      <c r="J62" s="235"/>
      <c r="K62" s="43"/>
      <c r="L62" s="167"/>
      <c r="M62" s="39"/>
      <c r="N62" s="43"/>
      <c r="O62" s="45"/>
      <c r="P62" s="43"/>
      <c r="Q62" s="167"/>
      <c r="R62" s="39"/>
      <c r="S62" s="46"/>
      <c r="T62" s="45"/>
      <c r="U62" s="43"/>
      <c r="V62" s="167"/>
      <c r="W62" s="39"/>
      <c r="X62" s="46"/>
      <c r="Y62" s="114"/>
      <c r="Z62" s="46"/>
    </row>
    <row r="63" spans="1:31" ht="15">
      <c r="C63" s="73"/>
      <c r="D63" s="219"/>
      <c r="E63" s="39"/>
      <c r="F63" s="233"/>
      <c r="G63" s="52"/>
      <c r="H63" s="235"/>
      <c r="I63" s="43"/>
      <c r="J63" s="235"/>
      <c r="K63" s="43"/>
      <c r="L63" s="167"/>
      <c r="M63" s="39"/>
      <c r="N63" s="43"/>
      <c r="O63" s="45"/>
      <c r="P63" s="43"/>
      <c r="Q63" s="167"/>
      <c r="R63" s="39"/>
      <c r="S63" s="46"/>
      <c r="T63" s="45"/>
      <c r="U63" s="43"/>
      <c r="V63" s="167"/>
      <c r="W63" s="39"/>
      <c r="X63" s="46"/>
      <c r="Y63" s="114"/>
      <c r="Z63" s="46"/>
    </row>
    <row r="64" spans="1:31" ht="15">
      <c r="C64" s="73"/>
      <c r="D64" s="219"/>
      <c r="E64" s="39"/>
      <c r="F64" s="233"/>
      <c r="G64" s="52"/>
      <c r="H64" s="235"/>
      <c r="I64" s="43"/>
      <c r="J64" s="235"/>
      <c r="K64" s="43"/>
      <c r="L64" s="167"/>
      <c r="M64" s="39"/>
      <c r="N64" s="43"/>
      <c r="O64" s="45"/>
      <c r="P64" s="43"/>
      <c r="Q64" s="167"/>
      <c r="R64" s="39"/>
      <c r="S64" s="46"/>
      <c r="T64" s="45"/>
      <c r="U64" s="43"/>
      <c r="V64" s="167"/>
      <c r="W64" s="39"/>
      <c r="X64" s="46"/>
      <c r="Y64" s="114"/>
      <c r="Z64" s="46"/>
    </row>
    <row r="65" spans="1:54" ht="15">
      <c r="C65" s="73"/>
      <c r="D65" s="219"/>
      <c r="E65" s="39"/>
      <c r="F65" s="233"/>
      <c r="G65" s="52"/>
      <c r="H65" s="235"/>
      <c r="I65" s="43"/>
      <c r="J65" s="235"/>
      <c r="K65" s="43"/>
      <c r="L65" s="167"/>
      <c r="M65" s="39"/>
      <c r="N65" s="43"/>
      <c r="O65" s="45"/>
      <c r="P65" s="43"/>
      <c r="Q65" s="167"/>
      <c r="R65" s="39"/>
      <c r="S65" s="46"/>
      <c r="T65" s="45"/>
      <c r="U65" s="43"/>
      <c r="V65" s="167"/>
      <c r="W65" s="39"/>
      <c r="X65" s="46"/>
      <c r="Y65" s="114"/>
      <c r="Z65" s="46"/>
    </row>
    <row r="66" spans="1:54" ht="15">
      <c r="C66" s="73"/>
      <c r="D66" s="219"/>
      <c r="E66" s="39"/>
      <c r="F66" s="233"/>
      <c r="G66" s="52"/>
      <c r="H66" s="235"/>
      <c r="I66" s="43"/>
      <c r="J66" s="235"/>
      <c r="K66" s="43"/>
      <c r="L66" s="167"/>
      <c r="M66" s="39"/>
      <c r="N66" s="43"/>
      <c r="O66" s="45"/>
      <c r="P66" s="43"/>
      <c r="Q66" s="167"/>
      <c r="R66" s="39"/>
      <c r="S66" s="46"/>
      <c r="T66" s="45"/>
      <c r="U66" s="43"/>
      <c r="V66" s="167"/>
      <c r="W66" s="39"/>
      <c r="X66" s="46"/>
      <c r="Y66" s="114"/>
      <c r="Z66" s="46"/>
    </row>
    <row r="67" spans="1:54" ht="15">
      <c r="C67" s="73"/>
      <c r="D67" s="219"/>
      <c r="E67" s="39"/>
      <c r="F67" s="233"/>
      <c r="G67" s="52"/>
      <c r="H67" s="235"/>
      <c r="I67" s="43"/>
      <c r="J67" s="235"/>
      <c r="K67" s="43"/>
      <c r="L67" s="167"/>
      <c r="M67" s="39"/>
      <c r="N67" s="43"/>
      <c r="O67" s="45"/>
      <c r="P67" s="43"/>
      <c r="Q67" s="167"/>
      <c r="R67" s="39"/>
      <c r="S67" s="46"/>
      <c r="T67" s="45"/>
      <c r="U67" s="43"/>
      <c r="V67" s="167"/>
      <c r="W67" s="39"/>
      <c r="X67" s="46"/>
      <c r="Y67" s="114"/>
      <c r="Z67" s="46"/>
    </row>
    <row r="68" spans="1:54" ht="15">
      <c r="C68" s="73"/>
      <c r="D68" s="219"/>
      <c r="E68" s="39"/>
      <c r="F68" s="233"/>
      <c r="G68" s="52"/>
      <c r="H68" s="235"/>
      <c r="I68" s="43"/>
      <c r="J68" s="235"/>
      <c r="K68" s="43"/>
      <c r="L68" s="167"/>
      <c r="M68" s="39"/>
      <c r="N68" s="43"/>
      <c r="O68" s="45"/>
      <c r="P68" s="43"/>
      <c r="Q68" s="167"/>
      <c r="R68" s="39"/>
      <c r="S68" s="46"/>
      <c r="T68" s="45"/>
      <c r="U68" s="43"/>
      <c r="V68" s="167"/>
      <c r="W68" s="39"/>
      <c r="X68" s="46"/>
      <c r="Y68" s="114"/>
      <c r="Z68" s="46"/>
    </row>
    <row r="69" spans="1:54" ht="15">
      <c r="C69" s="74"/>
      <c r="D69" s="220"/>
      <c r="E69" s="53"/>
      <c r="F69" s="234"/>
      <c r="G69" s="42"/>
      <c r="H69" s="236"/>
      <c r="I69" s="179"/>
      <c r="J69" s="236"/>
      <c r="K69" s="179"/>
      <c r="L69" s="178"/>
      <c r="M69" s="53"/>
      <c r="N69" s="179"/>
      <c r="O69" s="47"/>
      <c r="P69" s="179"/>
      <c r="Q69" s="178"/>
      <c r="R69" s="53"/>
      <c r="S69" s="48"/>
      <c r="T69" s="47"/>
      <c r="U69" s="179"/>
      <c r="V69" s="178"/>
      <c r="W69" s="53"/>
      <c r="X69" s="48"/>
      <c r="Y69" s="41"/>
      <c r="Z69" s="48"/>
    </row>
    <row r="70" spans="1:54">
      <c r="D70" s="39"/>
      <c r="E70" s="39"/>
      <c r="F70" s="39"/>
      <c r="G70" s="39"/>
      <c r="H70" s="43"/>
      <c r="I70" s="43"/>
      <c r="J70" s="43"/>
      <c r="K70" s="43"/>
      <c r="L70" s="167"/>
      <c r="M70" s="39"/>
      <c r="N70" s="43"/>
      <c r="O70" s="43"/>
      <c r="P70" s="43"/>
      <c r="Q70" s="167"/>
      <c r="R70" s="39"/>
      <c r="S70" s="43"/>
      <c r="T70" s="43"/>
      <c r="U70" s="43"/>
      <c r="V70" s="167"/>
      <c r="W70" s="39"/>
      <c r="X70" s="43"/>
      <c r="Y70" s="39"/>
      <c r="Z70" s="43"/>
    </row>
    <row r="71" spans="1:54">
      <c r="C71" s="332" t="s">
        <v>982</v>
      </c>
      <c r="D71" s="211" t="s">
        <v>983</v>
      </c>
      <c r="E71" s="325" t="s">
        <v>984</v>
      </c>
      <c r="F71" s="329" t="s">
        <v>985</v>
      </c>
      <c r="G71" s="72" t="s">
        <v>986</v>
      </c>
      <c r="H71" s="330"/>
      <c r="I71" s="326" t="s">
        <v>987</v>
      </c>
      <c r="J71" s="330" t="s">
        <v>988</v>
      </c>
      <c r="K71" s="326" t="s">
        <v>989</v>
      </c>
      <c r="L71" s="328"/>
      <c r="M71" s="325" t="s">
        <v>990</v>
      </c>
      <c r="N71" s="326" t="s">
        <v>991</v>
      </c>
      <c r="O71" s="327" t="s">
        <v>992</v>
      </c>
      <c r="P71" s="326" t="s">
        <v>993</v>
      </c>
      <c r="Q71" s="328"/>
      <c r="R71" s="325" t="s">
        <v>994</v>
      </c>
      <c r="S71" s="50" t="s">
        <v>995</v>
      </c>
      <c r="T71" s="49" t="s">
        <v>996</v>
      </c>
      <c r="U71" s="326" t="s">
        <v>997</v>
      </c>
      <c r="V71" s="328"/>
      <c r="W71" s="325" t="s">
        <v>998</v>
      </c>
      <c r="X71" s="50" t="s">
        <v>999</v>
      </c>
      <c r="Y71" s="331" t="s">
        <v>1000</v>
      </c>
      <c r="Z71" s="50" t="s">
        <v>1001</v>
      </c>
    </row>
    <row r="74" spans="1:54" s="96" customFormat="1" ht="17.25" hidden="1" outlineLevel="1" thickBot="1">
      <c r="A74" s="117"/>
      <c r="B74" s="118" t="s">
        <v>239</v>
      </c>
      <c r="C74" s="118"/>
      <c r="D74" s="118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</row>
    <row r="75" spans="1:54" s="96" customFormat="1" hidden="1" outlineLevel="1">
      <c r="A75" s="117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</row>
    <row r="76" spans="1:54" s="96" customFormat="1" ht="15" hidden="1" outlineLevel="1">
      <c r="A76" s="117"/>
      <c r="B76" s="121"/>
      <c r="C76" s="121"/>
      <c r="D76" s="89" t="s">
        <v>213</v>
      </c>
      <c r="E76" s="90"/>
      <c r="F76" s="90"/>
      <c r="G76" s="90"/>
      <c r="H76" s="91"/>
      <c r="I76" s="89" t="s">
        <v>214</v>
      </c>
      <c r="J76" s="90"/>
      <c r="K76" s="90"/>
      <c r="L76" s="90"/>
      <c r="M76" s="90"/>
      <c r="N76" s="90"/>
      <c r="O76" s="90"/>
      <c r="P76" s="90"/>
      <c r="Q76" s="90"/>
      <c r="R76" s="91"/>
      <c r="S76" s="89" t="s">
        <v>215</v>
      </c>
      <c r="T76" s="90"/>
      <c r="U76" s="90"/>
      <c r="V76" s="90"/>
      <c r="W76" s="90"/>
      <c r="X76" s="90"/>
      <c r="Y76" s="90"/>
      <c r="Z76" s="90"/>
      <c r="AA76" s="90"/>
      <c r="AB76" s="90"/>
      <c r="AC76" s="91"/>
      <c r="AD76" s="89" t="s">
        <v>216</v>
      </c>
      <c r="AE76" s="90"/>
      <c r="AF76" s="90"/>
      <c r="AG76" s="90"/>
      <c r="AH76" s="90"/>
      <c r="AI76" s="90"/>
      <c r="AJ76" s="90"/>
      <c r="AK76" s="90"/>
      <c r="AL76" s="90"/>
      <c r="AM76" s="91"/>
      <c r="AN76" s="89" t="s">
        <v>217</v>
      </c>
      <c r="AO76" s="90"/>
      <c r="AP76" s="90"/>
      <c r="AQ76" s="90"/>
      <c r="AR76" s="90"/>
      <c r="AS76" s="90"/>
      <c r="AT76" s="90"/>
      <c r="AU76" s="90"/>
      <c r="AV76" s="91"/>
      <c r="AW76" s="89" t="s">
        <v>171</v>
      </c>
      <c r="AX76" s="90"/>
      <c r="AY76" s="90"/>
      <c r="AZ76" s="90"/>
      <c r="BA76" s="90"/>
      <c r="BB76" s="91"/>
    </row>
    <row r="77" spans="1:54" s="128" customFormat="1" ht="71.25" hidden="1" outlineLevel="1">
      <c r="A77" s="122"/>
      <c r="B77" s="123"/>
      <c r="C77" s="124" t="s">
        <v>172</v>
      </c>
      <c r="D77" s="125" t="s">
        <v>218</v>
      </c>
      <c r="E77" s="126" t="s">
        <v>219</v>
      </c>
      <c r="F77" s="126" t="s">
        <v>220</v>
      </c>
      <c r="G77" s="126" t="s">
        <v>221</v>
      </c>
      <c r="H77" s="126" t="s">
        <v>240</v>
      </c>
      <c r="I77" s="125" t="s">
        <v>222</v>
      </c>
      <c r="J77" s="126" t="s">
        <v>241</v>
      </c>
      <c r="K77" s="126" t="s">
        <v>242</v>
      </c>
      <c r="L77" s="126" t="s">
        <v>243</v>
      </c>
      <c r="M77" s="126" t="s">
        <v>223</v>
      </c>
      <c r="N77" s="126" t="s">
        <v>224</v>
      </c>
      <c r="O77" s="126" t="s">
        <v>225</v>
      </c>
      <c r="P77" s="126" t="s">
        <v>226</v>
      </c>
      <c r="Q77" s="126" t="s">
        <v>227</v>
      </c>
      <c r="R77" s="127" t="s">
        <v>228</v>
      </c>
      <c r="S77" s="126" t="s">
        <v>244</v>
      </c>
      <c r="T77" s="126" t="s">
        <v>245</v>
      </c>
      <c r="U77" s="126" t="s">
        <v>246</v>
      </c>
      <c r="V77" s="126" t="s">
        <v>247</v>
      </c>
      <c r="W77" s="126" t="s">
        <v>229</v>
      </c>
      <c r="X77" s="126" t="s">
        <v>248</v>
      </c>
      <c r="Y77" s="126" t="s">
        <v>230</v>
      </c>
      <c r="Z77" s="126" t="s">
        <v>226</v>
      </c>
      <c r="AA77" s="126" t="s">
        <v>249</v>
      </c>
      <c r="AB77" s="126" t="s">
        <v>231</v>
      </c>
      <c r="AC77" s="126" t="s">
        <v>232</v>
      </c>
      <c r="AD77" s="125" t="s">
        <v>250</v>
      </c>
      <c r="AE77" s="126" t="s">
        <v>251</v>
      </c>
      <c r="AF77" s="126" t="s">
        <v>252</v>
      </c>
      <c r="AG77" s="126" t="s">
        <v>253</v>
      </c>
      <c r="AH77" s="126" t="s">
        <v>233</v>
      </c>
      <c r="AI77" s="126" t="s">
        <v>254</v>
      </c>
      <c r="AJ77" s="126" t="s">
        <v>234</v>
      </c>
      <c r="AK77" s="126" t="s">
        <v>226</v>
      </c>
      <c r="AL77" s="126" t="s">
        <v>235</v>
      </c>
      <c r="AM77" s="127" t="s">
        <v>236</v>
      </c>
      <c r="AN77" s="126" t="s">
        <v>255</v>
      </c>
      <c r="AO77" s="126" t="s">
        <v>256</v>
      </c>
      <c r="AP77" s="126" t="s">
        <v>257</v>
      </c>
      <c r="AQ77" s="126" t="s">
        <v>258</v>
      </c>
      <c r="AR77" s="126" t="s">
        <v>237</v>
      </c>
      <c r="AS77" s="126" t="s">
        <v>259</v>
      </c>
      <c r="AT77" s="126" t="s">
        <v>260</v>
      </c>
      <c r="AU77" s="126" t="s">
        <v>261</v>
      </c>
      <c r="AV77" s="126" t="s">
        <v>238</v>
      </c>
      <c r="AW77" s="125" t="s">
        <v>175</v>
      </c>
      <c r="AX77" s="126" t="s">
        <v>262</v>
      </c>
      <c r="AY77" s="126" t="s">
        <v>263</v>
      </c>
      <c r="AZ77" s="126" t="s">
        <v>264</v>
      </c>
      <c r="BA77" s="126" t="s">
        <v>265</v>
      </c>
      <c r="BB77" s="127" t="s">
        <v>266</v>
      </c>
    </row>
    <row r="78" spans="1:54" s="96" customFormat="1" ht="15" hidden="1" outlineLevel="1">
      <c r="A78" s="117"/>
      <c r="C78" s="336" t="s">
        <v>1002</v>
      </c>
      <c r="D78" s="237"/>
      <c r="E78" s="130"/>
      <c r="F78" s="238"/>
      <c r="G78" s="130"/>
      <c r="H78" s="238"/>
      <c r="I78" s="243"/>
      <c r="J78" s="238"/>
      <c r="K78" s="130"/>
      <c r="L78" s="130"/>
      <c r="M78" s="245"/>
      <c r="N78" s="245"/>
      <c r="O78" s="245"/>
      <c r="P78" s="249"/>
      <c r="Q78" s="130"/>
      <c r="R78" s="247"/>
      <c r="S78" s="245"/>
      <c r="T78" s="130"/>
      <c r="U78" s="130"/>
      <c r="V78" s="130"/>
      <c r="W78" s="245"/>
      <c r="X78" s="245"/>
      <c r="Y78" s="245"/>
      <c r="Z78" s="249"/>
      <c r="AA78" s="245"/>
      <c r="AB78" s="130"/>
      <c r="AC78" s="245"/>
      <c r="AD78" s="243"/>
      <c r="AE78" s="253"/>
      <c r="AF78" s="253"/>
      <c r="AG78" s="253"/>
      <c r="AH78" s="228"/>
      <c r="AI78" s="228"/>
      <c r="AJ78" s="228"/>
      <c r="AK78" s="250"/>
      <c r="AL78" s="253"/>
      <c r="AM78" s="229"/>
      <c r="AN78" s="228"/>
      <c r="AO78" s="253"/>
      <c r="AP78" s="253"/>
      <c r="AQ78" s="253"/>
      <c r="AR78" s="253"/>
      <c r="AS78" s="228"/>
      <c r="AT78" s="228"/>
      <c r="AU78" s="228"/>
      <c r="AV78" s="228"/>
      <c r="AW78" s="256"/>
      <c r="AX78" s="257"/>
      <c r="AY78" s="257"/>
      <c r="AZ78" s="257"/>
      <c r="BA78" s="257"/>
      <c r="BB78" s="258"/>
    </row>
    <row r="79" spans="1:54" s="96" customFormat="1" ht="15" hidden="1" outlineLevel="1">
      <c r="A79" s="117"/>
      <c r="C79" s="129"/>
      <c r="D79" s="239"/>
      <c r="E79" s="103"/>
      <c r="F79" s="240"/>
      <c r="G79" s="103"/>
      <c r="H79" s="240"/>
      <c r="I79" s="227"/>
      <c r="J79" s="240"/>
      <c r="K79" s="103"/>
      <c r="L79" s="103"/>
      <c r="M79" s="228"/>
      <c r="N79" s="228"/>
      <c r="O79" s="228"/>
      <c r="P79" s="250"/>
      <c r="Q79" s="103"/>
      <c r="R79" s="229"/>
      <c r="S79" s="228"/>
      <c r="T79" s="103"/>
      <c r="U79" s="103"/>
      <c r="V79" s="103"/>
      <c r="W79" s="228"/>
      <c r="X79" s="228"/>
      <c r="Y79" s="228"/>
      <c r="Z79" s="250"/>
      <c r="AA79" s="228"/>
      <c r="AB79" s="103"/>
      <c r="AC79" s="228"/>
      <c r="AD79" s="227"/>
      <c r="AE79" s="253"/>
      <c r="AF79" s="253"/>
      <c r="AG79" s="253"/>
      <c r="AH79" s="228"/>
      <c r="AI79" s="228"/>
      <c r="AJ79" s="228"/>
      <c r="AK79" s="250"/>
      <c r="AL79" s="253"/>
      <c r="AM79" s="229"/>
      <c r="AN79" s="228"/>
      <c r="AO79" s="253"/>
      <c r="AP79" s="253"/>
      <c r="AQ79" s="253"/>
      <c r="AR79" s="253"/>
      <c r="AS79" s="228"/>
      <c r="AT79" s="228"/>
      <c r="AU79" s="228"/>
      <c r="AV79" s="228"/>
      <c r="AW79" s="256"/>
      <c r="AX79" s="257"/>
      <c r="AY79" s="257"/>
      <c r="AZ79" s="257"/>
      <c r="BA79" s="257"/>
      <c r="BB79" s="258"/>
    </row>
    <row r="80" spans="1:54" s="96" customFormat="1" ht="15" hidden="1" outlineLevel="1">
      <c r="A80" s="117"/>
      <c r="C80" s="129"/>
      <c r="D80" s="239"/>
      <c r="E80" s="103"/>
      <c r="F80" s="240"/>
      <c r="G80" s="103"/>
      <c r="H80" s="240"/>
      <c r="I80" s="227"/>
      <c r="J80" s="240"/>
      <c r="K80" s="103"/>
      <c r="L80" s="103"/>
      <c r="M80" s="228"/>
      <c r="N80" s="228"/>
      <c r="O80" s="228"/>
      <c r="P80" s="250"/>
      <c r="Q80" s="103"/>
      <c r="R80" s="229"/>
      <c r="S80" s="228"/>
      <c r="T80" s="103"/>
      <c r="U80" s="103"/>
      <c r="V80" s="103"/>
      <c r="W80" s="228"/>
      <c r="X80" s="228"/>
      <c r="Y80" s="228"/>
      <c r="Z80" s="250"/>
      <c r="AA80" s="228"/>
      <c r="AB80" s="103"/>
      <c r="AC80" s="228"/>
      <c r="AD80" s="227"/>
      <c r="AE80" s="253"/>
      <c r="AF80" s="253"/>
      <c r="AG80" s="253"/>
      <c r="AH80" s="228"/>
      <c r="AI80" s="228"/>
      <c r="AJ80" s="228"/>
      <c r="AK80" s="250"/>
      <c r="AL80" s="253"/>
      <c r="AM80" s="229"/>
      <c r="AN80" s="228"/>
      <c r="AO80" s="253"/>
      <c r="AP80" s="253"/>
      <c r="AQ80" s="253"/>
      <c r="AR80" s="253"/>
      <c r="AS80" s="228"/>
      <c r="AT80" s="228"/>
      <c r="AU80" s="228"/>
      <c r="AV80" s="228"/>
      <c r="AW80" s="256"/>
      <c r="AX80" s="257"/>
      <c r="AY80" s="257"/>
      <c r="AZ80" s="257"/>
      <c r="BA80" s="257"/>
      <c r="BB80" s="258"/>
    </row>
    <row r="81" spans="1:54" s="96" customFormat="1" ht="15" hidden="1" outlineLevel="1">
      <c r="A81" s="117"/>
      <c r="C81" s="129"/>
      <c r="D81" s="239"/>
      <c r="E81" s="103"/>
      <c r="F81" s="240"/>
      <c r="G81" s="103"/>
      <c r="H81" s="240"/>
      <c r="I81" s="227"/>
      <c r="J81" s="240"/>
      <c r="K81" s="103"/>
      <c r="L81" s="103"/>
      <c r="M81" s="228"/>
      <c r="N81" s="228"/>
      <c r="O81" s="228"/>
      <c r="P81" s="250"/>
      <c r="Q81" s="103"/>
      <c r="R81" s="229"/>
      <c r="S81" s="228"/>
      <c r="T81" s="103"/>
      <c r="U81" s="103"/>
      <c r="V81" s="103"/>
      <c r="W81" s="228"/>
      <c r="X81" s="228"/>
      <c r="Y81" s="228"/>
      <c r="Z81" s="250"/>
      <c r="AA81" s="228"/>
      <c r="AB81" s="103"/>
      <c r="AC81" s="228"/>
      <c r="AD81" s="227"/>
      <c r="AE81" s="253"/>
      <c r="AF81" s="253"/>
      <c r="AG81" s="253"/>
      <c r="AH81" s="228"/>
      <c r="AI81" s="228"/>
      <c r="AJ81" s="228"/>
      <c r="AK81" s="250"/>
      <c r="AL81" s="253"/>
      <c r="AM81" s="229"/>
      <c r="AN81" s="228"/>
      <c r="AO81" s="253"/>
      <c r="AP81" s="253"/>
      <c r="AQ81" s="253"/>
      <c r="AR81" s="253"/>
      <c r="AS81" s="228"/>
      <c r="AT81" s="228"/>
      <c r="AU81" s="228"/>
      <c r="AV81" s="228"/>
      <c r="AW81" s="256"/>
      <c r="AX81" s="257"/>
      <c r="AY81" s="257"/>
      <c r="AZ81" s="257"/>
      <c r="BA81" s="257"/>
      <c r="BB81" s="258"/>
    </row>
    <row r="82" spans="1:54" s="96" customFormat="1" ht="15" hidden="1" outlineLevel="1">
      <c r="A82" s="117"/>
      <c r="C82" s="129"/>
      <c r="D82" s="239"/>
      <c r="E82" s="103"/>
      <c r="F82" s="240"/>
      <c r="G82" s="103"/>
      <c r="H82" s="240"/>
      <c r="I82" s="227"/>
      <c r="J82" s="240"/>
      <c r="K82" s="103"/>
      <c r="L82" s="103"/>
      <c r="M82" s="228"/>
      <c r="N82" s="228"/>
      <c r="O82" s="228"/>
      <c r="P82" s="250"/>
      <c r="Q82" s="103"/>
      <c r="R82" s="229"/>
      <c r="S82" s="228"/>
      <c r="T82" s="103"/>
      <c r="U82" s="103"/>
      <c r="V82" s="103"/>
      <c r="W82" s="228"/>
      <c r="X82" s="228"/>
      <c r="Y82" s="228"/>
      <c r="Z82" s="250"/>
      <c r="AA82" s="228"/>
      <c r="AB82" s="103"/>
      <c r="AC82" s="228"/>
      <c r="AD82" s="227"/>
      <c r="AE82" s="253"/>
      <c r="AF82" s="253"/>
      <c r="AG82" s="253"/>
      <c r="AH82" s="228"/>
      <c r="AI82" s="228"/>
      <c r="AJ82" s="228"/>
      <c r="AK82" s="250"/>
      <c r="AL82" s="253"/>
      <c r="AM82" s="229"/>
      <c r="AN82" s="228"/>
      <c r="AO82" s="253"/>
      <c r="AP82" s="253"/>
      <c r="AQ82" s="253"/>
      <c r="AR82" s="253"/>
      <c r="AS82" s="228"/>
      <c r="AT82" s="228"/>
      <c r="AU82" s="228"/>
      <c r="AV82" s="228"/>
      <c r="AW82" s="256"/>
      <c r="AX82" s="257"/>
      <c r="AY82" s="257"/>
      <c r="AZ82" s="257"/>
      <c r="BA82" s="257"/>
      <c r="BB82" s="258"/>
    </row>
    <row r="83" spans="1:54" s="96" customFormat="1" ht="15" hidden="1" outlineLevel="1">
      <c r="A83" s="117"/>
      <c r="C83" s="129"/>
      <c r="D83" s="239"/>
      <c r="E83" s="103"/>
      <c r="F83" s="240"/>
      <c r="G83" s="103"/>
      <c r="H83" s="240"/>
      <c r="I83" s="227"/>
      <c r="J83" s="240"/>
      <c r="K83" s="103"/>
      <c r="L83" s="103"/>
      <c r="M83" s="228"/>
      <c r="N83" s="228"/>
      <c r="O83" s="228"/>
      <c r="P83" s="250"/>
      <c r="Q83" s="103"/>
      <c r="R83" s="229"/>
      <c r="S83" s="228"/>
      <c r="T83" s="103"/>
      <c r="U83" s="103"/>
      <c r="V83" s="103"/>
      <c r="W83" s="228"/>
      <c r="X83" s="228"/>
      <c r="Y83" s="228"/>
      <c r="Z83" s="250"/>
      <c r="AA83" s="228"/>
      <c r="AB83" s="103"/>
      <c r="AC83" s="228"/>
      <c r="AD83" s="227"/>
      <c r="AE83" s="253"/>
      <c r="AF83" s="253"/>
      <c r="AG83" s="253"/>
      <c r="AH83" s="228"/>
      <c r="AI83" s="228"/>
      <c r="AJ83" s="228"/>
      <c r="AK83" s="250"/>
      <c r="AL83" s="253"/>
      <c r="AM83" s="229"/>
      <c r="AN83" s="228"/>
      <c r="AO83" s="253"/>
      <c r="AP83" s="253"/>
      <c r="AQ83" s="253"/>
      <c r="AR83" s="253"/>
      <c r="AS83" s="228"/>
      <c r="AT83" s="228"/>
      <c r="AU83" s="228"/>
      <c r="AV83" s="228"/>
      <c r="AW83" s="256"/>
      <c r="AX83" s="257"/>
      <c r="AY83" s="257"/>
      <c r="AZ83" s="257"/>
      <c r="BA83" s="257"/>
      <c r="BB83" s="258"/>
    </row>
    <row r="84" spans="1:54" s="96" customFormat="1" ht="15" hidden="1" outlineLevel="1">
      <c r="A84" s="117"/>
      <c r="C84" s="129"/>
      <c r="D84" s="239"/>
      <c r="E84" s="103"/>
      <c r="F84" s="240"/>
      <c r="G84" s="103"/>
      <c r="H84" s="240"/>
      <c r="I84" s="227"/>
      <c r="J84" s="240"/>
      <c r="K84" s="103"/>
      <c r="L84" s="103"/>
      <c r="M84" s="228"/>
      <c r="N84" s="228"/>
      <c r="O84" s="228"/>
      <c r="P84" s="250"/>
      <c r="Q84" s="103"/>
      <c r="R84" s="229"/>
      <c r="S84" s="228"/>
      <c r="T84" s="103"/>
      <c r="U84" s="103"/>
      <c r="V84" s="103"/>
      <c r="W84" s="228"/>
      <c r="X84" s="228"/>
      <c r="Y84" s="228"/>
      <c r="Z84" s="250"/>
      <c r="AA84" s="228"/>
      <c r="AB84" s="103"/>
      <c r="AC84" s="228"/>
      <c r="AD84" s="227"/>
      <c r="AE84" s="253"/>
      <c r="AF84" s="253"/>
      <c r="AG84" s="253"/>
      <c r="AH84" s="228"/>
      <c r="AI84" s="228"/>
      <c r="AJ84" s="228"/>
      <c r="AK84" s="250"/>
      <c r="AL84" s="253"/>
      <c r="AM84" s="229"/>
      <c r="AN84" s="228"/>
      <c r="AO84" s="253"/>
      <c r="AP84" s="253"/>
      <c r="AQ84" s="253"/>
      <c r="AR84" s="253"/>
      <c r="AS84" s="228"/>
      <c r="AT84" s="228"/>
      <c r="AU84" s="228"/>
      <c r="AV84" s="228"/>
      <c r="AW84" s="256"/>
      <c r="AX84" s="257"/>
      <c r="AY84" s="257"/>
      <c r="AZ84" s="257"/>
      <c r="BA84" s="257"/>
      <c r="BB84" s="258"/>
    </row>
    <row r="85" spans="1:54" s="96" customFormat="1" ht="15" hidden="1" outlineLevel="1">
      <c r="A85" s="117"/>
      <c r="C85" s="129"/>
      <c r="D85" s="239"/>
      <c r="E85" s="103"/>
      <c r="F85" s="240"/>
      <c r="G85" s="103"/>
      <c r="H85" s="240"/>
      <c r="I85" s="227"/>
      <c r="J85" s="240"/>
      <c r="K85" s="103"/>
      <c r="L85" s="103"/>
      <c r="M85" s="228"/>
      <c r="N85" s="228"/>
      <c r="O85" s="228"/>
      <c r="P85" s="250"/>
      <c r="Q85" s="103"/>
      <c r="R85" s="229"/>
      <c r="S85" s="228"/>
      <c r="T85" s="103"/>
      <c r="U85" s="103"/>
      <c r="V85" s="103"/>
      <c r="W85" s="228"/>
      <c r="X85" s="228"/>
      <c r="Y85" s="228"/>
      <c r="Z85" s="250"/>
      <c r="AA85" s="228"/>
      <c r="AB85" s="103"/>
      <c r="AC85" s="228"/>
      <c r="AD85" s="227"/>
      <c r="AE85" s="253"/>
      <c r="AF85" s="253"/>
      <c r="AG85" s="253"/>
      <c r="AH85" s="228"/>
      <c r="AI85" s="228"/>
      <c r="AJ85" s="228"/>
      <c r="AK85" s="250"/>
      <c r="AL85" s="253"/>
      <c r="AM85" s="229"/>
      <c r="AN85" s="228"/>
      <c r="AO85" s="253"/>
      <c r="AP85" s="253"/>
      <c r="AQ85" s="253"/>
      <c r="AR85" s="253"/>
      <c r="AS85" s="228"/>
      <c r="AT85" s="228"/>
      <c r="AU85" s="228"/>
      <c r="AV85" s="228"/>
      <c r="AW85" s="256"/>
      <c r="AX85" s="257"/>
      <c r="AY85" s="257"/>
      <c r="AZ85" s="257"/>
      <c r="BA85" s="257"/>
      <c r="BB85" s="258"/>
    </row>
    <row r="86" spans="1:54" s="96" customFormat="1" ht="15" hidden="1" outlineLevel="1">
      <c r="A86" s="117"/>
      <c r="C86" s="129"/>
      <c r="D86" s="239"/>
      <c r="E86" s="103"/>
      <c r="F86" s="240"/>
      <c r="G86" s="103"/>
      <c r="H86" s="240"/>
      <c r="I86" s="227"/>
      <c r="J86" s="240"/>
      <c r="K86" s="103"/>
      <c r="L86" s="103"/>
      <c r="M86" s="228"/>
      <c r="N86" s="228"/>
      <c r="O86" s="228"/>
      <c r="P86" s="250"/>
      <c r="Q86" s="103"/>
      <c r="R86" s="229"/>
      <c r="S86" s="228"/>
      <c r="T86" s="103"/>
      <c r="U86" s="103"/>
      <c r="V86" s="103"/>
      <c r="W86" s="228"/>
      <c r="X86" s="228"/>
      <c r="Y86" s="228"/>
      <c r="Z86" s="250"/>
      <c r="AA86" s="228"/>
      <c r="AB86" s="103"/>
      <c r="AC86" s="228"/>
      <c r="AD86" s="227"/>
      <c r="AE86" s="253"/>
      <c r="AF86" s="253"/>
      <c r="AG86" s="253"/>
      <c r="AH86" s="228"/>
      <c r="AI86" s="228"/>
      <c r="AJ86" s="228"/>
      <c r="AK86" s="250"/>
      <c r="AL86" s="253"/>
      <c r="AM86" s="229"/>
      <c r="AN86" s="228"/>
      <c r="AO86" s="253"/>
      <c r="AP86" s="253"/>
      <c r="AQ86" s="253"/>
      <c r="AR86" s="253"/>
      <c r="AS86" s="228"/>
      <c r="AT86" s="228"/>
      <c r="AU86" s="228"/>
      <c r="AV86" s="228"/>
      <c r="AW86" s="256"/>
      <c r="AX86" s="257"/>
      <c r="AY86" s="257"/>
      <c r="AZ86" s="257"/>
      <c r="BA86" s="257"/>
      <c r="BB86" s="258"/>
    </row>
    <row r="87" spans="1:54" s="96" customFormat="1" ht="15" hidden="1" outlineLevel="1">
      <c r="A87" s="117"/>
      <c r="C87" s="133"/>
      <c r="D87" s="241"/>
      <c r="E87" s="105"/>
      <c r="F87" s="242"/>
      <c r="G87" s="105"/>
      <c r="H87" s="242"/>
      <c r="I87" s="230"/>
      <c r="J87" s="242"/>
      <c r="K87" s="105"/>
      <c r="L87" s="105"/>
      <c r="M87" s="231"/>
      <c r="N87" s="231"/>
      <c r="O87" s="231"/>
      <c r="P87" s="251"/>
      <c r="Q87" s="105"/>
      <c r="R87" s="232"/>
      <c r="S87" s="231"/>
      <c r="T87" s="105"/>
      <c r="U87" s="105"/>
      <c r="V87" s="105"/>
      <c r="W87" s="231"/>
      <c r="X87" s="231"/>
      <c r="Y87" s="231"/>
      <c r="Z87" s="251"/>
      <c r="AA87" s="231"/>
      <c r="AB87" s="105"/>
      <c r="AC87" s="231"/>
      <c r="AD87" s="230"/>
      <c r="AE87" s="254"/>
      <c r="AF87" s="254"/>
      <c r="AG87" s="254"/>
      <c r="AH87" s="231"/>
      <c r="AI87" s="231"/>
      <c r="AJ87" s="231"/>
      <c r="AK87" s="251"/>
      <c r="AL87" s="254"/>
      <c r="AM87" s="232"/>
      <c r="AN87" s="231"/>
      <c r="AO87" s="254"/>
      <c r="AP87" s="254"/>
      <c r="AQ87" s="254"/>
      <c r="AR87" s="254"/>
      <c r="AS87" s="231"/>
      <c r="AT87" s="231"/>
      <c r="AU87" s="231"/>
      <c r="AV87" s="231"/>
      <c r="AW87" s="259"/>
      <c r="AX87" s="260"/>
      <c r="AY87" s="260"/>
      <c r="AZ87" s="260"/>
      <c r="BA87" s="260"/>
      <c r="BB87" s="261"/>
    </row>
    <row r="88" spans="1:54" s="96" customFormat="1" hidden="1" outlineLevel="1">
      <c r="A88" s="117"/>
      <c r="D88" s="103"/>
      <c r="E88" s="103"/>
      <c r="F88" s="103"/>
      <c r="G88" s="103"/>
      <c r="H88" s="103"/>
      <c r="I88" s="228"/>
      <c r="J88" s="103"/>
      <c r="K88" s="103"/>
      <c r="L88" s="103"/>
      <c r="M88" s="228"/>
      <c r="N88" s="228"/>
      <c r="O88" s="228"/>
      <c r="P88" s="250"/>
      <c r="Q88" s="103"/>
      <c r="R88" s="228"/>
      <c r="S88" s="228"/>
      <c r="T88" s="103"/>
      <c r="U88" s="103"/>
      <c r="V88" s="103"/>
      <c r="W88" s="228"/>
      <c r="X88" s="228"/>
      <c r="Y88" s="228"/>
      <c r="Z88" s="250"/>
      <c r="AA88" s="228"/>
      <c r="AB88" s="103"/>
      <c r="AC88" s="228"/>
      <c r="AD88" s="228"/>
      <c r="AE88" s="253"/>
      <c r="AF88" s="253"/>
      <c r="AG88" s="253"/>
      <c r="AH88" s="228"/>
      <c r="AI88" s="228"/>
      <c r="AJ88" s="228"/>
      <c r="AK88" s="250"/>
      <c r="AL88" s="253"/>
      <c r="AM88" s="228"/>
      <c r="AN88" s="228"/>
      <c r="AO88" s="253"/>
      <c r="AP88" s="253"/>
      <c r="AQ88" s="253"/>
      <c r="AR88" s="253"/>
      <c r="AS88" s="228"/>
      <c r="AT88" s="228"/>
      <c r="AU88" s="228"/>
      <c r="AV88" s="228"/>
      <c r="AW88" s="257"/>
      <c r="AX88" s="257"/>
      <c r="AY88" s="257"/>
      <c r="AZ88" s="257"/>
      <c r="BA88" s="257"/>
      <c r="BB88" s="257"/>
    </row>
    <row r="89" spans="1:54" s="96" customFormat="1" hidden="1" outlineLevel="1">
      <c r="A89" s="117"/>
      <c r="C89" s="333" t="s">
        <v>1003</v>
      </c>
      <c r="D89" s="334" t="s">
        <v>1004</v>
      </c>
      <c r="E89" s="135" t="s">
        <v>1005</v>
      </c>
      <c r="F89" s="335" t="s">
        <v>1006</v>
      </c>
      <c r="G89" s="135" t="s">
        <v>1007</v>
      </c>
      <c r="H89" s="335" t="s">
        <v>1008</v>
      </c>
      <c r="I89" s="244" t="s">
        <v>905</v>
      </c>
      <c r="J89" s="335" t="s">
        <v>1009</v>
      </c>
      <c r="K89" s="135" t="s">
        <v>1010</v>
      </c>
      <c r="L89" s="135" t="s">
        <v>1011</v>
      </c>
      <c r="M89" s="246" t="s">
        <v>1012</v>
      </c>
      <c r="N89" s="246" t="s">
        <v>1013</v>
      </c>
      <c r="O89" s="246" t="s">
        <v>1014</v>
      </c>
      <c r="P89" s="252" t="s">
        <v>905</v>
      </c>
      <c r="Q89" s="135" t="s">
        <v>1015</v>
      </c>
      <c r="R89" s="248" t="s">
        <v>1016</v>
      </c>
      <c r="S89" s="246" t="s">
        <v>905</v>
      </c>
      <c r="T89" s="135" t="s">
        <v>1017</v>
      </c>
      <c r="U89" s="135" t="s">
        <v>1018</v>
      </c>
      <c r="V89" s="135" t="s">
        <v>1019</v>
      </c>
      <c r="W89" s="246" t="s">
        <v>1020</v>
      </c>
      <c r="X89" s="246" t="s">
        <v>1021</v>
      </c>
      <c r="Y89" s="246" t="s">
        <v>1022</v>
      </c>
      <c r="Z89" s="252" t="s">
        <v>905</v>
      </c>
      <c r="AA89" s="246" t="s">
        <v>905</v>
      </c>
      <c r="AB89" s="135" t="s">
        <v>1023</v>
      </c>
      <c r="AC89" s="246" t="s">
        <v>1024</v>
      </c>
      <c r="AD89" s="244" t="s">
        <v>905</v>
      </c>
      <c r="AE89" s="255" t="s">
        <v>1025</v>
      </c>
      <c r="AF89" s="255" t="s">
        <v>1026</v>
      </c>
      <c r="AG89" s="255" t="s">
        <v>1027</v>
      </c>
      <c r="AH89" s="246" t="s">
        <v>1028</v>
      </c>
      <c r="AI89" s="246" t="s">
        <v>1029</v>
      </c>
      <c r="AJ89" s="246" t="s">
        <v>1030</v>
      </c>
      <c r="AK89" s="252" t="s">
        <v>905</v>
      </c>
      <c r="AL89" s="255" t="s">
        <v>1031</v>
      </c>
      <c r="AM89" s="248" t="s">
        <v>1032</v>
      </c>
      <c r="AN89" s="246" t="s">
        <v>905</v>
      </c>
      <c r="AO89" s="255" t="s">
        <v>1033</v>
      </c>
      <c r="AP89" s="255" t="s">
        <v>1034</v>
      </c>
      <c r="AQ89" s="255" t="s">
        <v>1035</v>
      </c>
      <c r="AR89" s="255" t="s">
        <v>1036</v>
      </c>
      <c r="AS89" s="246" t="s">
        <v>1037</v>
      </c>
      <c r="AT89" s="246" t="s">
        <v>1038</v>
      </c>
      <c r="AU89" s="246" t="s">
        <v>1039</v>
      </c>
      <c r="AV89" s="246" t="s">
        <v>1040</v>
      </c>
      <c r="AW89" s="262"/>
      <c r="AX89" s="263"/>
      <c r="AY89" s="263"/>
      <c r="AZ89" s="263"/>
      <c r="BA89" s="263"/>
      <c r="BB89" s="264"/>
    </row>
    <row r="90" spans="1:54" collapsed="1"/>
  </sheetData>
  <dataConsolidate/>
  <mergeCells count="7">
    <mergeCell ref="L11:M11"/>
    <mergeCell ref="L12:M12"/>
    <mergeCell ref="E16:F16"/>
    <mergeCell ref="E15:F15"/>
    <mergeCell ref="L14:M14"/>
    <mergeCell ref="L13:M13"/>
    <mergeCell ref="L15:M15"/>
  </mergeCells>
  <conditionalFormatting sqref="G14:M16 T41:AE53 A74:XFD89">
    <cfRule type="expression" dxfId="2" priority="1">
      <formula>$A$1=0</formula>
    </cfRule>
  </conditionalFormatting>
  <pageMargins left="0.25" right="0.25" top="0.75" bottom="0.75" header="0.3" footer="0.3"/>
  <pageSetup paperSize="9" scale="4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0BBE-6EAD-4265-AD5D-7E4EF03763E3}">
  <sheetPr codeName="Sheet5">
    <pageSetUpPr fitToPage="1"/>
  </sheetPr>
  <dimension ref="A1:S94"/>
  <sheetViews>
    <sheetView showGridLines="0" zoomScale="85" zoomScaleNormal="85" workbookViewId="0">
      <selection activeCell="D7" sqref="D7"/>
    </sheetView>
  </sheetViews>
  <sheetFormatPr defaultColWidth="9" defaultRowHeight="14.25" outlineLevelRow="1"/>
  <cols>
    <col min="2" max="3" width="15" customWidth="1"/>
    <col min="4" max="11" width="14.625" customWidth="1"/>
    <col min="15" max="15" width="11.75" customWidth="1"/>
    <col min="18" max="18" width="11.25" bestFit="1" customWidth="1"/>
  </cols>
  <sheetData>
    <row r="1" spans="1:19">
      <c r="A1" s="8">
        <f>RiskInformation!A1</f>
        <v>1</v>
      </c>
    </row>
    <row r="2" spans="1:19">
      <c r="A2" s="8"/>
    </row>
    <row r="3" spans="1:19" ht="26.25">
      <c r="A3" s="8"/>
      <c r="B3" s="13" t="s">
        <v>3</v>
      </c>
      <c r="C3" s="5"/>
    </row>
    <row r="5" spans="1:19" ht="17.25" thickBot="1">
      <c r="B5" s="5" t="s">
        <v>267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5">
      <c r="C7" s="9" t="s">
        <v>268</v>
      </c>
      <c r="D7" s="265" t="s">
        <v>920</v>
      </c>
    </row>
    <row r="10" spans="1:19" ht="17.25" hidden="1" outlineLevel="1" thickBot="1">
      <c r="B10" s="118" t="s">
        <v>304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</row>
    <row r="11" spans="1:19" hidden="1" outlineLevel="1"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</row>
    <row r="12" spans="1:19" hidden="1" outlineLevel="1"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</row>
    <row r="13" spans="1:19" ht="18" hidden="1" outlineLevel="1">
      <c r="B13" s="160" t="s">
        <v>320</v>
      </c>
      <c r="C13" s="96"/>
      <c r="D13" s="96"/>
      <c r="E13" s="161" t="s">
        <v>305</v>
      </c>
      <c r="F13" s="266" t="s">
        <v>922</v>
      </c>
      <c r="G13" s="161" t="s">
        <v>26</v>
      </c>
      <c r="H13" s="267" t="s">
        <v>923</v>
      </c>
      <c r="I13" s="161" t="s">
        <v>306</v>
      </c>
      <c r="J13" s="267" t="s">
        <v>924</v>
      </c>
      <c r="K13" s="96"/>
      <c r="L13" s="96"/>
    </row>
    <row r="14" spans="1:19" ht="18" hidden="1" outlineLevel="1">
      <c r="B14" s="160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spans="1:19" ht="18" hidden="1" outlineLevel="1">
      <c r="B15" s="160" t="s">
        <v>321</v>
      </c>
      <c r="C15" s="96"/>
      <c r="D15" s="96"/>
      <c r="E15" s="161" t="s">
        <v>307</v>
      </c>
      <c r="F15" s="268" t="s">
        <v>925</v>
      </c>
      <c r="G15" s="350" t="s">
        <v>309</v>
      </c>
      <c r="H15" s="269" t="s">
        <v>926</v>
      </c>
      <c r="I15" s="350" t="s">
        <v>308</v>
      </c>
      <c r="J15" s="269" t="s">
        <v>927</v>
      </c>
      <c r="K15" s="161" t="s">
        <v>310</v>
      </c>
      <c r="L15" s="269" t="s">
        <v>928</v>
      </c>
    </row>
    <row r="16" spans="1:19" ht="18" hidden="1" outlineLevel="1">
      <c r="B16" s="160"/>
      <c r="C16" s="96"/>
      <c r="D16" s="96"/>
      <c r="E16" s="96"/>
      <c r="F16" s="96"/>
      <c r="G16" s="96"/>
      <c r="H16" s="96"/>
      <c r="I16" s="96"/>
      <c r="J16" s="96"/>
      <c r="K16" s="96"/>
      <c r="L16" s="96"/>
    </row>
    <row r="17" spans="2:19" ht="18" hidden="1" outlineLevel="1">
      <c r="B17" s="160" t="s">
        <v>315</v>
      </c>
      <c r="C17" s="96"/>
      <c r="D17" s="96"/>
      <c r="E17" s="161" t="s">
        <v>311</v>
      </c>
      <c r="F17" s="162" t="s">
        <v>929</v>
      </c>
      <c r="G17" s="161" t="s">
        <v>312</v>
      </c>
      <c r="H17" s="270" t="s">
        <v>930</v>
      </c>
      <c r="I17" s="161" t="s">
        <v>314</v>
      </c>
      <c r="J17" s="270" t="s">
        <v>931</v>
      </c>
      <c r="K17" s="161" t="s">
        <v>313</v>
      </c>
      <c r="L17" s="270" t="s">
        <v>932</v>
      </c>
    </row>
    <row r="18" spans="2:19" ht="18" hidden="1" outlineLevel="1">
      <c r="B18" s="160"/>
      <c r="C18" s="96"/>
      <c r="D18" s="96"/>
      <c r="E18" s="96"/>
      <c r="F18" s="96"/>
      <c r="G18" s="96"/>
      <c r="H18" s="96"/>
      <c r="I18" s="96"/>
      <c r="J18" s="96"/>
      <c r="K18" s="96"/>
      <c r="L18" s="96"/>
    </row>
    <row r="19" spans="2:19" ht="18" hidden="1" outlineLevel="1">
      <c r="B19" s="160" t="s">
        <v>316</v>
      </c>
      <c r="C19" s="96"/>
      <c r="D19" s="96"/>
      <c r="E19" s="161" t="s">
        <v>311</v>
      </c>
      <c r="F19" s="162" t="s">
        <v>933</v>
      </c>
      <c r="G19" s="161" t="s">
        <v>312</v>
      </c>
      <c r="H19" s="270" t="s">
        <v>934</v>
      </c>
      <c r="I19" s="96"/>
      <c r="J19" s="96"/>
      <c r="K19" s="161" t="s">
        <v>314</v>
      </c>
      <c r="L19" s="270" t="s">
        <v>935</v>
      </c>
    </row>
    <row r="20" spans="2:19" hidden="1" outlineLevel="1"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</row>
    <row r="21" spans="2:19" ht="15" hidden="1" outlineLevel="1">
      <c r="B21" s="96"/>
      <c r="C21" s="96"/>
      <c r="D21" s="96"/>
      <c r="E21" s="161" t="s">
        <v>319</v>
      </c>
      <c r="F21" s="271" t="s">
        <v>936</v>
      </c>
      <c r="G21" s="163"/>
      <c r="H21" s="161"/>
      <c r="I21" s="161" t="s">
        <v>317</v>
      </c>
      <c r="J21" s="270" t="s">
        <v>937</v>
      </c>
      <c r="K21" s="161" t="s">
        <v>318</v>
      </c>
      <c r="L21" s="272" t="s">
        <v>921</v>
      </c>
    </row>
    <row r="22" spans="2:19" ht="15" hidden="1" outlineLevel="1">
      <c r="B22" s="161"/>
      <c r="C22" s="164"/>
      <c r="D22" s="161"/>
      <c r="E22" s="163"/>
      <c r="F22" s="161"/>
      <c r="G22" s="163"/>
      <c r="H22" s="161"/>
      <c r="I22" s="163"/>
      <c r="J22" s="161"/>
      <c r="K22" s="164"/>
      <c r="L22" s="96"/>
    </row>
    <row r="23" spans="2:19" ht="15" hidden="1" outlineLevel="1">
      <c r="B23" s="161"/>
      <c r="C23" s="164"/>
      <c r="D23" s="161"/>
      <c r="E23" s="163"/>
      <c r="F23" s="161"/>
      <c r="G23" s="163"/>
      <c r="H23" s="161"/>
      <c r="I23" s="163"/>
      <c r="J23" s="161"/>
      <c r="K23" s="164"/>
      <c r="L23" s="96"/>
    </row>
    <row r="24" spans="2:19" ht="17.25" collapsed="1" thickBot="1">
      <c r="B24" s="5" t="s">
        <v>269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2:19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2:19" ht="15">
      <c r="B26" s="138" t="s">
        <v>28</v>
      </c>
    </row>
    <row r="28" spans="2:19" ht="15">
      <c r="B28" s="9" t="s">
        <v>12</v>
      </c>
      <c r="C28" s="265" t="s">
        <v>939</v>
      </c>
      <c r="D28" s="9" t="s">
        <v>0</v>
      </c>
      <c r="E28" s="273" t="s">
        <v>940</v>
      </c>
      <c r="F28" s="9" t="s">
        <v>13</v>
      </c>
      <c r="G28" s="38" t="s">
        <v>941</v>
      </c>
      <c r="H28" s="9" t="s">
        <v>8</v>
      </c>
      <c r="I28" s="38" t="s">
        <v>942</v>
      </c>
      <c r="J28" s="9" t="s">
        <v>17</v>
      </c>
      <c r="K28" s="2" t="s">
        <v>1042</v>
      </c>
    </row>
    <row r="30" spans="2:19" ht="15">
      <c r="B30" s="9" t="s">
        <v>16</v>
      </c>
      <c r="C30" s="2" t="s">
        <v>943</v>
      </c>
      <c r="D30" s="9" t="s">
        <v>270</v>
      </c>
      <c r="E30" s="274" t="s">
        <v>944</v>
      </c>
      <c r="F30" s="9" t="s">
        <v>271</v>
      </c>
      <c r="G30" s="273" t="s">
        <v>945</v>
      </c>
      <c r="H30" s="9" t="s">
        <v>39</v>
      </c>
      <c r="I30" s="274" t="s">
        <v>946</v>
      </c>
      <c r="J30" s="9" t="s">
        <v>272</v>
      </c>
      <c r="K30" s="2" t="s">
        <v>938</v>
      </c>
    </row>
    <row r="31" spans="2:19" ht="15">
      <c r="C31" s="9"/>
      <c r="D31" s="20"/>
      <c r="G31" s="9"/>
      <c r="H31" s="20"/>
    </row>
    <row r="32" spans="2:19" ht="15">
      <c r="C32" s="9"/>
      <c r="D32" s="20"/>
      <c r="G32" s="9"/>
      <c r="H32" s="20"/>
    </row>
    <row r="33" spans="2:11" ht="15">
      <c r="B33" s="138" t="s">
        <v>36</v>
      </c>
      <c r="D33" s="20"/>
      <c r="G33" s="9"/>
      <c r="H33" s="20"/>
    </row>
    <row r="34" spans="2:11" ht="15">
      <c r="F34" s="284" t="s">
        <v>795</v>
      </c>
    </row>
    <row r="35" spans="2:11" ht="15">
      <c r="C35" s="9" t="s">
        <v>29</v>
      </c>
      <c r="D35" s="2" t="s">
        <v>948</v>
      </c>
      <c r="F35" s="162" t="s">
        <v>949</v>
      </c>
      <c r="J35" s="9" t="s">
        <v>273</v>
      </c>
      <c r="K35" s="275" t="s">
        <v>954</v>
      </c>
    </row>
    <row r="36" spans="2:11">
      <c r="D36" s="39"/>
      <c r="F36" s="103"/>
    </row>
    <row r="37" spans="2:11" ht="15">
      <c r="C37" s="9" t="s">
        <v>31</v>
      </c>
      <c r="D37" s="2" t="s">
        <v>950</v>
      </c>
      <c r="F37" s="162" t="s">
        <v>951</v>
      </c>
      <c r="J37" s="9" t="s">
        <v>274</v>
      </c>
      <c r="K37" s="275" t="s">
        <v>947</v>
      </c>
    </row>
    <row r="38" spans="2:11">
      <c r="D38" s="39"/>
      <c r="F38" s="103"/>
    </row>
    <row r="39" spans="2:11" ht="15">
      <c r="C39" s="9" t="s">
        <v>30</v>
      </c>
      <c r="D39" s="2" t="s">
        <v>952</v>
      </c>
      <c r="F39" s="162" t="s">
        <v>953</v>
      </c>
    </row>
    <row r="40" spans="2:11" ht="15">
      <c r="C40" s="9"/>
      <c r="D40" s="20"/>
    </row>
    <row r="41" spans="2:11" ht="15">
      <c r="C41" s="9"/>
      <c r="D41" s="20"/>
    </row>
    <row r="42" spans="2:11" ht="15">
      <c r="B42" s="21" t="s">
        <v>32</v>
      </c>
      <c r="D42" s="20"/>
    </row>
    <row r="44" spans="2:11" ht="15">
      <c r="B44" s="9" t="s">
        <v>5</v>
      </c>
      <c r="C44" s="38" t="s">
        <v>956</v>
      </c>
      <c r="F44" s="9" t="s">
        <v>275</v>
      </c>
      <c r="G44" s="38" t="s">
        <v>957</v>
      </c>
      <c r="J44" s="9" t="s">
        <v>35</v>
      </c>
      <c r="K44" s="38" t="s">
        <v>958</v>
      </c>
    </row>
    <row r="46" spans="2:11" ht="15">
      <c r="B46" s="9" t="s">
        <v>4</v>
      </c>
      <c r="C46" s="38" t="s">
        <v>955</v>
      </c>
      <c r="F46" s="9" t="s">
        <v>33</v>
      </c>
      <c r="G46" s="38" t="s">
        <v>960</v>
      </c>
      <c r="J46" s="9" t="s">
        <v>34</v>
      </c>
      <c r="K46" s="38" t="s">
        <v>959</v>
      </c>
    </row>
    <row r="50" spans="2:19" ht="17.25" thickBot="1">
      <c r="B50" s="5" t="s">
        <v>276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2:19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spans="2:19" ht="15">
      <c r="B52" s="138" t="s">
        <v>277</v>
      </c>
      <c r="C52" s="21"/>
    </row>
    <row r="53" spans="2:19" ht="15">
      <c r="G53" s="113" t="s">
        <v>283</v>
      </c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2"/>
    </row>
    <row r="54" spans="2:19" s="140" customFormat="1" ht="45">
      <c r="D54" s="150" t="s">
        <v>284</v>
      </c>
      <c r="E54" s="151" t="s">
        <v>285</v>
      </c>
      <c r="F54" s="152" t="s">
        <v>286</v>
      </c>
      <c r="G54" s="143" t="s">
        <v>70</v>
      </c>
      <c r="H54" s="141" t="s">
        <v>75</v>
      </c>
      <c r="I54" s="144" t="s">
        <v>76</v>
      </c>
      <c r="J54" s="144" t="s">
        <v>77</v>
      </c>
      <c r="K54" s="144" t="s">
        <v>78</v>
      </c>
      <c r="L54" s="144" t="s">
        <v>79</v>
      </c>
      <c r="M54" s="144" t="s">
        <v>80</v>
      </c>
      <c r="N54" s="144" t="s">
        <v>81</v>
      </c>
      <c r="O54" s="144" t="s">
        <v>82</v>
      </c>
      <c r="P54" s="144" t="s">
        <v>83</v>
      </c>
      <c r="Q54" s="144" t="s">
        <v>90</v>
      </c>
      <c r="R54" s="142" t="s">
        <v>91</v>
      </c>
    </row>
    <row r="55" spans="2:19">
      <c r="B55" s="17"/>
      <c r="C55" s="35" t="s">
        <v>55</v>
      </c>
      <c r="D55" s="145" t="s">
        <v>961</v>
      </c>
      <c r="E55" s="146"/>
      <c r="F55" s="147"/>
      <c r="G55" s="148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18"/>
    </row>
    <row r="56" spans="2:19">
      <c r="B56" s="14"/>
      <c r="C56" s="149" t="s">
        <v>278</v>
      </c>
      <c r="D56" s="156"/>
      <c r="E56" s="159"/>
      <c r="F56" s="40"/>
      <c r="G56" s="276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40"/>
    </row>
    <row r="57" spans="2:19">
      <c r="B57" s="15"/>
      <c r="C57" s="22" t="s">
        <v>273</v>
      </c>
      <c r="D57" s="277"/>
      <c r="E57" s="55"/>
      <c r="F57" s="278"/>
      <c r="G57" s="279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278"/>
    </row>
    <row r="58" spans="2:19">
      <c r="B58" s="16"/>
      <c r="C58" s="33" t="s">
        <v>274</v>
      </c>
      <c r="D58" s="280"/>
      <c r="E58" s="199"/>
      <c r="F58" s="281"/>
      <c r="G58" s="282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281"/>
    </row>
    <row r="59" spans="2:19">
      <c r="B59" s="14"/>
      <c r="C59" s="149" t="s">
        <v>279</v>
      </c>
      <c r="D59" s="156"/>
      <c r="E59" s="159"/>
      <c r="F59" s="40"/>
      <c r="G59" s="276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40"/>
    </row>
    <row r="60" spans="2:19">
      <c r="B60" s="15"/>
      <c r="C60" s="22" t="s">
        <v>280</v>
      </c>
      <c r="D60" s="277"/>
      <c r="E60" s="55"/>
      <c r="F60" s="278"/>
      <c r="G60" s="279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278"/>
    </row>
    <row r="61" spans="2:19">
      <c r="B61" s="16"/>
      <c r="C61" s="33" t="s">
        <v>4</v>
      </c>
      <c r="D61" s="283"/>
      <c r="E61" s="179"/>
      <c r="F61" s="48"/>
      <c r="G61" s="47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48"/>
    </row>
    <row r="62" spans="2:19">
      <c r="B62" s="14"/>
      <c r="C62" s="149" t="s">
        <v>281</v>
      </c>
      <c r="D62" s="156"/>
      <c r="E62" s="159"/>
      <c r="F62" s="40"/>
      <c r="G62" s="276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40"/>
    </row>
    <row r="63" spans="2:19">
      <c r="B63" s="15"/>
      <c r="C63" s="22" t="s">
        <v>282</v>
      </c>
      <c r="D63" s="277"/>
      <c r="E63" s="55"/>
      <c r="F63" s="278"/>
      <c r="G63" s="279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278"/>
    </row>
    <row r="64" spans="2:19">
      <c r="B64" s="16"/>
      <c r="C64" s="33" t="s">
        <v>5</v>
      </c>
      <c r="D64" s="283"/>
      <c r="E64" s="179"/>
      <c r="F64" s="48"/>
      <c r="G64" s="47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48"/>
    </row>
    <row r="65" spans="2:19">
      <c r="B65" s="17"/>
      <c r="C65" s="37" t="s">
        <v>275</v>
      </c>
      <c r="D65" s="283"/>
      <c r="E65" s="179"/>
      <c r="F65" s="48"/>
      <c r="G65" s="47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48"/>
    </row>
    <row r="67" spans="2:19" s="96" customFormat="1" hidden="1" outlineLevel="1"/>
    <row r="68" spans="2:19" s="96" customFormat="1" ht="15" hidden="1" outlineLevel="1">
      <c r="B68" s="285" t="s">
        <v>287</v>
      </c>
      <c r="C68" s="286"/>
    </row>
    <row r="69" spans="2:19" s="96" customFormat="1" ht="15" hidden="1" outlineLevel="1">
      <c r="G69" s="287" t="s">
        <v>283</v>
      </c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9"/>
    </row>
    <row r="70" spans="2:19" s="290" customFormat="1" ht="45" hidden="1" outlineLevel="1">
      <c r="D70" s="291" t="s">
        <v>284</v>
      </c>
      <c r="E70" s="292" t="s">
        <v>285</v>
      </c>
      <c r="F70" s="293" t="s">
        <v>286</v>
      </c>
      <c r="G70" s="294" t="s">
        <v>70</v>
      </c>
      <c r="H70" s="295" t="s">
        <v>75</v>
      </c>
      <c r="I70" s="296" t="s">
        <v>76</v>
      </c>
      <c r="J70" s="296" t="s">
        <v>77</v>
      </c>
      <c r="K70" s="296" t="s">
        <v>78</v>
      </c>
      <c r="L70" s="296" t="s">
        <v>79</v>
      </c>
      <c r="M70" s="296" t="s">
        <v>80</v>
      </c>
      <c r="N70" s="296" t="s">
        <v>81</v>
      </c>
      <c r="O70" s="296" t="s">
        <v>82</v>
      </c>
      <c r="P70" s="296" t="s">
        <v>83</v>
      </c>
      <c r="Q70" s="296" t="s">
        <v>90</v>
      </c>
      <c r="R70" s="297" t="s">
        <v>91</v>
      </c>
    </row>
    <row r="71" spans="2:19" s="96" customFormat="1" hidden="1" outlineLevel="1">
      <c r="B71" s="132"/>
      <c r="C71" s="298" t="s">
        <v>279</v>
      </c>
      <c r="D71" s="299" t="s">
        <v>962</v>
      </c>
      <c r="E71" s="130"/>
      <c r="F71" s="213"/>
      <c r="G71" s="131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213"/>
    </row>
    <row r="72" spans="2:19" s="96" customFormat="1" hidden="1" outlineLevel="1">
      <c r="B72" s="95"/>
      <c r="C72" s="108" t="s">
        <v>280</v>
      </c>
      <c r="D72" s="300"/>
      <c r="E72" s="301"/>
      <c r="F72" s="302"/>
      <c r="G72" s="303"/>
      <c r="H72" s="301"/>
      <c r="I72" s="301"/>
      <c r="J72" s="301"/>
      <c r="K72" s="301"/>
      <c r="L72" s="301"/>
      <c r="M72" s="301"/>
      <c r="N72" s="301"/>
      <c r="O72" s="301"/>
      <c r="P72" s="301"/>
      <c r="Q72" s="301"/>
      <c r="R72" s="302"/>
    </row>
    <row r="73" spans="2:19" s="96" customFormat="1" hidden="1" outlineLevel="1">
      <c r="B73" s="97"/>
      <c r="C73" s="304" t="s">
        <v>4</v>
      </c>
      <c r="D73" s="305"/>
      <c r="E73" s="231"/>
      <c r="F73" s="232"/>
      <c r="G73" s="230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2"/>
    </row>
    <row r="74" spans="2:19" s="96" customFormat="1" hidden="1" outlineLevel="1">
      <c r="B74" s="132"/>
      <c r="C74" s="298" t="s">
        <v>281</v>
      </c>
      <c r="D74" s="299"/>
      <c r="E74" s="130"/>
      <c r="F74" s="213"/>
      <c r="G74" s="131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213"/>
    </row>
    <row r="75" spans="2:19" s="96" customFormat="1" hidden="1" outlineLevel="1">
      <c r="B75" s="95"/>
      <c r="C75" s="108" t="s">
        <v>282</v>
      </c>
      <c r="D75" s="300"/>
      <c r="E75" s="301"/>
      <c r="F75" s="302"/>
      <c r="G75" s="303"/>
      <c r="H75" s="301"/>
      <c r="I75" s="301"/>
      <c r="J75" s="301"/>
      <c r="K75" s="301"/>
      <c r="L75" s="301"/>
      <c r="M75" s="301"/>
      <c r="N75" s="301"/>
      <c r="O75" s="301"/>
      <c r="P75" s="301"/>
      <c r="Q75" s="301"/>
      <c r="R75" s="302"/>
    </row>
    <row r="76" spans="2:19" s="96" customFormat="1" hidden="1" outlineLevel="1">
      <c r="B76" s="97"/>
      <c r="C76" s="304" t="s">
        <v>5</v>
      </c>
      <c r="D76" s="305"/>
      <c r="E76" s="231"/>
      <c r="F76" s="232"/>
      <c r="G76" s="230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2"/>
    </row>
    <row r="77" spans="2:19" s="96" customFormat="1" hidden="1" outlineLevel="1">
      <c r="B77" s="137"/>
      <c r="C77" s="306" t="s">
        <v>275</v>
      </c>
      <c r="D77" s="305"/>
      <c r="E77" s="231"/>
      <c r="F77" s="232"/>
      <c r="G77" s="230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2"/>
    </row>
    <row r="78" spans="2:19" s="96" customFormat="1" hidden="1" outlineLevel="1"/>
    <row r="79" spans="2:19" collapsed="1"/>
    <row r="80" spans="2:19" ht="17.25" thickBot="1">
      <c r="B80" s="5" t="s">
        <v>288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2:19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spans="2:19" ht="15">
      <c r="B82" s="138" t="s">
        <v>288</v>
      </c>
      <c r="C82" s="21"/>
    </row>
    <row r="83" spans="2:19" ht="15">
      <c r="G83" s="113" t="s">
        <v>283</v>
      </c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2"/>
    </row>
    <row r="84" spans="2:19" s="140" customFormat="1" ht="45">
      <c r="B84" s="348"/>
      <c r="C84" s="349"/>
      <c r="D84" s="355" t="s">
        <v>284</v>
      </c>
      <c r="E84" s="356" t="s">
        <v>285</v>
      </c>
      <c r="F84" s="60" t="s">
        <v>286</v>
      </c>
      <c r="G84" s="357" t="s">
        <v>70</v>
      </c>
      <c r="H84" s="358" t="s">
        <v>75</v>
      </c>
      <c r="I84" s="359" t="s">
        <v>76</v>
      </c>
      <c r="J84" s="359" t="s">
        <v>77</v>
      </c>
      <c r="K84" s="359" t="s">
        <v>78</v>
      </c>
      <c r="L84" s="359" t="s">
        <v>79</v>
      </c>
      <c r="M84" s="359" t="s">
        <v>80</v>
      </c>
      <c r="N84" s="359" t="s">
        <v>81</v>
      </c>
      <c r="O84" s="359" t="s">
        <v>82</v>
      </c>
      <c r="P84" s="359" t="s">
        <v>83</v>
      </c>
      <c r="Q84" s="359" t="s">
        <v>90</v>
      </c>
      <c r="R84" s="360" t="s">
        <v>91</v>
      </c>
    </row>
    <row r="85" spans="2:19" s="140" customFormat="1" ht="15" hidden="1">
      <c r="D85" s="150"/>
      <c r="E85" s="151"/>
      <c r="F85" s="152"/>
      <c r="G85" s="143"/>
      <c r="H85" s="141"/>
      <c r="I85" s="144"/>
      <c r="J85" s="144"/>
      <c r="K85" s="144"/>
      <c r="L85" s="144"/>
      <c r="M85" s="144"/>
      <c r="N85" s="144"/>
      <c r="O85" s="144"/>
      <c r="P85" s="144"/>
      <c r="Q85" s="144"/>
      <c r="R85" s="142"/>
    </row>
    <row r="86" spans="2:19" s="96" customFormat="1" hidden="1" outlineLevel="1">
      <c r="B86" s="137"/>
      <c r="C86" s="338" t="s">
        <v>289</v>
      </c>
      <c r="D86" s="212" t="s">
        <v>963</v>
      </c>
      <c r="E86" s="135"/>
      <c r="F86" s="339"/>
      <c r="G86" s="136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339"/>
    </row>
    <row r="87" spans="2:19" s="96" customFormat="1" hidden="1" outlineLevel="1">
      <c r="B87" s="132"/>
      <c r="C87" s="298" t="s">
        <v>290</v>
      </c>
      <c r="D87" s="340"/>
      <c r="E87" s="341"/>
      <c r="F87" s="342"/>
      <c r="G87" s="343"/>
      <c r="H87" s="341"/>
      <c r="I87" s="341"/>
      <c r="J87" s="341"/>
      <c r="K87" s="341"/>
      <c r="L87" s="341"/>
      <c r="M87" s="341"/>
      <c r="N87" s="341"/>
      <c r="O87" s="341"/>
      <c r="P87" s="341"/>
      <c r="Q87" s="341"/>
      <c r="R87" s="342"/>
    </row>
    <row r="88" spans="2:19" s="96" customFormat="1" hidden="1" outlineLevel="1">
      <c r="B88" s="97"/>
      <c r="C88" s="304" t="s">
        <v>289</v>
      </c>
      <c r="D88" s="344"/>
      <c r="E88" s="105"/>
      <c r="F88" s="106"/>
      <c r="G88" s="134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6"/>
    </row>
    <row r="89" spans="2:19" s="96" customFormat="1" hidden="1" outlineLevel="1">
      <c r="B89" s="132"/>
      <c r="C89" s="298" t="s">
        <v>25</v>
      </c>
      <c r="D89" s="340"/>
      <c r="E89" s="341"/>
      <c r="F89" s="342"/>
      <c r="G89" s="343"/>
      <c r="H89" s="341"/>
      <c r="I89" s="341"/>
      <c r="J89" s="341"/>
      <c r="K89" s="341"/>
      <c r="L89" s="341"/>
      <c r="M89" s="341"/>
      <c r="N89" s="341"/>
      <c r="O89" s="341"/>
      <c r="P89" s="341"/>
      <c r="Q89" s="341"/>
      <c r="R89" s="342"/>
    </row>
    <row r="90" spans="2:19" collapsed="1">
      <c r="B90" s="16"/>
      <c r="C90" s="33" t="s">
        <v>289</v>
      </c>
      <c r="D90" s="157"/>
      <c r="E90" s="53"/>
      <c r="F90" s="42"/>
      <c r="G90" s="41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42"/>
    </row>
    <row r="91" spans="2:19">
      <c r="B91" s="14"/>
      <c r="C91" s="149" t="s">
        <v>291</v>
      </c>
      <c r="D91" s="307"/>
      <c r="E91" s="207"/>
      <c r="F91" s="308"/>
      <c r="G91" s="309"/>
      <c r="H91" s="207"/>
      <c r="I91" s="207"/>
      <c r="J91" s="207"/>
      <c r="K91" s="207"/>
      <c r="L91" s="207"/>
      <c r="M91" s="207"/>
      <c r="N91" s="207"/>
      <c r="O91" s="207"/>
      <c r="P91" s="207"/>
      <c r="Q91" s="207"/>
      <c r="R91" s="308"/>
    </row>
    <row r="92" spans="2:19">
      <c r="B92" s="16"/>
      <c r="C92" s="33" t="s">
        <v>292</v>
      </c>
      <c r="D92" s="157"/>
      <c r="E92" s="53"/>
      <c r="F92" s="42"/>
      <c r="G92" s="41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42"/>
    </row>
    <row r="93" spans="2:19">
      <c r="B93" s="14"/>
      <c r="C93" s="149" t="s">
        <v>293</v>
      </c>
      <c r="D93" s="156"/>
      <c r="E93" s="159"/>
      <c r="F93" s="40"/>
      <c r="G93" s="276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40"/>
    </row>
    <row r="94" spans="2:19">
      <c r="B94" s="16"/>
      <c r="C94" s="33" t="s">
        <v>294</v>
      </c>
      <c r="D94" s="157"/>
      <c r="E94" s="53"/>
      <c r="F94" s="42"/>
      <c r="G94" s="41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42"/>
    </row>
  </sheetData>
  <conditionalFormatting sqref="A10:XFD23 F34:F39 A67:XFD78 A86:XFD89">
    <cfRule type="expression" dxfId="1" priority="1">
      <formula>$A$1=0</formula>
    </cfRule>
  </conditionalFormatting>
  <pageMargins left="0.25" right="0.25" top="0.75" bottom="0.75" header="0.3" footer="0.3"/>
  <pageSetup paperSize="9" scale="3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EFC9-25A3-41F9-8FE6-F1E5AD50CCA1}">
  <sheetPr codeName="Sheet8">
    <pageSetUpPr fitToPage="1"/>
  </sheetPr>
  <dimension ref="A1:I39"/>
  <sheetViews>
    <sheetView showGridLines="0" zoomScaleNormal="100" workbookViewId="0">
      <selection activeCell="I13" sqref="I13"/>
    </sheetView>
  </sheetViews>
  <sheetFormatPr defaultColWidth="9" defaultRowHeight="14.25"/>
  <cols>
    <col min="2" max="3" width="15" customWidth="1"/>
    <col min="4" max="8" width="14.625" customWidth="1"/>
    <col min="9" max="9" width="5.5" customWidth="1"/>
    <col min="10" max="11" width="14.625" customWidth="1"/>
    <col min="15" max="15" width="11.75" customWidth="1"/>
    <col min="18" max="18" width="11.25" bestFit="1" customWidth="1"/>
  </cols>
  <sheetData>
    <row r="1" spans="1:9">
      <c r="A1" s="8">
        <f>RiskInformation!A1</f>
        <v>1</v>
      </c>
    </row>
    <row r="2" spans="1:9">
      <c r="A2" s="8"/>
    </row>
    <row r="3" spans="1:9" ht="26.25">
      <c r="A3" s="8"/>
      <c r="B3" s="13" t="s">
        <v>295</v>
      </c>
      <c r="C3" s="5"/>
    </row>
    <row r="5" spans="1:9" ht="17.25" thickBot="1">
      <c r="B5" s="5" t="s">
        <v>52</v>
      </c>
      <c r="C5" s="6"/>
      <c r="D5" s="6"/>
      <c r="E5" s="6"/>
      <c r="F5" s="6"/>
      <c r="G5" s="6"/>
      <c r="H5" s="6"/>
      <c r="I5" s="6"/>
    </row>
    <row r="6" spans="1:9">
      <c r="B6" s="7"/>
      <c r="C6" s="7"/>
      <c r="D6" s="7"/>
      <c r="E6" s="7"/>
      <c r="F6" s="7"/>
      <c r="G6" s="7"/>
      <c r="H6" s="7"/>
      <c r="I6" s="7"/>
    </row>
    <row r="7" spans="1:9" ht="25.5" customHeight="1">
      <c r="B7" s="385" t="s">
        <v>964</v>
      </c>
      <c r="C7" s="386"/>
      <c r="D7" s="386"/>
      <c r="E7" s="386"/>
      <c r="F7" s="386"/>
      <c r="G7" s="386"/>
      <c r="H7" s="387"/>
    </row>
    <row r="8" spans="1:9" ht="25.5" customHeight="1">
      <c r="B8" s="388"/>
      <c r="C8" s="389"/>
      <c r="D8" s="389"/>
      <c r="E8" s="389"/>
      <c r="F8" s="389"/>
      <c r="G8" s="389"/>
      <c r="H8" s="390"/>
    </row>
    <row r="9" spans="1:9" ht="25.5" customHeight="1">
      <c r="B9" s="391"/>
      <c r="C9" s="392"/>
      <c r="D9" s="392"/>
      <c r="E9" s="392"/>
      <c r="F9" s="392"/>
      <c r="G9" s="392"/>
      <c r="H9" s="393"/>
    </row>
    <row r="11" spans="1:9" ht="17.25" thickBot="1">
      <c r="B11" s="5" t="s">
        <v>1049</v>
      </c>
      <c r="C11" s="6"/>
      <c r="D11" s="6"/>
      <c r="E11" s="6"/>
      <c r="F11" s="6"/>
      <c r="G11" s="6"/>
      <c r="H11" s="6"/>
      <c r="I11" s="6"/>
    </row>
    <row r="12" spans="1:9">
      <c r="B12" s="7"/>
      <c r="C12" s="7"/>
      <c r="D12" s="7"/>
      <c r="E12" s="7"/>
      <c r="F12" s="7"/>
      <c r="G12" s="7"/>
      <c r="H12" s="7"/>
      <c r="I12" s="7"/>
    </row>
    <row r="13" spans="1:9">
      <c r="B13" s="394" t="s">
        <v>1050</v>
      </c>
      <c r="C13" s="394"/>
      <c r="D13" s="395" t="s">
        <v>1051</v>
      </c>
      <c r="E13" s="394"/>
      <c r="F13" s="394"/>
      <c r="G13" s="394"/>
      <c r="H13" s="394"/>
      <c r="I13" s="394"/>
    </row>
    <row r="14" spans="1:9">
      <c r="B14" s="394"/>
      <c r="C14" s="394"/>
      <c r="D14" s="394"/>
      <c r="E14" s="394"/>
      <c r="F14" s="394"/>
      <c r="G14" s="394"/>
      <c r="H14" s="394"/>
      <c r="I14" s="394"/>
    </row>
    <row r="15" spans="1:9" ht="25.5" customHeight="1">
      <c r="B15" s="396" t="s">
        <v>1052</v>
      </c>
      <c r="C15" s="397"/>
      <c r="D15" s="397"/>
      <c r="E15" s="397"/>
      <c r="F15" s="397"/>
      <c r="G15" s="397"/>
      <c r="H15" s="398"/>
    </row>
    <row r="16" spans="1:9" ht="25.5" customHeight="1">
      <c r="B16" s="399"/>
      <c r="C16" s="400"/>
      <c r="D16" s="400"/>
      <c r="E16" s="400"/>
      <c r="F16" s="400"/>
      <c r="G16" s="400"/>
      <c r="H16" s="401"/>
    </row>
    <row r="17" spans="2:9" ht="25.5" customHeight="1">
      <c r="B17" s="402"/>
      <c r="C17" s="403"/>
      <c r="D17" s="403"/>
      <c r="E17" s="403"/>
      <c r="F17" s="403"/>
      <c r="G17" s="403"/>
      <c r="H17" s="404"/>
    </row>
    <row r="19" spans="2:9" ht="17.25" thickBot="1">
      <c r="B19" s="5" t="s">
        <v>42</v>
      </c>
      <c r="C19" s="6"/>
      <c r="D19" s="6"/>
      <c r="E19" s="6"/>
      <c r="F19" s="6"/>
      <c r="G19" s="6"/>
      <c r="H19" s="6"/>
      <c r="I19" s="6"/>
    </row>
    <row r="20" spans="2:9">
      <c r="B20" s="7"/>
      <c r="C20" s="7"/>
      <c r="D20" s="7"/>
      <c r="E20" s="7"/>
      <c r="F20" s="7"/>
      <c r="G20" s="7"/>
      <c r="H20" s="7"/>
      <c r="I20" s="7"/>
    </row>
    <row r="21" spans="2:9">
      <c r="B21" t="s">
        <v>303</v>
      </c>
      <c r="D21" s="310" t="s">
        <v>965</v>
      </c>
    </row>
    <row r="23" spans="2:9" ht="28.5">
      <c r="C23" s="29" t="s">
        <v>299</v>
      </c>
      <c r="D23" s="154" t="s">
        <v>44</v>
      </c>
      <c r="E23" s="158" t="s">
        <v>302</v>
      </c>
      <c r="F23" s="155" t="s">
        <v>43</v>
      </c>
    </row>
    <row r="24" spans="2:9">
      <c r="B24" s="14"/>
      <c r="C24" s="30" t="s">
        <v>0</v>
      </c>
      <c r="D24" s="311" t="s">
        <v>966</v>
      </c>
      <c r="E24" s="206"/>
      <c r="F24" s="208"/>
    </row>
    <row r="25" spans="2:9">
      <c r="B25" s="15"/>
      <c r="C25" s="153" t="s">
        <v>300</v>
      </c>
      <c r="D25" s="114"/>
      <c r="E25" s="39"/>
      <c r="F25" s="52"/>
    </row>
    <row r="26" spans="2:9">
      <c r="B26" s="15"/>
      <c r="C26" s="153" t="s">
        <v>301</v>
      </c>
      <c r="D26" s="114"/>
      <c r="E26" s="39"/>
      <c r="F26" s="52"/>
    </row>
    <row r="27" spans="2:9">
      <c r="B27" s="15"/>
      <c r="C27" s="153" t="s">
        <v>16</v>
      </c>
      <c r="D27" s="114"/>
      <c r="E27" s="39"/>
      <c r="F27" s="52"/>
    </row>
    <row r="28" spans="2:9">
      <c r="B28" s="15"/>
      <c r="C28" s="153" t="s">
        <v>39</v>
      </c>
      <c r="D28" s="114"/>
      <c r="E28" s="39"/>
      <c r="F28" s="52"/>
    </row>
    <row r="29" spans="2:9">
      <c r="B29" s="15"/>
      <c r="C29" s="153" t="s">
        <v>17</v>
      </c>
      <c r="D29" s="114"/>
      <c r="E29" s="39"/>
      <c r="F29" s="52"/>
    </row>
    <row r="30" spans="2:9">
      <c r="B30" s="31"/>
      <c r="C30" s="32" t="s">
        <v>13</v>
      </c>
      <c r="D30" s="47"/>
      <c r="E30" s="179"/>
      <c r="F30" s="48"/>
    </row>
    <row r="32" spans="2:9" ht="18">
      <c r="B32" s="23"/>
      <c r="C32" s="29" t="s">
        <v>45</v>
      </c>
      <c r="D32" s="17" t="s">
        <v>297</v>
      </c>
      <c r="E32" s="18" t="s">
        <v>298</v>
      </c>
      <c r="F32" s="18" t="s">
        <v>158</v>
      </c>
      <c r="G32" s="18" t="s">
        <v>53</v>
      </c>
    </row>
    <row r="33" spans="2:7">
      <c r="B33" s="25"/>
      <c r="C33" s="36" t="s">
        <v>46</v>
      </c>
      <c r="D33" s="43" t="s">
        <v>967</v>
      </c>
      <c r="E33" s="44"/>
      <c r="F33" s="44"/>
      <c r="G33" s="208"/>
    </row>
    <row r="34" spans="2:7">
      <c r="B34" s="26"/>
      <c r="C34" s="22" t="s">
        <v>47</v>
      </c>
      <c r="D34" s="45"/>
      <c r="E34" s="46"/>
      <c r="F34" s="46"/>
      <c r="G34" s="204"/>
    </row>
    <row r="35" spans="2:7">
      <c r="B35" s="26"/>
      <c r="C35" s="22" t="s">
        <v>48</v>
      </c>
      <c r="D35" s="45"/>
      <c r="E35" s="46"/>
      <c r="F35" s="46"/>
      <c r="G35" s="204"/>
    </row>
    <row r="36" spans="2:7">
      <c r="B36" s="26"/>
      <c r="C36" s="22" t="s">
        <v>49</v>
      </c>
      <c r="D36" s="45"/>
      <c r="E36" s="46"/>
      <c r="F36" s="46"/>
      <c r="G36" s="204"/>
    </row>
    <row r="37" spans="2:7">
      <c r="B37" s="26"/>
      <c r="C37" s="22" t="s">
        <v>50</v>
      </c>
      <c r="D37" s="45"/>
      <c r="E37" s="46"/>
      <c r="F37" s="46"/>
      <c r="G37" s="204"/>
    </row>
    <row r="38" spans="2:7">
      <c r="B38" s="27"/>
      <c r="C38" s="33" t="s">
        <v>296</v>
      </c>
      <c r="D38" s="47"/>
      <c r="E38" s="48"/>
      <c r="F38" s="48"/>
      <c r="G38" s="205"/>
    </row>
    <row r="39" spans="2:7">
      <c r="B39" s="34"/>
      <c r="C39" s="35" t="s">
        <v>51</v>
      </c>
      <c r="D39" s="49"/>
      <c r="E39" s="50"/>
      <c r="F39" s="50"/>
      <c r="G39" s="181"/>
    </row>
  </sheetData>
  <mergeCells count="2">
    <mergeCell ref="B7:H9"/>
    <mergeCell ref="B15:H17"/>
  </mergeCells>
  <pageMargins left="0.25" right="0.25" top="0.75" bottom="0.75" header="0.3" footer="0.3"/>
  <pageSetup paperSize="9"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09FF-ED49-45AE-ACD8-2E73164C7BF9}">
  <sheetPr codeName="Sheet9">
    <tabColor theme="7" tint="0.79998168889431442"/>
  </sheetPr>
  <dimension ref="A1:DD3"/>
  <sheetViews>
    <sheetView workbookViewId="0">
      <selection activeCell="A3" sqref="A3"/>
    </sheetView>
  </sheetViews>
  <sheetFormatPr defaultRowHeight="14.25"/>
  <sheetData>
    <row r="1" spans="1:108" s="166" customFormat="1" ht="57">
      <c r="A1" s="166" t="s">
        <v>343</v>
      </c>
      <c r="B1" s="166" t="s">
        <v>326</v>
      </c>
      <c r="C1" s="166" t="s">
        <v>344</v>
      </c>
      <c r="D1" s="166" t="s">
        <v>345</v>
      </c>
      <c r="E1" s="166" t="s">
        <v>346</v>
      </c>
      <c r="F1" s="166" t="s">
        <v>347</v>
      </c>
      <c r="G1" s="166" t="s">
        <v>348</v>
      </c>
      <c r="H1" s="166" t="s">
        <v>349</v>
      </c>
      <c r="I1" s="166" t="s">
        <v>350</v>
      </c>
      <c r="J1" s="166" t="s">
        <v>351</v>
      </c>
      <c r="K1" s="166" t="s">
        <v>352</v>
      </c>
      <c r="L1" s="166" t="s">
        <v>342</v>
      </c>
      <c r="M1" s="166" t="s">
        <v>353</v>
      </c>
      <c r="N1" s="166" t="s">
        <v>355</v>
      </c>
      <c r="O1" s="166" t="s">
        <v>357</v>
      </c>
      <c r="P1" s="166" t="s">
        <v>359</v>
      </c>
      <c r="Q1" s="166" t="s">
        <v>361</v>
      </c>
      <c r="R1" s="166" t="s">
        <v>363</v>
      </c>
      <c r="S1" s="166" t="s">
        <v>365</v>
      </c>
      <c r="T1" s="166" t="s">
        <v>367</v>
      </c>
      <c r="U1" s="166" t="s">
        <v>369</v>
      </c>
      <c r="V1" s="166" t="s">
        <v>371</v>
      </c>
      <c r="W1" s="166" t="s">
        <v>373</v>
      </c>
      <c r="X1" s="166" t="s">
        <v>375</v>
      </c>
      <c r="Y1" s="166" t="s">
        <v>377</v>
      </c>
      <c r="Z1" s="166" t="s">
        <v>379</v>
      </c>
      <c r="AA1" s="166" t="s">
        <v>381</v>
      </c>
      <c r="AB1" s="166" t="s">
        <v>383</v>
      </c>
      <c r="AC1" s="166" t="s">
        <v>385</v>
      </c>
      <c r="AD1" s="166" t="s">
        <v>387</v>
      </c>
      <c r="AE1" s="166" t="s">
        <v>389</v>
      </c>
      <c r="AF1" s="166" t="s">
        <v>391</v>
      </c>
      <c r="AG1" s="166" t="s">
        <v>393</v>
      </c>
      <c r="AH1" s="166" t="s">
        <v>395</v>
      </c>
      <c r="AI1" s="166" t="s">
        <v>397</v>
      </c>
      <c r="AJ1" s="166" t="s">
        <v>399</v>
      </c>
      <c r="AK1" s="166" t="s">
        <v>401</v>
      </c>
      <c r="AL1" s="166" t="s">
        <v>403</v>
      </c>
      <c r="AM1" s="166" t="s">
        <v>405</v>
      </c>
      <c r="AN1" s="166" t="s">
        <v>407</v>
      </c>
      <c r="AO1" s="166" t="s">
        <v>409</v>
      </c>
      <c r="AP1" s="166" t="s">
        <v>411</v>
      </c>
      <c r="AQ1" s="166" t="s">
        <v>413</v>
      </c>
      <c r="AR1" s="166" t="s">
        <v>415</v>
      </c>
      <c r="AS1" s="166" t="s">
        <v>417</v>
      </c>
      <c r="AT1" s="166" t="s">
        <v>419</v>
      </c>
      <c r="AU1" s="166" t="s">
        <v>421</v>
      </c>
      <c r="AV1" s="166" t="s">
        <v>423</v>
      </c>
      <c r="AW1" s="166" t="s">
        <v>425</v>
      </c>
      <c r="AX1" s="166" t="s">
        <v>427</v>
      </c>
      <c r="AY1" s="166" t="s">
        <v>429</v>
      </c>
      <c r="AZ1" s="166" t="s">
        <v>431</v>
      </c>
      <c r="BA1" s="166" t="s">
        <v>433</v>
      </c>
      <c r="BB1" s="166" t="s">
        <v>435</v>
      </c>
      <c r="BC1" s="166" t="s">
        <v>437</v>
      </c>
      <c r="BD1" s="166" t="s">
        <v>439</v>
      </c>
      <c r="BE1" s="166" t="s">
        <v>441</v>
      </c>
      <c r="BF1" s="166" t="s">
        <v>443</v>
      </c>
      <c r="BG1" s="166" t="s">
        <v>445</v>
      </c>
      <c r="BH1" s="166" t="s">
        <v>447</v>
      </c>
      <c r="BI1" s="166" t="s">
        <v>449</v>
      </c>
      <c r="BJ1" s="166" t="s">
        <v>451</v>
      </c>
      <c r="BK1" s="166" t="s">
        <v>453</v>
      </c>
      <c r="BL1" s="166" t="s">
        <v>455</v>
      </c>
      <c r="BM1" s="166" t="s">
        <v>457</v>
      </c>
      <c r="BN1" s="166" t="s">
        <v>459</v>
      </c>
      <c r="BO1" s="166" t="s">
        <v>461</v>
      </c>
      <c r="BP1" s="166" t="s">
        <v>463</v>
      </c>
      <c r="BQ1" s="166" t="s">
        <v>465</v>
      </c>
      <c r="BR1" s="166" t="s">
        <v>467</v>
      </c>
      <c r="BS1" s="166" t="s">
        <v>469</v>
      </c>
      <c r="BT1" s="166" t="s">
        <v>471</v>
      </c>
      <c r="BU1" s="166" t="s">
        <v>473</v>
      </c>
      <c r="BV1" s="166" t="s">
        <v>475</v>
      </c>
      <c r="BW1" s="166" t="s">
        <v>477</v>
      </c>
      <c r="BX1" s="166" t="s">
        <v>479</v>
      </c>
      <c r="BY1" s="166" t="s">
        <v>481</v>
      </c>
      <c r="BZ1" s="166" t="s">
        <v>483</v>
      </c>
      <c r="CA1" s="166" t="s">
        <v>485</v>
      </c>
      <c r="CB1" s="166" t="s">
        <v>487</v>
      </c>
      <c r="CC1" s="166" t="s">
        <v>489</v>
      </c>
      <c r="CD1" s="166" t="s">
        <v>491</v>
      </c>
      <c r="CE1" s="166" t="s">
        <v>493</v>
      </c>
      <c r="CF1" s="166" t="s">
        <v>495</v>
      </c>
      <c r="CG1" s="166" t="s">
        <v>497</v>
      </c>
      <c r="CH1" s="166" t="s">
        <v>499</v>
      </c>
      <c r="CI1" s="166" t="s">
        <v>501</v>
      </c>
      <c r="CJ1" s="166" t="s">
        <v>503</v>
      </c>
      <c r="CK1" s="166" t="s">
        <v>505</v>
      </c>
      <c r="CL1" s="166" t="s">
        <v>507</v>
      </c>
      <c r="CM1" s="166" t="s">
        <v>509</v>
      </c>
      <c r="CN1" s="166" t="s">
        <v>511</v>
      </c>
      <c r="CO1" s="166" t="s">
        <v>513</v>
      </c>
      <c r="CP1" s="166" t="s">
        <v>515</v>
      </c>
      <c r="CQ1" s="166" t="s">
        <v>517</v>
      </c>
      <c r="CR1" s="166" t="s">
        <v>519</v>
      </c>
      <c r="CS1" s="166" t="s">
        <v>521</v>
      </c>
      <c r="CT1" s="166" t="s">
        <v>523</v>
      </c>
      <c r="CU1" s="166" t="s">
        <v>525</v>
      </c>
      <c r="CV1" s="166" t="s">
        <v>527</v>
      </c>
      <c r="CW1" s="166" t="s">
        <v>529</v>
      </c>
      <c r="CX1" s="166" t="s">
        <v>531</v>
      </c>
      <c r="CY1" s="166" t="s">
        <v>533</v>
      </c>
      <c r="CZ1" s="166" t="s">
        <v>535</v>
      </c>
      <c r="DA1" s="166" t="s">
        <v>537</v>
      </c>
      <c r="DB1" s="166" t="s">
        <v>539</v>
      </c>
      <c r="DC1" s="166" t="s">
        <v>541</v>
      </c>
      <c r="DD1" s="166" t="s">
        <v>543</v>
      </c>
    </row>
    <row r="2" spans="1:108" s="63" customFormat="1" ht="128.25">
      <c r="A2" s="63" t="s">
        <v>58</v>
      </c>
      <c r="B2" s="63" t="s">
        <v>14</v>
      </c>
      <c r="C2" s="63" t="s">
        <v>110</v>
      </c>
      <c r="D2" s="63" t="s">
        <v>111</v>
      </c>
      <c r="E2" s="63" t="s">
        <v>112</v>
      </c>
      <c r="F2" s="63" t="s">
        <v>113</v>
      </c>
      <c r="G2" s="63" t="s">
        <v>114</v>
      </c>
      <c r="H2" s="63" t="s">
        <v>116</v>
      </c>
      <c r="I2" s="63" t="s">
        <v>117</v>
      </c>
      <c r="J2" s="63" t="s">
        <v>118</v>
      </c>
      <c r="K2" s="63" t="s">
        <v>119</v>
      </c>
      <c r="L2" s="63" t="s">
        <v>115</v>
      </c>
      <c r="M2" s="63" t="s">
        <v>354</v>
      </c>
      <c r="N2" s="63" t="s">
        <v>356</v>
      </c>
      <c r="O2" s="63" t="s">
        <v>358</v>
      </c>
      <c r="P2" s="63" t="s">
        <v>360</v>
      </c>
      <c r="Q2" s="63" t="s">
        <v>362</v>
      </c>
      <c r="R2" s="63" t="s">
        <v>364</v>
      </c>
      <c r="S2" s="63" t="s">
        <v>366</v>
      </c>
      <c r="T2" s="63" t="s">
        <v>368</v>
      </c>
      <c r="U2" s="63" t="s">
        <v>370</v>
      </c>
      <c r="V2" s="63" t="s">
        <v>372</v>
      </c>
      <c r="W2" s="63" t="s">
        <v>374</v>
      </c>
      <c r="X2" s="63" t="s">
        <v>376</v>
      </c>
      <c r="Y2" s="63" t="s">
        <v>378</v>
      </c>
      <c r="Z2" s="63" t="s">
        <v>380</v>
      </c>
      <c r="AA2" s="63" t="s">
        <v>382</v>
      </c>
      <c r="AB2" s="63" t="s">
        <v>384</v>
      </c>
      <c r="AC2" s="63" t="s">
        <v>386</v>
      </c>
      <c r="AD2" s="63" t="s">
        <v>388</v>
      </c>
      <c r="AE2" s="63" t="s">
        <v>390</v>
      </c>
      <c r="AF2" s="63" t="s">
        <v>392</v>
      </c>
      <c r="AG2" s="63" t="s">
        <v>394</v>
      </c>
      <c r="AH2" s="63" t="s">
        <v>396</v>
      </c>
      <c r="AI2" s="63" t="s">
        <v>398</v>
      </c>
      <c r="AJ2" s="63" t="s">
        <v>400</v>
      </c>
      <c r="AK2" s="63" t="s">
        <v>402</v>
      </c>
      <c r="AL2" s="63" t="s">
        <v>404</v>
      </c>
      <c r="AM2" s="63" t="s">
        <v>406</v>
      </c>
      <c r="AN2" s="63" t="s">
        <v>408</v>
      </c>
      <c r="AO2" s="63" t="s">
        <v>410</v>
      </c>
      <c r="AP2" s="63" t="s">
        <v>412</v>
      </c>
      <c r="AQ2" s="63" t="s">
        <v>414</v>
      </c>
      <c r="AR2" s="63" t="s">
        <v>416</v>
      </c>
      <c r="AS2" s="63" t="s">
        <v>418</v>
      </c>
      <c r="AT2" s="63" t="s">
        <v>420</v>
      </c>
      <c r="AU2" s="63" t="s">
        <v>422</v>
      </c>
      <c r="AV2" s="63" t="s">
        <v>424</v>
      </c>
      <c r="AW2" s="63" t="s">
        <v>426</v>
      </c>
      <c r="AX2" s="63" t="s">
        <v>428</v>
      </c>
      <c r="AY2" s="63" t="s">
        <v>430</v>
      </c>
      <c r="AZ2" s="63" t="s">
        <v>432</v>
      </c>
      <c r="BA2" s="63" t="s">
        <v>434</v>
      </c>
      <c r="BB2" s="63" t="s">
        <v>436</v>
      </c>
      <c r="BC2" s="63" t="s">
        <v>438</v>
      </c>
      <c r="BD2" s="63" t="s">
        <v>440</v>
      </c>
      <c r="BE2" s="63" t="s">
        <v>442</v>
      </c>
      <c r="BF2" s="63" t="s">
        <v>444</v>
      </c>
      <c r="BG2" s="63" t="s">
        <v>446</v>
      </c>
      <c r="BH2" s="63" t="s">
        <v>448</v>
      </c>
      <c r="BI2" s="63" t="s">
        <v>450</v>
      </c>
      <c r="BJ2" s="63" t="s">
        <v>452</v>
      </c>
      <c r="BK2" s="63" t="s">
        <v>454</v>
      </c>
      <c r="BL2" s="63" t="s">
        <v>456</v>
      </c>
      <c r="BM2" s="63" t="s">
        <v>458</v>
      </c>
      <c r="BN2" s="63" t="s">
        <v>460</v>
      </c>
      <c r="BO2" s="63" t="s">
        <v>462</v>
      </c>
      <c r="BP2" s="63" t="s">
        <v>464</v>
      </c>
      <c r="BQ2" s="63" t="s">
        <v>466</v>
      </c>
      <c r="BR2" s="63" t="s">
        <v>468</v>
      </c>
      <c r="BS2" s="63" t="s">
        <v>470</v>
      </c>
      <c r="BT2" s="63" t="s">
        <v>472</v>
      </c>
      <c r="BU2" s="63" t="s">
        <v>474</v>
      </c>
      <c r="BV2" s="63" t="s">
        <v>476</v>
      </c>
      <c r="BW2" s="63" t="s">
        <v>478</v>
      </c>
      <c r="BX2" s="63" t="s">
        <v>480</v>
      </c>
      <c r="BY2" s="63" t="s">
        <v>482</v>
      </c>
      <c r="BZ2" s="63" t="s">
        <v>484</v>
      </c>
      <c r="CA2" s="63" t="s">
        <v>486</v>
      </c>
      <c r="CB2" s="63" t="s">
        <v>488</v>
      </c>
      <c r="CC2" s="63" t="s">
        <v>490</v>
      </c>
      <c r="CD2" s="63" t="s">
        <v>492</v>
      </c>
      <c r="CE2" s="63" t="s">
        <v>494</v>
      </c>
      <c r="CF2" s="63" t="s">
        <v>496</v>
      </c>
      <c r="CG2" s="63" t="s">
        <v>498</v>
      </c>
      <c r="CH2" s="63" t="s">
        <v>500</v>
      </c>
      <c r="CI2" s="63" t="s">
        <v>502</v>
      </c>
      <c r="CJ2" s="63" t="s">
        <v>504</v>
      </c>
      <c r="CK2" s="63" t="s">
        <v>506</v>
      </c>
      <c r="CL2" s="63" t="s">
        <v>508</v>
      </c>
      <c r="CM2" s="63" t="s">
        <v>510</v>
      </c>
      <c r="CN2" s="63" t="s">
        <v>512</v>
      </c>
      <c r="CO2" s="63" t="s">
        <v>514</v>
      </c>
      <c r="CP2" s="63" t="s">
        <v>516</v>
      </c>
      <c r="CQ2" s="63" t="s">
        <v>518</v>
      </c>
      <c r="CR2" s="63" t="s">
        <v>520</v>
      </c>
      <c r="CS2" s="63" t="s">
        <v>522</v>
      </c>
      <c r="CT2" s="63" t="s">
        <v>524</v>
      </c>
      <c r="CU2" s="63" t="s">
        <v>526</v>
      </c>
      <c r="CV2" s="63" t="s">
        <v>528</v>
      </c>
      <c r="CW2" s="63" t="s">
        <v>530</v>
      </c>
      <c r="CX2" s="63" t="s">
        <v>532</v>
      </c>
      <c r="CY2" s="63" t="s">
        <v>534</v>
      </c>
      <c r="CZ2" s="63" t="s">
        <v>536</v>
      </c>
      <c r="DA2" s="63" t="s">
        <v>538</v>
      </c>
      <c r="DB2" s="63" t="s">
        <v>540</v>
      </c>
      <c r="DC2" s="63" t="s">
        <v>542</v>
      </c>
      <c r="DD2" s="63" t="s">
        <v>544</v>
      </c>
    </row>
    <row r="3" spans="1:108">
      <c r="A3" t="s">
        <v>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5EC9-3363-4937-B9B6-D39AD9210C83}">
  <sheetPr codeName="Sheet10">
    <tabColor theme="7" tint="0.79998168889431442"/>
  </sheetPr>
  <dimension ref="A1:N3"/>
  <sheetViews>
    <sheetView workbookViewId="0">
      <selection activeCell="A3" sqref="A3"/>
    </sheetView>
  </sheetViews>
  <sheetFormatPr defaultRowHeight="14.25"/>
  <sheetData>
    <row r="1" spans="1:14" s="166" customFormat="1" ht="28.5">
      <c r="A1" s="166" t="s">
        <v>322</v>
      </c>
      <c r="B1" s="166" t="s">
        <v>324</v>
      </c>
      <c r="C1" s="166" t="s">
        <v>325</v>
      </c>
      <c r="D1" s="166" t="s">
        <v>326</v>
      </c>
      <c r="E1" s="166" t="s">
        <v>327</v>
      </c>
      <c r="F1" s="166" t="s">
        <v>328</v>
      </c>
      <c r="G1" s="166" t="s">
        <v>329</v>
      </c>
      <c r="H1" s="166" t="s">
        <v>330</v>
      </c>
      <c r="I1" s="166" t="s">
        <v>332</v>
      </c>
      <c r="J1" s="166" t="s">
        <v>334</v>
      </c>
      <c r="K1" s="166" t="s">
        <v>336</v>
      </c>
      <c r="L1" s="166" t="s">
        <v>338</v>
      </c>
      <c r="M1" s="166" t="s">
        <v>340</v>
      </c>
      <c r="N1" s="166" t="s">
        <v>342</v>
      </c>
    </row>
    <row r="2" spans="1:14" s="63" customFormat="1" ht="57">
      <c r="A2" s="63" t="s">
        <v>323</v>
      </c>
      <c r="B2" s="63" t="s">
        <v>129</v>
      </c>
      <c r="C2" s="63" t="s">
        <v>130</v>
      </c>
      <c r="D2" s="63" t="s">
        <v>14</v>
      </c>
      <c r="E2" s="63" t="s">
        <v>131</v>
      </c>
      <c r="F2" s="63" t="s">
        <v>132</v>
      </c>
      <c r="G2" s="63" t="s">
        <v>133</v>
      </c>
      <c r="H2" s="63" t="s">
        <v>331</v>
      </c>
      <c r="I2" s="63" t="s">
        <v>333</v>
      </c>
      <c r="J2" s="63" t="s">
        <v>335</v>
      </c>
      <c r="K2" s="63" t="s">
        <v>337</v>
      </c>
      <c r="L2" s="63" t="s">
        <v>339</v>
      </c>
      <c r="M2" s="63" t="s">
        <v>341</v>
      </c>
      <c r="N2" s="63" t="s">
        <v>115</v>
      </c>
    </row>
    <row r="3" spans="1:14">
      <c r="A3" t="s">
        <v>969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CF35-91C3-4E30-B298-3B577BF135EA}">
  <sheetPr codeName="Sheet11">
    <tabColor theme="7" tint="0.79998168889431442"/>
  </sheetPr>
  <dimension ref="A1:CO99"/>
  <sheetViews>
    <sheetView workbookViewId="0">
      <selection activeCell="A3" sqref="A3"/>
    </sheetView>
  </sheetViews>
  <sheetFormatPr defaultRowHeight="14.25"/>
  <sheetData>
    <row r="1" spans="1:93" s="166" customFormat="1" ht="57">
      <c r="A1" s="166" t="s">
        <v>548</v>
      </c>
      <c r="B1" s="166" t="s">
        <v>630</v>
      </c>
      <c r="C1" s="166" t="s">
        <v>324</v>
      </c>
      <c r="D1" s="166" t="s">
        <v>631</v>
      </c>
      <c r="E1" s="166" t="s">
        <v>633</v>
      </c>
      <c r="F1" s="166" t="s">
        <v>347</v>
      </c>
      <c r="G1" s="166" t="s">
        <v>636</v>
      </c>
      <c r="H1" s="166" t="s">
        <v>638</v>
      </c>
      <c r="I1" s="166" t="s">
        <v>640</v>
      </c>
      <c r="J1" s="166" t="s">
        <v>642</v>
      </c>
      <c r="K1" s="166" t="s">
        <v>644</v>
      </c>
      <c r="L1" s="166" t="s">
        <v>646</v>
      </c>
      <c r="M1" s="166" t="s">
        <v>648</v>
      </c>
      <c r="N1" s="166" t="s">
        <v>650</v>
      </c>
      <c r="O1" s="166" t="s">
        <v>652</v>
      </c>
      <c r="P1" s="166" t="s">
        <v>654</v>
      </c>
      <c r="Q1" s="166" t="s">
        <v>656</v>
      </c>
      <c r="R1" s="166" t="s">
        <v>657</v>
      </c>
      <c r="S1" s="166" t="s">
        <v>658</v>
      </c>
      <c r="T1" s="166" t="s">
        <v>659</v>
      </c>
      <c r="U1" s="166" t="s">
        <v>660</v>
      </c>
      <c r="V1" s="166" t="s">
        <v>661</v>
      </c>
      <c r="W1" s="166" t="s">
        <v>662</v>
      </c>
      <c r="X1" s="166" t="s">
        <v>664</v>
      </c>
      <c r="Y1" s="166" t="s">
        <v>666</v>
      </c>
      <c r="Z1" s="166" t="s">
        <v>667</v>
      </c>
      <c r="AA1" s="166" t="s">
        <v>669</v>
      </c>
      <c r="AB1" s="166" t="s">
        <v>671</v>
      </c>
      <c r="AC1" s="166" t="s">
        <v>673</v>
      </c>
      <c r="AD1" s="166" t="s">
        <v>674</v>
      </c>
      <c r="AE1" s="166" t="s">
        <v>676</v>
      </c>
      <c r="AF1" s="166" t="s">
        <v>678</v>
      </c>
      <c r="AG1" s="166" t="s">
        <v>680</v>
      </c>
      <c r="AH1" s="166" t="s">
        <v>682</v>
      </c>
      <c r="AI1" s="166" t="s">
        <v>684</v>
      </c>
      <c r="AJ1" s="166" t="s">
        <v>686</v>
      </c>
      <c r="AK1" s="166" t="s">
        <v>688</v>
      </c>
      <c r="AL1" s="166" t="s">
        <v>690</v>
      </c>
      <c r="AM1" s="166" t="s">
        <v>692</v>
      </c>
      <c r="AN1" s="166" t="s">
        <v>694</v>
      </c>
      <c r="AO1" s="166" t="s">
        <v>696</v>
      </c>
      <c r="AP1" s="166" t="s">
        <v>698</v>
      </c>
      <c r="AQ1" s="166" t="s">
        <v>700</v>
      </c>
      <c r="AR1" s="166" t="s">
        <v>702</v>
      </c>
      <c r="AS1" s="166" t="s">
        <v>704</v>
      </c>
      <c r="AT1" s="166" t="s">
        <v>706</v>
      </c>
      <c r="AU1" s="166" t="s">
        <v>708</v>
      </c>
      <c r="AV1" s="166" t="s">
        <v>710</v>
      </c>
      <c r="AW1" s="166" t="s">
        <v>712</v>
      </c>
      <c r="AX1" s="166" t="s">
        <v>713</v>
      </c>
      <c r="AY1" s="166" t="s">
        <v>715</v>
      </c>
      <c r="AZ1" s="166" t="s">
        <v>717</v>
      </c>
      <c r="BA1" s="166" t="s">
        <v>719</v>
      </c>
      <c r="BB1" s="166" t="s">
        <v>721</v>
      </c>
      <c r="BC1" s="166" t="s">
        <v>722</v>
      </c>
      <c r="BD1" s="166" t="s">
        <v>723</v>
      </c>
      <c r="BE1" s="166" t="s">
        <v>724</v>
      </c>
      <c r="BF1" s="166" t="s">
        <v>726</v>
      </c>
      <c r="BG1" s="166" t="s">
        <v>728</v>
      </c>
      <c r="BH1" s="166" t="s">
        <v>729</v>
      </c>
      <c r="BI1" s="166" t="s">
        <v>731</v>
      </c>
      <c r="BJ1" s="166" t="s">
        <v>733</v>
      </c>
      <c r="BK1" s="166" t="s">
        <v>735</v>
      </c>
      <c r="BL1" s="166" t="s">
        <v>737</v>
      </c>
      <c r="BM1" s="166" t="s">
        <v>739</v>
      </c>
      <c r="BN1" s="166" t="s">
        <v>741</v>
      </c>
      <c r="BO1" s="166" t="s">
        <v>743</v>
      </c>
      <c r="BP1" s="166" t="s">
        <v>745</v>
      </c>
      <c r="BQ1" s="166" t="s">
        <v>747</v>
      </c>
      <c r="BR1" s="166" t="s">
        <v>749</v>
      </c>
      <c r="BS1" s="166" t="s">
        <v>750</v>
      </c>
      <c r="BT1" s="166" t="s">
        <v>752</v>
      </c>
      <c r="BU1" s="166" t="s">
        <v>754</v>
      </c>
      <c r="BV1" s="166" t="s">
        <v>756</v>
      </c>
      <c r="BW1" s="166" t="s">
        <v>758</v>
      </c>
      <c r="BX1" s="166" t="s">
        <v>760</v>
      </c>
      <c r="BY1" s="166" t="s">
        <v>762</v>
      </c>
      <c r="BZ1" s="166" t="s">
        <v>764</v>
      </c>
      <c r="CA1" s="166" t="s">
        <v>766</v>
      </c>
      <c r="CB1" s="166" t="s">
        <v>768</v>
      </c>
      <c r="CC1" s="166" t="s">
        <v>770</v>
      </c>
      <c r="CD1" s="166" t="s">
        <v>772</v>
      </c>
      <c r="CE1" s="166" t="s">
        <v>774</v>
      </c>
      <c r="CF1" s="166" t="s">
        <v>776</v>
      </c>
      <c r="CG1" s="166" t="s">
        <v>778</v>
      </c>
      <c r="CH1" s="166" t="s">
        <v>780</v>
      </c>
      <c r="CI1" s="166" t="s">
        <v>782</v>
      </c>
      <c r="CJ1" s="166" t="s">
        <v>784</v>
      </c>
      <c r="CK1" s="166" t="s">
        <v>785</v>
      </c>
      <c r="CL1" s="166" t="s">
        <v>787</v>
      </c>
      <c r="CM1" s="166" t="s">
        <v>789</v>
      </c>
      <c r="CN1" s="166" t="s">
        <v>791</v>
      </c>
      <c r="CO1" s="166" t="s">
        <v>793</v>
      </c>
    </row>
    <row r="2" spans="1:93" s="63" customFormat="1" ht="71.25">
      <c r="A2" s="63" t="s">
        <v>549</v>
      </c>
      <c r="B2" s="63" t="s">
        <v>549</v>
      </c>
      <c r="C2" s="63" t="s">
        <v>175</v>
      </c>
      <c r="D2" s="63" t="s">
        <v>632</v>
      </c>
      <c r="E2" s="63" t="s">
        <v>634</v>
      </c>
      <c r="F2" s="63" t="s">
        <v>635</v>
      </c>
      <c r="G2" s="63" t="s">
        <v>637</v>
      </c>
      <c r="H2" s="63" t="s">
        <v>639</v>
      </c>
      <c r="I2" s="63" t="s">
        <v>641</v>
      </c>
      <c r="J2" s="63" t="s">
        <v>643</v>
      </c>
      <c r="K2" s="63" t="s">
        <v>645</v>
      </c>
      <c r="L2" s="63" t="s">
        <v>647</v>
      </c>
      <c r="M2" s="63" t="s">
        <v>649</v>
      </c>
      <c r="N2" s="63" t="s">
        <v>651</v>
      </c>
      <c r="O2" s="63" t="s">
        <v>653</v>
      </c>
      <c r="P2" s="63" t="s">
        <v>655</v>
      </c>
      <c r="Q2" s="63" t="s">
        <v>651</v>
      </c>
      <c r="R2" s="63" t="s">
        <v>653</v>
      </c>
      <c r="S2" s="63" t="s">
        <v>655</v>
      </c>
      <c r="T2" s="63" t="s">
        <v>651</v>
      </c>
      <c r="U2" s="63" t="s">
        <v>653</v>
      </c>
      <c r="V2" s="63" t="s">
        <v>655</v>
      </c>
      <c r="W2" s="63" t="s">
        <v>663</v>
      </c>
      <c r="X2" s="63" t="s">
        <v>665</v>
      </c>
      <c r="Y2" s="63" t="s">
        <v>42</v>
      </c>
      <c r="Z2" s="63" t="s">
        <v>668</v>
      </c>
      <c r="AA2" s="63" t="s">
        <v>670</v>
      </c>
      <c r="AB2" s="63" t="s">
        <v>672</v>
      </c>
      <c r="AC2" s="63" t="s">
        <v>198</v>
      </c>
      <c r="AD2" s="63" t="s">
        <v>675</v>
      </c>
      <c r="AE2" s="63" t="s">
        <v>677</v>
      </c>
      <c r="AF2" s="63" t="s">
        <v>679</v>
      </c>
      <c r="AG2" s="63" t="s">
        <v>681</v>
      </c>
      <c r="AH2" s="63" t="s">
        <v>683</v>
      </c>
      <c r="AI2" s="63" t="s">
        <v>685</v>
      </c>
      <c r="AJ2" s="63" t="s">
        <v>687</v>
      </c>
      <c r="AK2" s="63" t="s">
        <v>689</v>
      </c>
      <c r="AL2" s="63" t="s">
        <v>691</v>
      </c>
      <c r="AM2" s="63" t="s">
        <v>693</v>
      </c>
      <c r="AN2" s="63" t="s">
        <v>695</v>
      </c>
      <c r="AO2" s="63" t="s">
        <v>697</v>
      </c>
      <c r="AP2" s="63" t="s">
        <v>699</v>
      </c>
      <c r="AQ2" s="63" t="s">
        <v>701</v>
      </c>
      <c r="AR2" s="63" t="s">
        <v>703</v>
      </c>
      <c r="AS2" s="63" t="s">
        <v>705</v>
      </c>
      <c r="AT2" s="63" t="s">
        <v>707</v>
      </c>
      <c r="AU2" s="63" t="s">
        <v>709</v>
      </c>
      <c r="AV2" s="63" t="s">
        <v>711</v>
      </c>
      <c r="AW2" s="63" t="s">
        <v>226</v>
      </c>
      <c r="AX2" s="63" t="s">
        <v>714</v>
      </c>
      <c r="AY2" s="63" t="s">
        <v>716</v>
      </c>
      <c r="AZ2" s="63" t="s">
        <v>718</v>
      </c>
      <c r="BA2" s="63" t="s">
        <v>720</v>
      </c>
      <c r="BB2" s="63" t="s">
        <v>223</v>
      </c>
      <c r="BC2" s="63" t="s">
        <v>224</v>
      </c>
      <c r="BD2" s="63" t="s">
        <v>225</v>
      </c>
      <c r="BE2" s="63" t="s">
        <v>725</v>
      </c>
      <c r="BF2" s="63" t="s">
        <v>727</v>
      </c>
      <c r="BG2" s="63" t="s">
        <v>226</v>
      </c>
      <c r="BH2" s="63" t="s">
        <v>730</v>
      </c>
      <c r="BI2" s="63" t="s">
        <v>732</v>
      </c>
      <c r="BJ2" s="63" t="s">
        <v>734</v>
      </c>
      <c r="BK2" s="63" t="s">
        <v>736</v>
      </c>
      <c r="BL2" s="63" t="s">
        <v>738</v>
      </c>
      <c r="BM2" s="63" t="s">
        <v>740</v>
      </c>
      <c r="BN2" s="63" t="s">
        <v>742</v>
      </c>
      <c r="BO2" s="63" t="s">
        <v>744</v>
      </c>
      <c r="BP2" s="63" t="s">
        <v>746</v>
      </c>
      <c r="BQ2" s="63" t="s">
        <v>748</v>
      </c>
      <c r="BR2" s="63" t="s">
        <v>226</v>
      </c>
      <c r="BS2" s="63" t="s">
        <v>751</v>
      </c>
      <c r="BT2" s="63" t="s">
        <v>753</v>
      </c>
      <c r="BU2" s="63" t="s">
        <v>755</v>
      </c>
      <c r="BV2" s="63" t="s">
        <v>757</v>
      </c>
      <c r="BW2" s="63" t="s">
        <v>759</v>
      </c>
      <c r="BX2" s="63" t="s">
        <v>761</v>
      </c>
      <c r="BY2" s="63" t="s">
        <v>763</v>
      </c>
      <c r="BZ2" s="63" t="s">
        <v>765</v>
      </c>
      <c r="CA2" s="63" t="s">
        <v>767</v>
      </c>
      <c r="CB2" s="63" t="s">
        <v>769</v>
      </c>
      <c r="CC2" s="63" t="s">
        <v>771</v>
      </c>
      <c r="CD2" s="63" t="s">
        <v>773</v>
      </c>
      <c r="CE2" s="63" t="s">
        <v>775</v>
      </c>
      <c r="CF2" s="63" t="s">
        <v>777</v>
      </c>
      <c r="CG2" s="63" t="s">
        <v>779</v>
      </c>
      <c r="CH2" s="63" t="s">
        <v>781</v>
      </c>
      <c r="CI2" s="63" t="s">
        <v>783</v>
      </c>
      <c r="CJ2" s="63" t="s">
        <v>175</v>
      </c>
      <c r="CK2" s="63" t="s">
        <v>786</v>
      </c>
      <c r="CL2" s="63" t="s">
        <v>788</v>
      </c>
      <c r="CM2" s="63" t="s">
        <v>790</v>
      </c>
      <c r="CN2" s="63" t="s">
        <v>792</v>
      </c>
      <c r="CO2" s="63" t="s">
        <v>794</v>
      </c>
    </row>
    <row r="3" spans="1:93">
      <c r="A3" t="s">
        <v>970</v>
      </c>
    </row>
    <row r="6" spans="1:93" ht="15" thickBot="1"/>
    <row r="7" spans="1:93" ht="17.25" thickBot="1">
      <c r="A7" s="165"/>
      <c r="B7" s="165"/>
    </row>
    <row r="8" spans="1:93" ht="17.25" thickBot="1">
      <c r="A8" s="165"/>
      <c r="B8" s="165"/>
    </row>
    <row r="9" spans="1:93" ht="17.25" thickBot="1">
      <c r="A9" s="165"/>
      <c r="B9" s="165"/>
    </row>
    <row r="10" spans="1:93" ht="17.25" thickBot="1">
      <c r="A10" s="165"/>
      <c r="B10" s="165"/>
    </row>
    <row r="11" spans="1:93" ht="17.25" thickBot="1">
      <c r="A11" s="165"/>
      <c r="B11" s="165"/>
    </row>
    <row r="12" spans="1:93" ht="17.25" thickBot="1">
      <c r="A12" s="165"/>
      <c r="B12" s="165"/>
    </row>
    <row r="13" spans="1:93" ht="17.25" thickBot="1">
      <c r="A13" s="165"/>
      <c r="B13" s="165"/>
    </row>
    <row r="14" spans="1:93" ht="17.25" thickBot="1">
      <c r="A14" s="165"/>
      <c r="B14" s="165"/>
    </row>
    <row r="15" spans="1:93" ht="17.25" thickBot="1">
      <c r="A15" s="165"/>
      <c r="B15" s="165"/>
    </row>
    <row r="16" spans="1:93" ht="17.25" thickBot="1">
      <c r="A16" s="165"/>
      <c r="B16" s="165"/>
    </row>
    <row r="17" spans="1:2" ht="17.25" thickBot="1">
      <c r="A17" s="165"/>
      <c r="B17" s="165"/>
    </row>
    <row r="18" spans="1:2" ht="17.25" thickBot="1">
      <c r="A18" s="165"/>
      <c r="B18" s="165"/>
    </row>
    <row r="19" spans="1:2" ht="17.25" thickBot="1">
      <c r="A19" s="165"/>
      <c r="B19" s="165"/>
    </row>
    <row r="20" spans="1:2" ht="17.25" thickBot="1">
      <c r="A20" s="165"/>
      <c r="B20" s="165"/>
    </row>
    <row r="21" spans="1:2" ht="17.25" thickBot="1">
      <c r="A21" s="165"/>
      <c r="B21" s="165"/>
    </row>
    <row r="22" spans="1:2" ht="17.25" thickBot="1">
      <c r="A22" s="165"/>
      <c r="B22" s="165"/>
    </row>
    <row r="23" spans="1:2" ht="17.25" thickBot="1">
      <c r="A23" s="165"/>
      <c r="B23" s="165"/>
    </row>
    <row r="24" spans="1:2" ht="17.25" thickBot="1">
      <c r="A24" s="165"/>
      <c r="B24" s="165"/>
    </row>
    <row r="25" spans="1:2" ht="17.25" thickBot="1">
      <c r="A25" s="165"/>
      <c r="B25" s="165"/>
    </row>
    <row r="26" spans="1:2" ht="17.25" thickBot="1">
      <c r="A26" s="165"/>
      <c r="B26" s="165"/>
    </row>
    <row r="27" spans="1:2" ht="17.25" thickBot="1">
      <c r="A27" s="165"/>
      <c r="B27" s="165"/>
    </row>
    <row r="28" spans="1:2" ht="17.25" thickBot="1">
      <c r="A28" s="165"/>
      <c r="B28" s="165"/>
    </row>
    <row r="29" spans="1:2" ht="17.25" thickBot="1">
      <c r="A29" s="165"/>
      <c r="B29" s="165"/>
    </row>
    <row r="30" spans="1:2" ht="17.25" thickBot="1">
      <c r="A30" s="165"/>
      <c r="B30" s="165"/>
    </row>
    <row r="31" spans="1:2" ht="17.25" thickBot="1">
      <c r="A31" s="165"/>
      <c r="B31" s="165"/>
    </row>
    <row r="32" spans="1:2" ht="17.25" thickBot="1">
      <c r="A32" s="165"/>
      <c r="B32" s="165"/>
    </row>
    <row r="33" spans="1:2" ht="17.25" thickBot="1">
      <c r="A33" s="165"/>
      <c r="B33" s="165"/>
    </row>
    <row r="34" spans="1:2" ht="17.25" thickBot="1">
      <c r="A34" s="165"/>
      <c r="B34" s="165"/>
    </row>
    <row r="35" spans="1:2" ht="17.25" thickBot="1">
      <c r="A35" s="165"/>
      <c r="B35" s="165"/>
    </row>
    <row r="36" spans="1:2" ht="17.25" thickBot="1">
      <c r="A36" s="165"/>
      <c r="B36" s="165"/>
    </row>
    <row r="37" spans="1:2" ht="17.25" thickBot="1">
      <c r="A37" s="165"/>
      <c r="B37" s="165"/>
    </row>
    <row r="38" spans="1:2" ht="17.25" thickBot="1">
      <c r="A38" s="165"/>
      <c r="B38" s="165"/>
    </row>
    <row r="39" spans="1:2" ht="17.25" thickBot="1">
      <c r="A39" s="165"/>
      <c r="B39" s="165"/>
    </row>
    <row r="40" spans="1:2" ht="17.25" thickBot="1">
      <c r="A40" s="165"/>
      <c r="B40" s="165"/>
    </row>
    <row r="41" spans="1:2" ht="17.25" thickBot="1">
      <c r="A41" s="165"/>
      <c r="B41" s="165"/>
    </row>
    <row r="42" spans="1:2" ht="17.25" thickBot="1">
      <c r="A42" s="165"/>
      <c r="B42" s="165"/>
    </row>
    <row r="43" spans="1:2" ht="17.25" thickBot="1">
      <c r="A43" s="165"/>
      <c r="B43" s="165"/>
    </row>
    <row r="44" spans="1:2" ht="17.25" thickBot="1">
      <c r="A44" s="165"/>
      <c r="B44" s="165"/>
    </row>
    <row r="45" spans="1:2" ht="17.25" thickBot="1">
      <c r="A45" s="165"/>
      <c r="B45" s="165"/>
    </row>
    <row r="46" spans="1:2" ht="17.25" thickBot="1">
      <c r="A46" s="165"/>
      <c r="B46" s="165"/>
    </row>
    <row r="47" spans="1:2" ht="17.25" thickBot="1">
      <c r="A47" s="165"/>
      <c r="B47" s="165"/>
    </row>
    <row r="48" spans="1:2" ht="17.25" thickBot="1">
      <c r="A48" s="165"/>
      <c r="B48" s="165"/>
    </row>
    <row r="49" spans="1:2" ht="17.25" thickBot="1">
      <c r="A49" s="165"/>
      <c r="B49" s="165"/>
    </row>
    <row r="50" spans="1:2" ht="17.25" thickBot="1">
      <c r="A50" s="165"/>
      <c r="B50" s="165"/>
    </row>
    <row r="51" spans="1:2" ht="17.25" thickBot="1">
      <c r="A51" s="165"/>
      <c r="B51" s="165"/>
    </row>
    <row r="52" spans="1:2" ht="17.25" thickBot="1">
      <c r="A52" s="165"/>
      <c r="B52" s="165"/>
    </row>
    <row r="53" spans="1:2" ht="17.25" thickBot="1">
      <c r="A53" s="165"/>
      <c r="B53" s="165"/>
    </row>
    <row r="54" spans="1:2" ht="17.25" thickBot="1">
      <c r="A54" s="165"/>
      <c r="B54" s="165"/>
    </row>
    <row r="55" spans="1:2" ht="17.25" thickBot="1">
      <c r="A55" s="165"/>
      <c r="B55" s="165"/>
    </row>
    <row r="56" spans="1:2" ht="17.25" thickBot="1">
      <c r="A56" s="165"/>
      <c r="B56" s="165"/>
    </row>
    <row r="57" spans="1:2" ht="17.25" thickBot="1">
      <c r="A57" s="165"/>
      <c r="B57" s="165"/>
    </row>
    <row r="58" spans="1:2" ht="17.25" thickBot="1">
      <c r="A58" s="165"/>
      <c r="B58" s="165"/>
    </row>
    <row r="59" spans="1:2" ht="17.25" thickBot="1">
      <c r="A59" s="165"/>
      <c r="B59" s="165"/>
    </row>
    <row r="60" spans="1:2" ht="17.25" thickBot="1">
      <c r="A60" s="165"/>
      <c r="B60" s="165"/>
    </row>
    <row r="61" spans="1:2" ht="17.25" thickBot="1">
      <c r="A61" s="165"/>
      <c r="B61" s="165"/>
    </row>
    <row r="62" spans="1:2" ht="17.25" thickBot="1">
      <c r="A62" s="165"/>
      <c r="B62" s="165"/>
    </row>
    <row r="63" spans="1:2" ht="17.25" thickBot="1">
      <c r="A63" s="165"/>
      <c r="B63" s="165"/>
    </row>
    <row r="64" spans="1:2" ht="17.25" thickBot="1">
      <c r="A64" s="165"/>
      <c r="B64" s="165"/>
    </row>
    <row r="65" spans="1:2" ht="17.25" thickBot="1">
      <c r="A65" s="165"/>
      <c r="B65" s="165"/>
    </row>
    <row r="66" spans="1:2" ht="17.25" thickBot="1">
      <c r="A66" s="165"/>
      <c r="B66" s="165"/>
    </row>
    <row r="67" spans="1:2" ht="17.25" thickBot="1">
      <c r="A67" s="165"/>
      <c r="B67" s="165"/>
    </row>
    <row r="68" spans="1:2" ht="17.25" thickBot="1">
      <c r="A68" s="165"/>
      <c r="B68" s="165"/>
    </row>
    <row r="69" spans="1:2" ht="17.25" thickBot="1">
      <c r="A69" s="165"/>
      <c r="B69" s="165"/>
    </row>
    <row r="70" spans="1:2" ht="17.25" thickBot="1">
      <c r="A70" s="165"/>
      <c r="B70" s="165"/>
    </row>
    <row r="71" spans="1:2" ht="17.25" thickBot="1">
      <c r="A71" s="165"/>
      <c r="B71" s="165"/>
    </row>
    <row r="72" spans="1:2" ht="17.25" thickBot="1">
      <c r="A72" s="165"/>
      <c r="B72" s="165"/>
    </row>
    <row r="73" spans="1:2" ht="17.25" thickBot="1">
      <c r="A73" s="165"/>
      <c r="B73" s="165"/>
    </row>
    <row r="74" spans="1:2" ht="17.25" thickBot="1">
      <c r="A74" s="165"/>
      <c r="B74" s="165"/>
    </row>
    <row r="75" spans="1:2" ht="17.25" thickBot="1">
      <c r="A75" s="165"/>
      <c r="B75" s="165"/>
    </row>
    <row r="76" spans="1:2" ht="17.25" thickBot="1">
      <c r="A76" s="165"/>
      <c r="B76" s="165"/>
    </row>
    <row r="77" spans="1:2" ht="17.25" thickBot="1">
      <c r="A77" s="165"/>
      <c r="B77" s="165"/>
    </row>
    <row r="78" spans="1:2" ht="17.25" thickBot="1">
      <c r="A78" s="165"/>
      <c r="B78" s="165"/>
    </row>
    <row r="79" spans="1:2" ht="17.25" thickBot="1">
      <c r="A79" s="165"/>
      <c r="B79" s="165"/>
    </row>
    <row r="80" spans="1:2" ht="17.25" thickBot="1">
      <c r="A80" s="165"/>
      <c r="B80" s="165"/>
    </row>
    <row r="81" spans="1:2" ht="17.25" thickBot="1">
      <c r="A81" s="165"/>
      <c r="B81" s="165"/>
    </row>
    <row r="82" spans="1:2" ht="17.25" thickBot="1">
      <c r="A82" s="165"/>
      <c r="B82" s="165"/>
    </row>
    <row r="83" spans="1:2" ht="17.25" thickBot="1">
      <c r="A83" s="165"/>
      <c r="B83" s="165"/>
    </row>
    <row r="84" spans="1:2" ht="17.25" thickBot="1">
      <c r="A84" s="165"/>
      <c r="B84" s="165"/>
    </row>
    <row r="85" spans="1:2" ht="17.25" thickBot="1">
      <c r="A85" s="165"/>
      <c r="B85" s="165"/>
    </row>
    <row r="86" spans="1:2" ht="17.25" thickBot="1">
      <c r="A86" s="165"/>
      <c r="B86" s="165"/>
    </row>
    <row r="87" spans="1:2" ht="17.25" thickBot="1">
      <c r="A87" s="165"/>
      <c r="B87" s="165"/>
    </row>
    <row r="88" spans="1:2" ht="17.25" thickBot="1">
      <c r="A88" s="165"/>
      <c r="B88" s="165"/>
    </row>
    <row r="89" spans="1:2" ht="17.25" thickBot="1">
      <c r="A89" s="165"/>
      <c r="B89" s="165"/>
    </row>
    <row r="90" spans="1:2" ht="17.25" thickBot="1">
      <c r="A90" s="165"/>
      <c r="B90" s="165"/>
    </row>
    <row r="91" spans="1:2" ht="17.25" thickBot="1">
      <c r="A91" s="165"/>
      <c r="B91" s="165"/>
    </row>
    <row r="92" spans="1:2" ht="17.25" thickBot="1">
      <c r="A92" s="165"/>
      <c r="B92" s="165"/>
    </row>
    <row r="93" spans="1:2" ht="17.25" thickBot="1">
      <c r="A93" s="165"/>
      <c r="B93" s="165"/>
    </row>
    <row r="94" spans="1:2" ht="17.25" thickBot="1">
      <c r="A94" s="165"/>
      <c r="B94" s="165"/>
    </row>
    <row r="95" spans="1:2" ht="17.25" thickBot="1">
      <c r="A95" s="165"/>
      <c r="B95" s="165"/>
    </row>
    <row r="96" spans="1:2" ht="17.25" thickBot="1">
      <c r="A96" s="165"/>
      <c r="B96" s="165"/>
    </row>
    <row r="97" spans="1:2" ht="17.25" thickBot="1">
      <c r="A97" s="165"/>
      <c r="B97" s="165"/>
    </row>
    <row r="98" spans="1:2" ht="17.25" thickBot="1">
      <c r="A98" s="165"/>
      <c r="B98" s="165"/>
    </row>
    <row r="99" spans="1:2" ht="17.25" thickBot="1">
      <c r="A99" s="165"/>
      <c r="B99" s="16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73AAE-8154-4CF6-80A2-5CF5E269222E}">
  <sheetPr codeName="Sheet12">
    <tabColor theme="7" tint="0.79998168889431442"/>
  </sheetPr>
  <dimension ref="A1:AA3"/>
  <sheetViews>
    <sheetView workbookViewId="0">
      <selection activeCell="A3" sqref="A3"/>
    </sheetView>
  </sheetViews>
  <sheetFormatPr defaultRowHeight="14.25"/>
  <sheetData>
    <row r="1" spans="1:27" s="166" customFormat="1" ht="28.5">
      <c r="A1" s="166" t="s">
        <v>545</v>
      </c>
      <c r="B1" s="166" t="s">
        <v>547</v>
      </c>
      <c r="C1" s="166" t="s">
        <v>548</v>
      </c>
      <c r="D1" s="166" t="s">
        <v>550</v>
      </c>
      <c r="E1" s="166" t="s">
        <v>552</v>
      </c>
      <c r="F1" s="166" t="s">
        <v>554</v>
      </c>
      <c r="G1" s="166" t="s">
        <v>556</v>
      </c>
      <c r="H1" s="166" t="s">
        <v>558</v>
      </c>
      <c r="I1" s="166" t="s">
        <v>560</v>
      </c>
      <c r="J1" s="166" t="s">
        <v>562</v>
      </c>
      <c r="K1" s="166" t="s">
        <v>564</v>
      </c>
      <c r="L1" s="166" t="s">
        <v>566</v>
      </c>
      <c r="M1" s="166" t="s">
        <v>568</v>
      </c>
      <c r="N1" s="166" t="s">
        <v>570</v>
      </c>
      <c r="O1" s="166" t="s">
        <v>572</v>
      </c>
      <c r="P1" s="166" t="s">
        <v>574</v>
      </c>
      <c r="Q1" s="166" t="s">
        <v>576</v>
      </c>
      <c r="R1" s="166" t="s">
        <v>578</v>
      </c>
      <c r="S1" s="166" t="s">
        <v>580</v>
      </c>
      <c r="T1" s="166" t="s">
        <v>582</v>
      </c>
      <c r="U1" s="166" t="s">
        <v>584</v>
      </c>
      <c r="V1" s="166" t="s">
        <v>586</v>
      </c>
      <c r="W1" s="166" t="s">
        <v>588</v>
      </c>
      <c r="X1" s="166" t="s">
        <v>590</v>
      </c>
      <c r="Y1" s="166" t="s">
        <v>592</v>
      </c>
      <c r="Z1" s="166" t="s">
        <v>594</v>
      </c>
      <c r="AA1" s="166" t="s">
        <v>596</v>
      </c>
    </row>
    <row r="2" spans="1:27" s="63" customFormat="1" ht="71.25">
      <c r="A2" s="63" t="s">
        <v>546</v>
      </c>
      <c r="B2" s="63" t="s">
        <v>55</v>
      </c>
      <c r="C2" s="63" t="s">
        <v>549</v>
      </c>
      <c r="D2" s="63" t="s">
        <v>551</v>
      </c>
      <c r="E2" s="63" t="s">
        <v>553</v>
      </c>
      <c r="F2" s="63" t="s">
        <v>555</v>
      </c>
      <c r="G2" s="63" t="s">
        <v>557</v>
      </c>
      <c r="H2" s="63" t="s">
        <v>559</v>
      </c>
      <c r="I2" s="63" t="s">
        <v>561</v>
      </c>
      <c r="J2" s="63" t="s">
        <v>563</v>
      </c>
      <c r="K2" s="63" t="s">
        <v>565</v>
      </c>
      <c r="L2" s="63" t="s">
        <v>567</v>
      </c>
      <c r="M2" s="63" t="s">
        <v>569</v>
      </c>
      <c r="N2" s="63" t="s">
        <v>571</v>
      </c>
      <c r="O2" s="63" t="s">
        <v>573</v>
      </c>
      <c r="P2" s="63" t="s">
        <v>575</v>
      </c>
      <c r="Q2" s="63" t="s">
        <v>577</v>
      </c>
      <c r="R2" s="63" t="s">
        <v>579</v>
      </c>
      <c r="S2" s="63" t="s">
        <v>581</v>
      </c>
      <c r="T2" s="63" t="s">
        <v>583</v>
      </c>
      <c r="U2" s="63" t="s">
        <v>585</v>
      </c>
      <c r="V2" s="63" t="s">
        <v>587</v>
      </c>
      <c r="W2" s="63" t="s">
        <v>589</v>
      </c>
      <c r="X2" s="63" t="s">
        <v>591</v>
      </c>
      <c r="Y2" s="63" t="s">
        <v>593</v>
      </c>
      <c r="Z2" s="63" t="s">
        <v>595</v>
      </c>
      <c r="AA2" s="63" t="s">
        <v>597</v>
      </c>
    </row>
    <row r="3" spans="1:27">
      <c r="A3" t="s">
        <v>971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24A72-D602-41D4-977F-FE1F7316D871}">
  <sheetPr codeName="Sheet13">
    <tabColor theme="7" tint="0.79998168889431442"/>
  </sheetPr>
  <dimension ref="A1:AC3"/>
  <sheetViews>
    <sheetView workbookViewId="0">
      <selection activeCell="A3" sqref="A3"/>
    </sheetView>
  </sheetViews>
  <sheetFormatPr defaultRowHeight="14.25"/>
  <sheetData>
    <row r="1" spans="1:29" s="166" customFormat="1" ht="42.75">
      <c r="A1" s="166" t="s">
        <v>545</v>
      </c>
      <c r="B1" s="166" t="s">
        <v>547</v>
      </c>
      <c r="C1" s="166" t="s">
        <v>598</v>
      </c>
      <c r="D1" s="166" t="s">
        <v>552</v>
      </c>
      <c r="E1" s="166" t="s">
        <v>554</v>
      </c>
      <c r="F1" s="166" t="s">
        <v>548</v>
      </c>
      <c r="G1" s="166" t="s">
        <v>556</v>
      </c>
      <c r="H1" s="166" t="s">
        <v>600</v>
      </c>
      <c r="I1" s="166" t="s">
        <v>602</v>
      </c>
      <c r="J1" s="166" t="s">
        <v>604</v>
      </c>
      <c r="K1" s="166" t="s">
        <v>606</v>
      </c>
      <c r="L1" s="166" t="s">
        <v>608</v>
      </c>
      <c r="M1" s="166" t="s">
        <v>610</v>
      </c>
      <c r="N1" s="166" t="s">
        <v>612</v>
      </c>
      <c r="O1" s="166" t="s">
        <v>558</v>
      </c>
      <c r="P1" s="166" t="s">
        <v>560</v>
      </c>
      <c r="Q1" s="166" t="s">
        <v>562</v>
      </c>
      <c r="R1" s="166" t="s">
        <v>564</v>
      </c>
      <c r="S1" s="166" t="s">
        <v>614</v>
      </c>
      <c r="T1" s="166" t="s">
        <v>584</v>
      </c>
      <c r="U1" s="166" t="s">
        <v>617</v>
      </c>
      <c r="V1" s="166" t="s">
        <v>588</v>
      </c>
      <c r="W1" s="166" t="s">
        <v>574</v>
      </c>
      <c r="X1" s="166" t="s">
        <v>592</v>
      </c>
      <c r="Y1" s="166" t="s">
        <v>621</v>
      </c>
      <c r="Z1" s="166" t="s">
        <v>596</v>
      </c>
      <c r="AA1" s="166" t="s">
        <v>624</v>
      </c>
      <c r="AB1" s="166" t="s">
        <v>626</v>
      </c>
      <c r="AC1" s="166" t="s">
        <v>628</v>
      </c>
    </row>
    <row r="2" spans="1:29" s="63" customFormat="1" ht="71.25">
      <c r="A2" s="63" t="s">
        <v>546</v>
      </c>
      <c r="B2" s="63" t="s">
        <v>55</v>
      </c>
      <c r="C2" s="63" t="s">
        <v>599</v>
      </c>
      <c r="D2" s="63" t="s">
        <v>553</v>
      </c>
      <c r="E2" s="63" t="s">
        <v>555</v>
      </c>
      <c r="F2" s="63" t="s">
        <v>549</v>
      </c>
      <c r="G2" s="63" t="s">
        <v>557</v>
      </c>
      <c r="H2" s="63" t="s">
        <v>601</v>
      </c>
      <c r="I2" s="63" t="s">
        <v>603</v>
      </c>
      <c r="J2" s="63" t="s">
        <v>605</v>
      </c>
      <c r="K2" s="63" t="s">
        <v>607</v>
      </c>
      <c r="L2" s="63" t="s">
        <v>609</v>
      </c>
      <c r="M2" s="63" t="s">
        <v>611</v>
      </c>
      <c r="N2" s="63" t="s">
        <v>613</v>
      </c>
      <c r="O2" s="63" t="s">
        <v>559</v>
      </c>
      <c r="P2" s="63" t="s">
        <v>561</v>
      </c>
      <c r="Q2" s="63" t="s">
        <v>563</v>
      </c>
      <c r="R2" s="63" t="s">
        <v>565</v>
      </c>
      <c r="S2" s="63" t="s">
        <v>615</v>
      </c>
      <c r="T2" s="63" t="s">
        <v>616</v>
      </c>
      <c r="U2" s="63" t="s">
        <v>618</v>
      </c>
      <c r="V2" s="63" t="s">
        <v>619</v>
      </c>
      <c r="W2" s="63" t="s">
        <v>575</v>
      </c>
      <c r="X2" s="63" t="s">
        <v>620</v>
      </c>
      <c r="Y2" s="63" t="s">
        <v>622</v>
      </c>
      <c r="Z2" s="63" t="s">
        <v>623</v>
      </c>
      <c r="AA2" s="63" t="s">
        <v>625</v>
      </c>
      <c r="AB2" s="63" t="s">
        <v>627</v>
      </c>
      <c r="AC2" s="63" t="s">
        <v>629</v>
      </c>
    </row>
    <row r="3" spans="1:29">
      <c r="A3" t="s">
        <v>972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42F78-7222-4D73-A40F-8C7B1CC39B29}">
  <sheetPr codeName="Sheet4">
    <tabColor theme="5" tint="0.499984740745262"/>
  </sheetPr>
  <dimension ref="B2:B31"/>
  <sheetViews>
    <sheetView workbookViewId="0">
      <selection activeCell="B32" sqref="B32"/>
    </sheetView>
  </sheetViews>
  <sheetFormatPr defaultRowHeight="14.25"/>
  <cols>
    <col min="2" max="2" width="125" customWidth="1"/>
  </cols>
  <sheetData>
    <row r="2" spans="2:2">
      <c r="B2" s="24" t="s">
        <v>41</v>
      </c>
    </row>
    <row r="22" spans="2:2">
      <c r="B22" s="24" t="s">
        <v>40</v>
      </c>
    </row>
    <row r="29" spans="2:2">
      <c r="B29" s="24" t="s">
        <v>52</v>
      </c>
    </row>
    <row r="31" spans="2:2" ht="15.75">
      <c r="B3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256</vt:i4>
      </vt:variant>
    </vt:vector>
  </HeadingPairs>
  <TitlesOfParts>
    <vt:vector size="269" baseType="lpstr">
      <vt:lpstr>RiskInformation</vt:lpstr>
      <vt:lpstr>Exposure</vt:lpstr>
      <vt:lpstr>NationalMourning</vt:lpstr>
      <vt:lpstr>NonAppearance</vt:lpstr>
      <vt:lpstr>ExperienceRating</vt:lpstr>
      <vt:lpstr>RatingSummary</vt:lpstr>
      <vt:lpstr>Rationale_and_RateChg</vt:lpstr>
      <vt:lpstr>Actuarial_Event</vt:lpstr>
      <vt:lpstr>Actuarial_NM</vt:lpstr>
      <vt:lpstr>Actuarial_ExperienceAnalysis</vt:lpstr>
      <vt:lpstr>Actuarial_Policy</vt:lpstr>
      <vt:lpstr>Actuarial_Claim</vt:lpstr>
      <vt:lpstr>helper_wrap_text</vt:lpstr>
      <vt:lpstr>exper.bi_date_last</vt:lpstr>
      <vt:lpstr>exper.bi_rerun</vt:lpstr>
      <vt:lpstr>exper.bi_status_last</vt:lpstr>
      <vt:lpstr>exper.bi_val_calc</vt:lpstr>
      <vt:lpstr>exper.bi_val_last</vt:lpstr>
      <vt:lpstr>exper.el_calc</vt:lpstr>
      <vt:lpstr>exper.el_ovd</vt:lpstr>
      <vt:lpstr>exper.el_sel</vt:lpstr>
      <vt:lpstr>exper.eval_date_est</vt:lpstr>
      <vt:lpstr>exper.eval_date_ovd</vt:lpstr>
      <vt:lpstr>exper.tbl_actuarial</vt:lpstr>
      <vt:lpstr>exper.tbl_actuarial_total_attr_bf_lr</vt:lpstr>
      <vt:lpstr>exper.tbl_actuarial_total_attr_bf_ultimate</vt:lpstr>
      <vt:lpstr>exper.tbl_actuarial_total_attr_cl_lr</vt:lpstr>
      <vt:lpstr>exper.tbl_actuarial_total_attr_cl_ultimate</vt:lpstr>
      <vt:lpstr>exper.tbl_actuarial_total_attr_ie_ultimate</vt:lpstr>
      <vt:lpstr>exper.tbl_actuarial_total_attr_ielr</vt:lpstr>
      <vt:lpstr>exper.tbl_actuarial_total_attr_ulr</vt:lpstr>
      <vt:lpstr>exper.tbl_actuarial_total_attr_ultimate</vt:lpstr>
      <vt:lpstr>exper.tbl_actuarial_total_cat_bf_lr</vt:lpstr>
      <vt:lpstr>exper.tbl_actuarial_total_cat_bf_ultimate</vt:lpstr>
      <vt:lpstr>exper.tbl_actuarial_total_cat_cl_lr</vt:lpstr>
      <vt:lpstr>exper.tbl_actuarial_total_cat_cl_ultimate</vt:lpstr>
      <vt:lpstr>exper.tbl_actuarial_total_cat_ie_ultimate</vt:lpstr>
      <vt:lpstr>exper.tbl_actuarial_total_cat_ielr</vt:lpstr>
      <vt:lpstr>exper.tbl_actuarial_total_cat_ulr</vt:lpstr>
      <vt:lpstr>exper.tbl_actuarial_total_cat_ultimate</vt:lpstr>
      <vt:lpstr>exper.tbl_actuarial_total_gnol_el_attr</vt:lpstr>
      <vt:lpstr>exper.tbl_actuarial_total_gnol_el_cat</vt:lpstr>
      <vt:lpstr>exper.tbl_actuarial_total_gnol_el_large</vt:lpstr>
      <vt:lpstr>exper.tbl_actuarial_total_gnol_el_total</vt:lpstr>
      <vt:lpstr>exper.tbl_actuarial_total_gnol_p</vt:lpstr>
      <vt:lpstr>exper.tbl_actuarial_total_large_bf_lr</vt:lpstr>
      <vt:lpstr>exper.tbl_actuarial_total_large_bf_ultimate</vt:lpstr>
      <vt:lpstr>exper.tbl_actuarial_total_large_cl_lr</vt:lpstr>
      <vt:lpstr>exper.tbl_actuarial_total_large_cl_ultimate</vt:lpstr>
      <vt:lpstr>exper.tbl_actuarial_total_large_ie_ultimate</vt:lpstr>
      <vt:lpstr>exper.tbl_actuarial_total_large_ielr</vt:lpstr>
      <vt:lpstr>exper.tbl_actuarial_total_large_ulr</vt:lpstr>
      <vt:lpstr>exper.tbl_actuarial_total_large_ultimate</vt:lpstr>
      <vt:lpstr>exper.tbl_actuarial_total_total_bf_lr</vt:lpstr>
      <vt:lpstr>exper.tbl_actuarial_total_total_bf_ultimate</vt:lpstr>
      <vt:lpstr>exper.tbl_actuarial_total_total_cl_lr</vt:lpstr>
      <vt:lpstr>exper.tbl_actuarial_total_total_cl_ultimate</vt:lpstr>
      <vt:lpstr>exper.tbl_actuarial_total_total_ie_ultimate</vt:lpstr>
      <vt:lpstr>exper.tbl_actuarial_total_total_ielr</vt:lpstr>
      <vt:lpstr>exper.tbl_actuarial_total_total_ulr</vt:lpstr>
      <vt:lpstr>exper.tbl_actuarial_total_total_ultimate</vt:lpstr>
      <vt:lpstr>exper.tbl_actuarial_total_year</vt:lpstr>
      <vt:lpstr>exper.tbl_assump</vt:lpstr>
      <vt:lpstr>exper.tbl_overall</vt:lpstr>
      <vt:lpstr>exper.tbl_overall_total_gnol_el</vt:lpstr>
      <vt:lpstr>exper.tbl_overall_total_gnol_lr</vt:lpstr>
      <vt:lpstr>exper.tbl_overall_total_gnol_p</vt:lpstr>
      <vt:lpstr>exper.tbl_overall_total_tiv_calc</vt:lpstr>
      <vt:lpstr>exper.tbl_overall_total_tiv_ovd</vt:lpstr>
      <vt:lpstr>exper.tbl_overall_total_year</vt:lpstr>
      <vt:lpstr>exper.tbl_project</vt:lpstr>
      <vt:lpstr>exper.tbl_project_total_attr_bf_lr</vt:lpstr>
      <vt:lpstr>exper.tbl_project_total_attr_cl_lr</vt:lpstr>
      <vt:lpstr>exper.tbl_project_total_attr_ielr</vt:lpstr>
      <vt:lpstr>exper.tbl_project_total_attr_ulr</vt:lpstr>
      <vt:lpstr>exper.tbl_project_total_attr_ultimate</vt:lpstr>
      <vt:lpstr>exper.tbl_project_total_cat_cl_lr</vt:lpstr>
      <vt:lpstr>exper.tbl_project_total_cat_ielr</vt:lpstr>
      <vt:lpstr>exper.tbl_project_total_cat_ulr</vt:lpstr>
      <vt:lpstr>exper.tbl_project_total_cat_ultimate</vt:lpstr>
      <vt:lpstr>exper.tbl_project_total_gnol_el_attr</vt:lpstr>
      <vt:lpstr>exper.tbl_project_total_gnol_el_cat</vt:lpstr>
      <vt:lpstr>exper.tbl_project_total_gnol_el_large</vt:lpstr>
      <vt:lpstr>exper.tbl_project_total_gnol_p</vt:lpstr>
      <vt:lpstr>exper.tbl_project_total_large_cl_lr</vt:lpstr>
      <vt:lpstr>exper.tbl_project_total_large_ielr</vt:lpstr>
      <vt:lpstr>exper.tbl_project_total_large_ulr</vt:lpstr>
      <vt:lpstr>exper.tbl_project_total_large_ultimate</vt:lpstr>
      <vt:lpstr>exper.tbl_project_total_total_ulr</vt:lpstr>
      <vt:lpstr>exper.tbl_project_total_total_ultimate</vt:lpstr>
      <vt:lpstr>exper.tbl_project_total_year</vt:lpstr>
      <vt:lpstr>exper.trend_backfill</vt:lpstr>
      <vt:lpstr>exper.wgt_calc</vt:lpstr>
      <vt:lpstr>exper.wgt_ovd</vt:lpstr>
      <vt:lpstr>exper.wgt_sel</vt:lpstr>
      <vt:lpstr>expo.agg_deductible</vt:lpstr>
      <vt:lpstr>expo.agg_limit</vt:lpstr>
      <vt:lpstr>expo.agg_tiv_calc</vt:lpstr>
      <vt:lpstr>expo.agg_tiv_sel</vt:lpstr>
      <vt:lpstr>expo.agg_tiv_warning</vt:lpstr>
      <vt:lpstr>expo.curve_comments</vt:lpstr>
      <vt:lpstr>expo.curve_warning</vt:lpstr>
      <vt:lpstr>expo.deductible</vt:lpstr>
      <vt:lpstr>expo.event_table</vt:lpstr>
      <vt:lpstr>expo.event_type</vt:lpstr>
      <vt:lpstr>expo.excess</vt:lpstr>
      <vt:lpstr>expo.experience_factor</vt:lpstr>
      <vt:lpstr>expo.experience_ilr</vt:lpstr>
      <vt:lpstr>expo.experience_use</vt:lpstr>
      <vt:lpstr>expo.exposure_curve</vt:lpstr>
      <vt:lpstr>expo.ihs_last_run_status</vt:lpstr>
      <vt:lpstr>expo.ihs_rerun_status</vt:lpstr>
      <vt:lpstr>expo.ihs_value</vt:lpstr>
      <vt:lpstr>expo.limit</vt:lpstr>
      <vt:lpstr>expo.ncb_factor</vt:lpstr>
      <vt:lpstr>expo.ncb_pct</vt:lpstr>
      <vt:lpstr>expo.ncb_use</vt:lpstr>
      <vt:lpstr>expo.sim_last_run_status</vt:lpstr>
      <vt:lpstr>expo.sim_rerun_status</vt:lpstr>
      <vt:lpstr>expo.sim_value</vt:lpstr>
      <vt:lpstr>expo.tbl_coverage</vt:lpstr>
      <vt:lpstr>expo.terror_cityload</vt:lpstr>
      <vt:lpstr>expo.terror_profile</vt:lpstr>
      <vt:lpstr>expo.terror_td</vt:lpstr>
      <vt:lpstr>expo.use_excess</vt:lpstr>
      <vt:lpstr>na.avg_value</vt:lpstr>
      <vt:lpstr>na.base_rate</vt:lpstr>
      <vt:lpstr>na.claim_experience</vt:lpstr>
      <vt:lpstr>na.comment</vt:lpstr>
      <vt:lpstr>na.curve</vt:lpstr>
      <vt:lpstr>na.el_fgu</vt:lpstr>
      <vt:lpstr>na.el_fgu_mod</vt:lpstr>
      <vt:lpstr>na.genre</vt:lpstr>
      <vt:lpstr>na.mod_claim_experience</vt:lpstr>
      <vt:lpstr>na.mod_nmp</vt:lpstr>
      <vt:lpstr>na.mod_num_members</vt:lpstr>
      <vt:lpstr>na.mod_total</vt:lpstr>
      <vt:lpstr>na.num_members</vt:lpstr>
      <vt:lpstr>na.num_shows</vt:lpstr>
      <vt:lpstr>na.tiv</vt:lpstr>
      <vt:lpstr>na.uw_adj_final</vt:lpstr>
      <vt:lpstr>na.uw_adj_max</vt:lpstr>
      <vt:lpstr>na.uw_adj_min</vt:lpstr>
      <vt:lpstr>na.uw_adj_selected</vt:lpstr>
      <vt:lpstr>nm.cover</vt:lpstr>
      <vt:lpstr>nm.mourning_period</vt:lpstr>
      <vt:lpstr>nm.o75_b1_adj_affl</vt:lpstr>
      <vt:lpstr>nm.o75_b1_adj_health</vt:lpstr>
      <vt:lpstr>nm.o75_b1_age</vt:lpstr>
      <vt:lpstr>nm.o75_b1_check</vt:lpstr>
      <vt:lpstr>nm.o75_b1_country</vt:lpstr>
      <vt:lpstr>nm.o75_b1_dob</vt:lpstr>
      <vt:lpstr>nm.o75_b1_gender</vt:lpstr>
      <vt:lpstr>nm.o75_b1_include</vt:lpstr>
      <vt:lpstr>nm.o75_b1_name</vt:lpstr>
      <vt:lpstr>nm.o75_b1_pod</vt:lpstr>
      <vt:lpstr>nm.o75_b1_pod_adj</vt:lpstr>
      <vt:lpstr>nm.o75_b1_pos</vt:lpstr>
      <vt:lpstr>nm.o75_b1_pos_adj</vt:lpstr>
      <vt:lpstr>nm.o75_b2_adj_affl</vt:lpstr>
      <vt:lpstr>nm.o75_b2_adj_health</vt:lpstr>
      <vt:lpstr>nm.o75_b2_age</vt:lpstr>
      <vt:lpstr>nm.o75_b2_check</vt:lpstr>
      <vt:lpstr>nm.o75_b2_country</vt:lpstr>
      <vt:lpstr>nm.o75_b2_dob</vt:lpstr>
      <vt:lpstr>nm.o75_b2_gender</vt:lpstr>
      <vt:lpstr>nm.o75_b2_include</vt:lpstr>
      <vt:lpstr>nm.o75_b2_name</vt:lpstr>
      <vt:lpstr>nm.o75_b2_pod</vt:lpstr>
      <vt:lpstr>nm.o75_b2_pod_adj</vt:lpstr>
      <vt:lpstr>nm.o75_b2_pos</vt:lpstr>
      <vt:lpstr>nm.o75_b2_pos_adj</vt:lpstr>
      <vt:lpstr>nm.o75_table</vt:lpstr>
      <vt:lpstr>nm.u75_adj_affl</vt:lpstr>
      <vt:lpstr>nm.u75_adj_health</vt:lpstr>
      <vt:lpstr>nm.u75_age</vt:lpstr>
      <vt:lpstr>nm.u75_check</vt:lpstr>
      <vt:lpstr>nm.u75_country</vt:lpstr>
      <vt:lpstr>nm.u75_include</vt:lpstr>
      <vt:lpstr>nm.u75_pod</vt:lpstr>
      <vt:lpstr>nm.u75_pod_adj</vt:lpstr>
      <vt:lpstr>nm.u75_pos</vt:lpstr>
      <vt:lpstr>nm.u75_pos_adj</vt:lpstr>
      <vt:lpstr>ExperienceRating!Print_Area</vt:lpstr>
      <vt:lpstr>Exposure!Print_Area</vt:lpstr>
      <vt:lpstr>NationalMourning!Print_Area</vt:lpstr>
      <vt:lpstr>NonAppearance!Print_Area</vt:lpstr>
      <vt:lpstr>RatingSummary!Print_Area</vt:lpstr>
      <vt:lpstr>Rationale_and_RateChg!Print_Area</vt:lpstr>
      <vt:lpstr>RiskInformation!Print_Area</vt:lpstr>
      <vt:lpstr>rc.actuarial_rationale</vt:lpstr>
      <vt:lpstr>rc.actuarial_reviewed</vt:lpstr>
      <vt:lpstr>rc.expiring_id</vt:lpstr>
      <vt:lpstr>rc.tbl_rc_drivers</vt:lpstr>
      <vt:lpstr>rc.tbl_rc_profile</vt:lpstr>
      <vt:lpstr>rc.uw_rationale</vt:lpstr>
      <vt:lpstr>ri.actuary_view</vt:lpstr>
      <vt:lpstr>ri.broker_contact</vt:lpstr>
      <vt:lpstr>ri.broker_name</vt:lpstr>
      <vt:lpstr>ri.brokerage</vt:lpstr>
      <vt:lpstr>ri.currency</vt:lpstr>
      <vt:lpstr>ri.det_agg_approach</vt:lpstr>
      <vt:lpstr>ri.disable_validation</vt:lpstr>
      <vt:lpstr>ri.event_name</vt:lpstr>
      <vt:lpstr>ri.expiry_date</vt:lpstr>
      <vt:lpstr>ri.hx_link</vt:lpstr>
      <vt:lpstr>ri.inception_date</vt:lpstr>
      <vt:lpstr>ri.insured_name</vt:lpstr>
      <vt:lpstr>ri.is_migrated</vt:lpstr>
      <vt:lpstr>ri.is_renewal</vt:lpstr>
      <vt:lpstr>ri.old_nm_approach</vt:lpstr>
      <vt:lpstr>ri.product_bool</vt:lpstr>
      <vt:lpstr>ri.rater_priced</vt:lpstr>
      <vt:lpstr>ri.schema_view</vt:lpstr>
      <vt:lpstr>ri.section_ref_ec</vt:lpstr>
      <vt:lpstr>ri.section_ref_na</vt:lpstr>
      <vt:lpstr>ri.status</vt:lpstr>
      <vt:lpstr>ri.underwriter</vt:lpstr>
      <vt:lpstr>ri.written_line</vt:lpstr>
      <vt:lpstr>rs.agg_adj</vt:lpstr>
      <vt:lpstr>rs.agg_limit</vt:lpstr>
      <vt:lpstr>rs.bench_premium_100</vt:lpstr>
      <vt:lpstr>rs.bench_premium_afb</vt:lpstr>
      <vt:lpstr>rs.bpi</vt:lpstr>
      <vt:lpstr>rs.brokerage</vt:lpstr>
      <vt:lpstr>rs.clmnum_calc</vt:lpstr>
      <vt:lpstr>rs.clmnum_ovd</vt:lpstr>
      <vt:lpstr>rs.clmnum_sim</vt:lpstr>
      <vt:lpstr>rs.currency</vt:lpstr>
      <vt:lpstr>rs.deductible</vt:lpstr>
      <vt:lpstr>rs.deductible_agg</vt:lpstr>
      <vt:lpstr>rs.det_el_adj</vt:lpstr>
      <vt:lpstr>rs.det_el_cap</vt:lpstr>
      <vt:lpstr>rs.det_el_uncap</vt:lpstr>
      <vt:lpstr>rs.excess</vt:lpstr>
      <vt:lpstr>rs.limit</vt:lpstr>
      <vt:lpstr>rs.num_sims</vt:lpstr>
      <vt:lpstr>rs.pflr</vt:lpstr>
      <vt:lpstr>rs.quoted_premium_100</vt:lpstr>
      <vt:lpstr>rs.quoted_premium_afb</vt:lpstr>
      <vt:lpstr>rs.quoted_roe</vt:lpstr>
      <vt:lpstr>rs.quoted_rol</vt:lpstr>
      <vt:lpstr>rs.rater_priced</vt:lpstr>
      <vt:lpstr>rs.roc</vt:lpstr>
      <vt:lpstr>rs.sim_check_calc</vt:lpstr>
      <vt:lpstr>rs.sim_check_last</vt:lpstr>
      <vt:lpstr>rs.sim_el_adj</vt:lpstr>
      <vt:lpstr>rs.sim_el_cap</vt:lpstr>
      <vt:lpstr>rs.sim_el_scaled</vt:lpstr>
      <vt:lpstr>rs.sim_el_uncap</vt:lpstr>
      <vt:lpstr>rs.sim_error</vt:lpstr>
      <vt:lpstr>rs.sim_last_status</vt:lpstr>
      <vt:lpstr>rs.sim_rerun</vt:lpstr>
      <vt:lpstr>rs.status</vt:lpstr>
      <vt:lpstr>rs.tech_premium_100</vt:lpstr>
      <vt:lpstr>rs.tech_premium_afb</vt:lpstr>
      <vt:lpstr>rs.tpi</vt:lpstr>
      <vt:lpstr>rs.tpi_pre</vt:lpstr>
      <vt:lpstr>rs.use_excess</vt:lpstr>
      <vt:lpstr>rs.uw_adj</vt:lpstr>
      <vt:lpstr>rs.written_line</vt:lpstr>
      <vt:lpstr>tbl_actuarial_claim</vt:lpstr>
      <vt:lpstr>tbl_actuarial_event</vt:lpstr>
      <vt:lpstr>tbl_actuarial_experience_analysis</vt:lpstr>
      <vt:lpstr>tbl_actuarial_nm</vt:lpstr>
      <vt:lpstr>tbl_actuarial_policy</vt:lpstr>
      <vt:lpstr>tbl_metrics_el</vt:lpstr>
      <vt:lpstr>tbl_metrics_post</vt:lpstr>
      <vt:lpstr>tbl_metrics_pre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James Buckley</cp:lastModifiedBy>
  <cp:lastPrinted>2026-08-14T11:38:54Z</cp:lastPrinted>
  <dcterms:created xsi:type="dcterms:W3CDTF">2015-06-05T18:19:34Z</dcterms:created>
  <dcterms:modified xsi:type="dcterms:W3CDTF">2026-09-02T15:43:05Z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1fd61-bc48-4588-8d11-80a491ed1fbf_Enabled">
    <vt:lpwstr>true</vt:lpwstr>
  </property>
  <property fmtid="{D5CDD505-2E9C-101B-9397-08002B2CF9AE}" pid="3" name="MSIP_Label_ed91fd61-bc48-4588-8d11-80a491ed1fbf_SetDate">
    <vt:lpwstr>2026-08-11T15:49:07Z</vt:lpwstr>
  </property>
  <property fmtid="{D5CDD505-2E9C-101B-9397-08002B2CF9AE}" pid="4" name="MSIP_Label_ed91fd61-bc48-4588-8d11-80a491ed1fbf_Method">
    <vt:lpwstr>Privileged</vt:lpwstr>
  </property>
  <property fmtid="{D5CDD505-2E9C-101B-9397-08002B2CF9AE}" pid="5" name="MSIP_Label_ed91fd61-bc48-4588-8d11-80a491ed1fbf_Name">
    <vt:lpwstr>Internal</vt:lpwstr>
  </property>
  <property fmtid="{D5CDD505-2E9C-101B-9397-08002B2CF9AE}" pid="6" name="MSIP_Label_ed91fd61-bc48-4588-8d11-80a491ed1fbf_SiteId">
    <vt:lpwstr>9a50eba8-7568-447a-bcb9-27a0d464aa80</vt:lpwstr>
  </property>
  <property fmtid="{D5CDD505-2E9C-101B-9397-08002B2CF9AE}" pid="7" name="MSIP_Label_ed91fd61-bc48-4588-8d11-80a491ed1fbf_ActionId">
    <vt:lpwstr>360eda14-6181-45b4-81b8-17b31a4fb0a3</vt:lpwstr>
  </property>
  <property fmtid="{D5CDD505-2E9C-101B-9397-08002B2CF9AE}" pid="8" name="MSIP_Label_ed91fd61-bc48-4588-8d11-80a491ed1fbf_ContentBits">
    <vt:lpwstr>0</vt:lpwstr>
  </property>
  <property fmtid="{D5CDD505-2E9C-101B-9397-08002B2CF9AE}" pid="9" name="MSIP_Label_ed91fd61-bc48-4588-8d11-80a491ed1fbf_Tag">
    <vt:lpwstr>10, 0, 1, 1</vt:lpwstr>
  </property>
</Properties>
</file>