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W:\Finance\Actuarial\Pricing\02 - Marine\04 - Hull\13 Leviathan\HX rebuild\"/>
    </mc:Choice>
  </mc:AlternateContent>
  <xr:revisionPtr revIDLastSave="0" documentId="13_ncr:1_{228C6CE6-91E9-4CB7-92A5-8784E252C948}" xr6:coauthVersionLast="47" xr6:coauthVersionMax="47" xr10:uidLastSave="{00000000-0000-0000-0000-000000000000}"/>
  <bookViews>
    <workbookView xWindow="-110" yWindow="-110" windowWidth="22780" windowHeight="14660" xr2:uid="{00000000-000D-0000-FFFF-FFFF00000000}"/>
  </bookViews>
  <sheets>
    <sheet name="Summary" sheetId="1" r:id="rId1"/>
  </sheets>
  <definedNames>
    <definedName name="achieved_rate">Summary!$D$56</definedName>
    <definedName name="achieved_rate_net">Summary!$C$56</definedName>
    <definedName name="adj_rationale">Summary!$B$40</definedName>
    <definedName name="benchmark_AUV">Summary!$D$26</definedName>
    <definedName name="benchmark_Diving">Summary!$H$26</definedName>
    <definedName name="benchmark_Other">Summary!$J$26</definedName>
    <definedName name="benchmark_premium">Summary!$D$52</definedName>
    <definedName name="benchmark_premium_net">Summary!$C$52</definedName>
    <definedName name="benchmark_rate">Summary!$D$53</definedName>
    <definedName name="benchmark_rate_net">Summary!$C$53</definedName>
    <definedName name="benchmark_ROV">Summary!$C$26</definedName>
    <definedName name="benchmark_Seismic_Ocean_Bottom">Summary!$G$26</definedName>
    <definedName name="benchmark_Seismic_Towed">Summary!$F$26</definedName>
    <definedName name="benchmark_Subs">Summary!$I$26</definedName>
    <definedName name="bpi">Summary!$C$59</definedName>
    <definedName name="bpi_pre_uw_adj">Summary!$C$58</definedName>
    <definedName name="brokerage">Summary!$C$8</definedName>
    <definedName name="ExperienceLevel">Summary!$C$32</definedName>
    <definedName name="expiry_date">Summary!$C$11</definedName>
    <definedName name="IceDebrisTraffic">Summary!$C$31</definedName>
    <definedName name="inception_date">Summary!$C$10</definedName>
    <definedName name="insured_name">Summary!$C$7</definedName>
    <definedName name="pflr">Summary!$C$60</definedName>
    <definedName name="policy_url">Summary!$F$2</definedName>
    <definedName name="quoted_premium">Summary!$D$55</definedName>
    <definedName name="quoted_premium_net">Summary!$C$55</definedName>
    <definedName name="rate_change">Summary!$C$66</definedName>
    <definedName name="section_reference">Summary!$C$6</definedName>
    <definedName name="SI_AUV">Summary!$D$22</definedName>
    <definedName name="SI_Diving">Summary!$H$22</definedName>
    <definedName name="SI_Other">Summary!$J$22</definedName>
    <definedName name="SI_ROV">Summary!$C$22</definedName>
    <definedName name="SI_Seismic_Ocean_Bottom">Summary!$G$22</definedName>
    <definedName name="SI_Seismic_Towed">Summary!$F$22</definedName>
    <definedName name="SI_Subs">Summary!$I$22</definedName>
    <definedName name="source_currency">Summary!$C$13</definedName>
    <definedName name="status">Summary!$C$16</definedName>
    <definedName name="technical_premium_net">Summary!$C$62</definedName>
    <definedName name="term">Summary!$C$12</definedName>
    <definedName name="tpi">Summary!$C$64</definedName>
    <definedName name="tpi_pre_uw_adj">Summary!$C$63</definedName>
    <definedName name="TypeOfWork">Summary!$C$30</definedName>
    <definedName name="u_AUV">Summary!$D$21</definedName>
    <definedName name="u_Diving">Summary!$H$21</definedName>
    <definedName name="u_Other">Summary!$J$21</definedName>
    <definedName name="u_ROV">Summary!$C$21</definedName>
    <definedName name="u_Seismic_Ocean_Bottom">Summary!$G$21</definedName>
    <definedName name="u_Seismic_Towed">Summary!$F$21</definedName>
    <definedName name="u_Subs">Summary!$I$21</definedName>
    <definedName name="underwriter">Summary!$C$15</definedName>
    <definedName name="underwriter_adjustment">Summary!$C$38</definedName>
    <definedName name="UsageFactor">Summary!$C$33</definedName>
    <definedName name="uw_comments">Summary!$B$73</definedName>
    <definedName name="written_line">Summary!$C$14</definedName>
    <definedName name="XS_AUV_LaunchAndRecov">Summary!$E$25</definedName>
    <definedName name="XS_AUV_NormalOps">Summary!$D$25</definedName>
    <definedName name="XS_Diving">Summary!$H$25</definedName>
    <definedName name="XS_Other">Summary!$J$25</definedName>
    <definedName name="XS_ROV">Summary!$C$25</definedName>
    <definedName name="XS_Seismic_Ocean_Bottom">Summary!$G$25</definedName>
    <definedName name="XS_Seismic_Towed">Summary!$F$25</definedName>
    <definedName name="XS_Subs">Summary!$I$25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K21" i="1"/>
  <c r="B22" i="1"/>
  <c r="K22" i="1"/>
  <c r="B23" i="1"/>
  <c r="C23" i="1"/>
  <c r="F23" i="1"/>
  <c r="G23" i="1"/>
  <c r="H23" i="1"/>
  <c r="I23" i="1"/>
  <c r="J23" i="1"/>
  <c r="B26" i="1"/>
  <c r="K26" i="1"/>
</calcChain>
</file>

<file path=xl/sharedStrings.xml><?xml version="1.0" encoding="utf-8"?>
<sst xmlns="http://schemas.openxmlformats.org/spreadsheetml/2006/main" count="58" uniqueCount="58">
  <si>
    <t>.</t>
  </si>
  <si>
    <t>Link to hx</t>
  </si>
  <si>
    <t>https://www.beazley.hxrenew.com/policies/0/options/0</t>
  </si>
  <si>
    <t>Risk Information</t>
  </si>
  <si>
    <t>Inception Date</t>
  </si>
  <si>
    <t>Expiry Date</t>
  </si>
  <si>
    <t>Underwriter</t>
  </si>
  <si>
    <t>Insured Name</t>
  </si>
  <si>
    <t>Policy Reference</t>
  </si>
  <si>
    <t>Test1</t>
  </si>
  <si>
    <t>Currency</t>
  </si>
  <si>
    <t>Brokerage</t>
  </si>
  <si>
    <t>Status</t>
  </si>
  <si>
    <t>Bound</t>
  </si>
  <si>
    <t>Rating Summary</t>
  </si>
  <si>
    <t>Technical Premium</t>
  </si>
  <si>
    <t>Benchmark Premium</t>
  </si>
  <si>
    <t>Rate Change (if renewal)</t>
  </si>
  <si>
    <t>Vessel Details</t>
  </si>
  <si>
    <t>ROV</t>
  </si>
  <si>
    <t>AUV</t>
  </si>
  <si>
    <t>Seismic - Towed</t>
  </si>
  <si>
    <t>Seismic - Ocean Bottom</t>
  </si>
  <si>
    <t>Diving &amp; Oceanographic</t>
  </si>
  <si>
    <t>Submersibles</t>
  </si>
  <si>
    <t>Other</t>
  </si>
  <si>
    <t>Total</t>
  </si>
  <si>
    <t>Number of Units</t>
  </si>
  <si>
    <t>Normal Operation</t>
  </si>
  <si>
    <t>Launch &amp; Recovery</t>
  </si>
  <si>
    <t>Excess (per loss)</t>
  </si>
  <si>
    <t>Other (Policy-Level) Risk Factors</t>
  </si>
  <si>
    <t>Type of Work</t>
  </si>
  <si>
    <t>Oil &amp; Gas</t>
  </si>
  <si>
    <t>Will there be ice, debris or other marine traffic?</t>
  </si>
  <si>
    <t>None</t>
  </si>
  <si>
    <t>Experience of people operating the vessels</t>
  </si>
  <si>
    <t>Average</t>
  </si>
  <si>
    <t>Usage %</t>
  </si>
  <si>
    <t>Benchmark Rate</t>
  </si>
  <si>
    <t>Achieved Premium</t>
  </si>
  <si>
    <t>Achieved Rate</t>
  </si>
  <si>
    <t>BPI Pre UW Adj</t>
  </si>
  <si>
    <t>BPI Post UW Adj</t>
  </si>
  <si>
    <t>PFLR</t>
  </si>
  <si>
    <t>TPI Pre UW Adj</t>
  </si>
  <si>
    <t>TPI Post UW Adj</t>
  </si>
  <si>
    <t>Net</t>
  </si>
  <si>
    <t>Gross</t>
  </si>
  <si>
    <t>Underwriter adjustment to benchmark</t>
  </si>
  <si>
    <t>Beazley's share</t>
  </si>
  <si>
    <t>Policy term (years)</t>
  </si>
  <si>
    <t>YOA</t>
  </si>
  <si>
    <t>Adjustment Rationale</t>
  </si>
  <si>
    <t>Adjustment (%)</t>
  </si>
  <si>
    <t>USD</t>
  </si>
  <si>
    <t>Underwriter Rationale</t>
  </si>
  <si>
    <t>Rationale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</si>
</sst>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0.000%"/>
  </numFmts>
  <fonts count="1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theme="0"/>
      <name val="Arial"/>
      <family val="2"/>
      <scheme val="minor"/>
    </font>
    <font>
      <b/>
      <sz val="12"/>
      <color rgb="FFBF417B"/>
      <name val="Arial"/>
      <family val="2"/>
      <scheme val="minor"/>
    </font>
    <font>
      <b/>
      <sz val="11"/>
      <color theme="5"/>
      <name val="Arial"/>
      <family val="2"/>
      <scheme val="minor"/>
    </font>
    <font>
      <sz val="11"/>
      <color theme="5"/>
      <name val="Arial"/>
      <family val="2"/>
      <scheme val="minor"/>
    </font>
    <font>
      <b/>
      <sz val="12"/>
      <color theme="4"/>
      <name val="Arial"/>
      <family val="2"/>
      <scheme val="minor"/>
    </font>
    <font>
      <b/>
      <sz val="13"/>
      <color theme="4"/>
      <name val="Arial"/>
      <family val="2"/>
      <scheme val="minor"/>
    </font>
    <font>
      <b/>
      <sz val="11"/>
      <color theme="4"/>
      <name val="Arial"/>
      <family val="2"/>
      <scheme val="minor"/>
    </font>
    <font>
      <b/>
      <sz val="10"/>
      <color theme="5"/>
      <name val="Arial"/>
      <family val="2"/>
      <scheme val="minor"/>
    </font>
    <font>
      <sz val="8"/>
      <color theme="5"/>
      <name val="Arial"/>
      <family val="2"/>
      <scheme val="minor"/>
    </font>
    <font>
      <b/>
      <sz val="11"/>
      <color theme="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/>
      <right/>
      <top/>
      <bottom style="medium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9" fontId="1" fillId="0" borderId="0"/>
    <xf numFmtId="0" fontId="2" fillId="0" borderId="1"/>
    <xf numFmtId="0" fontId="3" fillId="0" borderId="0"/>
    <xf numFmtId="0" fontId="1" fillId="2" borderId="0"/>
    <xf numFmtId="0" fontId="1" fillId="3" borderId="0"/>
    <xf numFmtId="43" fontId="1" fillId="0" borderId="0"/>
  </cellStyleXfs>
  <cellXfs count="44">
    <xf numFmtId="0" fontId="0" fillId="0" borderId="0" xfId="0"/>
    <xf numFmtId="0" fontId="4" fillId="4" borderId="0" xfId="0" applyFont="1" applyFill="1"/>
    <xf numFmtId="0" fontId="2" fillId="4" borderId="0" xfId="2" applyFill="1" applyBorder="1"/>
    <xf numFmtId="0" fontId="0" fillId="4" borderId="0" xfId="0" applyFill="1"/>
    <xf numFmtId="0" fontId="0" fillId="4" borderId="0" xfId="0" applyFill="1" applyAlignment="1">
      <alignment horizontal="center"/>
    </xf>
    <xf numFmtId="0" fontId="8" fillId="4" borderId="0" xfId="0" applyFont="1" applyFill="1" applyAlignment="1">
      <alignment horizontal="left"/>
    </xf>
    <xf numFmtId="0" fontId="7" fillId="4" borderId="0" xfId="0" applyFont="1" applyFill="1"/>
    <xf numFmtId="3" fontId="6" fillId="5" borderId="2" xfId="0" applyNumberFormat="1" applyFont="1" applyFill="1" applyBorder="1" applyAlignment="1" applyProtection="1">
      <alignment horizontal="center" vertical="center"/>
      <protection locked="0"/>
    </xf>
    <xf numFmtId="3" fontId="6" fillId="5" borderId="2" xfId="0" applyNumberFormat="1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 applyProtection="1">
      <alignment horizontal="center" vertical="center"/>
      <protection locked="0"/>
    </xf>
    <xf numFmtId="3" fontId="6" fillId="6" borderId="2" xfId="0" applyNumberFormat="1" applyFont="1" applyFill="1" applyBorder="1" applyAlignment="1">
      <alignment horizontal="center" vertical="center"/>
    </xf>
    <xf numFmtId="0" fontId="9" fillId="4" borderId="0" xfId="2" applyFont="1" applyFill="1" applyBorder="1"/>
    <xf numFmtId="0" fontId="10" fillId="4" borderId="0" xfId="3" applyFont="1" applyFill="1" applyAlignment="1">
      <alignment horizontal="right"/>
    </xf>
    <xf numFmtId="9" fontId="11" fillId="5" borderId="2" xfId="1" applyFont="1" applyFill="1" applyBorder="1" applyAlignment="1">
      <alignment horizontal="center"/>
    </xf>
    <xf numFmtId="0" fontId="9" fillId="4" borderId="3" xfId="2" applyFont="1" applyFill="1" applyBorder="1"/>
    <xf numFmtId="0" fontId="0" fillId="4" borderId="3" xfId="0" applyFill="1" applyBorder="1"/>
    <xf numFmtId="0" fontId="2" fillId="4" borderId="3" xfId="2" applyFill="1" applyBorder="1"/>
    <xf numFmtId="0" fontId="8" fillId="4" borderId="3" xfId="0" applyFont="1" applyFill="1" applyBorder="1" applyAlignment="1">
      <alignment horizontal="left"/>
    </xf>
    <xf numFmtId="0" fontId="0" fillId="4" borderId="3" xfId="0" applyFill="1" applyBorder="1" applyAlignment="1">
      <alignment horizontal="center"/>
    </xf>
    <xf numFmtId="14" fontId="11" fillId="5" borderId="2" xfId="5" applyNumberFormat="1" applyFont="1" applyFill="1" applyBorder="1" applyAlignment="1">
      <alignment horizontal="center"/>
    </xf>
    <xf numFmtId="0" fontId="11" fillId="5" borderId="2" xfId="5" applyFont="1" applyFill="1" applyBorder="1" applyAlignment="1">
      <alignment horizontal="center"/>
    </xf>
    <xf numFmtId="164" fontId="11" fillId="5" borderId="2" xfId="5" applyNumberFormat="1" applyFont="1" applyFill="1" applyBorder="1" applyAlignment="1">
      <alignment horizontal="center"/>
    </xf>
    <xf numFmtId="2" fontId="11" fillId="5" borderId="2" xfId="5" applyNumberFormat="1" applyFont="1" applyFill="1" applyBorder="1" applyAlignment="1">
      <alignment horizontal="center"/>
    </xf>
    <xf numFmtId="0" fontId="6" fillId="4" borderId="0" xfId="3" applyFont="1" applyFill="1" applyAlignment="1">
      <alignment horizontal="left"/>
    </xf>
    <xf numFmtId="0" fontId="6" fillId="4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13" fillId="7" borderId="2" xfId="0" applyFont="1" applyFill="1" applyBorder="1" applyAlignment="1">
      <alignment horizontal="center" vertical="center" wrapText="1"/>
    </xf>
    <xf numFmtId="0" fontId="12" fillId="5" borderId="10" xfId="4" applyFont="1" applyFill="1" applyBorder="1"/>
    <xf numFmtId="0" fontId="12" fillId="5" borderId="11" xfId="4" applyFont="1" applyFill="1" applyBorder="1"/>
    <xf numFmtId="0" fontId="12" fillId="5" borderId="12" xfId="4" applyFont="1" applyFill="1" applyBorder="1"/>
    <xf numFmtId="0" fontId="13" fillId="7" borderId="2" xfId="0" applyFont="1" applyFill="1" applyBorder="1" applyAlignment="1">
      <alignment horizontal="center"/>
    </xf>
    <xf numFmtId="165" fontId="6" fillId="5" borderId="2" xfId="6" applyNumberFormat="1" applyFont="1" applyFill="1" applyBorder="1"/>
    <xf numFmtId="166" fontId="6" fillId="5" borderId="2" xfId="0" applyNumberFormat="1" applyFont="1" applyFill="1" applyBorder="1"/>
    <xf numFmtId="9" fontId="6" fillId="5" borderId="2" xfId="1" applyFont="1" applyFill="1" applyBorder="1"/>
    <xf numFmtId="1" fontId="11" fillId="5" borderId="2" xfId="5" applyNumberFormat="1" applyFont="1" applyFill="1" applyBorder="1" applyAlignment="1">
      <alignment horizontal="center"/>
    </xf>
    <xf numFmtId="3" fontId="6" fillId="5" borderId="2" xfId="0" applyNumberFormat="1" applyFont="1" applyFill="1" applyBorder="1" applyAlignment="1" applyProtection="1">
      <alignment horizontal="center" vertical="center"/>
      <protection locked="0"/>
    </xf>
    <xf numFmtId="3" fontId="6" fillId="6" borderId="2" xfId="0" applyNumberFormat="1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</cellXfs>
  <cellStyles count="7">
    <cellStyle name="20% - Accent1" xfId="4" builtinId="30"/>
    <cellStyle name="20% - Accent3" xfId="5" builtinId="38"/>
    <cellStyle name="Comma" xfId="6" builtinId="3"/>
    <cellStyle name="Heading 2" xfId="2" builtinId="17"/>
    <cellStyle name="Heading 4" xfId="3" builtinId="1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eme1">
  <a:themeElements>
    <a:clrScheme name="beazley Jul22">
      <a:dk1>
        <a:srgbClr val="000000"/>
      </a:dk1>
      <a:lt1>
        <a:srgbClr val="FFFFFF"/>
      </a:lt1>
      <a:dk2>
        <a:srgbClr val="DC199B"/>
      </a:dk2>
      <a:lt2>
        <a:srgbClr val="F0F0F0"/>
      </a:lt2>
      <a:accent1>
        <a:srgbClr val="DC199B"/>
      </a:accent1>
      <a:accent2>
        <a:srgbClr val="4B0050"/>
      </a:accent2>
      <a:accent3>
        <a:srgbClr val="C8C3CD"/>
      </a:accent3>
      <a:accent4>
        <a:srgbClr val="F56B00"/>
      </a:accent4>
      <a:accent5>
        <a:srgbClr val="FF82D4"/>
      </a:accent5>
      <a:accent6>
        <a:srgbClr val="3741A5"/>
      </a:accent6>
      <a:hlink>
        <a:srgbClr val="4B0050"/>
      </a:hlink>
      <a:folHlink>
        <a:srgbClr val="08A6C2"/>
      </a:folHlink>
    </a:clrScheme>
    <a:fontScheme name="Beasley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2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noAutofit/>
      </a:bodyPr>
      <a:lstStyle>
        <a:defPPr algn="l">
          <a:defRPr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Theme1" id="{57F562B1-38BD-4BF3-8033-86E996D5EADF}" vid="{A2A659C7-164C-4E27-9B32-F1BBCA7AD1D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7"/>
  <sheetViews>
    <sheetView showGridLines="0" tabSelected="1" topLeftCell="A7" zoomScale="70" zoomScaleNormal="70" workbookViewId="0">
      <selection activeCell="B40" sqref="B40:C44"/>
    </sheetView>
  </sheetViews>
  <sheetFormatPr defaultColWidth="9" defaultRowHeight="14" x14ac:dyDescent="0.3"/>
  <cols>
    <col min="1" max="1" width="6.25" style="1" customWidth="1"/>
    <col min="2" max="2" width="49.33203125" style="3" customWidth="1"/>
    <col min="3" max="11" width="20.58203125" style="3" customWidth="1"/>
    <col min="12" max="12" width="7.33203125" style="3" bestFit="1" customWidth="1"/>
    <col min="13" max="13" width="9" style="3" customWidth="1"/>
    <col min="14" max="16384" width="9" style="3"/>
  </cols>
  <sheetData>
    <row r="1" spans="1:11" ht="14.5" thickBot="1" x14ac:dyDescent="0.35"/>
    <row r="2" spans="1:11" ht="13.9" customHeight="1" thickBot="1" x14ac:dyDescent="0.35">
      <c r="A2" s="1" t="s">
        <v>0</v>
      </c>
      <c r="E2" s="12" t="s">
        <v>1</v>
      </c>
      <c r="F2" s="27" t="s">
        <v>2</v>
      </c>
      <c r="G2" s="28"/>
      <c r="H2" s="29"/>
    </row>
    <row r="4" spans="1:11" ht="17" thickBot="1" x14ac:dyDescent="0.4">
      <c r="B4" s="14" t="s">
        <v>3</v>
      </c>
      <c r="C4" s="16"/>
      <c r="D4" s="16"/>
      <c r="E4" s="16"/>
      <c r="F4" s="16"/>
      <c r="G4" s="16"/>
      <c r="H4" s="16"/>
      <c r="I4" s="16"/>
      <c r="J4" s="16"/>
      <c r="K4" s="16"/>
    </row>
    <row r="5" spans="1:11" ht="14.5" thickBot="1" x14ac:dyDescent="0.35"/>
    <row r="6" spans="1:11" ht="14.5" thickBot="1" x14ac:dyDescent="0.35">
      <c r="B6" s="23" t="s">
        <v>8</v>
      </c>
      <c r="C6" s="20" t="s">
        <v>9</v>
      </c>
    </row>
    <row r="7" spans="1:11" ht="14.5" thickBot="1" x14ac:dyDescent="0.35">
      <c r="B7" s="23" t="s">
        <v>7</v>
      </c>
      <c r="C7" s="20"/>
    </row>
    <row r="8" spans="1:11" ht="14.5" thickBot="1" x14ac:dyDescent="0.35">
      <c r="B8" s="23" t="s">
        <v>11</v>
      </c>
      <c r="C8" s="21"/>
    </row>
    <row r="9" spans="1:11" ht="14.5" thickBot="1" x14ac:dyDescent="0.35">
      <c r="B9" s="23" t="s">
        <v>52</v>
      </c>
      <c r="C9" s="34" t="str">
        <f>IF(inception_date="","",YEAR(inception_date))</f>
        <v/>
      </c>
    </row>
    <row r="10" spans="1:11" ht="14.5" thickBot="1" x14ac:dyDescent="0.35">
      <c r="B10" s="23" t="s">
        <v>4</v>
      </c>
      <c r="C10" s="19"/>
    </row>
    <row r="11" spans="1:11" ht="14.5" thickBot="1" x14ac:dyDescent="0.35">
      <c r="B11" s="23" t="s">
        <v>5</v>
      </c>
      <c r="C11" s="19"/>
    </row>
    <row r="12" spans="1:11" ht="14.5" thickBot="1" x14ac:dyDescent="0.35">
      <c r="B12" s="23" t="s">
        <v>51</v>
      </c>
      <c r="C12" s="22"/>
    </row>
    <row r="13" spans="1:11" ht="14.5" thickBot="1" x14ac:dyDescent="0.35">
      <c r="B13" s="23" t="s">
        <v>10</v>
      </c>
      <c r="C13" s="20" t="s">
        <v>55</v>
      </c>
    </row>
    <row r="14" spans="1:11" ht="14.5" thickBot="1" x14ac:dyDescent="0.35">
      <c r="B14" s="23" t="s">
        <v>50</v>
      </c>
      <c r="C14" s="21"/>
    </row>
    <row r="15" spans="1:11" ht="14.5" thickBot="1" x14ac:dyDescent="0.35">
      <c r="B15" s="24" t="s">
        <v>6</v>
      </c>
      <c r="C15" s="20"/>
    </row>
    <row r="16" spans="1:11" ht="14.5" thickBot="1" x14ac:dyDescent="0.35">
      <c r="B16" s="23" t="s">
        <v>12</v>
      </c>
      <c r="C16" s="22" t="s">
        <v>13</v>
      </c>
    </row>
    <row r="18" spans="2:11" ht="16" thickBot="1" x14ac:dyDescent="0.4">
      <c r="B18" s="17" t="s">
        <v>18</v>
      </c>
      <c r="C18" s="18"/>
      <c r="D18" s="18"/>
      <c r="E18" s="18"/>
      <c r="F18" s="18"/>
      <c r="G18" s="18"/>
      <c r="H18" s="18"/>
      <c r="I18" s="18"/>
      <c r="J18" s="18"/>
      <c r="K18" s="18"/>
    </row>
    <row r="19" spans="2:11" ht="16" thickBot="1" x14ac:dyDescent="0.4">
      <c r="B19" s="5"/>
      <c r="C19" s="4"/>
      <c r="D19" s="4"/>
      <c r="E19" s="4"/>
      <c r="F19" s="4"/>
      <c r="G19" s="4"/>
      <c r="H19" s="4"/>
      <c r="I19" s="4"/>
      <c r="J19" s="4"/>
      <c r="K19" s="4"/>
    </row>
    <row r="20" spans="2:11" ht="28.5" thickBot="1" x14ac:dyDescent="0.35">
      <c r="B20" s="23"/>
      <c r="C20" s="26" t="s">
        <v>19</v>
      </c>
      <c r="D20" s="37" t="s">
        <v>20</v>
      </c>
      <c r="E20" s="37"/>
      <c r="F20" s="26" t="s">
        <v>21</v>
      </c>
      <c r="G20" s="26" t="s">
        <v>22</v>
      </c>
      <c r="H20" s="26" t="s">
        <v>23</v>
      </c>
      <c r="I20" s="26" t="s">
        <v>24</v>
      </c>
      <c r="J20" s="26" t="s">
        <v>25</v>
      </c>
      <c r="K20" s="26" t="s">
        <v>26</v>
      </c>
    </row>
    <row r="21" spans="2:11" ht="14.5" thickBot="1" x14ac:dyDescent="0.35">
      <c r="B21" s="23" t="s">
        <v>27</v>
      </c>
      <c r="C21" s="7"/>
      <c r="D21" s="35"/>
      <c r="E21" s="35"/>
      <c r="F21" s="7"/>
      <c r="G21" s="7"/>
      <c r="H21" s="7"/>
      <c r="I21" s="7"/>
      <c r="J21" s="7"/>
      <c r="K21" s="10">
        <f>SUM(C21:J21)</f>
        <v>0</v>
      </c>
    </row>
    <row r="22" spans="2:11" ht="14.5" thickBot="1" x14ac:dyDescent="0.35">
      <c r="B22" s="23" t="str">
        <f>"Total Sum Insured ("&amp;source_currency&amp;")"</f>
        <v>Total Sum Insured (USD)</v>
      </c>
      <c r="C22" s="7"/>
      <c r="D22" s="35"/>
      <c r="E22" s="35"/>
      <c r="F22" s="7"/>
      <c r="G22" s="7"/>
      <c r="H22" s="7"/>
      <c r="I22" s="7"/>
      <c r="J22" s="7"/>
      <c r="K22" s="10">
        <f>SUM(C22:J22)</f>
        <v>0</v>
      </c>
    </row>
    <row r="23" spans="2:11" ht="14.5" thickBot="1" x14ac:dyDescent="0.35">
      <c r="B23" s="23" t="str">
        <f>"Average Sum Insured per Unit ("&amp;source_currency&amp;")"</f>
        <v>Average Sum Insured per Unit (USD)</v>
      </c>
      <c r="C23" s="10">
        <f>IF(C21=0,0,C22/C21)</f>
        <v>0</v>
      </c>
      <c r="D23" s="36">
        <v>0</v>
      </c>
      <c r="E23" s="36"/>
      <c r="F23" s="10">
        <f>IF(F21=0,0,F22/F21)</f>
        <v>0</v>
      </c>
      <c r="G23" s="10">
        <f>IF(G21=0,0,G22/G21)</f>
        <v>0</v>
      </c>
      <c r="H23" s="10">
        <f>IF(H21=0,0,H22/H21)</f>
        <v>0</v>
      </c>
      <c r="I23" s="10">
        <f>IF(I21=0,0,I22/I21)</f>
        <v>0</v>
      </c>
      <c r="J23" s="10">
        <f>IF(J21=0,0,J22/J21)</f>
        <v>0</v>
      </c>
      <c r="K23" s="10"/>
    </row>
    <row r="24" spans="2:11" ht="14.5" thickBot="1" x14ac:dyDescent="0.35">
      <c r="B24" s="23"/>
      <c r="C24" s="8"/>
      <c r="D24" s="8" t="s">
        <v>28</v>
      </c>
      <c r="E24" s="8" t="s">
        <v>29</v>
      </c>
      <c r="F24" s="8"/>
      <c r="G24" s="8"/>
      <c r="H24" s="8"/>
      <c r="I24" s="8"/>
      <c r="J24" s="8"/>
      <c r="K24" s="8"/>
    </row>
    <row r="25" spans="2:11" ht="14.5" thickBot="1" x14ac:dyDescent="0.35">
      <c r="B25" s="23" t="s">
        <v>30</v>
      </c>
      <c r="C25" s="7">
        <v>0</v>
      </c>
      <c r="D25" s="7">
        <v>50000</v>
      </c>
      <c r="E25" s="7">
        <v>100000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8"/>
    </row>
    <row r="26" spans="2:11" ht="14.5" thickBot="1" x14ac:dyDescent="0.35">
      <c r="B26" s="23" t="str">
        <f>"Benchmark Premium ("&amp;source_currency&amp;")"</f>
        <v>Benchmark Premium (USD)</v>
      </c>
      <c r="C26" s="10">
        <v>0</v>
      </c>
      <c r="D26" s="36">
        <v>0</v>
      </c>
      <c r="E26" s="36"/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f>SUM(C26:J26)</f>
        <v>0</v>
      </c>
    </row>
    <row r="28" spans="2:11" ht="16" thickBot="1" x14ac:dyDescent="0.4">
      <c r="B28" s="17" t="s">
        <v>31</v>
      </c>
      <c r="C28" s="15"/>
      <c r="D28" s="15"/>
      <c r="E28" s="15"/>
      <c r="F28" s="15"/>
      <c r="G28" s="15"/>
      <c r="H28" s="15"/>
      <c r="I28" s="15"/>
      <c r="J28" s="15"/>
      <c r="K28" s="15"/>
    </row>
    <row r="29" spans="2:11" ht="16" thickBot="1" x14ac:dyDescent="0.4">
      <c r="B29" s="25"/>
    </row>
    <row r="30" spans="2:11" ht="14.5" thickBot="1" x14ac:dyDescent="0.35">
      <c r="B30" s="23" t="s">
        <v>32</v>
      </c>
      <c r="C30" s="7" t="s">
        <v>33</v>
      </c>
      <c r="D30" s="6"/>
    </row>
    <row r="31" spans="2:11" ht="14.5" thickBot="1" x14ac:dyDescent="0.35">
      <c r="B31" s="23" t="s">
        <v>34</v>
      </c>
      <c r="C31" s="7" t="s">
        <v>35</v>
      </c>
      <c r="D31" s="6"/>
    </row>
    <row r="32" spans="2:11" ht="14.5" thickBot="1" x14ac:dyDescent="0.35">
      <c r="B32" s="23" t="s">
        <v>36</v>
      </c>
      <c r="C32" s="7" t="s">
        <v>37</v>
      </c>
      <c r="D32" s="6"/>
    </row>
    <row r="33" spans="2:11" ht="14.5" thickBot="1" x14ac:dyDescent="0.35">
      <c r="B33" s="23" t="s">
        <v>38</v>
      </c>
      <c r="C33" s="9">
        <v>0.6</v>
      </c>
      <c r="D33" s="6"/>
    </row>
    <row r="34" spans="2:11" x14ac:dyDescent="0.3">
      <c r="B34" s="6"/>
      <c r="C34" s="6"/>
    </row>
    <row r="36" spans="2:11" ht="17" thickBot="1" x14ac:dyDescent="0.4">
      <c r="B36" s="14" t="s">
        <v>49</v>
      </c>
      <c r="C36" s="15"/>
      <c r="D36" s="15"/>
      <c r="E36" s="15"/>
      <c r="F36" s="15"/>
      <c r="G36" s="15"/>
      <c r="H36" s="15"/>
      <c r="I36" s="15"/>
      <c r="J36" s="15"/>
      <c r="K36" s="15"/>
    </row>
    <row r="37" spans="2:11" ht="14.5" thickBot="1" x14ac:dyDescent="0.35">
      <c r="B37" s="23"/>
      <c r="C37" s="6"/>
      <c r="D37" s="6"/>
      <c r="E37" s="6"/>
      <c r="F37" s="6"/>
      <c r="G37" s="6"/>
    </row>
    <row r="38" spans="2:11" ht="14.5" thickBot="1" x14ac:dyDescent="0.35">
      <c r="B38" s="23" t="s">
        <v>54</v>
      </c>
      <c r="C38" s="13">
        <v>0</v>
      </c>
    </row>
    <row r="39" spans="2:11" ht="14.5" thickBot="1" x14ac:dyDescent="0.35">
      <c r="B39" s="23" t="s">
        <v>53</v>
      </c>
      <c r="C39" s="6"/>
      <c r="D39" s="6"/>
      <c r="E39" s="6"/>
    </row>
    <row r="40" spans="2:11" x14ac:dyDescent="0.3">
      <c r="B40" s="38"/>
      <c r="C40" s="39"/>
      <c r="D40" s="6"/>
      <c r="E40" s="6"/>
    </row>
    <row r="41" spans="2:11" x14ac:dyDescent="0.3">
      <c r="B41" s="40"/>
      <c r="C41" s="41"/>
      <c r="D41" s="6"/>
      <c r="E41" s="6"/>
    </row>
    <row r="42" spans="2:11" x14ac:dyDescent="0.3">
      <c r="B42" s="40"/>
      <c r="C42" s="41"/>
      <c r="D42" s="6"/>
      <c r="E42" s="6"/>
    </row>
    <row r="43" spans="2:11" x14ac:dyDescent="0.3">
      <c r="B43" s="40"/>
      <c r="C43" s="41"/>
      <c r="D43" s="6"/>
      <c r="E43" s="6"/>
    </row>
    <row r="44" spans="2:11" ht="14.5" thickBot="1" x14ac:dyDescent="0.35">
      <c r="B44" s="42"/>
      <c r="C44" s="43"/>
      <c r="D44" s="6"/>
      <c r="E44" s="6"/>
    </row>
    <row r="45" spans="2:11" x14ac:dyDescent="0.3">
      <c r="D45" s="6"/>
      <c r="E45" s="6"/>
    </row>
    <row r="46" spans="2:11" s="6" customFormat="1" ht="15" customHeight="1" x14ac:dyDescent="0.3"/>
    <row r="47" spans="2:11" s="6" customFormat="1" ht="15" customHeight="1" x14ac:dyDescent="0.3"/>
    <row r="48" spans="2:11" s="6" customFormat="1" ht="15" customHeight="1" x14ac:dyDescent="0.3"/>
    <row r="49" spans="2:11" s="6" customFormat="1" ht="15" customHeight="1" thickBot="1" x14ac:dyDescent="0.4">
      <c r="B49" s="14" t="s">
        <v>14</v>
      </c>
      <c r="C49" s="16"/>
      <c r="D49" s="16"/>
      <c r="E49" s="16"/>
      <c r="F49" s="16"/>
      <c r="G49" s="16"/>
      <c r="H49" s="16"/>
      <c r="I49" s="16"/>
      <c r="J49" s="16"/>
      <c r="K49" s="16"/>
    </row>
    <row r="50" spans="2:11" s="6" customFormat="1" ht="15" customHeight="1" thickBot="1" x14ac:dyDescent="0.4">
      <c r="B50" s="11"/>
      <c r="C50" s="2"/>
      <c r="D50" s="2"/>
      <c r="E50" s="2"/>
      <c r="F50" s="2"/>
      <c r="G50" s="2"/>
      <c r="H50" s="2"/>
      <c r="I50" s="2"/>
      <c r="J50" s="3"/>
    </row>
    <row r="51" spans="2:11" s="6" customFormat="1" ht="20.149999999999999" customHeight="1" thickBot="1" x14ac:dyDescent="0.35">
      <c r="B51" s="23"/>
      <c r="C51" s="30" t="s">
        <v>47</v>
      </c>
      <c r="D51" s="30" t="s">
        <v>48</v>
      </c>
    </row>
    <row r="52" spans="2:11" s="6" customFormat="1" ht="20.149999999999999" customHeight="1" thickBot="1" x14ac:dyDescent="0.35">
      <c r="B52" s="23" t="s">
        <v>16</v>
      </c>
      <c r="C52" s="31"/>
      <c r="D52" s="31"/>
    </row>
    <row r="53" spans="2:11" s="6" customFormat="1" ht="20.149999999999999" customHeight="1" thickBot="1" x14ac:dyDescent="0.35">
      <c r="B53" s="23" t="s">
        <v>39</v>
      </c>
      <c r="C53" s="32"/>
      <c r="D53" s="32"/>
    </row>
    <row r="54" spans="2:11" s="6" customFormat="1" ht="19.5" customHeight="1" thickBot="1" x14ac:dyDescent="0.35">
      <c r="B54" s="23"/>
    </row>
    <row r="55" spans="2:11" s="6" customFormat="1" ht="20.149999999999999" customHeight="1" thickBot="1" x14ac:dyDescent="0.35">
      <c r="B55" s="23" t="s">
        <v>40</v>
      </c>
      <c r="C55" s="31"/>
      <c r="D55" s="31"/>
    </row>
    <row r="56" spans="2:11" s="6" customFormat="1" ht="20.149999999999999" customHeight="1" thickBot="1" x14ac:dyDescent="0.35">
      <c r="B56" s="23" t="s">
        <v>41</v>
      </c>
      <c r="C56" s="32"/>
      <c r="D56" s="32"/>
    </row>
    <row r="57" spans="2:11" s="6" customFormat="1" ht="20.149999999999999" customHeight="1" thickBot="1" x14ac:dyDescent="0.35">
      <c r="B57" s="23"/>
    </row>
    <row r="58" spans="2:11" s="6" customFormat="1" ht="20.149999999999999" customHeight="1" thickBot="1" x14ac:dyDescent="0.35">
      <c r="B58" s="23" t="s">
        <v>42</v>
      </c>
      <c r="C58" s="33"/>
    </row>
    <row r="59" spans="2:11" s="6" customFormat="1" ht="20.149999999999999" customHeight="1" thickBot="1" x14ac:dyDescent="0.35">
      <c r="B59" s="23" t="s">
        <v>43</v>
      </c>
      <c r="C59" s="33"/>
    </row>
    <row r="60" spans="2:11" s="6" customFormat="1" ht="20.149999999999999" customHeight="1" thickBot="1" x14ac:dyDescent="0.35">
      <c r="B60" s="23" t="s">
        <v>44</v>
      </c>
      <c r="C60" s="33"/>
    </row>
    <row r="61" spans="2:11" s="6" customFormat="1" ht="20.149999999999999" customHeight="1" thickBot="1" x14ac:dyDescent="0.35">
      <c r="B61" s="23"/>
    </row>
    <row r="62" spans="2:11" s="6" customFormat="1" ht="20.149999999999999" customHeight="1" thickBot="1" x14ac:dyDescent="0.35">
      <c r="B62" s="23" t="s">
        <v>15</v>
      </c>
      <c r="C62" s="31"/>
    </row>
    <row r="63" spans="2:11" s="6" customFormat="1" ht="20.149999999999999" customHeight="1" thickBot="1" x14ac:dyDescent="0.35">
      <c r="B63" s="23" t="s">
        <v>45</v>
      </c>
      <c r="C63" s="33"/>
    </row>
    <row r="64" spans="2:11" s="6" customFormat="1" ht="20.149999999999999" customHeight="1" thickBot="1" x14ac:dyDescent="0.35">
      <c r="B64" s="23" t="s">
        <v>46</v>
      </c>
      <c r="C64" s="33"/>
    </row>
    <row r="65" spans="2:11" s="6" customFormat="1" ht="20.149999999999999" customHeight="1" thickBot="1" x14ac:dyDescent="0.35">
      <c r="B65" s="23"/>
    </row>
    <row r="66" spans="2:11" s="6" customFormat="1" ht="20.149999999999999" customHeight="1" thickBot="1" x14ac:dyDescent="0.35">
      <c r="B66" s="23" t="s">
        <v>17</v>
      </c>
      <c r="C66" s="33"/>
    </row>
    <row r="67" spans="2:11" x14ac:dyDescent="0.3">
      <c r="B67" s="6"/>
      <c r="C67" s="6"/>
      <c r="D67" s="6"/>
      <c r="E67" s="6"/>
      <c r="F67" s="6"/>
      <c r="G67" s="6"/>
      <c r="H67" s="6"/>
    </row>
    <row r="68" spans="2:11" x14ac:dyDescent="0.3">
      <c r="B68" s="23"/>
      <c r="D68" s="6"/>
    </row>
    <row r="69" spans="2:11" ht="17" thickBot="1" x14ac:dyDescent="0.4">
      <c r="B69" s="14" t="s">
        <v>57</v>
      </c>
      <c r="C69" s="16"/>
      <c r="D69" s="16"/>
      <c r="E69" s="16"/>
      <c r="F69" s="16"/>
      <c r="G69" s="16"/>
      <c r="H69" s="16"/>
      <c r="I69" s="16"/>
      <c r="J69" s="16"/>
      <c r="K69" s="16"/>
    </row>
    <row r="70" spans="2:11" x14ac:dyDescent="0.3">
      <c r="D70" s="6"/>
    </row>
    <row r="71" spans="2:11" x14ac:dyDescent="0.3">
      <c r="D71" s="6"/>
    </row>
    <row r="72" spans="2:11" ht="14.5" thickBot="1" x14ac:dyDescent="0.35">
      <c r="B72" s="23" t="s">
        <v>56</v>
      </c>
      <c r="C72" s="6"/>
    </row>
    <row r="73" spans="2:11" x14ac:dyDescent="0.3">
      <c r="B73" s="38"/>
      <c r="C73" s="39"/>
    </row>
    <row r="74" spans="2:11" x14ac:dyDescent="0.3">
      <c r="B74" s="40"/>
      <c r="C74" s="41"/>
    </row>
    <row r="75" spans="2:11" x14ac:dyDescent="0.3">
      <c r="B75" s="40"/>
      <c r="C75" s="41"/>
    </row>
    <row r="76" spans="2:11" x14ac:dyDescent="0.3">
      <c r="B76" s="40"/>
      <c r="C76" s="41"/>
    </row>
    <row r="77" spans="2:11" ht="14.5" thickBot="1" x14ac:dyDescent="0.35">
      <c r="B77" s="42"/>
      <c r="C77" s="43"/>
    </row>
  </sheetData>
  <mergeCells count="7">
    <mergeCell ref="D20:E20"/>
    <mergeCell ref="D26:E26"/>
    <mergeCell ref="B40:C44"/>
    <mergeCell ref="B73:C77"/>
    <mergeCell ref="D21:E21"/>
    <mergeCell ref="D22:E22"/>
    <mergeCell ref="D23:E23"/>
  </mergeCells>
  <dataValidations count="1">
    <dataValidation type="decimal" allowBlank="1" showInputMessage="1" showErrorMessage="1" sqref="C33" xr:uid="{9428CDE1-AA62-4B26-AD1D-2338635948F6}">
      <formula1>0</formula1>
      <formula2>1</formula2>
    </dataValidation>
  </dataValidations>
  <pageMargins left="0.25" right="0.25" top="0.75" bottom="0.75" header="0.3" footer="0.3"/>
  <pageSetup paperSize="9" scale="77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62</vt:i4>
      </vt:variant>
    </vt:vector>
  </HeadingPairs>
  <TitlesOfParts>
    <vt:vector size="63" baseType="lpstr">
      <vt:lpstr>Summary</vt:lpstr>
      <vt:lpstr>achieved_rate</vt:lpstr>
      <vt:lpstr>achieved_rate_net</vt:lpstr>
      <vt:lpstr>adj_rationale</vt:lpstr>
      <vt:lpstr>benchmark_AUV</vt:lpstr>
      <vt:lpstr>benchmark_Diving</vt:lpstr>
      <vt:lpstr>benchmark_Other</vt:lpstr>
      <vt:lpstr>benchmark_premium</vt:lpstr>
      <vt:lpstr>benchmark_premium_net</vt:lpstr>
      <vt:lpstr>benchmark_rate</vt:lpstr>
      <vt:lpstr>benchmark_rate_net</vt:lpstr>
      <vt:lpstr>benchmark_ROV</vt:lpstr>
      <vt:lpstr>benchmark_Seismic_Ocean_Bottom</vt:lpstr>
      <vt:lpstr>benchmark_Seismic_Towed</vt:lpstr>
      <vt:lpstr>benchmark_Subs</vt:lpstr>
      <vt:lpstr>bpi</vt:lpstr>
      <vt:lpstr>bpi_pre_uw_adj</vt:lpstr>
      <vt:lpstr>brokerage</vt:lpstr>
      <vt:lpstr>ExperienceLevel</vt:lpstr>
      <vt:lpstr>expiry_date</vt:lpstr>
      <vt:lpstr>IceDebrisTraffic</vt:lpstr>
      <vt:lpstr>inception_date</vt:lpstr>
      <vt:lpstr>insured_name</vt:lpstr>
      <vt:lpstr>pflr</vt:lpstr>
      <vt:lpstr>policy_url</vt:lpstr>
      <vt:lpstr>quoted_premium</vt:lpstr>
      <vt:lpstr>quoted_premium_net</vt:lpstr>
      <vt:lpstr>rate_change</vt:lpstr>
      <vt:lpstr>section_reference</vt:lpstr>
      <vt:lpstr>SI_AUV</vt:lpstr>
      <vt:lpstr>SI_Diving</vt:lpstr>
      <vt:lpstr>SI_Other</vt:lpstr>
      <vt:lpstr>SI_ROV</vt:lpstr>
      <vt:lpstr>SI_Seismic_Ocean_Bottom</vt:lpstr>
      <vt:lpstr>SI_Seismic_Towed</vt:lpstr>
      <vt:lpstr>SI_Subs</vt:lpstr>
      <vt:lpstr>source_currency</vt:lpstr>
      <vt:lpstr>status</vt:lpstr>
      <vt:lpstr>technical_premium_net</vt:lpstr>
      <vt:lpstr>term</vt:lpstr>
      <vt:lpstr>tpi</vt:lpstr>
      <vt:lpstr>tpi_pre_uw_adj</vt:lpstr>
      <vt:lpstr>TypeOfWork</vt:lpstr>
      <vt:lpstr>u_AUV</vt:lpstr>
      <vt:lpstr>u_Diving</vt:lpstr>
      <vt:lpstr>u_Other</vt:lpstr>
      <vt:lpstr>u_ROV</vt:lpstr>
      <vt:lpstr>u_Seismic_Ocean_Bottom</vt:lpstr>
      <vt:lpstr>u_Seismic_Towed</vt:lpstr>
      <vt:lpstr>u_Subs</vt:lpstr>
      <vt:lpstr>underwriter</vt:lpstr>
      <vt:lpstr>underwriter_adjustment</vt:lpstr>
      <vt:lpstr>UsageFactor</vt:lpstr>
      <vt:lpstr>uw_comments</vt:lpstr>
      <vt:lpstr>written_line</vt:lpstr>
      <vt:lpstr>XS_AUV_LaunchAndRecov</vt:lpstr>
      <vt:lpstr>XS_AUV_NormalOps</vt:lpstr>
      <vt:lpstr>XS_Diving</vt:lpstr>
      <vt:lpstr>XS_Other</vt:lpstr>
      <vt:lpstr>XS_ROV</vt:lpstr>
      <vt:lpstr>XS_Seismic_Ocean_Bottom</vt:lpstr>
      <vt:lpstr>XS_Seismic_Towed</vt:lpstr>
      <vt:lpstr>XS_Subs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Contaldo</dc:creator>
  <cp:lastModifiedBy>Asa Euridge</cp:lastModifiedBy>
  <cp:lastPrinted>2024-05-29T12:13:00Z</cp:lastPrinted>
  <dcterms:created xsi:type="dcterms:W3CDTF">2015-06-05T18:19:34Z</dcterms:created>
  <dcterms:modified xsi:type="dcterms:W3CDTF">2025-11-13T13:37:33Z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5a184a-ec6c-4706-a8fe-00eb3519811b_Enabled">
    <vt:lpwstr>true</vt:lpwstr>
  </property>
  <property fmtid="{D5CDD505-2E9C-101B-9397-08002B2CF9AE}" pid="3" name="MSIP_Label_e45a184a-ec6c-4706-a8fe-00eb3519811b_SetDate">
    <vt:lpwstr>2025-08-12T08:17:17Z</vt:lpwstr>
  </property>
  <property fmtid="{D5CDD505-2E9C-101B-9397-08002B2CF9AE}" pid="4" name="MSIP_Label_e45a184a-ec6c-4706-a8fe-00eb3519811b_Method">
    <vt:lpwstr>Privileged</vt:lpwstr>
  </property>
  <property fmtid="{D5CDD505-2E9C-101B-9397-08002B2CF9AE}" pid="5" name="MSIP_Label_e45a184a-ec6c-4706-a8fe-00eb3519811b_Name">
    <vt:lpwstr>Confidential</vt:lpwstr>
  </property>
  <property fmtid="{D5CDD505-2E9C-101B-9397-08002B2CF9AE}" pid="6" name="MSIP_Label_e45a184a-ec6c-4706-a8fe-00eb3519811b_SiteId">
    <vt:lpwstr>9a50eba8-7568-447a-bcb9-27a0d464aa80</vt:lpwstr>
  </property>
  <property fmtid="{D5CDD505-2E9C-101B-9397-08002B2CF9AE}" pid="7" name="MSIP_Label_e45a184a-ec6c-4706-a8fe-00eb3519811b_ActionId">
    <vt:lpwstr>c2c83625-4c0b-4417-864f-bd4c39dcbb30</vt:lpwstr>
  </property>
  <property fmtid="{D5CDD505-2E9C-101B-9397-08002B2CF9AE}" pid="8" name="MSIP_Label_e45a184a-ec6c-4706-a8fe-00eb3519811b_ContentBits">
    <vt:lpwstr>0</vt:lpwstr>
  </property>
  <property fmtid="{D5CDD505-2E9C-101B-9397-08002B2CF9AE}" pid="9" name="MSIP_Label_e45a184a-ec6c-4706-a8fe-00eb3519811b_Tag">
    <vt:lpwstr>10, 0, 1, 1</vt:lpwstr>
  </property>
</Properties>
</file>