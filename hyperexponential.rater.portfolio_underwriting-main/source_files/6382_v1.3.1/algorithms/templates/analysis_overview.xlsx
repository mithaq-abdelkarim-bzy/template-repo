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bfl.local\uk\Groups\Finance\Actuarial\Pricing\12 - Market Facilities\08 HX\02 - Rater Development\02 - Model Updates\2026-07-13 - Excel Export Updates\"/>
    </mc:Choice>
  </mc:AlternateContent>
  <xr:revisionPtr revIDLastSave="0" documentId="13_ncr:1_{E8CEFCA7-AA42-4D75-A285-01A0EC743D16}" xr6:coauthVersionLast="47" xr6:coauthVersionMax="47" xr10:uidLastSave="{00000000-0000-0000-0000-000000000000}"/>
  <bookViews>
    <workbookView xWindow="-98" yWindow="-98" windowWidth="21795" windowHeight="13875" tabRatio="874" activeTab="1" xr2:uid="{00000000-000D-0000-FFFF-FFFF00000000}"/>
  </bookViews>
  <sheets>
    <sheet name="Summary" sheetId="1" r:id="rId1"/>
    <sheet name="SummaryTables" sheetId="2" r:id="rId2"/>
    <sheet name="Own Experience Analysis" sheetId="13" r:id="rId3"/>
    <sheet name="paths" sheetId="12" state="hidden" r:id="rId4"/>
    <sheet name="data_oe_detail" sheetId="14" state="hidden" r:id="rId5"/>
    <sheet name="data_oe_summary" sheetId="15" state="hidden" r:id="rId6"/>
    <sheet name="data_lloyds_detail" sheetId="16" state="hidden" r:id="rId7"/>
    <sheet name="data_lloyds_summary" sheetId="17" state="hidden" r:id="rId8"/>
    <sheet name="data_beazley_detail" sheetId="18" state="hidden" r:id="rId9"/>
    <sheet name="data_beazley_summary" sheetId="19" state="hidden" r:id="rId10"/>
  </sheets>
  <definedNames>
    <definedName name="[2]_1_WEBI_DataGrid" hidden="1">#REF!</definedName>
    <definedName name="[2]_1_WEBI_HHeading" hidden="1">#REF!</definedName>
    <definedName name="[2]_1_WEBI_Table" hidden="1">#REF!</definedName>
    <definedName name="_1_1__1_WEBI_DataGrid" hidden="1">#REF!</definedName>
    <definedName name="_2_1__1_WEBI_HHeading" hidden="1">#REF!</definedName>
    <definedName name="_3_1__1_WEBI_Table" hidden="1">#REF!</definedName>
    <definedName name="_4_2__1_WEBI_DataGrid" hidden="1">#REF!</definedName>
    <definedName name="_5_2__1_WEBI_HHeading" hidden="1">#REF!</definedName>
    <definedName name="_6_2__1_WEBI_Table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Behavior_1" hidden="1">1</definedName>
    <definedName name="_AtRisk_SimSetting_StdRecalcWithoutRiskStatic" hidden="1">0</definedName>
    <definedName name="_AtRisk_SimSetting_StdRecalcWithoutRiskStaticPercentile" hidden="1">0.5</definedName>
    <definedName name="_Order1" hidden="1">255</definedName>
    <definedName name="CIQWBGuid" hidden="1">"a660d739-9867-40b6-bbcf-150e59d1df91"</definedName>
    <definedName name="FlaggedHiddenSheetsIndex1" hidden="1">"Sheet: DirectCosts"</definedName>
    <definedName name="FlaggedHiddenSheetsIndex10" hidden="1">"Sheet: 2003 -RI spend - AB spreadsheet"</definedName>
    <definedName name="FlaggedHiddenSheetsIndex11" hidden="1">"Sheet: H1 Forecast - Syndicate"</definedName>
    <definedName name="FlaggedHiddenSheetsIndex12" hidden="1">"Sheet: Expenses - Jing"</definedName>
    <definedName name="FlaggedHiddenSheetsIndex13" hidden="1">"Sheet: Wizi extract - at 1811"</definedName>
    <definedName name="FlaggedHiddenSheetsIndex14" hidden="1">"Sheet: Wizi - currency"</definedName>
    <definedName name="FlaggedHiddenSheetsIndex15" hidden="1">"Sheet: Tech AC 2623"</definedName>
    <definedName name="FlaggedHiddenSheetsIndex16" hidden="1">"Sheet: Property bridge analysis"</definedName>
    <definedName name="FlaggedHiddenSheetsIndex17" hidden="1">"Sheet: Marine bridge analysis"</definedName>
    <definedName name="FlaggedHiddenSheetsIndex18" hidden="1">"Sheet: SLbridge analysis"</definedName>
    <definedName name="FlaggedHiddenSheetsIndex19" hidden="1">"Sheet: Treaty bridge analysis"</definedName>
    <definedName name="FlaggedHiddenSheetsIndex2" hidden="1">"Sheet: DirectCostComm"</definedName>
    <definedName name="FlaggedHiddenSheetsIndex3" hidden="1">"Sheet: ContLocation"</definedName>
    <definedName name="FlaggedHiddenSheetsIndex4" hidden="1">"Sheet: 2004 - Treaty - premiums"</definedName>
    <definedName name="FlaggedHiddenSheetsIndex5" hidden="1">"Sheet: 2003-Group Expenses"</definedName>
    <definedName name="FlaggedHiddenSheetsIndex6" hidden="1">"Sheet: 2004 - 623 Summary"</definedName>
    <definedName name="FlaggedHiddenSheetsIndex7" hidden="1">"Sheet: 2003 -Premiums - Agresso"</definedName>
    <definedName name="FlaggedHiddenSheetsIndex8" hidden="1">"Sheet: 2003 - DAC - Agresso"</definedName>
    <definedName name="FlaggedHiddenSheetsIndex9" hidden="1">"Sheet: 2003 - Pm &amp; DAC - Last 3m 2003"</definedName>
    <definedName name="FlaggedHiddenSheetsNumber" hidden="1">3</definedName>
    <definedName name="hghh" hidden="1">"Sheet: RetBBLActual"</definedName>
    <definedName name="IQ_ADDIN" hidden="1">"AUTO"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42158.4925462963</definedName>
    <definedName name="IQ_QTD" hidden="1">750000</definedName>
    <definedName name="IQ_TODAY" hidden="1">0</definedName>
    <definedName name="IQ_YTDMONTH" hidden="1">130000</definedName>
    <definedName name="lookup_beazley_lob" localSheetId="3">data_beazley_summary!$D$2:INDEX(data_beazley_summary!$D:$D, COUNTA(data_beazley_summary!$D:$D))</definedName>
    <definedName name="lookup_lloyds_lob" localSheetId="3">data_lloyds_summary!$D$2:INDEX(data_lloyds_summary!$D:$D, COUNTA(data_lloyds_summary!$D:$D))</definedName>
    <definedName name="lookup_own_detail_label" localSheetId="3">own_detail[Label]</definedName>
    <definedName name="lookup_own_lob" localSheetId="3">data_oe_summary!$BP$2:INDEX(data_oe_summary!$BP:$BP, COUNTA(data_oe_summary!$BP:$BP))</definedName>
    <definedName name="lookup_own_lob2">data_oe_summary!$BP$2:INDEX(data_oe_summary!$BP:$BP, COUNTA(data_oe_summary!$BP:$BP))</definedName>
    <definedName name="lookup_own_summary_label" localSheetId="3">own_summary[Label]</definedName>
    <definedName name="lst_own_detail__name">own_detail[Name]</definedName>
    <definedName name="o" hidden="1">"Sheet: RetGraphDataWA (2)"</definedName>
    <definedName name="Pal_Workbook_GUID" hidden="1">"WRLX4RIM5138YTAHDIGW12VL"</definedName>
    <definedName name="Pal_Workbook_GUID_1" hidden="1">"PXQ9W6MF1A7FSRV17ZPVLGLP"</definedName>
    <definedName name="_xlnm.Print_Area" localSheetId="0">Summary!$A$1:$G$31</definedName>
    <definedName name="_xlnm.Print_Area" localSheetId="1">SummaryTables!$A$1:$L$459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Iterations_1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StandardRecalc_1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FixedSeed_1" hidden="1">FALSE</definedName>
    <definedName name="RiskUseMultipleCPUs" hidden="1">FALSE</definedName>
    <definedName name="SettingsCbxFields" hidden="1">"Business Area"</definedName>
    <definedName name="SettingsCbxMonth" hidden="1">"February"</definedName>
    <definedName name="SettingsCbxYear" hidden="1">2001</definedName>
    <definedName name="SettingsChkDrill" hidden="1">TRUE</definedName>
    <definedName name="SettingsChkDrillConsolidate" hidden="1">TRUE</definedName>
    <definedName name="SettingsChkEssbase" hidden="1">TRUE</definedName>
    <definedName name="SettingsChkExtract" hidden="1">TRUE</definedName>
    <definedName name="SettingsChkPivot" hidden="1">TRUE</definedName>
    <definedName name="SettingsChkRefresh" hidden="1">TRUE</definedName>
    <definedName name="SettingsChkSave" hidden="1">TRUE</definedName>
    <definedName name="SettingsChkSaveToFile" hidden="1">TRUE</definedName>
    <definedName name="SettingsOptReports" hidden="1">TRUE</definedName>
    <definedName name="SettingsTxtCSVLoc" hidden="1">"X:\manrep\MGRACC\2001\Monthly Cost Downloads\Expenses11.csv"</definedName>
    <definedName name="SettingsTxtDataLoc" hidden="1">"X:\manrep\MGRACC\Cost Reports\Cost Reports Data.mdb"</definedName>
    <definedName name="SettingsTxtDrillClearIndicator" hidden="1">"Clear"</definedName>
    <definedName name="SettingsTxtDrillConsolidate" hidden="1">"Special"</definedName>
    <definedName name="SettingsTxtEsbIndicator" hidden="1">"EsbQry"</definedName>
    <definedName name="SettingsTxtFileName" hidden="1">"Cost Reports Mar 2002 "</definedName>
    <definedName name="SettingsTxtImportDataLoc" hidden="1">"X:\manrep\MGRACC\2002\Monthly Cost Downloads\Exp03.dbf"</definedName>
    <definedName name="SettingsTxtOutDest" hidden="1">"X:\manrep\MGRACC\Cost Reports"</definedName>
    <definedName name="SettingsTxtSheetsIndicator" hidden="1">"Rpt"</definedName>
    <definedName name="SettingsTxtShtIndicator" hidden="1">"Rpt"</definedName>
    <definedName name="SheetID" hidden="1">"ITG123RO200303R"</definedName>
    <definedName name="summary_actuary">Summary!$C$28</definedName>
    <definedName name="summary_analysis">Summary!$C$31</definedName>
    <definedName name="summary_deal_status">Summary!$C$9</definedName>
    <definedName name="summary_ded_str_1">Summary!$C$19</definedName>
    <definedName name="summary_ded_str_2">Summary!$C$20</definedName>
    <definedName name="summary_ded_str_3">Summary!$C$21</definedName>
    <definedName name="summary_ded_str_4">Summary!$C$22</definedName>
    <definedName name="summary_ded_str_5">Summary!$C$23</definedName>
    <definedName name="summary_ded_str_6">Summary!$C$24</definedName>
    <definedName name="summary_ded_str_7">Summary!$C$25</definedName>
    <definedName name="summary_expiry_date">Summary!$C$15</definedName>
    <definedName name="summary_export_date">Summary!$C$29</definedName>
    <definedName name="summary_facility_type">Summary!$C$8</definedName>
    <definedName name="summary_final_bpi">Summary!$F$8</definedName>
    <definedName name="summary_final_gn_ulr">Summary!$F$7</definedName>
    <definedName name="summary_final_loadings">Summary!$F$5</definedName>
    <definedName name="summary_final_pc">Summary!$F$6</definedName>
    <definedName name="summary_final_roc">Summary!$F$10</definedName>
    <definedName name="summary_final_tpi">Summary!$F$9</definedName>
    <definedName name="summary_gn_prem">Summary!$C$18</definedName>
    <definedName name="summary_hx_model_ref">Summary!$C$30</definedName>
    <definedName name="summary_inception_date">Summary!$C$14</definedName>
    <definedName name="summary_insured_name">Summary!$C$5</definedName>
    <definedName name="summary_key_lob">Summary!$C$10</definedName>
    <definedName name="summary_key_uncertainty">Summary!$C$27</definedName>
    <definedName name="summary_line_size">Summary!$C$16</definedName>
    <definedName name="summary_max_avg_limit">Summary!$C$17</definedName>
    <definedName name="summary_pc">Summary!$C$26</definedName>
    <definedName name="summary_policy_reference">Summary!$C$6</definedName>
    <definedName name="summary_raw_bpi">Summary!$G$8</definedName>
    <definedName name="summary_raw_gn_ulr">Summary!$G$7</definedName>
    <definedName name="summary_raw_pc">Summary!$G$6</definedName>
    <definedName name="summary_raw_roc">Summary!$G$10</definedName>
    <definedName name="summary_raw_tpi">Summary!$G$9</definedName>
    <definedName name="summary_renewal">Summary!$C$13</definedName>
    <definedName name="summary_risk_codes">Summary!$C$12</definedName>
    <definedName name="summary_trifocus">Summary!$C$11</definedName>
    <definedName name="summary_underwriter">Summary!$C$7</definedName>
    <definedName name="table_beazley_detail">data_beazley_detail!$A$2</definedName>
    <definedName name="table_beazley_summary">data_beazley_summary!$A$2</definedName>
    <definedName name="table_deductions">SummaryTables!$B$240</definedName>
    <definedName name="table_deductions_basis_all">SummaryTables!$I$292</definedName>
    <definedName name="table_deductions_basis_consortium">SummaryTables!$D$292</definedName>
    <definedName name="table_deductions_basis_facility">SummaryTables!$E$292</definedName>
    <definedName name="table_deductions_basis_leader_fee">SummaryTables!$F$292</definedName>
    <definedName name="table_deductions_basis_market">SummaryTables!$C$292</definedName>
    <definedName name="table_deductions_basis_other">SummaryTables!$H$292</definedName>
    <definedName name="table_deductions_basis_service_fee">SummaryTables!$G$292</definedName>
    <definedName name="table_deductions_total_all">SummaryTables!$I$290</definedName>
    <definedName name="table_deductions_total_consortium">SummaryTables!$D$290</definedName>
    <definedName name="table_deductions_total_facility">SummaryTables!$E$290</definedName>
    <definedName name="table_deductions_total_leader_fee">SummaryTables!$F$290</definedName>
    <definedName name="table_deductions_total_market">SummaryTables!$C$290</definedName>
    <definedName name="table_deductions_total_other">SummaryTables!$H$290</definedName>
    <definedName name="table_deductions_total_service_fee">SummaryTables!$G$290</definedName>
    <definedName name="table_lloyds_detail">data_lloyds_detail!$A$2</definedName>
    <definedName name="table_lloyds_summary">data_lloyds_summary!$A$2</definedName>
    <definedName name="table_model_gn_ulr">SummaryTables!$B$9</definedName>
    <definedName name="table_model_gn_ulr_total_gn_premium">SummaryTables!$C$59</definedName>
    <definedName name="table_model_gn_ulr_total_portfolio_pct">SummaryTables!$D$59</definedName>
    <definedName name="table_model_gn_ulr_total_ulr">SummaryTables!$M$59</definedName>
    <definedName name="table_model_gn_ulr_total_ulr_business_plan">SummaryTables!$G$59</definedName>
    <definedName name="table_model_gn_ulr_total_ulr_lloyds">SummaryTables!$F$59</definedName>
    <definedName name="table_model_gn_ulr_total_ulr_own_experience">SummaryTables!$E$59</definedName>
    <definedName name="table_model_gn_ulr_total_wgt_beazley">SummaryTables!$L$59</definedName>
    <definedName name="table_model_gn_ulr_total_wgt_business_plan">SummaryTables!$J$59</definedName>
    <definedName name="table_model_gn_ulr_total_wgt_case_pricing">SummaryTables!$K$59</definedName>
    <definedName name="table_model_gn_ulr_total_wgt_lloyds">SummaryTables!$I$59</definedName>
    <definedName name="table_model_gn_ulr_total_wgt_own_experience">SummaryTables!$H$59</definedName>
    <definedName name="table_own_experience">SummaryTables!$B$354</definedName>
    <definedName name="table_own_experience_detail">data_oe_detail!$A$2</definedName>
    <definedName name="table_own_experience_summary">data_oe_summary!$A$2</definedName>
    <definedName name="table_own_experience_total_attritional_gn_ulr">SummaryTables!$D$404</definedName>
    <definedName name="table_own_experience_total_cat_basis">SummaryTables!$C$404</definedName>
    <definedName name="table_own_experience_total_cat_gn_ulr">SummaryTables!$F$404</definedName>
    <definedName name="table_own_experience_total_large_gn_ulr">SummaryTables!$E$404</definedName>
    <definedName name="table_own_experience_total_overall_gn_ulr">SummaryTables!$G$404</definedName>
    <definedName name="table_own_experience_total_xcat_gn_ulr">SummaryTables!$H$404</definedName>
    <definedName name="table_premium_limit_profile">SummaryTables!$B$184</definedName>
    <definedName name="table_premium_limit_profile_total_avg_limit_100">SummaryTables!$I$234</definedName>
    <definedName name="table_premium_limit_profile_total_deductions">SummaryTables!$F$234</definedName>
    <definedName name="table_premium_limit_profile_total_gg_premium_100">SummaryTables!$C$234</definedName>
    <definedName name="table_premium_limit_profile_total_gg_premium_bst">SummaryTables!$E$234</definedName>
    <definedName name="table_premium_limit_profile_total_gn_premium_bst">SummaryTables!$G$234</definedName>
    <definedName name="table_premium_limit_profile_total_line">SummaryTables!$D$234</definedName>
    <definedName name="table_premium_limit_profile_total_max_limit_100">SummaryTables!$H$234</definedName>
    <definedName name="table_premium_limit_profile_total_max_limit_bst">SummaryTables!$J$234</definedName>
    <definedName name="table_profit_commission">SummaryTables!$B$410</definedName>
    <definedName name="table_rate_change">SummaryTables!$B$298</definedName>
    <definedName name="table_rate_change_total_cy">SummaryTables!$C$348</definedName>
    <definedName name="table_rate_change_total_py1">SummaryTables!$D$348</definedName>
    <definedName name="table_rate_change_total_py2">SummaryTables!$E$348</definedName>
    <definedName name="table_rate_change_total_py3">SummaryTables!$F$348</definedName>
    <definedName name="table_rate_change_total_py4">SummaryTables!$G$348</definedName>
    <definedName name="table_rate_change_total_py5">SummaryTables!$H$348</definedName>
    <definedName name="table_rate_change_total_py6">SummaryTables!$I$348</definedName>
    <definedName name="table_rate_change_total_py7">SummaryTables!$J$348</definedName>
    <definedName name="table_rate_change_total_py8">SummaryTables!$K$348</definedName>
    <definedName name="table_selected_ulr">SummaryTables!$B$67</definedName>
    <definedName name="table_selected_ulr_total_additional_charge">SummaryTables!$I$117</definedName>
    <definedName name="table_selected_ulr_total_anti_selection">SummaryTables!$G$117</definedName>
    <definedName name="table_selected_ulr_total_climate">SummaryTables!$E$117</definedName>
    <definedName name="table_selected_ulr_total_final_gn_ulr">SummaryTables!$L$117</definedName>
    <definedName name="table_selected_ulr_total_model_gn_ulr">SummaryTables!$C$117</definedName>
    <definedName name="table_selected_ulr_total_nmp">SummaryTables!$D$117</definedName>
    <definedName name="table_selected_ulr_total_pc">SummaryTables!$J$117</definedName>
    <definedName name="table_selected_ulr_total_selected_gn_ulr">SummaryTables!$F$117</definedName>
    <definedName name="table_selected_ulr_total_uncertainty">SummaryTables!$H$117</definedName>
    <definedName name="table_selected_ulr_total_uw_adjustment">SummaryTables!$K$117</definedName>
    <definedName name="table_tech_adequacy_metrics">SummaryTables!$B$127</definedName>
    <definedName name="table_tech_adequacy_metrics_total_gn_premium">SummaryTables!$C$177</definedName>
    <definedName name="table_tech_adequacy_metrics_total_loaded_bpi">SummaryTables!$E$177</definedName>
    <definedName name="table_tech_adequacy_metrics_total_loaded_gn_ulr">SummaryTables!$D$177</definedName>
    <definedName name="table_tech_adequacy_metrics_total_loaded_roc">SummaryTables!$G$177</definedName>
    <definedName name="table_tech_adequacy_metrics_total_loaded_tpi">SummaryTables!$F$177</definedName>
    <definedName name="table_tech_adequacy_metrics_total_raw_bpi">SummaryTables!$I$177</definedName>
    <definedName name="table_tech_adequacy_metrics_total_raw_gn_ulr">SummaryTables!$H$177</definedName>
    <definedName name="table_tech_adequacy_metrics_total_raw_roc">SummaryTables!$K$177</definedName>
    <definedName name="table_tech_adequacy_metrics_total_raw_tpi">SummaryTables!$J$177</definedName>
    <definedName name="wrn.effinf1." localSheetId="3" hidden="1">{"effinf1",#N/A,FALSE,"Forecasts"}</definedName>
    <definedName name="wrn.effinf1." localSheetId="0" hidden="1">{"effinf1",#N/A,FALSE,"Forecasts"}</definedName>
    <definedName name="wrn.effinf1." hidden="1">{"effinf1",#N/A,FALSE,"Forecasts"}</definedName>
    <definedName name="wrn.effinf2." localSheetId="3" hidden="1">{"effinf2",#N/A,FALSE,"Forecasts"}</definedName>
    <definedName name="wrn.effinf2." localSheetId="0" hidden="1">{"effinf2",#N/A,FALSE,"Forecasts"}</definedName>
    <definedName name="wrn.effinf2." hidden="1">{"effinf2",#N/A,FALSE,"Forecasts"}</definedName>
    <definedName name="wrn.effinf3." localSheetId="3" hidden="1">{"effinf3",#N/A,FALSE,"Forecasts"}</definedName>
    <definedName name="wrn.effinf3." localSheetId="0" hidden="1">{"effinf3",#N/A,FALSE,"Forecasts"}</definedName>
    <definedName name="wrn.effinf3." hidden="1">{"effinf3",#N/A,FALSE,"Forecasts"}</definedName>
    <definedName name="wrn.exposure." localSheetId="3" hidden="1">{"exposure",#N/A,FALSE,"Exposure"}</definedName>
    <definedName name="wrn.exposure." localSheetId="0" hidden="1">{"exposure",#N/A,FALSE,"Exposure"}</definedName>
    <definedName name="wrn.exposure." hidden="1">{"exposure",#N/A,FALSE,"Exposure"}</definedName>
    <definedName name="wrn.fore1." localSheetId="3" hidden="1">{"fore1",#N/A,FALSE,"Forecasts"}</definedName>
    <definedName name="wrn.fore1." localSheetId="0" hidden="1">{"fore1",#N/A,FALSE,"Forecasts"}</definedName>
    <definedName name="wrn.fore1." hidden="1">{"fore1",#N/A,FALSE,"Forecasts"}</definedName>
    <definedName name="wrn.fore2." localSheetId="3" hidden="1">{"fore2",#N/A,FALSE,"Forecasts"}</definedName>
    <definedName name="wrn.fore2." localSheetId="0" hidden="1">{"fore2",#N/A,FALSE,"Forecasts"}</definedName>
    <definedName name="wrn.fore2." hidden="1">{"fore2",#N/A,FALSE,"Forecasts"}</definedName>
    <definedName name="wrn.fore3." localSheetId="3" hidden="1">{"fore3",#N/A,FALSE,"Forecasts"}</definedName>
    <definedName name="wrn.fore3." localSheetId="0" hidden="1">{"fore3",#N/A,FALSE,"Forecasts"}</definedName>
    <definedName name="wrn.fore3." hidden="1">{"fore3",#N/A,FALSE,"Forecasts"}</definedName>
    <definedName name="wrn.forebf." localSheetId="3" hidden="1">{"forebf",#N/A,FALSE,"Forecasts"}</definedName>
    <definedName name="wrn.forebf." localSheetId="0" hidden="1">{"forebf",#N/A,FALSE,"Forecasts"}</definedName>
    <definedName name="wrn.forebf." hidden="1">{"forebf",#N/A,FALSE,"Forecasts"}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3" l="1"/>
  <c r="F3" i="13"/>
  <c r="H3" i="13"/>
  <c r="I3" i="13"/>
  <c r="J3" i="13"/>
  <c r="K3" i="13"/>
  <c r="M3" i="13"/>
  <c r="N3" i="13"/>
  <c r="O3" i="13"/>
  <c r="P3" i="13"/>
  <c r="Q3" i="13"/>
  <c r="S3" i="13"/>
  <c r="T3" i="13"/>
  <c r="U3" i="13"/>
  <c r="V3" i="13"/>
  <c r="W3" i="13"/>
  <c r="Y3" i="13"/>
  <c r="Z3" i="13"/>
  <c r="AA3" i="13"/>
  <c r="AB3" i="13"/>
  <c r="AC3" i="13"/>
  <c r="AD3" i="13"/>
  <c r="AF3" i="13"/>
  <c r="AG3" i="13"/>
  <c r="AH3" i="13"/>
  <c r="C4" i="13"/>
  <c r="D5" i="13"/>
  <c r="F5" i="13"/>
  <c r="H5" i="13"/>
  <c r="I5" i="13"/>
  <c r="J5" i="13"/>
  <c r="K5" i="13"/>
  <c r="M5" i="13"/>
  <c r="N5" i="13"/>
  <c r="O5" i="13"/>
  <c r="P5" i="13"/>
  <c r="Q5" i="13"/>
  <c r="S5" i="13"/>
  <c r="T5" i="13"/>
  <c r="U5" i="13"/>
  <c r="V5" i="13"/>
  <c r="W5" i="13"/>
  <c r="Y5" i="13"/>
  <c r="Z5" i="13"/>
  <c r="AA5" i="13"/>
  <c r="AB5" i="13"/>
  <c r="AC5" i="13"/>
  <c r="AD5" i="13"/>
  <c r="AF5" i="13"/>
  <c r="AG5" i="13"/>
  <c r="AH5" i="13"/>
  <c r="C6" i="13"/>
  <c r="C23" i="13"/>
  <c r="J23" i="13"/>
  <c r="C24" i="13"/>
  <c r="J24" i="13"/>
  <c r="O24" i="13"/>
  <c r="C25" i="13"/>
  <c r="J25" i="13"/>
  <c r="O25" i="13"/>
  <c r="C26" i="13"/>
  <c r="J26" i="13"/>
  <c r="O26" i="13"/>
  <c r="C27" i="13"/>
  <c r="J27" i="13"/>
  <c r="O27" i="13"/>
  <c r="J28" i="13"/>
  <c r="O28" i="13"/>
  <c r="BQ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BU36" i="13"/>
  <c r="BV36" i="13"/>
  <c r="BW36" i="13"/>
  <c r="BX36" i="13"/>
  <c r="BY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L36" i="13"/>
  <c r="CM36" i="13"/>
  <c r="CN36" i="13"/>
  <c r="CO36" i="13"/>
  <c r="CP36" i="13"/>
  <c r="CQ36" i="13"/>
  <c r="CR36" i="13"/>
  <c r="CS36" i="13"/>
  <c r="CT36" i="13"/>
  <c r="CU36" i="13"/>
  <c r="CV36" i="13"/>
  <c r="CW36" i="13"/>
  <c r="CX36" i="13"/>
  <c r="CY36" i="13"/>
  <c r="CZ36" i="13"/>
  <c r="DA36" i="13"/>
  <c r="DB36" i="13"/>
  <c r="DC36" i="13"/>
  <c r="DD36" i="13"/>
  <c r="DE36" i="13"/>
  <c r="DF36" i="13"/>
  <c r="DG36" i="13"/>
  <c r="DH36" i="13"/>
  <c r="DI36" i="13"/>
  <c r="DJ36" i="13"/>
  <c r="C56" i="13"/>
  <c r="L57" i="13"/>
  <c r="P57" i="13"/>
  <c r="L58" i="13"/>
  <c r="P58" i="13"/>
  <c r="L59" i="13"/>
  <c r="P59" i="13"/>
  <c r="L60" i="13"/>
  <c r="P60" i="13"/>
  <c r="L61" i="13"/>
  <c r="P61" i="13"/>
  <c r="L62" i="13"/>
  <c r="P62" i="13"/>
  <c r="L63" i="13"/>
  <c r="P63" i="13"/>
  <c r="K65" i="13"/>
  <c r="L65" i="13"/>
  <c r="P65" i="13"/>
  <c r="L66" i="13"/>
  <c r="P66" i="13"/>
  <c r="D86" i="13"/>
  <c r="D88" i="13"/>
  <c r="I92" i="13"/>
  <c r="Y92" i="13"/>
  <c r="AO92" i="13"/>
  <c r="BE92" i="13"/>
  <c r="BU92" i="13"/>
  <c r="CK92" i="13"/>
  <c r="DA92" i="13"/>
  <c r="DQ92" i="13"/>
  <c r="EG92" i="13"/>
  <c r="C93" i="13"/>
  <c r="D93" i="13"/>
  <c r="D92" i="13" s="1"/>
  <c r="E93" i="13"/>
  <c r="S60" i="13" s="1"/>
  <c r="F93" i="13"/>
  <c r="F92" i="13" s="1"/>
  <c r="G93" i="13"/>
  <c r="G92" i="13" s="1"/>
  <c r="H93" i="13"/>
  <c r="H92" i="13" s="1"/>
  <c r="I93" i="13"/>
  <c r="J93" i="13"/>
  <c r="J92" i="13" s="1"/>
  <c r="K93" i="13"/>
  <c r="K92" i="13" s="1"/>
  <c r="L93" i="13"/>
  <c r="L92" i="13" s="1"/>
  <c r="M93" i="13"/>
  <c r="M92" i="13" s="1"/>
  <c r="N93" i="13"/>
  <c r="N92" i="13" s="1"/>
  <c r="O93" i="13"/>
  <c r="O92" i="13" s="1"/>
  <c r="P93" i="13"/>
  <c r="P92" i="13" s="1"/>
  <c r="Q93" i="13"/>
  <c r="Q92" i="13" s="1"/>
  <c r="R93" i="13"/>
  <c r="R92" i="13" s="1"/>
  <c r="S93" i="13"/>
  <c r="S92" i="13" s="1"/>
  <c r="T93" i="13"/>
  <c r="T92" i="13" s="1"/>
  <c r="U93" i="13"/>
  <c r="U92" i="13" s="1"/>
  <c r="V93" i="13"/>
  <c r="V92" i="13" s="1"/>
  <c r="W93" i="13"/>
  <c r="W92" i="13" s="1"/>
  <c r="X93" i="13"/>
  <c r="X92" i="13" s="1"/>
  <c r="Y93" i="13"/>
  <c r="Z93" i="13"/>
  <c r="Z92" i="13" s="1"/>
  <c r="AA93" i="13"/>
  <c r="AA92" i="13" s="1"/>
  <c r="AB93" i="13"/>
  <c r="AB92" i="13" s="1"/>
  <c r="AC93" i="13"/>
  <c r="AC92" i="13" s="1"/>
  <c r="AD93" i="13"/>
  <c r="AD92" i="13" s="1"/>
  <c r="AE93" i="13"/>
  <c r="AE92" i="13" s="1"/>
  <c r="AF93" i="13"/>
  <c r="AF92" i="13" s="1"/>
  <c r="AG93" i="13"/>
  <c r="AG92" i="13" s="1"/>
  <c r="AH93" i="13"/>
  <c r="AH92" i="13" s="1"/>
  <c r="AI93" i="13"/>
  <c r="AI92" i="13" s="1"/>
  <c r="AJ93" i="13"/>
  <c r="AJ92" i="13" s="1"/>
  <c r="AK93" i="13"/>
  <c r="AK92" i="13" s="1"/>
  <c r="AL93" i="13"/>
  <c r="AL92" i="13" s="1"/>
  <c r="AM93" i="13"/>
  <c r="AM92" i="13" s="1"/>
  <c r="AN93" i="13"/>
  <c r="AN92" i="13" s="1"/>
  <c r="AO93" i="13"/>
  <c r="AP93" i="13"/>
  <c r="AP92" i="13" s="1"/>
  <c r="AQ93" i="13"/>
  <c r="AQ92" i="13" s="1"/>
  <c r="AR93" i="13"/>
  <c r="AR92" i="13" s="1"/>
  <c r="AS93" i="13"/>
  <c r="AS92" i="13" s="1"/>
  <c r="AT93" i="13"/>
  <c r="AT92" i="13" s="1"/>
  <c r="AU93" i="13"/>
  <c r="AU92" i="13" s="1"/>
  <c r="AV93" i="13"/>
  <c r="AV92" i="13" s="1"/>
  <c r="AW93" i="13"/>
  <c r="AW92" i="13" s="1"/>
  <c r="AX93" i="13"/>
  <c r="AX92" i="13" s="1"/>
  <c r="AY93" i="13"/>
  <c r="AY92" i="13" s="1"/>
  <c r="AZ93" i="13"/>
  <c r="AZ92" i="13" s="1"/>
  <c r="BA93" i="13"/>
  <c r="BA92" i="13" s="1"/>
  <c r="BB93" i="13"/>
  <c r="BB92" i="13" s="1"/>
  <c r="BC93" i="13"/>
  <c r="BC92" i="13" s="1"/>
  <c r="BD93" i="13"/>
  <c r="BD92" i="13" s="1"/>
  <c r="BE93" i="13"/>
  <c r="BF93" i="13"/>
  <c r="BF92" i="13" s="1"/>
  <c r="BG93" i="13"/>
  <c r="BG92" i="13" s="1"/>
  <c r="BH93" i="13"/>
  <c r="BH92" i="13" s="1"/>
  <c r="BI93" i="13"/>
  <c r="BI92" i="13" s="1"/>
  <c r="BJ93" i="13"/>
  <c r="BJ92" i="13" s="1"/>
  <c r="BK93" i="13"/>
  <c r="BK92" i="13" s="1"/>
  <c r="BL93" i="13"/>
  <c r="BL92" i="13" s="1"/>
  <c r="BM93" i="13"/>
  <c r="BM92" i="13" s="1"/>
  <c r="BN93" i="13"/>
  <c r="BN92" i="13" s="1"/>
  <c r="BO93" i="13"/>
  <c r="BO92" i="13" s="1"/>
  <c r="BP93" i="13"/>
  <c r="BP92" i="13" s="1"/>
  <c r="BQ93" i="13"/>
  <c r="BQ92" i="13" s="1"/>
  <c r="BR93" i="13"/>
  <c r="BR92" i="13" s="1"/>
  <c r="BS93" i="13"/>
  <c r="BS92" i="13" s="1"/>
  <c r="BT93" i="13"/>
  <c r="BT92" i="13" s="1"/>
  <c r="BU93" i="13"/>
  <c r="BV93" i="13"/>
  <c r="BV92" i="13" s="1"/>
  <c r="BW93" i="13"/>
  <c r="BW92" i="13" s="1"/>
  <c r="BX93" i="13"/>
  <c r="BX92" i="13" s="1"/>
  <c r="BY93" i="13"/>
  <c r="BY92" i="13" s="1"/>
  <c r="BZ93" i="13"/>
  <c r="BZ92" i="13" s="1"/>
  <c r="CA93" i="13"/>
  <c r="CA92" i="13" s="1"/>
  <c r="CB93" i="13"/>
  <c r="CB92" i="13" s="1"/>
  <c r="CC93" i="13"/>
  <c r="CC92" i="13" s="1"/>
  <c r="CD93" i="13"/>
  <c r="CD92" i="13" s="1"/>
  <c r="CE93" i="13"/>
  <c r="CE92" i="13" s="1"/>
  <c r="CF93" i="13"/>
  <c r="CF92" i="13" s="1"/>
  <c r="CG93" i="13"/>
  <c r="CG92" i="13" s="1"/>
  <c r="CH93" i="13"/>
  <c r="CH92" i="13" s="1"/>
  <c r="CI93" i="13"/>
  <c r="CI92" i="13" s="1"/>
  <c r="CJ93" i="13"/>
  <c r="CJ92" i="13" s="1"/>
  <c r="CK93" i="13"/>
  <c r="CL93" i="13"/>
  <c r="CL92" i="13" s="1"/>
  <c r="CM93" i="13"/>
  <c r="CM92" i="13" s="1"/>
  <c r="CN93" i="13"/>
  <c r="CN92" i="13" s="1"/>
  <c r="CO93" i="13"/>
  <c r="CO92" i="13" s="1"/>
  <c r="CP93" i="13"/>
  <c r="CP92" i="13" s="1"/>
  <c r="CQ93" i="13"/>
  <c r="CQ92" i="13" s="1"/>
  <c r="CR93" i="13"/>
  <c r="CR92" i="13" s="1"/>
  <c r="CS93" i="13"/>
  <c r="CS92" i="13" s="1"/>
  <c r="CT93" i="13"/>
  <c r="CT92" i="13" s="1"/>
  <c r="CU93" i="13"/>
  <c r="CU92" i="13" s="1"/>
  <c r="CV93" i="13"/>
  <c r="CV92" i="13" s="1"/>
  <c r="CW93" i="13"/>
  <c r="CW92" i="13" s="1"/>
  <c r="CX93" i="13"/>
  <c r="CX92" i="13" s="1"/>
  <c r="CY93" i="13"/>
  <c r="CY92" i="13" s="1"/>
  <c r="CZ93" i="13"/>
  <c r="CZ92" i="13" s="1"/>
  <c r="DA93" i="13"/>
  <c r="DB93" i="13"/>
  <c r="DB92" i="13" s="1"/>
  <c r="DC93" i="13"/>
  <c r="DC92" i="13" s="1"/>
  <c r="DD93" i="13"/>
  <c r="DD92" i="13" s="1"/>
  <c r="DE93" i="13"/>
  <c r="DE92" i="13" s="1"/>
  <c r="DF93" i="13"/>
  <c r="DF92" i="13" s="1"/>
  <c r="DG93" i="13"/>
  <c r="DG92" i="13" s="1"/>
  <c r="DH93" i="13"/>
  <c r="DH92" i="13" s="1"/>
  <c r="DI93" i="13"/>
  <c r="DI92" i="13" s="1"/>
  <c r="DJ93" i="13"/>
  <c r="DJ92" i="13" s="1"/>
  <c r="DK93" i="13"/>
  <c r="DK92" i="13" s="1"/>
  <c r="DL93" i="13"/>
  <c r="DL92" i="13" s="1"/>
  <c r="DM93" i="13"/>
  <c r="DM92" i="13" s="1"/>
  <c r="DN93" i="13"/>
  <c r="DN92" i="13" s="1"/>
  <c r="DO93" i="13"/>
  <c r="DO92" i="13" s="1"/>
  <c r="DP93" i="13"/>
  <c r="DP92" i="13" s="1"/>
  <c r="DQ93" i="13"/>
  <c r="DR93" i="13"/>
  <c r="DR92" i="13" s="1"/>
  <c r="DS93" i="13"/>
  <c r="DS92" i="13" s="1"/>
  <c r="DT93" i="13"/>
  <c r="DT92" i="13" s="1"/>
  <c r="DU93" i="13"/>
  <c r="DU92" i="13" s="1"/>
  <c r="DV93" i="13"/>
  <c r="DV92" i="13" s="1"/>
  <c r="DW93" i="13"/>
  <c r="DW92" i="13" s="1"/>
  <c r="DX93" i="13"/>
  <c r="DX92" i="13" s="1"/>
  <c r="DY93" i="13"/>
  <c r="DY92" i="13" s="1"/>
  <c r="DZ93" i="13"/>
  <c r="DZ92" i="13" s="1"/>
  <c r="EA93" i="13"/>
  <c r="EA92" i="13" s="1"/>
  <c r="EB93" i="13"/>
  <c r="EB92" i="13" s="1"/>
  <c r="EC93" i="13"/>
  <c r="EC92" i="13" s="1"/>
  <c r="ED93" i="13"/>
  <c r="ED92" i="13" s="1"/>
  <c r="EE93" i="13"/>
  <c r="EE92" i="13" s="1"/>
  <c r="EF93" i="13"/>
  <c r="EF92" i="13" s="1"/>
  <c r="EG93" i="13"/>
  <c r="EH93" i="13"/>
  <c r="EH92" i="13" s="1"/>
  <c r="D94" i="13"/>
  <c r="E94" i="13"/>
  <c r="F94" i="13" s="1"/>
  <c r="G94" i="13" s="1"/>
  <c r="H94" i="13" s="1"/>
  <c r="I94" i="13" s="1"/>
  <c r="J94" i="13" s="1"/>
  <c r="K94" i="13" s="1"/>
  <c r="L94" i="13" s="1"/>
  <c r="M94" i="13" s="1"/>
  <c r="N94" i="13" s="1"/>
  <c r="O94" i="13" s="1"/>
  <c r="P94" i="13" s="1"/>
  <c r="Q94" i="13" s="1"/>
  <c r="R94" i="13" s="1"/>
  <c r="S94" i="13" s="1"/>
  <c r="T94" i="13" s="1"/>
  <c r="U94" i="13" s="1"/>
  <c r="V94" i="13" s="1"/>
  <c r="W94" i="13" s="1"/>
  <c r="X94" i="13" s="1"/>
  <c r="Y94" i="13" s="1"/>
  <c r="Z94" i="13" s="1"/>
  <c r="AA94" i="13" s="1"/>
  <c r="AB94" i="13" s="1"/>
  <c r="AC94" i="13" s="1"/>
  <c r="AD94" i="13" s="1"/>
  <c r="AE94" i="13" s="1"/>
  <c r="AF94" i="13" s="1"/>
  <c r="AG94" i="13" s="1"/>
  <c r="AH94" i="13" s="1"/>
  <c r="AI94" i="13" s="1"/>
  <c r="AJ94" i="13" s="1"/>
  <c r="AK94" i="13" s="1"/>
  <c r="AL94" i="13" s="1"/>
  <c r="AM94" i="13" s="1"/>
  <c r="AN94" i="13" s="1"/>
  <c r="AO94" i="13" s="1"/>
  <c r="AP94" i="13" s="1"/>
  <c r="AQ94" i="13" s="1"/>
  <c r="AR94" i="13" s="1"/>
  <c r="AS94" i="13" s="1"/>
  <c r="AT94" i="13" s="1"/>
  <c r="AU94" i="13" s="1"/>
  <c r="AV94" i="13" s="1"/>
  <c r="AW94" i="13" s="1"/>
  <c r="AX94" i="13" s="1"/>
  <c r="AY94" i="13" s="1"/>
  <c r="AZ94" i="13" s="1"/>
  <c r="BA94" i="13" s="1"/>
  <c r="BB94" i="13" s="1"/>
  <c r="BC94" i="13" s="1"/>
  <c r="BD94" i="13" s="1"/>
  <c r="BE94" i="13" s="1"/>
  <c r="BF94" i="13" s="1"/>
  <c r="BG94" i="13" s="1"/>
  <c r="BH94" i="13" s="1"/>
  <c r="BI94" i="13" s="1"/>
  <c r="BJ94" i="13" s="1"/>
  <c r="BK94" i="13" s="1"/>
  <c r="BL94" i="13" s="1"/>
  <c r="BM94" i="13" s="1"/>
  <c r="BN94" i="13" s="1"/>
  <c r="BO94" i="13" s="1"/>
  <c r="BP94" i="13" s="1"/>
  <c r="BQ94" i="13" s="1"/>
  <c r="BR94" i="13" s="1"/>
  <c r="BS94" i="13" s="1"/>
  <c r="BT94" i="13" s="1"/>
  <c r="BU94" i="13" s="1"/>
  <c r="BV94" i="13" s="1"/>
  <c r="BW94" i="13" s="1"/>
  <c r="BX94" i="13" s="1"/>
  <c r="BY94" i="13" s="1"/>
  <c r="BZ94" i="13" s="1"/>
  <c r="CA94" i="13" s="1"/>
  <c r="CB94" i="13" s="1"/>
  <c r="CC94" i="13" s="1"/>
  <c r="CD94" i="13" s="1"/>
  <c r="F98" i="13"/>
  <c r="J98" i="13"/>
  <c r="N98" i="13"/>
  <c r="R98" i="13"/>
  <c r="V98" i="13"/>
  <c r="Z98" i="13"/>
  <c r="AD98" i="13"/>
  <c r="AH98" i="13"/>
  <c r="AL98" i="13"/>
  <c r="AP98" i="13"/>
  <c r="AT98" i="13"/>
  <c r="AX98" i="13"/>
  <c r="BB98" i="13"/>
  <c r="BF98" i="13"/>
  <c r="BJ98" i="13"/>
  <c r="BN98" i="13"/>
  <c r="BR98" i="13"/>
  <c r="BV98" i="13"/>
  <c r="BZ98" i="13"/>
  <c r="CD98" i="13"/>
  <c r="CH98" i="13"/>
  <c r="CL98" i="13"/>
  <c r="CP98" i="13"/>
  <c r="CT98" i="13"/>
  <c r="CX98" i="13"/>
  <c r="DB98" i="13"/>
  <c r="DF98" i="13"/>
  <c r="C99" i="13"/>
  <c r="D99" i="13"/>
  <c r="D98" i="13" s="1"/>
  <c r="E99" i="13"/>
  <c r="E98" i="13" s="1"/>
  <c r="F99" i="13"/>
  <c r="G99" i="13"/>
  <c r="G98" i="13" s="1"/>
  <c r="H99" i="13"/>
  <c r="H98" i="13" s="1"/>
  <c r="I99" i="13"/>
  <c r="I98" i="13" s="1"/>
  <c r="J99" i="13"/>
  <c r="K99" i="13"/>
  <c r="K98" i="13" s="1"/>
  <c r="L99" i="13"/>
  <c r="L98" i="13" s="1"/>
  <c r="M99" i="13"/>
  <c r="M98" i="13" s="1"/>
  <c r="N99" i="13"/>
  <c r="O99" i="13"/>
  <c r="O98" i="13" s="1"/>
  <c r="P99" i="13"/>
  <c r="P98" i="13" s="1"/>
  <c r="Q99" i="13"/>
  <c r="Q98" i="13" s="1"/>
  <c r="R99" i="13"/>
  <c r="S99" i="13"/>
  <c r="S98" i="13" s="1"/>
  <c r="T99" i="13"/>
  <c r="T98" i="13" s="1"/>
  <c r="U99" i="13"/>
  <c r="U98" i="13" s="1"/>
  <c r="V99" i="13"/>
  <c r="W99" i="13"/>
  <c r="W98" i="13" s="1"/>
  <c r="X99" i="13"/>
  <c r="X98" i="13" s="1"/>
  <c r="Y99" i="13"/>
  <c r="Y98" i="13" s="1"/>
  <c r="Z99" i="13"/>
  <c r="AA99" i="13"/>
  <c r="AA98" i="13" s="1"/>
  <c r="AB99" i="13"/>
  <c r="AB98" i="13" s="1"/>
  <c r="AC99" i="13"/>
  <c r="AC98" i="13" s="1"/>
  <c r="AD99" i="13"/>
  <c r="AE99" i="13"/>
  <c r="AE98" i="13" s="1"/>
  <c r="AF99" i="13"/>
  <c r="AF98" i="13" s="1"/>
  <c r="AG99" i="13"/>
  <c r="AG98" i="13" s="1"/>
  <c r="AH99" i="13"/>
  <c r="AI99" i="13"/>
  <c r="AI98" i="13" s="1"/>
  <c r="AJ99" i="13"/>
  <c r="AJ98" i="13" s="1"/>
  <c r="AK99" i="13"/>
  <c r="AK98" i="13" s="1"/>
  <c r="AL99" i="13"/>
  <c r="AM99" i="13"/>
  <c r="AM98" i="13" s="1"/>
  <c r="AN99" i="13"/>
  <c r="AN98" i="13" s="1"/>
  <c r="AO99" i="13"/>
  <c r="AO98" i="13" s="1"/>
  <c r="AP99" i="13"/>
  <c r="AQ99" i="13"/>
  <c r="AQ98" i="13" s="1"/>
  <c r="AR99" i="13"/>
  <c r="AR98" i="13" s="1"/>
  <c r="AS99" i="13"/>
  <c r="AS98" i="13" s="1"/>
  <c r="AT99" i="13"/>
  <c r="AU99" i="13"/>
  <c r="AU98" i="13" s="1"/>
  <c r="AV99" i="13"/>
  <c r="AV98" i="13" s="1"/>
  <c r="AW99" i="13"/>
  <c r="AW98" i="13" s="1"/>
  <c r="AX99" i="13"/>
  <c r="AY99" i="13"/>
  <c r="AY98" i="13" s="1"/>
  <c r="AZ99" i="13"/>
  <c r="AZ98" i="13" s="1"/>
  <c r="BA99" i="13"/>
  <c r="BA98" i="13" s="1"/>
  <c r="BB99" i="13"/>
  <c r="BC99" i="13"/>
  <c r="BC98" i="13" s="1"/>
  <c r="BD99" i="13"/>
  <c r="BD98" i="13" s="1"/>
  <c r="BE99" i="13"/>
  <c r="BE98" i="13" s="1"/>
  <c r="BF99" i="13"/>
  <c r="BG99" i="13"/>
  <c r="BG98" i="13" s="1"/>
  <c r="BH99" i="13"/>
  <c r="BH98" i="13" s="1"/>
  <c r="BI99" i="13"/>
  <c r="BI98" i="13" s="1"/>
  <c r="BJ99" i="13"/>
  <c r="BK99" i="13"/>
  <c r="BK98" i="13" s="1"/>
  <c r="BL99" i="13"/>
  <c r="BL98" i="13" s="1"/>
  <c r="BM99" i="13"/>
  <c r="BM98" i="13" s="1"/>
  <c r="BN99" i="13"/>
  <c r="BO99" i="13"/>
  <c r="BO98" i="13" s="1"/>
  <c r="BP99" i="13"/>
  <c r="BP98" i="13" s="1"/>
  <c r="BQ99" i="13"/>
  <c r="BQ98" i="13" s="1"/>
  <c r="BR99" i="13"/>
  <c r="BS99" i="13"/>
  <c r="BS98" i="13" s="1"/>
  <c r="BT99" i="13"/>
  <c r="BT98" i="13" s="1"/>
  <c r="BU99" i="13"/>
  <c r="BU98" i="13" s="1"/>
  <c r="BV99" i="13"/>
  <c r="BW99" i="13"/>
  <c r="BW98" i="13" s="1"/>
  <c r="BX99" i="13"/>
  <c r="BX98" i="13" s="1"/>
  <c r="BY99" i="13"/>
  <c r="BY98" i="13" s="1"/>
  <c r="BZ99" i="13"/>
  <c r="CA99" i="13"/>
  <c r="CA98" i="13" s="1"/>
  <c r="CB99" i="13"/>
  <c r="CB98" i="13" s="1"/>
  <c r="CC99" i="13"/>
  <c r="CC98" i="13" s="1"/>
  <c r="CD99" i="13"/>
  <c r="CE99" i="13"/>
  <c r="CE98" i="13" s="1"/>
  <c r="CF99" i="13"/>
  <c r="CF98" i="13" s="1"/>
  <c r="CG99" i="13"/>
  <c r="CG98" i="13" s="1"/>
  <c r="CH99" i="13"/>
  <c r="CI99" i="13"/>
  <c r="CI98" i="13" s="1"/>
  <c r="CJ99" i="13"/>
  <c r="CJ98" i="13" s="1"/>
  <c r="CK99" i="13"/>
  <c r="CK98" i="13" s="1"/>
  <c r="CL99" i="13"/>
  <c r="CM99" i="13"/>
  <c r="CM98" i="13" s="1"/>
  <c r="CN99" i="13"/>
  <c r="CN98" i="13" s="1"/>
  <c r="CO99" i="13"/>
  <c r="CO98" i="13" s="1"/>
  <c r="CP99" i="13"/>
  <c r="CQ99" i="13"/>
  <c r="CQ98" i="13" s="1"/>
  <c r="CR99" i="13"/>
  <c r="CR98" i="13" s="1"/>
  <c r="CS99" i="13"/>
  <c r="CS98" i="13" s="1"/>
  <c r="CT99" i="13"/>
  <c r="CU99" i="13"/>
  <c r="CU98" i="13" s="1"/>
  <c r="CV99" i="13"/>
  <c r="CV98" i="13" s="1"/>
  <c r="CW99" i="13"/>
  <c r="CW98" i="13" s="1"/>
  <c r="CX99" i="13"/>
  <c r="CY99" i="13"/>
  <c r="CY98" i="13" s="1"/>
  <c r="CZ99" i="13"/>
  <c r="CZ98" i="13" s="1"/>
  <c r="DA99" i="13"/>
  <c r="DA98" i="13" s="1"/>
  <c r="DB99" i="13"/>
  <c r="DC99" i="13"/>
  <c r="DC98" i="13" s="1"/>
  <c r="DD99" i="13"/>
  <c r="DD98" i="13" s="1"/>
  <c r="DE99" i="13"/>
  <c r="DE98" i="13" s="1"/>
  <c r="DF99" i="13"/>
  <c r="DG99" i="13"/>
  <c r="DG98" i="13" s="1"/>
  <c r="DH99" i="13"/>
  <c r="DH98" i="13" s="1"/>
  <c r="D100" i="13"/>
  <c r="E100" i="13" s="1"/>
  <c r="J3" i="12"/>
  <c r="U3" i="12"/>
  <c r="AF3" i="12"/>
  <c r="AQ3" i="12"/>
  <c r="BB3" i="12"/>
  <c r="BM3" i="12"/>
  <c r="J4" i="12"/>
  <c r="U4" i="12"/>
  <c r="AF4" i="12"/>
  <c r="AQ4" i="12"/>
  <c r="BB4" i="12"/>
  <c r="BM4" i="12"/>
  <c r="J5" i="12"/>
  <c r="U5" i="12"/>
  <c r="AF5" i="12"/>
  <c r="AQ5" i="12"/>
  <c r="BB5" i="12"/>
  <c r="BM5" i="12"/>
  <c r="J6" i="12"/>
  <c r="U6" i="12"/>
  <c r="AF6" i="12"/>
  <c r="AQ6" i="12"/>
  <c r="BB6" i="12"/>
  <c r="BM6" i="12"/>
  <c r="J7" i="12"/>
  <c r="U7" i="12"/>
  <c r="AF7" i="12"/>
  <c r="AQ7" i="12"/>
  <c r="BB7" i="12"/>
  <c r="BM7" i="12"/>
  <c r="J8" i="12"/>
  <c r="U8" i="12"/>
  <c r="AF8" i="12"/>
  <c r="AQ8" i="12"/>
  <c r="BB8" i="12"/>
  <c r="BM8" i="12"/>
  <c r="J9" i="12"/>
  <c r="U9" i="12"/>
  <c r="AF9" i="12"/>
  <c r="AQ9" i="12"/>
  <c r="BB9" i="12"/>
  <c r="BM9" i="12"/>
  <c r="J10" i="12"/>
  <c r="U10" i="12"/>
  <c r="AF10" i="12"/>
  <c r="AQ10" i="12"/>
  <c r="BB10" i="12"/>
  <c r="BM10" i="12"/>
  <c r="J11" i="12"/>
  <c r="U11" i="12"/>
  <c r="AF11" i="12"/>
  <c r="AQ11" i="12"/>
  <c r="BB11" i="12"/>
  <c r="BM11" i="12"/>
  <c r="J12" i="12"/>
  <c r="U12" i="12"/>
  <c r="AF12" i="12"/>
  <c r="AQ12" i="12"/>
  <c r="BB12" i="12"/>
  <c r="BM12" i="12"/>
  <c r="J13" i="12"/>
  <c r="U13" i="12"/>
  <c r="AF13" i="12"/>
  <c r="AQ13" i="12"/>
  <c r="BB13" i="12"/>
  <c r="BM13" i="12"/>
  <c r="J14" i="12"/>
  <c r="U14" i="12"/>
  <c r="AF14" i="12"/>
  <c r="AQ14" i="12"/>
  <c r="BB14" i="12"/>
  <c r="BM14" i="12"/>
  <c r="J15" i="12"/>
  <c r="U15" i="12"/>
  <c r="AF15" i="12"/>
  <c r="AQ15" i="12"/>
  <c r="BB15" i="12"/>
  <c r="BM15" i="12"/>
  <c r="J16" i="12"/>
  <c r="U16" i="12"/>
  <c r="AF16" i="12"/>
  <c r="AQ16" i="12"/>
  <c r="BB16" i="12"/>
  <c r="BM16" i="12"/>
  <c r="J17" i="12"/>
  <c r="U17" i="12"/>
  <c r="AF17" i="12"/>
  <c r="AQ17" i="12"/>
  <c r="BB17" i="12"/>
  <c r="BM17" i="12"/>
  <c r="J18" i="12"/>
  <c r="U18" i="12"/>
  <c r="AF18" i="12"/>
  <c r="AQ18" i="12"/>
  <c r="BB18" i="12"/>
  <c r="BM18" i="12"/>
  <c r="J19" i="12"/>
  <c r="U19" i="12"/>
  <c r="AF19" i="12"/>
  <c r="AQ19" i="12"/>
  <c r="BB19" i="12"/>
  <c r="BM19" i="12"/>
  <c r="J20" i="12"/>
  <c r="U20" i="12"/>
  <c r="AF20" i="12"/>
  <c r="AQ20" i="12"/>
  <c r="BB20" i="12"/>
  <c r="BM20" i="12"/>
  <c r="J21" i="12"/>
  <c r="U21" i="12"/>
  <c r="AF21" i="12"/>
  <c r="AQ21" i="12"/>
  <c r="BB21" i="12"/>
  <c r="BM21" i="12"/>
  <c r="J22" i="12"/>
  <c r="U22" i="12"/>
  <c r="AF22" i="12"/>
  <c r="AQ22" i="12"/>
  <c r="BB22" i="12"/>
  <c r="BM22" i="12"/>
  <c r="J23" i="12"/>
  <c r="U23" i="12"/>
  <c r="AF23" i="12"/>
  <c r="AQ23" i="12"/>
  <c r="BB23" i="12"/>
  <c r="BM23" i="12"/>
  <c r="J24" i="12"/>
  <c r="U24" i="12"/>
  <c r="AF24" i="12"/>
  <c r="AQ24" i="12"/>
  <c r="BB24" i="12"/>
  <c r="BM24" i="12"/>
  <c r="J25" i="12"/>
  <c r="U25" i="12"/>
  <c r="AF25" i="12"/>
  <c r="AQ25" i="12"/>
  <c r="BB25" i="12"/>
  <c r="BM25" i="12"/>
  <c r="J26" i="12"/>
  <c r="U26" i="12"/>
  <c r="AF26" i="12"/>
  <c r="AQ26" i="12"/>
  <c r="BB26" i="12"/>
  <c r="BM26" i="12"/>
  <c r="J27" i="12"/>
  <c r="U27" i="12"/>
  <c r="AF27" i="12"/>
  <c r="AQ27" i="12"/>
  <c r="BB27" i="12"/>
  <c r="BM27" i="12"/>
  <c r="J28" i="12"/>
  <c r="U28" i="12"/>
  <c r="AF28" i="12"/>
  <c r="AQ28" i="12"/>
  <c r="BB28" i="12"/>
  <c r="BM28" i="12"/>
  <c r="J29" i="12"/>
  <c r="U29" i="12"/>
  <c r="AF29" i="12"/>
  <c r="AQ29" i="12"/>
  <c r="BB29" i="12"/>
  <c r="BM29" i="12"/>
  <c r="J30" i="12"/>
  <c r="U30" i="12"/>
  <c r="AF30" i="12"/>
  <c r="AQ30" i="12"/>
  <c r="BB30" i="12"/>
  <c r="BM30" i="12"/>
  <c r="J31" i="12"/>
  <c r="U31" i="12"/>
  <c r="AF31" i="12"/>
  <c r="AQ31" i="12"/>
  <c r="BB31" i="12"/>
  <c r="BM31" i="12"/>
  <c r="J32" i="12"/>
  <c r="U32" i="12"/>
  <c r="AF32" i="12"/>
  <c r="AQ32" i="12"/>
  <c r="BB32" i="12"/>
  <c r="BM32" i="12"/>
  <c r="J33" i="12"/>
  <c r="U33" i="12"/>
  <c r="AF33" i="12"/>
  <c r="AQ33" i="12"/>
  <c r="BB33" i="12"/>
  <c r="BM33" i="12"/>
  <c r="J34" i="12"/>
  <c r="U34" i="12"/>
  <c r="AF34" i="12"/>
  <c r="AQ34" i="12"/>
  <c r="BB34" i="12"/>
  <c r="BM34" i="12"/>
  <c r="J35" i="12"/>
  <c r="U35" i="12"/>
  <c r="AF35" i="12"/>
  <c r="AQ35" i="12"/>
  <c r="BB35" i="12"/>
  <c r="BM35" i="12"/>
  <c r="J36" i="12"/>
  <c r="U36" i="12"/>
  <c r="AF36" i="12"/>
  <c r="AQ36" i="12"/>
  <c r="BB36" i="12"/>
  <c r="BM36" i="12"/>
  <c r="J37" i="12"/>
  <c r="U37" i="12"/>
  <c r="AF37" i="12"/>
  <c r="AQ37" i="12"/>
  <c r="BB37" i="12"/>
  <c r="BM37" i="12"/>
  <c r="J38" i="12"/>
  <c r="U38" i="12"/>
  <c r="AF38" i="12"/>
  <c r="AQ38" i="12"/>
  <c r="BB38" i="12"/>
  <c r="BM38" i="12"/>
  <c r="J39" i="12"/>
  <c r="U39" i="12"/>
  <c r="AF39" i="12"/>
  <c r="AQ39" i="12"/>
  <c r="BB39" i="12"/>
  <c r="BM39" i="12"/>
  <c r="J40" i="12"/>
  <c r="U40" i="12"/>
  <c r="AF40" i="12"/>
  <c r="AQ40" i="12"/>
  <c r="BB40" i="12"/>
  <c r="BM40" i="12"/>
  <c r="J41" i="12"/>
  <c r="U41" i="12"/>
  <c r="AF41" i="12"/>
  <c r="AQ41" i="12"/>
  <c r="BB41" i="12"/>
  <c r="BM41" i="12"/>
  <c r="J42" i="12"/>
  <c r="U42" i="12"/>
  <c r="AF42" i="12"/>
  <c r="AQ42" i="12"/>
  <c r="BB42" i="12"/>
  <c r="BM42" i="12"/>
  <c r="J43" i="12"/>
  <c r="U43" i="12"/>
  <c r="AF43" i="12"/>
  <c r="AQ43" i="12"/>
  <c r="BB43" i="12"/>
  <c r="BM43" i="12"/>
  <c r="J44" i="12"/>
  <c r="U44" i="12"/>
  <c r="AF44" i="12"/>
  <c r="AQ44" i="12"/>
  <c r="BB44" i="12"/>
  <c r="BM44" i="12"/>
  <c r="J45" i="12"/>
  <c r="U45" i="12"/>
  <c r="AF45" i="12"/>
  <c r="AQ45" i="12"/>
  <c r="BB45" i="12"/>
  <c r="BM45" i="12"/>
  <c r="J46" i="12"/>
  <c r="U46" i="12"/>
  <c r="AF46" i="12"/>
  <c r="AQ46" i="12"/>
  <c r="BB46" i="12"/>
  <c r="BM46" i="12"/>
  <c r="J47" i="12"/>
  <c r="U47" i="12"/>
  <c r="AF47" i="12"/>
  <c r="AQ47" i="12"/>
  <c r="BB47" i="12"/>
  <c r="BM47" i="12"/>
  <c r="J48" i="12"/>
  <c r="U48" i="12"/>
  <c r="AF48" i="12"/>
  <c r="AQ48" i="12"/>
  <c r="BB48" i="12"/>
  <c r="BM48" i="12"/>
  <c r="J49" i="12"/>
  <c r="U49" i="12"/>
  <c r="AF49" i="12"/>
  <c r="AQ49" i="12"/>
  <c r="BB49" i="12"/>
  <c r="BM49" i="12"/>
  <c r="J50" i="12"/>
  <c r="U50" i="12"/>
  <c r="AF50" i="12"/>
  <c r="AQ50" i="12"/>
  <c r="BB50" i="12"/>
  <c r="BM50" i="12"/>
  <c r="J51" i="12"/>
  <c r="U51" i="12"/>
  <c r="AF51" i="12"/>
  <c r="AQ51" i="12"/>
  <c r="BB51" i="12"/>
  <c r="BM51" i="12"/>
  <c r="J52" i="12"/>
  <c r="U52" i="12"/>
  <c r="AF52" i="12"/>
  <c r="AQ52" i="12"/>
  <c r="BB52" i="12"/>
  <c r="BM52" i="12"/>
  <c r="J53" i="12"/>
  <c r="U53" i="12"/>
  <c r="AF53" i="12"/>
  <c r="AQ53" i="12"/>
  <c r="BB53" i="12"/>
  <c r="BM53" i="12"/>
  <c r="J54" i="12"/>
  <c r="U54" i="12"/>
  <c r="AF54" i="12"/>
  <c r="AQ54" i="12"/>
  <c r="BB54" i="12"/>
  <c r="BM54" i="12"/>
  <c r="J55" i="12"/>
  <c r="U55" i="12"/>
  <c r="AF55" i="12"/>
  <c r="AQ55" i="12"/>
  <c r="BB55" i="12"/>
  <c r="BM55" i="12"/>
  <c r="J56" i="12"/>
  <c r="U56" i="12"/>
  <c r="AF56" i="12"/>
  <c r="AQ56" i="12"/>
  <c r="BB56" i="12"/>
  <c r="BM56" i="12"/>
  <c r="J57" i="12"/>
  <c r="U57" i="12"/>
  <c r="AF57" i="12"/>
  <c r="AQ57" i="12"/>
  <c r="BB57" i="12"/>
  <c r="BM57" i="12"/>
  <c r="J58" i="12"/>
  <c r="U58" i="12"/>
  <c r="AF58" i="12"/>
  <c r="AQ58" i="12"/>
  <c r="BB58" i="12"/>
  <c r="BM58" i="12"/>
  <c r="J59" i="12"/>
  <c r="U59" i="12"/>
  <c r="AF59" i="12"/>
  <c r="AQ59" i="12"/>
  <c r="BB59" i="12"/>
  <c r="BM59" i="12"/>
  <c r="J60" i="12"/>
  <c r="U60" i="12"/>
  <c r="AF60" i="12"/>
  <c r="AQ60" i="12"/>
  <c r="BB60" i="12"/>
  <c r="BM60" i="12"/>
  <c r="J61" i="12"/>
  <c r="U61" i="12"/>
  <c r="AQ61" i="12"/>
  <c r="BM61" i="12"/>
  <c r="J62" i="12"/>
  <c r="U62" i="12"/>
  <c r="AQ62" i="12"/>
  <c r="BM62" i="12"/>
  <c r="J63" i="12"/>
  <c r="U63" i="12"/>
  <c r="AQ63" i="12"/>
  <c r="BM63" i="12"/>
  <c r="J64" i="12"/>
  <c r="U64" i="12"/>
  <c r="AQ64" i="12"/>
  <c r="BM64" i="12"/>
  <c r="J65" i="12"/>
  <c r="U65" i="12"/>
  <c r="AQ65" i="12"/>
  <c r="BM65" i="12"/>
  <c r="J66" i="12"/>
  <c r="U66" i="12"/>
  <c r="AQ66" i="12"/>
  <c r="BM66" i="12"/>
  <c r="J67" i="12"/>
  <c r="U67" i="12"/>
  <c r="J68" i="12"/>
  <c r="U68" i="12"/>
  <c r="J69" i="12"/>
  <c r="U69" i="12"/>
  <c r="J70" i="12"/>
  <c r="U70" i="12"/>
  <c r="J71" i="12"/>
  <c r="U71" i="12"/>
  <c r="J72" i="12"/>
  <c r="U72" i="12"/>
  <c r="J73" i="12"/>
  <c r="U73" i="12"/>
  <c r="J74" i="12"/>
  <c r="U74" i="12"/>
  <c r="J75" i="12"/>
  <c r="U75" i="12"/>
  <c r="J76" i="12"/>
  <c r="U76" i="12"/>
  <c r="J77" i="12"/>
  <c r="U77" i="12"/>
  <c r="J78" i="12"/>
  <c r="U78" i="12"/>
  <c r="J79" i="12"/>
  <c r="U79" i="12"/>
  <c r="J80" i="12"/>
  <c r="U80" i="12"/>
  <c r="J81" i="12"/>
  <c r="U81" i="12"/>
  <c r="J82" i="12"/>
  <c r="U82" i="12"/>
  <c r="J83" i="12"/>
  <c r="U83" i="12"/>
  <c r="J84" i="12"/>
  <c r="U84" i="12"/>
  <c r="J85" i="12"/>
  <c r="U85" i="12"/>
  <c r="J86" i="12"/>
  <c r="U86" i="12"/>
  <c r="J87" i="12"/>
  <c r="U87" i="12"/>
  <c r="J88" i="12"/>
  <c r="U88" i="12"/>
  <c r="J89" i="12"/>
  <c r="U89" i="12"/>
  <c r="J90" i="12"/>
  <c r="U90" i="12"/>
  <c r="J91" i="12"/>
  <c r="U91" i="12"/>
  <c r="J92" i="12"/>
  <c r="U92" i="12"/>
  <c r="J93" i="12"/>
  <c r="U93" i="12"/>
  <c r="J94" i="12"/>
  <c r="U94" i="12"/>
  <c r="J95" i="12"/>
  <c r="U95" i="12"/>
  <c r="J96" i="12"/>
  <c r="U96" i="12"/>
  <c r="J97" i="12"/>
  <c r="U97" i="12"/>
  <c r="J98" i="12"/>
  <c r="U98" i="12"/>
  <c r="J99" i="12"/>
  <c r="U99" i="12"/>
  <c r="J100" i="12"/>
  <c r="U100" i="12"/>
  <c r="J101" i="12"/>
  <c r="U101" i="12"/>
  <c r="J102" i="12"/>
  <c r="U102" i="12"/>
  <c r="J103" i="12"/>
  <c r="U103" i="12"/>
  <c r="J104" i="12"/>
  <c r="U104" i="12"/>
  <c r="J105" i="12"/>
  <c r="U105" i="12"/>
  <c r="J106" i="12"/>
  <c r="U106" i="12"/>
  <c r="J107" i="12"/>
  <c r="U107" i="12"/>
  <c r="J108" i="12"/>
  <c r="U108" i="12"/>
  <c r="J109" i="12"/>
  <c r="U109" i="12"/>
  <c r="J110" i="12"/>
  <c r="U110" i="12"/>
  <c r="J111" i="12"/>
  <c r="U111" i="12"/>
  <c r="J112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CE94" i="13" l="1"/>
  <c r="CF94" i="13" s="1"/>
  <c r="CG94" i="13" s="1"/>
  <c r="CH94" i="13" s="1"/>
  <c r="CI94" i="13" s="1"/>
  <c r="CJ94" i="13" s="1"/>
  <c r="CK94" i="13" s="1"/>
  <c r="CL94" i="13" s="1"/>
  <c r="CM94" i="13" s="1"/>
  <c r="CN94" i="13" s="1"/>
  <c r="CO94" i="13" s="1"/>
  <c r="CP94" i="13" s="1"/>
  <c r="CQ94" i="13" s="1"/>
  <c r="CR94" i="13" s="1"/>
  <c r="CS94" i="13" s="1"/>
  <c r="CT94" i="13" s="1"/>
  <c r="CU94" i="13" s="1"/>
  <c r="CV94" i="13" s="1"/>
  <c r="CW94" i="13" s="1"/>
  <c r="CX94" i="13" s="1"/>
  <c r="CY94" i="13" s="1"/>
  <c r="CZ94" i="13" s="1"/>
  <c r="DA94" i="13" s="1"/>
  <c r="DB94" i="13" s="1"/>
  <c r="DC94" i="13" s="1"/>
  <c r="DD94" i="13" s="1"/>
  <c r="DE94" i="13" s="1"/>
  <c r="DF94" i="13" s="1"/>
  <c r="DG94" i="13" s="1"/>
  <c r="DH94" i="13" s="1"/>
  <c r="DI94" i="13" s="1"/>
  <c r="DJ94" i="13" s="1"/>
  <c r="DK94" i="13" s="1"/>
  <c r="DL94" i="13" s="1"/>
  <c r="DM94" i="13" s="1"/>
  <c r="DN94" i="13" s="1"/>
  <c r="DO94" i="13" s="1"/>
  <c r="DP94" i="13" s="1"/>
  <c r="DQ94" i="13" s="1"/>
  <c r="DR94" i="13" s="1"/>
  <c r="DS94" i="13" s="1"/>
  <c r="DT94" i="13" s="1"/>
  <c r="DU94" i="13" s="1"/>
  <c r="DV94" i="13" s="1"/>
  <c r="DW94" i="13" s="1"/>
  <c r="DX94" i="13" s="1"/>
  <c r="DY94" i="13" s="1"/>
  <c r="DZ94" i="13" s="1"/>
  <c r="EA94" i="13" s="1"/>
  <c r="EB94" i="13" s="1"/>
  <c r="EC94" i="13" s="1"/>
  <c r="ED94" i="13" s="1"/>
  <c r="EE94" i="13" s="1"/>
  <c r="EF94" i="13" s="1"/>
  <c r="EG94" i="13" s="1"/>
  <c r="EH94" i="13" s="1"/>
  <c r="D6" i="13"/>
  <c r="E20" i="13" s="1"/>
  <c r="D85" i="13" s="1"/>
  <c r="D89" i="13" s="1"/>
  <c r="J6" i="13"/>
  <c r="O6" i="13"/>
  <c r="T6" i="13"/>
  <c r="Y6" i="13"/>
  <c r="AC6" i="13"/>
  <c r="AH6" i="13"/>
  <c r="F6" i="13"/>
  <c r="M6" i="13"/>
  <c r="S6" i="13"/>
  <c r="Z6" i="13"/>
  <c r="AF6" i="13"/>
  <c r="H6" i="13"/>
  <c r="N6" i="13"/>
  <c r="U6" i="13"/>
  <c r="AA6" i="13"/>
  <c r="AG6" i="13"/>
  <c r="I6" i="13"/>
  <c r="V6" i="13"/>
  <c r="C7" i="13"/>
  <c r="K6" i="13"/>
  <c r="W6" i="13"/>
  <c r="P6" i="13"/>
  <c r="AB6" i="13"/>
  <c r="C8" i="13"/>
  <c r="Q6" i="13"/>
  <c r="AD6" i="13"/>
  <c r="F100" i="13"/>
  <c r="E92" i="13"/>
  <c r="S66" i="13"/>
  <c r="K63" i="13"/>
  <c r="K61" i="13"/>
  <c r="K60" i="13"/>
  <c r="K59" i="13"/>
  <c r="F32" i="13"/>
  <c r="J32" i="13"/>
  <c r="N32" i="13"/>
  <c r="R32" i="13"/>
  <c r="V32" i="13"/>
  <c r="G32" i="13"/>
  <c r="L32" i="13"/>
  <c r="Q32" i="13"/>
  <c r="W32" i="13"/>
  <c r="AA32" i="13"/>
  <c r="AE32" i="13"/>
  <c r="AI32" i="13"/>
  <c r="AM32" i="13"/>
  <c r="AQ32" i="13"/>
  <c r="AU32" i="13"/>
  <c r="AY32" i="13"/>
  <c r="BC32" i="13"/>
  <c r="BG32" i="13"/>
  <c r="BK32" i="13"/>
  <c r="BO32" i="13"/>
  <c r="BS32" i="13"/>
  <c r="BW32" i="13"/>
  <c r="CA32" i="13"/>
  <c r="CE32" i="13"/>
  <c r="CI32" i="13"/>
  <c r="CM32" i="13"/>
  <c r="CQ32" i="13"/>
  <c r="CU32" i="13"/>
  <c r="CY32" i="13"/>
  <c r="DC32" i="13"/>
  <c r="DG32" i="13"/>
  <c r="C32" i="13"/>
  <c r="H32" i="13"/>
  <c r="M32" i="13"/>
  <c r="S32" i="13"/>
  <c r="X32" i="13"/>
  <c r="AB32" i="13"/>
  <c r="AF32" i="13"/>
  <c r="AJ32" i="13"/>
  <c r="AN32" i="13"/>
  <c r="AR32" i="13"/>
  <c r="AV32" i="13"/>
  <c r="AZ32" i="13"/>
  <c r="BD32" i="13"/>
  <c r="BH32" i="13"/>
  <c r="BL32" i="13"/>
  <c r="BP32" i="13"/>
  <c r="BT32" i="13"/>
  <c r="BX32" i="13"/>
  <c r="CB32" i="13"/>
  <c r="CF32" i="13"/>
  <c r="CJ32" i="13"/>
  <c r="CN32" i="13"/>
  <c r="CR32" i="13"/>
  <c r="CV32" i="13"/>
  <c r="CZ32" i="13"/>
  <c r="DD32" i="13"/>
  <c r="I32" i="13"/>
  <c r="T32" i="13"/>
  <c r="AC32" i="13"/>
  <c r="AK32" i="13"/>
  <c r="AS32" i="13"/>
  <c r="BA32" i="13"/>
  <c r="BI32" i="13"/>
  <c r="BQ32" i="13"/>
  <c r="BY32" i="13"/>
  <c r="CG32" i="13"/>
  <c r="CO32" i="13"/>
  <c r="CW32" i="13"/>
  <c r="DE32" i="13"/>
  <c r="DJ32" i="13"/>
  <c r="K32" i="13"/>
  <c r="U32" i="13"/>
  <c r="AD32" i="13"/>
  <c r="AL32" i="13"/>
  <c r="AT32" i="13"/>
  <c r="BB32" i="13"/>
  <c r="BJ32" i="13"/>
  <c r="BR32" i="13"/>
  <c r="BZ32" i="13"/>
  <c r="CH32" i="13"/>
  <c r="CP32" i="13"/>
  <c r="CX32" i="13"/>
  <c r="DF32" i="13"/>
  <c r="D32" i="13"/>
  <c r="O32" i="13"/>
  <c r="Y32" i="13"/>
  <c r="AG32" i="13"/>
  <c r="AO32" i="13"/>
  <c r="AW32" i="13"/>
  <c r="BE32" i="13"/>
  <c r="BM32" i="13"/>
  <c r="BU32" i="13"/>
  <c r="CC32" i="13"/>
  <c r="CK32" i="13"/>
  <c r="CS32" i="13"/>
  <c r="DA32" i="13"/>
  <c r="DH32" i="13"/>
  <c r="P32" i="13"/>
  <c r="AX32" i="13"/>
  <c r="CD32" i="13"/>
  <c r="DI32" i="13"/>
  <c r="Z32" i="13"/>
  <c r="BF32" i="13"/>
  <c r="CL32" i="13"/>
  <c r="AH32" i="13"/>
  <c r="BN32" i="13"/>
  <c r="CT32" i="13"/>
  <c r="BV32" i="13"/>
  <c r="DB32" i="13"/>
  <c r="E32" i="13"/>
  <c r="AP32" i="13"/>
  <c r="K66" i="13"/>
  <c r="I23" i="13"/>
  <c r="B25" i="13"/>
  <c r="AB25" i="13"/>
  <c r="I26" i="13"/>
  <c r="AA26" i="13"/>
  <c r="Z27" i="13"/>
  <c r="AB28" i="13"/>
  <c r="AA24" i="13"/>
  <c r="I25" i="13"/>
  <c r="B26" i="13"/>
  <c r="Z26" i="13"/>
  <c r="I27" i="13"/>
  <c r="AB27" i="13"/>
  <c r="AA28" i="13"/>
  <c r="C33" i="13"/>
  <c r="G33" i="13"/>
  <c r="K33" i="13"/>
  <c r="O33" i="13"/>
  <c r="S33" i="13"/>
  <c r="W33" i="13"/>
  <c r="AA33" i="13"/>
  <c r="AE33" i="13"/>
  <c r="AE53" i="13" s="1"/>
  <c r="AI33" i="13"/>
  <c r="AI53" i="13" s="1"/>
  <c r="AM33" i="13"/>
  <c r="AM53" i="13" s="1"/>
  <c r="AQ33" i="13"/>
  <c r="AQ53" i="13" s="1"/>
  <c r="AU33" i="13"/>
  <c r="AU53" i="13" s="1"/>
  <c r="AY33" i="13"/>
  <c r="BC33" i="13"/>
  <c r="BG33" i="13"/>
  <c r="BK33" i="13"/>
  <c r="BO33" i="13"/>
  <c r="BO53" i="13" s="1"/>
  <c r="BS33" i="13"/>
  <c r="BW33" i="13"/>
  <c r="CA33" i="13"/>
  <c r="CE33" i="13"/>
  <c r="CI33" i="13"/>
  <c r="CM33" i="13"/>
  <c r="CM53" i="13" s="1"/>
  <c r="CQ33" i="13"/>
  <c r="CQ53" i="13" s="1"/>
  <c r="CU33" i="13"/>
  <c r="CU53" i="13" s="1"/>
  <c r="CY33" i="13"/>
  <c r="CY53" i="13" s="1"/>
  <c r="DC33" i="13"/>
  <c r="DC53" i="13" s="1"/>
  <c r="DG33" i="13"/>
  <c r="DG53" i="13" s="1"/>
  <c r="AB24" i="13"/>
  <c r="AB26" i="13"/>
  <c r="I28" i="13"/>
  <c r="I24" i="13"/>
  <c r="Z24" i="13"/>
  <c r="AA27" i="13"/>
  <c r="H33" i="13"/>
  <c r="M33" i="13"/>
  <c r="R33" i="13"/>
  <c r="X33" i="13"/>
  <c r="AC33" i="13"/>
  <c r="AH33" i="13"/>
  <c r="AH53" i="13" s="1"/>
  <c r="AN33" i="13"/>
  <c r="AN53" i="13" s="1"/>
  <c r="AS33" i="13"/>
  <c r="AS53" i="13" s="1"/>
  <c r="AX33" i="13"/>
  <c r="BD33" i="13"/>
  <c r="BI33" i="13"/>
  <c r="BN33" i="13"/>
  <c r="BN53" i="13" s="1"/>
  <c r="BT33" i="13"/>
  <c r="BY33" i="13"/>
  <c r="CD33" i="13"/>
  <c r="CJ33" i="13"/>
  <c r="CO33" i="13"/>
  <c r="CO53" i="13" s="1"/>
  <c r="CT33" i="13"/>
  <c r="CT53" i="13" s="1"/>
  <c r="CZ33" i="13"/>
  <c r="CZ53" i="13" s="1"/>
  <c r="DE33" i="13"/>
  <c r="DE53" i="13" s="1"/>
  <c r="DJ33" i="13"/>
  <c r="DJ53" i="13" s="1"/>
  <c r="Z28" i="13"/>
  <c r="D33" i="13"/>
  <c r="I33" i="13"/>
  <c r="N33" i="13"/>
  <c r="T33" i="13"/>
  <c r="Y33" i="13"/>
  <c r="AD33" i="13"/>
  <c r="AJ33" i="13"/>
  <c r="AJ53" i="13" s="1"/>
  <c r="AO33" i="13"/>
  <c r="AO53" i="13" s="1"/>
  <c r="AT33" i="13"/>
  <c r="AT53" i="13" s="1"/>
  <c r="AZ33" i="13"/>
  <c r="BE33" i="13"/>
  <c r="BJ33" i="13"/>
  <c r="BP33" i="13"/>
  <c r="BP53" i="13" s="1"/>
  <c r="BU33" i="13"/>
  <c r="BZ33" i="13"/>
  <c r="CF33" i="13"/>
  <c r="CF53" i="13" s="1"/>
  <c r="CK33" i="13"/>
  <c r="CP33" i="13"/>
  <c r="CP53" i="13" s="1"/>
  <c r="CV33" i="13"/>
  <c r="CV53" i="13" s="1"/>
  <c r="DA33" i="13"/>
  <c r="DA53" i="13" s="1"/>
  <c r="DF33" i="13"/>
  <c r="DF53" i="13" s="1"/>
  <c r="B23" i="13"/>
  <c r="B24" i="13"/>
  <c r="Z25" i="13"/>
  <c r="B27" i="13"/>
  <c r="E33" i="13"/>
  <c r="J33" i="13"/>
  <c r="Q33" i="13"/>
  <c r="AB33" i="13"/>
  <c r="AL33" i="13"/>
  <c r="AL53" i="13" s="1"/>
  <c r="AW33" i="13"/>
  <c r="BH33" i="13"/>
  <c r="BR33" i="13"/>
  <c r="CC33" i="13"/>
  <c r="CN33" i="13"/>
  <c r="CN53" i="13" s="1"/>
  <c r="CX33" i="13"/>
  <c r="CX53" i="13" s="1"/>
  <c r="DI33" i="13"/>
  <c r="DI53" i="13" s="1"/>
  <c r="AA25" i="13"/>
  <c r="F33" i="13"/>
  <c r="U33" i="13"/>
  <c r="AF33" i="13"/>
  <c r="AF53" i="13" s="1"/>
  <c r="AP33" i="13"/>
  <c r="AP53" i="13" s="1"/>
  <c r="BA33" i="13"/>
  <c r="BL33" i="13"/>
  <c r="BV33" i="13"/>
  <c r="CG33" i="13"/>
  <c r="CR33" i="13"/>
  <c r="CR53" i="13" s="1"/>
  <c r="DB33" i="13"/>
  <c r="DB53" i="13" s="1"/>
  <c r="L33" i="13"/>
  <c r="V33" i="13"/>
  <c r="AG33" i="13"/>
  <c r="AG53" i="13" s="1"/>
  <c r="AR33" i="13"/>
  <c r="AR53" i="13" s="1"/>
  <c r="BB33" i="13"/>
  <c r="BM33" i="13"/>
  <c r="BM53" i="13" s="1"/>
  <c r="BX33" i="13"/>
  <c r="CH33" i="13"/>
  <c r="CS33" i="13"/>
  <c r="CS53" i="13" s="1"/>
  <c r="DD33" i="13"/>
  <c r="DD53" i="13" s="1"/>
  <c r="AK33" i="13"/>
  <c r="AK53" i="13" s="1"/>
  <c r="CB33" i="13"/>
  <c r="AV33" i="13"/>
  <c r="CL33" i="13"/>
  <c r="CL53" i="13" s="1"/>
  <c r="P33" i="13"/>
  <c r="CW33" i="13"/>
  <c r="CW53" i="13" s="1"/>
  <c r="Z33" i="13"/>
  <c r="DH33" i="13"/>
  <c r="DH53" i="13" s="1"/>
  <c r="BF33" i="13"/>
  <c r="BQ33" i="13"/>
  <c r="BQ53" i="13" s="1"/>
  <c r="K58" i="13"/>
  <c r="S59" i="13"/>
  <c r="K62" i="13"/>
  <c r="C92" i="13"/>
  <c r="S62" i="13"/>
  <c r="S58" i="13"/>
  <c r="S57" i="13"/>
  <c r="C98" i="13"/>
  <c r="K70" i="13"/>
  <c r="S65" i="13"/>
  <c r="S63" i="13"/>
  <c r="S61" i="13"/>
  <c r="K57" i="13"/>
  <c r="C297" i="2"/>
  <c r="D297" i="2" s="1"/>
  <c r="E297" i="2" s="1"/>
  <c r="F297" i="2" s="1"/>
  <c r="G297" i="2" s="1"/>
  <c r="H297" i="2" s="1"/>
  <c r="I297" i="2" s="1"/>
  <c r="J297" i="2" s="1"/>
  <c r="K297" i="2" s="1"/>
  <c r="G183" i="2"/>
  <c r="E183" i="2"/>
  <c r="D114" i="13" l="1"/>
  <c r="C102" i="13"/>
  <c r="E116" i="13"/>
  <c r="C52" i="13" s="1"/>
  <c r="C72" i="13" s="1"/>
  <c r="E114" i="13"/>
  <c r="C50" i="13" s="1"/>
  <c r="C70" i="13" s="1"/>
  <c r="E105" i="13"/>
  <c r="C41" i="13" s="1"/>
  <c r="C61" i="13" s="1"/>
  <c r="E113" i="13"/>
  <c r="C49" i="13" s="1"/>
  <c r="C69" i="13" s="1"/>
  <c r="C101" i="13"/>
  <c r="C111" i="13"/>
  <c r="E108" i="13"/>
  <c r="C44" i="13" s="1"/>
  <c r="C64" i="13" s="1"/>
  <c r="E109" i="13"/>
  <c r="C45" i="13" s="1"/>
  <c r="C65" i="13" s="1"/>
  <c r="D104" i="13"/>
  <c r="D116" i="13"/>
  <c r="C109" i="13"/>
  <c r="C115" i="13"/>
  <c r="C110" i="13"/>
  <c r="E107" i="13"/>
  <c r="C43" i="13" s="1"/>
  <c r="C63" i="13" s="1"/>
  <c r="E115" i="13"/>
  <c r="C51" i="13" s="1"/>
  <c r="C71" i="13" s="1"/>
  <c r="E102" i="13"/>
  <c r="C38" i="13" s="1"/>
  <c r="C58" i="13" s="1"/>
  <c r="D107" i="13"/>
  <c r="C103" i="13"/>
  <c r="E101" i="13"/>
  <c r="C37" i="13" s="1"/>
  <c r="C57" i="13" s="1"/>
  <c r="E103" i="13"/>
  <c r="C39" i="13" s="1"/>
  <c r="C59" i="13" s="1"/>
  <c r="E111" i="13"/>
  <c r="C47" i="13" s="1"/>
  <c r="C67" i="13" s="1"/>
  <c r="E104" i="13"/>
  <c r="C40" i="13" s="1"/>
  <c r="C60" i="13" s="1"/>
  <c r="D87" i="13"/>
  <c r="R95" i="13" s="1"/>
  <c r="D108" i="13"/>
  <c r="C107" i="13"/>
  <c r="C112" i="13"/>
  <c r="D115" i="13"/>
  <c r="C108" i="13"/>
  <c r="C105" i="13"/>
  <c r="D111" i="13"/>
  <c r="D103" i="13"/>
  <c r="D110" i="13"/>
  <c r="E110" i="13"/>
  <c r="C46" i="13" s="1"/>
  <c r="C66" i="13" s="1"/>
  <c r="C104" i="13"/>
  <c r="D112" i="13"/>
  <c r="D109" i="13"/>
  <c r="D106" i="13"/>
  <c r="D102" i="13"/>
  <c r="E106" i="13"/>
  <c r="C42" i="13" s="1"/>
  <c r="C62" i="13" s="1"/>
  <c r="C113" i="13"/>
  <c r="D105" i="13"/>
  <c r="D113" i="13"/>
  <c r="D101" i="13"/>
  <c r="C106" i="13"/>
  <c r="C114" i="13"/>
  <c r="C116" i="13"/>
  <c r="E112" i="13"/>
  <c r="C48" i="13" s="1"/>
  <c r="C68" i="13" s="1"/>
  <c r="D8" i="13"/>
  <c r="J8" i="13"/>
  <c r="O8" i="13"/>
  <c r="T8" i="13"/>
  <c r="Y8" i="13"/>
  <c r="AC8" i="13"/>
  <c r="AH8" i="13"/>
  <c r="H8" i="13"/>
  <c r="N8" i="13"/>
  <c r="U8" i="13"/>
  <c r="AA8" i="13"/>
  <c r="AG8" i="13"/>
  <c r="I8" i="13"/>
  <c r="P8" i="13"/>
  <c r="V8" i="13"/>
  <c r="AB8" i="13"/>
  <c r="K8" i="13"/>
  <c r="W8" i="13"/>
  <c r="M8" i="13"/>
  <c r="Z8" i="13"/>
  <c r="Q8" i="13"/>
  <c r="AD8" i="13"/>
  <c r="F8" i="13"/>
  <c r="S8" i="13"/>
  <c r="AF8" i="13"/>
  <c r="C9" i="13"/>
  <c r="CF41" i="13"/>
  <c r="CF42" i="13"/>
  <c r="CF43" i="13"/>
  <c r="CF44" i="13"/>
  <c r="CF45" i="13"/>
  <c r="CF46" i="13"/>
  <c r="CF37" i="13"/>
  <c r="CF39" i="13"/>
  <c r="CF47" i="13"/>
  <c r="CF48" i="13"/>
  <c r="CF49" i="13"/>
  <c r="CF50" i="13"/>
  <c r="CF51" i="13"/>
  <c r="CF52" i="13"/>
  <c r="CF40" i="13"/>
  <c r="CF38" i="13"/>
  <c r="AU41" i="13"/>
  <c r="AU42" i="13"/>
  <c r="AU38" i="13"/>
  <c r="AU40" i="13"/>
  <c r="AU39" i="13"/>
  <c r="AU43" i="13"/>
  <c r="AU46" i="13"/>
  <c r="AU45" i="13"/>
  <c r="AU47" i="13"/>
  <c r="AU51" i="13"/>
  <c r="AU44" i="13"/>
  <c r="AU50" i="13"/>
  <c r="AU49" i="13"/>
  <c r="AU37" i="13"/>
  <c r="AU48" i="13"/>
  <c r="AU52" i="13"/>
  <c r="AE41" i="13"/>
  <c r="AE42" i="13"/>
  <c r="AE43" i="13"/>
  <c r="AE37" i="13"/>
  <c r="AE39" i="13"/>
  <c r="AE38" i="13"/>
  <c r="AE44" i="13"/>
  <c r="AE45" i="13"/>
  <c r="AE46" i="13"/>
  <c r="AE50" i="13"/>
  <c r="AE40" i="13"/>
  <c r="AE49" i="13"/>
  <c r="AE48" i="13"/>
  <c r="AE52" i="13"/>
  <c r="AE47" i="13"/>
  <c r="AE51" i="13"/>
  <c r="CZ40" i="13"/>
  <c r="CZ41" i="13"/>
  <c r="CZ42" i="13"/>
  <c r="CZ43" i="13"/>
  <c r="CZ44" i="13"/>
  <c r="CZ45" i="13"/>
  <c r="CZ46" i="13"/>
  <c r="CZ47" i="13"/>
  <c r="CZ48" i="13"/>
  <c r="CZ49" i="13"/>
  <c r="CZ50" i="13"/>
  <c r="CZ51" i="13"/>
  <c r="CZ52" i="13"/>
  <c r="CZ38" i="13"/>
  <c r="CZ37" i="13"/>
  <c r="CZ39" i="13"/>
  <c r="CR37" i="13"/>
  <c r="CR38" i="13"/>
  <c r="CR39" i="13"/>
  <c r="CR40" i="13"/>
  <c r="CR41" i="13"/>
  <c r="CR42" i="13"/>
  <c r="CR43" i="13"/>
  <c r="CR44" i="13"/>
  <c r="CR45" i="13"/>
  <c r="CR46" i="13"/>
  <c r="CR47" i="13"/>
  <c r="CR48" i="13"/>
  <c r="CR49" i="13"/>
  <c r="CR50" i="13"/>
  <c r="CR51" i="13"/>
  <c r="CR52" i="13"/>
  <c r="G100" i="13"/>
  <c r="F101" i="13"/>
  <c r="D37" i="13" s="1"/>
  <c r="F106" i="13"/>
  <c r="D42" i="13" s="1"/>
  <c r="F108" i="13"/>
  <c r="D44" i="13" s="1"/>
  <c r="F110" i="13"/>
  <c r="D46" i="13" s="1"/>
  <c r="F112" i="13"/>
  <c r="D48" i="13" s="1"/>
  <c r="F114" i="13"/>
  <c r="D50" i="13" s="1"/>
  <c r="F116" i="13"/>
  <c r="D52" i="13" s="1"/>
  <c r="F103" i="13"/>
  <c r="D39" i="13" s="1"/>
  <c r="F102" i="13"/>
  <c r="D38" i="13" s="1"/>
  <c r="F105" i="13"/>
  <c r="D41" i="13" s="1"/>
  <c r="F107" i="13"/>
  <c r="D43" i="13" s="1"/>
  <c r="F109" i="13"/>
  <c r="D45" i="13" s="1"/>
  <c r="F111" i="13"/>
  <c r="D47" i="13" s="1"/>
  <c r="F113" i="13"/>
  <c r="D49" i="13" s="1"/>
  <c r="F104" i="13"/>
  <c r="D40" i="13" s="1"/>
  <c r="F115" i="13"/>
  <c r="D51" i="13" s="1"/>
  <c r="H7" i="13"/>
  <c r="M7" i="13"/>
  <c r="Q7" i="13"/>
  <c r="V7" i="13"/>
  <c r="AA7" i="13"/>
  <c r="AF7" i="13"/>
  <c r="F7" i="13"/>
  <c r="N7" i="13"/>
  <c r="T7" i="13"/>
  <c r="Z7" i="13"/>
  <c r="AG7" i="13"/>
  <c r="I7" i="13"/>
  <c r="O7" i="13"/>
  <c r="U7" i="13"/>
  <c r="AB7" i="13"/>
  <c r="AH7" i="13"/>
  <c r="P7" i="13"/>
  <c r="AC7" i="13"/>
  <c r="D7" i="13"/>
  <c r="S7" i="13"/>
  <c r="AD7" i="13"/>
  <c r="J7" i="13"/>
  <c r="W7" i="13"/>
  <c r="K7" i="13"/>
  <c r="Y7" i="13"/>
  <c r="CL37" i="13"/>
  <c r="CL38" i="13"/>
  <c r="CL39" i="13"/>
  <c r="CL40" i="13"/>
  <c r="CL41" i="13"/>
  <c r="CL42" i="13"/>
  <c r="CL43" i="13"/>
  <c r="CL46" i="13"/>
  <c r="CL45" i="13"/>
  <c r="CL47" i="13"/>
  <c r="CL51" i="13"/>
  <c r="CL44" i="13"/>
  <c r="CL50" i="13"/>
  <c r="CL49" i="13"/>
  <c r="CL48" i="13"/>
  <c r="CL52" i="13"/>
  <c r="CW37" i="13"/>
  <c r="CW38" i="13"/>
  <c r="CW39" i="13"/>
  <c r="CW40" i="13"/>
  <c r="CW41" i="13"/>
  <c r="CW42" i="13"/>
  <c r="CW43" i="13"/>
  <c r="CW45" i="13"/>
  <c r="CW46" i="13"/>
  <c r="CW49" i="13"/>
  <c r="CW48" i="13"/>
  <c r="CW47" i="13"/>
  <c r="CW51" i="13"/>
  <c r="CW44" i="13"/>
  <c r="CW50" i="13"/>
  <c r="CW52" i="13"/>
  <c r="AK37" i="13"/>
  <c r="AK38" i="13"/>
  <c r="AK39" i="13"/>
  <c r="AK40" i="13"/>
  <c r="AK41" i="13"/>
  <c r="AK42" i="13"/>
  <c r="AK43" i="13"/>
  <c r="AK49" i="13"/>
  <c r="AK46" i="13"/>
  <c r="AK48" i="13"/>
  <c r="AK45" i="13"/>
  <c r="AK47" i="13"/>
  <c r="AK51" i="13"/>
  <c r="AK50" i="13"/>
  <c r="AK44" i="13"/>
  <c r="AK52" i="13"/>
  <c r="C10" i="13"/>
  <c r="DX95" i="13" l="1"/>
  <c r="Z53" i="13" s="1"/>
  <c r="BW95" i="13"/>
  <c r="AV53" i="13" s="1"/>
  <c r="CO95" i="13"/>
  <c r="AA53" i="13" s="1"/>
  <c r="G95" i="13"/>
  <c r="E27" i="13" s="1"/>
  <c r="AU95" i="13"/>
  <c r="N63" i="13" s="1"/>
  <c r="BU95" i="13"/>
  <c r="E53" i="13" s="1"/>
  <c r="DP95" i="13"/>
  <c r="BB53" i="13" s="1"/>
  <c r="BL95" i="13"/>
  <c r="T95" i="13"/>
  <c r="DY95" i="13"/>
  <c r="AD53" i="13" s="1"/>
  <c r="BS95" i="13"/>
  <c r="C53" i="13" s="1"/>
  <c r="DJ95" i="13"/>
  <c r="Q53" i="13" s="1"/>
  <c r="BF95" i="13"/>
  <c r="BI95" i="13"/>
  <c r="EE95" i="13"/>
  <c r="CJ53" i="13" s="1"/>
  <c r="BB95" i="13"/>
  <c r="DL95" i="13"/>
  <c r="Y53" i="13" s="1"/>
  <c r="H95" i="13"/>
  <c r="L23" i="13" s="1"/>
  <c r="AR95" i="13"/>
  <c r="R62" i="13" s="1"/>
  <c r="CI95" i="13"/>
  <c r="CB95" i="13"/>
  <c r="BR53" i="13" s="1"/>
  <c r="CK95" i="13"/>
  <c r="K53" i="13" s="1"/>
  <c r="K95" i="13"/>
  <c r="L26" i="13" s="1"/>
  <c r="AZ95" i="13"/>
  <c r="N61" i="13" s="1"/>
  <c r="DE95" i="13"/>
  <c r="BW53" i="13" s="1"/>
  <c r="BK95" i="13"/>
  <c r="AG95" i="13"/>
  <c r="S26" i="13" s="1"/>
  <c r="C95" i="13"/>
  <c r="E23" i="13" s="1"/>
  <c r="W95" i="13"/>
  <c r="Q26" i="13" s="1"/>
  <c r="P95" i="13"/>
  <c r="I95" i="13"/>
  <c r="L24" i="13" s="1"/>
  <c r="AP95" i="13"/>
  <c r="R60" i="13" s="1"/>
  <c r="CM95" i="13"/>
  <c r="S53" i="13" s="1"/>
  <c r="EB95" i="13"/>
  <c r="BC53" i="13" s="1"/>
  <c r="AT95" i="13"/>
  <c r="N58" i="13" s="1"/>
  <c r="AN95" i="13"/>
  <c r="R66" i="13" s="1"/>
  <c r="J95" i="13"/>
  <c r="L25" i="13" s="1"/>
  <c r="E95" i="13"/>
  <c r="E25" i="13" s="1"/>
  <c r="AM95" i="13"/>
  <c r="R65" i="13" s="1"/>
  <c r="G67" i="13" s="1"/>
  <c r="CY95" i="13"/>
  <c r="T53" i="13" s="1"/>
  <c r="AF95" i="13"/>
  <c r="S25" i="13" s="1"/>
  <c r="CR95" i="13"/>
  <c r="AZ53" i="13" s="1"/>
  <c r="Y95" i="13"/>
  <c r="Q28" i="13" s="1"/>
  <c r="DQ95" i="13"/>
  <c r="BX53" i="13" s="1"/>
  <c r="DB95" i="13"/>
  <c r="BF53" i="13" s="1"/>
  <c r="AA95" i="13"/>
  <c r="R25" i="13" s="1"/>
  <c r="DS95" i="13"/>
  <c r="CI53" i="13" s="1"/>
  <c r="BP95" i="13"/>
  <c r="L70" i="13" s="1"/>
  <c r="M95" i="13"/>
  <c r="F95" i="13"/>
  <c r="E26" i="13" s="1"/>
  <c r="AX95" i="13"/>
  <c r="N59" i="13" s="1"/>
  <c r="CA95" i="13"/>
  <c r="BD53" i="13" s="1"/>
  <c r="BT95" i="13"/>
  <c r="D53" i="13" s="1"/>
  <c r="AW95" i="13"/>
  <c r="N66" i="13" s="1"/>
  <c r="BV95" i="13"/>
  <c r="F53" i="13" s="1"/>
  <c r="CE95" i="13"/>
  <c r="BU53" i="13" s="1"/>
  <c r="AK95" i="13"/>
  <c r="R58" i="13" s="1"/>
  <c r="BC95" i="13"/>
  <c r="DO95" i="13"/>
  <c r="BK53" i="13" s="1"/>
  <c r="AV95" i="13"/>
  <c r="N65" i="13" s="1"/>
  <c r="DH95" i="13"/>
  <c r="I53" i="13" s="1"/>
  <c r="BE95" i="13"/>
  <c r="EG95" i="13"/>
  <c r="CE53" i="13" s="1"/>
  <c r="AD95" i="13"/>
  <c r="R28" i="13" s="1"/>
  <c r="BG95" i="13"/>
  <c r="D95" i="13"/>
  <c r="E24" i="13" s="1"/>
  <c r="CF95" i="13"/>
  <c r="AS95" i="13"/>
  <c r="N57" i="13" s="1"/>
  <c r="BR95" i="13"/>
  <c r="CD95" i="13"/>
  <c r="BT53" i="13" s="1"/>
  <c r="DW95" i="13"/>
  <c r="V53" i="13" s="1"/>
  <c r="CZ95" i="13"/>
  <c r="X53" i="13" s="1"/>
  <c r="CS95" i="13"/>
  <c r="BV53" i="13" s="1"/>
  <c r="DZ95" i="13"/>
  <c r="BH53" i="13" s="1"/>
  <c r="DK95" i="13"/>
  <c r="U53" i="13" s="1"/>
  <c r="DM95" i="13"/>
  <c r="AC53" i="13" s="1"/>
  <c r="AO95" i="13"/>
  <c r="R59" i="13" s="1"/>
  <c r="DA95" i="13"/>
  <c r="AB53" i="13" s="1"/>
  <c r="DN95" i="13"/>
  <c r="BG53" i="13" s="1"/>
  <c r="CP95" i="13"/>
  <c r="BE53" i="13" s="1"/>
  <c r="AQ95" i="13"/>
  <c r="R61" i="13" s="1"/>
  <c r="DC95" i="13"/>
  <c r="BJ53" i="13" s="1"/>
  <c r="AJ95" i="13"/>
  <c r="R57" i="13" s="1"/>
  <c r="CV95" i="13"/>
  <c r="H53" i="13" s="1"/>
  <c r="AC95" i="13"/>
  <c r="R27" i="13" s="1"/>
  <c r="DU95" i="13"/>
  <c r="N53" i="13" s="1"/>
  <c r="DR95" i="13"/>
  <c r="CC53" i="13" s="1"/>
  <c r="O95" i="13"/>
  <c r="L28" i="13" s="1"/>
  <c r="DG95" i="13"/>
  <c r="CH53" i="13" s="1"/>
  <c r="BD95" i="13"/>
  <c r="EF95" i="13"/>
  <c r="BZ53" i="13" s="1"/>
  <c r="DI95" i="13"/>
  <c r="M53" i="13" s="1"/>
  <c r="BJ95" i="13"/>
  <c r="AY95" i="13"/>
  <c r="N60" i="13" s="1"/>
  <c r="BH95" i="13"/>
  <c r="CX95" i="13"/>
  <c r="P53" i="13" s="1"/>
  <c r="BX95" i="13"/>
  <c r="AW53" i="13" s="1"/>
  <c r="BQ95" i="13"/>
  <c r="CL95" i="13"/>
  <c r="O53" i="13" s="1"/>
  <c r="BM95" i="13"/>
  <c r="CH95" i="13"/>
  <c r="DV95" i="13"/>
  <c r="R53" i="13" s="1"/>
  <c r="S95" i="13"/>
  <c r="EA95" i="13"/>
  <c r="BL53" i="13" s="1"/>
  <c r="DT95" i="13"/>
  <c r="J53" i="13" s="1"/>
  <c r="CW95" i="13"/>
  <c r="L53" i="13" s="1"/>
  <c r="BZ95" i="13"/>
  <c r="AY53" i="13" s="1"/>
  <c r="BO95" i="13"/>
  <c r="L95" i="13"/>
  <c r="L27" i="13" s="1"/>
  <c r="DD95" i="13"/>
  <c r="BA53" i="13" s="1"/>
  <c r="BA95" i="13"/>
  <c r="N62" i="13" s="1"/>
  <c r="EC95" i="13"/>
  <c r="BY53" i="13" s="1"/>
  <c r="BN95" i="13"/>
  <c r="Z95" i="13"/>
  <c r="R24" i="13" s="1"/>
  <c r="AH95" i="13"/>
  <c r="S27" i="13" s="1"/>
  <c r="ED95" i="13"/>
  <c r="CD53" i="13" s="1"/>
  <c r="DF95" i="13"/>
  <c r="CB53" i="13" s="1"/>
  <c r="AE95" i="13"/>
  <c r="S24" i="13" s="1"/>
  <c r="CQ95" i="13"/>
  <c r="BI53" i="13" s="1"/>
  <c r="X95" i="13"/>
  <c r="Q27" i="13" s="1"/>
  <c r="CJ95" i="13"/>
  <c r="G53" i="13" s="1"/>
  <c r="Q95" i="13"/>
  <c r="CC95" i="13"/>
  <c r="BS53" i="13" s="1"/>
  <c r="V95" i="13"/>
  <c r="Q25" i="13" s="1"/>
  <c r="EH95" i="13"/>
  <c r="CK53" i="13" s="1"/>
  <c r="CT95" i="13"/>
  <c r="CA53" i="13" s="1"/>
  <c r="AI95" i="13"/>
  <c r="S28" i="13" s="1"/>
  <c r="CU95" i="13"/>
  <c r="CG53" i="13" s="1"/>
  <c r="AB95" i="13"/>
  <c r="R26" i="13" s="1"/>
  <c r="CN95" i="13"/>
  <c r="W53" i="13" s="1"/>
  <c r="U95" i="13"/>
  <c r="Q24" i="13" s="1"/>
  <c r="CG95" i="13"/>
  <c r="AL95" i="13"/>
  <c r="R63" i="13" s="1"/>
  <c r="N95" i="13"/>
  <c r="BY95" i="13"/>
  <c r="AX53" i="13" s="1"/>
  <c r="C11" i="13"/>
  <c r="C12" i="13" s="1"/>
  <c r="H9" i="13"/>
  <c r="M9" i="13"/>
  <c r="Q9" i="13"/>
  <c r="V9" i="13"/>
  <c r="AA9" i="13"/>
  <c r="AF9" i="13"/>
  <c r="I9" i="13"/>
  <c r="O9" i="13"/>
  <c r="U9" i="13"/>
  <c r="AB9" i="13"/>
  <c r="AH9" i="13"/>
  <c r="J9" i="13"/>
  <c r="P9" i="13"/>
  <c r="W9" i="13"/>
  <c r="AC9" i="13"/>
  <c r="D9" i="13"/>
  <c r="S9" i="13"/>
  <c r="AD9" i="13"/>
  <c r="F9" i="13"/>
  <c r="T9" i="13"/>
  <c r="AG9" i="13"/>
  <c r="K9" i="13"/>
  <c r="Y9" i="13"/>
  <c r="Z9" i="13"/>
  <c r="N9" i="13"/>
  <c r="D10" i="13"/>
  <c r="J10" i="13"/>
  <c r="O10" i="13"/>
  <c r="T10" i="13"/>
  <c r="Y10" i="13"/>
  <c r="AC10" i="13"/>
  <c r="AG10" i="13"/>
  <c r="I10" i="13"/>
  <c r="P10" i="13"/>
  <c r="V10" i="13"/>
  <c r="AB10" i="13"/>
  <c r="AH10" i="13"/>
  <c r="K10" i="13"/>
  <c r="Q10" i="13"/>
  <c r="W10" i="13"/>
  <c r="AD10" i="13"/>
  <c r="M10" i="13"/>
  <c r="Z10" i="13"/>
  <c r="N10" i="13"/>
  <c r="AA10" i="13"/>
  <c r="F10" i="13"/>
  <c r="S10" i="13"/>
  <c r="AE10" i="13"/>
  <c r="H10" i="13"/>
  <c r="U10" i="13"/>
  <c r="AF10" i="13"/>
  <c r="H100" i="13"/>
  <c r="G104" i="13"/>
  <c r="E40" i="13" s="1"/>
  <c r="G106" i="13"/>
  <c r="E42" i="13" s="1"/>
  <c r="G108" i="13"/>
  <c r="E44" i="13" s="1"/>
  <c r="G110" i="13"/>
  <c r="E46" i="13" s="1"/>
  <c r="G112" i="13"/>
  <c r="E48" i="13" s="1"/>
  <c r="G114" i="13"/>
  <c r="E50" i="13" s="1"/>
  <c r="G116" i="13"/>
  <c r="E52" i="13" s="1"/>
  <c r="G105" i="13"/>
  <c r="E41" i="13" s="1"/>
  <c r="G109" i="13"/>
  <c r="E45" i="13" s="1"/>
  <c r="G113" i="13"/>
  <c r="E49" i="13" s="1"/>
  <c r="G102" i="13"/>
  <c r="E38" i="13" s="1"/>
  <c r="G115" i="13"/>
  <c r="E51" i="13" s="1"/>
  <c r="G107" i="13"/>
  <c r="E43" i="13" s="1"/>
  <c r="G111" i="13"/>
  <c r="E47" i="13" s="1"/>
  <c r="G103" i="13"/>
  <c r="E39" i="13" s="1"/>
  <c r="G101" i="13"/>
  <c r="E37" i="13" s="1"/>
  <c r="G61" i="13" l="1"/>
  <c r="G62" i="13"/>
  <c r="G58" i="13"/>
  <c r="G71" i="13"/>
  <c r="G64" i="13"/>
  <c r="G66" i="13"/>
  <c r="G68" i="13"/>
  <c r="G59" i="13"/>
  <c r="G63" i="13"/>
  <c r="G65" i="13"/>
  <c r="G69" i="13"/>
  <c r="G57" i="13"/>
  <c r="G72" i="13"/>
  <c r="G70" i="13"/>
  <c r="G60" i="13"/>
  <c r="H12" i="13"/>
  <c r="M12" i="13"/>
  <c r="Q12" i="13"/>
  <c r="V12" i="13"/>
  <c r="AA12" i="13"/>
  <c r="AE12" i="13"/>
  <c r="I12" i="13"/>
  <c r="O12" i="13"/>
  <c r="U12" i="13"/>
  <c r="AB12" i="13"/>
  <c r="AG12" i="13"/>
  <c r="J12" i="13"/>
  <c r="P12" i="13"/>
  <c r="W12" i="13"/>
  <c r="AC12" i="13"/>
  <c r="AH12" i="13"/>
  <c r="K12" i="13"/>
  <c r="Y12" i="13"/>
  <c r="N12" i="13"/>
  <c r="Z12" i="13"/>
  <c r="D12" i="13"/>
  <c r="S12" i="13"/>
  <c r="AD12" i="13"/>
  <c r="AF12" i="13"/>
  <c r="F12" i="13"/>
  <c r="T12" i="13"/>
  <c r="C13" i="13"/>
  <c r="I100" i="13"/>
  <c r="H102" i="13"/>
  <c r="F38" i="13" s="1"/>
  <c r="H105" i="13"/>
  <c r="F41" i="13" s="1"/>
  <c r="H107" i="13"/>
  <c r="F43" i="13" s="1"/>
  <c r="H109" i="13"/>
  <c r="F45" i="13" s="1"/>
  <c r="H111" i="13"/>
  <c r="F47" i="13" s="1"/>
  <c r="H113" i="13"/>
  <c r="F49" i="13" s="1"/>
  <c r="H115" i="13"/>
  <c r="F51" i="13" s="1"/>
  <c r="H101" i="13"/>
  <c r="F37" i="13" s="1"/>
  <c r="H104" i="13"/>
  <c r="F40" i="13" s="1"/>
  <c r="H110" i="13"/>
  <c r="F46" i="13" s="1"/>
  <c r="H103" i="13"/>
  <c r="F39" i="13" s="1"/>
  <c r="H106" i="13"/>
  <c r="F42" i="13" s="1"/>
  <c r="H108" i="13"/>
  <c r="F44" i="13" s="1"/>
  <c r="H112" i="13"/>
  <c r="F48" i="13" s="1"/>
  <c r="H114" i="13"/>
  <c r="F50" i="13" s="1"/>
  <c r="H116" i="13"/>
  <c r="F52" i="13" s="1"/>
  <c r="F11" i="13"/>
  <c r="K11" i="13"/>
  <c r="P11" i="13"/>
  <c r="U11" i="13"/>
  <c r="Z11" i="13"/>
  <c r="AD11" i="13"/>
  <c r="AH11" i="13"/>
  <c r="I11" i="13"/>
  <c r="O11" i="13"/>
  <c r="V11" i="13"/>
  <c r="AB11" i="13"/>
  <c r="AG11" i="13"/>
  <c r="J11" i="13"/>
  <c r="Q11" i="13"/>
  <c r="W11" i="13"/>
  <c r="AC11" i="13"/>
  <c r="D11" i="13"/>
  <c r="S11" i="13"/>
  <c r="AE11" i="13"/>
  <c r="H11" i="13"/>
  <c r="T11" i="13"/>
  <c r="AF11" i="13"/>
  <c r="M11" i="13"/>
  <c r="Y11" i="13"/>
  <c r="N11" i="13"/>
  <c r="AA11" i="13"/>
  <c r="C14" i="13"/>
  <c r="C15" i="13" s="1"/>
  <c r="F15" i="13" l="1"/>
  <c r="K15" i="13"/>
  <c r="P15" i="13"/>
  <c r="U15" i="13"/>
  <c r="Z15" i="13"/>
  <c r="AD15" i="13"/>
  <c r="AH15" i="13"/>
  <c r="H15" i="13"/>
  <c r="N15" i="13"/>
  <c r="T15" i="13"/>
  <c r="AA15" i="13"/>
  <c r="AF15" i="13"/>
  <c r="I15" i="13"/>
  <c r="O15" i="13"/>
  <c r="V15" i="13"/>
  <c r="AB15" i="13"/>
  <c r="AG15" i="13"/>
  <c r="Q15" i="13"/>
  <c r="AC15" i="13"/>
  <c r="D15" i="13"/>
  <c r="S15" i="13"/>
  <c r="AE15" i="13"/>
  <c r="J15" i="13"/>
  <c r="W15" i="13"/>
  <c r="M15" i="13"/>
  <c r="Y15" i="13"/>
  <c r="J100" i="13"/>
  <c r="I115" i="13"/>
  <c r="AV51" i="13" s="1"/>
  <c r="I105" i="13"/>
  <c r="AV41" i="13" s="1"/>
  <c r="I107" i="13"/>
  <c r="AV43" i="13" s="1"/>
  <c r="I109" i="13"/>
  <c r="AV45" i="13" s="1"/>
  <c r="I111" i="13"/>
  <c r="AV47" i="13" s="1"/>
  <c r="I113" i="13"/>
  <c r="AV49" i="13" s="1"/>
  <c r="I101" i="13"/>
  <c r="AV37" i="13" s="1"/>
  <c r="I108" i="13"/>
  <c r="AV44" i="13" s="1"/>
  <c r="I112" i="13"/>
  <c r="AV48" i="13" s="1"/>
  <c r="I114" i="13"/>
  <c r="AV50" i="13" s="1"/>
  <c r="I116" i="13"/>
  <c r="AV52" i="13" s="1"/>
  <c r="I103" i="13"/>
  <c r="AV39" i="13" s="1"/>
  <c r="I106" i="13"/>
  <c r="AV42" i="13" s="1"/>
  <c r="I110" i="13"/>
  <c r="AV46" i="13" s="1"/>
  <c r="I104" i="13"/>
  <c r="AV40" i="13" s="1"/>
  <c r="I102" i="13"/>
  <c r="AV38" i="13" s="1"/>
  <c r="D14" i="13"/>
  <c r="J14" i="13"/>
  <c r="O14" i="13"/>
  <c r="T14" i="13"/>
  <c r="Y14" i="13"/>
  <c r="AC14" i="13"/>
  <c r="AG14" i="13"/>
  <c r="H14" i="13"/>
  <c r="N14" i="13"/>
  <c r="U14" i="13"/>
  <c r="AA14" i="13"/>
  <c r="AF14" i="13"/>
  <c r="I14" i="13"/>
  <c r="P14" i="13"/>
  <c r="V14" i="13"/>
  <c r="AB14" i="13"/>
  <c r="AH14" i="13"/>
  <c r="K14" i="13"/>
  <c r="W14" i="13"/>
  <c r="M14" i="13"/>
  <c r="Z14" i="13"/>
  <c r="Q14" i="13"/>
  <c r="AD14" i="13"/>
  <c r="S14" i="13"/>
  <c r="AE14" i="13"/>
  <c r="F14" i="13"/>
  <c r="I13" i="13"/>
  <c r="N13" i="13"/>
  <c r="S13" i="13"/>
  <c r="W13" i="13"/>
  <c r="AB13" i="13"/>
  <c r="AF13" i="13"/>
  <c r="H13" i="13"/>
  <c r="O13" i="13"/>
  <c r="U13" i="13"/>
  <c r="AA13" i="13"/>
  <c r="AG13" i="13"/>
  <c r="J13" i="13"/>
  <c r="P13" i="13"/>
  <c r="V13" i="13"/>
  <c r="AC13" i="13"/>
  <c r="AH13" i="13"/>
  <c r="D13" i="13"/>
  <c r="Q13" i="13"/>
  <c r="AD13" i="13"/>
  <c r="F13" i="13"/>
  <c r="T13" i="13"/>
  <c r="AE13" i="13"/>
  <c r="K13" i="13"/>
  <c r="Y13" i="13"/>
  <c r="M13" i="13"/>
  <c r="Z13" i="13"/>
  <c r="J103" i="13" l="1"/>
  <c r="AW39" i="13" s="1"/>
  <c r="J106" i="13"/>
  <c r="AW42" i="13" s="1"/>
  <c r="J108" i="13"/>
  <c r="AW44" i="13" s="1"/>
  <c r="J110" i="13"/>
  <c r="AW46" i="13" s="1"/>
  <c r="J112" i="13"/>
  <c r="AW48" i="13" s="1"/>
  <c r="J114" i="13"/>
  <c r="AW50" i="13" s="1"/>
  <c r="J116" i="13"/>
  <c r="AW52" i="13" s="1"/>
  <c r="K100" i="13"/>
  <c r="J102" i="13"/>
  <c r="AW38" i="13" s="1"/>
  <c r="J113" i="13"/>
  <c r="AW49" i="13" s="1"/>
  <c r="J104" i="13"/>
  <c r="AW40" i="13" s="1"/>
  <c r="J105" i="13"/>
  <c r="AW41" i="13" s="1"/>
  <c r="J107" i="13"/>
  <c r="AW43" i="13" s="1"/>
  <c r="J109" i="13"/>
  <c r="AW45" i="13" s="1"/>
  <c r="J111" i="13"/>
  <c r="AW47" i="13" s="1"/>
  <c r="J115" i="13"/>
  <c r="AW51" i="13" s="1"/>
  <c r="J101" i="13"/>
  <c r="AW37" i="13" s="1"/>
  <c r="L100" i="13" l="1"/>
  <c r="K106" i="13"/>
  <c r="AX42" i="13" s="1"/>
  <c r="K108" i="13"/>
  <c r="AX44" i="13" s="1"/>
  <c r="K110" i="13"/>
  <c r="AX46" i="13" s="1"/>
  <c r="K112" i="13"/>
  <c r="AX48" i="13" s="1"/>
  <c r="K114" i="13"/>
  <c r="AX50" i="13" s="1"/>
  <c r="K116" i="13"/>
  <c r="AX52" i="13" s="1"/>
  <c r="K102" i="13"/>
  <c r="AX38" i="13" s="1"/>
  <c r="K115" i="13"/>
  <c r="AX51" i="13" s="1"/>
  <c r="K113" i="13"/>
  <c r="AX49" i="13" s="1"/>
  <c r="K104" i="13"/>
  <c r="AX40" i="13" s="1"/>
  <c r="K105" i="13"/>
  <c r="AX41" i="13" s="1"/>
  <c r="K109" i="13"/>
  <c r="AX45" i="13" s="1"/>
  <c r="K107" i="13"/>
  <c r="AX43" i="13" s="1"/>
  <c r="K111" i="13"/>
  <c r="AX47" i="13" s="1"/>
  <c r="K103" i="13"/>
  <c r="AX39" i="13" s="1"/>
  <c r="K101" i="13"/>
  <c r="AX37" i="13" s="1"/>
  <c r="M100" i="13" l="1"/>
  <c r="L101" i="13"/>
  <c r="AY37" i="13" s="1"/>
  <c r="L104" i="13"/>
  <c r="AY40" i="13" s="1"/>
  <c r="L105" i="13"/>
  <c r="AY41" i="13" s="1"/>
  <c r="L107" i="13"/>
  <c r="AY43" i="13" s="1"/>
  <c r="L109" i="13"/>
  <c r="AY45" i="13" s="1"/>
  <c r="L111" i="13"/>
  <c r="AY47" i="13" s="1"/>
  <c r="L113" i="13"/>
  <c r="AY49" i="13" s="1"/>
  <c r="L115" i="13"/>
  <c r="AY51" i="13" s="1"/>
  <c r="L103" i="13"/>
  <c r="AY39" i="13" s="1"/>
  <c r="L106" i="13"/>
  <c r="AY42" i="13" s="1"/>
  <c r="L108" i="13"/>
  <c r="AY44" i="13" s="1"/>
  <c r="L110" i="13"/>
  <c r="AY46" i="13" s="1"/>
  <c r="L112" i="13"/>
  <c r="AY48" i="13" s="1"/>
  <c r="L116" i="13"/>
  <c r="AY52" i="13" s="1"/>
  <c r="L114" i="13"/>
  <c r="AY50" i="13" s="1"/>
  <c r="L102" i="13"/>
  <c r="AY38" i="13" s="1"/>
  <c r="N100" i="13" l="1"/>
  <c r="M101" i="13"/>
  <c r="BD37" i="13" s="1"/>
  <c r="M105" i="13"/>
  <c r="BD41" i="13" s="1"/>
  <c r="M107" i="13"/>
  <c r="BD43" i="13" s="1"/>
  <c r="M109" i="13"/>
  <c r="BD45" i="13" s="1"/>
  <c r="M111" i="13"/>
  <c r="BD47" i="13" s="1"/>
  <c r="M113" i="13"/>
  <c r="BD49" i="13" s="1"/>
  <c r="M115" i="13"/>
  <c r="BD51" i="13" s="1"/>
  <c r="M103" i="13"/>
  <c r="BD39" i="13" s="1"/>
  <c r="M112" i="13"/>
  <c r="BD48" i="13" s="1"/>
  <c r="M108" i="13"/>
  <c r="BD44" i="13" s="1"/>
  <c r="M114" i="13"/>
  <c r="BD50" i="13" s="1"/>
  <c r="M106" i="13"/>
  <c r="BD42" i="13" s="1"/>
  <c r="M116" i="13"/>
  <c r="BD52" i="13" s="1"/>
  <c r="M110" i="13"/>
  <c r="BD46" i="13" s="1"/>
  <c r="M104" i="13"/>
  <c r="BD40" i="13" s="1"/>
  <c r="M102" i="13"/>
  <c r="BD38" i="13" s="1"/>
  <c r="N102" i="13" l="1"/>
  <c r="BR38" i="13" s="1"/>
  <c r="N106" i="13"/>
  <c r="BR42" i="13" s="1"/>
  <c r="N108" i="13"/>
  <c r="BR44" i="13" s="1"/>
  <c r="N110" i="13"/>
  <c r="BR46" i="13" s="1"/>
  <c r="N112" i="13"/>
  <c r="BR48" i="13" s="1"/>
  <c r="N114" i="13"/>
  <c r="BR50" i="13" s="1"/>
  <c r="N116" i="13"/>
  <c r="BR52" i="13" s="1"/>
  <c r="N104" i="13"/>
  <c r="BR40" i="13" s="1"/>
  <c r="N113" i="13"/>
  <c r="BR49" i="13" s="1"/>
  <c r="O100" i="13"/>
  <c r="N101" i="13"/>
  <c r="BR37" i="13" s="1"/>
  <c r="N105" i="13"/>
  <c r="BR41" i="13" s="1"/>
  <c r="N107" i="13"/>
  <c r="BR43" i="13" s="1"/>
  <c r="N109" i="13"/>
  <c r="BR45" i="13" s="1"/>
  <c r="N111" i="13"/>
  <c r="BR47" i="13" s="1"/>
  <c r="N103" i="13"/>
  <c r="BR39" i="13" s="1"/>
  <c r="N115" i="13"/>
  <c r="BR51" i="13" s="1"/>
  <c r="P100" i="13" l="1"/>
  <c r="O102" i="13"/>
  <c r="BS38" i="13" s="1"/>
  <c r="O106" i="13"/>
  <c r="BS42" i="13" s="1"/>
  <c r="O108" i="13"/>
  <c r="BS44" i="13" s="1"/>
  <c r="O110" i="13"/>
  <c r="BS46" i="13" s="1"/>
  <c r="O112" i="13"/>
  <c r="BS48" i="13" s="1"/>
  <c r="O114" i="13"/>
  <c r="BS50" i="13" s="1"/>
  <c r="O116" i="13"/>
  <c r="BS52" i="13" s="1"/>
  <c r="O104" i="13"/>
  <c r="BS40" i="13" s="1"/>
  <c r="O107" i="13"/>
  <c r="BS43" i="13" s="1"/>
  <c r="O111" i="13"/>
  <c r="BS47" i="13" s="1"/>
  <c r="O115" i="13"/>
  <c r="BS51" i="13" s="1"/>
  <c r="O105" i="13"/>
  <c r="BS41" i="13" s="1"/>
  <c r="O109" i="13"/>
  <c r="BS45" i="13" s="1"/>
  <c r="O113" i="13"/>
  <c r="BS49" i="13" s="1"/>
  <c r="O101" i="13"/>
  <c r="BS37" i="13" s="1"/>
  <c r="O103" i="13"/>
  <c r="BS39" i="13" s="1"/>
  <c r="Q100" i="13" l="1"/>
  <c r="P103" i="13"/>
  <c r="BT39" i="13" s="1"/>
  <c r="P105" i="13"/>
  <c r="BT41" i="13" s="1"/>
  <c r="P107" i="13"/>
  <c r="BT43" i="13" s="1"/>
  <c r="P109" i="13"/>
  <c r="BT45" i="13" s="1"/>
  <c r="P111" i="13"/>
  <c r="BT47" i="13" s="1"/>
  <c r="P113" i="13"/>
  <c r="BT49" i="13" s="1"/>
  <c r="P115" i="13"/>
  <c r="BT51" i="13" s="1"/>
  <c r="P112" i="13"/>
  <c r="BT48" i="13" s="1"/>
  <c r="P102" i="13"/>
  <c r="BT38" i="13" s="1"/>
  <c r="P106" i="13"/>
  <c r="BT42" i="13" s="1"/>
  <c r="P108" i="13"/>
  <c r="BT44" i="13" s="1"/>
  <c r="P110" i="13"/>
  <c r="BT46" i="13" s="1"/>
  <c r="P101" i="13"/>
  <c r="BT37" i="13" s="1"/>
  <c r="P104" i="13"/>
  <c r="BT40" i="13" s="1"/>
  <c r="P114" i="13"/>
  <c r="BT50" i="13" s="1"/>
  <c r="P116" i="13"/>
  <c r="BT52" i="13" s="1"/>
  <c r="R100" i="13" l="1"/>
  <c r="Q101" i="13"/>
  <c r="BU37" i="13" s="1"/>
  <c r="Q115" i="13"/>
  <c r="BU51" i="13" s="1"/>
  <c r="Q103" i="13"/>
  <c r="BU39" i="13" s="1"/>
  <c r="Q105" i="13"/>
  <c r="BU41" i="13" s="1"/>
  <c r="Q107" i="13"/>
  <c r="BU43" i="13" s="1"/>
  <c r="Q109" i="13"/>
  <c r="BU45" i="13" s="1"/>
  <c r="Q111" i="13"/>
  <c r="BU47" i="13" s="1"/>
  <c r="Q113" i="13"/>
  <c r="BU49" i="13" s="1"/>
  <c r="Q106" i="13"/>
  <c r="BU42" i="13" s="1"/>
  <c r="Q110" i="13"/>
  <c r="BU46" i="13" s="1"/>
  <c r="Q114" i="13"/>
  <c r="BU50" i="13" s="1"/>
  <c r="Q116" i="13"/>
  <c r="BU52" i="13" s="1"/>
  <c r="Q108" i="13"/>
  <c r="BU44" i="13" s="1"/>
  <c r="Q112" i="13"/>
  <c r="BU48" i="13" s="1"/>
  <c r="Q102" i="13"/>
  <c r="BU38" i="13" s="1"/>
  <c r="Q104" i="13"/>
  <c r="BU40" i="13" s="1"/>
  <c r="R104" i="13" l="1"/>
  <c r="R106" i="13"/>
  <c r="R108" i="13"/>
  <c r="R110" i="13"/>
  <c r="R112" i="13"/>
  <c r="R114" i="13"/>
  <c r="R116" i="13"/>
  <c r="R101" i="13"/>
  <c r="R103" i="13"/>
  <c r="R105" i="13"/>
  <c r="R107" i="13"/>
  <c r="R109" i="13"/>
  <c r="R111" i="13"/>
  <c r="R113" i="13"/>
  <c r="R115" i="13"/>
  <c r="S100" i="13"/>
  <c r="R102" i="13"/>
  <c r="T100" i="13" l="1"/>
  <c r="S102" i="13"/>
  <c r="S104" i="13"/>
  <c r="S106" i="13"/>
  <c r="S108" i="13"/>
  <c r="S110" i="13"/>
  <c r="S112" i="13"/>
  <c r="S114" i="13"/>
  <c r="S116" i="13"/>
  <c r="S111" i="13"/>
  <c r="S107" i="13"/>
  <c r="S113" i="13"/>
  <c r="S115" i="13"/>
  <c r="S105" i="13"/>
  <c r="S109" i="13"/>
  <c r="S103" i="13"/>
  <c r="S101" i="13"/>
  <c r="U100" i="13" l="1"/>
  <c r="T105" i="13"/>
  <c r="T107" i="13"/>
  <c r="T109" i="13"/>
  <c r="T111" i="13"/>
  <c r="T113" i="13"/>
  <c r="T115" i="13"/>
  <c r="T102" i="13"/>
  <c r="T101" i="13"/>
  <c r="T104" i="13"/>
  <c r="T106" i="13"/>
  <c r="T108" i="13"/>
  <c r="T110" i="13"/>
  <c r="T103" i="13"/>
  <c r="T114" i="13"/>
  <c r="T116" i="13"/>
  <c r="T112" i="13"/>
  <c r="V100" i="13" l="1"/>
  <c r="U103" i="13"/>
  <c r="U105" i="13"/>
  <c r="U107" i="13"/>
  <c r="U109" i="13"/>
  <c r="U111" i="13"/>
  <c r="U113" i="13"/>
  <c r="U115" i="13"/>
  <c r="U112" i="13"/>
  <c r="U110" i="13"/>
  <c r="U116" i="13"/>
  <c r="U108" i="13"/>
  <c r="U101" i="13"/>
  <c r="U106" i="13"/>
  <c r="U114" i="13"/>
  <c r="U104" i="13"/>
  <c r="U102" i="13"/>
  <c r="W100" i="13" l="1"/>
  <c r="V101" i="13"/>
  <c r="G37" i="13" s="1"/>
  <c r="V106" i="13"/>
  <c r="G42" i="13" s="1"/>
  <c r="V108" i="13"/>
  <c r="G44" i="13" s="1"/>
  <c r="V110" i="13"/>
  <c r="G46" i="13" s="1"/>
  <c r="V112" i="13"/>
  <c r="G48" i="13" s="1"/>
  <c r="V114" i="13"/>
  <c r="G50" i="13" s="1"/>
  <c r="V116" i="13"/>
  <c r="G52" i="13" s="1"/>
  <c r="V103" i="13"/>
  <c r="G39" i="13" s="1"/>
  <c r="V102" i="13"/>
  <c r="G38" i="13" s="1"/>
  <c r="V105" i="13"/>
  <c r="G41" i="13" s="1"/>
  <c r="V107" i="13"/>
  <c r="G43" i="13" s="1"/>
  <c r="V109" i="13"/>
  <c r="G45" i="13" s="1"/>
  <c r="V111" i="13"/>
  <c r="G47" i="13" s="1"/>
  <c r="V104" i="13"/>
  <c r="G40" i="13" s="1"/>
  <c r="V115" i="13"/>
  <c r="G51" i="13" s="1"/>
  <c r="V113" i="13"/>
  <c r="G49" i="13" s="1"/>
  <c r="X100" i="13" l="1"/>
  <c r="W104" i="13"/>
  <c r="K40" i="13" s="1"/>
  <c r="W116" i="13"/>
  <c r="K52" i="13" s="1"/>
  <c r="W106" i="13"/>
  <c r="K42" i="13" s="1"/>
  <c r="W108" i="13"/>
  <c r="K44" i="13" s="1"/>
  <c r="W110" i="13"/>
  <c r="K46" i="13" s="1"/>
  <c r="W112" i="13"/>
  <c r="K48" i="13" s="1"/>
  <c r="W114" i="13"/>
  <c r="K50" i="13" s="1"/>
  <c r="W102" i="13"/>
  <c r="K38" i="13" s="1"/>
  <c r="W105" i="13"/>
  <c r="K41" i="13" s="1"/>
  <c r="W109" i="13"/>
  <c r="K45" i="13" s="1"/>
  <c r="W115" i="13"/>
  <c r="K51" i="13" s="1"/>
  <c r="W111" i="13"/>
  <c r="K47" i="13" s="1"/>
  <c r="W113" i="13"/>
  <c r="K49" i="13" s="1"/>
  <c r="W107" i="13"/>
  <c r="K43" i="13" s="1"/>
  <c r="W103" i="13"/>
  <c r="K39" i="13" s="1"/>
  <c r="W101" i="13"/>
  <c r="K37" i="13" s="1"/>
  <c r="Y100" i="13" l="1"/>
  <c r="X102" i="13"/>
  <c r="O38" i="13" s="1"/>
  <c r="X105" i="13"/>
  <c r="O41" i="13" s="1"/>
  <c r="X107" i="13"/>
  <c r="O43" i="13" s="1"/>
  <c r="X109" i="13"/>
  <c r="O45" i="13" s="1"/>
  <c r="X111" i="13"/>
  <c r="O47" i="13" s="1"/>
  <c r="X113" i="13"/>
  <c r="O49" i="13" s="1"/>
  <c r="X115" i="13"/>
  <c r="O51" i="13" s="1"/>
  <c r="X101" i="13"/>
  <c r="O37" i="13" s="1"/>
  <c r="X104" i="13"/>
  <c r="O40" i="13" s="1"/>
  <c r="X103" i="13"/>
  <c r="O39" i="13" s="1"/>
  <c r="X106" i="13"/>
  <c r="O42" i="13" s="1"/>
  <c r="X108" i="13"/>
  <c r="O44" i="13" s="1"/>
  <c r="X110" i="13"/>
  <c r="O46" i="13" s="1"/>
  <c r="X112" i="13"/>
  <c r="O48" i="13" s="1"/>
  <c r="X114" i="13"/>
  <c r="O50" i="13" s="1"/>
  <c r="X116" i="13"/>
  <c r="O52" i="13" s="1"/>
  <c r="Z100" i="13" l="1"/>
  <c r="Y115" i="13"/>
  <c r="S51" i="13" s="1"/>
  <c r="Y105" i="13"/>
  <c r="S41" i="13" s="1"/>
  <c r="Y107" i="13"/>
  <c r="S43" i="13" s="1"/>
  <c r="Y109" i="13"/>
  <c r="S45" i="13" s="1"/>
  <c r="Y111" i="13"/>
  <c r="S47" i="13" s="1"/>
  <c r="Y113" i="13"/>
  <c r="S49" i="13" s="1"/>
  <c r="Y101" i="13"/>
  <c r="S37" i="13" s="1"/>
  <c r="Y108" i="13"/>
  <c r="S44" i="13" s="1"/>
  <c r="Y114" i="13"/>
  <c r="S50" i="13" s="1"/>
  <c r="Y116" i="13"/>
  <c r="S52" i="13" s="1"/>
  <c r="Y112" i="13"/>
  <c r="S48" i="13" s="1"/>
  <c r="Y103" i="13"/>
  <c r="S39" i="13" s="1"/>
  <c r="Y110" i="13"/>
  <c r="S46" i="13" s="1"/>
  <c r="Y106" i="13"/>
  <c r="S42" i="13" s="1"/>
  <c r="Y104" i="13"/>
  <c r="S40" i="13" s="1"/>
  <c r="Y102" i="13"/>
  <c r="S38" i="13" s="1"/>
  <c r="Z103" i="13" l="1"/>
  <c r="W39" i="13" s="1"/>
  <c r="Z106" i="13"/>
  <c r="W42" i="13" s="1"/>
  <c r="Z108" i="13"/>
  <c r="W44" i="13" s="1"/>
  <c r="Z110" i="13"/>
  <c r="W46" i="13" s="1"/>
  <c r="Z112" i="13"/>
  <c r="W48" i="13" s="1"/>
  <c r="Z114" i="13"/>
  <c r="W50" i="13" s="1"/>
  <c r="Z116" i="13"/>
  <c r="W52" i="13" s="1"/>
  <c r="AA100" i="13"/>
  <c r="Z102" i="13"/>
  <c r="W38" i="13" s="1"/>
  <c r="Z104" i="13"/>
  <c r="W40" i="13" s="1"/>
  <c r="Z105" i="13"/>
  <c r="W41" i="13" s="1"/>
  <c r="Z107" i="13"/>
  <c r="W43" i="13" s="1"/>
  <c r="Z109" i="13"/>
  <c r="W45" i="13" s="1"/>
  <c r="Z111" i="13"/>
  <c r="W47" i="13" s="1"/>
  <c r="Z113" i="13"/>
  <c r="W49" i="13" s="1"/>
  <c r="Z115" i="13"/>
  <c r="W51" i="13" s="1"/>
  <c r="Z101" i="13"/>
  <c r="W37" i="13" s="1"/>
  <c r="AB100" i="13" l="1"/>
  <c r="AA106" i="13"/>
  <c r="AA42" i="13" s="1"/>
  <c r="AA108" i="13"/>
  <c r="AA44" i="13" s="1"/>
  <c r="AA110" i="13"/>
  <c r="AA46" i="13" s="1"/>
  <c r="AA112" i="13"/>
  <c r="AA48" i="13" s="1"/>
  <c r="AA114" i="13"/>
  <c r="AA50" i="13" s="1"/>
  <c r="AA116" i="13"/>
  <c r="AA52" i="13" s="1"/>
  <c r="AA102" i="13"/>
  <c r="AA38" i="13" s="1"/>
  <c r="AA104" i="13"/>
  <c r="AA40" i="13" s="1"/>
  <c r="AA109" i="13"/>
  <c r="AA45" i="13" s="1"/>
  <c r="AA113" i="13"/>
  <c r="AA49" i="13" s="1"/>
  <c r="AA115" i="13"/>
  <c r="AA51" i="13" s="1"/>
  <c r="AA107" i="13"/>
  <c r="AA43" i="13" s="1"/>
  <c r="AA111" i="13"/>
  <c r="AA47" i="13" s="1"/>
  <c r="AA105" i="13"/>
  <c r="AA41" i="13" s="1"/>
  <c r="AA103" i="13"/>
  <c r="AA39" i="13" s="1"/>
  <c r="AA101" i="13"/>
  <c r="AA37" i="13" s="1"/>
  <c r="AC100" i="13" l="1"/>
  <c r="AB101" i="13"/>
  <c r="BE37" i="13" s="1"/>
  <c r="AB104" i="13"/>
  <c r="BE40" i="13" s="1"/>
  <c r="AB105" i="13"/>
  <c r="BE41" i="13" s="1"/>
  <c r="AB107" i="13"/>
  <c r="BE43" i="13" s="1"/>
  <c r="AB109" i="13"/>
  <c r="BE45" i="13" s="1"/>
  <c r="AB111" i="13"/>
  <c r="BE47" i="13" s="1"/>
  <c r="AB113" i="13"/>
  <c r="BE49" i="13" s="1"/>
  <c r="AB115" i="13"/>
  <c r="BE51" i="13" s="1"/>
  <c r="AB103" i="13"/>
  <c r="BE39" i="13" s="1"/>
  <c r="AB112" i="13"/>
  <c r="BE48" i="13" s="1"/>
  <c r="AB106" i="13"/>
  <c r="BE42" i="13" s="1"/>
  <c r="AB108" i="13"/>
  <c r="BE44" i="13" s="1"/>
  <c r="AB110" i="13"/>
  <c r="BE46" i="13" s="1"/>
  <c r="AB114" i="13"/>
  <c r="BE50" i="13" s="1"/>
  <c r="AB116" i="13"/>
  <c r="BE52" i="13" s="1"/>
  <c r="AB102" i="13"/>
  <c r="BE38" i="13" s="1"/>
  <c r="AD100" i="13" l="1"/>
  <c r="AC101" i="13"/>
  <c r="BI37" i="13" s="1"/>
  <c r="AC105" i="13"/>
  <c r="BI41" i="13" s="1"/>
  <c r="AC107" i="13"/>
  <c r="BI43" i="13" s="1"/>
  <c r="AC109" i="13"/>
  <c r="BI45" i="13" s="1"/>
  <c r="AC111" i="13"/>
  <c r="BI47" i="13" s="1"/>
  <c r="AC113" i="13"/>
  <c r="BI49" i="13" s="1"/>
  <c r="AC115" i="13"/>
  <c r="BI51" i="13" s="1"/>
  <c r="AC103" i="13"/>
  <c r="BI39" i="13" s="1"/>
  <c r="AC108" i="13"/>
  <c r="BI44" i="13" s="1"/>
  <c r="AC114" i="13"/>
  <c r="BI50" i="13" s="1"/>
  <c r="AC112" i="13"/>
  <c r="BI48" i="13" s="1"/>
  <c r="AC116" i="13"/>
  <c r="BI52" i="13" s="1"/>
  <c r="AC106" i="13"/>
  <c r="BI42" i="13" s="1"/>
  <c r="AC110" i="13"/>
  <c r="BI46" i="13" s="1"/>
  <c r="AC104" i="13"/>
  <c r="BI40" i="13" s="1"/>
  <c r="AC102" i="13"/>
  <c r="BI38" i="13" s="1"/>
  <c r="AD102" i="13" l="1"/>
  <c r="AZ38" i="13" s="1"/>
  <c r="AD106" i="13"/>
  <c r="AZ42" i="13" s="1"/>
  <c r="AD108" i="13"/>
  <c r="AZ44" i="13" s="1"/>
  <c r="AD110" i="13"/>
  <c r="AZ46" i="13" s="1"/>
  <c r="AD112" i="13"/>
  <c r="AZ48" i="13" s="1"/>
  <c r="AD114" i="13"/>
  <c r="AZ50" i="13" s="1"/>
  <c r="AD116" i="13"/>
  <c r="AZ52" i="13" s="1"/>
  <c r="AD104" i="13"/>
  <c r="AZ40" i="13" s="1"/>
  <c r="AE100" i="13"/>
  <c r="AD101" i="13"/>
  <c r="AZ37" i="13" s="1"/>
  <c r="AD105" i="13"/>
  <c r="AZ41" i="13" s="1"/>
  <c r="AD107" i="13"/>
  <c r="AZ43" i="13" s="1"/>
  <c r="AD109" i="13"/>
  <c r="AZ45" i="13" s="1"/>
  <c r="AD111" i="13"/>
  <c r="AZ47" i="13" s="1"/>
  <c r="AD115" i="13"/>
  <c r="AZ51" i="13" s="1"/>
  <c r="AD113" i="13"/>
  <c r="AZ49" i="13" s="1"/>
  <c r="AD103" i="13"/>
  <c r="AZ39" i="13" s="1"/>
  <c r="AF100" i="13" l="1"/>
  <c r="AE102" i="13"/>
  <c r="BM38" i="13" s="1"/>
  <c r="AE106" i="13"/>
  <c r="BM42" i="13" s="1"/>
  <c r="AE108" i="13"/>
  <c r="BM44" i="13" s="1"/>
  <c r="AE110" i="13"/>
  <c r="BM46" i="13" s="1"/>
  <c r="AE112" i="13"/>
  <c r="BM48" i="13" s="1"/>
  <c r="AE114" i="13"/>
  <c r="BM50" i="13" s="1"/>
  <c r="AE116" i="13"/>
  <c r="BM52" i="13" s="1"/>
  <c r="AE104" i="13"/>
  <c r="BM40" i="13" s="1"/>
  <c r="AE107" i="13"/>
  <c r="BM43" i="13" s="1"/>
  <c r="AE111" i="13"/>
  <c r="BM47" i="13" s="1"/>
  <c r="AE113" i="13"/>
  <c r="BM49" i="13" s="1"/>
  <c r="AE115" i="13"/>
  <c r="BM51" i="13" s="1"/>
  <c r="AE105" i="13"/>
  <c r="BM41" i="13" s="1"/>
  <c r="AE109" i="13"/>
  <c r="BM45" i="13" s="1"/>
  <c r="AE101" i="13"/>
  <c r="BM37" i="13" s="1"/>
  <c r="AE103" i="13"/>
  <c r="BM39" i="13" s="1"/>
  <c r="AG100" i="13" l="1"/>
  <c r="AF103" i="13"/>
  <c r="BV39" i="13" s="1"/>
  <c r="AF105" i="13"/>
  <c r="BV41" i="13" s="1"/>
  <c r="AF107" i="13"/>
  <c r="BV43" i="13" s="1"/>
  <c r="AF109" i="13"/>
  <c r="BV45" i="13" s="1"/>
  <c r="AF111" i="13"/>
  <c r="BV47" i="13" s="1"/>
  <c r="AF113" i="13"/>
  <c r="BV49" i="13" s="1"/>
  <c r="AF115" i="13"/>
  <c r="BV51" i="13" s="1"/>
  <c r="AF102" i="13"/>
  <c r="BV38" i="13" s="1"/>
  <c r="AF106" i="13"/>
  <c r="BV42" i="13" s="1"/>
  <c r="AF108" i="13"/>
  <c r="BV44" i="13" s="1"/>
  <c r="AF110" i="13"/>
  <c r="BV46" i="13" s="1"/>
  <c r="AF112" i="13"/>
  <c r="BV48" i="13" s="1"/>
  <c r="AF101" i="13"/>
  <c r="BV37" i="13" s="1"/>
  <c r="AF104" i="13"/>
  <c r="BV40" i="13" s="1"/>
  <c r="AF114" i="13"/>
  <c r="BV50" i="13" s="1"/>
  <c r="AF116" i="13"/>
  <c r="BV52" i="13" s="1"/>
  <c r="AH100" i="13" l="1"/>
  <c r="AG101" i="13"/>
  <c r="CA37" i="13" s="1"/>
  <c r="AG115" i="13"/>
  <c r="CA51" i="13" s="1"/>
  <c r="AG103" i="13"/>
  <c r="CA39" i="13" s="1"/>
  <c r="AG105" i="13"/>
  <c r="CA41" i="13" s="1"/>
  <c r="AG107" i="13"/>
  <c r="CA43" i="13" s="1"/>
  <c r="AG109" i="13"/>
  <c r="CA45" i="13" s="1"/>
  <c r="AG111" i="13"/>
  <c r="CA47" i="13" s="1"/>
  <c r="AG113" i="13"/>
  <c r="CA49" i="13" s="1"/>
  <c r="AG106" i="13"/>
  <c r="CA42" i="13" s="1"/>
  <c r="AG110" i="13"/>
  <c r="CA46" i="13" s="1"/>
  <c r="AG114" i="13"/>
  <c r="CA50" i="13" s="1"/>
  <c r="AG116" i="13"/>
  <c r="CA52" i="13" s="1"/>
  <c r="AG108" i="13"/>
  <c r="CA44" i="13" s="1"/>
  <c r="AG112" i="13"/>
  <c r="CA48" i="13" s="1"/>
  <c r="AG102" i="13"/>
  <c r="CA38" i="13" s="1"/>
  <c r="AG104" i="13"/>
  <c r="CA40" i="13" s="1"/>
  <c r="AH104" i="13" l="1"/>
  <c r="CG40" i="13" s="1"/>
  <c r="AH106" i="13"/>
  <c r="CG42" i="13" s="1"/>
  <c r="AH108" i="13"/>
  <c r="CG44" i="13" s="1"/>
  <c r="AH110" i="13"/>
  <c r="CG46" i="13" s="1"/>
  <c r="AH112" i="13"/>
  <c r="CG48" i="13" s="1"/>
  <c r="AH114" i="13"/>
  <c r="CG50" i="13" s="1"/>
  <c r="AH116" i="13"/>
  <c r="CG52" i="13" s="1"/>
  <c r="AH101" i="13"/>
  <c r="CG37" i="13" s="1"/>
  <c r="AH103" i="13"/>
  <c r="CG39" i="13" s="1"/>
  <c r="AH105" i="13"/>
  <c r="CG41" i="13" s="1"/>
  <c r="AH107" i="13"/>
  <c r="CG43" i="13" s="1"/>
  <c r="AH109" i="13"/>
  <c r="CG45" i="13" s="1"/>
  <c r="AH111" i="13"/>
  <c r="CG47" i="13" s="1"/>
  <c r="AH113" i="13"/>
  <c r="CG49" i="13" s="1"/>
  <c r="AH115" i="13"/>
  <c r="CG51" i="13" s="1"/>
  <c r="AI100" i="13"/>
  <c r="AH102" i="13"/>
  <c r="CG38" i="13" s="1"/>
  <c r="AJ100" i="13" l="1"/>
  <c r="AI102" i="13"/>
  <c r="CN38" i="13" s="1"/>
  <c r="AI116" i="13"/>
  <c r="CN52" i="13" s="1"/>
  <c r="AI104" i="13"/>
  <c r="CN40" i="13" s="1"/>
  <c r="AI106" i="13"/>
  <c r="CN42" i="13" s="1"/>
  <c r="AI108" i="13"/>
  <c r="CN44" i="13" s="1"/>
  <c r="AI110" i="13"/>
  <c r="CN46" i="13" s="1"/>
  <c r="AI112" i="13"/>
  <c r="CN48" i="13" s="1"/>
  <c r="AI114" i="13"/>
  <c r="CN50" i="13" s="1"/>
  <c r="AI113" i="13"/>
  <c r="CN49" i="13" s="1"/>
  <c r="AI115" i="13"/>
  <c r="CN51" i="13" s="1"/>
  <c r="AI105" i="13"/>
  <c r="CN41" i="13" s="1"/>
  <c r="AI109" i="13"/>
  <c r="CN45" i="13" s="1"/>
  <c r="AI107" i="13"/>
  <c r="CN43" i="13" s="1"/>
  <c r="AI111" i="13"/>
  <c r="CN47" i="13" s="1"/>
  <c r="AI103" i="13"/>
  <c r="CN39" i="13" s="1"/>
  <c r="AI101" i="13"/>
  <c r="CN37" i="13" s="1"/>
  <c r="AK100" i="13" l="1"/>
  <c r="AJ105" i="13"/>
  <c r="H41" i="13" s="1"/>
  <c r="AJ107" i="13"/>
  <c r="H43" i="13" s="1"/>
  <c r="AJ109" i="13"/>
  <c r="H45" i="13" s="1"/>
  <c r="AJ111" i="13"/>
  <c r="H47" i="13" s="1"/>
  <c r="AJ113" i="13"/>
  <c r="H49" i="13" s="1"/>
  <c r="AJ115" i="13"/>
  <c r="H51" i="13" s="1"/>
  <c r="AJ102" i="13"/>
  <c r="H38" i="13" s="1"/>
  <c r="AJ112" i="13"/>
  <c r="H48" i="13" s="1"/>
  <c r="AJ101" i="13"/>
  <c r="H37" i="13" s="1"/>
  <c r="AJ104" i="13"/>
  <c r="H40" i="13" s="1"/>
  <c r="AJ106" i="13"/>
  <c r="H42" i="13" s="1"/>
  <c r="AJ108" i="13"/>
  <c r="H44" i="13" s="1"/>
  <c r="AJ110" i="13"/>
  <c r="H46" i="13" s="1"/>
  <c r="AJ114" i="13"/>
  <c r="H50" i="13" s="1"/>
  <c r="AJ116" i="13"/>
  <c r="H52" i="13" s="1"/>
  <c r="AJ103" i="13"/>
  <c r="H39" i="13" s="1"/>
  <c r="AL100" i="13" l="1"/>
  <c r="AK103" i="13"/>
  <c r="L39" i="13" s="1"/>
  <c r="AK105" i="13"/>
  <c r="L41" i="13" s="1"/>
  <c r="AK107" i="13"/>
  <c r="L43" i="13" s="1"/>
  <c r="AK109" i="13"/>
  <c r="L45" i="13" s="1"/>
  <c r="AK111" i="13"/>
  <c r="L47" i="13" s="1"/>
  <c r="AK113" i="13"/>
  <c r="L49" i="13" s="1"/>
  <c r="AK115" i="13"/>
  <c r="L51" i="13" s="1"/>
  <c r="AK101" i="13"/>
  <c r="L37" i="13" s="1"/>
  <c r="AK112" i="13"/>
  <c r="L48" i="13" s="1"/>
  <c r="AK114" i="13"/>
  <c r="L50" i="13" s="1"/>
  <c r="AK106" i="13"/>
  <c r="L42" i="13" s="1"/>
  <c r="AK110" i="13"/>
  <c r="L46" i="13" s="1"/>
  <c r="AK108" i="13"/>
  <c r="L44" i="13" s="1"/>
  <c r="AK116" i="13"/>
  <c r="L52" i="13" s="1"/>
  <c r="AK104" i="13"/>
  <c r="L40" i="13" s="1"/>
  <c r="AK102" i="13"/>
  <c r="L38" i="13" s="1"/>
  <c r="AM100" i="13" l="1"/>
  <c r="AL101" i="13"/>
  <c r="P37" i="13" s="1"/>
  <c r="AL106" i="13"/>
  <c r="P42" i="13" s="1"/>
  <c r="AL108" i="13"/>
  <c r="P44" i="13" s="1"/>
  <c r="AL110" i="13"/>
  <c r="P46" i="13" s="1"/>
  <c r="AL112" i="13"/>
  <c r="P48" i="13" s="1"/>
  <c r="AL114" i="13"/>
  <c r="P50" i="13" s="1"/>
  <c r="AL116" i="13"/>
  <c r="P52" i="13" s="1"/>
  <c r="AL103" i="13"/>
  <c r="P39" i="13" s="1"/>
  <c r="AL102" i="13"/>
  <c r="P38" i="13" s="1"/>
  <c r="AL105" i="13"/>
  <c r="P41" i="13" s="1"/>
  <c r="AL107" i="13"/>
  <c r="P43" i="13" s="1"/>
  <c r="AL109" i="13"/>
  <c r="P45" i="13" s="1"/>
  <c r="AL111" i="13"/>
  <c r="P47" i="13" s="1"/>
  <c r="AL113" i="13"/>
  <c r="P49" i="13" s="1"/>
  <c r="AL104" i="13"/>
  <c r="P40" i="13" s="1"/>
  <c r="AL115" i="13"/>
  <c r="P51" i="13" s="1"/>
  <c r="AN100" i="13" l="1"/>
  <c r="AM104" i="13"/>
  <c r="T40" i="13" s="1"/>
  <c r="AM116" i="13"/>
  <c r="T52" i="13" s="1"/>
  <c r="AM106" i="13"/>
  <c r="T42" i="13" s="1"/>
  <c r="AM108" i="13"/>
  <c r="T44" i="13" s="1"/>
  <c r="AM110" i="13"/>
  <c r="T46" i="13" s="1"/>
  <c r="AM112" i="13"/>
  <c r="T48" i="13" s="1"/>
  <c r="AM114" i="13"/>
  <c r="T50" i="13" s="1"/>
  <c r="AM105" i="13"/>
  <c r="T41" i="13" s="1"/>
  <c r="AM109" i="13"/>
  <c r="T45" i="13" s="1"/>
  <c r="AM115" i="13"/>
  <c r="T51" i="13" s="1"/>
  <c r="AM107" i="13"/>
  <c r="T43" i="13" s="1"/>
  <c r="AM111" i="13"/>
  <c r="T47" i="13" s="1"/>
  <c r="AM102" i="13"/>
  <c r="T38" i="13" s="1"/>
  <c r="AM113" i="13"/>
  <c r="T49" i="13" s="1"/>
  <c r="AM103" i="13"/>
  <c r="T39" i="13" s="1"/>
  <c r="AM101" i="13"/>
  <c r="T37" i="13" s="1"/>
  <c r="AO100" i="13" l="1"/>
  <c r="AN102" i="13"/>
  <c r="X38" i="13" s="1"/>
  <c r="AN105" i="13"/>
  <c r="X41" i="13" s="1"/>
  <c r="AN107" i="13"/>
  <c r="X43" i="13" s="1"/>
  <c r="AN109" i="13"/>
  <c r="X45" i="13" s="1"/>
  <c r="AN111" i="13"/>
  <c r="X47" i="13" s="1"/>
  <c r="AN113" i="13"/>
  <c r="X49" i="13" s="1"/>
  <c r="AN115" i="13"/>
  <c r="X51" i="13" s="1"/>
  <c r="AN101" i="13"/>
  <c r="X37" i="13" s="1"/>
  <c r="AN104" i="13"/>
  <c r="X40" i="13" s="1"/>
  <c r="AN103" i="13"/>
  <c r="X39" i="13" s="1"/>
  <c r="AN106" i="13"/>
  <c r="X42" i="13" s="1"/>
  <c r="AN108" i="13"/>
  <c r="X44" i="13" s="1"/>
  <c r="AN110" i="13"/>
  <c r="X46" i="13" s="1"/>
  <c r="AN112" i="13"/>
  <c r="X48" i="13" s="1"/>
  <c r="AN114" i="13"/>
  <c r="X50" i="13" s="1"/>
  <c r="AN116" i="13"/>
  <c r="X52" i="13" s="1"/>
  <c r="AP100" i="13" l="1"/>
  <c r="AO115" i="13"/>
  <c r="AB51" i="13" s="1"/>
  <c r="AO105" i="13"/>
  <c r="AB41" i="13" s="1"/>
  <c r="AO107" i="13"/>
  <c r="AB43" i="13" s="1"/>
  <c r="AO109" i="13"/>
  <c r="AB45" i="13" s="1"/>
  <c r="AO111" i="13"/>
  <c r="AB47" i="13" s="1"/>
  <c r="AO113" i="13"/>
  <c r="AB49" i="13" s="1"/>
  <c r="AO101" i="13"/>
  <c r="AB37" i="13" s="1"/>
  <c r="AO103" i="13"/>
  <c r="AB39" i="13" s="1"/>
  <c r="AO108" i="13"/>
  <c r="AB44" i="13" s="1"/>
  <c r="AO114" i="13"/>
  <c r="AB50" i="13" s="1"/>
  <c r="AO116" i="13"/>
  <c r="AB52" i="13" s="1"/>
  <c r="AO112" i="13"/>
  <c r="AB48" i="13" s="1"/>
  <c r="AO106" i="13"/>
  <c r="AB42" i="13" s="1"/>
  <c r="AO110" i="13"/>
  <c r="AB46" i="13" s="1"/>
  <c r="AO104" i="13"/>
  <c r="AB40" i="13" s="1"/>
  <c r="AO102" i="13"/>
  <c r="AB38" i="13" s="1"/>
  <c r="AP103" i="13" l="1"/>
  <c r="BF39" i="13" s="1"/>
  <c r="AP106" i="13"/>
  <c r="BF42" i="13" s="1"/>
  <c r="AP108" i="13"/>
  <c r="BF44" i="13" s="1"/>
  <c r="AP110" i="13"/>
  <c r="BF46" i="13" s="1"/>
  <c r="AP112" i="13"/>
  <c r="BF48" i="13" s="1"/>
  <c r="AP114" i="13"/>
  <c r="BF50" i="13" s="1"/>
  <c r="AP116" i="13"/>
  <c r="BF52" i="13" s="1"/>
  <c r="AQ100" i="13"/>
  <c r="AP102" i="13"/>
  <c r="BF38" i="13" s="1"/>
  <c r="AP104" i="13"/>
  <c r="BF40" i="13" s="1"/>
  <c r="AP105" i="13"/>
  <c r="BF41" i="13" s="1"/>
  <c r="AP107" i="13"/>
  <c r="BF43" i="13" s="1"/>
  <c r="AP109" i="13"/>
  <c r="BF45" i="13" s="1"/>
  <c r="AP111" i="13"/>
  <c r="BF47" i="13" s="1"/>
  <c r="AP113" i="13"/>
  <c r="BF49" i="13" s="1"/>
  <c r="AP115" i="13"/>
  <c r="BF51" i="13" s="1"/>
  <c r="AP101" i="13"/>
  <c r="BF37" i="13" s="1"/>
  <c r="AR100" i="13" l="1"/>
  <c r="AQ116" i="13"/>
  <c r="BJ52" i="13" s="1"/>
  <c r="AQ106" i="13"/>
  <c r="BJ42" i="13" s="1"/>
  <c r="AQ108" i="13"/>
  <c r="BJ44" i="13" s="1"/>
  <c r="AQ110" i="13"/>
  <c r="BJ46" i="13" s="1"/>
  <c r="AQ112" i="13"/>
  <c r="BJ48" i="13" s="1"/>
  <c r="AQ114" i="13"/>
  <c r="BJ50" i="13" s="1"/>
  <c r="AQ102" i="13"/>
  <c r="BJ38" i="13" s="1"/>
  <c r="AQ113" i="13"/>
  <c r="BJ49" i="13" s="1"/>
  <c r="AQ115" i="13"/>
  <c r="BJ51" i="13" s="1"/>
  <c r="AQ105" i="13"/>
  <c r="BJ41" i="13" s="1"/>
  <c r="AQ109" i="13"/>
  <c r="BJ45" i="13" s="1"/>
  <c r="AQ107" i="13"/>
  <c r="BJ43" i="13" s="1"/>
  <c r="AQ111" i="13"/>
  <c r="BJ47" i="13" s="1"/>
  <c r="AQ104" i="13"/>
  <c r="BJ40" i="13" s="1"/>
  <c r="AQ103" i="13"/>
  <c r="BJ39" i="13" s="1"/>
  <c r="AQ101" i="13"/>
  <c r="BJ37" i="13" s="1"/>
  <c r="AS100" i="13" l="1"/>
  <c r="AR101" i="13"/>
  <c r="BA37" i="13" s="1"/>
  <c r="AR104" i="13"/>
  <c r="BA40" i="13" s="1"/>
  <c r="AR105" i="13"/>
  <c r="BA41" i="13" s="1"/>
  <c r="AR107" i="13"/>
  <c r="BA43" i="13" s="1"/>
  <c r="AR109" i="13"/>
  <c r="BA45" i="13" s="1"/>
  <c r="AR111" i="13"/>
  <c r="BA47" i="13" s="1"/>
  <c r="AR113" i="13"/>
  <c r="BA49" i="13" s="1"/>
  <c r="AR115" i="13"/>
  <c r="BA51" i="13" s="1"/>
  <c r="AR103" i="13"/>
  <c r="BA39" i="13" s="1"/>
  <c r="AR112" i="13"/>
  <c r="BA48" i="13" s="1"/>
  <c r="AR106" i="13"/>
  <c r="BA42" i="13" s="1"/>
  <c r="AR108" i="13"/>
  <c r="BA44" i="13" s="1"/>
  <c r="AR110" i="13"/>
  <c r="BA46" i="13" s="1"/>
  <c r="AR102" i="13"/>
  <c r="BA38" i="13" s="1"/>
  <c r="AR114" i="13"/>
  <c r="BA50" i="13" s="1"/>
  <c r="AR116" i="13"/>
  <c r="BA52" i="13" s="1"/>
  <c r="AT100" i="13" l="1"/>
  <c r="AS101" i="13"/>
  <c r="BN37" i="13" s="1"/>
  <c r="AS105" i="13"/>
  <c r="BN41" i="13" s="1"/>
  <c r="AS107" i="13"/>
  <c r="BN43" i="13" s="1"/>
  <c r="AS109" i="13"/>
  <c r="BN45" i="13" s="1"/>
  <c r="AS111" i="13"/>
  <c r="BN47" i="13" s="1"/>
  <c r="AS113" i="13"/>
  <c r="BN49" i="13" s="1"/>
  <c r="AS115" i="13"/>
  <c r="BN51" i="13" s="1"/>
  <c r="AS103" i="13"/>
  <c r="BN39" i="13" s="1"/>
  <c r="AS116" i="13"/>
  <c r="BN52" i="13" s="1"/>
  <c r="AS106" i="13"/>
  <c r="BN42" i="13" s="1"/>
  <c r="AS110" i="13"/>
  <c r="BN46" i="13" s="1"/>
  <c r="AS108" i="13"/>
  <c r="BN44" i="13" s="1"/>
  <c r="AS112" i="13"/>
  <c r="BN48" i="13" s="1"/>
  <c r="AS114" i="13"/>
  <c r="BN50" i="13" s="1"/>
  <c r="AS104" i="13"/>
  <c r="BN40" i="13" s="1"/>
  <c r="AS102" i="13"/>
  <c r="BN38" i="13" s="1"/>
  <c r="AT102" i="13" l="1"/>
  <c r="BW38" i="13" s="1"/>
  <c r="AT106" i="13"/>
  <c r="BW42" i="13" s="1"/>
  <c r="AT108" i="13"/>
  <c r="BW44" i="13" s="1"/>
  <c r="AT110" i="13"/>
  <c r="BW46" i="13" s="1"/>
  <c r="AT112" i="13"/>
  <c r="BW48" i="13" s="1"/>
  <c r="AT114" i="13"/>
  <c r="BW50" i="13" s="1"/>
  <c r="AT116" i="13"/>
  <c r="BW52" i="13" s="1"/>
  <c r="AT109" i="13"/>
  <c r="BW45" i="13" s="1"/>
  <c r="AT104" i="13"/>
  <c r="BW40" i="13" s="1"/>
  <c r="AU100" i="13"/>
  <c r="AT101" i="13"/>
  <c r="BW37" i="13" s="1"/>
  <c r="AT105" i="13"/>
  <c r="BW41" i="13" s="1"/>
  <c r="AT107" i="13"/>
  <c r="BW43" i="13" s="1"/>
  <c r="AT111" i="13"/>
  <c r="BW47" i="13" s="1"/>
  <c r="AT115" i="13"/>
  <c r="BW51" i="13" s="1"/>
  <c r="AT103" i="13"/>
  <c r="BW39" i="13" s="1"/>
  <c r="AT113" i="13"/>
  <c r="BW49" i="13" s="1"/>
  <c r="AV100" i="13" l="1"/>
  <c r="AU114" i="13"/>
  <c r="CB50" i="13" s="1"/>
  <c r="AU102" i="13"/>
  <c r="CB38" i="13" s="1"/>
  <c r="AU106" i="13"/>
  <c r="CB42" i="13" s="1"/>
  <c r="AU108" i="13"/>
  <c r="CB44" i="13" s="1"/>
  <c r="AU110" i="13"/>
  <c r="CB46" i="13" s="1"/>
  <c r="AU112" i="13"/>
  <c r="CB48" i="13" s="1"/>
  <c r="AU116" i="13"/>
  <c r="CB52" i="13" s="1"/>
  <c r="AU104" i="13"/>
  <c r="CB40" i="13" s="1"/>
  <c r="AU107" i="13"/>
  <c r="CB43" i="13" s="1"/>
  <c r="AU111" i="13"/>
  <c r="CB47" i="13" s="1"/>
  <c r="AU115" i="13"/>
  <c r="CB51" i="13" s="1"/>
  <c r="AU109" i="13"/>
  <c r="CB45" i="13" s="1"/>
  <c r="AU113" i="13"/>
  <c r="CB49" i="13" s="1"/>
  <c r="AU105" i="13"/>
  <c r="CB41" i="13" s="1"/>
  <c r="AU101" i="13"/>
  <c r="CB37" i="13" s="1"/>
  <c r="AU103" i="13"/>
  <c r="CB39" i="13" s="1"/>
  <c r="AW100" i="13" l="1"/>
  <c r="AV103" i="13"/>
  <c r="CH39" i="13" s="1"/>
  <c r="AV105" i="13"/>
  <c r="CH41" i="13" s="1"/>
  <c r="AV107" i="13"/>
  <c r="CH43" i="13" s="1"/>
  <c r="AV109" i="13"/>
  <c r="CH45" i="13" s="1"/>
  <c r="AV111" i="13"/>
  <c r="CH47" i="13" s="1"/>
  <c r="AV113" i="13"/>
  <c r="CH49" i="13" s="1"/>
  <c r="AV115" i="13"/>
  <c r="CH51" i="13" s="1"/>
  <c r="AV102" i="13"/>
  <c r="CH38" i="13" s="1"/>
  <c r="AV106" i="13"/>
  <c r="CH42" i="13" s="1"/>
  <c r="AV108" i="13"/>
  <c r="CH44" i="13" s="1"/>
  <c r="AV110" i="13"/>
  <c r="CH46" i="13" s="1"/>
  <c r="AV112" i="13"/>
  <c r="CH48" i="13" s="1"/>
  <c r="AV104" i="13"/>
  <c r="CH40" i="13" s="1"/>
  <c r="AV114" i="13"/>
  <c r="CH50" i="13" s="1"/>
  <c r="AV116" i="13"/>
  <c r="CH52" i="13" s="1"/>
  <c r="AV101" i="13"/>
  <c r="CH37" i="13" s="1"/>
  <c r="AX100" i="13" l="1"/>
  <c r="AW101" i="13"/>
  <c r="CO37" i="13" s="1"/>
  <c r="AW115" i="13"/>
  <c r="CO51" i="13" s="1"/>
  <c r="AW103" i="13"/>
  <c r="CO39" i="13" s="1"/>
  <c r="AW105" i="13"/>
  <c r="CO41" i="13" s="1"/>
  <c r="AW107" i="13"/>
  <c r="CO43" i="13" s="1"/>
  <c r="AW109" i="13"/>
  <c r="CO45" i="13" s="1"/>
  <c r="AW111" i="13"/>
  <c r="CO47" i="13" s="1"/>
  <c r="AW113" i="13"/>
  <c r="CO49" i="13" s="1"/>
  <c r="AW106" i="13"/>
  <c r="CO42" i="13" s="1"/>
  <c r="AW110" i="13"/>
  <c r="CO46" i="13" s="1"/>
  <c r="AW114" i="13"/>
  <c r="CO50" i="13" s="1"/>
  <c r="AW116" i="13"/>
  <c r="CO52" i="13" s="1"/>
  <c r="AW112" i="13"/>
  <c r="CO48" i="13" s="1"/>
  <c r="AW108" i="13"/>
  <c r="CO44" i="13" s="1"/>
  <c r="AW102" i="13"/>
  <c r="CO38" i="13" s="1"/>
  <c r="AW104" i="13"/>
  <c r="CO40" i="13" s="1"/>
  <c r="AX104" i="13" l="1"/>
  <c r="I40" i="13" s="1"/>
  <c r="AX106" i="13"/>
  <c r="I42" i="13" s="1"/>
  <c r="AX108" i="13"/>
  <c r="I44" i="13" s="1"/>
  <c r="AX110" i="13"/>
  <c r="I46" i="13" s="1"/>
  <c r="AX112" i="13"/>
  <c r="I48" i="13" s="1"/>
  <c r="AX114" i="13"/>
  <c r="I50" i="13" s="1"/>
  <c r="AX116" i="13"/>
  <c r="I52" i="13" s="1"/>
  <c r="AX101" i="13"/>
  <c r="I37" i="13" s="1"/>
  <c r="AX103" i="13"/>
  <c r="I39" i="13" s="1"/>
  <c r="AX105" i="13"/>
  <c r="I41" i="13" s="1"/>
  <c r="AX107" i="13"/>
  <c r="I43" i="13" s="1"/>
  <c r="AX109" i="13"/>
  <c r="I45" i="13" s="1"/>
  <c r="AX111" i="13"/>
  <c r="I47" i="13" s="1"/>
  <c r="AX113" i="13"/>
  <c r="I49" i="13" s="1"/>
  <c r="AX115" i="13"/>
  <c r="I51" i="13" s="1"/>
  <c r="AY100" i="13"/>
  <c r="AX102" i="13"/>
  <c r="I38" i="13" s="1"/>
  <c r="AZ100" i="13" l="1"/>
  <c r="AY102" i="13"/>
  <c r="M38" i="13" s="1"/>
  <c r="AY116" i="13"/>
  <c r="M52" i="13" s="1"/>
  <c r="AY104" i="13"/>
  <c r="M40" i="13" s="1"/>
  <c r="AY106" i="13"/>
  <c r="M42" i="13" s="1"/>
  <c r="AY108" i="13"/>
  <c r="M44" i="13" s="1"/>
  <c r="AY110" i="13"/>
  <c r="M46" i="13" s="1"/>
  <c r="AY112" i="13"/>
  <c r="M48" i="13" s="1"/>
  <c r="AY114" i="13"/>
  <c r="M50" i="13" s="1"/>
  <c r="AY111" i="13"/>
  <c r="M47" i="13" s="1"/>
  <c r="AY113" i="13"/>
  <c r="M49" i="13" s="1"/>
  <c r="AY115" i="13"/>
  <c r="M51" i="13" s="1"/>
  <c r="AY107" i="13"/>
  <c r="M43" i="13" s="1"/>
  <c r="AY109" i="13"/>
  <c r="M45" i="13" s="1"/>
  <c r="AY105" i="13"/>
  <c r="M41" i="13" s="1"/>
  <c r="AY103" i="13"/>
  <c r="M39" i="13" s="1"/>
  <c r="AY101" i="13"/>
  <c r="M37" i="13" s="1"/>
  <c r="BA100" i="13" l="1"/>
  <c r="AZ105" i="13"/>
  <c r="Q41" i="13" s="1"/>
  <c r="AZ107" i="13"/>
  <c r="Q43" i="13" s="1"/>
  <c r="AZ109" i="13"/>
  <c r="Q45" i="13" s="1"/>
  <c r="AZ111" i="13"/>
  <c r="Q47" i="13" s="1"/>
  <c r="AZ113" i="13"/>
  <c r="Q49" i="13" s="1"/>
  <c r="AZ115" i="13"/>
  <c r="Q51" i="13" s="1"/>
  <c r="AZ102" i="13"/>
  <c r="Q38" i="13" s="1"/>
  <c r="AZ112" i="13"/>
  <c r="Q48" i="13" s="1"/>
  <c r="AZ101" i="13"/>
  <c r="Q37" i="13" s="1"/>
  <c r="AZ104" i="13"/>
  <c r="Q40" i="13" s="1"/>
  <c r="AZ106" i="13"/>
  <c r="Q42" i="13" s="1"/>
  <c r="AZ108" i="13"/>
  <c r="Q44" i="13" s="1"/>
  <c r="AZ110" i="13"/>
  <c r="Q46" i="13" s="1"/>
  <c r="AZ114" i="13"/>
  <c r="Q50" i="13" s="1"/>
  <c r="AZ116" i="13"/>
  <c r="Q52" i="13" s="1"/>
  <c r="AZ103" i="13"/>
  <c r="Q39" i="13" s="1"/>
  <c r="BB100" i="13" l="1"/>
  <c r="BA103" i="13"/>
  <c r="U39" i="13" s="1"/>
  <c r="BA105" i="13"/>
  <c r="U41" i="13" s="1"/>
  <c r="BA107" i="13"/>
  <c r="U43" i="13" s="1"/>
  <c r="BA109" i="13"/>
  <c r="U45" i="13" s="1"/>
  <c r="BA111" i="13"/>
  <c r="U47" i="13" s="1"/>
  <c r="BA113" i="13"/>
  <c r="U49" i="13" s="1"/>
  <c r="BA115" i="13"/>
  <c r="U51" i="13" s="1"/>
  <c r="BA112" i="13"/>
  <c r="U48" i="13" s="1"/>
  <c r="BA110" i="13"/>
  <c r="U46" i="13" s="1"/>
  <c r="BA114" i="13"/>
  <c r="U50" i="13" s="1"/>
  <c r="BA108" i="13"/>
  <c r="U44" i="13" s="1"/>
  <c r="BA106" i="13"/>
  <c r="U42" i="13" s="1"/>
  <c r="BA116" i="13"/>
  <c r="U52" i="13" s="1"/>
  <c r="BA101" i="13"/>
  <c r="U37" i="13" s="1"/>
  <c r="BA104" i="13"/>
  <c r="U40" i="13" s="1"/>
  <c r="BA102" i="13"/>
  <c r="U38" i="13" s="1"/>
  <c r="BB101" i="13" l="1"/>
  <c r="Y37" i="13" s="1"/>
  <c r="BB106" i="13"/>
  <c r="Y42" i="13" s="1"/>
  <c r="BB108" i="13"/>
  <c r="Y44" i="13" s="1"/>
  <c r="BB110" i="13"/>
  <c r="Y46" i="13" s="1"/>
  <c r="BB112" i="13"/>
  <c r="Y48" i="13" s="1"/>
  <c r="BB114" i="13"/>
  <c r="Y50" i="13" s="1"/>
  <c r="BB116" i="13"/>
  <c r="Y52" i="13" s="1"/>
  <c r="BC100" i="13"/>
  <c r="BB103" i="13"/>
  <c r="Y39" i="13" s="1"/>
  <c r="BB102" i="13"/>
  <c r="Y38" i="13" s="1"/>
  <c r="BB105" i="13"/>
  <c r="Y41" i="13" s="1"/>
  <c r="BB107" i="13"/>
  <c r="Y43" i="13" s="1"/>
  <c r="BB109" i="13"/>
  <c r="Y45" i="13" s="1"/>
  <c r="BB111" i="13"/>
  <c r="Y47" i="13" s="1"/>
  <c r="BB113" i="13"/>
  <c r="Y49" i="13" s="1"/>
  <c r="BB115" i="13"/>
  <c r="Y51" i="13" s="1"/>
  <c r="BB104" i="13"/>
  <c r="Y40" i="13" s="1"/>
  <c r="BC104" i="13" l="1"/>
  <c r="AC40" i="13" s="1"/>
  <c r="BC116" i="13"/>
  <c r="AC52" i="13" s="1"/>
  <c r="BC106" i="13"/>
  <c r="AC42" i="13" s="1"/>
  <c r="BC108" i="13"/>
  <c r="AC44" i="13" s="1"/>
  <c r="BC110" i="13"/>
  <c r="AC46" i="13" s="1"/>
  <c r="BC112" i="13"/>
  <c r="AC48" i="13" s="1"/>
  <c r="BC114" i="13"/>
  <c r="AC50" i="13" s="1"/>
  <c r="BD100" i="13"/>
  <c r="BC105" i="13"/>
  <c r="AC41" i="13" s="1"/>
  <c r="BC109" i="13"/>
  <c r="AC45" i="13" s="1"/>
  <c r="BC111" i="13"/>
  <c r="AC47" i="13" s="1"/>
  <c r="BC113" i="13"/>
  <c r="AC49" i="13" s="1"/>
  <c r="BC102" i="13"/>
  <c r="AC38" i="13" s="1"/>
  <c r="BC107" i="13"/>
  <c r="AC43" i="13" s="1"/>
  <c r="BC115" i="13"/>
  <c r="AC51" i="13" s="1"/>
  <c r="BC103" i="13"/>
  <c r="AC39" i="13" s="1"/>
  <c r="BC101" i="13"/>
  <c r="AC37" i="13" s="1"/>
  <c r="BE100" i="13" l="1"/>
  <c r="BD102" i="13"/>
  <c r="BG38" i="13" s="1"/>
  <c r="BD105" i="13"/>
  <c r="BG41" i="13" s="1"/>
  <c r="BD107" i="13"/>
  <c r="BG43" i="13" s="1"/>
  <c r="BD109" i="13"/>
  <c r="BG45" i="13" s="1"/>
  <c r="BD111" i="13"/>
  <c r="BG47" i="13" s="1"/>
  <c r="BD113" i="13"/>
  <c r="BG49" i="13" s="1"/>
  <c r="BD115" i="13"/>
  <c r="BG51" i="13" s="1"/>
  <c r="BD101" i="13"/>
  <c r="BG37" i="13" s="1"/>
  <c r="BD104" i="13"/>
  <c r="BG40" i="13" s="1"/>
  <c r="BD103" i="13"/>
  <c r="BG39" i="13" s="1"/>
  <c r="BD106" i="13"/>
  <c r="BG42" i="13" s="1"/>
  <c r="BD108" i="13"/>
  <c r="BG44" i="13" s="1"/>
  <c r="BD110" i="13"/>
  <c r="BG46" i="13" s="1"/>
  <c r="BD112" i="13"/>
  <c r="BG48" i="13" s="1"/>
  <c r="BD116" i="13"/>
  <c r="BG52" i="13" s="1"/>
  <c r="BD114" i="13"/>
  <c r="BG50" i="13" s="1"/>
  <c r="BF100" i="13" l="1"/>
  <c r="BE105" i="13"/>
  <c r="BK41" i="13" s="1"/>
  <c r="BE107" i="13"/>
  <c r="BK43" i="13" s="1"/>
  <c r="BE109" i="13"/>
  <c r="BK45" i="13" s="1"/>
  <c r="BE111" i="13"/>
  <c r="BK47" i="13" s="1"/>
  <c r="BE113" i="13"/>
  <c r="BK49" i="13" s="1"/>
  <c r="BE115" i="13"/>
  <c r="BK51" i="13" s="1"/>
  <c r="BE101" i="13"/>
  <c r="BK37" i="13" s="1"/>
  <c r="BE108" i="13"/>
  <c r="BK44" i="13" s="1"/>
  <c r="BE114" i="13"/>
  <c r="BK50" i="13" s="1"/>
  <c r="BE116" i="13"/>
  <c r="BK52" i="13" s="1"/>
  <c r="BE112" i="13"/>
  <c r="BK48" i="13" s="1"/>
  <c r="BE103" i="13"/>
  <c r="BK39" i="13" s="1"/>
  <c r="BE110" i="13"/>
  <c r="BK46" i="13" s="1"/>
  <c r="BE106" i="13"/>
  <c r="BK42" i="13" s="1"/>
  <c r="BE104" i="13"/>
  <c r="BK40" i="13" s="1"/>
  <c r="BE102" i="13"/>
  <c r="BK38" i="13" s="1"/>
  <c r="BF103" i="13" l="1"/>
  <c r="BB39" i="13" s="1"/>
  <c r="BF106" i="13"/>
  <c r="BB42" i="13" s="1"/>
  <c r="BF108" i="13"/>
  <c r="BB44" i="13" s="1"/>
  <c r="BF110" i="13"/>
  <c r="BB46" i="13" s="1"/>
  <c r="BF112" i="13"/>
  <c r="BB48" i="13" s="1"/>
  <c r="BF114" i="13"/>
  <c r="BB50" i="13" s="1"/>
  <c r="BF116" i="13"/>
  <c r="BB52" i="13" s="1"/>
  <c r="BF102" i="13"/>
  <c r="BB38" i="13" s="1"/>
  <c r="BF104" i="13"/>
  <c r="BB40" i="13" s="1"/>
  <c r="BF105" i="13"/>
  <c r="BB41" i="13" s="1"/>
  <c r="BF107" i="13"/>
  <c r="BB43" i="13" s="1"/>
  <c r="BF109" i="13"/>
  <c r="BB45" i="13" s="1"/>
  <c r="BF111" i="13"/>
  <c r="BB47" i="13" s="1"/>
  <c r="BG100" i="13"/>
  <c r="BF101" i="13"/>
  <c r="BB37" i="13" s="1"/>
  <c r="BF113" i="13"/>
  <c r="BB49" i="13" s="1"/>
  <c r="BF115" i="13"/>
  <c r="BB51" i="13" s="1"/>
  <c r="BH100" i="13" l="1"/>
  <c r="BG116" i="13"/>
  <c r="BO52" i="13" s="1"/>
  <c r="BG106" i="13"/>
  <c r="BO42" i="13" s="1"/>
  <c r="BG108" i="13"/>
  <c r="BO44" i="13" s="1"/>
  <c r="BG110" i="13"/>
  <c r="BO46" i="13" s="1"/>
  <c r="BG112" i="13"/>
  <c r="BO48" i="13" s="1"/>
  <c r="BG114" i="13"/>
  <c r="BO50" i="13" s="1"/>
  <c r="BG102" i="13"/>
  <c r="BO38" i="13" s="1"/>
  <c r="BG113" i="13"/>
  <c r="BO49" i="13" s="1"/>
  <c r="BG111" i="13"/>
  <c r="BO47" i="13" s="1"/>
  <c r="BG105" i="13"/>
  <c r="BO41" i="13" s="1"/>
  <c r="BG109" i="13"/>
  <c r="BO45" i="13" s="1"/>
  <c r="BG115" i="13"/>
  <c r="BO51" i="13" s="1"/>
  <c r="BG104" i="13"/>
  <c r="BO40" i="13" s="1"/>
  <c r="BG107" i="13"/>
  <c r="BO43" i="13" s="1"/>
  <c r="BG103" i="13"/>
  <c r="BO39" i="13" s="1"/>
  <c r="BG101" i="13"/>
  <c r="BO37" i="13" s="1"/>
  <c r="BI100" i="13" l="1"/>
  <c r="BH101" i="13"/>
  <c r="BX37" i="13" s="1"/>
  <c r="BH104" i="13"/>
  <c r="BX40" i="13" s="1"/>
  <c r="BH105" i="13"/>
  <c r="BX41" i="13" s="1"/>
  <c r="BH107" i="13"/>
  <c r="BX43" i="13" s="1"/>
  <c r="BH109" i="13"/>
  <c r="BX45" i="13" s="1"/>
  <c r="BH111" i="13"/>
  <c r="BX47" i="13" s="1"/>
  <c r="BH113" i="13"/>
  <c r="BX49" i="13" s="1"/>
  <c r="BH115" i="13"/>
  <c r="BX51" i="13" s="1"/>
  <c r="BH103" i="13"/>
  <c r="BX39" i="13" s="1"/>
  <c r="BH112" i="13"/>
  <c r="BX48" i="13" s="1"/>
  <c r="BH106" i="13"/>
  <c r="BX42" i="13" s="1"/>
  <c r="BH108" i="13"/>
  <c r="BX44" i="13" s="1"/>
  <c r="BH110" i="13"/>
  <c r="BX46" i="13" s="1"/>
  <c r="BH114" i="13"/>
  <c r="BX50" i="13" s="1"/>
  <c r="BH116" i="13"/>
  <c r="BX52" i="13" s="1"/>
  <c r="BH102" i="13"/>
  <c r="BX38" i="13" s="1"/>
  <c r="BJ100" i="13" l="1"/>
  <c r="BI115" i="13"/>
  <c r="CC51" i="13" s="1"/>
  <c r="BI101" i="13"/>
  <c r="CC37" i="13" s="1"/>
  <c r="BI105" i="13"/>
  <c r="CC41" i="13" s="1"/>
  <c r="BI107" i="13"/>
  <c r="CC43" i="13" s="1"/>
  <c r="BI109" i="13"/>
  <c r="CC45" i="13" s="1"/>
  <c r="BI111" i="13"/>
  <c r="CC47" i="13" s="1"/>
  <c r="BI113" i="13"/>
  <c r="CC49" i="13" s="1"/>
  <c r="BI103" i="13"/>
  <c r="CC39" i="13" s="1"/>
  <c r="BI112" i="13"/>
  <c r="CC48" i="13" s="1"/>
  <c r="BI108" i="13"/>
  <c r="CC44" i="13" s="1"/>
  <c r="BI114" i="13"/>
  <c r="CC50" i="13" s="1"/>
  <c r="BI110" i="13"/>
  <c r="CC46" i="13" s="1"/>
  <c r="BI116" i="13"/>
  <c r="CC52" i="13" s="1"/>
  <c r="BI106" i="13"/>
  <c r="CC42" i="13" s="1"/>
  <c r="BI104" i="13"/>
  <c r="CC40" i="13" s="1"/>
  <c r="BI102" i="13"/>
  <c r="CC38" i="13" s="1"/>
  <c r="BJ102" i="13" l="1"/>
  <c r="CI38" i="13" s="1"/>
  <c r="BJ106" i="13"/>
  <c r="CI42" i="13" s="1"/>
  <c r="BJ108" i="13"/>
  <c r="CI44" i="13" s="1"/>
  <c r="BJ110" i="13"/>
  <c r="CI46" i="13" s="1"/>
  <c r="BJ112" i="13"/>
  <c r="CI48" i="13" s="1"/>
  <c r="BJ114" i="13"/>
  <c r="CI50" i="13" s="1"/>
  <c r="BJ116" i="13"/>
  <c r="CI52" i="13" s="1"/>
  <c r="BK100" i="13"/>
  <c r="BJ104" i="13"/>
  <c r="CI40" i="13" s="1"/>
  <c r="BJ101" i="13"/>
  <c r="CI37" i="13" s="1"/>
  <c r="BJ105" i="13"/>
  <c r="CI41" i="13" s="1"/>
  <c r="BJ107" i="13"/>
  <c r="CI43" i="13" s="1"/>
  <c r="BJ109" i="13"/>
  <c r="CI45" i="13" s="1"/>
  <c r="BJ111" i="13"/>
  <c r="CI47" i="13" s="1"/>
  <c r="BJ103" i="13"/>
  <c r="CI39" i="13" s="1"/>
  <c r="BJ113" i="13"/>
  <c r="CI49" i="13" s="1"/>
  <c r="BJ115" i="13"/>
  <c r="CI51" i="13" s="1"/>
  <c r="BK102" i="13" l="1"/>
  <c r="CP38" i="13" s="1"/>
  <c r="BK106" i="13"/>
  <c r="CP42" i="13" s="1"/>
  <c r="BK108" i="13"/>
  <c r="CP44" i="13" s="1"/>
  <c r="BK110" i="13"/>
  <c r="CP46" i="13" s="1"/>
  <c r="BK112" i="13"/>
  <c r="CP48" i="13" s="1"/>
  <c r="BK114" i="13"/>
  <c r="CP50" i="13" s="1"/>
  <c r="BK116" i="13"/>
  <c r="CP52" i="13" s="1"/>
  <c r="BL100" i="13"/>
  <c r="BK104" i="13"/>
  <c r="CP40" i="13" s="1"/>
  <c r="BK107" i="13"/>
  <c r="CP43" i="13" s="1"/>
  <c r="BK111" i="13"/>
  <c r="CP47" i="13" s="1"/>
  <c r="BK115" i="13"/>
  <c r="CP51" i="13" s="1"/>
  <c r="BK105" i="13"/>
  <c r="CP41" i="13" s="1"/>
  <c r="BK109" i="13"/>
  <c r="CP45" i="13" s="1"/>
  <c r="BK113" i="13"/>
  <c r="CP49" i="13" s="1"/>
  <c r="BK101" i="13"/>
  <c r="CP37" i="13" s="1"/>
  <c r="BK103" i="13"/>
  <c r="CP39" i="13" s="1"/>
  <c r="BM100" i="13" l="1"/>
  <c r="BL103" i="13"/>
  <c r="J39" i="13" s="1"/>
  <c r="BL105" i="13"/>
  <c r="J41" i="13" s="1"/>
  <c r="BL107" i="13"/>
  <c r="J43" i="13" s="1"/>
  <c r="BL109" i="13"/>
  <c r="J45" i="13" s="1"/>
  <c r="BL111" i="13"/>
  <c r="J47" i="13" s="1"/>
  <c r="BL113" i="13"/>
  <c r="J49" i="13" s="1"/>
  <c r="BL115" i="13"/>
  <c r="J51" i="13" s="1"/>
  <c r="BL102" i="13"/>
  <c r="J38" i="13" s="1"/>
  <c r="BL106" i="13"/>
  <c r="J42" i="13" s="1"/>
  <c r="BL108" i="13"/>
  <c r="J44" i="13" s="1"/>
  <c r="BL110" i="13"/>
  <c r="J46" i="13" s="1"/>
  <c r="BL112" i="13"/>
  <c r="J48" i="13" s="1"/>
  <c r="BL114" i="13"/>
  <c r="J50" i="13" s="1"/>
  <c r="BL101" i="13"/>
  <c r="J37" i="13" s="1"/>
  <c r="BL104" i="13"/>
  <c r="J40" i="13" s="1"/>
  <c r="BL116" i="13"/>
  <c r="J52" i="13" s="1"/>
  <c r="BN100" i="13" l="1"/>
  <c r="BM101" i="13"/>
  <c r="N37" i="13" s="1"/>
  <c r="BM103" i="13"/>
  <c r="N39" i="13" s="1"/>
  <c r="BM105" i="13"/>
  <c r="N41" i="13" s="1"/>
  <c r="BM107" i="13"/>
  <c r="N43" i="13" s="1"/>
  <c r="BM109" i="13"/>
  <c r="N45" i="13" s="1"/>
  <c r="BM111" i="13"/>
  <c r="N47" i="13" s="1"/>
  <c r="BM113" i="13"/>
  <c r="N49" i="13" s="1"/>
  <c r="BM115" i="13"/>
  <c r="N51" i="13" s="1"/>
  <c r="BM106" i="13"/>
  <c r="N42" i="13" s="1"/>
  <c r="BM110" i="13"/>
  <c r="N46" i="13" s="1"/>
  <c r="BM114" i="13"/>
  <c r="N50" i="13" s="1"/>
  <c r="BM116" i="13"/>
  <c r="N52" i="13" s="1"/>
  <c r="BM112" i="13"/>
  <c r="N48" i="13" s="1"/>
  <c r="BM108" i="13"/>
  <c r="N44" i="13" s="1"/>
  <c r="BM102" i="13"/>
  <c r="N38" i="13" s="1"/>
  <c r="BM104" i="13"/>
  <c r="N40" i="13" s="1"/>
  <c r="BN104" i="13" l="1"/>
  <c r="R40" i="13" s="1"/>
  <c r="BN106" i="13"/>
  <c r="R42" i="13" s="1"/>
  <c r="BN108" i="13"/>
  <c r="R44" i="13" s="1"/>
  <c r="BN110" i="13"/>
  <c r="R46" i="13" s="1"/>
  <c r="BN112" i="13"/>
  <c r="R48" i="13" s="1"/>
  <c r="BN114" i="13"/>
  <c r="R50" i="13" s="1"/>
  <c r="BN116" i="13"/>
  <c r="R52" i="13" s="1"/>
  <c r="BN101" i="13"/>
  <c r="R37" i="13" s="1"/>
  <c r="BN103" i="13"/>
  <c r="R39" i="13" s="1"/>
  <c r="BN105" i="13"/>
  <c r="R41" i="13" s="1"/>
  <c r="BN107" i="13"/>
  <c r="R43" i="13" s="1"/>
  <c r="BN109" i="13"/>
  <c r="R45" i="13" s="1"/>
  <c r="BN111" i="13"/>
  <c r="R47" i="13" s="1"/>
  <c r="BN102" i="13"/>
  <c r="R38" i="13" s="1"/>
  <c r="BN113" i="13"/>
  <c r="R49" i="13" s="1"/>
  <c r="BN115" i="13"/>
  <c r="R51" i="13" s="1"/>
  <c r="BO100" i="13"/>
  <c r="BP100" i="13" l="1"/>
  <c r="BO102" i="13"/>
  <c r="V38" i="13" s="1"/>
  <c r="BO116" i="13"/>
  <c r="V52" i="13" s="1"/>
  <c r="BO104" i="13"/>
  <c r="V40" i="13" s="1"/>
  <c r="BO106" i="13"/>
  <c r="V42" i="13" s="1"/>
  <c r="BO108" i="13"/>
  <c r="V44" i="13" s="1"/>
  <c r="BO110" i="13"/>
  <c r="V46" i="13" s="1"/>
  <c r="BO112" i="13"/>
  <c r="V48" i="13" s="1"/>
  <c r="BO114" i="13"/>
  <c r="V50" i="13" s="1"/>
  <c r="BO111" i="13"/>
  <c r="V47" i="13" s="1"/>
  <c r="BO115" i="13"/>
  <c r="V51" i="13" s="1"/>
  <c r="BO107" i="13"/>
  <c r="V43" i="13" s="1"/>
  <c r="BO113" i="13"/>
  <c r="V49" i="13" s="1"/>
  <c r="BO105" i="13"/>
  <c r="V41" i="13" s="1"/>
  <c r="BO109" i="13"/>
  <c r="V45" i="13" s="1"/>
  <c r="BO103" i="13"/>
  <c r="V39" i="13" s="1"/>
  <c r="BO101" i="13"/>
  <c r="V37" i="13" s="1"/>
  <c r="BQ100" i="13" l="1"/>
  <c r="BP105" i="13"/>
  <c r="Z41" i="13" s="1"/>
  <c r="BP107" i="13"/>
  <c r="Z43" i="13" s="1"/>
  <c r="BP109" i="13"/>
  <c r="Z45" i="13" s="1"/>
  <c r="BP111" i="13"/>
  <c r="Z47" i="13" s="1"/>
  <c r="BP113" i="13"/>
  <c r="Z49" i="13" s="1"/>
  <c r="BP115" i="13"/>
  <c r="Z51" i="13" s="1"/>
  <c r="BP102" i="13"/>
  <c r="Z38" i="13" s="1"/>
  <c r="BP112" i="13"/>
  <c r="Z48" i="13" s="1"/>
  <c r="BP101" i="13"/>
  <c r="Z37" i="13" s="1"/>
  <c r="BP104" i="13"/>
  <c r="Z40" i="13" s="1"/>
  <c r="BP106" i="13"/>
  <c r="Z42" i="13" s="1"/>
  <c r="BP108" i="13"/>
  <c r="Z44" i="13" s="1"/>
  <c r="BP110" i="13"/>
  <c r="Z46" i="13" s="1"/>
  <c r="BP114" i="13"/>
  <c r="Z50" i="13" s="1"/>
  <c r="BP116" i="13"/>
  <c r="Z52" i="13" s="1"/>
  <c r="BP103" i="13"/>
  <c r="Z39" i="13" s="1"/>
  <c r="BR100" i="13" l="1"/>
  <c r="BQ103" i="13"/>
  <c r="AD39" i="13" s="1"/>
  <c r="D59" i="13" s="1"/>
  <c r="BQ115" i="13"/>
  <c r="AD51" i="13" s="1"/>
  <c r="D71" i="13" s="1"/>
  <c r="BQ105" i="13"/>
  <c r="AD41" i="13" s="1"/>
  <c r="D61" i="13" s="1"/>
  <c r="BQ107" i="13"/>
  <c r="AD43" i="13" s="1"/>
  <c r="D63" i="13" s="1"/>
  <c r="BQ109" i="13"/>
  <c r="AD45" i="13" s="1"/>
  <c r="D65" i="13" s="1"/>
  <c r="BQ111" i="13"/>
  <c r="AD47" i="13" s="1"/>
  <c r="D67" i="13" s="1"/>
  <c r="BQ113" i="13"/>
  <c r="AD49" i="13" s="1"/>
  <c r="D69" i="13" s="1"/>
  <c r="BQ112" i="13"/>
  <c r="AD48" i="13" s="1"/>
  <c r="D68" i="13" s="1"/>
  <c r="BQ106" i="13"/>
  <c r="AD42" i="13" s="1"/>
  <c r="D62" i="13" s="1"/>
  <c r="BQ110" i="13"/>
  <c r="AD46" i="13" s="1"/>
  <c r="D66" i="13" s="1"/>
  <c r="BQ116" i="13"/>
  <c r="AD52" i="13" s="1"/>
  <c r="D72" i="13" s="1"/>
  <c r="BQ101" i="13"/>
  <c r="AD37" i="13" s="1"/>
  <c r="D57" i="13" s="1"/>
  <c r="BQ114" i="13"/>
  <c r="AD50" i="13" s="1"/>
  <c r="D70" i="13" s="1"/>
  <c r="BQ108" i="13"/>
  <c r="AD44" i="13" s="1"/>
  <c r="D64" i="13" s="1"/>
  <c r="BQ104" i="13"/>
  <c r="AD40" i="13" s="1"/>
  <c r="D60" i="13" s="1"/>
  <c r="BQ102" i="13"/>
  <c r="AD38" i="13" s="1"/>
  <c r="D58" i="13" s="1"/>
  <c r="BR101" i="13" l="1"/>
  <c r="BH37" i="13" s="1"/>
  <c r="BR106" i="13"/>
  <c r="BH42" i="13" s="1"/>
  <c r="BR108" i="13"/>
  <c r="BH44" i="13" s="1"/>
  <c r="BR110" i="13"/>
  <c r="BH46" i="13" s="1"/>
  <c r="BR112" i="13"/>
  <c r="BH48" i="13" s="1"/>
  <c r="BR114" i="13"/>
  <c r="BH50" i="13" s="1"/>
  <c r="BR116" i="13"/>
  <c r="BH52" i="13" s="1"/>
  <c r="BS100" i="13"/>
  <c r="BR103" i="13"/>
  <c r="BH39" i="13" s="1"/>
  <c r="BR102" i="13"/>
  <c r="BH38" i="13" s="1"/>
  <c r="BR105" i="13"/>
  <c r="BH41" i="13" s="1"/>
  <c r="BR107" i="13"/>
  <c r="BH43" i="13" s="1"/>
  <c r="BR109" i="13"/>
  <c r="BH45" i="13" s="1"/>
  <c r="BR111" i="13"/>
  <c r="BH47" i="13" s="1"/>
  <c r="BR104" i="13"/>
  <c r="BH40" i="13" s="1"/>
  <c r="BR115" i="13"/>
  <c r="BH51" i="13" s="1"/>
  <c r="BR113" i="13"/>
  <c r="BH49" i="13" s="1"/>
  <c r="BS104" i="13" l="1"/>
  <c r="BL40" i="13" s="1"/>
  <c r="BS114" i="13"/>
  <c r="BL50" i="13" s="1"/>
  <c r="BS116" i="13"/>
  <c r="BL52" i="13" s="1"/>
  <c r="BS106" i="13"/>
  <c r="BL42" i="13" s="1"/>
  <c r="BS108" i="13"/>
  <c r="BL44" i="13" s="1"/>
  <c r="BS110" i="13"/>
  <c r="BL46" i="13" s="1"/>
  <c r="BS112" i="13"/>
  <c r="BL48" i="13" s="1"/>
  <c r="BT100" i="13"/>
  <c r="BS105" i="13"/>
  <c r="BL41" i="13" s="1"/>
  <c r="BS109" i="13"/>
  <c r="BL45" i="13" s="1"/>
  <c r="BS102" i="13"/>
  <c r="BL38" i="13" s="1"/>
  <c r="BS107" i="13"/>
  <c r="BL43" i="13" s="1"/>
  <c r="BS111" i="13"/>
  <c r="BL47" i="13" s="1"/>
  <c r="BS113" i="13"/>
  <c r="BL49" i="13" s="1"/>
  <c r="BS115" i="13"/>
  <c r="BL51" i="13" s="1"/>
  <c r="BS103" i="13"/>
  <c r="BL39" i="13" s="1"/>
  <c r="BS101" i="13"/>
  <c r="BL37" i="13" s="1"/>
  <c r="BU100" i="13" l="1"/>
  <c r="BT102" i="13"/>
  <c r="BC38" i="13" s="1"/>
  <c r="BT105" i="13"/>
  <c r="BC41" i="13" s="1"/>
  <c r="BT107" i="13"/>
  <c r="BC43" i="13" s="1"/>
  <c r="BT109" i="13"/>
  <c r="BC45" i="13" s="1"/>
  <c r="BT111" i="13"/>
  <c r="BC47" i="13" s="1"/>
  <c r="BT113" i="13"/>
  <c r="BC49" i="13" s="1"/>
  <c r="BT115" i="13"/>
  <c r="BC51" i="13" s="1"/>
  <c r="BT101" i="13"/>
  <c r="BC37" i="13" s="1"/>
  <c r="BT104" i="13"/>
  <c r="BC40" i="13" s="1"/>
  <c r="BT103" i="13"/>
  <c r="BC39" i="13" s="1"/>
  <c r="BT106" i="13"/>
  <c r="BC42" i="13" s="1"/>
  <c r="BT108" i="13"/>
  <c r="BC44" i="13" s="1"/>
  <c r="BT110" i="13"/>
  <c r="BC46" i="13" s="1"/>
  <c r="BT112" i="13"/>
  <c r="BC48" i="13" s="1"/>
  <c r="BT116" i="13"/>
  <c r="BC52" i="13" s="1"/>
  <c r="BT114" i="13"/>
  <c r="BC50" i="13" s="1"/>
  <c r="BV100" i="13" l="1"/>
  <c r="BU105" i="13"/>
  <c r="BP41" i="13" s="1"/>
  <c r="BU107" i="13"/>
  <c r="BP43" i="13" s="1"/>
  <c r="BU109" i="13"/>
  <c r="BP45" i="13" s="1"/>
  <c r="BU111" i="13"/>
  <c r="BP47" i="13" s="1"/>
  <c r="BU113" i="13"/>
  <c r="BP49" i="13" s="1"/>
  <c r="BU115" i="13"/>
  <c r="BP51" i="13" s="1"/>
  <c r="BU101" i="13"/>
  <c r="BP37" i="13" s="1"/>
  <c r="BU108" i="13"/>
  <c r="BP44" i="13" s="1"/>
  <c r="BU114" i="13"/>
  <c r="BP50" i="13" s="1"/>
  <c r="BU116" i="13"/>
  <c r="BP52" i="13" s="1"/>
  <c r="BU112" i="13"/>
  <c r="BP48" i="13" s="1"/>
  <c r="BU103" i="13"/>
  <c r="BP39" i="13" s="1"/>
  <c r="BU106" i="13"/>
  <c r="BP42" i="13" s="1"/>
  <c r="BU110" i="13"/>
  <c r="BP46" i="13" s="1"/>
  <c r="BU104" i="13"/>
  <c r="BP40" i="13" s="1"/>
  <c r="BU102" i="13"/>
  <c r="BP38" i="13" s="1"/>
  <c r="BV103" i="13" l="1"/>
  <c r="BY39" i="13" s="1"/>
  <c r="BV106" i="13"/>
  <c r="BY42" i="13" s="1"/>
  <c r="BV108" i="13"/>
  <c r="BY44" i="13" s="1"/>
  <c r="BV110" i="13"/>
  <c r="BY46" i="13" s="1"/>
  <c r="BV112" i="13"/>
  <c r="BY48" i="13" s="1"/>
  <c r="BV114" i="13"/>
  <c r="BY50" i="13" s="1"/>
  <c r="BV116" i="13"/>
  <c r="BY52" i="13" s="1"/>
  <c r="BV102" i="13"/>
  <c r="BY38" i="13" s="1"/>
  <c r="BV104" i="13"/>
  <c r="BY40" i="13" s="1"/>
  <c r="BV105" i="13"/>
  <c r="BY41" i="13" s="1"/>
  <c r="BV107" i="13"/>
  <c r="BY43" i="13" s="1"/>
  <c r="BV109" i="13"/>
  <c r="BY45" i="13" s="1"/>
  <c r="BV111" i="13"/>
  <c r="BY47" i="13" s="1"/>
  <c r="BV113" i="13"/>
  <c r="BY49" i="13" s="1"/>
  <c r="BV115" i="13"/>
  <c r="BY51" i="13" s="1"/>
  <c r="BW100" i="13"/>
  <c r="BV101" i="13"/>
  <c r="BY37" i="13" s="1"/>
  <c r="BX100" i="13" l="1"/>
  <c r="BW116" i="13"/>
  <c r="CD52" i="13" s="1"/>
  <c r="E72" i="13" s="1"/>
  <c r="BW106" i="13"/>
  <c r="CD42" i="13" s="1"/>
  <c r="E62" i="13" s="1"/>
  <c r="BW108" i="13"/>
  <c r="CD44" i="13" s="1"/>
  <c r="E64" i="13" s="1"/>
  <c r="BW110" i="13"/>
  <c r="CD46" i="13" s="1"/>
  <c r="E66" i="13" s="1"/>
  <c r="BW112" i="13"/>
  <c r="CD48" i="13" s="1"/>
  <c r="E68" i="13" s="1"/>
  <c r="BW114" i="13"/>
  <c r="CD50" i="13" s="1"/>
  <c r="E70" i="13" s="1"/>
  <c r="BW102" i="13"/>
  <c r="CD38" i="13" s="1"/>
  <c r="E58" i="13" s="1"/>
  <c r="BW113" i="13"/>
  <c r="CD49" i="13" s="1"/>
  <c r="E69" i="13" s="1"/>
  <c r="BW115" i="13"/>
  <c r="CD51" i="13" s="1"/>
  <c r="E71" i="13" s="1"/>
  <c r="BW104" i="13"/>
  <c r="CD40" i="13" s="1"/>
  <c r="E60" i="13" s="1"/>
  <c r="BW105" i="13"/>
  <c r="CD41" i="13" s="1"/>
  <c r="E61" i="13" s="1"/>
  <c r="BW109" i="13"/>
  <c r="CD45" i="13" s="1"/>
  <c r="E65" i="13" s="1"/>
  <c r="BW107" i="13"/>
  <c r="CD43" i="13" s="1"/>
  <c r="E63" i="13" s="1"/>
  <c r="BW111" i="13"/>
  <c r="CD47" i="13" s="1"/>
  <c r="E67" i="13" s="1"/>
  <c r="BW103" i="13"/>
  <c r="CD39" i="13" s="1"/>
  <c r="E59" i="13" s="1"/>
  <c r="BW101" i="13"/>
  <c r="CD37" i="13" s="1"/>
  <c r="E57" i="13" s="1"/>
  <c r="BY100" i="13" l="1"/>
  <c r="BX101" i="13"/>
  <c r="CJ37" i="13" s="1"/>
  <c r="F57" i="13" s="1"/>
  <c r="BX104" i="13"/>
  <c r="CJ40" i="13" s="1"/>
  <c r="F60" i="13" s="1"/>
  <c r="BX105" i="13"/>
  <c r="CJ41" i="13" s="1"/>
  <c r="F61" i="13" s="1"/>
  <c r="BX107" i="13"/>
  <c r="CJ43" i="13" s="1"/>
  <c r="F63" i="13" s="1"/>
  <c r="BX109" i="13"/>
  <c r="CJ45" i="13" s="1"/>
  <c r="F65" i="13" s="1"/>
  <c r="BX111" i="13"/>
  <c r="CJ47" i="13" s="1"/>
  <c r="F67" i="13" s="1"/>
  <c r="BX113" i="13"/>
  <c r="CJ49" i="13" s="1"/>
  <c r="F69" i="13" s="1"/>
  <c r="BX115" i="13"/>
  <c r="CJ51" i="13" s="1"/>
  <c r="F71" i="13" s="1"/>
  <c r="BX103" i="13"/>
  <c r="CJ39" i="13" s="1"/>
  <c r="F59" i="13" s="1"/>
  <c r="BX112" i="13"/>
  <c r="CJ48" i="13" s="1"/>
  <c r="F68" i="13" s="1"/>
  <c r="BX106" i="13"/>
  <c r="CJ42" i="13" s="1"/>
  <c r="F62" i="13" s="1"/>
  <c r="BX108" i="13"/>
  <c r="CJ44" i="13" s="1"/>
  <c r="F64" i="13" s="1"/>
  <c r="BX110" i="13"/>
  <c r="CJ46" i="13" s="1"/>
  <c r="F66" i="13" s="1"/>
  <c r="BX116" i="13"/>
  <c r="CJ52" i="13" s="1"/>
  <c r="F72" i="13" s="1"/>
  <c r="BX114" i="13"/>
  <c r="CJ50" i="13" s="1"/>
  <c r="F70" i="13" s="1"/>
  <c r="BX102" i="13"/>
  <c r="CJ38" i="13" s="1"/>
  <c r="F58" i="13" s="1"/>
  <c r="BZ100" i="13" l="1"/>
  <c r="BY115" i="13"/>
  <c r="CQ51" i="13" s="1"/>
  <c r="BY101" i="13"/>
  <c r="CQ37" i="13" s="1"/>
  <c r="BY105" i="13"/>
  <c r="CQ41" i="13" s="1"/>
  <c r="BY107" i="13"/>
  <c r="CQ43" i="13" s="1"/>
  <c r="BY109" i="13"/>
  <c r="CQ45" i="13" s="1"/>
  <c r="BY111" i="13"/>
  <c r="CQ47" i="13" s="1"/>
  <c r="BY113" i="13"/>
  <c r="CQ49" i="13" s="1"/>
  <c r="BY103" i="13"/>
  <c r="CQ39" i="13" s="1"/>
  <c r="BY114" i="13"/>
  <c r="CQ50" i="13" s="1"/>
  <c r="BY116" i="13"/>
  <c r="CQ52" i="13" s="1"/>
  <c r="BY108" i="13"/>
  <c r="CQ44" i="13" s="1"/>
  <c r="BY112" i="13"/>
  <c r="CQ48" i="13" s="1"/>
  <c r="BY106" i="13"/>
  <c r="CQ42" i="13" s="1"/>
  <c r="BY110" i="13"/>
  <c r="CQ46" i="13" s="1"/>
  <c r="BY104" i="13"/>
  <c r="CQ40" i="13" s="1"/>
  <c r="BY102" i="13"/>
  <c r="CQ38" i="13" s="1"/>
  <c r="BZ102" i="13" l="1"/>
  <c r="BZ38" i="13" s="1"/>
  <c r="BZ106" i="13"/>
  <c r="BZ42" i="13" s="1"/>
  <c r="BZ108" i="13"/>
  <c r="BZ44" i="13" s="1"/>
  <c r="BZ110" i="13"/>
  <c r="BZ46" i="13" s="1"/>
  <c r="BZ112" i="13"/>
  <c r="BZ48" i="13" s="1"/>
  <c r="BZ114" i="13"/>
  <c r="BZ50" i="13" s="1"/>
  <c r="BZ116" i="13"/>
  <c r="BZ52" i="13" s="1"/>
  <c r="CA100" i="13"/>
  <c r="BZ104" i="13"/>
  <c r="BZ40" i="13" s="1"/>
  <c r="BZ101" i="13"/>
  <c r="BZ37" i="13" s="1"/>
  <c r="BZ105" i="13"/>
  <c r="BZ41" i="13" s="1"/>
  <c r="BZ107" i="13"/>
  <c r="BZ43" i="13" s="1"/>
  <c r="BZ109" i="13"/>
  <c r="BZ45" i="13" s="1"/>
  <c r="BZ111" i="13"/>
  <c r="BZ47" i="13" s="1"/>
  <c r="BZ113" i="13"/>
  <c r="BZ49" i="13" s="1"/>
  <c r="BZ115" i="13"/>
  <c r="BZ51" i="13" s="1"/>
  <c r="BZ103" i="13"/>
  <c r="BZ39" i="13" s="1"/>
  <c r="CA102" i="13" l="1"/>
  <c r="CE38" i="13" s="1"/>
  <c r="CA106" i="13"/>
  <c r="CE42" i="13" s="1"/>
  <c r="CA108" i="13"/>
  <c r="CE44" i="13" s="1"/>
  <c r="CA110" i="13"/>
  <c r="CE46" i="13" s="1"/>
  <c r="CA112" i="13"/>
  <c r="CE48" i="13" s="1"/>
  <c r="CA114" i="13"/>
  <c r="CE50" i="13" s="1"/>
  <c r="CA116" i="13"/>
  <c r="CE52" i="13" s="1"/>
  <c r="CB100" i="13"/>
  <c r="CA104" i="13"/>
  <c r="CE40" i="13" s="1"/>
  <c r="CA107" i="13"/>
  <c r="CE43" i="13" s="1"/>
  <c r="CA111" i="13"/>
  <c r="CE47" i="13" s="1"/>
  <c r="CA113" i="13"/>
  <c r="CE49" i="13" s="1"/>
  <c r="CA105" i="13"/>
  <c r="CE41" i="13" s="1"/>
  <c r="CA109" i="13"/>
  <c r="CE45" i="13" s="1"/>
  <c r="CA115" i="13"/>
  <c r="CE51" i="13" s="1"/>
  <c r="CA101" i="13"/>
  <c r="CE37" i="13" s="1"/>
  <c r="CA103" i="13"/>
  <c r="CE39" i="13" s="1"/>
  <c r="CC100" i="13" l="1"/>
  <c r="CB103" i="13"/>
  <c r="CK39" i="13" s="1"/>
  <c r="CB105" i="13"/>
  <c r="CK41" i="13" s="1"/>
  <c r="CB107" i="13"/>
  <c r="CK43" i="13" s="1"/>
  <c r="CB109" i="13"/>
  <c r="CK45" i="13" s="1"/>
  <c r="CB111" i="13"/>
  <c r="CK47" i="13" s="1"/>
  <c r="CB113" i="13"/>
  <c r="CK49" i="13" s="1"/>
  <c r="CB115" i="13"/>
  <c r="CK51" i="13" s="1"/>
  <c r="CB102" i="13"/>
  <c r="CK38" i="13" s="1"/>
  <c r="CB106" i="13"/>
  <c r="CK42" i="13" s="1"/>
  <c r="CB108" i="13"/>
  <c r="CK44" i="13" s="1"/>
  <c r="CB110" i="13"/>
  <c r="CK46" i="13" s="1"/>
  <c r="CB112" i="13"/>
  <c r="CK48" i="13" s="1"/>
  <c r="CB101" i="13"/>
  <c r="CK37" i="13" s="1"/>
  <c r="CB114" i="13"/>
  <c r="CK50" i="13" s="1"/>
  <c r="CB116" i="13"/>
  <c r="CK52" i="13" s="1"/>
  <c r="CB104" i="13"/>
  <c r="CK40" i="13" s="1"/>
  <c r="CD100" i="13" l="1"/>
  <c r="CC101" i="13"/>
  <c r="AL37" i="13" s="1"/>
  <c r="CC103" i="13"/>
  <c r="AL39" i="13" s="1"/>
  <c r="CC105" i="13"/>
  <c r="AL41" i="13" s="1"/>
  <c r="CC107" i="13"/>
  <c r="AL43" i="13" s="1"/>
  <c r="CC109" i="13"/>
  <c r="AL45" i="13" s="1"/>
  <c r="CC111" i="13"/>
  <c r="AL47" i="13" s="1"/>
  <c r="CC113" i="13"/>
  <c r="AL49" i="13" s="1"/>
  <c r="CC115" i="13"/>
  <c r="AL51" i="13" s="1"/>
  <c r="CC106" i="13"/>
  <c r="AL42" i="13" s="1"/>
  <c r="CC110" i="13"/>
  <c r="AL46" i="13" s="1"/>
  <c r="CC114" i="13"/>
  <c r="AL50" i="13" s="1"/>
  <c r="CC116" i="13"/>
  <c r="AL52" i="13" s="1"/>
  <c r="CC108" i="13"/>
  <c r="AL44" i="13" s="1"/>
  <c r="CC112" i="13"/>
  <c r="AL48" i="13" s="1"/>
  <c r="CC102" i="13"/>
  <c r="AL38" i="13" s="1"/>
  <c r="CC104" i="13"/>
  <c r="AL40" i="13" s="1"/>
  <c r="CD104" i="13" l="1"/>
  <c r="AM40" i="13" s="1"/>
  <c r="CD106" i="13"/>
  <c r="AM42" i="13" s="1"/>
  <c r="CD108" i="13"/>
  <c r="AM44" i="13" s="1"/>
  <c r="CD110" i="13"/>
  <c r="AM46" i="13" s="1"/>
  <c r="CD112" i="13"/>
  <c r="AM48" i="13" s="1"/>
  <c r="CD114" i="13"/>
  <c r="AM50" i="13" s="1"/>
  <c r="CD116" i="13"/>
  <c r="AM52" i="13" s="1"/>
  <c r="CD101" i="13"/>
  <c r="AM37" i="13" s="1"/>
  <c r="CD103" i="13"/>
  <c r="AM39" i="13" s="1"/>
  <c r="CD105" i="13"/>
  <c r="AM41" i="13" s="1"/>
  <c r="CD107" i="13"/>
  <c r="AM43" i="13" s="1"/>
  <c r="CD109" i="13"/>
  <c r="AM45" i="13" s="1"/>
  <c r="CD111" i="13"/>
  <c r="AM47" i="13" s="1"/>
  <c r="CD113" i="13"/>
  <c r="AM49" i="13" s="1"/>
  <c r="CD115" i="13"/>
  <c r="AM51" i="13" s="1"/>
  <c r="CD102" i="13"/>
  <c r="AM38" i="13" s="1"/>
  <c r="CE100" i="13"/>
  <c r="CF100" i="13" l="1"/>
  <c r="CE102" i="13"/>
  <c r="AN38" i="13" s="1"/>
  <c r="CE114" i="13"/>
  <c r="AN50" i="13" s="1"/>
  <c r="CE116" i="13"/>
  <c r="AN52" i="13" s="1"/>
  <c r="CE104" i="13"/>
  <c r="AN40" i="13" s="1"/>
  <c r="CE106" i="13"/>
  <c r="AN42" i="13" s="1"/>
  <c r="CE108" i="13"/>
  <c r="AN44" i="13" s="1"/>
  <c r="CE110" i="13"/>
  <c r="AN46" i="13" s="1"/>
  <c r="CE112" i="13"/>
  <c r="AN48" i="13" s="1"/>
  <c r="CE111" i="13"/>
  <c r="AN47" i="13" s="1"/>
  <c r="CE113" i="13"/>
  <c r="AN49" i="13" s="1"/>
  <c r="CE115" i="13"/>
  <c r="AN51" i="13" s="1"/>
  <c r="CE105" i="13"/>
  <c r="AN41" i="13" s="1"/>
  <c r="CE109" i="13"/>
  <c r="AN45" i="13" s="1"/>
  <c r="CE107" i="13"/>
  <c r="AN43" i="13" s="1"/>
  <c r="CE103" i="13"/>
  <c r="AN39" i="13" s="1"/>
  <c r="CE101" i="13"/>
  <c r="AN37" i="13" s="1"/>
  <c r="CG100" i="13" l="1"/>
  <c r="CF105" i="13"/>
  <c r="AO41" i="13" s="1"/>
  <c r="CF107" i="13"/>
  <c r="AO43" i="13" s="1"/>
  <c r="CF109" i="13"/>
  <c r="AO45" i="13" s="1"/>
  <c r="CF111" i="13"/>
  <c r="AO47" i="13" s="1"/>
  <c r="CF113" i="13"/>
  <c r="AO49" i="13" s="1"/>
  <c r="CF115" i="13"/>
  <c r="AO51" i="13" s="1"/>
  <c r="CF102" i="13"/>
  <c r="AO38" i="13" s="1"/>
  <c r="CF112" i="13"/>
  <c r="AO48" i="13" s="1"/>
  <c r="CF101" i="13"/>
  <c r="AO37" i="13" s="1"/>
  <c r="CF104" i="13"/>
  <c r="AO40" i="13" s="1"/>
  <c r="CF106" i="13"/>
  <c r="AO42" i="13" s="1"/>
  <c r="CF108" i="13"/>
  <c r="AO44" i="13" s="1"/>
  <c r="CF110" i="13"/>
  <c r="AO46" i="13" s="1"/>
  <c r="CF103" i="13"/>
  <c r="AO39" i="13" s="1"/>
  <c r="CF114" i="13"/>
  <c r="AO50" i="13" s="1"/>
  <c r="CF116" i="13"/>
  <c r="AO52" i="13" s="1"/>
  <c r="CG103" i="13" l="1"/>
  <c r="CG115" i="13"/>
  <c r="CH100" i="13"/>
  <c r="CG105" i="13"/>
  <c r="CG107" i="13"/>
  <c r="CG109" i="13"/>
  <c r="CG111" i="13"/>
  <c r="CG113" i="13"/>
  <c r="CG112" i="13"/>
  <c r="CG110" i="13"/>
  <c r="CG104" i="13"/>
  <c r="CG108" i="13"/>
  <c r="CG101" i="13"/>
  <c r="CG106" i="13"/>
  <c r="CG114" i="13"/>
  <c r="CG116" i="13"/>
  <c r="CG102" i="13"/>
  <c r="CH101" i="13" l="1"/>
  <c r="AP37" i="13" s="1"/>
  <c r="CH104" i="13"/>
  <c r="AP40" i="13" s="1"/>
  <c r="CH106" i="13"/>
  <c r="AP42" i="13" s="1"/>
  <c r="CH108" i="13"/>
  <c r="AP44" i="13" s="1"/>
  <c r="CH110" i="13"/>
  <c r="AP46" i="13" s="1"/>
  <c r="CH112" i="13"/>
  <c r="AP48" i="13" s="1"/>
  <c r="CH114" i="13"/>
  <c r="AP50" i="13" s="1"/>
  <c r="CH116" i="13"/>
  <c r="AP52" i="13" s="1"/>
  <c r="CH103" i="13"/>
  <c r="AP39" i="13" s="1"/>
  <c r="CI100" i="13"/>
  <c r="CH102" i="13"/>
  <c r="AP38" i="13" s="1"/>
  <c r="CH105" i="13"/>
  <c r="AP41" i="13" s="1"/>
  <c r="CH107" i="13"/>
  <c r="AP43" i="13" s="1"/>
  <c r="CH109" i="13"/>
  <c r="AP45" i="13" s="1"/>
  <c r="CH111" i="13"/>
  <c r="AP47" i="13" s="1"/>
  <c r="CH113" i="13"/>
  <c r="AP49" i="13" s="1"/>
  <c r="CH115" i="13"/>
  <c r="AP51" i="13" s="1"/>
  <c r="CI104" i="13" l="1"/>
  <c r="AQ40" i="13" s="1"/>
  <c r="CI106" i="13"/>
  <c r="AQ42" i="13" s="1"/>
  <c r="CI108" i="13"/>
  <c r="AQ44" i="13" s="1"/>
  <c r="CI110" i="13"/>
  <c r="AQ46" i="13" s="1"/>
  <c r="CI112" i="13"/>
  <c r="AQ48" i="13" s="1"/>
  <c r="CI114" i="13"/>
  <c r="AQ50" i="13" s="1"/>
  <c r="CI116" i="13"/>
  <c r="AQ52" i="13" s="1"/>
  <c r="CJ100" i="13"/>
  <c r="CI102" i="13"/>
  <c r="AQ38" i="13" s="1"/>
  <c r="CI105" i="13"/>
  <c r="AQ41" i="13" s="1"/>
  <c r="CI109" i="13"/>
  <c r="AQ45" i="13" s="1"/>
  <c r="CI115" i="13"/>
  <c r="AQ51" i="13" s="1"/>
  <c r="CI107" i="13"/>
  <c r="AQ43" i="13" s="1"/>
  <c r="CI111" i="13"/>
  <c r="AQ47" i="13" s="1"/>
  <c r="CI113" i="13"/>
  <c r="AQ49" i="13" s="1"/>
  <c r="CI103" i="13"/>
  <c r="AQ39" i="13" s="1"/>
  <c r="CI101" i="13"/>
  <c r="AQ37" i="13" s="1"/>
  <c r="CK100" i="13" l="1"/>
  <c r="CJ102" i="13"/>
  <c r="AR38" i="13" s="1"/>
  <c r="CJ105" i="13"/>
  <c r="AR41" i="13" s="1"/>
  <c r="CJ107" i="13"/>
  <c r="AR43" i="13" s="1"/>
  <c r="CJ109" i="13"/>
  <c r="AR45" i="13" s="1"/>
  <c r="CJ111" i="13"/>
  <c r="AR47" i="13" s="1"/>
  <c r="CJ113" i="13"/>
  <c r="AR49" i="13" s="1"/>
  <c r="CJ115" i="13"/>
  <c r="AR51" i="13" s="1"/>
  <c r="CJ101" i="13"/>
  <c r="AR37" i="13" s="1"/>
  <c r="CJ112" i="13"/>
  <c r="AR48" i="13" s="1"/>
  <c r="CJ103" i="13"/>
  <c r="AR39" i="13" s="1"/>
  <c r="CJ104" i="13"/>
  <c r="AR40" i="13" s="1"/>
  <c r="CJ106" i="13"/>
  <c r="AR42" i="13" s="1"/>
  <c r="CJ108" i="13"/>
  <c r="AR44" i="13" s="1"/>
  <c r="CJ110" i="13"/>
  <c r="AR46" i="13" s="1"/>
  <c r="CJ114" i="13"/>
  <c r="AR50" i="13" s="1"/>
  <c r="CJ116" i="13"/>
  <c r="AR52" i="13" s="1"/>
  <c r="CL100" i="13" l="1"/>
  <c r="CK115" i="13"/>
  <c r="AS51" i="13" s="1"/>
  <c r="CK105" i="13"/>
  <c r="AS41" i="13" s="1"/>
  <c r="CK107" i="13"/>
  <c r="AS43" i="13" s="1"/>
  <c r="CK109" i="13"/>
  <c r="AS45" i="13" s="1"/>
  <c r="CK111" i="13"/>
  <c r="AS47" i="13" s="1"/>
  <c r="CK113" i="13"/>
  <c r="AS49" i="13" s="1"/>
  <c r="CK101" i="13"/>
  <c r="AS37" i="13" s="1"/>
  <c r="CK104" i="13"/>
  <c r="AS40" i="13" s="1"/>
  <c r="CK108" i="13"/>
  <c r="AS44" i="13" s="1"/>
  <c r="CK114" i="13"/>
  <c r="AS50" i="13" s="1"/>
  <c r="CK116" i="13"/>
  <c r="AS52" i="13" s="1"/>
  <c r="CK112" i="13"/>
  <c r="AS48" i="13" s="1"/>
  <c r="CK103" i="13"/>
  <c r="AS39" i="13" s="1"/>
  <c r="CK110" i="13"/>
  <c r="AS46" i="13" s="1"/>
  <c r="CK106" i="13"/>
  <c r="AS42" i="13" s="1"/>
  <c r="CK102" i="13"/>
  <c r="AS38" i="13" s="1"/>
  <c r="CL103" i="13" l="1"/>
  <c r="AT39" i="13" s="1"/>
  <c r="CL104" i="13"/>
  <c r="AT40" i="13" s="1"/>
  <c r="CL106" i="13"/>
  <c r="AT42" i="13" s="1"/>
  <c r="CL108" i="13"/>
  <c r="AT44" i="13" s="1"/>
  <c r="CL110" i="13"/>
  <c r="AT46" i="13" s="1"/>
  <c r="CL112" i="13"/>
  <c r="AT48" i="13" s="1"/>
  <c r="CL114" i="13"/>
  <c r="AT50" i="13" s="1"/>
  <c r="CL116" i="13"/>
  <c r="AT52" i="13" s="1"/>
  <c r="CM100" i="13"/>
  <c r="CL102" i="13"/>
  <c r="AT38" i="13" s="1"/>
  <c r="CL105" i="13"/>
  <c r="AT41" i="13" s="1"/>
  <c r="CL107" i="13"/>
  <c r="AT43" i="13" s="1"/>
  <c r="CL109" i="13"/>
  <c r="AT45" i="13" s="1"/>
  <c r="CL111" i="13"/>
  <c r="AT47" i="13" s="1"/>
  <c r="CL113" i="13"/>
  <c r="AT49" i="13" s="1"/>
  <c r="CL115" i="13"/>
  <c r="AT51" i="13" s="1"/>
  <c r="CL101" i="13"/>
  <c r="AT37" i="13" s="1"/>
  <c r="CM114" i="13" l="1"/>
  <c r="BQ50" i="13" s="1"/>
  <c r="CM116" i="13"/>
  <c r="BQ52" i="13" s="1"/>
  <c r="CM104" i="13"/>
  <c r="BQ40" i="13" s="1"/>
  <c r="CM106" i="13"/>
  <c r="BQ42" i="13" s="1"/>
  <c r="CM108" i="13"/>
  <c r="BQ44" i="13" s="1"/>
  <c r="CM110" i="13"/>
  <c r="BQ46" i="13" s="1"/>
  <c r="CM112" i="13"/>
  <c r="BQ48" i="13" s="1"/>
  <c r="CN100" i="13"/>
  <c r="CM102" i="13"/>
  <c r="BQ38" i="13" s="1"/>
  <c r="CM109" i="13"/>
  <c r="BQ45" i="13" s="1"/>
  <c r="CM113" i="13"/>
  <c r="BQ49" i="13" s="1"/>
  <c r="CM107" i="13"/>
  <c r="BQ43" i="13" s="1"/>
  <c r="CM105" i="13"/>
  <c r="BQ41" i="13" s="1"/>
  <c r="CM115" i="13"/>
  <c r="BQ51" i="13" s="1"/>
  <c r="CM111" i="13"/>
  <c r="BQ47" i="13" s="1"/>
  <c r="CM103" i="13"/>
  <c r="BQ39" i="13" s="1"/>
  <c r="CM101" i="13"/>
  <c r="BQ37" i="13" s="1"/>
  <c r="CO100" i="13" l="1"/>
  <c r="CN101" i="13"/>
  <c r="AF37" i="13" s="1"/>
  <c r="CN105" i="13"/>
  <c r="AF41" i="13" s="1"/>
  <c r="CN107" i="13"/>
  <c r="AF43" i="13" s="1"/>
  <c r="CN109" i="13"/>
  <c r="AF45" i="13" s="1"/>
  <c r="CN111" i="13"/>
  <c r="AF47" i="13" s="1"/>
  <c r="CN113" i="13"/>
  <c r="AF49" i="13" s="1"/>
  <c r="CN115" i="13"/>
  <c r="AF51" i="13" s="1"/>
  <c r="CN103" i="13"/>
  <c r="AF39" i="13" s="1"/>
  <c r="CN104" i="13"/>
  <c r="AF40" i="13" s="1"/>
  <c r="CN106" i="13"/>
  <c r="AF42" i="13" s="1"/>
  <c r="CN108" i="13"/>
  <c r="AF44" i="13" s="1"/>
  <c r="CN110" i="13"/>
  <c r="AF46" i="13" s="1"/>
  <c r="CN112" i="13"/>
  <c r="AF48" i="13" s="1"/>
  <c r="CN114" i="13"/>
  <c r="AF50" i="13" s="1"/>
  <c r="CN116" i="13"/>
  <c r="AF52" i="13" s="1"/>
  <c r="CN102" i="13"/>
  <c r="AF38" i="13" s="1"/>
  <c r="CO101" i="13" l="1"/>
  <c r="AG37" i="13" s="1"/>
  <c r="CO105" i="13"/>
  <c r="AG41" i="13" s="1"/>
  <c r="CO107" i="13"/>
  <c r="AG43" i="13" s="1"/>
  <c r="CO109" i="13"/>
  <c r="AG45" i="13" s="1"/>
  <c r="CO111" i="13"/>
  <c r="AG47" i="13" s="1"/>
  <c r="CO113" i="13"/>
  <c r="AG49" i="13" s="1"/>
  <c r="CO115" i="13"/>
  <c r="AG51" i="13" s="1"/>
  <c r="CO103" i="13"/>
  <c r="AG39" i="13" s="1"/>
  <c r="CO106" i="13"/>
  <c r="AG42" i="13" s="1"/>
  <c r="CO110" i="13"/>
  <c r="AG46" i="13" s="1"/>
  <c r="CP100" i="13"/>
  <c r="CO104" i="13"/>
  <c r="AG40" i="13" s="1"/>
  <c r="CO108" i="13"/>
  <c r="AG44" i="13" s="1"/>
  <c r="CO116" i="13"/>
  <c r="AG52" i="13" s="1"/>
  <c r="CO112" i="13"/>
  <c r="AG48" i="13" s="1"/>
  <c r="CO114" i="13"/>
  <c r="AG50" i="13" s="1"/>
  <c r="CO102" i="13"/>
  <c r="AG38" i="13" s="1"/>
  <c r="CQ100" i="13" l="1"/>
  <c r="CP102" i="13"/>
  <c r="CM38" i="13" s="1"/>
  <c r="CP104" i="13"/>
  <c r="CM40" i="13" s="1"/>
  <c r="CP106" i="13"/>
  <c r="CM42" i="13" s="1"/>
  <c r="CP108" i="13"/>
  <c r="CM44" i="13" s="1"/>
  <c r="CP110" i="13"/>
  <c r="CM46" i="13" s="1"/>
  <c r="CP112" i="13"/>
  <c r="CM48" i="13" s="1"/>
  <c r="CP114" i="13"/>
  <c r="CM50" i="13" s="1"/>
  <c r="CP116" i="13"/>
  <c r="CM52" i="13" s="1"/>
  <c r="CP101" i="13"/>
  <c r="CM37" i="13" s="1"/>
  <c r="CP105" i="13"/>
  <c r="CM41" i="13" s="1"/>
  <c r="CP107" i="13"/>
  <c r="CM43" i="13" s="1"/>
  <c r="CP109" i="13"/>
  <c r="CM45" i="13" s="1"/>
  <c r="CP111" i="13"/>
  <c r="CM47" i="13" s="1"/>
  <c r="CP115" i="13"/>
  <c r="CM51" i="13" s="1"/>
  <c r="CP103" i="13"/>
  <c r="CM39" i="13" s="1"/>
  <c r="CP113" i="13"/>
  <c r="CM49" i="13" s="1"/>
  <c r="CQ116" i="13" l="1"/>
  <c r="AH52" i="13" s="1"/>
  <c r="CR100" i="13"/>
  <c r="CQ102" i="13"/>
  <c r="AH38" i="13" s="1"/>
  <c r="CQ104" i="13"/>
  <c r="AH40" i="13" s="1"/>
  <c r="CQ106" i="13"/>
  <c r="AH42" i="13" s="1"/>
  <c r="CQ108" i="13"/>
  <c r="AH44" i="13" s="1"/>
  <c r="CQ110" i="13"/>
  <c r="AH46" i="13" s="1"/>
  <c r="CQ112" i="13"/>
  <c r="AH48" i="13" s="1"/>
  <c r="CQ114" i="13"/>
  <c r="AH50" i="13" s="1"/>
  <c r="CQ107" i="13"/>
  <c r="AH43" i="13" s="1"/>
  <c r="CQ111" i="13"/>
  <c r="AH47" i="13" s="1"/>
  <c r="CQ113" i="13"/>
  <c r="AH49" i="13" s="1"/>
  <c r="CQ105" i="13"/>
  <c r="AH41" i="13" s="1"/>
  <c r="CQ109" i="13"/>
  <c r="AH45" i="13" s="1"/>
  <c r="CQ115" i="13"/>
  <c r="AH51" i="13" s="1"/>
  <c r="CQ101" i="13"/>
  <c r="AH37" i="13" s="1"/>
  <c r="CQ103" i="13"/>
  <c r="AH39" i="13" s="1"/>
  <c r="CS100" i="13" l="1"/>
  <c r="CR103" i="13"/>
  <c r="AI39" i="13" s="1"/>
  <c r="CR105" i="13"/>
  <c r="AI41" i="13" s="1"/>
  <c r="CR107" i="13"/>
  <c r="AI43" i="13" s="1"/>
  <c r="CR109" i="13"/>
  <c r="AI45" i="13" s="1"/>
  <c r="CR111" i="13"/>
  <c r="AI47" i="13" s="1"/>
  <c r="CR113" i="13"/>
  <c r="AI49" i="13" s="1"/>
  <c r="CR115" i="13"/>
  <c r="AI51" i="13" s="1"/>
  <c r="CR112" i="13"/>
  <c r="AI48" i="13" s="1"/>
  <c r="CR102" i="13"/>
  <c r="AI38" i="13" s="1"/>
  <c r="CR104" i="13"/>
  <c r="AI40" i="13" s="1"/>
  <c r="CR106" i="13"/>
  <c r="AI42" i="13" s="1"/>
  <c r="CR108" i="13"/>
  <c r="AI44" i="13" s="1"/>
  <c r="CR110" i="13"/>
  <c r="AI46" i="13" s="1"/>
  <c r="CR101" i="13"/>
  <c r="AI37" i="13" s="1"/>
  <c r="CR114" i="13"/>
  <c r="AI50" i="13" s="1"/>
  <c r="CR116" i="13"/>
  <c r="AI52" i="13" s="1"/>
  <c r="CS101" i="13" l="1"/>
  <c r="AJ37" i="13" s="1"/>
  <c r="CS115" i="13"/>
  <c r="AJ51" i="13" s="1"/>
  <c r="CS103" i="13"/>
  <c r="AJ39" i="13" s="1"/>
  <c r="CS105" i="13"/>
  <c r="AJ41" i="13" s="1"/>
  <c r="CS107" i="13"/>
  <c r="AJ43" i="13" s="1"/>
  <c r="CS109" i="13"/>
  <c r="AJ45" i="13" s="1"/>
  <c r="CS111" i="13"/>
  <c r="AJ47" i="13" s="1"/>
  <c r="CS113" i="13"/>
  <c r="AJ49" i="13" s="1"/>
  <c r="CT100" i="13"/>
  <c r="CS106" i="13"/>
  <c r="AJ42" i="13" s="1"/>
  <c r="CS110" i="13"/>
  <c r="AJ46" i="13" s="1"/>
  <c r="CS114" i="13"/>
  <c r="AJ50" i="13" s="1"/>
  <c r="CS116" i="13"/>
  <c r="AJ52" i="13" s="1"/>
  <c r="CS112" i="13"/>
  <c r="AJ48" i="13" s="1"/>
  <c r="CS104" i="13"/>
  <c r="AJ40" i="13" s="1"/>
  <c r="CS108" i="13"/>
  <c r="AJ44" i="13" s="1"/>
  <c r="CS102" i="13"/>
  <c r="AJ38" i="13" s="1"/>
  <c r="CT104" i="13" l="1"/>
  <c r="CS40" i="13" s="1"/>
  <c r="CT106" i="13"/>
  <c r="CS42" i="13" s="1"/>
  <c r="CT108" i="13"/>
  <c r="CS44" i="13" s="1"/>
  <c r="CT110" i="13"/>
  <c r="CS46" i="13" s="1"/>
  <c r="CT112" i="13"/>
  <c r="CS48" i="13" s="1"/>
  <c r="CT114" i="13"/>
  <c r="CS50" i="13" s="1"/>
  <c r="CT116" i="13"/>
  <c r="CS52" i="13" s="1"/>
  <c r="CT101" i="13"/>
  <c r="CS37" i="13" s="1"/>
  <c r="CT103" i="13"/>
  <c r="CS39" i="13" s="1"/>
  <c r="CT105" i="13"/>
  <c r="CS41" i="13" s="1"/>
  <c r="CT107" i="13"/>
  <c r="CS43" i="13" s="1"/>
  <c r="CT109" i="13"/>
  <c r="CS45" i="13" s="1"/>
  <c r="CT111" i="13"/>
  <c r="CS47" i="13" s="1"/>
  <c r="CT113" i="13"/>
  <c r="CS49" i="13" s="1"/>
  <c r="CT115" i="13"/>
  <c r="CS51" i="13" s="1"/>
  <c r="CU100" i="13"/>
  <c r="CT102" i="13"/>
  <c r="CS38" i="13" s="1"/>
  <c r="CV100" i="13" l="1"/>
  <c r="CU102" i="13"/>
  <c r="CT38" i="13" s="1"/>
  <c r="CU114" i="13"/>
  <c r="CT50" i="13" s="1"/>
  <c r="CU116" i="13"/>
  <c r="CT52" i="13" s="1"/>
  <c r="CU104" i="13"/>
  <c r="CT40" i="13" s="1"/>
  <c r="CU106" i="13"/>
  <c r="CT42" i="13" s="1"/>
  <c r="CU108" i="13"/>
  <c r="CT44" i="13" s="1"/>
  <c r="CU110" i="13"/>
  <c r="CT46" i="13" s="1"/>
  <c r="CU112" i="13"/>
  <c r="CT48" i="13" s="1"/>
  <c r="CU113" i="13"/>
  <c r="CT49" i="13" s="1"/>
  <c r="CU115" i="13"/>
  <c r="CT51" i="13" s="1"/>
  <c r="CU109" i="13"/>
  <c r="CT45" i="13" s="1"/>
  <c r="CU107" i="13"/>
  <c r="CT43" i="13" s="1"/>
  <c r="CU111" i="13"/>
  <c r="CT47" i="13" s="1"/>
  <c r="CU105" i="13"/>
  <c r="CT41" i="13" s="1"/>
  <c r="CU103" i="13"/>
  <c r="CT39" i="13" s="1"/>
  <c r="CU101" i="13"/>
  <c r="CT37" i="13" s="1"/>
  <c r="CW100" i="13" l="1"/>
  <c r="CV105" i="13"/>
  <c r="CU41" i="13" s="1"/>
  <c r="CV107" i="13"/>
  <c r="CU43" i="13" s="1"/>
  <c r="CV109" i="13"/>
  <c r="CU45" i="13" s="1"/>
  <c r="CV111" i="13"/>
  <c r="CU47" i="13" s="1"/>
  <c r="CV113" i="13"/>
  <c r="CU49" i="13" s="1"/>
  <c r="CV115" i="13"/>
  <c r="CU51" i="13" s="1"/>
  <c r="CV102" i="13"/>
  <c r="CU38" i="13" s="1"/>
  <c r="CV101" i="13"/>
  <c r="CU37" i="13" s="1"/>
  <c r="CV104" i="13"/>
  <c r="CU40" i="13" s="1"/>
  <c r="CV106" i="13"/>
  <c r="CU42" i="13" s="1"/>
  <c r="CV108" i="13"/>
  <c r="CU44" i="13" s="1"/>
  <c r="CV110" i="13"/>
  <c r="CU46" i="13" s="1"/>
  <c r="CV112" i="13"/>
  <c r="CU48" i="13" s="1"/>
  <c r="CV114" i="13"/>
  <c r="CU50" i="13" s="1"/>
  <c r="CV116" i="13"/>
  <c r="CU52" i="13" s="1"/>
  <c r="CV103" i="13"/>
  <c r="CU39" i="13" s="1"/>
  <c r="CW103" i="13" l="1"/>
  <c r="CV39" i="13" s="1"/>
  <c r="CX100" i="13"/>
  <c r="CW105" i="13"/>
  <c r="CV41" i="13" s="1"/>
  <c r="CW107" i="13"/>
  <c r="CV43" i="13" s="1"/>
  <c r="CW109" i="13"/>
  <c r="CV45" i="13" s="1"/>
  <c r="CW111" i="13"/>
  <c r="CV47" i="13" s="1"/>
  <c r="CW113" i="13"/>
  <c r="CV49" i="13" s="1"/>
  <c r="CW115" i="13"/>
  <c r="CV51" i="13" s="1"/>
  <c r="CW101" i="13"/>
  <c r="CV37" i="13" s="1"/>
  <c r="CW112" i="13"/>
  <c r="CV48" i="13" s="1"/>
  <c r="CW116" i="13"/>
  <c r="CV52" i="13" s="1"/>
  <c r="CW106" i="13"/>
  <c r="CV42" i="13" s="1"/>
  <c r="CW110" i="13"/>
  <c r="CV46" i="13" s="1"/>
  <c r="CW114" i="13"/>
  <c r="CV50" i="13" s="1"/>
  <c r="CW108" i="13"/>
  <c r="CV44" i="13" s="1"/>
  <c r="CW104" i="13"/>
  <c r="CV40" i="13" s="1"/>
  <c r="CW102" i="13"/>
  <c r="CV38" i="13" s="1"/>
  <c r="CX101" i="13" l="1"/>
  <c r="CX37" i="13" s="1"/>
  <c r="CX104" i="13"/>
  <c r="CX40" i="13" s="1"/>
  <c r="CX106" i="13"/>
  <c r="CX42" i="13" s="1"/>
  <c r="CX108" i="13"/>
  <c r="CX44" i="13" s="1"/>
  <c r="CX110" i="13"/>
  <c r="CX46" i="13" s="1"/>
  <c r="CX112" i="13"/>
  <c r="CX48" i="13" s="1"/>
  <c r="CX114" i="13"/>
  <c r="CX50" i="13" s="1"/>
  <c r="CX116" i="13"/>
  <c r="CX52" i="13" s="1"/>
  <c r="CX103" i="13"/>
  <c r="CX39" i="13" s="1"/>
  <c r="CY100" i="13"/>
  <c r="CX102" i="13"/>
  <c r="CX38" i="13" s="1"/>
  <c r="CX105" i="13"/>
  <c r="CX41" i="13" s="1"/>
  <c r="CX107" i="13"/>
  <c r="CX43" i="13" s="1"/>
  <c r="CX109" i="13"/>
  <c r="CX45" i="13" s="1"/>
  <c r="CX111" i="13"/>
  <c r="CX47" i="13" s="1"/>
  <c r="CX113" i="13"/>
  <c r="CX49" i="13" s="1"/>
  <c r="CX115" i="13"/>
  <c r="CX51" i="13" s="1"/>
  <c r="CY114" i="13" l="1"/>
  <c r="CY50" i="13" s="1"/>
  <c r="CY104" i="13"/>
  <c r="CY40" i="13" s="1"/>
  <c r="CY106" i="13"/>
  <c r="CY42" i="13" s="1"/>
  <c r="CY108" i="13"/>
  <c r="CY44" i="13" s="1"/>
  <c r="CY110" i="13"/>
  <c r="CY46" i="13" s="1"/>
  <c r="CY112" i="13"/>
  <c r="CY48" i="13" s="1"/>
  <c r="CY116" i="13"/>
  <c r="CY52" i="13" s="1"/>
  <c r="CY105" i="13"/>
  <c r="CY41" i="13" s="1"/>
  <c r="CY109" i="13"/>
  <c r="CY45" i="13" s="1"/>
  <c r="CY113" i="13"/>
  <c r="CY49" i="13" s="1"/>
  <c r="CZ100" i="13"/>
  <c r="CY107" i="13"/>
  <c r="CY43" i="13" s="1"/>
  <c r="CY111" i="13"/>
  <c r="CY47" i="13" s="1"/>
  <c r="CY102" i="13"/>
  <c r="CY38" i="13" s="1"/>
  <c r="CY115" i="13"/>
  <c r="CY51" i="13" s="1"/>
  <c r="CY103" i="13"/>
  <c r="CY39" i="13" s="1"/>
  <c r="CY101" i="13"/>
  <c r="CY37" i="13" s="1"/>
  <c r="DA100" i="13" l="1"/>
  <c r="CZ102" i="13"/>
  <c r="DA38" i="13" s="1"/>
  <c r="CZ105" i="13"/>
  <c r="DA41" i="13" s="1"/>
  <c r="CZ107" i="13"/>
  <c r="DA43" i="13" s="1"/>
  <c r="CZ109" i="13"/>
  <c r="DA45" i="13" s="1"/>
  <c r="CZ111" i="13"/>
  <c r="DA47" i="13" s="1"/>
  <c r="CZ113" i="13"/>
  <c r="DA49" i="13" s="1"/>
  <c r="CZ115" i="13"/>
  <c r="DA51" i="13" s="1"/>
  <c r="CZ101" i="13"/>
  <c r="DA37" i="13" s="1"/>
  <c r="CZ112" i="13"/>
  <c r="DA48" i="13" s="1"/>
  <c r="CZ103" i="13"/>
  <c r="DA39" i="13" s="1"/>
  <c r="CZ104" i="13"/>
  <c r="DA40" i="13" s="1"/>
  <c r="CZ106" i="13"/>
  <c r="DA42" i="13" s="1"/>
  <c r="CZ108" i="13"/>
  <c r="DA44" i="13" s="1"/>
  <c r="CZ110" i="13"/>
  <c r="DA46" i="13" s="1"/>
  <c r="CZ116" i="13"/>
  <c r="DA52" i="13" s="1"/>
  <c r="CZ114" i="13"/>
  <c r="DA50" i="13" s="1"/>
  <c r="DB100" i="13" l="1"/>
  <c r="DA115" i="13"/>
  <c r="DB51" i="13" s="1"/>
  <c r="DA105" i="13"/>
  <c r="DB41" i="13" s="1"/>
  <c r="DA107" i="13"/>
  <c r="DB43" i="13" s="1"/>
  <c r="DA109" i="13"/>
  <c r="DB45" i="13" s="1"/>
  <c r="DA111" i="13"/>
  <c r="DB47" i="13" s="1"/>
  <c r="DA113" i="13"/>
  <c r="DB49" i="13" s="1"/>
  <c r="DA101" i="13"/>
  <c r="DB37" i="13" s="1"/>
  <c r="DA103" i="13"/>
  <c r="DB39" i="13" s="1"/>
  <c r="DA104" i="13"/>
  <c r="DB40" i="13" s="1"/>
  <c r="DA108" i="13"/>
  <c r="DB44" i="13" s="1"/>
  <c r="DA114" i="13"/>
  <c r="DB50" i="13" s="1"/>
  <c r="DA116" i="13"/>
  <c r="DB52" i="13" s="1"/>
  <c r="DA112" i="13"/>
  <c r="DB48" i="13" s="1"/>
  <c r="DA106" i="13"/>
  <c r="DB42" i="13" s="1"/>
  <c r="DA110" i="13"/>
  <c r="DB46" i="13" s="1"/>
  <c r="DA102" i="13"/>
  <c r="DB38" i="13" s="1"/>
  <c r="DB103" i="13" l="1"/>
  <c r="DC39" i="13" s="1"/>
  <c r="DB104" i="13"/>
  <c r="DC40" i="13" s="1"/>
  <c r="DB106" i="13"/>
  <c r="DC42" i="13" s="1"/>
  <c r="DB108" i="13"/>
  <c r="DC44" i="13" s="1"/>
  <c r="DB110" i="13"/>
  <c r="DC46" i="13" s="1"/>
  <c r="DB112" i="13"/>
  <c r="DC48" i="13" s="1"/>
  <c r="DB114" i="13"/>
  <c r="DC50" i="13" s="1"/>
  <c r="DB116" i="13"/>
  <c r="DC52" i="13" s="1"/>
  <c r="DC100" i="13"/>
  <c r="DB102" i="13"/>
  <c r="DC38" i="13" s="1"/>
  <c r="DB105" i="13"/>
  <c r="DC41" i="13" s="1"/>
  <c r="DB107" i="13"/>
  <c r="DC43" i="13" s="1"/>
  <c r="DB109" i="13"/>
  <c r="DC45" i="13" s="1"/>
  <c r="DB111" i="13"/>
  <c r="DC47" i="13" s="1"/>
  <c r="DB113" i="13"/>
  <c r="DC49" i="13" s="1"/>
  <c r="DB115" i="13"/>
  <c r="DC51" i="13" s="1"/>
  <c r="DB101" i="13"/>
  <c r="DC37" i="13" s="1"/>
  <c r="DC116" i="13" l="1"/>
  <c r="DD52" i="13" s="1"/>
  <c r="DC104" i="13"/>
  <c r="DD40" i="13" s="1"/>
  <c r="DC106" i="13"/>
  <c r="DD42" i="13" s="1"/>
  <c r="DC108" i="13"/>
  <c r="DD44" i="13" s="1"/>
  <c r="DC110" i="13"/>
  <c r="DD46" i="13" s="1"/>
  <c r="DC112" i="13"/>
  <c r="DD48" i="13" s="1"/>
  <c r="DC114" i="13"/>
  <c r="DD50" i="13" s="1"/>
  <c r="DD100" i="13"/>
  <c r="DC102" i="13"/>
  <c r="DD38" i="13" s="1"/>
  <c r="DC113" i="13"/>
  <c r="DD49" i="13" s="1"/>
  <c r="DC115" i="13"/>
  <c r="DD51" i="13" s="1"/>
  <c r="DC105" i="13"/>
  <c r="DD41" i="13" s="1"/>
  <c r="DC109" i="13"/>
  <c r="DD45" i="13" s="1"/>
  <c r="DC107" i="13"/>
  <c r="DD43" i="13" s="1"/>
  <c r="DC111" i="13"/>
  <c r="DD47" i="13" s="1"/>
  <c r="DC103" i="13"/>
  <c r="DD39" i="13" s="1"/>
  <c r="DC101" i="13"/>
  <c r="DD37" i="13" s="1"/>
  <c r="DE100" i="13" l="1"/>
  <c r="DD101" i="13"/>
  <c r="DE37" i="13" s="1"/>
  <c r="DD105" i="13"/>
  <c r="DE41" i="13" s="1"/>
  <c r="DD107" i="13"/>
  <c r="DE43" i="13" s="1"/>
  <c r="DD109" i="13"/>
  <c r="DE45" i="13" s="1"/>
  <c r="DD111" i="13"/>
  <c r="DE47" i="13" s="1"/>
  <c r="DD113" i="13"/>
  <c r="DE49" i="13" s="1"/>
  <c r="DD115" i="13"/>
  <c r="DE51" i="13" s="1"/>
  <c r="DD103" i="13"/>
  <c r="DE39" i="13" s="1"/>
  <c r="DD104" i="13"/>
  <c r="DE40" i="13" s="1"/>
  <c r="DD106" i="13"/>
  <c r="DE42" i="13" s="1"/>
  <c r="DD108" i="13"/>
  <c r="DE44" i="13" s="1"/>
  <c r="DD110" i="13"/>
  <c r="DE46" i="13" s="1"/>
  <c r="DD112" i="13"/>
  <c r="DE48" i="13" s="1"/>
  <c r="DD102" i="13"/>
  <c r="DE38" i="13" s="1"/>
  <c r="DD114" i="13"/>
  <c r="DE50" i="13" s="1"/>
  <c r="DD116" i="13"/>
  <c r="DE52" i="13" s="1"/>
  <c r="DE101" i="13" l="1"/>
  <c r="DF37" i="13" s="1"/>
  <c r="DE105" i="13"/>
  <c r="DF41" i="13" s="1"/>
  <c r="DE107" i="13"/>
  <c r="DF43" i="13" s="1"/>
  <c r="DE109" i="13"/>
  <c r="DF45" i="13" s="1"/>
  <c r="DE111" i="13"/>
  <c r="DF47" i="13" s="1"/>
  <c r="DE113" i="13"/>
  <c r="DF49" i="13" s="1"/>
  <c r="DE115" i="13"/>
  <c r="DF51" i="13" s="1"/>
  <c r="DE103" i="13"/>
  <c r="DF39" i="13" s="1"/>
  <c r="DF100" i="13"/>
  <c r="DE114" i="13"/>
  <c r="DF50" i="13" s="1"/>
  <c r="DE104" i="13"/>
  <c r="DF40" i="13" s="1"/>
  <c r="DE108" i="13"/>
  <c r="DF44" i="13" s="1"/>
  <c r="DE112" i="13"/>
  <c r="DF48" i="13" s="1"/>
  <c r="DE110" i="13"/>
  <c r="DF46" i="13" s="1"/>
  <c r="DE116" i="13"/>
  <c r="DF52" i="13" s="1"/>
  <c r="DE106" i="13"/>
  <c r="DF42" i="13" s="1"/>
  <c r="DE102" i="13"/>
  <c r="DF38" i="13" s="1"/>
  <c r="DG100" i="13" l="1"/>
  <c r="DF102" i="13"/>
  <c r="DG38" i="13" s="1"/>
  <c r="DF104" i="13"/>
  <c r="DG40" i="13" s="1"/>
  <c r="DF106" i="13"/>
  <c r="DG42" i="13" s="1"/>
  <c r="DF108" i="13"/>
  <c r="DG44" i="13" s="1"/>
  <c r="DF110" i="13"/>
  <c r="DG46" i="13" s="1"/>
  <c r="DF112" i="13"/>
  <c r="DG48" i="13" s="1"/>
  <c r="DF114" i="13"/>
  <c r="DG50" i="13" s="1"/>
  <c r="DF116" i="13"/>
  <c r="DG52" i="13" s="1"/>
  <c r="DF101" i="13"/>
  <c r="DG37" i="13" s="1"/>
  <c r="DF105" i="13"/>
  <c r="DG41" i="13" s="1"/>
  <c r="DF107" i="13"/>
  <c r="DG43" i="13" s="1"/>
  <c r="DF109" i="13"/>
  <c r="DG45" i="13" s="1"/>
  <c r="DF111" i="13"/>
  <c r="DG47" i="13" s="1"/>
  <c r="DF103" i="13"/>
  <c r="DG39" i="13" s="1"/>
  <c r="DF115" i="13"/>
  <c r="DG51" i="13" s="1"/>
  <c r="DF113" i="13"/>
  <c r="DG49" i="13" s="1"/>
  <c r="DG114" i="13" l="1"/>
  <c r="DH50" i="13" s="1"/>
  <c r="DG116" i="13"/>
  <c r="DH52" i="13" s="1"/>
  <c r="DH100" i="13"/>
  <c r="DG102" i="13"/>
  <c r="DH38" i="13" s="1"/>
  <c r="DG104" i="13"/>
  <c r="DH40" i="13" s="1"/>
  <c r="DG106" i="13"/>
  <c r="DH42" i="13" s="1"/>
  <c r="DG108" i="13"/>
  <c r="DH44" i="13" s="1"/>
  <c r="DG110" i="13"/>
  <c r="DH46" i="13" s="1"/>
  <c r="DG112" i="13"/>
  <c r="DH48" i="13" s="1"/>
  <c r="DG107" i="13"/>
  <c r="DH43" i="13" s="1"/>
  <c r="DG111" i="13"/>
  <c r="DH47" i="13" s="1"/>
  <c r="DG109" i="13"/>
  <c r="DH45" i="13" s="1"/>
  <c r="DG115" i="13"/>
  <c r="DH51" i="13" s="1"/>
  <c r="DG105" i="13"/>
  <c r="DH41" i="13" s="1"/>
  <c r="DG113" i="13"/>
  <c r="DH49" i="13" s="1"/>
  <c r="DG101" i="13"/>
  <c r="DH37" i="13" s="1"/>
  <c r="DG103" i="13"/>
  <c r="DH39" i="13" s="1"/>
  <c r="DH103" i="13" l="1"/>
  <c r="DH105" i="13"/>
  <c r="DH107" i="13"/>
  <c r="DH109" i="13"/>
  <c r="DH111" i="13"/>
  <c r="DH113" i="13"/>
  <c r="DH115" i="13"/>
  <c r="DH112" i="13"/>
  <c r="DH102" i="13"/>
  <c r="DH104" i="13"/>
  <c r="DH106" i="13"/>
  <c r="DH108" i="13"/>
  <c r="DH110" i="13"/>
  <c r="DH114" i="13"/>
  <c r="DH116" i="13"/>
  <c r="DH101" i="13"/>
  <c r="DI37" i="13" l="1"/>
  <c r="DJ37" i="13"/>
  <c r="DJ44" i="13"/>
  <c r="DI44" i="13"/>
  <c r="DJ48" i="13"/>
  <c r="DI48" i="13"/>
  <c r="DI45" i="13"/>
  <c r="DJ45" i="13"/>
  <c r="DJ52" i="13"/>
  <c r="DI52" i="13"/>
  <c r="DI42" i="13"/>
  <c r="DJ42" i="13"/>
  <c r="DJ51" i="13"/>
  <c r="DI51" i="13"/>
  <c r="DJ43" i="13"/>
  <c r="DI43" i="13"/>
  <c r="DJ50" i="13"/>
  <c r="DI50" i="13"/>
  <c r="DI40" i="13"/>
  <c r="DJ40" i="13"/>
  <c r="DJ49" i="13"/>
  <c r="DI49" i="13"/>
  <c r="DJ41" i="13"/>
  <c r="DI41" i="13"/>
  <c r="DJ46" i="13"/>
  <c r="DI46" i="13"/>
  <c r="DI38" i="13"/>
  <c r="DJ38" i="13"/>
  <c r="DI47" i="13"/>
  <c r="DJ47" i="13"/>
  <c r="DJ39" i="13"/>
  <c r="DI39" i="13"/>
</calcChain>
</file>

<file path=xl/sharedStrings.xml><?xml version="1.0" encoding="utf-8"?>
<sst xmlns="http://schemas.openxmlformats.org/spreadsheetml/2006/main" count="5344" uniqueCount="1100">
  <si>
    <t>Pricing Note Tables</t>
  </si>
  <si>
    <t>Key Risk Details</t>
  </si>
  <si>
    <t>Comments</t>
  </si>
  <si>
    <t>Pricing Outputs</t>
  </si>
  <si>
    <t>Pricing Basis</t>
  </si>
  <si>
    <t>Excluding Loads</t>
  </si>
  <si>
    <t>Insured</t>
  </si>
  <si>
    <t>Anti-Selection / Uncertainty / Other Chg / UW Adj</t>
  </si>
  <si>
    <t xml:space="preserve"> - / - / - / - </t>
  </si>
  <si>
    <t>Policy Reference</t>
  </si>
  <si>
    <t>PC impact on GN ULR</t>
  </si>
  <si>
    <t>Underwriter</t>
  </si>
  <si>
    <t>GN ULR % net of PC</t>
  </si>
  <si>
    <t>Facility Type</t>
  </si>
  <si>
    <t>BPI %</t>
  </si>
  <si>
    <t>Deal Status</t>
  </si>
  <si>
    <t>TPI %</t>
  </si>
  <si>
    <t>key LOB</t>
  </si>
  <si>
    <t>RoC %</t>
  </si>
  <si>
    <t>Trifocus</t>
  </si>
  <si>
    <t>Lloyd's Risk Codes (Top 5)</t>
  </si>
  <si>
    <t>Inception</t>
  </si>
  <si>
    <t>Expiry</t>
  </si>
  <si>
    <t>% Line Size</t>
  </si>
  <si>
    <t>100% Max / Average Limit</t>
  </si>
  <si>
    <t>5623 GN Premium</t>
  </si>
  <si>
    <t>Total Deductions</t>
  </si>
  <si>
    <t>Profit Commission</t>
  </si>
  <si>
    <t>Key Uncertainties</t>
  </si>
  <si>
    <t>Pricing Actuary</t>
  </si>
  <si>
    <t>Export Date</t>
  </si>
  <si>
    <t>Hx Ref</t>
  </si>
  <si>
    <t>Analysis File</t>
  </si>
  <si>
    <t>Model GN ULR by Methodology</t>
  </si>
  <si>
    <t>GN ULR % by method</t>
  </si>
  <si>
    <t>Weightings</t>
  </si>
  <si>
    <t>Class of Business</t>
  </si>
  <si>
    <t>GN Premium (BST Share)</t>
  </si>
  <si>
    <t>% of Portfolio"</t>
  </si>
  <si>
    <t>Own Experience</t>
  </si>
  <si>
    <t>Lloyds Risk Code Projections</t>
  </si>
  <si>
    <t>Business Plan</t>
  </si>
  <si>
    <t>Model 
GN ULR%¹</t>
  </si>
  <si>
    <t>Total</t>
  </si>
  <si>
    <t>1 Excl. NMP loadings, Anti-Selection Charge, Uncertainty Loading, UW Adjustments and impact of the profit commission</t>
  </si>
  <si>
    <t>Selected ULR % Final</t>
  </si>
  <si>
    <t>Pricing Output</t>
  </si>
  <si>
    <t>Model 
GN ULR%1</t>
  </si>
  <si>
    <t>NMP 
Loading</t>
  </si>
  <si>
    <t>Climate Change Load</t>
  </si>
  <si>
    <t>Selected 
GN ULR%²</t>
  </si>
  <si>
    <t>Anti-Selection</t>
  </si>
  <si>
    <t>Uncertainty</t>
  </si>
  <si>
    <t>Additional Charge</t>
  </si>
  <si>
    <t>PC Impact on GN ULR</t>
  </si>
  <si>
    <t>UW Adjustment</t>
  </si>
  <si>
    <t>Selected 
GN ULR%3</t>
  </si>
  <si>
    <t>1 Excl. Anti-Selection, Uncertainty and NMP/Climate loads</t>
  </si>
  <si>
    <t>2 Excl. Anti-selection and Uncertainty load; and after NMP/Climate loads</t>
  </si>
  <si>
    <t>3 Incl. Anti-selection, Uncertainty and NMP/Climate load, any UW Adjustments; and Impact of the profit commission</t>
  </si>
  <si>
    <t>Technical adequacy metrics</t>
  </si>
  <si>
    <t>Including Anti-Selection, Uncertainty Loading
 and UW Adjustment</t>
  </si>
  <si>
    <t>Excluding Anti-Selection &amp; Uncertainty Load
and UW Adjustment</t>
  </si>
  <si>
    <t>GN Premium</t>
  </si>
  <si>
    <t>Selected 
GN ULR %</t>
  </si>
  <si>
    <t>BPI%</t>
  </si>
  <si>
    <t>TPI%</t>
  </si>
  <si>
    <t>GN ULR%</t>
  </si>
  <si>
    <t>Premium and Limit Profile</t>
  </si>
  <si>
    <t>Premium and Line Size</t>
  </si>
  <si>
    <t>Limit Profile</t>
  </si>
  <si>
    <t>100% GG Ultimate Premium</t>
  </si>
  <si>
    <t>Line Size</t>
  </si>
  <si>
    <t>Total deductions %</t>
  </si>
  <si>
    <t>Maximum @ 100%</t>
  </si>
  <si>
    <t>Average Limit @ 100%</t>
  </si>
  <si>
    <t>Maximum Limit @ BST Share</t>
  </si>
  <si>
    <t>Deductions</t>
  </si>
  <si>
    <t>Market Deductions</t>
  </si>
  <si>
    <t>Consortium Managers fee / MGA fee</t>
  </si>
  <si>
    <t>Facility Brokerage</t>
  </si>
  <si>
    <t>Leaders Fee</t>
  </si>
  <si>
    <t>Service Fee</t>
  </si>
  <si>
    <t>Other</t>
  </si>
  <si>
    <t>Total deductions</t>
  </si>
  <si>
    <t>Premium Basis</t>
  </si>
  <si>
    <t>Rate change</t>
  </si>
  <si>
    <t>Own Experience Performance</t>
  </si>
  <si>
    <t>CAT Basis</t>
  </si>
  <si>
    <t>Attritional</t>
  </si>
  <si>
    <t>Large</t>
  </si>
  <si>
    <t>CAT</t>
  </si>
  <si>
    <t>Total 
(Excl. CAT)</t>
  </si>
  <si>
    <t>Overal selected</t>
  </si>
  <si>
    <t>Profit Commission Structure</t>
  </si>
  <si>
    <t>Interlocking?</t>
  </si>
  <si>
    <t>Deficit</t>
  </si>
  <si>
    <t>PC on underlying binders?</t>
  </si>
  <si>
    <t>PC Type</t>
  </si>
  <si>
    <t>UW Expense</t>
  </si>
  <si>
    <t>UW Expense Basis</t>
  </si>
  <si>
    <t>PC %</t>
  </si>
  <si>
    <t>lob_number</t>
  </si>
  <si>
    <t>selected_lob</t>
  </si>
  <si>
    <t>yoa</t>
  </si>
  <si>
    <t>latest_gpi</t>
  </si>
  <si>
    <t>latest_gnpi</t>
  </si>
  <si>
    <t>acquisition_costs</t>
  </si>
  <si>
    <t>ultimate_premium_selected_gnpi_cl</t>
  </si>
  <si>
    <t>ultimate_premium_selected_gnpi_override</t>
  </si>
  <si>
    <t>ultimate_premium_selected_gnpi_selected</t>
  </si>
  <si>
    <t>ultimate_premium_selected_gnpi_selected_ol</t>
  </si>
  <si>
    <t>ultimate_incurred_cl_ielr</t>
  </si>
  <si>
    <t>additional_ibnr_attr</t>
  </si>
  <si>
    <t>additional_ibnr_large</t>
  </si>
  <si>
    <t>additional_ibnr_cat</t>
  </si>
  <si>
    <t>additional_ibnr_total</t>
  </si>
  <si>
    <t>is_row_visible</t>
  </si>
  <si>
    <t>lob_visible_1</t>
  </si>
  <si>
    <t>lob_visible_2</t>
  </si>
  <si>
    <t>lob_visible_3</t>
  </si>
  <si>
    <t>latest_incurred_open_claims_attr</t>
  </si>
  <si>
    <t>latest_incurred_closed_claims_attr</t>
  </si>
  <si>
    <t>latest_incurred_total_claims_attr</t>
  </si>
  <si>
    <t>last_year_position_attr</t>
  </si>
  <si>
    <t>movement_attr</t>
  </si>
  <si>
    <t>gn_ilr_attr</t>
  </si>
  <si>
    <t>ultimate_incurred_ielr_attr</t>
  </si>
  <si>
    <t>ultimate_incurred_bf_attr</t>
  </si>
  <si>
    <t>ultimate_incurred_cl_attr</t>
  </si>
  <si>
    <t>ultimate_incurred_selected_attr</t>
  </si>
  <si>
    <t>ultimate_ulr_selected_attr</t>
  </si>
  <si>
    <t>ultimate_ulr_on_levelled_attr</t>
  </si>
  <si>
    <t>latest_incurred_open_claims_large</t>
  </si>
  <si>
    <t>latest_incurred_closed_claims_large</t>
  </si>
  <si>
    <t>latest_incurred_total_claims_large</t>
  </si>
  <si>
    <t>last_year_position_large</t>
  </si>
  <si>
    <t>movement_large</t>
  </si>
  <si>
    <t>gn_ilr_large</t>
  </si>
  <si>
    <t>ultimate_incurred_ielr_large</t>
  </si>
  <si>
    <t>ultimate_incurred_bf_large</t>
  </si>
  <si>
    <t>ultimate_incurred_cl_large</t>
  </si>
  <si>
    <t>ultimate_incurred_selected_large</t>
  </si>
  <si>
    <t>ultimate_ulr_selected_large</t>
  </si>
  <si>
    <t>ultimate_ulr_on_levelled_large</t>
  </si>
  <si>
    <t>latest_incurred_open_claims_cat</t>
  </si>
  <si>
    <t>latest_incurred_closed_claims_cat</t>
  </si>
  <si>
    <t>latest_incurred_total_claims_cat</t>
  </si>
  <si>
    <t>last_year_position_cat</t>
  </si>
  <si>
    <t>movement_cat</t>
  </si>
  <si>
    <t>gn_ilr_cat</t>
  </si>
  <si>
    <t>ultimate_incurred_ielr_cat</t>
  </si>
  <si>
    <t>ultimate_incurred_bf_cat</t>
  </si>
  <si>
    <t>ultimate_incurred_cl_cat</t>
  </si>
  <si>
    <t>ultimate_incurred_selected_cat</t>
  </si>
  <si>
    <t>ultimate_ulr_selected_cat</t>
  </si>
  <si>
    <t>ultimate_ulr_on_levelled_cat</t>
  </si>
  <si>
    <t>latest_incurred_open_claims_total</t>
  </si>
  <si>
    <t>latest_incurred_closed_claims_total</t>
  </si>
  <si>
    <t>latest_incurred_total_claims_total</t>
  </si>
  <si>
    <t>last_year_position_total</t>
  </si>
  <si>
    <t>movement_total</t>
  </si>
  <si>
    <t>gn_ilr_total</t>
  </si>
  <si>
    <t>ultimate_incurred_ielr_total</t>
  </si>
  <si>
    <t>ultimate_incurred_bf_total</t>
  </si>
  <si>
    <t>ultimate_incurred_cl_total</t>
  </si>
  <si>
    <t>ultimate_incurred_selected_total</t>
  </si>
  <si>
    <t>ultimate_ulr_selected_total</t>
  </si>
  <si>
    <t>ultimate_ulr_on_levelled_total</t>
  </si>
  <si>
    <t>ultimate_incurred_selected_total_x_cat</t>
  </si>
  <si>
    <t>ultimate_ulr_selected_total_x_cat</t>
  </si>
  <si>
    <t>ultimate_ulr_on_levelled_total_x_cat</t>
  </si>
  <si>
    <t>development_pattern_premium_lloyds_unadjusted</t>
  </si>
  <si>
    <t>development_pattern_paid_lloyds_unadjusted</t>
  </si>
  <si>
    <t>development_pattern_incurred_lloyds_unadjusted</t>
  </si>
  <si>
    <t>development_pattern_premium_lloyds</t>
  </si>
  <si>
    <t>development_pattern_paid_lloyds</t>
  </si>
  <si>
    <t>development_pattern_incurred_lloyds</t>
  </si>
  <si>
    <t>development_pattern_premium_override</t>
  </si>
  <si>
    <t>development_pattern_incurred_override</t>
  </si>
  <si>
    <t>development_pattern_premium_selected</t>
  </si>
  <si>
    <t>development_pattern_incurred_selected</t>
  </si>
  <si>
    <t>method_incurred</t>
  </si>
  <si>
    <t>applied_rate_change</t>
  </si>
  <si>
    <t>applied_inflation</t>
  </si>
  <si>
    <t>modelled_weighting</t>
  </si>
  <si>
    <t>applied_rate_change_cumulative</t>
  </si>
  <si>
    <t>applied_inflation_cumulative</t>
  </si>
  <si>
    <t>onlevel_factor_cumulative</t>
  </si>
  <si>
    <t>exposure_weighting_onlevel_1</t>
  </si>
  <si>
    <t>decay_ratio_weighting_2</t>
  </si>
  <si>
    <t>developed_weighting_3</t>
  </si>
  <si>
    <t>overall_weighting_onlevel</t>
  </si>
  <si>
    <t>exposure_weighting_nominal_1</t>
  </si>
  <si>
    <t>overall_weighting_nominal</t>
  </si>
  <si>
    <t>adjustments_actual</t>
  </si>
  <si>
    <t>adjustments_lower</t>
  </si>
  <si>
    <t>adjustments_upper</t>
  </si>
  <si>
    <t>adjustments_prem_lloyds_lower</t>
  </si>
  <si>
    <t>adjustments_prem_lloyds_upper</t>
  </si>
  <si>
    <t>adjustments_prem_lloyds_actual</t>
  </si>
  <si>
    <t>adjustments_incurred_lloyds_lower</t>
  </si>
  <si>
    <t>adjustments_incurred_lloyds_upper</t>
  </si>
  <si>
    <t>adjustments_incurred_lloyds_actual</t>
  </si>
  <si>
    <t>IELR</t>
  </si>
  <si>
    <t>claim_source</t>
  </si>
  <si>
    <t>claim_basis</t>
  </si>
  <si>
    <t>claim_to_develop_to_ultimate</t>
  </si>
  <si>
    <t>cat_basis</t>
  </si>
  <si>
    <t>ielr_approach</t>
  </si>
  <si>
    <t>ielr_attr</t>
  </si>
  <si>
    <t>ielr_large</t>
  </si>
  <si>
    <t>ielr_cat</t>
  </si>
  <si>
    <t>ielr_total</t>
  </si>
  <si>
    <t>ielr_total_excl_cat</t>
  </si>
  <si>
    <t>lloyds_model_ielr</t>
  </si>
  <si>
    <t>lloyds_model_final_gn_ulr</t>
  </si>
  <si>
    <t>lloyds_selected_ielr</t>
  </si>
  <si>
    <t>lloyds_selected_final_gn_ulr</t>
  </si>
  <si>
    <t>beazley_model_ielr</t>
  </si>
  <si>
    <t>beazley_model_final_gn_ulr</t>
  </si>
  <si>
    <t>beazley_selected_ielr</t>
  </si>
  <si>
    <t>beazley_selected_final_gn_ulr</t>
  </si>
  <si>
    <t>ielr_nominal_attr</t>
  </si>
  <si>
    <t>ielr_nominal_large</t>
  </si>
  <si>
    <t>ielr_nominal_cat</t>
  </si>
  <si>
    <t>ielr_nominal_total</t>
  </si>
  <si>
    <t>ielr_nominal_total_excl_cat</t>
  </si>
  <si>
    <t>ielr_ol_all_yr_attr</t>
  </si>
  <si>
    <t>ielr_ol_all_yr_large</t>
  </si>
  <si>
    <t>ielr_ol_all_yr_cat</t>
  </si>
  <si>
    <t>ielr_ol_all_yr_total</t>
  </si>
  <si>
    <t>ielr_ol_all_yr_total_excl_cat</t>
  </si>
  <si>
    <t>ielr_ol_cl_yr_attr</t>
  </si>
  <si>
    <t>ielr_ol_cl_yr_large</t>
  </si>
  <si>
    <t>ielr_ol_cl_yr_cat</t>
  </si>
  <si>
    <t>ielr_ol_cl_yr_total</t>
  </si>
  <si>
    <t>ielr_ol_cl_yr_total_excl_cat</t>
  </si>
  <si>
    <t>selected_attr</t>
  </si>
  <si>
    <t>selected_large</t>
  </si>
  <si>
    <t>selected_cat</t>
  </si>
  <si>
    <t>selected_total</t>
  </si>
  <si>
    <t>selected_total_excl_cat</t>
  </si>
  <si>
    <t>selected_cat_exp</t>
  </si>
  <si>
    <t>selected_cat_bp</t>
  </si>
  <si>
    <t>selected_cat_rms</t>
  </si>
  <si>
    <t>selected_cat_basis</t>
  </si>
  <si>
    <t>model_default_attr</t>
  </si>
  <si>
    <t>model_default_large</t>
  </si>
  <si>
    <t>model_default_cat</t>
  </si>
  <si>
    <t>model_default_total</t>
  </si>
  <si>
    <t>model_default_total_excl_cat</t>
  </si>
  <si>
    <t>model_default_cat_exp</t>
  </si>
  <si>
    <t>model_default_cat_bp</t>
  </si>
  <si>
    <t>model_default_cat_rms</t>
  </si>
  <si>
    <t>model_default_cat_basis</t>
  </si>
  <si>
    <t>ovd_dev</t>
  </si>
  <si>
    <t>ovd_index</t>
  </si>
  <si>
    <t>ovd_premium</t>
  </si>
  <si>
    <t>ovd_ielr_weights</t>
  </si>
  <si>
    <t>ovd_ielr</t>
  </si>
  <si>
    <t>ovd_ibnr</t>
  </si>
  <si>
    <t>ovd_ultimate_method</t>
  </si>
  <si>
    <t>ovd_ultimate</t>
  </si>
  <si>
    <t>ovd_ulr_weights</t>
  </si>
  <si>
    <t>ovd_ulr</t>
  </si>
  <si>
    <t>cov_attr</t>
  </si>
  <si>
    <t>cov_large</t>
  </si>
  <si>
    <t>cov_cat</t>
  </si>
  <si>
    <t>cov_total</t>
  </si>
  <si>
    <t>actuarial_notes</t>
  </si>
  <si>
    <t>ielr_weighting_cl_attr</t>
  </si>
  <si>
    <t>ielr_weighting_sel_attr</t>
  </si>
  <si>
    <t>ielr_weighting_cl_large</t>
  </si>
  <si>
    <t>ielr_weighting_sel_large</t>
  </si>
  <si>
    <t>ielr_weighting_cl_cat</t>
  </si>
  <si>
    <t>ielr_weighting_sel_cat</t>
  </si>
  <si>
    <t>ielr_weighting_cl_total</t>
  </si>
  <si>
    <t>ielr_weighting_sel_total</t>
  </si>
  <si>
    <t>latest_paid</t>
  </si>
  <si>
    <t>latest_incurred</t>
  </si>
  <si>
    <t>acquisition_ratio</t>
  </si>
  <si>
    <t>incurred_loss_ratio</t>
  </si>
  <si>
    <t>ultimate_gnpi</t>
  </si>
  <si>
    <t>ultimate_gnpi_ol_model</t>
  </si>
  <si>
    <t>ultimate_gnpi_ol_selected</t>
  </si>
  <si>
    <t>ultimate_cl_paid</t>
  </si>
  <si>
    <t>ultimate_cl_paid_ulr</t>
  </si>
  <si>
    <t>ultimate_cl_incurred</t>
  </si>
  <si>
    <t>ultimate_cl_incurred_ulr</t>
  </si>
  <si>
    <t>ultimate_ielr_model</t>
  </si>
  <si>
    <t>ultimate_ielr_model_ulr</t>
  </si>
  <si>
    <t>ultimate_ielr_selected</t>
  </si>
  <si>
    <t>ultimate_ielr_selected_ulr</t>
  </si>
  <si>
    <t>ultimate_bf_model_paid</t>
  </si>
  <si>
    <t>ultimate_bf_model_incurred</t>
  </si>
  <si>
    <t>ultimate_bf_selected_paid</t>
  </si>
  <si>
    <t>ultimate_bf_selected_incurred</t>
  </si>
  <si>
    <t>ultimate_model</t>
  </si>
  <si>
    <t>ultimate_model_ulr</t>
  </si>
  <si>
    <t>ultimate_selected</t>
  </si>
  <si>
    <t>ultimate_selected_ulr</t>
  </si>
  <si>
    <t>on_levelled_model_ulr</t>
  </si>
  <si>
    <t>on_levelled_selected_ulr</t>
  </si>
  <si>
    <t>risk_code</t>
  </si>
  <si>
    <t>lookup_lob</t>
  </si>
  <si>
    <t>dev_patterns_gnpi</t>
  </si>
  <si>
    <t>dev_patterns_paid</t>
  </si>
  <si>
    <t>dev_patterns_incurred</t>
  </si>
  <si>
    <t>weighting_ielr</t>
  </si>
  <si>
    <t>method_paid</t>
  </si>
  <si>
    <t>inflation_model</t>
  </si>
  <si>
    <t>rate_change_model</t>
  </si>
  <si>
    <t>rate_change_selected</t>
  </si>
  <si>
    <t>inflation_model_index</t>
  </si>
  <si>
    <t>rate_change_model_index</t>
  </si>
  <si>
    <t>rate_change_selected_index</t>
  </si>
  <si>
    <t>loss_ratio_model_index</t>
  </si>
  <si>
    <t>loss_ratio_selected_index</t>
  </si>
  <si>
    <t>weighting_model</t>
  </si>
  <si>
    <t>weighting_selected</t>
  </si>
  <si>
    <t>weighting_1_exposure_onlevel</t>
  </si>
  <si>
    <t>weighting_2_decay_ratio</t>
  </si>
  <si>
    <t>weighting_3_developed</t>
  </si>
  <si>
    <t>weighting_onlevel</t>
  </si>
  <si>
    <t>weighting_1_exposure_nominal</t>
  </si>
  <si>
    <t>weighting_nominal</t>
  </si>
  <si>
    <t>bp_class</t>
  </si>
  <si>
    <t>tracker_class</t>
  </si>
  <si>
    <t>projection_type</t>
  </si>
  <si>
    <t>ielr_source</t>
  </si>
  <si>
    <t>cat_lr_source</t>
  </si>
  <si>
    <t>lloyds_ielr</t>
  </si>
  <si>
    <t>composition</t>
  </si>
  <si>
    <t>model_ielr_nominal</t>
  </si>
  <si>
    <t>model_ielr_onlevel</t>
  </si>
  <si>
    <t>model_ielr_ol_allyr</t>
  </si>
  <si>
    <t>model_ielr</t>
  </si>
  <si>
    <t>model_gn_ulr</t>
  </si>
  <si>
    <t>model_base_aqn</t>
  </si>
  <si>
    <t>model_acc_aqn</t>
  </si>
  <si>
    <t>model_adj_gn_ulr</t>
  </si>
  <si>
    <t>model_final_gn_ulr</t>
  </si>
  <si>
    <t>selected_ielr</t>
  </si>
  <si>
    <t>selected_gn_ulr</t>
  </si>
  <si>
    <t>selected_base_aqn</t>
  </si>
  <si>
    <t>selected_acc_aqn</t>
  </si>
  <si>
    <t>selected_adj_gn_ulr</t>
  </si>
  <si>
    <t>selected_final_gn_ulr</t>
  </si>
  <si>
    <t>bp_cat</t>
  </si>
  <si>
    <t>bp_cat_load</t>
  </si>
  <si>
    <t>comments</t>
  </si>
  <si>
    <t>checked</t>
  </si>
  <si>
    <t>Incurred</t>
  </si>
  <si>
    <t>own_detail</t>
  </si>
  <si>
    <t>own_summary</t>
  </si>
  <si>
    <t>lloyds_detail</t>
  </si>
  <si>
    <t>lloyds_summary</t>
  </si>
  <si>
    <t>beazley_detail</t>
  </si>
  <si>
    <t>beazley_summary</t>
  </si>
  <si>
    <t>Path</t>
  </si>
  <si>
    <t>Name</t>
  </si>
  <si>
    <t>Type</t>
  </si>
  <si>
    <t>Mode</t>
  </si>
  <si>
    <t>Optionality</t>
  </si>
  <si>
    <t>Label</t>
  </si>
  <si>
    <t>Default Value</t>
  </si>
  <si>
    <t>Async Input</t>
  </si>
  <si>
    <t>for python</t>
  </si>
  <si>
    <t>Async Output</t>
  </si>
  <si>
    <t>cds/projections_own_experience/detail_table/lob_number</t>
  </si>
  <si>
    <t>int</t>
  </si>
  <si>
    <t>output</t>
  </si>
  <si>
    <t>n/a</t>
  </si>
  <si>
    <t>Number of Line of Business</t>
  </si>
  <si>
    <t>['calculate_profit_commission_task']</t>
  </si>
  <si>
    <t>cds/projections_own_experience/summary_table/claim_source</t>
  </si>
  <si>
    <t>str</t>
  </si>
  <si>
    <t>input</t>
  </si>
  <si>
    <t>required</t>
  </si>
  <si>
    <t>Claim Source</t>
  </si>
  <si>
    <t>&lt;hx_data_schema.nodes.Undefined object at 0x7f415a6cbe00&gt;</t>
  </si>
  <si>
    <t>['calculate_profit_commission_task', 'sync_lob_lists_task']</t>
  </si>
  <si>
    <t>cds/projections_lloyds/detail_table/yoa</t>
  </si>
  <si>
    <t>YoA</t>
  </si>
  <si>
    <t>[]</t>
  </si>
  <si>
    <t>cds/projections_lloyds/summary_table/lob_number</t>
  </si>
  <si>
    <t>cds/projections_beazley/detail_table/yoa</t>
  </si>
  <si>
    <t>cds/projections_beazley/summary_table/lob_number</t>
  </si>
  <si>
    <t>cds/projections_own_experience/detail_table/selected_lob</t>
  </si>
  <si>
    <t>Selected Line of Business</t>
  </si>
  <si>
    <t>cds/projections_own_experience/summary_table/claim_basis</t>
  </si>
  <si>
    <t>Claim Basis</t>
  </si>
  <si>
    <t>cds/projections_lloyds/detail_table/latest_gpi</t>
  </si>
  <si>
    <t>float</t>
  </si>
  <si>
    <t>Latest
GPI</t>
  </si>
  <si>
    <t>cds/projections_lloyds/summary_table/risk_code</t>
  </si>
  <si>
    <t>Risk Code</t>
  </si>
  <si>
    <t>cds/projections_beazley/detail_table/latest_gpi</t>
  </si>
  <si>
    <t>cds/projections_beazley/summary_table/risk_code</t>
  </si>
  <si>
    <t>cds/projections_own_experience/detail_table/yoa</t>
  </si>
  <si>
    <t>cds/projections_own_experience/summary_table/claim_to_develop_to_ultimate</t>
  </si>
  <si>
    <t>Claim to Develop
 to Ultimate</t>
  </si>
  <si>
    <t>cds/projections_lloyds/detail_table/latest_gnpi</t>
  </si>
  <si>
    <t>Latest
GNPI</t>
  </si>
  <si>
    <t>cds/projections_lloyds/summary_table/selected_lob</t>
  </si>
  <si>
    <t>Selected
Line of
Business</t>
  </si>
  <si>
    <t>cds/projections_beazley/detail_table/latest_gnpi</t>
  </si>
  <si>
    <t>cds/projections_beazley/summary_table/selected_lob</t>
  </si>
  <si>
    <t>cds/projections_own_experience/detail_table/latest_gpi</t>
  </si>
  <si>
    <t>cds/projections_own_experience/summary_table/cat_basis</t>
  </si>
  <si>
    <t>Cat Basis</t>
  </si>
  <si>
    <t>cds/projections_lloyds/detail_table/latest_paid</t>
  </si>
  <si>
    <t>Latest
Paid</t>
  </si>
  <si>
    <t>cds/projections_lloyds/summary_table/lookup_lob</t>
  </si>
  <si>
    <t>Lookup LOB</t>
  </si>
  <si>
    <t>cds/projections_beazley/detail_table/latest_paid</t>
  </si>
  <si>
    <t>cds/projections_beazley/summary_table/lookup_lob</t>
  </si>
  <si>
    <t>cds/projections_own_experience/detail_table/latest_gnpi</t>
  </si>
  <si>
    <t>cds/projections_own_experience/summary_table/ielr_approach</t>
  </si>
  <si>
    <t>IELR Method
&amp; Weights</t>
  </si>
  <si>
    <t>On-level</t>
  </si>
  <si>
    <t>cds/projections_lloyds/detail_table/latest_incurred</t>
  </si>
  <si>
    <t>Latest
Incurred</t>
  </si>
  <si>
    <t>cds/projections_lloyds/summary_table/bp_class</t>
  </si>
  <si>
    <t>Beazley
Business
Plan class</t>
  </si>
  <si>
    <t>cds/projections_beazley/detail_table/latest_incurred</t>
  </si>
  <si>
    <t>cds/projections_beazley/summary_table/bp_class</t>
  </si>
  <si>
    <t>cds/projections_own_experience/detail_table/acquisition_costs</t>
  </si>
  <si>
    <t>Acquisition
Costs %</t>
  </si>
  <si>
    <t>cds/projections_own_experience/summary_table/ielr_attr</t>
  </si>
  <si>
    <t>override</t>
  </si>
  <si>
    <t>Attritional IELR</t>
  </si>
  <si>
    <t>cds/projections_lloyds/detail_table/acquisition_ratio</t>
  </si>
  <si>
    <t>Acquisition
costs %</t>
  </si>
  <si>
    <t>cds/projections_lloyds/summary_table/tracker_class</t>
  </si>
  <si>
    <t>Tracker
Class</t>
  </si>
  <si>
    <t>cds/projections_beazley/detail_table/acquisition_ratio</t>
  </si>
  <si>
    <t>cds/projections_beazley/summary_table/tracker_class</t>
  </si>
  <si>
    <t>cds/projections_own_experience/detail_table/ultimate_premium_selected_gnpi_cl</t>
  </si>
  <si>
    <t>Ultimate
GNPI -
CL</t>
  </si>
  <si>
    <t>cds/projections_own_experience/summary_table/ielr_large</t>
  </si>
  <si>
    <t>Large IELR</t>
  </si>
  <si>
    <t>cds/projections_lloyds/detail_table/incurred_loss_ratio</t>
  </si>
  <si>
    <t>Incurred
Loss ratio</t>
  </si>
  <si>
    <t>cds/projections_lloyds/summary_table/projection_type</t>
  </si>
  <si>
    <t>Projection
Type</t>
  </si>
  <si>
    <t>['sync_lob_lists_task']</t>
  </si>
  <si>
    <t>cds/projections_beazley/detail_table/incurred_loss_ratio</t>
  </si>
  <si>
    <t>cds/projections_beazley/summary_table/projection_type</t>
  </si>
  <si>
    <t>cds/projections_own_experience/detail_table/ultimate_premium_selected_gnpi_override</t>
  </si>
  <si>
    <t>optional</t>
  </si>
  <si>
    <t>Ultimate
GNPI -
Override</t>
  </si>
  <si>
    <t>None</t>
  </si>
  <si>
    <t>cds/projections_own_experience/summary_table/ielr_cat</t>
  </si>
  <si>
    <t>CAT IELR</t>
  </si>
  <si>
    <t>cds/projections_lloyds/detail_table/ultimate_gnpi</t>
  </si>
  <si>
    <t>Ultimate
GNPI</t>
  </si>
  <si>
    <t>cds/projections_lloyds/summary_table/ielr_approach</t>
  </si>
  <si>
    <t>cds/projections_beazley/detail_table/ultimate_gnpi</t>
  </si>
  <si>
    <t>cds/projections_beazley/summary_table/ielr_approach</t>
  </si>
  <si>
    <t>cds/projections_own_experience/detail_table/ultimate_premium_selected_gnpi_selected</t>
  </si>
  <si>
    <t>Ultimate
GNPI -
Selected</t>
  </si>
  <si>
    <t>cds/projections_own_experience/summary_table/ielr_total</t>
  </si>
  <si>
    <t>Total IELR</t>
  </si>
  <si>
    <t>cds/projections_lloyds/detail_table/ultimate_gnpi_ol_model</t>
  </si>
  <si>
    <t>Ultimate
GNPI
On-level
Default</t>
  </si>
  <si>
    <t>cds/projections_lloyds/summary_table/ielr_source</t>
  </si>
  <si>
    <t>Selected
IELR Source</t>
  </si>
  <si>
    <t>cds/projections_beazley/detail_table/ultimate_gnpi_ol_model</t>
  </si>
  <si>
    <t>cds/projections_beazley/summary_table/ielr_source</t>
  </si>
  <si>
    <t>cds/projections_own_experience/detail_table/ultimate_premium_selected_gnpi_selected_ol</t>
  </si>
  <si>
    <t>Ultimate
GNPI
On-level
Selected</t>
  </si>
  <si>
    <t>cds/projections_own_experience/summary_table/ielr_total_excl_cat</t>
  </si>
  <si>
    <t>Total (Excl. CAT) IELR</t>
  </si>
  <si>
    <t>cds/projections_lloyds/detail_table/ultimate_gnpi_ol_selected</t>
  </si>
  <si>
    <t>cds/projections_lloyds/summary_table/cat_lr_source</t>
  </si>
  <si>
    <t>GN Cat
ULR Source</t>
  </si>
  <si>
    <t>cds/projections_beazley/detail_table/ultimate_gnpi_ol_selected</t>
  </si>
  <si>
    <t>cds/projections_beazley/summary_table/cat_lr_source</t>
  </si>
  <si>
    <t>cds/projections_own_experience/detail_table/ultimate_incurred_cl_ielr</t>
  </si>
  <si>
    <t>CL - IELR</t>
  </si>
  <si>
    <t>cds/projections_own_experience/summary_table/lloyds_model_ielr</t>
  </si>
  <si>
    <t>Lloyds Model IELR</t>
  </si>
  <si>
    <t>cds/projections_lloyds/detail_table/ultimate_cl_paid</t>
  </si>
  <si>
    <t>CL Ultimate
Paid</t>
  </si>
  <si>
    <t>cds/projections_lloyds/summary_table/lloyds_ielr</t>
  </si>
  <si>
    <t>Lloyds IELR</t>
  </si>
  <si>
    <t>cds/projections_beazley/detail_table/ultimate_cl_paid</t>
  </si>
  <si>
    <t>cds/projections_beazley/summary_table/lloyds_ielr</t>
  </si>
  <si>
    <t>cds/projections_own_experience/detail_table/additional_ibnr_attr</t>
  </si>
  <si>
    <t>cds/projections_own_experience/summary_table/lloyds_model_final_gn_ulr</t>
  </si>
  <si>
    <t>Lloyds Model GNULR</t>
  </si>
  <si>
    <t>cds/projections_lloyds/detail_table/ultimate_cl_paid_ulr</t>
  </si>
  <si>
    <t>CL ULR
Paid</t>
  </si>
  <si>
    <t>cds/projections_lloyds/summary_table/composition</t>
  </si>
  <si>
    <t>Composition</t>
  </si>
  <si>
    <t>cds/projections_beazley/detail_table/ultimate_cl_paid_ulr</t>
  </si>
  <si>
    <t>cds/projections_beazley/summary_table/composition</t>
  </si>
  <si>
    <t>cds/projections_own_experience/detail_table/additional_ibnr_large</t>
  </si>
  <si>
    <t>cds/projections_own_experience/summary_table/lloyds_selected_ielr</t>
  </si>
  <si>
    <t>Lloyds Selected IELR</t>
  </si>
  <si>
    <t>cds/projections_lloyds/detail_table/ultimate_cl_incurred</t>
  </si>
  <si>
    <t>CL Ultimate
Incurred</t>
  </si>
  <si>
    <t>cds/projections_lloyds/summary_table/model_ielr_nominal</t>
  </si>
  <si>
    <t>Model Default IELR - Nominal</t>
  </si>
  <si>
    <t>cds/projections_beazley/detail_table/ultimate_cl_incurred</t>
  </si>
  <si>
    <t>cds/projections_beazley/summary_table/model_ielr_nominal</t>
  </si>
  <si>
    <t>cds/projections_own_experience/detail_table/additional_ibnr_cat</t>
  </si>
  <si>
    <t>Cat</t>
  </si>
  <si>
    <t>cds/projections_own_experience/summary_table/lloyds_selected_final_gn_ulr</t>
  </si>
  <si>
    <t>Lloyds Selected GNULR</t>
  </si>
  <si>
    <t>cds/projections_lloyds/detail_table/ultimate_cl_incurred_ulr</t>
  </si>
  <si>
    <t>CL ULR
Incurred</t>
  </si>
  <si>
    <t>cds/projections_lloyds/summary_table/model_ielr_onlevel</t>
  </si>
  <si>
    <t>Model Default IELR - On-Level</t>
  </si>
  <si>
    <t>cds/projections_beazley/detail_table/ultimate_cl_incurred_ulr</t>
  </si>
  <si>
    <t>cds/projections_beazley/summary_table/model_ielr_onlevel</t>
  </si>
  <si>
    <t>cds/projections_own_experience/detail_table/additional_ibnr_total</t>
  </si>
  <si>
    <t>cds/projections_own_experience/summary_table/beazley_model_ielr</t>
  </si>
  <si>
    <t>Beazley Model IELR</t>
  </si>
  <si>
    <t>cds/projections_lloyds/detail_table/ultimate_ielr_model</t>
  </si>
  <si>
    <t>Model
Incurred</t>
  </si>
  <si>
    <t>cds/projections_lloyds/summary_table/model_ielr_ol_allyr</t>
  </si>
  <si>
    <t>Model Default IELR - On-level All yr</t>
  </si>
  <si>
    <t>cds/projections_beazley/detail_table/ultimate_ielr_model</t>
  </si>
  <si>
    <t>cds/projections_beazley/summary_table/model_ielr_ol_allyr</t>
  </si>
  <si>
    <t>cds/projections_own_experience/detail_table/is_row_visible</t>
  </si>
  <si>
    <t>bool</t>
  </si>
  <si>
    <t>cds/projections_own_experience/summary_table/beazley_model_final_gn_ulr</t>
  </si>
  <si>
    <t>Beazley Model GNULR</t>
  </si>
  <si>
    <t>cds/projections_lloyds/detail_table/ultimate_ielr_model_ulr</t>
  </si>
  <si>
    <t>IELR 
Model</t>
  </si>
  <si>
    <t>cds/projections_lloyds/summary_table/model_ielr</t>
  </si>
  <si>
    <t>Model Default
IELR - Incurred</t>
  </si>
  <si>
    <t>cds/projections_beazley/detail_table/ultimate_ielr_model_ulr</t>
  </si>
  <si>
    <t>cds/projections_beazley/summary_table/model_ielr</t>
  </si>
  <si>
    <t>cds/projections_own_experience/detail_table/lob_visible_1</t>
  </si>
  <si>
    <t>cds/projections_own_experience/summary_table/beazley_selected_ielr</t>
  </si>
  <si>
    <t>Beazley Selected IELR</t>
  </si>
  <si>
    <t>cds/projections_lloyds/detail_table/ultimate_ielr_selected</t>
  </si>
  <si>
    <t>Selected
Incurred</t>
  </si>
  <si>
    <t>cds/projections_lloyds/summary_table/model_gn_ulr</t>
  </si>
  <si>
    <t>GN ULR</t>
  </si>
  <si>
    <t>cds/projections_beazley/detail_table/ultimate_ielr_selected</t>
  </si>
  <si>
    <t>cds/projections_beazley/summary_table/model_gn_ulr</t>
  </si>
  <si>
    <t>cds/projections_own_experience/detail_table/lob_visible_2</t>
  </si>
  <si>
    <t>cds/projections_own_experience/summary_table/beazley_selected_final_gn_ulr</t>
  </si>
  <si>
    <t>Beazley Selected GNULR</t>
  </si>
  <si>
    <t>cds/projections_lloyds/detail_table/ultimate_ielr_selected_ulr</t>
  </si>
  <si>
    <t>IELR
Selected</t>
  </si>
  <si>
    <t>cds/projections_lloyds/summary_table/model_base_aqn</t>
  </si>
  <si>
    <t>Base Aqn</t>
  </si>
  <si>
    <t>cds/projections_beazley/detail_table/ultimate_ielr_selected_ulr</t>
  </si>
  <si>
    <t>cds/projections_beazley/summary_table/model_base_aqn</t>
  </si>
  <si>
    <t>cds/projections_own_experience/detail_table/lob_visible_3</t>
  </si>
  <si>
    <t>cds/projections_own_experience/summary_table/ielr_nominal_attr</t>
  </si>
  <si>
    <t>cds/projections_lloyds/detail_table/ultimate_bf_model_paid</t>
  </si>
  <si>
    <t>Model
Paid</t>
  </si>
  <si>
    <t>cds/projections_lloyds/summary_table/model_acc_aqn</t>
  </si>
  <si>
    <t>Account Aqn</t>
  </si>
  <si>
    <t>cds/projections_beazley/detail_table/ultimate_bf_model_paid</t>
  </si>
  <si>
    <t>cds/projections_beazley/summary_table/model_acc_aqn</t>
  </si>
  <si>
    <t>cds/projections_own_experience/detail_table/latest_incurred_open_claims_attr</t>
  </si>
  <si>
    <t>cds/projections_own_experience/summary_table/ielr_nominal_large</t>
  </si>
  <si>
    <t>cds/projections_lloyds/detail_table/ultimate_bf_model_incurred</t>
  </si>
  <si>
    <t>cds/projections_lloyds/summary_table/model_adj_gn_ulr</t>
  </si>
  <si>
    <t>GN ULR Acc Aqn</t>
  </si>
  <si>
    <t>cds/projections_beazley/detail_table/ultimate_bf_model_incurred</t>
  </si>
  <si>
    <t>cds/projections_beazley/summary_table/model_adj_gn_ulr</t>
  </si>
  <si>
    <t>cds/projections_own_experience/detail_table/latest_incurred_closed_claims_attr</t>
  </si>
  <si>
    <t>cds/projections_own_experience/summary_table/ielr_nominal_cat</t>
  </si>
  <si>
    <t>cds/projections_lloyds/detail_table/ultimate_bf_selected_paid</t>
  </si>
  <si>
    <t>Selected
Paid</t>
  </si>
  <si>
    <t>cds/projections_lloyds/summary_table/model_final_gn_ulr</t>
  </si>
  <si>
    <t>Final GN ULR</t>
  </si>
  <si>
    <t>cds/projections_beazley/detail_table/ultimate_bf_selected_paid</t>
  </si>
  <si>
    <t>cds/projections_beazley/summary_table/model_final_gn_ulr</t>
  </si>
  <si>
    <t>cds/projections_own_experience/detail_table/latest_incurred_total_claims_attr</t>
  </si>
  <si>
    <t>cds/projections_own_experience/summary_table/ielr_nominal_total</t>
  </si>
  <si>
    <t>cds/projections_lloyds/detail_table/ultimate_bf_selected_incurred</t>
  </si>
  <si>
    <t>cds/projections_lloyds/summary_table/selected_ielr</t>
  </si>
  <si>
    <t>Selected
IELR - Incurred</t>
  </si>
  <si>
    <t>cds/projections_beazley/detail_table/ultimate_bf_selected_incurred</t>
  </si>
  <si>
    <t>cds/projections_beazley/summary_table/selected_ielr</t>
  </si>
  <si>
    <t>cds/projections_own_experience/detail_table/last_year_position_attr</t>
  </si>
  <si>
    <t>cds/projections_own_experience/summary_table/ielr_nominal_total_excl_cat</t>
  </si>
  <si>
    <t>cds/projections_lloyds/detail_table/ultimate_model</t>
  </si>
  <si>
    <t>Model Ult.
Incurred</t>
  </si>
  <si>
    <t>cds/projections_lloyds/summary_table/selected_gn_ulr</t>
  </si>
  <si>
    <t>cds/projections_beazley/detail_table/ultimate_model</t>
  </si>
  <si>
    <t>cds/projections_beazley/summary_table/selected_gn_ulr</t>
  </si>
  <si>
    <t>cds/projections_own_experience/detail_table/movement_attr</t>
  </si>
  <si>
    <t>cds/projections_own_experience/summary_table/ielr_ol_all_yr_attr</t>
  </si>
  <si>
    <t>cds/projections_lloyds/detail_table/ultimate_model_ulr</t>
  </si>
  <si>
    <t>Model
Ult. ULR</t>
  </si>
  <si>
    <t>cds/projections_lloyds/summary_table/selected_base_aqn</t>
  </si>
  <si>
    <t>cds/projections_beazley/detail_table/ultimate_model_ulr</t>
  </si>
  <si>
    <t>cds/projections_beazley/summary_table/selected_base_aqn</t>
  </si>
  <si>
    <t>cds/projections_own_experience/detail_table/gn_ilr_attr</t>
  </si>
  <si>
    <t>cds/projections_own_experience/summary_table/ielr_ol_all_yr_large</t>
  </si>
  <si>
    <t>cds/projections_lloyds/detail_table/ultimate_selected</t>
  </si>
  <si>
    <t>Selected Ult.
Incurred</t>
  </si>
  <si>
    <t>cds/projections_lloyds/summary_table/selected_acc_aqn</t>
  </si>
  <si>
    <t>cds/projections_beazley/detail_table/ultimate_selected</t>
  </si>
  <si>
    <t>cds/projections_beazley/summary_table/selected_acc_aqn</t>
  </si>
  <si>
    <t>cds/projections_own_experience/detail_table/ultimate_incurred_ielr_attr</t>
  </si>
  <si>
    <t>cds/projections_own_experience/summary_table/ielr_ol_all_yr_cat</t>
  </si>
  <si>
    <t>cds/projections_lloyds/detail_table/ultimate_selected_ulr</t>
  </si>
  <si>
    <t>Selected
Ult. ULR</t>
  </si>
  <si>
    <t>cds/projections_lloyds/summary_table/selected_adj_gn_ulr</t>
  </si>
  <si>
    <t>cds/projections_beazley/detail_table/ultimate_selected_ulr</t>
  </si>
  <si>
    <t>cds/projections_beazley/summary_table/selected_adj_gn_ulr</t>
  </si>
  <si>
    <t>cds/projections_own_experience/detail_table/ultimate_incurred_bf_attr</t>
  </si>
  <si>
    <t>cds/projections_own_experience/summary_table/ielr_ol_all_yr_total</t>
  </si>
  <si>
    <t>cds/projections_lloyds/detail_table/on_levelled_model_ulr</t>
  </si>
  <si>
    <t>Model
ULR</t>
  </si>
  <si>
    <t>cds/projections_lloyds/summary_table/selected_final_gn_ulr</t>
  </si>
  <si>
    <t>cds/projections_beazley/detail_table/on_levelled_model_ulr</t>
  </si>
  <si>
    <t>cds/projections_beazley/summary_table/selected_final_gn_ulr</t>
  </si>
  <si>
    <t>cds/projections_own_experience/detail_table/ultimate_incurred_cl_attr</t>
  </si>
  <si>
    <t>cds/projections_own_experience/summary_table/ielr_ol_all_yr_total_excl_cat</t>
  </si>
  <si>
    <t>cds/projections_lloyds/detail_table/on_levelled_selected_ulr</t>
  </si>
  <si>
    <t>Selected
ULR</t>
  </si>
  <si>
    <t>cds/projections_lloyds/summary_table/bp_cat</t>
  </si>
  <si>
    <t>Apply BP 
Cat ULR?</t>
  </si>
  <si>
    <t>cds/projections_beazley/detail_table/on_levelled_selected_ulr</t>
  </si>
  <si>
    <t>cds/projections_beazley/summary_table/bp_cat</t>
  </si>
  <si>
    <t>cds/projections_own_experience/detail_table/ultimate_incurred_selected_attr</t>
  </si>
  <si>
    <t>cds/projections_own_experience/summary_table/ielr_ol_cl_yr_attr</t>
  </si>
  <si>
    <t>cds/projections_lloyds/detail_table/lob_number</t>
  </si>
  <si>
    <t>cds/projections_lloyds/summary_table/bp_cat_load</t>
  </si>
  <si>
    <t>BP Cat Load</t>
  </si>
  <si>
    <t>cds/projections_beazley/detail_table/lob_number</t>
  </si>
  <si>
    <t>cds/projections_beazley/summary_table/bp_cat_load</t>
  </si>
  <si>
    <t>cds/projections_own_experience/detail_table/ultimate_ulr_selected_attr</t>
  </si>
  <si>
    <t>cds/projections_own_experience/summary_table/ielr_ol_cl_yr_large</t>
  </si>
  <si>
    <t>cds/projections_lloyds/detail_table/risk_code</t>
  </si>
  <si>
    <t>cds/projections_lloyds/summary_table/actuarial_notes</t>
  </si>
  <si>
    <t>Actuarial Notes</t>
  </si>
  <si>
    <t>cds/projections_beazley/detail_table/risk_code</t>
  </si>
  <si>
    <t>cds/projections_beazley/summary_table/actuarial_notes</t>
  </si>
  <si>
    <t>cds/projections_own_experience/detail_table/ultimate_ulr_on_levelled_attr</t>
  </si>
  <si>
    <t>cds/projections_own_experience/summary_table/ielr_ol_cl_yr_cat</t>
  </si>
  <si>
    <t>cds/projections_lloyds/detail_table/selected_lob</t>
  </si>
  <si>
    <t>cds/projections_lloyds/summary_table/is_row_visible</t>
  </si>
  <si>
    <t>cds/projections_beazley/detail_table/selected_lob</t>
  </si>
  <si>
    <t>cds/projections_beazley/summary_table/is_row_visible</t>
  </si>
  <si>
    <t>cds/projections_own_experience/detail_table/latest_incurred_open_claims_large</t>
  </si>
  <si>
    <t>cds/projections_own_experience/summary_table/ielr_ol_cl_yr_total</t>
  </si>
  <si>
    <t>cds/projections_lloyds/detail_table/lookup_lob</t>
  </si>
  <si>
    <t>cds/projections_lloyds/summary_table/lob_visible_1</t>
  </si>
  <si>
    <t>cds/projections_beazley/detail_table/lookup_lob</t>
  </si>
  <si>
    <t>cds/projections_beazley/summary_table/lob_visible_1</t>
  </si>
  <si>
    <t>cds/projections_own_experience/detail_table/latest_incurred_closed_claims_large</t>
  </si>
  <si>
    <t>cds/projections_own_experience/summary_table/ielr_ol_cl_yr_total_excl_cat</t>
  </si>
  <si>
    <t>cds/projections_lloyds/detail_table/dev_patterns_gnpi</t>
  </si>
  <si>
    <t>GNPI</t>
  </si>
  <si>
    <t>cds/projections_lloyds/summary_table/lob_visible_2</t>
  </si>
  <si>
    <t>cds/projections_beazley/detail_table/dev_patterns_gnpi</t>
  </si>
  <si>
    <t>cds/projections_beazley/summary_table/lob_visible_2</t>
  </si>
  <si>
    <t>cds/projections_own_experience/detail_table/latest_incurred_total_claims_large</t>
  </si>
  <si>
    <t>cds/projections_own_experience/summary_table/selected_attr</t>
  </si>
  <si>
    <t>cds/projections_lloyds/detail_table/dev_patterns_paid</t>
  </si>
  <si>
    <t>Paid</t>
  </si>
  <si>
    <t>cds/projections_lloyds/summary_table/lob_visible_3</t>
  </si>
  <si>
    <t>cds/projections_beazley/detail_table/dev_patterns_paid</t>
  </si>
  <si>
    <t>cds/projections_beazley/summary_table/lob_visible_3</t>
  </si>
  <si>
    <t>cds/projections_own_experience/detail_table/last_year_position_large</t>
  </si>
  <si>
    <t>cds/projections_own_experience/summary_table/selected_large</t>
  </si>
  <si>
    <t>cds/projections_lloyds/detail_table/dev_patterns_incurred</t>
  </si>
  <si>
    <t>cds/projections_lloyds/summary_table/comments</t>
  </si>
  <si>
    <t>cds/projections_beazley/detail_table/dev_patterns_incurred</t>
  </si>
  <si>
    <t>cds/projections_beazley/summary_table/comments</t>
  </si>
  <si>
    <t>cds/projections_own_experience/detail_table/movement_large</t>
  </si>
  <si>
    <t>cds/projections_own_experience/summary_table/selected_cat</t>
  </si>
  <si>
    <t>Cat (on
Selected
Basis)</t>
  </si>
  <si>
    <t>cds/projections_lloyds/detail_table/weighting_ielr</t>
  </si>
  <si>
    <t>IELR
Weighting</t>
  </si>
  <si>
    <t>cds/projections_lloyds/summary_table/checked</t>
  </si>
  <si>
    <t>Checked</t>
  </si>
  <si>
    <t>cds/projections_beazley/detail_table/weighting_ielr</t>
  </si>
  <si>
    <t>cds/projections_beazley/summary_table/checked</t>
  </si>
  <si>
    <t>cds/projections_own_experience/detail_table/gn_ilr_large</t>
  </si>
  <si>
    <t>cds/projections_own_experience/summary_table/selected_total</t>
  </si>
  <si>
    <t>cds/projections_lloyds/detail_table/method_paid</t>
  </si>
  <si>
    <t>Method
Paid</t>
  </si>
  <si>
    <t>cds/projections_lloyds/summary_table/yoa</t>
  </si>
  <si>
    <t>cds/projections_beazley/detail_table/method_paid</t>
  </si>
  <si>
    <t>cds/projections_beazley/summary_table/yoa</t>
  </si>
  <si>
    <t>cds/projections_own_experience/detail_table/ultimate_incurred_ielr_large</t>
  </si>
  <si>
    <t>cds/projections_own_experience/summary_table/selected_total_excl_cat</t>
  </si>
  <si>
    <t>Total
(Excl. CAT)</t>
  </si>
  <si>
    <t>cds/projections_lloyds/detail_table/method_incurred</t>
  </si>
  <si>
    <t>Method
Incurred</t>
  </si>
  <si>
    <t>cds/projections_lloyds/summary_table/latest_gpi</t>
  </si>
  <si>
    <t>cds/projections_beazley/detail_table/method_incurred</t>
  </si>
  <si>
    <t>cds/projections_beazley/summary_table/latest_gpi</t>
  </si>
  <si>
    <t>cds/projections_own_experience/detail_table/ultimate_incurred_bf_large</t>
  </si>
  <si>
    <t>cds/projections_own_experience/summary_table/selected_cat_exp</t>
  </si>
  <si>
    <t>Cat (Experience)</t>
  </si>
  <si>
    <t>cds/projections_lloyds/detail_table/inflation_model</t>
  </si>
  <si>
    <t>Model
Inflation</t>
  </si>
  <si>
    <t>cds/projections_lloyds/summary_table/latest_gnpi</t>
  </si>
  <si>
    <t>cds/projections_beazley/detail_table/inflation_model</t>
  </si>
  <si>
    <t>cds/projections_beazley/summary_table/latest_gnpi</t>
  </si>
  <si>
    <t>cds/projections_own_experience/detail_table/ultimate_incurred_cl_large</t>
  </si>
  <si>
    <t>cds/projections_own_experience/summary_table/selected_cat_bp</t>
  </si>
  <si>
    <t>Cat (BP)</t>
  </si>
  <si>
    <t>cds/projections_lloyds/detail_table/rate_change_model</t>
  </si>
  <si>
    <t>Model
Rate Change</t>
  </si>
  <si>
    <t>cds/projections_lloyds/summary_table/latest_paid</t>
  </si>
  <si>
    <t>cds/projections_beazley/detail_table/rate_change_model</t>
  </si>
  <si>
    <t>cds/projections_beazley/summary_table/latest_paid</t>
  </si>
  <si>
    <t>cds/projections_own_experience/detail_table/ultimate_incurred_selected_large</t>
  </si>
  <si>
    <t>cds/projections_own_experience/summary_table/selected_cat_rms</t>
  </si>
  <si>
    <t>Cat (RMS)</t>
  </si>
  <si>
    <t>cds/projections_lloyds/detail_table/rate_change_selected</t>
  </si>
  <si>
    <t>Selected
Rate Change</t>
  </si>
  <si>
    <t>cds/projections_lloyds/summary_table/latest_incurred</t>
  </si>
  <si>
    <t>cds/projections_beazley/detail_table/rate_change_selected</t>
  </si>
  <si>
    <t>cds/projections_beazley/summary_table/latest_incurred</t>
  </si>
  <si>
    <t>cds/projections_own_experience/detail_table/ultimate_ulr_selected_large</t>
  </si>
  <si>
    <t>cds/projections_own_experience/summary_table/selected_cat_basis</t>
  </si>
  <si>
    <t>cds/projections_lloyds/detail_table/inflation_model_index</t>
  </si>
  <si>
    <t>Model
Inflation
Index</t>
  </si>
  <si>
    <t>cds/projections_lloyds/summary_table/acquisition_ratio</t>
  </si>
  <si>
    <t>cds/projections_beazley/detail_table/inflation_model_index</t>
  </si>
  <si>
    <t>cds/projections_beazley/summary_table/acquisition_ratio</t>
  </si>
  <si>
    <t>cds/projections_own_experience/detail_table/ultimate_ulr_on_levelled_large</t>
  </si>
  <si>
    <t>cds/projections_own_experience/summary_table/model_default_attr</t>
  </si>
  <si>
    <t>cds/projections_lloyds/detail_table/rate_change_model_index</t>
  </si>
  <si>
    <t>Model
Rate Change
Index</t>
  </si>
  <si>
    <t>cds/projections_lloyds/summary_table/incurred_loss_ratio</t>
  </si>
  <si>
    <t>cds/projections_beazley/detail_table/rate_change_model_index</t>
  </si>
  <si>
    <t>cds/projections_beazley/summary_table/incurred_loss_ratio</t>
  </si>
  <si>
    <t>cds/projections_own_experience/detail_table/latest_incurred_open_claims_cat</t>
  </si>
  <si>
    <t>cds/projections_own_experience/summary_table/model_default_large</t>
  </si>
  <si>
    <t>cds/projections_lloyds/detail_table/rate_change_selected_index</t>
  </si>
  <si>
    <t>Selected
Rate Change
Index</t>
  </si>
  <si>
    <t>cds/projections_lloyds/summary_table/ultimate_gnpi</t>
  </si>
  <si>
    <t>cds/projections_beazley/detail_table/rate_change_selected_index</t>
  </si>
  <si>
    <t>cds/projections_beazley/summary_table/ultimate_gnpi</t>
  </si>
  <si>
    <t>cds/projections_own_experience/detail_table/latest_incurred_closed_claims_cat</t>
  </si>
  <si>
    <t>cds/projections_own_experience/summary_table/model_default_cat</t>
  </si>
  <si>
    <t>cds/projections_lloyds/detail_table/loss_ratio_model_index</t>
  </si>
  <si>
    <t>Model
Loss Ratio
Index</t>
  </si>
  <si>
    <t>cds/projections_lloyds/summary_table/ultimate_gnpi_ol_model</t>
  </si>
  <si>
    <t>cds/projections_beazley/detail_table/loss_ratio_model_index</t>
  </si>
  <si>
    <t>cds/projections_beazley/summary_table/ultimate_gnpi_ol_model</t>
  </si>
  <si>
    <t>cds/projections_own_experience/detail_table/latest_incurred_total_claims_cat</t>
  </si>
  <si>
    <t>cds/projections_own_experience/summary_table/model_default_total</t>
  </si>
  <si>
    <t>cds/projections_lloyds/detail_table/loss_ratio_selected_index</t>
  </si>
  <si>
    <t>Selected
Loss Ratio
Index</t>
  </si>
  <si>
    <t>cds/projections_lloyds/summary_table/ultimate_gnpi_ol_selected</t>
  </si>
  <si>
    <t>cds/projections_beazley/detail_table/loss_ratio_selected_index</t>
  </si>
  <si>
    <t>cds/projections_beazley/summary_table/ultimate_gnpi_ol_selected</t>
  </si>
  <si>
    <t>cds/projections_own_experience/detail_table/last_year_position_cat</t>
  </si>
  <si>
    <t>cds/projections_own_experience/summary_table/model_default_total_excl_cat</t>
  </si>
  <si>
    <t>cds/projections_lloyds/detail_table/weighting_model</t>
  </si>
  <si>
    <t>Model
Weighting</t>
  </si>
  <si>
    <t>cds/projections_lloyds/summary_table/ultimate_cl_paid</t>
  </si>
  <si>
    <t>cds/projections_beazley/detail_table/weighting_model</t>
  </si>
  <si>
    <t>cds/projections_beazley/summary_table/ultimate_cl_paid</t>
  </si>
  <si>
    <t>cds/projections_own_experience/detail_table/movement_cat</t>
  </si>
  <si>
    <t>cds/projections_own_experience/summary_table/model_default_cat_exp</t>
  </si>
  <si>
    <t>cds/projections_lloyds/detail_table/weighting_selected</t>
  </si>
  <si>
    <t>Selected
Weighting</t>
  </si>
  <si>
    <t>cds/projections_lloyds/summary_table/ultimate_cl_paid_ulr</t>
  </si>
  <si>
    <t>cds/projections_beazley/detail_table/weighting_selected</t>
  </si>
  <si>
    <t>cds/projections_beazley/summary_table/ultimate_cl_paid_ulr</t>
  </si>
  <si>
    <t>cds/projections_own_experience/detail_table/gn_ilr_cat</t>
  </si>
  <si>
    <t>cds/projections_own_experience/summary_table/model_default_cat_bp</t>
  </si>
  <si>
    <t>cds/projections_lloyds/detail_table/weighting_1_exposure_onlevel</t>
  </si>
  <si>
    <t>Exposure -
weighting 1</t>
  </si>
  <si>
    <t>cds/projections_lloyds/summary_table/ultimate_cl_incurred</t>
  </si>
  <si>
    <t>cds/projections_beazley/detail_table/weighting_1_exposure_onlevel</t>
  </si>
  <si>
    <t>cds/projections_beazley/summary_table/ultimate_cl_incurred</t>
  </si>
  <si>
    <t>cds/projections_own_experience/detail_table/ultimate_incurred_ielr_cat</t>
  </si>
  <si>
    <t>cds/projections_own_experience/summary_table/model_default_cat_rms</t>
  </si>
  <si>
    <t>cds/projections_lloyds/detail_table/weighting_2_decay_ratio</t>
  </si>
  <si>
    <t>Decay Ratio -
weighting 2</t>
  </si>
  <si>
    <t>cds/projections_lloyds/summary_table/ultimate_cl_incurred_ulr</t>
  </si>
  <si>
    <t>cds/projections_beazley/detail_table/weighting_2_decay_ratio</t>
  </si>
  <si>
    <t>cds/projections_beazley/summary_table/ultimate_cl_incurred_ulr</t>
  </si>
  <si>
    <t>cds/projections_own_experience/detail_table/ultimate_incurred_bf_cat</t>
  </si>
  <si>
    <t>cds/projections_own_experience/summary_table/model_default_cat_basis</t>
  </si>
  <si>
    <t>cds/projections_lloyds/detail_table/weighting_3_developed</t>
  </si>
  <si>
    <t>% Develop -
Weighting 3</t>
  </si>
  <si>
    <t>cds/projections_lloyds/summary_table/ultimate_ielr_model</t>
  </si>
  <si>
    <t>cds/projections_beazley/detail_table/weighting_3_developed</t>
  </si>
  <si>
    <t>cds/projections_beazley/summary_table/ultimate_ielr_model</t>
  </si>
  <si>
    <t>cds/projections_own_experience/detail_table/ultimate_incurred_cl_cat</t>
  </si>
  <si>
    <t>cds/projections_own_experience/summary_table/ovd_dev</t>
  </si>
  <si>
    <t>Devt</t>
  </si>
  <si>
    <t>cds/projections_lloyds/detail_table/weighting_onlevel</t>
  </si>
  <si>
    <t>Onlevel 
Weighting</t>
  </si>
  <si>
    <t>cds/projections_lloyds/summary_table/ultimate_ielr_model_ulr</t>
  </si>
  <si>
    <t>cds/projections_beazley/detail_table/weighting_onlevel</t>
  </si>
  <si>
    <t>cds/projections_beazley/summary_table/ultimate_ielr_model_ulr</t>
  </si>
  <si>
    <t>cds/projections_own_experience/detail_table/ultimate_incurred_selected_cat</t>
  </si>
  <si>
    <t>cds/projections_own_experience/summary_table/ovd_index</t>
  </si>
  <si>
    <t>Indices</t>
  </si>
  <si>
    <t>cds/projections_lloyds/detail_table/weighting_1_exposure_nominal</t>
  </si>
  <si>
    <t>cds/projections_lloyds/summary_table/ultimate_ielr_selected</t>
  </si>
  <si>
    <t>cds/projections_beazley/detail_table/weighting_1_exposure_nominal</t>
  </si>
  <si>
    <t>cds/projections_beazley/summary_table/ultimate_ielr_selected</t>
  </si>
  <si>
    <t>cds/projections_own_experience/detail_table/ultimate_ulr_selected_cat</t>
  </si>
  <si>
    <t>cds/projections_own_experience/summary_table/ovd_premium</t>
  </si>
  <si>
    <t>Premium</t>
  </si>
  <si>
    <t>cds/projections_lloyds/detail_table/weighting_nominal</t>
  </si>
  <si>
    <t>Nominal 
Weighting</t>
  </si>
  <si>
    <t>cds/projections_lloyds/summary_table/ultimate_ielr_selected_ulr</t>
  </si>
  <si>
    <t>cds/projections_beazley/detail_table/weighting_nominal</t>
  </si>
  <si>
    <t>cds/projections_beazley/summary_table/ultimate_ielr_selected_ulr</t>
  </si>
  <si>
    <t>cds/projections_own_experience/detail_table/ultimate_ulr_on_levelled_cat</t>
  </si>
  <si>
    <t>cds/projections_own_experience/summary_table/ovd_ielr_weights</t>
  </si>
  <si>
    <t>IELR Wgt</t>
  </si>
  <si>
    <t>cds/projections_lloyds/detail_table/is_row_visible</t>
  </si>
  <si>
    <t>cds/projections_lloyds/summary_table/ultimate_bf_model_paid</t>
  </si>
  <si>
    <t>cds/projections_beazley/detail_table/is_row_visible</t>
  </si>
  <si>
    <t>cds/projections_beazley/summary_table/ultimate_bf_model_paid</t>
  </si>
  <si>
    <t>cds/projections_own_experience/detail_table/latest_incurred_open_claims_total</t>
  </si>
  <si>
    <t>cds/projections_own_experience/summary_table/ovd_ielr</t>
  </si>
  <si>
    <t>cds/projections_lloyds/detail_table/lob_visible_1</t>
  </si>
  <si>
    <t>cds/projections_lloyds/summary_table/ultimate_bf_model_incurred</t>
  </si>
  <si>
    <t>cds/projections_beazley/detail_table/lob_visible_1</t>
  </si>
  <si>
    <t>cds/projections_beazley/summary_table/ultimate_bf_model_incurred</t>
  </si>
  <si>
    <t>cds/projections_own_experience/detail_table/latest_incurred_closed_claims_total</t>
  </si>
  <si>
    <t>cds/projections_own_experience/summary_table/ovd_ibnr</t>
  </si>
  <si>
    <t>IBNR add</t>
  </si>
  <si>
    <t>cds/projections_lloyds/detail_table/lob_visible_2</t>
  </si>
  <si>
    <t>cds/projections_lloyds/summary_table/ultimate_bf_selected_paid</t>
  </si>
  <si>
    <t>cds/projections_beazley/detail_table/lob_visible_2</t>
  </si>
  <si>
    <t>cds/projections_beazley/summary_table/ultimate_bf_selected_paid</t>
  </si>
  <si>
    <t>cds/projections_own_experience/detail_table/latest_incurred_total_claims_total</t>
  </si>
  <si>
    <t>cds/projections_own_experience/summary_table/ovd_ultimate_method</t>
  </si>
  <si>
    <t>Ult Mtd</t>
  </si>
  <si>
    <t>cds/projections_lloyds/detail_table/lob_visible_3</t>
  </si>
  <si>
    <t>cds/projections_lloyds/summary_table/ultimate_bf_selected_incurred</t>
  </si>
  <si>
    <t>cds/projections_beazley/detail_table/lob_visible_3</t>
  </si>
  <si>
    <t>cds/projections_beazley/summary_table/ultimate_bf_selected_incurred</t>
  </si>
  <si>
    <t>cds/projections_own_experience/detail_table/last_year_position_total</t>
  </si>
  <si>
    <t>cds/projections_own_experience/summary_table/ovd_ultimate</t>
  </si>
  <si>
    <t>Ult</t>
  </si>
  <si>
    <t>cds/projections_lloyds/summary_table/ultimate_model</t>
  </si>
  <si>
    <t>cds/projections_beazley/summary_table/ultimate_model</t>
  </si>
  <si>
    <t>cds/projections_own_experience/detail_table/movement_total</t>
  </si>
  <si>
    <t>cds/projections_own_experience/summary_table/ovd_ulr_weights</t>
  </si>
  <si>
    <t>ULR Wgt</t>
  </si>
  <si>
    <t>cds/projections_lloyds/summary_table/ultimate_model_ulr</t>
  </si>
  <si>
    <t>cds/projections_beazley/summary_table/ultimate_model_ulr</t>
  </si>
  <si>
    <t>cds/projections_own_experience/detail_table/gn_ilr_total</t>
  </si>
  <si>
    <t>cds/projections_own_experience/summary_table/ovd_ulr</t>
  </si>
  <si>
    <t>ULR</t>
  </si>
  <si>
    <t>cds/projections_lloyds/summary_table/ultimate_selected</t>
  </si>
  <si>
    <t>cds/projections_beazley/summary_table/ultimate_selected</t>
  </si>
  <si>
    <t>cds/projections_own_experience/detail_table/ultimate_incurred_ielr_total</t>
  </si>
  <si>
    <t>cds/projections_own_experience/summary_table/cov_attr</t>
  </si>
  <si>
    <t>ATT COV</t>
  </si>
  <si>
    <t>cds/projections_lloyds/summary_table/ultimate_selected_ulr</t>
  </si>
  <si>
    <t>cds/projections_beazley/summary_table/ultimate_selected_ulr</t>
  </si>
  <si>
    <t>cds/projections_own_experience/detail_table/ultimate_incurred_bf_total</t>
  </si>
  <si>
    <t>cds/projections_own_experience/summary_table/cov_large</t>
  </si>
  <si>
    <t>LRG COV</t>
  </si>
  <si>
    <t>cds/projections_lloyds/summary_table/on_levelled_model_ulr</t>
  </si>
  <si>
    <t>cds/projections_beazley/summary_table/on_levelled_model_ulr</t>
  </si>
  <si>
    <t>cds/projections_own_experience/detail_table/ultimate_incurred_cl_total</t>
  </si>
  <si>
    <t>cds/projections_own_experience/summary_table/cov_cat</t>
  </si>
  <si>
    <t>CAT COV</t>
  </si>
  <si>
    <t>cds/projections_lloyds/summary_table/on_levelled_selected_ulr</t>
  </si>
  <si>
    <t>cds/projections_beazley/summary_table/on_levelled_selected_ulr</t>
  </si>
  <si>
    <t>cds/projections_own_experience/detail_table/ultimate_incurred_selected_total</t>
  </si>
  <si>
    <t>cds/projections_own_experience/summary_table/cov_total</t>
  </si>
  <si>
    <t>TOTAL COV</t>
  </si>
  <si>
    <t>cds/projections_own_experience/detail_table/ultimate_ulr_selected_total</t>
  </si>
  <si>
    <t>cds/projections_own_experience/summary_table/actuarial_notes</t>
  </si>
  <si>
    <t>cds/projections_own_experience/detail_table/ultimate_ulr_on_levelled_total</t>
  </si>
  <si>
    <t>cds/projections_own_experience/summary_table/lob_number</t>
  </si>
  <si>
    <t>cds/projections_own_experience/detail_table/ultimate_incurred_selected_total_x_cat</t>
  </si>
  <si>
    <t>Total
(excl. Cat)</t>
  </si>
  <si>
    <t>cds/projections_own_experience/summary_table/selected_lob</t>
  </si>
  <si>
    <t>cds/projections_own_experience/detail_table/ultimate_ulr_selected_total_x_cat</t>
  </si>
  <si>
    <t>cds/projections_own_experience/summary_table/yoa</t>
  </si>
  <si>
    <t>cds/projections_own_experience/detail_table/ultimate_ulr_on_levelled_total_x_cat</t>
  </si>
  <si>
    <t>cds/projections_own_experience/summary_table/latest_gpi</t>
  </si>
  <si>
    <t>cds/projections_own_experience/detail_table/development_pattern_premium_lloyds_unadjusted</t>
  </si>
  <si>
    <t>Premium
Development
 Pattern -
Lloyds
 - Unadjusted</t>
  </si>
  <si>
    <t>cds/projections_own_experience/summary_table/latest_gnpi</t>
  </si>
  <si>
    <t>cds/projections_own_experience/detail_table/development_pattern_paid_lloyds_unadjusted</t>
  </si>
  <si>
    <t>Paid
Development
 Pattern -
Lloyds
 - Unadjusted</t>
  </si>
  <si>
    <t>cds/projections_own_experience/summary_table/acquisition_costs</t>
  </si>
  <si>
    <t>cds/projections_own_experience/detail_table/development_pattern_incurred_lloyds_unadjusted</t>
  </si>
  <si>
    <t>Incurred
Development
 Pattern -
Lloyds
 - Unadjusted</t>
  </si>
  <si>
    <t>cds/projections_own_experience/summary_table/ultimate_premium_selected_gnpi_cl</t>
  </si>
  <si>
    <t>cds/projections_own_experience/detail_table/development_pattern_premium_lloyds</t>
  </si>
  <si>
    <t>Premium
Development
 Pattern -
Lloyds</t>
  </si>
  <si>
    <t>cds/projections_own_experience/summary_table/ultimate_premium_selected_gnpi_override</t>
  </si>
  <si>
    <t>cds/projections_own_experience/detail_table/development_pattern_paid_lloyds</t>
  </si>
  <si>
    <t>Paid
Development
 Pattern -
Lloyds</t>
  </si>
  <si>
    <t>cds/projections_own_experience/summary_table/ultimate_premium_selected_gnpi_selected</t>
  </si>
  <si>
    <t>cds/projections_own_experience/detail_table/development_pattern_incurred_lloyds</t>
  </si>
  <si>
    <t>Incurred
Development
 Pattern -
Lloyds</t>
  </si>
  <si>
    <t>cds/projections_own_experience/summary_table/ultimate_premium_selected_gnpi_selected_ol</t>
  </si>
  <si>
    <t>cds/projections_own_experience/detail_table/development_pattern_premium_override</t>
  </si>
  <si>
    <t>Premium
Development
 Pattern -
Override</t>
  </si>
  <si>
    <t>cds/projections_own_experience/summary_table/ultimate_incurred_cl_ielr</t>
  </si>
  <si>
    <t>cds/projections_own_experience/detail_table/development_pattern_incurred_override</t>
  </si>
  <si>
    <t>Incurred
Development
 Pattern -
Override</t>
  </si>
  <si>
    <t>cds/projections_own_experience/summary_table/additional_ibnr_attr</t>
  </si>
  <si>
    <t>cds/projections_own_experience/detail_table/development_pattern_premium_selected</t>
  </si>
  <si>
    <t>Premium
Development
 Pattern -
Selected</t>
  </si>
  <si>
    <t>cds/projections_own_experience/summary_table/additional_ibnr_large</t>
  </si>
  <si>
    <t>cds/projections_own_experience/detail_table/development_pattern_incurred_selected</t>
  </si>
  <si>
    <t>Incurred
Development
 Pattern -
Selected</t>
  </si>
  <si>
    <t>cds/projections_own_experience/summary_table/additional_ibnr_cat</t>
  </si>
  <si>
    <t>cds/projections_own_experience/detail_table/method_incurred</t>
  </si>
  <si>
    <t>cds/projections_own_experience/summary_table/additional_ibnr_total</t>
  </si>
  <si>
    <t>cds/projections_own_experience/detail_table/applied_rate_change</t>
  </si>
  <si>
    <t>Applied
  Rate Change</t>
  </si>
  <si>
    <t>cds/projections_own_experience/summary_table/is_row_visible</t>
  </si>
  <si>
    <t>cds/projections_own_experience/detail_table/applied_inflation</t>
  </si>
  <si>
    <t>Applied
  Inflation</t>
  </si>
  <si>
    <t>cds/projections_own_experience/summary_table/lob_visible_1</t>
  </si>
  <si>
    <t>cds/projections_own_experience/detail_table/modelled_weighting</t>
  </si>
  <si>
    <t>Modelled
 Weighting</t>
  </si>
  <si>
    <t>cds/projections_own_experience/summary_table/lob_visible_2</t>
  </si>
  <si>
    <t>cds/projections_own_experience/detail_table/applied_rate_change_cumulative</t>
  </si>
  <si>
    <t>Applied
  Rate Change
  Cumulative</t>
  </si>
  <si>
    <t>cds/projections_own_experience/summary_table/lob_visible_3</t>
  </si>
  <si>
    <t>cds/projections_own_experience/detail_table/applied_inflation_cumulative</t>
  </si>
  <si>
    <t>Applied
  Inflation
  Cumulative</t>
  </si>
  <si>
    <t>cds/projections_own_experience/summary_table/latest_incurred_open_claims_attr</t>
  </si>
  <si>
    <t>cds/projections_own_experience/detail_table/onlevel_factor_cumulative</t>
  </si>
  <si>
    <t>Selected
  On-Level
  Factor</t>
  </si>
  <si>
    <t>cds/projections_own_experience/summary_table/latest_incurred_closed_claims_attr</t>
  </si>
  <si>
    <t>cds/projections_own_experience/detail_table/exposure_weighting_onlevel_1</t>
  </si>
  <si>
    <t>cds/projections_own_experience/summary_table/latest_incurred_total_claims_attr</t>
  </si>
  <si>
    <t>cds/projections_own_experience/detail_table/decay_ratio_weighting_2</t>
  </si>
  <si>
    <t>cds/projections_own_experience/summary_table/last_year_position_attr</t>
  </si>
  <si>
    <t>cds/projections_own_experience/detail_table/developed_weighting_3</t>
  </si>
  <si>
    <t>Developed -
weighting 3</t>
  </si>
  <si>
    <t>cds/projections_own_experience/summary_table/movement_attr</t>
  </si>
  <si>
    <t>cds/projections_own_experience/detail_table/overall_weighting_onlevel</t>
  </si>
  <si>
    <t>cds/projections_own_experience/summary_table/gn_ilr_attr</t>
  </si>
  <si>
    <t>cds/projections_own_experience/detail_table/exposure_weighting_nominal_1</t>
  </si>
  <si>
    <t>Exposure -
weighting
Nominal</t>
  </si>
  <si>
    <t>cds/projections_own_experience/summary_table/ultimate_incurred_ielr_attr</t>
  </si>
  <si>
    <t>cds/projections_own_experience/detail_table/overall_weighting_nominal</t>
  </si>
  <si>
    <t>Modelled
 Weighting
Nominal</t>
  </si>
  <si>
    <t>cds/projections_own_experience/summary_table/ultimate_incurred_bf_attr</t>
  </si>
  <si>
    <t>cds/projections_own_experience/detail_table/adjustments_actual</t>
  </si>
  <si>
    <t>Actual</t>
  </si>
  <si>
    <t>cds/projections_own_experience/summary_table/ultimate_incurred_cl_attr</t>
  </si>
  <si>
    <t>cds/projections_own_experience/detail_table/adjustments_lower</t>
  </si>
  <si>
    <t>Lower</t>
  </si>
  <si>
    <t>cds/projections_own_experience/detail_table/adjustments_upper</t>
  </si>
  <si>
    <t>Upper</t>
  </si>
  <si>
    <t>cds/projections_own_experience/summary_table/ultimate_incurred_selected_attr</t>
  </si>
  <si>
    <t>cds/projections_own_experience/detail_table/adjustments_prem_lloyds_lower</t>
  </si>
  <si>
    <t>Premium 
Lloyds
 Lower</t>
  </si>
  <si>
    <t>cds/projections_own_experience/summary_table/ultimate_ulr_selected_attr</t>
  </si>
  <si>
    <t>cds/projections_own_experience/detail_table/adjustments_prem_lloyds_upper</t>
  </si>
  <si>
    <t>Premium 
Lloyds
 Upper</t>
  </si>
  <si>
    <t>cds/projections_own_experience/summary_table/ultimate_ulr_on_levelled_attr</t>
  </si>
  <si>
    <t>cds/projections_own_experience/detail_table/adjustments_prem_lloyds_actual</t>
  </si>
  <si>
    <t>Premium 
Lloyds
 Actual</t>
  </si>
  <si>
    <t>cds/projections_own_experience/detail_table/adjustments_incurred_lloyds_lower</t>
  </si>
  <si>
    <t>Incurred 
Lloyds 
Lower</t>
  </si>
  <si>
    <t>cds/projections_own_experience/summary_table/latest_incurred_open_claims_large</t>
  </si>
  <si>
    <t>cds/projections_own_experience/detail_table/adjustments_incurred_lloyds_upper</t>
  </si>
  <si>
    <t>Incurred 
Lloyds 
Upper</t>
  </si>
  <si>
    <t>cds/projections_own_experience/summary_table/latest_incurred_closed_claims_large</t>
  </si>
  <si>
    <t>cds/projections_own_experience/detail_table/adjustments_incurred_lloyds_actual</t>
  </si>
  <si>
    <t>Incurred 
Lloyds 
Actual</t>
  </si>
  <si>
    <t>cds/projections_own_experience/summary_table/latest_incurred_total_claims_large</t>
  </si>
  <si>
    <t>cds/projections_own_experience/summary_table/last_year_position_large</t>
  </si>
  <si>
    <t>cds/projections_own_experience/summary_table/movement_large</t>
  </si>
  <si>
    <t>cds/projections_own_experience/summary_table/gn_ilr_large</t>
  </si>
  <si>
    <t>cds/projections_own_experience/summary_table/ultimate_incurred_ielr_large</t>
  </si>
  <si>
    <t>cds/projections_own_experience/summary_table/ultimate_incurred_bf_large</t>
  </si>
  <si>
    <t>cds/projections_own_experience/summary_table/ultimate_incurred_cl_large</t>
  </si>
  <si>
    <t>cds/projections_own_experience/summary_table/ultimate_incurred_selected_large</t>
  </si>
  <si>
    <t>cds/projections_own_experience/summary_table/ultimate_ulr_selected_large</t>
  </si>
  <si>
    <t>cds/projections_own_experience/summary_table/ultimate_ulr_on_levelled_large</t>
  </si>
  <si>
    <t>cds/projections_own_experience/summary_table/latest_incurred_open_claims_cat</t>
  </si>
  <si>
    <t>cds/projections_own_experience/summary_table/latest_incurred_closed_claims_cat</t>
  </si>
  <si>
    <t>cds/projections_own_experience/summary_table/latest_incurred_total_claims_cat</t>
  </si>
  <si>
    <t>cds/projections_own_experience/summary_table/last_year_position_cat</t>
  </si>
  <si>
    <t>cds/projections_own_experience/summary_table/movement_cat</t>
  </si>
  <si>
    <t>cds/projections_own_experience/summary_table/gn_ilr_cat</t>
  </si>
  <si>
    <t>cds/projections_own_experience/summary_table/ultimate_incurred_ielr_cat</t>
  </si>
  <si>
    <t>cds/projections_own_experience/summary_table/ultimate_incurred_bf_cat</t>
  </si>
  <si>
    <t>cds/projections_own_experience/summary_table/ultimate_incurred_cl_cat</t>
  </si>
  <si>
    <t>cds/projections_own_experience/summary_table/ultimate_incurred_selected_cat</t>
  </si>
  <si>
    <t>cds/projections_own_experience/summary_table/ultimate_ulr_selected_cat</t>
  </si>
  <si>
    <t>cds/projections_own_experience/summary_table/ultimate_ulr_on_levelled_cat</t>
  </si>
  <si>
    <t>cds/projections_own_experience/summary_table/latest_incurred_open_claims_total</t>
  </si>
  <si>
    <t>cds/projections_own_experience/summary_table/latest_incurred_closed_claims_total</t>
  </si>
  <si>
    <t>cds/projections_own_experience/summary_table/latest_incurred_total_claims_total</t>
  </si>
  <si>
    <t>cds/projections_own_experience/summary_table/last_year_position_total</t>
  </si>
  <si>
    <t>cds/projections_own_experience/summary_table/movement_total</t>
  </si>
  <si>
    <t>cds/projections_own_experience/summary_table/gn_ilr_total</t>
  </si>
  <si>
    <t>cds/projections_own_experience/summary_table/ultimate_incurred_ielr_total</t>
  </si>
  <si>
    <t>cds/projections_own_experience/summary_table/ultimate_incurred_bf_total</t>
  </si>
  <si>
    <t>cds/projections_own_experience/summary_table/ultimate_incurred_cl_total</t>
  </si>
  <si>
    <t>cds/projections_own_experience/summary_table/ultimate_incurred_selected_total</t>
  </si>
  <si>
    <t>cds/projections_own_experience/summary_table/ultimate_ulr_selected_total</t>
  </si>
  <si>
    <t>cds/projections_own_experience/summary_table/ultimate_ulr_on_levelled_total</t>
  </si>
  <si>
    <t>cds/projections_own_experience/summary_table/ultimate_incurred_selected_total_x_cat</t>
  </si>
  <si>
    <t>cds/projections_own_experience/summary_table/ultimate_ulr_selected_total_x_cat</t>
  </si>
  <si>
    <t>cds/projections_own_experience/summary_table/ultimate_ulr_on_levelled_total_x_cat</t>
  </si>
  <si>
    <t>Selected LOB</t>
  </si>
  <si>
    <t>summary</t>
  </si>
  <si>
    <t>key</t>
  </si>
  <si>
    <t>value</t>
  </si>
  <si>
    <t>summary col</t>
  </si>
  <si>
    <t>summary row</t>
  </si>
  <si>
    <t>detail col</t>
  </si>
  <si>
    <t>detail row</t>
  </si>
  <si>
    <t>settings</t>
  </si>
  <si>
    <t>detail</t>
  </si>
  <si>
    <t>hx name</t>
  </si>
  <si>
    <t>hx label</t>
  </si>
  <si>
    <t>excel col</t>
  </si>
  <si>
    <t>Detail row 1</t>
  </si>
  <si>
    <t>Detail row 2</t>
  </si>
  <si>
    <t>Detail row 3</t>
  </si>
  <si>
    <t>Detail row 4</t>
  </si>
  <si>
    <t>Detail row 5</t>
  </si>
  <si>
    <t>Detail row 6</t>
  </si>
  <si>
    <t>Detail row 7</t>
  </si>
  <si>
    <t>Detail row 8</t>
  </si>
  <si>
    <t>Detail row 9</t>
  </si>
  <si>
    <t>Detail row 10</t>
  </si>
  <si>
    <t>Detail row 11</t>
  </si>
  <si>
    <t>Detail row 12</t>
  </si>
  <si>
    <t>Detail row 13</t>
  </si>
  <si>
    <t>Detail row 14</t>
  </si>
  <si>
    <t>Detail row 15</t>
  </si>
  <si>
    <t>Detail row 16</t>
  </si>
  <si>
    <t>Summary row 1</t>
  </si>
  <si>
    <t>Match Detail</t>
  </si>
  <si>
    <t>Match Summary</t>
  </si>
  <si>
    <t>cds/projections_own_experience/detail_table/ielr_weighting_cl_attr</t>
  </si>
  <si>
    <t>cds/projections_own_experience/detail_table/ielr_weighting_sel_attr</t>
  </si>
  <si>
    <t>cds/projections_own_experience/detail_table/ielr_weighting_cl_large</t>
  </si>
  <si>
    <t>cds/projections_own_experience/detail_table/ielr_weighting_sel_large</t>
  </si>
  <si>
    <t>cds/projections_own_experience/detail_table/ielr_weighting_cl_cat</t>
  </si>
  <si>
    <t>cds/projections_own_experience/detail_table/ielr_weighting_sel_cat</t>
  </si>
  <si>
    <t>cds/projections_own_experience/detail_table/ielr_weighting_cl_total</t>
  </si>
  <si>
    <t>cds/projections_own_experience/detail_table/ielr_weighting_sel_total</t>
  </si>
  <si>
    <t>MAP Risks &gt; Portfolio Underwriting &gt; HX Model Output</t>
  </si>
  <si>
    <t>lst_own_detail__name</t>
  </si>
  <si>
    <t>Please note any rationale for selection below, and any use of overrides:</t>
  </si>
  <si>
    <t>Selected Loss Ratios</t>
  </si>
  <si>
    <t>Model Default Loss Ratios</t>
  </si>
  <si>
    <t>Pricing Basis %</t>
  </si>
  <si>
    <t>On-levelled Total GN ULR %</t>
  </si>
  <si>
    <t>Total GN ULR %</t>
  </si>
  <si>
    <t>Total GN ILR %</t>
  </si>
  <si>
    <t>Adjustments</t>
  </si>
  <si>
    <t>Weighting Nominal</t>
  </si>
  <si>
    <t>Weighting On-level</t>
  </si>
  <si>
    <t>Selected Model Weighting</t>
  </si>
  <si>
    <t>On-Levelled</t>
  </si>
  <si>
    <t>Selected ULR</t>
  </si>
  <si>
    <t>Selected Ultimate</t>
  </si>
  <si>
    <t>Additional IBNR (Additive to Ultimate Incurred - Selected)</t>
  </si>
  <si>
    <t>IELR Weighting</t>
  </si>
  <si>
    <t>BF - Ultimate Incurred</t>
  </si>
  <si>
    <t>IELR - Ultimate Incurred</t>
  </si>
  <si>
    <t>CL - Ultimate Incurred</t>
  </si>
  <si>
    <t>Ultimate Premium - Selected</t>
  </si>
  <si>
    <t>Development Pattern</t>
  </si>
  <si>
    <t>Cumulative Indices</t>
  </si>
  <si>
    <t>Incremental Indices</t>
  </si>
  <si>
    <t>GN ILR %</t>
  </si>
  <si>
    <t>Movement</t>
  </si>
  <si>
    <t>Last Year's Position</t>
  </si>
  <si>
    <t>Total Incurred Claims (undeveloped)</t>
  </si>
  <si>
    <t>Closed Incurred Claims (undeveloped)</t>
  </si>
  <si>
    <t>Open Incurred Claims (undeveloped)</t>
  </si>
  <si>
    <t>Premium Current Position</t>
  </si>
  <si>
    <t>ul</t>
  </si>
  <si>
    <t>              null,</t>
  </si>
  <si>
    <t>On-level CL Yr</t>
  </si>
  <si>
    <t>On-level All Yr</t>
  </si>
  <si>
    <t>Nominal</t>
  </si>
  <si>
    <t>Model Default - IELR Approach Analysis</t>
  </si>
  <si>
    <t>Selected IELRs</t>
  </si>
  <si>
    <t>LOB Settings</t>
  </si>
  <si>
    <t>Overrides Used?</t>
  </si>
  <si>
    <t>Model Default</t>
  </si>
  <si>
    <t>Selected</t>
  </si>
  <si>
    <t>Own Experience Summary</t>
  </si>
  <si>
    <t>delete</t>
  </si>
  <si>
    <t>Renewal?</t>
  </si>
  <si>
    <t>Case Pricing</t>
  </si>
  <si>
    <t>Beazley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</si>
</sst>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0.0%;\-0.0%;\-"/>
    <numFmt numFmtId="167" formatCode="0.00%;[Red]\-0.00%;\-"/>
    <numFmt numFmtId="168" formatCode="_-* #,##0_-;\-* #,##0_-;_-* &quot;-&quot;??_-;_-@_-"/>
    <numFmt numFmtId="169" formatCode="0.0%;[Red]\-0.0%;\-"/>
    <numFmt numFmtId="170" formatCode="0%;[Red]\-0%;0%"/>
    <numFmt numFmtId="171" formatCode="0.00%;\-0.00%;\-"/>
    <numFmt numFmtId="172" formatCode="0.0%;[Red]\-0.0%"/>
    <numFmt numFmtId="173" formatCode="d\ mmm\ yyyy"/>
    <numFmt numFmtId="174" formatCode="#,##0.0,,"/>
    <numFmt numFmtId="175" formatCode="&quot;Year &quot;0"/>
    <numFmt numFmtId="176" formatCode="0.0%;[Red]\-0.0%;[White]0.0%"/>
    <numFmt numFmtId="177" formatCode="0;[Red]0;[White]0"/>
  </numFmts>
  <fonts count="4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</font>
    <font>
      <b/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4"/>
      <name val="Arial"/>
      <family val="2"/>
      <scheme val="minor"/>
    </font>
    <font>
      <sz val="11"/>
      <color rgb="FFFF0000"/>
      <name val="Arial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rial"/>
      <family val="2"/>
      <scheme val="minor"/>
    </font>
    <font>
      <b/>
      <u/>
      <sz val="11"/>
      <color rgb="FFCF118C"/>
      <name val="Calibri"/>
      <family val="2"/>
    </font>
    <font>
      <sz val="11"/>
      <color rgb="FF000000"/>
      <name val="Calibri"/>
      <family val="2"/>
    </font>
    <font>
      <b/>
      <sz val="11"/>
      <color theme="0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sz val="10"/>
      <color theme="0"/>
      <name val="Arial"/>
      <family val="2"/>
      <scheme val="minor"/>
    </font>
    <font>
      <i/>
      <sz val="10"/>
      <color theme="1"/>
      <name val="Arial"/>
      <family val="2"/>
    </font>
    <font>
      <i/>
      <sz val="8.5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4"/>
      <name val="Calibri"/>
      <family val="2"/>
    </font>
    <font>
      <i/>
      <sz val="11"/>
      <color rgb="FF0000FF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theme="4"/>
      <name val="Arial"/>
      <family val="2"/>
      <scheme val="minor"/>
    </font>
    <font>
      <b/>
      <sz val="9"/>
      <name val="Arial"/>
      <family val="2"/>
      <scheme val="minor"/>
    </font>
    <font>
      <sz val="9"/>
      <color theme="2" tint="-0.499984740745262"/>
      <name val="Arial"/>
      <family val="2"/>
      <scheme val="minor"/>
    </font>
    <font>
      <b/>
      <sz val="9"/>
      <color theme="2" tint="-0.499984740745262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20"/>
      <color rgb="FFBF417B"/>
      <name val="Arial"/>
      <family val="2"/>
      <scheme val="minor"/>
    </font>
    <font>
      <b/>
      <sz val="13"/>
      <color rgb="FFBF417B"/>
      <name val="Arial"/>
      <family val="2"/>
      <scheme val="minor"/>
    </font>
    <font>
      <sz val="11"/>
      <color rgb="FFCE9178"/>
      <name val="Consolas"/>
      <family val="3"/>
    </font>
    <font>
      <b/>
      <sz val="10"/>
      <color rgb="FF4B0050"/>
      <name val="Arial"/>
      <family val="2"/>
      <scheme val="minor"/>
    </font>
    <font>
      <b/>
      <u/>
      <sz val="10"/>
      <color rgb="FF4B0050"/>
      <name val="Arial"/>
      <family val="2"/>
      <scheme val="minor"/>
    </font>
    <font>
      <sz val="24"/>
      <color theme="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8E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medium">
        <color rgb="FFBF417B"/>
      </top>
      <bottom/>
      <diagonal/>
    </border>
    <border>
      <left/>
      <right/>
      <top/>
      <bottom style="medium">
        <color rgb="FFBF417B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</borders>
  <cellStyleXfs count="17">
    <xf numFmtId="0" fontId="0" fillId="0" borderId="0"/>
    <xf numFmtId="9" fontId="1" fillId="0" borderId="0"/>
    <xf numFmtId="0" fontId="4" fillId="0" borderId="0"/>
    <xf numFmtId="0" fontId="5" fillId="3" borderId="1">
      <alignment horizontal="center" vertical="center"/>
    </xf>
    <xf numFmtId="43" fontId="1" fillId="0" borderId="0"/>
    <xf numFmtId="164" fontId="1" fillId="0" borderId="0"/>
    <xf numFmtId="0" fontId="7" fillId="0" borderId="0"/>
    <xf numFmtId="174" fontId="7" fillId="0" borderId="0"/>
    <xf numFmtId="0" fontId="10" fillId="5" borderId="1"/>
    <xf numFmtId="10" fontId="11" fillId="6" borderId="1"/>
    <xf numFmtId="0" fontId="12" fillId="8" borderId="1">
      <alignment horizontal="center" vertical="center" wrapText="1"/>
    </xf>
    <xf numFmtId="0" fontId="14" fillId="5" borderId="0"/>
    <xf numFmtId="0" fontId="12" fillId="5" borderId="0">
      <alignment horizontal="right"/>
    </xf>
    <xf numFmtId="10" fontId="15" fillId="7" borderId="1">
      <protection locked="0"/>
    </xf>
    <xf numFmtId="0" fontId="12" fillId="9" borderId="0">
      <alignment horizontal="right"/>
    </xf>
    <xf numFmtId="0" fontId="15" fillId="7" borderId="1">
      <protection locked="0"/>
    </xf>
    <xf numFmtId="0" fontId="36" fillId="0" borderId="40" applyNumberFormat="0" applyFill="0" applyAlignment="0" applyProtection="0"/>
  </cellStyleXfs>
  <cellXfs count="278">
    <xf numFmtId="0" fontId="0" fillId="0" borderId="0" xfId="0"/>
    <xf numFmtId="0" fontId="0" fillId="2" borderId="0" xfId="0" applyFill="1"/>
    <xf numFmtId="0" fontId="17" fillId="2" borderId="0" xfId="0" applyFont="1" applyFill="1"/>
    <xf numFmtId="0" fontId="19" fillId="2" borderId="0" xfId="0" applyFont="1" applyFill="1" applyAlignment="1">
      <alignment horizontal="left" vertical="center"/>
    </xf>
    <xf numFmtId="0" fontId="20" fillId="2" borderId="0" xfId="0" applyFont="1" applyFill="1"/>
    <xf numFmtId="165" fontId="0" fillId="2" borderId="0" xfId="0" applyNumberFormat="1" applyFill="1"/>
    <xf numFmtId="166" fontId="0" fillId="2" borderId="0" xfId="0" applyNumberFormat="1" applyFill="1"/>
    <xf numFmtId="165" fontId="8" fillId="2" borderId="0" xfId="0" applyNumberFormat="1" applyFont="1" applyFill="1"/>
    <xf numFmtId="0" fontId="21" fillId="2" borderId="0" xfId="0" applyFont="1" applyFill="1"/>
    <xf numFmtId="3" fontId="2" fillId="2" borderId="10" xfId="0" applyNumberFormat="1" applyFont="1" applyFill="1" applyBorder="1"/>
    <xf numFmtId="3" fontId="18" fillId="4" borderId="12" xfId="0" applyNumberFormat="1" applyFont="1" applyFill="1" applyBorder="1" applyAlignment="1">
      <alignment horizontal="center" vertical="center" wrapText="1"/>
    </xf>
    <xf numFmtId="3" fontId="16" fillId="4" borderId="14" xfId="0" applyNumberFormat="1" applyFont="1" applyFill="1" applyBorder="1" applyAlignment="1">
      <alignment vertical="center" wrapText="1"/>
    </xf>
    <xf numFmtId="3" fontId="18" fillId="4" borderId="18" xfId="0" applyNumberFormat="1" applyFont="1" applyFill="1" applyBorder="1" applyAlignment="1">
      <alignment horizontal="center" vertical="center" wrapText="1"/>
    </xf>
    <xf numFmtId="3" fontId="18" fillId="4" borderId="21" xfId="0" applyNumberFormat="1" applyFont="1" applyFill="1" applyBorder="1" applyAlignment="1">
      <alignment horizontal="center" vertical="center" wrapText="1"/>
    </xf>
    <xf numFmtId="3" fontId="13" fillId="2" borderId="10" xfId="0" applyNumberFormat="1" applyFont="1" applyFill="1" applyBorder="1" applyAlignment="1">
      <alignment horizontal="left"/>
    </xf>
    <xf numFmtId="0" fontId="3" fillId="2" borderId="0" xfId="0" applyFont="1" applyFill="1"/>
    <xf numFmtId="0" fontId="26" fillId="2" borderId="0" xfId="0" applyFont="1" applyFill="1"/>
    <xf numFmtId="167" fontId="13" fillId="2" borderId="23" xfId="1" applyNumberFormat="1" applyFont="1" applyFill="1" applyBorder="1" applyAlignment="1">
      <alignment horizontal="center"/>
    </xf>
    <xf numFmtId="167" fontId="13" fillId="2" borderId="9" xfId="1" applyNumberFormat="1" applyFont="1" applyFill="1" applyBorder="1" applyAlignment="1">
      <alignment horizontal="center"/>
    </xf>
    <xf numFmtId="168" fontId="6" fillId="2" borderId="10" xfId="4" applyNumberFormat="1" applyFont="1" applyFill="1" applyBorder="1" applyAlignment="1">
      <alignment horizontal="center"/>
    </xf>
    <xf numFmtId="165" fontId="6" fillId="2" borderId="10" xfId="1" applyNumberFormat="1" applyFont="1" applyFill="1" applyBorder="1" applyAlignment="1">
      <alignment horizontal="center"/>
    </xf>
    <xf numFmtId="169" fontId="6" fillId="2" borderId="10" xfId="0" applyNumberFormat="1" applyFont="1" applyFill="1" applyBorder="1" applyAlignment="1">
      <alignment horizontal="center"/>
    </xf>
    <xf numFmtId="3" fontId="18" fillId="4" borderId="20" xfId="0" applyNumberFormat="1" applyFont="1" applyFill="1" applyBorder="1" applyAlignment="1">
      <alignment horizontal="center" vertical="center" wrapText="1"/>
    </xf>
    <xf numFmtId="1" fontId="18" fillId="4" borderId="29" xfId="4" applyNumberFormat="1" applyFont="1" applyFill="1" applyBorder="1" applyAlignment="1">
      <alignment horizontal="center" vertical="center" wrapText="1"/>
    </xf>
    <xf numFmtId="1" fontId="18" fillId="4" borderId="30" xfId="4" applyNumberFormat="1" applyFont="1" applyFill="1" applyBorder="1" applyAlignment="1">
      <alignment horizontal="center" vertical="center" wrapText="1"/>
    </xf>
    <xf numFmtId="165" fontId="2" fillId="2" borderId="10" xfId="0" applyNumberFormat="1" applyFont="1" applyFill="1" applyBorder="1"/>
    <xf numFmtId="3" fontId="27" fillId="4" borderId="14" xfId="0" applyNumberFormat="1" applyFont="1" applyFill="1" applyBorder="1" applyAlignment="1">
      <alignment vertical="center" wrapText="1"/>
    </xf>
    <xf numFmtId="0" fontId="28" fillId="4" borderId="0" xfId="0" applyFont="1" applyFill="1"/>
    <xf numFmtId="0" fontId="28" fillId="4" borderId="16" xfId="0" applyFont="1" applyFill="1" applyBorder="1"/>
    <xf numFmtId="3" fontId="27" fillId="4" borderId="17" xfId="0" applyNumberFormat="1" applyFont="1" applyFill="1" applyBorder="1" applyAlignment="1">
      <alignment horizontal="center" vertical="center" wrapText="1"/>
    </xf>
    <xf numFmtId="3" fontId="27" fillId="4" borderId="18" xfId="0" applyNumberFormat="1" applyFont="1" applyFill="1" applyBorder="1" applyAlignment="1">
      <alignment horizontal="center" vertical="center" wrapText="1"/>
    </xf>
    <xf numFmtId="3" fontId="27" fillId="4" borderId="19" xfId="0" applyNumberFormat="1" applyFont="1" applyFill="1" applyBorder="1" applyAlignment="1">
      <alignment horizontal="center" vertical="center" wrapText="1"/>
    </xf>
    <xf numFmtId="3" fontId="28" fillId="2" borderId="3" xfId="0" applyNumberFormat="1" applyFont="1" applyFill="1" applyBorder="1" applyAlignment="1">
      <alignment horizontal="left"/>
    </xf>
    <xf numFmtId="168" fontId="28" fillId="2" borderId="0" xfId="4" applyNumberFormat="1" applyFont="1" applyFill="1"/>
    <xf numFmtId="165" fontId="28" fillId="2" borderId="7" xfId="1" applyNumberFormat="1" applyFont="1" applyFill="1" applyBorder="1" applyAlignment="1">
      <alignment horizontal="center"/>
    </xf>
    <xf numFmtId="169" fontId="28" fillId="2" borderId="7" xfId="1" applyNumberFormat="1" applyFont="1" applyFill="1" applyBorder="1" applyAlignment="1">
      <alignment horizontal="center"/>
    </xf>
    <xf numFmtId="169" fontId="28" fillId="2" borderId="0" xfId="1" applyNumberFormat="1" applyFont="1" applyFill="1" applyAlignment="1">
      <alignment horizontal="center"/>
    </xf>
    <xf numFmtId="170" fontId="28" fillId="2" borderId="2" xfId="0" applyNumberFormat="1" applyFont="1" applyFill="1" applyBorder="1" applyAlignment="1">
      <alignment horizontal="center"/>
    </xf>
    <xf numFmtId="165" fontId="28" fillId="2" borderId="2" xfId="0" applyNumberFormat="1" applyFont="1" applyFill="1" applyBorder="1" applyAlignment="1">
      <alignment horizontal="center"/>
    </xf>
    <xf numFmtId="165" fontId="29" fillId="2" borderId="10" xfId="1" applyNumberFormat="1" applyFont="1" applyFill="1" applyBorder="1" applyAlignment="1">
      <alignment horizontal="center"/>
    </xf>
    <xf numFmtId="169" fontId="29" fillId="2" borderId="10" xfId="1" applyNumberFormat="1" applyFont="1" applyFill="1" applyBorder="1" applyAlignment="1">
      <alignment horizontal="center"/>
    </xf>
    <xf numFmtId="3" fontId="27" fillId="4" borderId="12" xfId="0" applyNumberFormat="1" applyFont="1" applyFill="1" applyBorder="1" applyAlignment="1">
      <alignment horizontal="center" vertical="center" wrapText="1"/>
    </xf>
    <xf numFmtId="3" fontId="27" fillId="4" borderId="21" xfId="0" applyNumberFormat="1" applyFont="1" applyFill="1" applyBorder="1" applyAlignment="1">
      <alignment horizontal="center" vertical="center" wrapText="1"/>
    </xf>
    <xf numFmtId="165" fontId="28" fillId="2" borderId="7" xfId="0" applyNumberFormat="1" applyFont="1" applyFill="1" applyBorder="1" applyAlignment="1">
      <alignment horizontal="center"/>
    </xf>
    <xf numFmtId="165" fontId="28" fillId="2" borderId="0" xfId="0" applyNumberFormat="1" applyFont="1" applyFill="1" applyAlignment="1">
      <alignment horizontal="center"/>
    </xf>
    <xf numFmtId="171" fontId="28" fillId="2" borderId="7" xfId="0" applyNumberFormat="1" applyFont="1" applyFill="1" applyBorder="1" applyAlignment="1">
      <alignment horizontal="center"/>
    </xf>
    <xf numFmtId="166" fontId="28" fillId="2" borderId="2" xfId="0" applyNumberFormat="1" applyFont="1" applyFill="1" applyBorder="1" applyAlignment="1">
      <alignment horizontal="center"/>
    </xf>
    <xf numFmtId="165" fontId="30" fillId="2" borderId="2" xfId="0" applyNumberFormat="1" applyFont="1" applyFill="1" applyBorder="1" applyAlignment="1">
      <alignment horizontal="center"/>
    </xf>
    <xf numFmtId="166" fontId="28" fillId="2" borderId="7" xfId="0" applyNumberFormat="1" applyFont="1" applyFill="1" applyBorder="1" applyAlignment="1">
      <alignment horizontal="center"/>
    </xf>
    <xf numFmtId="165" fontId="31" fillId="2" borderId="10" xfId="0" applyNumberFormat="1" applyFont="1" applyFill="1" applyBorder="1" applyAlignment="1">
      <alignment horizontal="center"/>
    </xf>
    <xf numFmtId="171" fontId="31" fillId="2" borderId="10" xfId="0" applyNumberFormat="1" applyFont="1" applyFill="1" applyBorder="1" applyAlignment="1">
      <alignment horizontal="center"/>
    </xf>
    <xf numFmtId="166" fontId="31" fillId="2" borderId="10" xfId="0" applyNumberFormat="1" applyFont="1" applyFill="1" applyBorder="1" applyAlignment="1">
      <alignment horizontal="center"/>
    </xf>
    <xf numFmtId="3" fontId="27" fillId="4" borderId="22" xfId="0" applyNumberFormat="1" applyFont="1" applyFill="1" applyBorder="1" applyAlignment="1">
      <alignment horizontal="right" vertical="center" wrapText="1"/>
    </xf>
    <xf numFmtId="3" fontId="27" fillId="11" borderId="18" xfId="0" applyNumberFormat="1" applyFont="1" applyFill="1" applyBorder="1" applyAlignment="1">
      <alignment horizontal="center" vertical="center" wrapText="1"/>
    </xf>
    <xf numFmtId="3" fontId="27" fillId="11" borderId="19" xfId="0" applyNumberFormat="1" applyFont="1" applyFill="1" applyBorder="1" applyAlignment="1">
      <alignment horizontal="center" vertical="center" wrapText="1"/>
    </xf>
    <xf numFmtId="3" fontId="28" fillId="2" borderId="7" xfId="4" applyNumberFormat="1" applyFont="1" applyFill="1" applyBorder="1" applyAlignment="1">
      <alignment horizontal="right"/>
    </xf>
    <xf numFmtId="165" fontId="30" fillId="2" borderId="7" xfId="1" applyNumberFormat="1" applyFont="1" applyFill="1" applyBorder="1" applyAlignment="1">
      <alignment horizontal="center"/>
    </xf>
    <xf numFmtId="165" fontId="30" fillId="2" borderId="7" xfId="0" applyNumberFormat="1" applyFont="1" applyFill="1" applyBorder="1" applyAlignment="1">
      <alignment horizontal="center"/>
    </xf>
    <xf numFmtId="172" fontId="30" fillId="2" borderId="7" xfId="0" applyNumberFormat="1" applyFont="1" applyFill="1" applyBorder="1" applyAlignment="1">
      <alignment horizontal="center"/>
    </xf>
    <xf numFmtId="165" fontId="32" fillId="2" borderId="7" xfId="0" applyNumberFormat="1" applyFont="1" applyFill="1" applyBorder="1" applyAlignment="1">
      <alignment horizontal="center"/>
    </xf>
    <xf numFmtId="172" fontId="32" fillId="2" borderId="2" xfId="0" applyNumberFormat="1" applyFont="1" applyFill="1" applyBorder="1" applyAlignment="1">
      <alignment horizontal="center"/>
    </xf>
    <xf numFmtId="165" fontId="32" fillId="2" borderId="3" xfId="0" applyNumberFormat="1" applyFont="1" applyFill="1" applyBorder="1" applyAlignment="1">
      <alignment horizontal="center"/>
    </xf>
    <xf numFmtId="172" fontId="32" fillId="2" borderId="0" xfId="0" applyNumberFormat="1" applyFont="1" applyFill="1" applyAlignment="1">
      <alignment horizontal="center"/>
    </xf>
    <xf numFmtId="3" fontId="31" fillId="2" borderId="10" xfId="0" applyNumberFormat="1" applyFont="1" applyFill="1" applyBorder="1" applyAlignment="1">
      <alignment horizontal="left"/>
    </xf>
    <xf numFmtId="168" fontId="31" fillId="2" borderId="9" xfId="4" applyNumberFormat="1" applyFont="1" applyFill="1" applyBorder="1" applyAlignment="1">
      <alignment horizontal="right"/>
    </xf>
    <xf numFmtId="165" fontId="31" fillId="2" borderId="10" xfId="1" applyNumberFormat="1" applyFont="1" applyFill="1" applyBorder="1" applyAlignment="1">
      <alignment horizontal="center"/>
    </xf>
    <xf numFmtId="172" fontId="31" fillId="2" borderId="11" xfId="0" applyNumberFormat="1" applyFont="1" applyFill="1" applyBorder="1" applyAlignment="1">
      <alignment horizontal="center"/>
    </xf>
    <xf numFmtId="165" fontId="33" fillId="2" borderId="9" xfId="0" applyNumberFormat="1" applyFont="1" applyFill="1" applyBorder="1" applyAlignment="1">
      <alignment horizontal="center"/>
    </xf>
    <xf numFmtId="165" fontId="33" fillId="2" borderId="10" xfId="0" applyNumberFormat="1" applyFont="1" applyFill="1" applyBorder="1" applyAlignment="1">
      <alignment horizontal="center"/>
    </xf>
    <xf numFmtId="172" fontId="33" fillId="2" borderId="10" xfId="0" applyNumberFormat="1" applyFont="1" applyFill="1" applyBorder="1" applyAlignment="1">
      <alignment horizontal="center"/>
    </xf>
    <xf numFmtId="172" fontId="13" fillId="2" borderId="9" xfId="1" applyNumberFormat="1" applyFont="1" applyFill="1" applyBorder="1" applyAlignment="1">
      <alignment horizontal="center"/>
    </xf>
    <xf numFmtId="0" fontId="23" fillId="2" borderId="24" xfId="0" applyFont="1" applyFill="1" applyBorder="1" applyAlignment="1">
      <alignment horizontal="center" vertical="center"/>
    </xf>
    <xf numFmtId="165" fontId="25" fillId="2" borderId="24" xfId="0" applyNumberFormat="1" applyFont="1" applyFill="1" applyBorder="1" applyAlignment="1">
      <alignment horizontal="center" vertical="center"/>
    </xf>
    <xf numFmtId="172" fontId="25" fillId="2" borderId="24" xfId="0" applyNumberFormat="1" applyFont="1" applyFill="1" applyBorder="1" applyAlignment="1">
      <alignment horizontal="center" vertical="center"/>
    </xf>
    <xf numFmtId="10" fontId="23" fillId="2" borderId="24" xfId="1" applyNumberFormat="1" applyFont="1" applyFill="1" applyBorder="1" applyAlignment="1">
      <alignment horizontal="center" vertical="center"/>
    </xf>
    <xf numFmtId="3" fontId="24" fillId="4" borderId="31" xfId="0" applyNumberFormat="1" applyFont="1" applyFill="1" applyBorder="1" applyAlignment="1">
      <alignment horizontal="center" vertical="center" wrapText="1"/>
    </xf>
    <xf numFmtId="0" fontId="22" fillId="2" borderId="26" xfId="0" applyFont="1" applyFill="1" applyBorder="1" applyAlignment="1">
      <alignment horizontal="left" vertical="top"/>
    </xf>
    <xf numFmtId="0" fontId="22" fillId="2" borderId="32" xfId="0" applyFont="1" applyFill="1" applyBorder="1" applyAlignment="1">
      <alignment horizontal="left" vertical="top"/>
    </xf>
    <xf numFmtId="0" fontId="22" fillId="2" borderId="33" xfId="0" applyFont="1" applyFill="1" applyBorder="1" applyAlignment="1">
      <alignment horizontal="left" vertical="top"/>
    </xf>
    <xf numFmtId="0" fontId="22" fillId="2" borderId="34" xfId="0" applyFont="1" applyFill="1" applyBorder="1" applyAlignment="1">
      <alignment horizontal="left" vertical="top"/>
    </xf>
    <xf numFmtId="0" fontId="22" fillId="2" borderId="26" xfId="0" applyFont="1" applyFill="1" applyBorder="1" applyAlignment="1">
      <alignment vertical="top"/>
    </xf>
    <xf numFmtId="3" fontId="24" fillId="4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10" fontId="23" fillId="2" borderId="1" xfId="0" applyNumberFormat="1" applyFont="1" applyFill="1" applyBorder="1" applyAlignment="1">
      <alignment horizontal="center" vertical="center"/>
    </xf>
    <xf numFmtId="0" fontId="23" fillId="2" borderId="35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9" fillId="2" borderId="0" xfId="0" applyFont="1" applyFill="1"/>
    <xf numFmtId="3" fontId="24" fillId="4" borderId="24" xfId="0" applyNumberFormat="1" applyFont="1" applyFill="1" applyBorder="1" applyAlignment="1">
      <alignment horizontal="center" vertical="center" wrapText="1"/>
    </xf>
    <xf numFmtId="3" fontId="24" fillId="4" borderId="37" xfId="0" applyNumberFormat="1" applyFont="1" applyFill="1" applyBorder="1" applyAlignment="1">
      <alignment horizontal="center" vertical="center"/>
    </xf>
    <xf numFmtId="165" fontId="23" fillId="2" borderId="25" xfId="0" quotePrefix="1" applyNumberFormat="1" applyFont="1" applyFill="1" applyBorder="1" applyAlignment="1">
      <alignment horizontal="center" vertical="center"/>
    </xf>
    <xf numFmtId="10" fontId="23" fillId="2" borderId="25" xfId="0" applyNumberFormat="1" applyFont="1" applyFill="1" applyBorder="1" applyAlignment="1">
      <alignment horizontal="center" vertical="center"/>
    </xf>
    <xf numFmtId="165" fontId="23" fillId="2" borderId="25" xfId="0" applyNumberFormat="1" applyFont="1" applyFill="1" applyBorder="1" applyAlignment="1">
      <alignment horizontal="center" vertical="center"/>
    </xf>
    <xf numFmtId="172" fontId="25" fillId="2" borderId="1" xfId="0" applyNumberFormat="1" applyFont="1" applyFill="1" applyBorder="1" applyAlignment="1">
      <alignment horizontal="center" vertical="center"/>
    </xf>
    <xf numFmtId="173" fontId="23" fillId="2" borderId="1" xfId="0" applyNumberFormat="1" applyFont="1" applyFill="1" applyBorder="1" applyAlignment="1">
      <alignment horizontal="center" vertical="center"/>
    </xf>
    <xf numFmtId="3" fontId="13" fillId="2" borderId="5" xfId="0" applyNumberFormat="1" applyFont="1" applyFill="1" applyBorder="1" applyAlignment="1">
      <alignment horizontal="left"/>
    </xf>
    <xf numFmtId="168" fontId="29" fillId="2" borderId="10" xfId="4" applyNumberFormat="1" applyFont="1" applyFill="1" applyBorder="1" applyAlignment="1">
      <alignment horizontal="left"/>
    </xf>
    <xf numFmtId="0" fontId="28" fillId="2" borderId="0" xfId="0" applyFont="1" applyFill="1"/>
    <xf numFmtId="168" fontId="28" fillId="2" borderId="7" xfId="4" applyNumberFormat="1" applyFont="1" applyFill="1" applyBorder="1"/>
    <xf numFmtId="168" fontId="28" fillId="2" borderId="7" xfId="4" applyNumberFormat="1" applyFont="1" applyFill="1" applyBorder="1" applyAlignment="1">
      <alignment horizontal="center"/>
    </xf>
    <xf numFmtId="168" fontId="28" fillId="10" borderId="2" xfId="4" applyNumberFormat="1" applyFont="1" applyFill="1" applyBorder="1" applyAlignment="1">
      <alignment horizontal="center"/>
    </xf>
    <xf numFmtId="167" fontId="28" fillId="2" borderId="3" xfId="1" applyNumberFormat="1" applyFont="1" applyFill="1" applyBorder="1" applyAlignment="1">
      <alignment horizontal="center"/>
    </xf>
    <xf numFmtId="167" fontId="28" fillId="2" borderId="27" xfId="1" applyNumberFormat="1" applyFont="1" applyFill="1" applyBorder="1" applyAlignment="1">
      <alignment horizontal="center"/>
    </xf>
    <xf numFmtId="167" fontId="28" fillId="2" borderId="2" xfId="1" applyNumberFormat="1" applyFont="1" applyFill="1" applyBorder="1" applyAlignment="1">
      <alignment horizontal="center"/>
    </xf>
    <xf numFmtId="172" fontId="28" fillId="2" borderId="7" xfId="1" applyNumberFormat="1" applyFont="1" applyFill="1" applyBorder="1" applyAlignment="1">
      <alignment horizontal="center"/>
    </xf>
    <xf numFmtId="172" fontId="28" fillId="2" borderId="2" xfId="1" applyNumberFormat="1" applyFont="1" applyFill="1" applyBorder="1" applyAlignment="1">
      <alignment horizontal="center"/>
    </xf>
    <xf numFmtId="3" fontId="28" fillId="2" borderId="2" xfId="0" applyNumberFormat="1" applyFont="1" applyFill="1" applyBorder="1"/>
    <xf numFmtId="165" fontId="28" fillId="2" borderId="2" xfId="1" applyNumberFormat="1" applyFont="1" applyFill="1" applyBorder="1"/>
    <xf numFmtId="0" fontId="28" fillId="2" borderId="28" xfId="0" applyFont="1" applyFill="1" applyBorder="1"/>
    <xf numFmtId="10" fontId="28" fillId="2" borderId="28" xfId="0" applyNumberFormat="1" applyFont="1" applyFill="1" applyBorder="1"/>
    <xf numFmtId="10" fontId="28" fillId="2" borderId="27" xfId="0" applyNumberFormat="1" applyFont="1" applyFill="1" applyBorder="1"/>
    <xf numFmtId="0" fontId="28" fillId="2" borderId="13" xfId="0" applyFont="1" applyFill="1" applyBorder="1"/>
    <xf numFmtId="0" fontId="28" fillId="2" borderId="7" xfId="0" applyFont="1" applyFill="1" applyBorder="1"/>
    <xf numFmtId="10" fontId="28" fillId="2" borderId="7" xfId="0" applyNumberFormat="1" applyFont="1" applyFill="1" applyBorder="1"/>
    <xf numFmtId="10" fontId="28" fillId="2" borderId="2" xfId="0" applyNumberFormat="1" applyFont="1" applyFill="1" applyBorder="1"/>
    <xf numFmtId="0" fontId="28" fillId="2" borderId="8" xfId="0" applyFont="1" applyFill="1" applyBorder="1"/>
    <xf numFmtId="10" fontId="28" fillId="2" borderId="8" xfId="0" applyNumberFormat="1" applyFont="1" applyFill="1" applyBorder="1"/>
    <xf numFmtId="10" fontId="28" fillId="2" borderId="6" xfId="0" applyNumberFormat="1" applyFont="1" applyFill="1" applyBorder="1"/>
    <xf numFmtId="0" fontId="28" fillId="2" borderId="4" xfId="0" applyFont="1" applyFill="1" applyBorder="1"/>
    <xf numFmtId="3" fontId="2" fillId="2" borderId="5" xfId="0" applyNumberFormat="1" applyFont="1" applyFill="1" applyBorder="1"/>
    <xf numFmtId="165" fontId="0" fillId="2" borderId="10" xfId="0" applyNumberFormat="1" applyFill="1" applyBorder="1"/>
    <xf numFmtId="0" fontId="35" fillId="0" borderId="0" xfId="0" applyFont="1"/>
    <xf numFmtId="0" fontId="0" fillId="12" borderId="0" xfId="0" applyFill="1"/>
    <xf numFmtId="0" fontId="0" fillId="13" borderId="0" xfId="0" applyFill="1"/>
    <xf numFmtId="0" fontId="1" fillId="0" borderId="0" xfId="0" applyFont="1"/>
    <xf numFmtId="0" fontId="2" fillId="0" borderId="0" xfId="0" applyFont="1"/>
    <xf numFmtId="0" fontId="34" fillId="0" borderId="0" xfId="0" applyFont="1"/>
    <xf numFmtId="175" fontId="0" fillId="15" borderId="0" xfId="0" applyNumberFormat="1" applyFill="1"/>
    <xf numFmtId="0" fontId="0" fillId="15" borderId="0" xfId="0" applyFill="1"/>
    <xf numFmtId="0" fontId="0" fillId="15" borderId="0" xfId="0" applyFill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3" fontId="23" fillId="2" borderId="1" xfId="0" applyNumberFormat="1" applyFont="1" applyFill="1" applyBorder="1" applyAlignment="1">
      <alignment horizontal="center" vertical="center"/>
    </xf>
    <xf numFmtId="0" fontId="37" fillId="2" borderId="0" xfId="16" applyFont="1" applyFill="1" applyBorder="1"/>
    <xf numFmtId="0" fontId="38" fillId="2" borderId="0" xfId="16" applyFont="1" applyFill="1" applyBorder="1"/>
    <xf numFmtId="0" fontId="0" fillId="2" borderId="41" xfId="0" applyFill="1" applyBorder="1"/>
    <xf numFmtId="0" fontId="38" fillId="2" borderId="42" xfId="16" applyFont="1" applyFill="1" applyBorder="1"/>
    <xf numFmtId="9" fontId="1" fillId="0" borderId="0" xfId="1"/>
    <xf numFmtId="0" fontId="39" fillId="0" borderId="0" xfId="0" applyFont="1" applyAlignment="1">
      <alignment horizontal="right" vertical="center"/>
    </xf>
    <xf numFmtId="0" fontId="40" fillId="0" borderId="0" xfId="0" applyFont="1"/>
    <xf numFmtId="10" fontId="0" fillId="0" borderId="8" xfId="0" applyNumberFormat="1" applyBorder="1"/>
    <xf numFmtId="0" fontId="0" fillId="0" borderId="43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10" fontId="0" fillId="0" borderId="35" xfId="0" applyNumberFormat="1" applyBorder="1"/>
    <xf numFmtId="0" fontId="0" fillId="0" borderId="44" xfId="0" applyBorder="1" applyAlignment="1">
      <alignment horizontal="centerContinuous"/>
    </xf>
    <xf numFmtId="0" fontId="0" fillId="0" borderId="45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0" fillId="0" borderId="0" xfId="0" applyAlignment="1">
      <alignment horizontal="centerContinuous"/>
    </xf>
    <xf numFmtId="10" fontId="0" fillId="0" borderId="7" xfId="0" applyNumberFormat="1" applyBorder="1" applyAlignment="1">
      <alignment horizontal="right"/>
    </xf>
    <xf numFmtId="0" fontId="0" fillId="0" borderId="3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10" fontId="0" fillId="0" borderId="7" xfId="0" applyNumberFormat="1" applyBorder="1"/>
    <xf numFmtId="0" fontId="41" fillId="0" borderId="0" xfId="0" applyFont="1"/>
    <xf numFmtId="0" fontId="0" fillId="0" borderId="0" xfId="0" applyAlignment="1">
      <alignment horizontal="right"/>
    </xf>
    <xf numFmtId="3" fontId="0" fillId="0" borderId="0" xfId="0" applyNumberFormat="1"/>
    <xf numFmtId="165" fontId="1" fillId="0" borderId="39" xfId="1" applyNumberFormat="1" applyBorder="1"/>
    <xf numFmtId="165" fontId="1" fillId="0" borderId="38" xfId="1" applyNumberFormat="1" applyBorder="1"/>
    <xf numFmtId="165" fontId="1" fillId="0" borderId="24" xfId="1" applyNumberFormat="1" applyBorder="1"/>
    <xf numFmtId="3" fontId="0" fillId="0" borderId="2" xfId="0" applyNumberFormat="1" applyBorder="1"/>
    <xf numFmtId="165" fontId="1" fillId="0" borderId="43" xfId="1" applyNumberFormat="1" applyBorder="1"/>
    <xf numFmtId="165" fontId="1" fillId="0" borderId="4" xfId="1" applyNumberFormat="1" applyBorder="1"/>
    <xf numFmtId="165" fontId="1" fillId="0" borderId="6" xfId="1" applyNumberFormat="1" applyBorder="1"/>
    <xf numFmtId="3" fontId="0" fillId="0" borderId="43" xfId="0" applyNumberFormat="1" applyBorder="1"/>
    <xf numFmtId="3" fontId="0" fillId="0" borderId="4" xfId="0" applyNumberFormat="1" applyBorder="1"/>
    <xf numFmtId="3" fontId="0" fillId="0" borderId="6" xfId="0" applyNumberFormat="1" applyBorder="1"/>
    <xf numFmtId="3" fontId="0" fillId="0" borderId="35" xfId="0" applyNumberFormat="1" applyBorder="1"/>
    <xf numFmtId="165" fontId="1" fillId="0" borderId="0" xfId="1" applyNumberFormat="1"/>
    <xf numFmtId="3" fontId="0" fillId="0" borderId="7" xfId="0" applyNumberFormat="1" applyBorder="1"/>
    <xf numFmtId="176" fontId="1" fillId="0" borderId="43" xfId="1" applyNumberFormat="1" applyBorder="1"/>
    <xf numFmtId="176" fontId="1" fillId="0" borderId="4" xfId="1" applyNumberFormat="1" applyBorder="1"/>
    <xf numFmtId="176" fontId="1" fillId="0" borderId="6" xfId="1" applyNumberFormat="1" applyBorder="1"/>
    <xf numFmtId="3" fontId="0" fillId="0" borderId="3" xfId="0" applyNumberFormat="1" applyBorder="1"/>
    <xf numFmtId="3" fontId="0" fillId="0" borderId="5" xfId="0" applyNumberFormat="1" applyBorder="1"/>
    <xf numFmtId="0" fontId="0" fillId="0" borderId="8" xfId="0" applyBorder="1" applyAlignment="1">
      <alignment horizontal="center"/>
    </xf>
    <xf numFmtId="9" fontId="1" fillId="0" borderId="43" xfId="1" applyBorder="1"/>
    <xf numFmtId="9" fontId="1" fillId="0" borderId="4" xfId="1" applyBorder="1"/>
    <xf numFmtId="9" fontId="1" fillId="0" borderId="6" xfId="1" applyBorder="1"/>
    <xf numFmtId="9" fontId="1" fillId="0" borderId="8" xfId="1" applyBorder="1"/>
    <xf numFmtId="165" fontId="1" fillId="0" borderId="3" xfId="1" applyNumberFormat="1" applyBorder="1"/>
    <xf numFmtId="165" fontId="1" fillId="0" borderId="2" xfId="1" applyNumberFormat="1" applyBorder="1"/>
    <xf numFmtId="3" fontId="0" fillId="0" borderId="4" xfId="0" applyNumberFormat="1" applyBorder="1" applyAlignment="1">
      <alignment horizontal="center"/>
    </xf>
    <xf numFmtId="9" fontId="1" fillId="0" borderId="3" xfId="1" applyBorder="1"/>
    <xf numFmtId="9" fontId="1" fillId="0" borderId="2" xfId="1" applyBorder="1"/>
    <xf numFmtId="9" fontId="1" fillId="0" borderId="7" xfId="1" applyBorder="1"/>
    <xf numFmtId="3" fontId="0" fillId="0" borderId="0" xfId="0" applyNumberFormat="1" applyAlignment="1">
      <alignment horizontal="center"/>
    </xf>
    <xf numFmtId="176" fontId="1" fillId="0" borderId="3" xfId="1" applyNumberFormat="1" applyBorder="1"/>
    <xf numFmtId="176" fontId="1" fillId="0" borderId="0" xfId="1" applyNumberFormat="1"/>
    <xf numFmtId="176" fontId="1" fillId="0" borderId="2" xfId="1" applyNumberFormat="1" applyBorder="1"/>
    <xf numFmtId="0" fontId="0" fillId="0" borderId="7" xfId="0" applyBorder="1" applyAlignment="1">
      <alignment horizontal="center"/>
    </xf>
    <xf numFmtId="165" fontId="1" fillId="0" borderId="44" xfId="1" applyNumberFormat="1" applyBorder="1"/>
    <xf numFmtId="165" fontId="1" fillId="0" borderId="5" xfId="1" applyNumberFormat="1" applyBorder="1"/>
    <xf numFmtId="165" fontId="1" fillId="0" borderId="45" xfId="1" applyNumberFormat="1" applyBorder="1"/>
    <xf numFmtId="0" fontId="2" fillId="0" borderId="0" xfId="0" applyFont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0" fontId="2" fillId="0" borderId="38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43" xfId="0" applyFont="1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2" fillId="0" borderId="43" xfId="0" applyFont="1" applyBorder="1"/>
    <xf numFmtId="0" fontId="2" fillId="0" borderId="2" xfId="0" applyFont="1" applyBorder="1" applyAlignment="1">
      <alignment horizontal="left"/>
    </xf>
    <xf numFmtId="0" fontId="2" fillId="0" borderId="8" xfId="0" applyFont="1" applyBorder="1"/>
    <xf numFmtId="0" fontId="0" fillId="0" borderId="7" xfId="0" applyBorder="1"/>
    <xf numFmtId="0" fontId="2" fillId="0" borderId="6" xfId="0" applyFont="1" applyBorder="1" applyAlignment="1">
      <alignment horizontal="centerContinuous"/>
    </xf>
    <xf numFmtId="0" fontId="0" fillId="0" borderId="44" xfId="0" applyBorder="1"/>
    <xf numFmtId="0" fontId="0" fillId="0" borderId="5" xfId="0" applyBorder="1"/>
    <xf numFmtId="0" fontId="0" fillId="0" borderId="45" xfId="0" applyBorder="1"/>
    <xf numFmtId="0" fontId="0" fillId="0" borderId="3" xfId="0" applyBorder="1"/>
    <xf numFmtId="0" fontId="0" fillId="0" borderId="2" xfId="0" applyBorder="1"/>
    <xf numFmtId="0" fontId="9" fillId="0" borderId="4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45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35" xfId="0" applyFont="1" applyBorder="1" applyAlignment="1">
      <alignment wrapText="1"/>
    </xf>
    <xf numFmtId="10" fontId="0" fillId="0" borderId="1" xfId="0" applyNumberFormat="1" applyBorder="1" applyAlignment="1">
      <alignment horizontal="center"/>
    </xf>
    <xf numFmtId="0" fontId="0" fillId="0" borderId="38" xfId="0" applyBorder="1" applyAlignment="1">
      <alignment horizontal="centerContinuous"/>
    </xf>
    <xf numFmtId="0" fontId="0" fillId="0" borderId="24" xfId="0" applyBorder="1" applyAlignment="1">
      <alignment horizontal="centerContinuous"/>
    </xf>
    <xf numFmtId="0" fontId="39" fillId="0" borderId="0" xfId="0" applyFont="1" applyAlignment="1">
      <alignment horizontal="center" vertical="center"/>
    </xf>
    <xf numFmtId="10" fontId="0" fillId="0" borderId="35" xfId="0" applyNumberFormat="1" applyBorder="1" applyAlignment="1">
      <alignment horizontal="center"/>
    </xf>
    <xf numFmtId="0" fontId="0" fillId="16" borderId="0" xfId="0" applyFill="1"/>
    <xf numFmtId="177" fontId="0" fillId="0" borderId="43" xfId="0" applyNumberFormat="1" applyBorder="1" applyAlignment="1">
      <alignment horizontal="center"/>
    </xf>
    <xf numFmtId="177" fontId="0" fillId="0" borderId="4" xfId="0" applyNumberFormat="1" applyBorder="1" applyAlignment="1">
      <alignment horizontal="center"/>
    </xf>
    <xf numFmtId="177" fontId="0" fillId="0" borderId="6" xfId="0" applyNumberFormat="1" applyBorder="1" applyAlignment="1">
      <alignment horizontal="center"/>
    </xf>
    <xf numFmtId="10" fontId="0" fillId="0" borderId="43" xfId="0" applyNumberFormat="1" applyBorder="1"/>
    <xf numFmtId="10" fontId="0" fillId="0" borderId="4" xfId="0" applyNumberFormat="1" applyBorder="1"/>
    <xf numFmtId="10" fontId="0" fillId="0" borderId="6" xfId="0" applyNumberFormat="1" applyBorder="1"/>
    <xf numFmtId="0" fontId="0" fillId="0" borderId="43" xfId="0" applyBorder="1"/>
    <xf numFmtId="0" fontId="0" fillId="0" borderId="4" xfId="0" applyBorder="1"/>
    <xf numFmtId="0" fontId="0" fillId="0" borderId="6" xfId="0" applyBorder="1"/>
    <xf numFmtId="177" fontId="0" fillId="0" borderId="3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2" xfId="0" applyNumberFormat="1" applyBorder="1" applyAlignment="1">
      <alignment horizontal="center"/>
    </xf>
    <xf numFmtId="10" fontId="0" fillId="0" borderId="3" xfId="0" applyNumberFormat="1" applyBorder="1"/>
    <xf numFmtId="10" fontId="0" fillId="0" borderId="0" xfId="0" applyNumberFormat="1"/>
    <xf numFmtId="10" fontId="0" fillId="0" borderId="2" xfId="0" applyNumberFormat="1" applyBorder="1"/>
    <xf numFmtId="0" fontId="39" fillId="0" borderId="0" xfId="0" applyFont="1" applyAlignment="1">
      <alignment vertical="center"/>
    </xf>
    <xf numFmtId="0" fontId="39" fillId="0" borderId="3" xfId="0" applyFont="1" applyBorder="1" applyAlignment="1">
      <alignment vertical="center"/>
    </xf>
    <xf numFmtId="0" fontId="39" fillId="0" borderId="2" xfId="0" applyFont="1" applyBorder="1" applyAlignment="1">
      <alignment vertical="center"/>
    </xf>
    <xf numFmtId="0" fontId="2" fillId="14" borderId="7" xfId="0" applyFont="1" applyFill="1" applyBorder="1" applyAlignment="1">
      <alignment horizontal="center"/>
    </xf>
    <xf numFmtId="0" fontId="2" fillId="0" borderId="38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40" fillId="0" borderId="1" xfId="0" applyFont="1" applyBorder="1" applyAlignment="1">
      <alignment horizontal="center" wrapText="1"/>
    </xf>
    <xf numFmtId="0" fontId="0" fillId="0" borderId="39" xfId="0" applyBorder="1" applyAlignment="1">
      <alignment horizontal="centerContinuous"/>
    </xf>
    <xf numFmtId="0" fontId="2" fillId="0" borderId="24" xfId="0" applyFont="1" applyBorder="1" applyAlignment="1">
      <alignment horizontal="centerContinuous"/>
    </xf>
    <xf numFmtId="0" fontId="2" fillId="0" borderId="39" xfId="0" applyFont="1" applyBorder="1" applyAlignment="1">
      <alignment horizontal="centerContinuous"/>
    </xf>
    <xf numFmtId="0" fontId="2" fillId="0" borderId="38" xfId="0" applyFont="1" applyBorder="1" applyAlignment="1">
      <alignment horizontal="centerContinuous"/>
    </xf>
    <xf numFmtId="0" fontId="42" fillId="14" borderId="0" xfId="0" applyFont="1" applyFill="1" applyAlignment="1">
      <alignment horizontal="left"/>
    </xf>
    <xf numFmtId="3" fontId="27" fillId="4" borderId="15" xfId="0" applyNumberFormat="1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14" xfId="0" applyBorder="1"/>
    <xf numFmtId="3" fontId="27" fillId="4" borderId="30" xfId="0" applyNumberFormat="1" applyFont="1" applyFill="1" applyBorder="1" applyAlignment="1">
      <alignment horizontal="center" vertical="center"/>
    </xf>
    <xf numFmtId="0" fontId="0" fillId="2" borderId="0" xfId="0" applyFill="1"/>
    <xf numFmtId="0" fontId="18" fillId="4" borderId="16" xfId="0" applyFont="1" applyFill="1" applyBorder="1" applyAlignment="1">
      <alignment horizontal="center"/>
    </xf>
    <xf numFmtId="3" fontId="27" fillId="11" borderId="15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/>
    </xf>
    <xf numFmtId="0" fontId="0" fillId="0" borderId="38" xfId="0" applyBorder="1"/>
    <xf numFmtId="0" fontId="0" fillId="0" borderId="39" xfId="0" applyBorder="1"/>
    <xf numFmtId="0" fontId="0" fillId="0" borderId="45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3" fontId="27" fillId="4" borderId="46" xfId="0" applyNumberFormat="1" applyFont="1" applyFill="1" applyBorder="1" applyAlignment="1">
      <alignment vertical="center"/>
    </xf>
    <xf numFmtId="3" fontId="27" fillId="4" borderId="16" xfId="0" applyNumberFormat="1" applyFont="1" applyFill="1" applyBorder="1" applyAlignment="1">
      <alignment horizontal="center" vertical="center"/>
    </xf>
    <xf numFmtId="3" fontId="27" fillId="4" borderId="22" xfId="0" applyNumberFormat="1" applyFont="1" applyFill="1" applyBorder="1" applyAlignment="1">
      <alignment horizontal="center" vertical="center"/>
    </xf>
    <xf numFmtId="3" fontId="27" fillId="4" borderId="14" xfId="0" applyNumberFormat="1" applyFont="1" applyFill="1" applyBorder="1" applyAlignment="1">
      <alignment horizontal="center" vertical="center"/>
    </xf>
  </cellXfs>
  <cellStyles count="17">
    <cellStyle name="BP line 2" xfId="6" xr:uid="{00000000-0005-0000-0000-000006000000}"/>
    <cellStyle name="Comma" xfId="4" builtinId="3"/>
    <cellStyle name="Comma 2" xfId="5" xr:uid="{00000000-0005-0000-0000-000005000000}"/>
    <cellStyle name="FldHeading" xfId="12" xr:uid="{00000000-0005-0000-0000-00000C000000}"/>
    <cellStyle name="FldHeading 2" xfId="14" xr:uid="{00000000-0005-0000-0000-00000E000000}"/>
    <cellStyle name="Heading 2" xfId="16" builtinId="17"/>
    <cellStyle name="InGenDrop 2" xfId="15" xr:uid="{00000000-0005-0000-0000-00000F000000}"/>
    <cellStyle name="InPerc2dp" xfId="13" xr:uid="{00000000-0005-0000-0000-00000D000000}"/>
    <cellStyle name="Millions" xfId="7" xr:uid="{00000000-0005-0000-0000-000007000000}"/>
    <cellStyle name="Normal" xfId="0" builtinId="0"/>
    <cellStyle name="Normal 2" xfId="2" xr:uid="{00000000-0005-0000-0000-000002000000}"/>
    <cellStyle name="OutPerc2dp" xfId="9" xr:uid="{00000000-0005-0000-0000-000009000000}"/>
    <cellStyle name="Per cent" xfId="1" builtinId="5"/>
    <cellStyle name="SecHeading" xfId="11" xr:uid="{00000000-0005-0000-0000-00000B000000}"/>
    <cellStyle name="ShtBack" xfId="8" xr:uid="{00000000-0005-0000-0000-000008000000}"/>
    <cellStyle name="ShtHeading" xfId="3" xr:uid="{00000000-0005-0000-0000-000003000000}"/>
    <cellStyle name="TblHeading" xfId="10" xr:uid="{00000000-0005-0000-0000-00000A000000}"/>
  </cellStyles>
  <dxfs count="72">
    <dxf>
      <font>
        <color theme="0"/>
      </font>
      <fill>
        <patternFill>
          <bgColor theme="0"/>
        </patternFill>
      </fill>
    </dxf>
    <dxf>
      <numFmt numFmtId="0" formatCode="General"/>
      <fill>
        <patternFill>
          <fgColor indexed="64"/>
          <bgColor theme="9" tint="0.79998168889431442"/>
        </patternFill>
      </fill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numFmt numFmtId="0" formatCode="General"/>
      <fill>
        <patternFill>
          <fgColor indexed="64"/>
          <bgColor theme="9" tint="0.79998168889431442"/>
        </patternFill>
      </fill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numFmt numFmtId="0" formatCode="General"/>
      <fill>
        <patternFill>
          <fgColor indexed="64"/>
          <bgColor theme="9" tint="0.79998168889431442"/>
        </patternFill>
      </fill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numFmt numFmtId="0" formatCode="General"/>
      <fill>
        <patternFill>
          <fgColor indexed="64"/>
          <bgColor theme="9" tint="0.79998168889431442"/>
        </patternFill>
      </fill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</dxfs>
  <tableStyles count="0" defaultTableStyle="TableStyleMedium2" defaultPivotStyle="PivotStyleLight16"/>
  <colors>
    <mruColors>
      <color rgb="FFBF417B"/>
      <color rgb="FF8F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'Own Experience Analysis'!$E$20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'Own Experience Analysis'!$D$56</c:f>
              <c:strCache>
                <c:ptCount val="1"/>
                <c:pt idx="0">
                  <c:v>Total GN ILR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'Own Experience Analysis'!$C$57:$C$72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cat>
          <c:val>
            <c:numRef>
              <c:f>'Own Experience Analysis'!$D$57:$D$72</c:f>
              <c:numCache>
                <c:formatCode>0%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0-49CC-B4BB-0E349E157900}"/>
            </c:ext>
          </c:extLst>
        </c:ser>
        <c:ser>
          <c:idx val="1"/>
          <c:order val="1"/>
          <c:tx>
            <c:strRef>
              <c:f>'Own Experience Analysis'!$E$56</c:f>
              <c:strCache>
                <c:ptCount val="1"/>
                <c:pt idx="0">
                  <c:v>Total GN ULR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'Own Experience Analysis'!$C$57:$C$72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cat>
          <c:val>
            <c:numRef>
              <c:f>'Own Experience Analysis'!$E$57:$E$72</c:f>
              <c:numCache>
                <c:formatCode>0%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0-49CC-B4BB-0E349E157900}"/>
            </c:ext>
          </c:extLst>
        </c:ser>
        <c:ser>
          <c:idx val="2"/>
          <c:order val="2"/>
          <c:tx>
            <c:strRef>
              <c:f>'Own Experience Analysis'!$F$56</c:f>
              <c:strCache>
                <c:ptCount val="1"/>
                <c:pt idx="0">
                  <c:v>On-levelled Total GN ULR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'Own Experience Analysis'!$C$57:$C$72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cat>
          <c:val>
            <c:numRef>
              <c:f>'Own Experience Analysis'!$F$57:$F$72</c:f>
              <c:numCache>
                <c:formatCode>0%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A0-49CC-B4BB-0E349E157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008303"/>
        <c:axId val="2002003503"/>
      </c:barChart>
      <c:lineChart>
        <c:grouping val="standard"/>
        <c:varyColors val="0"/>
        <c:ser>
          <c:idx val="3"/>
          <c:order val="3"/>
          <c:tx>
            <c:strRef>
              <c:f>'Own Experience Analysis'!$G$56</c:f>
              <c:strCache>
                <c:ptCount val="1"/>
                <c:pt idx="0">
                  <c:v>Pricing Basis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'Own Experience Analysis'!$C$57:$C$72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cat>
          <c:val>
            <c:numRef>
              <c:f>'Own Experience Analysis'!$G$57:$G$72</c:f>
              <c:numCache>
                <c:formatCode>0%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A0-49CC-B4BB-0E349E157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008303"/>
        <c:axId val="2002003503"/>
      </c:lineChart>
      <c:catAx>
        <c:axId val="20020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003503"/>
        <c:crosses val="autoZero"/>
        <c:auto val="1"/>
        <c:lblAlgn val="ctr"/>
        <c:lblOffset val="100"/>
        <c:noMultiLvlLbl val="0"/>
      </c:catAx>
      <c:valAx>
        <c:axId val="20020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0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44824</xdr:colOff>
      <xdr:row>53</xdr:row>
      <xdr:rowOff>62752</xdr:rowOff>
    </xdr:from>
    <xdr:to>
      <xdr:col>10</xdr:col>
      <xdr:colOff>711575</xdr:colOff>
      <xdr:row>74</xdr:row>
      <xdr:rowOff>11205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794CB-15DF-42BD-A633-D1DE2E73C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D7D7E-0A09-4A14-95FF-24916B503B3E}" name="own_detail" displayName="own_detail" ref="A2:J112" totalsRowShown="0" headerRowDxfId="71" dataDxfId="70">
  <autoFilter ref="A2:J112" xr:uid="{00000000-0009-0000-0100-000001000000}"/>
  <tableColumns count="10">
    <tableColumn id="1" xr3:uid="{00000000-0010-0000-0000-000001000000}" name="Path" dataDxfId="69"/>
    <tableColumn id="2" xr3:uid="{00000000-0010-0000-0000-000002000000}" name="Name" dataDxfId="68"/>
    <tableColumn id="3" xr3:uid="{00000000-0010-0000-0000-000003000000}" name="Type" dataDxfId="67"/>
    <tableColumn id="4" xr3:uid="{00000000-0010-0000-0000-000004000000}" name="Mode" dataDxfId="66"/>
    <tableColumn id="5" xr3:uid="{00000000-0010-0000-0000-000005000000}" name="Optionality" dataDxfId="65"/>
    <tableColumn id="6" xr3:uid="{00000000-0010-0000-0000-000006000000}" name="Label" dataDxfId="64"/>
    <tableColumn id="7" xr3:uid="{00000000-0010-0000-0000-000007000000}" name="Default Value" dataDxfId="63"/>
    <tableColumn id="8" xr3:uid="{00000000-0010-0000-0000-000008000000}" name="Async Input" dataDxfId="62"/>
    <tableColumn id="10" xr3:uid="{00000000-0010-0000-0000-00000A000000}" name="Async Output"/>
    <tableColumn id="9" xr3:uid="{00000000-0010-0000-0000-000009000000}" name="for python" dataDxfId="61">
      <calculatedColumnFormula>",'"&amp;own_detail[[#This Row],[Name]]&amp;"'"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092CB8-BD6A-4920-BB41-9BDB1A82EF88}" name="own_summary" displayName="own_summary" ref="L2:U138" totalsRowShown="0" headerRowDxfId="60" dataDxfId="59">
  <autoFilter ref="L2:U138" xr:uid="{00000000-0009-0000-0100-000002000000}"/>
  <tableColumns count="10">
    <tableColumn id="1" xr3:uid="{00000000-0010-0000-0100-000001000000}" name="Path" dataDxfId="58"/>
    <tableColumn id="2" xr3:uid="{00000000-0010-0000-0100-000002000000}" name="Name" dataDxfId="57"/>
    <tableColumn id="3" xr3:uid="{00000000-0010-0000-0100-000003000000}" name="Type" dataDxfId="56"/>
    <tableColumn id="4" xr3:uid="{00000000-0010-0000-0100-000004000000}" name="Mode" dataDxfId="55"/>
    <tableColumn id="5" xr3:uid="{00000000-0010-0000-0100-000005000000}" name="Optionality" dataDxfId="54"/>
    <tableColumn id="6" xr3:uid="{00000000-0010-0000-0100-000006000000}" name="Label" dataDxfId="53"/>
    <tableColumn id="7" xr3:uid="{00000000-0010-0000-0100-000007000000}" name="Default Value" dataDxfId="52"/>
    <tableColumn id="8" xr3:uid="{00000000-0010-0000-0100-000008000000}" name="Async Input" dataDxfId="51"/>
    <tableColumn id="9" xr3:uid="{00000000-0010-0000-0100-000009000000}" name="Async Output" dataDxfId="50"/>
    <tableColumn id="10" xr3:uid="{00000000-0010-0000-0100-00000A000000}" name="for python" dataDxfId="49">
      <calculatedColumnFormula>",'"&amp;own_summary[[#This Row],[Name]]&amp;"'"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EAC06B-79C5-4CEB-A07D-A4F657A03789}" name="lloyds_detail" displayName="lloyds_detail" ref="W2:AF60" totalsRowShown="0" headerRowDxfId="48" dataDxfId="47">
  <autoFilter ref="W2:AF60" xr:uid="{00000000-0009-0000-0100-000003000000}"/>
  <tableColumns count="10">
    <tableColumn id="1" xr3:uid="{00000000-0010-0000-0200-000001000000}" name="Path" dataDxfId="46"/>
    <tableColumn id="2" xr3:uid="{00000000-0010-0000-0200-000002000000}" name="Name" dataDxfId="45"/>
    <tableColumn id="3" xr3:uid="{00000000-0010-0000-0200-000003000000}" name="Type" dataDxfId="44"/>
    <tableColumn id="4" xr3:uid="{00000000-0010-0000-0200-000004000000}" name="Mode" dataDxfId="43"/>
    <tableColumn id="5" xr3:uid="{00000000-0010-0000-0200-000005000000}" name="Optionality" dataDxfId="42"/>
    <tableColumn id="6" xr3:uid="{00000000-0010-0000-0200-000006000000}" name="Label" dataDxfId="41"/>
    <tableColumn id="7" xr3:uid="{00000000-0010-0000-0200-000007000000}" name="Default Value" dataDxfId="40"/>
    <tableColumn id="8" xr3:uid="{00000000-0010-0000-0200-000008000000}" name="Async Input" dataDxfId="39"/>
    <tableColumn id="9" xr3:uid="{00000000-0010-0000-0200-000009000000}" name="Async Output" dataDxfId="38"/>
    <tableColumn id="10" xr3:uid="{00000000-0010-0000-0200-00000A000000}" name="for python" dataDxfId="37">
      <calculatedColumnFormula>",'"&amp;lloyds_detail[[#This Row],[Name]]&amp;"'"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6222A4-F2E7-4BEA-AC06-265237BBCE0F}" name="lloyds_summary" displayName="lloyds_summary" ref="AH2:AQ66" totalsRowShown="0" headerRowDxfId="36" dataDxfId="35">
  <autoFilter ref="AH2:AQ66" xr:uid="{00000000-0009-0000-0100-000004000000}"/>
  <tableColumns count="10">
    <tableColumn id="1" xr3:uid="{00000000-0010-0000-0300-000001000000}" name="Path" dataDxfId="34"/>
    <tableColumn id="2" xr3:uid="{00000000-0010-0000-0300-000002000000}" name="Name" dataDxfId="33"/>
    <tableColumn id="3" xr3:uid="{00000000-0010-0000-0300-000003000000}" name="Type" dataDxfId="32"/>
    <tableColumn id="4" xr3:uid="{00000000-0010-0000-0300-000004000000}" name="Mode" dataDxfId="31"/>
    <tableColumn id="5" xr3:uid="{00000000-0010-0000-0300-000005000000}" name="Optionality" dataDxfId="30"/>
    <tableColumn id="6" xr3:uid="{00000000-0010-0000-0300-000006000000}" name="Label" dataDxfId="29"/>
    <tableColumn id="7" xr3:uid="{00000000-0010-0000-0300-000007000000}" name="Default Value" dataDxfId="28"/>
    <tableColumn id="8" xr3:uid="{00000000-0010-0000-0300-000008000000}" name="Async Input" dataDxfId="27"/>
    <tableColumn id="9" xr3:uid="{00000000-0010-0000-0300-000009000000}" name="Async Output" dataDxfId="26"/>
    <tableColumn id="10" xr3:uid="{00000000-0010-0000-0300-00000A000000}" name="for python" dataDxfId="25">
      <calculatedColumnFormula>",'"&amp;lloyds_summary[[#This Row],[Name]]&amp;"'"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C6D140-AD22-4D21-815F-1D61E3D43EAF}" name="beazley_summary" displayName="beazley_summary" ref="BD2:BM66" totalsRowShown="0" headerRowDxfId="24" dataDxfId="23">
  <autoFilter ref="BD2:BM66" xr:uid="{00000000-0009-0000-0100-000005000000}"/>
  <tableColumns count="10">
    <tableColumn id="1" xr3:uid="{00000000-0010-0000-0400-000001000000}" name="Path" dataDxfId="22"/>
    <tableColumn id="2" xr3:uid="{00000000-0010-0000-0400-000002000000}" name="Name" dataDxfId="21"/>
    <tableColumn id="3" xr3:uid="{00000000-0010-0000-0400-000003000000}" name="Type" dataDxfId="20"/>
    <tableColumn id="4" xr3:uid="{00000000-0010-0000-0400-000004000000}" name="Mode" dataDxfId="19"/>
    <tableColumn id="5" xr3:uid="{00000000-0010-0000-0400-000005000000}" name="Optionality" dataDxfId="18"/>
    <tableColumn id="6" xr3:uid="{00000000-0010-0000-0400-000006000000}" name="Label" dataDxfId="17"/>
    <tableColumn id="7" xr3:uid="{00000000-0010-0000-0400-000007000000}" name="Default Value" dataDxfId="16"/>
    <tableColumn id="8" xr3:uid="{00000000-0010-0000-0400-000008000000}" name="Async Input" dataDxfId="15"/>
    <tableColumn id="9" xr3:uid="{00000000-0010-0000-0400-000009000000}" name="Async Output" dataDxfId="14"/>
    <tableColumn id="10" xr3:uid="{00000000-0010-0000-0400-00000A000000}" name="for python" dataDxfId="13">
      <calculatedColumnFormula>",'"&amp;beazley_summary[[#This Row],[Name]]&amp;"'"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ED3FCC-54E3-48CB-A843-5E0F3515EC38}" name="beazley_detail" displayName="beazley_detail" ref="AS2:BB60" totalsRowShown="0" headerRowDxfId="12" dataDxfId="11">
  <autoFilter ref="AS2:BB60" xr:uid="{00000000-0009-0000-0100-000006000000}"/>
  <tableColumns count="10">
    <tableColumn id="1" xr3:uid="{00000000-0010-0000-0500-000001000000}" name="Path" dataDxfId="10"/>
    <tableColumn id="2" xr3:uid="{00000000-0010-0000-0500-000002000000}" name="Name" dataDxfId="9"/>
    <tableColumn id="3" xr3:uid="{00000000-0010-0000-0500-000003000000}" name="Type" dataDxfId="8"/>
    <tableColumn id="4" xr3:uid="{00000000-0010-0000-0500-000004000000}" name="Mode" dataDxfId="7"/>
    <tableColumn id="5" xr3:uid="{00000000-0010-0000-0500-000005000000}" name="Optionality" dataDxfId="6"/>
    <tableColumn id="6" xr3:uid="{00000000-0010-0000-0500-000006000000}" name="Label" dataDxfId="5"/>
    <tableColumn id="7" xr3:uid="{00000000-0010-0000-0500-000007000000}" name="Default Value" dataDxfId="4"/>
    <tableColumn id="8" xr3:uid="{00000000-0010-0000-0500-000008000000}" name="Async Input" dataDxfId="3"/>
    <tableColumn id="9" xr3:uid="{00000000-0010-0000-0500-000009000000}" name="Async Output" dataDxfId="2"/>
    <tableColumn id="10" xr3:uid="{00000000-0010-0000-0500-00000A000000}" name="for python" dataDxfId="1">
      <calculatedColumnFormula>",'"&amp;beazley_detail[[#This Row],[Name]]&amp;"'"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tabColor theme="1"/>
    <pageSetUpPr fitToPage="1"/>
  </sheetPr>
  <dimension ref="A1:G38"/>
  <sheetViews>
    <sheetView zoomScaleNormal="100" workbookViewId="0"/>
  </sheetViews>
  <sheetFormatPr defaultColWidth="10.25" defaultRowHeight="13.5" x14ac:dyDescent="0.35"/>
  <cols>
    <col min="1" max="1" width="4.25" style="1" customWidth="1"/>
    <col min="2" max="2" width="22.75" style="1" customWidth="1"/>
    <col min="3" max="3" width="73.375" style="1" customWidth="1"/>
    <col min="4" max="4" width="3" style="1" customWidth="1"/>
    <col min="5" max="5" width="38.625" style="1" customWidth="1"/>
    <col min="6" max="6" width="26.5" style="1" customWidth="1"/>
    <col min="7" max="7" width="27.75" style="1" bestFit="1" customWidth="1"/>
    <col min="8" max="8" width="10.25" style="1" customWidth="1"/>
    <col min="9" max="16384" width="10.25" style="1"/>
  </cols>
  <sheetData>
    <row r="1" spans="1:7" ht="25.15" x14ac:dyDescent="0.7">
      <c r="A1" s="134" t="s">
        <v>1052</v>
      </c>
    </row>
    <row r="2" spans="1:7" ht="17.25" thickBot="1" x14ac:dyDescent="0.55000000000000004">
      <c r="B2" s="135" t="s">
        <v>0</v>
      </c>
      <c r="C2" s="135"/>
      <c r="D2" s="135"/>
      <c r="E2" s="135"/>
      <c r="F2" s="135"/>
      <c r="G2" s="135"/>
    </row>
    <row r="3" spans="1:7" x14ac:dyDescent="0.35">
      <c r="B3" s="136"/>
      <c r="C3" s="136"/>
      <c r="D3" s="136"/>
      <c r="E3" s="136"/>
      <c r="F3" s="136"/>
      <c r="G3" s="136"/>
    </row>
    <row r="4" spans="1:7" ht="15" customHeight="1" x14ac:dyDescent="0.35">
      <c r="B4" s="75" t="s">
        <v>1</v>
      </c>
      <c r="C4" s="81" t="s">
        <v>2</v>
      </c>
      <c r="E4" s="75" t="s">
        <v>3</v>
      </c>
      <c r="F4" s="89" t="s">
        <v>4</v>
      </c>
      <c r="G4" s="90" t="s">
        <v>5</v>
      </c>
    </row>
    <row r="5" spans="1:7" ht="15.75" customHeight="1" x14ac:dyDescent="0.35">
      <c r="B5" s="76" t="s">
        <v>6</v>
      </c>
      <c r="C5" s="82"/>
      <c r="E5" s="76" t="s">
        <v>7</v>
      </c>
      <c r="F5" s="71"/>
      <c r="G5" s="91" t="s">
        <v>8</v>
      </c>
    </row>
    <row r="6" spans="1:7" ht="15.75" customHeight="1" x14ac:dyDescent="0.35">
      <c r="B6" s="76" t="s">
        <v>9</v>
      </c>
      <c r="C6" s="82"/>
      <c r="E6" s="76" t="s">
        <v>10</v>
      </c>
      <c r="F6" s="74"/>
      <c r="G6" s="92"/>
    </row>
    <row r="7" spans="1:7" ht="15.75" customHeight="1" x14ac:dyDescent="0.35">
      <c r="B7" s="76" t="s">
        <v>11</v>
      </c>
      <c r="C7" s="82"/>
      <c r="E7" s="76" t="s">
        <v>12</v>
      </c>
      <c r="F7" s="72"/>
      <c r="G7" s="93"/>
    </row>
    <row r="8" spans="1:7" ht="15.75" customHeight="1" x14ac:dyDescent="0.35">
      <c r="B8" s="76" t="s">
        <v>13</v>
      </c>
      <c r="C8" s="82"/>
      <c r="E8" s="76" t="s">
        <v>14</v>
      </c>
      <c r="F8" s="72"/>
      <c r="G8" s="93"/>
    </row>
    <row r="9" spans="1:7" ht="15.75" customHeight="1" x14ac:dyDescent="0.35">
      <c r="B9" s="76" t="s">
        <v>15</v>
      </c>
      <c r="C9" s="82"/>
      <c r="E9" s="76" t="s">
        <v>16</v>
      </c>
      <c r="F9" s="72"/>
      <c r="G9" s="93"/>
    </row>
    <row r="10" spans="1:7" ht="15" customHeight="1" x14ac:dyDescent="0.35">
      <c r="B10" s="76" t="s">
        <v>17</v>
      </c>
      <c r="C10" s="83"/>
      <c r="E10" s="76" t="s">
        <v>18</v>
      </c>
      <c r="F10" s="73"/>
      <c r="G10" s="94"/>
    </row>
    <row r="11" spans="1:7" ht="15.75" customHeight="1" x14ac:dyDescent="0.4">
      <c r="B11" s="76" t="s">
        <v>19</v>
      </c>
      <c r="C11" s="82"/>
      <c r="G11" s="15"/>
    </row>
    <row r="12" spans="1:7" ht="27.6" customHeight="1" x14ac:dyDescent="0.4">
      <c r="B12" s="76" t="s">
        <v>20</v>
      </c>
      <c r="C12" s="83"/>
      <c r="G12" s="15"/>
    </row>
    <row r="13" spans="1:7" ht="15.75" customHeight="1" x14ac:dyDescent="0.4">
      <c r="B13" s="76" t="s">
        <v>1097</v>
      </c>
      <c r="C13" s="82"/>
      <c r="G13" s="15"/>
    </row>
    <row r="14" spans="1:7" ht="15.75" customHeight="1" x14ac:dyDescent="0.4">
      <c r="B14" s="76" t="s">
        <v>21</v>
      </c>
      <c r="C14" s="95"/>
      <c r="G14" s="15"/>
    </row>
    <row r="15" spans="1:7" ht="15.75" customHeight="1" x14ac:dyDescent="0.4">
      <c r="B15" s="76" t="s">
        <v>22</v>
      </c>
      <c r="C15" s="95"/>
      <c r="G15" s="15"/>
    </row>
    <row r="16" spans="1:7" ht="15.75" customHeight="1" x14ac:dyDescent="0.4">
      <c r="B16" s="76" t="s">
        <v>23</v>
      </c>
      <c r="C16" s="84"/>
      <c r="G16" s="15"/>
    </row>
    <row r="17" spans="2:7" ht="15.75" customHeight="1" x14ac:dyDescent="0.4">
      <c r="B17" s="76" t="s">
        <v>24</v>
      </c>
      <c r="C17" s="133"/>
      <c r="G17" s="15"/>
    </row>
    <row r="18" spans="2:7" ht="15.75" customHeight="1" x14ac:dyDescent="0.4">
      <c r="B18" s="76" t="s">
        <v>25</v>
      </c>
      <c r="C18" s="133"/>
      <c r="G18" s="15"/>
    </row>
    <row r="19" spans="2:7" ht="15" customHeight="1" x14ac:dyDescent="0.4">
      <c r="B19" s="77" t="s">
        <v>26</v>
      </c>
      <c r="C19" s="85"/>
      <c r="D19" s="88"/>
      <c r="G19" s="15"/>
    </row>
    <row r="20" spans="2:7" ht="15" customHeight="1" x14ac:dyDescent="0.4">
      <c r="B20" s="78"/>
      <c r="C20" s="86"/>
      <c r="G20" s="15"/>
    </row>
    <row r="21" spans="2:7" ht="15" customHeight="1" x14ac:dyDescent="0.4">
      <c r="B21" s="78"/>
      <c r="C21" s="86"/>
      <c r="G21" s="15"/>
    </row>
    <row r="22" spans="2:7" ht="14.45" customHeight="1" x14ac:dyDescent="0.4">
      <c r="B22" s="78"/>
      <c r="C22" s="86"/>
      <c r="G22" s="15"/>
    </row>
    <row r="23" spans="2:7" ht="14.45" customHeight="1" x14ac:dyDescent="0.4">
      <c r="B23" s="78"/>
      <c r="C23" s="86"/>
      <c r="G23" s="15"/>
    </row>
    <row r="24" spans="2:7" ht="14.45" customHeight="1" x14ac:dyDescent="0.4">
      <c r="B24" s="78"/>
      <c r="C24" s="86"/>
      <c r="G24" s="15"/>
    </row>
    <row r="25" spans="2:7" ht="14.45" customHeight="1" x14ac:dyDescent="0.4">
      <c r="B25" s="78"/>
      <c r="C25" s="86"/>
      <c r="G25" s="15"/>
    </row>
    <row r="26" spans="2:7" ht="15.75" customHeight="1" x14ac:dyDescent="0.4">
      <c r="B26" s="79" t="s">
        <v>27</v>
      </c>
      <c r="C26" s="87"/>
      <c r="G26" s="15"/>
    </row>
    <row r="27" spans="2:7" ht="15.75" customHeight="1" x14ac:dyDescent="0.4">
      <c r="B27" s="80" t="s">
        <v>28</v>
      </c>
      <c r="C27" s="83"/>
      <c r="G27" s="15"/>
    </row>
    <row r="28" spans="2:7" ht="15.75" customHeight="1" x14ac:dyDescent="0.4">
      <c r="B28" s="76" t="s">
        <v>29</v>
      </c>
      <c r="C28" s="83"/>
      <c r="D28" s="88"/>
      <c r="G28" s="15"/>
    </row>
    <row r="29" spans="2:7" ht="15" customHeight="1" x14ac:dyDescent="0.4">
      <c r="B29" s="76" t="s">
        <v>30</v>
      </c>
      <c r="C29" s="83"/>
      <c r="D29" s="88"/>
      <c r="G29" s="15"/>
    </row>
    <row r="30" spans="2:7" ht="15" customHeight="1" x14ac:dyDescent="0.4">
      <c r="B30" s="76" t="s">
        <v>31</v>
      </c>
      <c r="C30" s="83"/>
      <c r="D30" s="88"/>
      <c r="G30" s="15"/>
    </row>
    <row r="31" spans="2:7" ht="15" customHeight="1" x14ac:dyDescent="0.4">
      <c r="B31" s="76" t="s">
        <v>32</v>
      </c>
      <c r="C31" s="83"/>
      <c r="D31" s="88"/>
      <c r="G31" s="15"/>
    </row>
    <row r="32" spans="2:7" ht="15.75" customHeight="1" x14ac:dyDescent="0.4">
      <c r="G32" s="15"/>
    </row>
    <row r="33" spans="7:7" ht="15.75" customHeight="1" x14ac:dyDescent="0.4">
      <c r="G33" s="15"/>
    </row>
    <row r="34" spans="7:7" ht="15.75" customHeight="1" x14ac:dyDescent="0.4">
      <c r="G34" s="15"/>
    </row>
    <row r="35" spans="7:7" ht="15.75" customHeight="1" x14ac:dyDescent="0.4">
      <c r="G35" s="15"/>
    </row>
    <row r="36" spans="7:7" ht="15.75" customHeight="1" x14ac:dyDescent="0.4">
      <c r="G36" s="15"/>
    </row>
    <row r="37" spans="7:7" ht="15.75" customHeight="1" x14ac:dyDescent="0.4">
      <c r="G37" s="15"/>
    </row>
    <row r="38" spans="7:7" ht="15" customHeight="1" x14ac:dyDescent="0.4">
      <c r="G38" s="16"/>
    </row>
  </sheetData>
  <pageMargins left="0.7" right="0.7" top="0.75" bottom="0.75" header="0.3" footer="0.3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M504"/>
  <sheetViews>
    <sheetView showGridLines="0" tabSelected="1" zoomScaleNormal="100" workbookViewId="0">
      <selection activeCell="K3" sqref="K3"/>
    </sheetView>
  </sheetViews>
  <sheetFormatPr defaultRowHeight="13.5" x14ac:dyDescent="0.35"/>
  <cols>
    <col min="1" max="1" width="6.25" customWidth="1"/>
    <col min="2" max="2" width="20.375" customWidth="1"/>
    <col min="3" max="13" width="11.5625" customWidth="1"/>
  </cols>
  <sheetData>
    <row r="1" spans="1:13" s="1" customFormat="1" ht="25.15" x14ac:dyDescent="0.7">
      <c r="A1" s="134" t="s">
        <v>1052</v>
      </c>
    </row>
    <row r="2" spans="1:13" s="1" customFormat="1" x14ac:dyDescent="0.35"/>
    <row r="3" spans="1:13" s="1" customFormat="1" x14ac:dyDescent="0.35"/>
    <row r="4" spans="1:13" s="1" customFormat="1" x14ac:dyDescent="0.35"/>
    <row r="5" spans="1:13" s="1" customFormat="1" ht="17.25" thickBot="1" x14ac:dyDescent="0.55000000000000004">
      <c r="B5" s="137" t="s">
        <v>33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</row>
    <row r="6" spans="1:13" s="1" customFormat="1" x14ac:dyDescent="0.35">
      <c r="E6" s="2"/>
      <c r="F6" s="2"/>
      <c r="G6" s="2"/>
      <c r="H6" s="2"/>
      <c r="I6" s="2"/>
      <c r="J6" s="2"/>
    </row>
    <row r="7" spans="1:13" s="1" customFormat="1" x14ac:dyDescent="0.35">
      <c r="B7" s="26"/>
      <c r="C7" s="27"/>
      <c r="D7" s="27"/>
      <c r="E7" s="255" t="s">
        <v>34</v>
      </c>
      <c r="F7" s="256"/>
      <c r="G7" s="257"/>
      <c r="H7" s="275" t="s">
        <v>35</v>
      </c>
      <c r="I7" s="276"/>
      <c r="J7" s="276"/>
      <c r="K7" s="277"/>
      <c r="L7" s="274"/>
      <c r="M7" s="28"/>
    </row>
    <row r="8" spans="1:13" s="1" customFormat="1" ht="34.9" x14ac:dyDescent="0.35">
      <c r="B8" s="29" t="s">
        <v>36</v>
      </c>
      <c r="C8" s="30" t="s">
        <v>37</v>
      </c>
      <c r="D8" s="31" t="s">
        <v>38</v>
      </c>
      <c r="E8" s="30" t="s">
        <v>39</v>
      </c>
      <c r="F8" s="30" t="s">
        <v>40</v>
      </c>
      <c r="G8" s="30" t="s">
        <v>41</v>
      </c>
      <c r="H8" s="30" t="s">
        <v>39</v>
      </c>
      <c r="I8" s="30" t="s">
        <v>40</v>
      </c>
      <c r="J8" s="30" t="s">
        <v>41</v>
      </c>
      <c r="K8" s="30" t="s">
        <v>1098</v>
      </c>
      <c r="L8" s="53" t="s">
        <v>1099</v>
      </c>
      <c r="M8" s="31" t="s">
        <v>42</v>
      </c>
    </row>
    <row r="9" spans="1:13" s="98" customFormat="1" ht="11.65" x14ac:dyDescent="0.35">
      <c r="B9" s="32"/>
      <c r="C9" s="33"/>
      <c r="D9" s="34"/>
      <c r="E9" s="35"/>
      <c r="F9" s="35"/>
      <c r="G9" s="36"/>
      <c r="H9" s="37"/>
      <c r="I9" s="37"/>
      <c r="J9" s="37"/>
      <c r="K9" s="37"/>
      <c r="L9" s="37"/>
      <c r="M9" s="38"/>
    </row>
    <row r="10" spans="1:13" s="98" customFormat="1" ht="11.65" x14ac:dyDescent="0.35">
      <c r="B10" s="32"/>
      <c r="C10" s="33"/>
      <c r="D10" s="34"/>
      <c r="E10" s="35"/>
      <c r="F10" s="35"/>
      <c r="G10" s="36"/>
      <c r="H10" s="37"/>
      <c r="I10" s="37"/>
      <c r="J10" s="37"/>
      <c r="K10" s="37"/>
      <c r="L10" s="37"/>
      <c r="M10" s="38"/>
    </row>
    <row r="11" spans="1:13" s="98" customFormat="1" ht="11.65" x14ac:dyDescent="0.35">
      <c r="B11" s="32"/>
      <c r="C11" s="33"/>
      <c r="D11" s="34"/>
      <c r="E11" s="35"/>
      <c r="F11" s="35"/>
      <c r="G11" s="36"/>
      <c r="H11" s="37"/>
      <c r="I11" s="37"/>
      <c r="J11" s="37"/>
      <c r="K11" s="37"/>
      <c r="L11" s="37"/>
      <c r="M11" s="38"/>
    </row>
    <row r="12" spans="1:13" s="98" customFormat="1" ht="11.65" x14ac:dyDescent="0.35">
      <c r="B12" s="32"/>
      <c r="C12" s="33"/>
      <c r="D12" s="34"/>
      <c r="E12" s="35"/>
      <c r="F12" s="35"/>
      <c r="G12" s="36"/>
      <c r="H12" s="37"/>
      <c r="I12" s="37"/>
      <c r="J12" s="37"/>
      <c r="K12" s="37"/>
      <c r="L12" s="37"/>
      <c r="M12" s="38"/>
    </row>
    <row r="13" spans="1:13" s="98" customFormat="1" ht="11.65" x14ac:dyDescent="0.35">
      <c r="B13" s="32"/>
      <c r="C13" s="33"/>
      <c r="D13" s="34"/>
      <c r="E13" s="35"/>
      <c r="F13" s="35"/>
      <c r="G13" s="36"/>
      <c r="H13" s="37"/>
      <c r="I13" s="37"/>
      <c r="J13" s="37"/>
      <c r="K13" s="37"/>
      <c r="L13" s="37"/>
      <c r="M13" s="38"/>
    </row>
    <row r="14" spans="1:13" s="98" customFormat="1" ht="11.65" x14ac:dyDescent="0.35">
      <c r="B14" s="32"/>
      <c r="C14" s="33"/>
      <c r="D14" s="34"/>
      <c r="E14" s="35"/>
      <c r="F14" s="35"/>
      <c r="G14" s="36"/>
      <c r="H14" s="37"/>
      <c r="I14" s="37"/>
      <c r="J14" s="37"/>
      <c r="K14" s="37"/>
      <c r="L14" s="37"/>
      <c r="M14" s="38"/>
    </row>
    <row r="15" spans="1:13" s="98" customFormat="1" ht="11.65" x14ac:dyDescent="0.35">
      <c r="B15" s="32"/>
      <c r="C15" s="33"/>
      <c r="D15" s="34"/>
      <c r="E15" s="35"/>
      <c r="F15" s="35"/>
      <c r="G15" s="36"/>
      <c r="H15" s="37"/>
      <c r="I15" s="37"/>
      <c r="J15" s="37"/>
      <c r="K15" s="37"/>
      <c r="L15" s="37"/>
      <c r="M15" s="38"/>
    </row>
    <row r="16" spans="1:13" s="98" customFormat="1" ht="11.65" x14ac:dyDescent="0.35">
      <c r="B16" s="32"/>
      <c r="C16" s="33"/>
      <c r="D16" s="34"/>
      <c r="E16" s="35"/>
      <c r="F16" s="35"/>
      <c r="G16" s="36"/>
      <c r="H16" s="37"/>
      <c r="I16" s="37"/>
      <c r="J16" s="37"/>
      <c r="K16" s="37"/>
      <c r="L16" s="37"/>
      <c r="M16" s="38"/>
    </row>
    <row r="17" spans="2:13" s="98" customFormat="1" ht="11.65" x14ac:dyDescent="0.35">
      <c r="B17" s="32"/>
      <c r="C17" s="33"/>
      <c r="D17" s="34"/>
      <c r="E17" s="35"/>
      <c r="F17" s="35"/>
      <c r="G17" s="36"/>
      <c r="H17" s="37"/>
      <c r="I17" s="37"/>
      <c r="J17" s="37"/>
      <c r="K17" s="37"/>
      <c r="L17" s="37"/>
      <c r="M17" s="38"/>
    </row>
    <row r="18" spans="2:13" s="98" customFormat="1" ht="11.65" x14ac:dyDescent="0.35">
      <c r="B18" s="32"/>
      <c r="C18" s="33"/>
      <c r="D18" s="34"/>
      <c r="E18" s="35"/>
      <c r="F18" s="35"/>
      <c r="G18" s="36"/>
      <c r="H18" s="37"/>
      <c r="I18" s="37"/>
      <c r="J18" s="37"/>
      <c r="K18" s="37"/>
      <c r="L18" s="37"/>
      <c r="M18" s="38"/>
    </row>
    <row r="19" spans="2:13" s="98" customFormat="1" ht="11.65" x14ac:dyDescent="0.35">
      <c r="B19" s="32"/>
      <c r="C19" s="33"/>
      <c r="D19" s="34"/>
      <c r="E19" s="35"/>
      <c r="F19" s="35"/>
      <c r="G19" s="36"/>
      <c r="H19" s="37"/>
      <c r="I19" s="37"/>
      <c r="J19" s="37"/>
      <c r="K19" s="37"/>
      <c r="L19" s="37"/>
      <c r="M19" s="38"/>
    </row>
    <row r="20" spans="2:13" s="98" customFormat="1" ht="11.65" x14ac:dyDescent="0.35">
      <c r="B20" s="32"/>
      <c r="C20" s="33"/>
      <c r="D20" s="34"/>
      <c r="E20" s="35"/>
      <c r="F20" s="35"/>
      <c r="G20" s="36"/>
      <c r="H20" s="37"/>
      <c r="I20" s="37"/>
      <c r="J20" s="37"/>
      <c r="K20" s="37"/>
      <c r="L20" s="37"/>
      <c r="M20" s="38"/>
    </row>
    <row r="21" spans="2:13" s="98" customFormat="1" ht="11.65" x14ac:dyDescent="0.35">
      <c r="B21" s="32"/>
      <c r="C21" s="33"/>
      <c r="D21" s="34"/>
      <c r="E21" s="35"/>
      <c r="F21" s="35"/>
      <c r="G21" s="36"/>
      <c r="H21" s="37"/>
      <c r="I21" s="37"/>
      <c r="J21" s="37"/>
      <c r="K21" s="37"/>
      <c r="L21" s="37"/>
      <c r="M21" s="38"/>
    </row>
    <row r="22" spans="2:13" s="98" customFormat="1" ht="11.65" x14ac:dyDescent="0.35">
      <c r="B22" s="32"/>
      <c r="C22" s="33"/>
      <c r="D22" s="34"/>
      <c r="E22" s="35"/>
      <c r="F22" s="35"/>
      <c r="G22" s="36"/>
      <c r="H22" s="37"/>
      <c r="I22" s="37"/>
      <c r="J22" s="37"/>
      <c r="K22" s="37"/>
      <c r="L22" s="37"/>
      <c r="M22" s="38"/>
    </row>
    <row r="23" spans="2:13" s="98" customFormat="1" ht="11.65" x14ac:dyDescent="0.35">
      <c r="B23" s="32"/>
      <c r="C23" s="33"/>
      <c r="D23" s="34"/>
      <c r="E23" s="35"/>
      <c r="F23" s="35"/>
      <c r="G23" s="36"/>
      <c r="H23" s="37"/>
      <c r="I23" s="37"/>
      <c r="J23" s="37"/>
      <c r="K23" s="37"/>
      <c r="L23" s="37"/>
      <c r="M23" s="38"/>
    </row>
    <row r="24" spans="2:13" s="98" customFormat="1" ht="11.65" x14ac:dyDescent="0.35">
      <c r="B24" s="32"/>
      <c r="C24" s="33"/>
      <c r="D24" s="34"/>
      <c r="E24" s="35"/>
      <c r="F24" s="35"/>
      <c r="G24" s="36"/>
      <c r="H24" s="37"/>
      <c r="I24" s="37"/>
      <c r="J24" s="37"/>
      <c r="K24" s="37"/>
      <c r="L24" s="37"/>
      <c r="M24" s="38"/>
    </row>
    <row r="25" spans="2:13" s="98" customFormat="1" ht="11.65" x14ac:dyDescent="0.35">
      <c r="B25" s="32"/>
      <c r="C25" s="33"/>
      <c r="D25" s="34"/>
      <c r="E25" s="35"/>
      <c r="F25" s="35"/>
      <c r="G25" s="36"/>
      <c r="H25" s="37"/>
      <c r="I25" s="37"/>
      <c r="J25" s="37"/>
      <c r="K25" s="37"/>
      <c r="L25" s="37"/>
      <c r="M25" s="38"/>
    </row>
    <row r="26" spans="2:13" s="98" customFormat="1" ht="11.65" x14ac:dyDescent="0.35">
      <c r="B26" s="32"/>
      <c r="C26" s="33"/>
      <c r="D26" s="34"/>
      <c r="E26" s="35"/>
      <c r="F26" s="35"/>
      <c r="G26" s="36"/>
      <c r="H26" s="37"/>
      <c r="I26" s="37"/>
      <c r="J26" s="37"/>
      <c r="K26" s="37"/>
      <c r="L26" s="37"/>
      <c r="M26" s="38"/>
    </row>
    <row r="27" spans="2:13" s="98" customFormat="1" ht="11.65" x14ac:dyDescent="0.35">
      <c r="B27" s="32"/>
      <c r="C27" s="33"/>
      <c r="D27" s="34"/>
      <c r="E27" s="35"/>
      <c r="F27" s="35"/>
      <c r="G27" s="36"/>
      <c r="H27" s="37"/>
      <c r="I27" s="37"/>
      <c r="J27" s="37"/>
      <c r="K27" s="37"/>
      <c r="L27" s="37"/>
      <c r="M27" s="38"/>
    </row>
    <row r="28" spans="2:13" s="98" customFormat="1" ht="11.65" x14ac:dyDescent="0.35">
      <c r="B28" s="32"/>
      <c r="C28" s="33"/>
      <c r="D28" s="34"/>
      <c r="E28" s="35"/>
      <c r="F28" s="35"/>
      <c r="G28" s="36"/>
      <c r="H28" s="37"/>
      <c r="I28" s="37"/>
      <c r="J28" s="37"/>
      <c r="K28" s="37"/>
      <c r="L28" s="37"/>
      <c r="M28" s="38"/>
    </row>
    <row r="29" spans="2:13" s="98" customFormat="1" ht="11.65" x14ac:dyDescent="0.35">
      <c r="B29" s="32"/>
      <c r="C29" s="33"/>
      <c r="D29" s="34"/>
      <c r="E29" s="35"/>
      <c r="F29" s="35"/>
      <c r="G29" s="36"/>
      <c r="H29" s="37"/>
      <c r="I29" s="37"/>
      <c r="J29" s="37"/>
      <c r="K29" s="37"/>
      <c r="L29" s="37"/>
      <c r="M29" s="38"/>
    </row>
    <row r="30" spans="2:13" s="98" customFormat="1" ht="11.65" x14ac:dyDescent="0.35">
      <c r="B30" s="32"/>
      <c r="C30" s="33"/>
      <c r="D30" s="34"/>
      <c r="E30" s="35"/>
      <c r="F30" s="35"/>
      <c r="G30" s="36"/>
      <c r="H30" s="37"/>
      <c r="I30" s="37"/>
      <c r="J30" s="37"/>
      <c r="K30" s="37"/>
      <c r="L30" s="37"/>
      <c r="M30" s="38"/>
    </row>
    <row r="31" spans="2:13" s="98" customFormat="1" ht="11.65" x14ac:dyDescent="0.35">
      <c r="B31" s="32"/>
      <c r="C31" s="33"/>
      <c r="D31" s="34"/>
      <c r="E31" s="35"/>
      <c r="F31" s="35"/>
      <c r="G31" s="36"/>
      <c r="H31" s="37"/>
      <c r="I31" s="37"/>
      <c r="J31" s="37"/>
      <c r="K31" s="37"/>
      <c r="L31" s="37"/>
      <c r="M31" s="38"/>
    </row>
    <row r="32" spans="2:13" s="98" customFormat="1" ht="11.65" x14ac:dyDescent="0.35">
      <c r="B32" s="32"/>
      <c r="C32" s="33"/>
      <c r="D32" s="34"/>
      <c r="E32" s="35"/>
      <c r="F32" s="35"/>
      <c r="G32" s="36"/>
      <c r="H32" s="37"/>
      <c r="I32" s="37"/>
      <c r="J32" s="37"/>
      <c r="K32" s="37"/>
      <c r="L32" s="37"/>
      <c r="M32" s="38"/>
    </row>
    <row r="33" spans="2:13" s="98" customFormat="1" ht="11.65" x14ac:dyDescent="0.35">
      <c r="B33" s="32"/>
      <c r="C33" s="33"/>
      <c r="D33" s="34"/>
      <c r="E33" s="35"/>
      <c r="F33" s="35"/>
      <c r="G33" s="36"/>
      <c r="H33" s="37"/>
      <c r="I33" s="37"/>
      <c r="J33" s="37"/>
      <c r="K33" s="37"/>
      <c r="L33" s="37"/>
      <c r="M33" s="38"/>
    </row>
    <row r="34" spans="2:13" s="98" customFormat="1" ht="11.65" x14ac:dyDescent="0.35">
      <c r="B34" s="32"/>
      <c r="C34" s="33"/>
      <c r="D34" s="34"/>
      <c r="E34" s="35"/>
      <c r="F34" s="35"/>
      <c r="G34" s="36"/>
      <c r="H34" s="37"/>
      <c r="I34" s="37"/>
      <c r="J34" s="37"/>
      <c r="K34" s="37"/>
      <c r="L34" s="37"/>
      <c r="M34" s="38"/>
    </row>
    <row r="35" spans="2:13" s="98" customFormat="1" ht="11.65" x14ac:dyDescent="0.35">
      <c r="B35" s="32"/>
      <c r="C35" s="33"/>
      <c r="D35" s="34"/>
      <c r="E35" s="35"/>
      <c r="F35" s="35"/>
      <c r="G35" s="36"/>
      <c r="H35" s="37"/>
      <c r="I35" s="37"/>
      <c r="J35" s="37"/>
      <c r="K35" s="37"/>
      <c r="L35" s="37"/>
      <c r="M35" s="38"/>
    </row>
    <row r="36" spans="2:13" s="98" customFormat="1" ht="11.65" x14ac:dyDescent="0.35">
      <c r="B36" s="32"/>
      <c r="C36" s="33"/>
      <c r="D36" s="34"/>
      <c r="E36" s="35"/>
      <c r="F36" s="35"/>
      <c r="G36" s="36"/>
      <c r="H36" s="37"/>
      <c r="I36" s="37"/>
      <c r="J36" s="37"/>
      <c r="K36" s="37"/>
      <c r="L36" s="37"/>
      <c r="M36" s="38"/>
    </row>
    <row r="37" spans="2:13" s="98" customFormat="1" ht="11.65" x14ac:dyDescent="0.35">
      <c r="B37" s="32"/>
      <c r="C37" s="33"/>
      <c r="D37" s="34"/>
      <c r="E37" s="35"/>
      <c r="F37" s="35"/>
      <c r="G37" s="36"/>
      <c r="H37" s="37"/>
      <c r="I37" s="37"/>
      <c r="J37" s="37"/>
      <c r="K37" s="37"/>
      <c r="L37" s="37"/>
      <c r="M37" s="38"/>
    </row>
    <row r="38" spans="2:13" s="98" customFormat="1" ht="11.65" x14ac:dyDescent="0.35">
      <c r="B38" s="32"/>
      <c r="C38" s="33"/>
      <c r="D38" s="34"/>
      <c r="E38" s="35"/>
      <c r="F38" s="35"/>
      <c r="G38" s="36"/>
      <c r="H38" s="37"/>
      <c r="I38" s="37"/>
      <c r="J38" s="37"/>
      <c r="K38" s="37"/>
      <c r="L38" s="37"/>
      <c r="M38" s="38"/>
    </row>
    <row r="39" spans="2:13" s="98" customFormat="1" ht="11.65" x14ac:dyDescent="0.35">
      <c r="B39" s="32"/>
      <c r="C39" s="33"/>
      <c r="D39" s="34"/>
      <c r="E39" s="35"/>
      <c r="F39" s="35"/>
      <c r="G39" s="36"/>
      <c r="H39" s="37"/>
      <c r="I39" s="37"/>
      <c r="J39" s="37"/>
      <c r="K39" s="37"/>
      <c r="L39" s="37"/>
      <c r="M39" s="38"/>
    </row>
    <row r="40" spans="2:13" s="98" customFormat="1" ht="11.65" x14ac:dyDescent="0.35">
      <c r="B40" s="32"/>
      <c r="C40" s="33"/>
      <c r="D40" s="34"/>
      <c r="E40" s="35"/>
      <c r="F40" s="35"/>
      <c r="G40" s="36"/>
      <c r="H40" s="37"/>
      <c r="I40" s="37"/>
      <c r="J40" s="37"/>
      <c r="K40" s="37"/>
      <c r="L40" s="37"/>
      <c r="M40" s="38"/>
    </row>
    <row r="41" spans="2:13" s="98" customFormat="1" ht="11.65" x14ac:dyDescent="0.35">
      <c r="B41" s="32"/>
      <c r="C41" s="33"/>
      <c r="D41" s="34"/>
      <c r="E41" s="35"/>
      <c r="F41" s="35"/>
      <c r="G41" s="36"/>
      <c r="H41" s="37"/>
      <c r="I41" s="37"/>
      <c r="J41" s="37"/>
      <c r="K41" s="37"/>
      <c r="L41" s="37"/>
      <c r="M41" s="38"/>
    </row>
    <row r="42" spans="2:13" s="98" customFormat="1" ht="11.65" x14ac:dyDescent="0.35">
      <c r="B42" s="32"/>
      <c r="C42" s="33"/>
      <c r="D42" s="34"/>
      <c r="E42" s="35"/>
      <c r="F42" s="35"/>
      <c r="G42" s="36"/>
      <c r="H42" s="37"/>
      <c r="I42" s="37"/>
      <c r="J42" s="37"/>
      <c r="K42" s="37"/>
      <c r="L42" s="37"/>
      <c r="M42" s="38"/>
    </row>
    <row r="43" spans="2:13" s="98" customFormat="1" ht="11.65" x14ac:dyDescent="0.35">
      <c r="B43" s="32"/>
      <c r="C43" s="33"/>
      <c r="D43" s="34"/>
      <c r="E43" s="35"/>
      <c r="F43" s="35"/>
      <c r="G43" s="36"/>
      <c r="H43" s="37"/>
      <c r="I43" s="37"/>
      <c r="J43" s="37"/>
      <c r="K43" s="37"/>
      <c r="L43" s="37"/>
      <c r="M43" s="38"/>
    </row>
    <row r="44" spans="2:13" s="98" customFormat="1" ht="11.65" x14ac:dyDescent="0.35">
      <c r="B44" s="32"/>
      <c r="C44" s="33"/>
      <c r="D44" s="34"/>
      <c r="E44" s="35"/>
      <c r="F44" s="35"/>
      <c r="G44" s="36"/>
      <c r="H44" s="37"/>
      <c r="I44" s="37"/>
      <c r="J44" s="37"/>
      <c r="K44" s="37"/>
      <c r="L44" s="37"/>
      <c r="M44" s="38"/>
    </row>
    <row r="45" spans="2:13" s="98" customFormat="1" ht="11.65" x14ac:dyDescent="0.35">
      <c r="B45" s="32"/>
      <c r="C45" s="33"/>
      <c r="D45" s="34"/>
      <c r="E45" s="35"/>
      <c r="F45" s="35"/>
      <c r="G45" s="36"/>
      <c r="H45" s="37"/>
      <c r="I45" s="37"/>
      <c r="J45" s="37"/>
      <c r="K45" s="37"/>
      <c r="L45" s="37"/>
      <c r="M45" s="38"/>
    </row>
    <row r="46" spans="2:13" s="98" customFormat="1" ht="11.65" x14ac:dyDescent="0.35">
      <c r="B46" s="32"/>
      <c r="C46" s="33"/>
      <c r="D46" s="34"/>
      <c r="E46" s="35"/>
      <c r="F46" s="35"/>
      <c r="G46" s="36"/>
      <c r="H46" s="37"/>
      <c r="I46" s="37"/>
      <c r="J46" s="37"/>
      <c r="K46" s="37"/>
      <c r="L46" s="37"/>
      <c r="M46" s="38"/>
    </row>
    <row r="47" spans="2:13" s="98" customFormat="1" ht="11.65" x14ac:dyDescent="0.35">
      <c r="B47" s="32"/>
      <c r="C47" s="33"/>
      <c r="D47" s="34"/>
      <c r="E47" s="35"/>
      <c r="F47" s="35"/>
      <c r="G47" s="36"/>
      <c r="H47" s="37"/>
      <c r="I47" s="37"/>
      <c r="J47" s="37"/>
      <c r="K47" s="37"/>
      <c r="L47" s="37"/>
      <c r="M47" s="38"/>
    </row>
    <row r="48" spans="2:13" s="98" customFormat="1" ht="11.65" x14ac:dyDescent="0.35">
      <c r="B48" s="32"/>
      <c r="C48" s="33"/>
      <c r="D48" s="34"/>
      <c r="E48" s="35"/>
      <c r="F48" s="35"/>
      <c r="G48" s="36"/>
      <c r="H48" s="37"/>
      <c r="I48" s="37"/>
      <c r="J48" s="37"/>
      <c r="K48" s="37"/>
      <c r="L48" s="37"/>
      <c r="M48" s="38"/>
    </row>
    <row r="49" spans="2:13" s="98" customFormat="1" ht="11.65" x14ac:dyDescent="0.35">
      <c r="B49" s="32"/>
      <c r="C49" s="33"/>
      <c r="D49" s="34"/>
      <c r="E49" s="35"/>
      <c r="F49" s="35"/>
      <c r="G49" s="36"/>
      <c r="H49" s="37"/>
      <c r="I49" s="37"/>
      <c r="J49" s="37"/>
      <c r="K49" s="37"/>
      <c r="L49" s="37"/>
      <c r="M49" s="38"/>
    </row>
    <row r="50" spans="2:13" s="98" customFormat="1" ht="11.65" x14ac:dyDescent="0.35">
      <c r="B50" s="32"/>
      <c r="C50" s="33"/>
      <c r="D50" s="34"/>
      <c r="E50" s="35"/>
      <c r="F50" s="35"/>
      <c r="G50" s="36"/>
      <c r="H50" s="37"/>
      <c r="I50" s="37"/>
      <c r="J50" s="37"/>
      <c r="K50" s="37"/>
      <c r="L50" s="37"/>
      <c r="M50" s="38"/>
    </row>
    <row r="51" spans="2:13" s="98" customFormat="1" ht="11.65" x14ac:dyDescent="0.35">
      <c r="B51" s="32"/>
      <c r="C51" s="33"/>
      <c r="D51" s="34"/>
      <c r="E51" s="35"/>
      <c r="F51" s="35"/>
      <c r="G51" s="36"/>
      <c r="H51" s="37"/>
      <c r="I51" s="37"/>
      <c r="J51" s="37"/>
      <c r="K51" s="37"/>
      <c r="L51" s="37"/>
      <c r="M51" s="38"/>
    </row>
    <row r="52" spans="2:13" s="98" customFormat="1" ht="11.65" x14ac:dyDescent="0.35">
      <c r="B52" s="32"/>
      <c r="C52" s="33"/>
      <c r="D52" s="34"/>
      <c r="E52" s="35"/>
      <c r="F52" s="35"/>
      <c r="G52" s="36"/>
      <c r="H52" s="37"/>
      <c r="I52" s="37"/>
      <c r="J52" s="37"/>
      <c r="K52" s="37"/>
      <c r="L52" s="37"/>
      <c r="M52" s="38"/>
    </row>
    <row r="53" spans="2:13" s="98" customFormat="1" ht="11.65" x14ac:dyDescent="0.35">
      <c r="B53" s="32"/>
      <c r="C53" s="33"/>
      <c r="D53" s="34"/>
      <c r="E53" s="35"/>
      <c r="F53" s="35"/>
      <c r="G53" s="36"/>
      <c r="H53" s="37"/>
      <c r="I53" s="37"/>
      <c r="J53" s="37"/>
      <c r="K53" s="37"/>
      <c r="L53" s="37"/>
      <c r="M53" s="38"/>
    </row>
    <row r="54" spans="2:13" s="98" customFormat="1" ht="11.65" x14ac:dyDescent="0.35">
      <c r="B54" s="32"/>
      <c r="C54" s="33"/>
      <c r="D54" s="34"/>
      <c r="E54" s="35"/>
      <c r="F54" s="35"/>
      <c r="G54" s="36"/>
      <c r="H54" s="37"/>
      <c r="I54" s="37"/>
      <c r="J54" s="37"/>
      <c r="K54" s="37"/>
      <c r="L54" s="37"/>
      <c r="M54" s="38"/>
    </row>
    <row r="55" spans="2:13" s="98" customFormat="1" ht="11.65" x14ac:dyDescent="0.35">
      <c r="B55" s="32"/>
      <c r="C55" s="33"/>
      <c r="D55" s="34"/>
      <c r="E55" s="35"/>
      <c r="F55" s="35"/>
      <c r="G55" s="36"/>
      <c r="H55" s="37"/>
      <c r="I55" s="37"/>
      <c r="J55" s="37"/>
      <c r="K55" s="37"/>
      <c r="L55" s="37"/>
      <c r="M55" s="38"/>
    </row>
    <row r="56" spans="2:13" s="98" customFormat="1" ht="11.65" x14ac:dyDescent="0.35">
      <c r="B56" s="32"/>
      <c r="C56" s="33"/>
      <c r="D56" s="34"/>
      <c r="E56" s="35"/>
      <c r="F56" s="35"/>
      <c r="G56" s="36"/>
      <c r="H56" s="37"/>
      <c r="I56" s="37"/>
      <c r="J56" s="37"/>
      <c r="K56" s="37"/>
      <c r="L56" s="37"/>
      <c r="M56" s="38"/>
    </row>
    <row r="57" spans="2:13" s="98" customFormat="1" ht="11.65" x14ac:dyDescent="0.35">
      <c r="B57" s="32"/>
      <c r="C57" s="33"/>
      <c r="D57" s="34"/>
      <c r="E57" s="35"/>
      <c r="F57" s="35"/>
      <c r="G57" s="36"/>
      <c r="H57" s="37"/>
      <c r="I57" s="37"/>
      <c r="J57" s="37"/>
      <c r="K57" s="37"/>
      <c r="L57" s="37"/>
      <c r="M57" s="38"/>
    </row>
    <row r="58" spans="2:13" s="98" customFormat="1" ht="11.65" x14ac:dyDescent="0.35">
      <c r="B58" s="32"/>
      <c r="C58" s="33"/>
      <c r="D58" s="34"/>
      <c r="E58" s="35"/>
      <c r="F58" s="35"/>
      <c r="G58" s="36"/>
      <c r="H58" s="37"/>
      <c r="I58" s="37"/>
      <c r="J58" s="37"/>
      <c r="K58" s="37"/>
      <c r="L58" s="37"/>
      <c r="M58" s="38"/>
    </row>
    <row r="59" spans="2:13" s="1" customFormat="1" ht="13.9" collapsed="1" thickBot="1" x14ac:dyDescent="0.4">
      <c r="B59" s="63" t="s">
        <v>43</v>
      </c>
      <c r="C59" s="97"/>
      <c r="D59" s="39"/>
      <c r="E59" s="40"/>
      <c r="F59" s="40"/>
      <c r="G59" s="40"/>
      <c r="H59" s="40"/>
      <c r="I59" s="40"/>
      <c r="J59" s="40"/>
      <c r="K59" s="40"/>
      <c r="L59" s="40"/>
      <c r="M59" s="40"/>
    </row>
    <row r="60" spans="2:13" s="1" customFormat="1" x14ac:dyDescent="0.35">
      <c r="B60" s="3" t="s">
        <v>44</v>
      </c>
    </row>
    <row r="61" spans="2:13" s="1" customFormat="1" x14ac:dyDescent="0.35">
      <c r="B61" s="4"/>
    </row>
    <row r="62" spans="2:13" s="1" customFormat="1" x14ac:dyDescent="0.35">
      <c r="B62" s="4"/>
    </row>
    <row r="63" spans="2:13" s="1" customFormat="1" ht="17.25" thickBot="1" x14ac:dyDescent="0.55000000000000004">
      <c r="B63" s="137" t="s">
        <v>45</v>
      </c>
      <c r="C63" s="137"/>
      <c r="D63" s="137"/>
      <c r="E63" s="137"/>
      <c r="F63" s="137"/>
      <c r="G63" s="137"/>
      <c r="H63" s="137"/>
      <c r="I63" s="137"/>
      <c r="J63" s="137"/>
      <c r="K63" s="137"/>
      <c r="L63" s="137"/>
    </row>
    <row r="64" spans="2:13" s="1" customFormat="1" x14ac:dyDescent="0.35"/>
    <row r="65" spans="2:12" s="1" customFormat="1" x14ac:dyDescent="0.35">
      <c r="B65" s="26"/>
      <c r="C65" s="258" t="s">
        <v>46</v>
      </c>
      <c r="D65" s="259"/>
      <c r="E65" s="259"/>
      <c r="F65" s="259"/>
      <c r="G65" s="259"/>
      <c r="H65" s="259"/>
      <c r="I65" s="259"/>
      <c r="J65" s="259"/>
      <c r="K65" s="259"/>
      <c r="L65" s="259"/>
    </row>
    <row r="66" spans="2:12" s="1" customFormat="1" ht="23.25" x14ac:dyDescent="0.35">
      <c r="B66" s="29" t="s">
        <v>36</v>
      </c>
      <c r="C66" s="41" t="s">
        <v>47</v>
      </c>
      <c r="D66" s="41" t="s">
        <v>48</v>
      </c>
      <c r="E66" s="41" t="s">
        <v>49</v>
      </c>
      <c r="F66" s="41" t="s">
        <v>50</v>
      </c>
      <c r="G66" s="41" t="s">
        <v>51</v>
      </c>
      <c r="H66" s="41" t="s">
        <v>52</v>
      </c>
      <c r="I66" s="41" t="s">
        <v>53</v>
      </c>
      <c r="J66" s="41" t="s">
        <v>54</v>
      </c>
      <c r="K66" s="41" t="s">
        <v>55</v>
      </c>
      <c r="L66" s="42" t="s">
        <v>56</v>
      </c>
    </row>
    <row r="67" spans="2:12" s="98" customFormat="1" ht="11.65" x14ac:dyDescent="0.35">
      <c r="B67" s="32"/>
      <c r="C67" s="43"/>
      <c r="D67" s="44"/>
      <c r="E67" s="43"/>
      <c r="F67" s="43"/>
      <c r="G67" s="45"/>
      <c r="H67" s="45"/>
      <c r="I67" s="45"/>
      <c r="J67" s="46"/>
      <c r="K67" s="46"/>
      <c r="L67" s="47"/>
    </row>
    <row r="68" spans="2:12" s="98" customFormat="1" ht="11.65" x14ac:dyDescent="0.35">
      <c r="B68" s="32"/>
      <c r="C68" s="43"/>
      <c r="D68" s="44"/>
      <c r="E68" s="43"/>
      <c r="F68" s="43"/>
      <c r="G68" s="45"/>
      <c r="H68" s="45"/>
      <c r="I68" s="45"/>
      <c r="J68" s="46"/>
      <c r="K68" s="46"/>
      <c r="L68" s="47"/>
    </row>
    <row r="69" spans="2:12" s="98" customFormat="1" ht="11.65" x14ac:dyDescent="0.35">
      <c r="B69" s="32"/>
      <c r="C69" s="43"/>
      <c r="D69" s="44"/>
      <c r="E69" s="43"/>
      <c r="F69" s="43"/>
      <c r="G69" s="45"/>
      <c r="H69" s="45"/>
      <c r="I69" s="45"/>
      <c r="J69" s="46"/>
      <c r="K69" s="46"/>
      <c r="L69" s="47"/>
    </row>
    <row r="70" spans="2:12" s="98" customFormat="1" ht="11.65" x14ac:dyDescent="0.35">
      <c r="B70" s="32"/>
      <c r="C70" s="43"/>
      <c r="D70" s="44"/>
      <c r="E70" s="43"/>
      <c r="F70" s="43"/>
      <c r="G70" s="45"/>
      <c r="H70" s="45"/>
      <c r="I70" s="45"/>
      <c r="J70" s="46"/>
      <c r="K70" s="46"/>
      <c r="L70" s="47"/>
    </row>
    <row r="71" spans="2:12" s="98" customFormat="1" ht="11.65" x14ac:dyDescent="0.35">
      <c r="B71" s="32"/>
      <c r="C71" s="43"/>
      <c r="D71" s="44"/>
      <c r="E71" s="43"/>
      <c r="F71" s="43"/>
      <c r="G71" s="45"/>
      <c r="H71" s="45"/>
      <c r="I71" s="45"/>
      <c r="J71" s="46"/>
      <c r="K71" s="46"/>
      <c r="L71" s="47"/>
    </row>
    <row r="72" spans="2:12" s="98" customFormat="1" ht="11.65" x14ac:dyDescent="0.35">
      <c r="B72" s="32"/>
      <c r="C72" s="43"/>
      <c r="D72" s="44"/>
      <c r="E72" s="43"/>
      <c r="F72" s="43"/>
      <c r="G72" s="45"/>
      <c r="H72" s="45"/>
      <c r="I72" s="45"/>
      <c r="J72" s="46"/>
      <c r="K72" s="46"/>
      <c r="L72" s="47"/>
    </row>
    <row r="73" spans="2:12" s="98" customFormat="1" ht="11.65" x14ac:dyDescent="0.35">
      <c r="B73" s="32"/>
      <c r="C73" s="43"/>
      <c r="D73" s="44"/>
      <c r="E73" s="43"/>
      <c r="F73" s="43"/>
      <c r="G73" s="45"/>
      <c r="H73" s="45"/>
      <c r="I73" s="45"/>
      <c r="J73" s="46"/>
      <c r="K73" s="46"/>
      <c r="L73" s="47"/>
    </row>
    <row r="74" spans="2:12" s="98" customFormat="1" ht="11.65" x14ac:dyDescent="0.35">
      <c r="B74" s="32"/>
      <c r="C74" s="43"/>
      <c r="D74" s="44"/>
      <c r="E74" s="43"/>
      <c r="F74" s="43"/>
      <c r="G74" s="45"/>
      <c r="H74" s="45"/>
      <c r="I74" s="45"/>
      <c r="J74" s="46"/>
      <c r="K74" s="46"/>
      <c r="L74" s="47"/>
    </row>
    <row r="75" spans="2:12" s="98" customFormat="1" ht="11.65" x14ac:dyDescent="0.35">
      <c r="B75" s="32"/>
      <c r="C75" s="43"/>
      <c r="D75" s="44"/>
      <c r="E75" s="43"/>
      <c r="F75" s="43"/>
      <c r="G75" s="45"/>
      <c r="H75" s="45"/>
      <c r="I75" s="45"/>
      <c r="J75" s="46"/>
      <c r="K75" s="46"/>
      <c r="L75" s="47"/>
    </row>
    <row r="76" spans="2:12" s="98" customFormat="1" ht="11.65" x14ac:dyDescent="0.35">
      <c r="B76" s="32"/>
      <c r="C76" s="43"/>
      <c r="D76" s="44"/>
      <c r="E76" s="43"/>
      <c r="F76" s="43"/>
      <c r="G76" s="45"/>
      <c r="H76" s="45"/>
      <c r="I76" s="45"/>
      <c r="J76" s="46"/>
      <c r="K76" s="46"/>
      <c r="L76" s="47"/>
    </row>
    <row r="77" spans="2:12" s="98" customFormat="1" ht="11.65" x14ac:dyDescent="0.35">
      <c r="B77" s="32"/>
      <c r="C77" s="43"/>
      <c r="D77" s="44"/>
      <c r="E77" s="43"/>
      <c r="F77" s="43"/>
      <c r="G77" s="45"/>
      <c r="H77" s="45"/>
      <c r="I77" s="45"/>
      <c r="J77" s="46"/>
      <c r="K77" s="46"/>
      <c r="L77" s="47"/>
    </row>
    <row r="78" spans="2:12" s="98" customFormat="1" ht="11.65" x14ac:dyDescent="0.35">
      <c r="B78" s="32"/>
      <c r="C78" s="43"/>
      <c r="D78" s="44"/>
      <c r="E78" s="43"/>
      <c r="F78" s="43"/>
      <c r="G78" s="45"/>
      <c r="H78" s="45"/>
      <c r="I78" s="45"/>
      <c r="J78" s="46"/>
      <c r="K78" s="46"/>
      <c r="L78" s="47"/>
    </row>
    <row r="79" spans="2:12" s="98" customFormat="1" ht="11.65" x14ac:dyDescent="0.35">
      <c r="B79" s="32"/>
      <c r="C79" s="43"/>
      <c r="D79" s="44"/>
      <c r="E79" s="43"/>
      <c r="F79" s="43"/>
      <c r="G79" s="45"/>
      <c r="H79" s="45"/>
      <c r="I79" s="45"/>
      <c r="J79" s="46"/>
      <c r="K79" s="46"/>
      <c r="L79" s="47"/>
    </row>
    <row r="80" spans="2:12" s="98" customFormat="1" ht="11.65" x14ac:dyDescent="0.35">
      <c r="B80" s="32"/>
      <c r="C80" s="43"/>
      <c r="D80" s="44"/>
      <c r="E80" s="43"/>
      <c r="F80" s="43"/>
      <c r="G80" s="45"/>
      <c r="H80" s="45"/>
      <c r="I80" s="45"/>
      <c r="J80" s="46"/>
      <c r="K80" s="46"/>
      <c r="L80" s="47"/>
    </row>
    <row r="81" spans="2:12" s="98" customFormat="1" ht="11.65" x14ac:dyDescent="0.35">
      <c r="B81" s="32"/>
      <c r="C81" s="43"/>
      <c r="D81" s="44"/>
      <c r="E81" s="43"/>
      <c r="F81" s="43"/>
      <c r="G81" s="45"/>
      <c r="H81" s="45"/>
      <c r="I81" s="45"/>
      <c r="J81" s="46"/>
      <c r="K81" s="46"/>
      <c r="L81" s="47"/>
    </row>
    <row r="82" spans="2:12" s="98" customFormat="1" ht="11.65" x14ac:dyDescent="0.35">
      <c r="B82" s="32"/>
      <c r="C82" s="43"/>
      <c r="D82" s="44"/>
      <c r="E82" s="43"/>
      <c r="F82" s="43"/>
      <c r="G82" s="45"/>
      <c r="H82" s="45"/>
      <c r="I82" s="45"/>
      <c r="J82" s="46"/>
      <c r="K82" s="46"/>
      <c r="L82" s="47"/>
    </row>
    <row r="83" spans="2:12" s="98" customFormat="1" ht="11.65" x14ac:dyDescent="0.35">
      <c r="B83" s="32"/>
      <c r="C83" s="43"/>
      <c r="D83" s="44"/>
      <c r="E83" s="43"/>
      <c r="F83" s="43"/>
      <c r="G83" s="45"/>
      <c r="H83" s="45"/>
      <c r="I83" s="45"/>
      <c r="J83" s="46"/>
      <c r="K83" s="46"/>
      <c r="L83" s="47"/>
    </row>
    <row r="84" spans="2:12" s="98" customFormat="1" ht="11.65" x14ac:dyDescent="0.35">
      <c r="B84" s="32"/>
      <c r="C84" s="43"/>
      <c r="D84" s="44"/>
      <c r="E84" s="43"/>
      <c r="F84" s="43"/>
      <c r="G84" s="45"/>
      <c r="H84" s="45"/>
      <c r="I84" s="45"/>
      <c r="J84" s="46"/>
      <c r="K84" s="46"/>
      <c r="L84" s="47"/>
    </row>
    <row r="85" spans="2:12" s="98" customFormat="1" ht="11.65" x14ac:dyDescent="0.35">
      <c r="B85" s="32"/>
      <c r="C85" s="43"/>
      <c r="D85" s="44"/>
      <c r="E85" s="43"/>
      <c r="F85" s="43"/>
      <c r="G85" s="45"/>
      <c r="H85" s="45"/>
      <c r="I85" s="45"/>
      <c r="J85" s="46"/>
      <c r="K85" s="46"/>
      <c r="L85" s="47"/>
    </row>
    <row r="86" spans="2:12" s="98" customFormat="1" ht="11.65" x14ac:dyDescent="0.35">
      <c r="B86" s="32"/>
      <c r="C86" s="43"/>
      <c r="D86" s="44"/>
      <c r="E86" s="43"/>
      <c r="F86" s="43"/>
      <c r="G86" s="45"/>
      <c r="H86" s="45"/>
      <c r="I86" s="45"/>
      <c r="J86" s="46"/>
      <c r="K86" s="46"/>
      <c r="L86" s="47"/>
    </row>
    <row r="87" spans="2:12" s="98" customFormat="1" ht="11.65" x14ac:dyDescent="0.35">
      <c r="B87" s="32"/>
      <c r="C87" s="43"/>
      <c r="D87" s="44"/>
      <c r="E87" s="43"/>
      <c r="F87" s="43"/>
      <c r="G87" s="45"/>
      <c r="H87" s="45"/>
      <c r="I87" s="45"/>
      <c r="J87" s="46"/>
      <c r="K87" s="46"/>
      <c r="L87" s="47"/>
    </row>
    <row r="88" spans="2:12" s="98" customFormat="1" ht="11.65" x14ac:dyDescent="0.35">
      <c r="B88" s="32"/>
      <c r="C88" s="43"/>
      <c r="D88" s="44"/>
      <c r="E88" s="43"/>
      <c r="F88" s="43"/>
      <c r="G88" s="45"/>
      <c r="H88" s="45"/>
      <c r="I88" s="45"/>
      <c r="J88" s="46"/>
      <c r="K88" s="46"/>
      <c r="L88" s="47"/>
    </row>
    <row r="89" spans="2:12" s="98" customFormat="1" ht="11.65" x14ac:dyDescent="0.35">
      <c r="B89" s="32"/>
      <c r="C89" s="43"/>
      <c r="D89" s="44"/>
      <c r="E89" s="43"/>
      <c r="F89" s="43"/>
      <c r="G89" s="45"/>
      <c r="H89" s="45"/>
      <c r="I89" s="45"/>
      <c r="J89" s="46"/>
      <c r="K89" s="46"/>
      <c r="L89" s="47"/>
    </row>
    <row r="90" spans="2:12" s="98" customFormat="1" ht="11.65" x14ac:dyDescent="0.35">
      <c r="B90" s="32"/>
      <c r="C90" s="43"/>
      <c r="D90" s="44"/>
      <c r="E90" s="43"/>
      <c r="F90" s="43"/>
      <c r="G90" s="45"/>
      <c r="H90" s="45"/>
      <c r="I90" s="45"/>
      <c r="J90" s="46"/>
      <c r="K90" s="46"/>
      <c r="L90" s="47"/>
    </row>
    <row r="91" spans="2:12" s="98" customFormat="1" ht="11.65" x14ac:dyDescent="0.35">
      <c r="B91" s="32"/>
      <c r="C91" s="43"/>
      <c r="D91" s="44"/>
      <c r="E91" s="43"/>
      <c r="F91" s="43"/>
      <c r="G91" s="45"/>
      <c r="H91" s="45"/>
      <c r="I91" s="45"/>
      <c r="J91" s="46"/>
      <c r="K91" s="46"/>
      <c r="L91" s="47"/>
    </row>
    <row r="92" spans="2:12" s="98" customFormat="1" ht="11.65" x14ac:dyDescent="0.35">
      <c r="B92" s="32"/>
      <c r="C92" s="43"/>
      <c r="D92" s="44"/>
      <c r="E92" s="43"/>
      <c r="F92" s="43"/>
      <c r="G92" s="45"/>
      <c r="H92" s="45"/>
      <c r="I92" s="45"/>
      <c r="J92" s="46"/>
      <c r="K92" s="46"/>
      <c r="L92" s="47"/>
    </row>
    <row r="93" spans="2:12" s="98" customFormat="1" ht="11.65" x14ac:dyDescent="0.35">
      <c r="B93" s="32"/>
      <c r="C93" s="43"/>
      <c r="D93" s="44"/>
      <c r="E93" s="43"/>
      <c r="F93" s="43"/>
      <c r="G93" s="45"/>
      <c r="H93" s="45"/>
      <c r="I93" s="45"/>
      <c r="J93" s="46"/>
      <c r="K93" s="46"/>
      <c r="L93" s="47"/>
    </row>
    <row r="94" spans="2:12" s="98" customFormat="1" ht="11.65" x14ac:dyDescent="0.35">
      <c r="B94" s="32"/>
      <c r="C94" s="43"/>
      <c r="D94" s="44"/>
      <c r="E94" s="43"/>
      <c r="F94" s="43"/>
      <c r="G94" s="45"/>
      <c r="H94" s="45"/>
      <c r="I94" s="45"/>
      <c r="J94" s="46"/>
      <c r="K94" s="46"/>
      <c r="L94" s="47"/>
    </row>
    <row r="95" spans="2:12" s="98" customFormat="1" ht="11.65" x14ac:dyDescent="0.35">
      <c r="B95" s="32"/>
      <c r="C95" s="43"/>
      <c r="D95" s="44"/>
      <c r="E95" s="43"/>
      <c r="F95" s="43"/>
      <c r="G95" s="45"/>
      <c r="H95" s="45"/>
      <c r="I95" s="45"/>
      <c r="J95" s="46"/>
      <c r="K95" s="46"/>
      <c r="L95" s="47"/>
    </row>
    <row r="96" spans="2:12" s="98" customFormat="1" ht="11.65" x14ac:dyDescent="0.35">
      <c r="B96" s="32"/>
      <c r="C96" s="43"/>
      <c r="D96" s="44"/>
      <c r="E96" s="43"/>
      <c r="F96" s="43"/>
      <c r="G96" s="45"/>
      <c r="H96" s="45"/>
      <c r="I96" s="45"/>
      <c r="J96" s="46"/>
      <c r="K96" s="46"/>
      <c r="L96" s="47"/>
    </row>
    <row r="97" spans="2:12" s="98" customFormat="1" ht="11.65" x14ac:dyDescent="0.35">
      <c r="B97" s="32"/>
      <c r="C97" s="43"/>
      <c r="D97" s="44"/>
      <c r="E97" s="43"/>
      <c r="F97" s="43"/>
      <c r="G97" s="45"/>
      <c r="H97" s="45"/>
      <c r="I97" s="45"/>
      <c r="J97" s="46"/>
      <c r="K97" s="46"/>
      <c r="L97" s="47"/>
    </row>
    <row r="98" spans="2:12" s="98" customFormat="1" ht="11.65" x14ac:dyDescent="0.35">
      <c r="B98" s="32"/>
      <c r="C98" s="43"/>
      <c r="D98" s="44"/>
      <c r="E98" s="43"/>
      <c r="F98" s="43"/>
      <c r="G98" s="45"/>
      <c r="H98" s="45"/>
      <c r="I98" s="45"/>
      <c r="J98" s="46"/>
      <c r="K98" s="46"/>
      <c r="L98" s="47"/>
    </row>
    <row r="99" spans="2:12" s="98" customFormat="1" ht="11.65" x14ac:dyDescent="0.35">
      <c r="B99" s="32"/>
      <c r="C99" s="43"/>
      <c r="D99" s="44"/>
      <c r="E99" s="43"/>
      <c r="F99" s="43"/>
      <c r="G99" s="45"/>
      <c r="H99" s="45"/>
      <c r="I99" s="45"/>
      <c r="J99" s="48"/>
      <c r="K99" s="48"/>
      <c r="L99" s="47"/>
    </row>
    <row r="100" spans="2:12" s="98" customFormat="1" ht="11.65" x14ac:dyDescent="0.35">
      <c r="B100" s="32"/>
      <c r="C100" s="43"/>
      <c r="D100" s="44"/>
      <c r="E100" s="43"/>
      <c r="F100" s="43"/>
      <c r="G100" s="45"/>
      <c r="H100" s="45"/>
      <c r="I100" s="45"/>
      <c r="J100" s="48"/>
      <c r="K100" s="48"/>
      <c r="L100" s="47"/>
    </row>
    <row r="101" spans="2:12" s="98" customFormat="1" ht="11.65" x14ac:dyDescent="0.35">
      <c r="B101" s="32"/>
      <c r="C101" s="43"/>
      <c r="D101" s="44"/>
      <c r="E101" s="43"/>
      <c r="F101" s="43"/>
      <c r="G101" s="45"/>
      <c r="H101" s="45"/>
      <c r="I101" s="45"/>
      <c r="J101" s="48"/>
      <c r="K101" s="48"/>
      <c r="L101" s="47"/>
    </row>
    <row r="102" spans="2:12" s="98" customFormat="1" ht="11.65" x14ac:dyDescent="0.35">
      <c r="B102" s="32"/>
      <c r="C102" s="43"/>
      <c r="D102" s="44"/>
      <c r="E102" s="43"/>
      <c r="F102" s="43"/>
      <c r="G102" s="45"/>
      <c r="H102" s="45"/>
      <c r="I102" s="45"/>
      <c r="J102" s="48"/>
      <c r="K102" s="48"/>
      <c r="L102" s="47"/>
    </row>
    <row r="103" spans="2:12" s="98" customFormat="1" ht="11.65" x14ac:dyDescent="0.35">
      <c r="B103" s="32"/>
      <c r="C103" s="43"/>
      <c r="D103" s="44"/>
      <c r="E103" s="43"/>
      <c r="F103" s="43"/>
      <c r="G103" s="45"/>
      <c r="H103" s="45"/>
      <c r="I103" s="45"/>
      <c r="J103" s="48"/>
      <c r="K103" s="48"/>
      <c r="L103" s="47"/>
    </row>
    <row r="104" spans="2:12" s="98" customFormat="1" ht="11.65" x14ac:dyDescent="0.35">
      <c r="B104" s="32"/>
      <c r="C104" s="43"/>
      <c r="D104" s="44"/>
      <c r="E104" s="43"/>
      <c r="F104" s="43"/>
      <c r="G104" s="45"/>
      <c r="H104" s="45"/>
      <c r="I104" s="45"/>
      <c r="J104" s="48"/>
      <c r="K104" s="48"/>
      <c r="L104" s="47"/>
    </row>
    <row r="105" spans="2:12" s="98" customFormat="1" ht="11.65" x14ac:dyDescent="0.35">
      <c r="B105" s="32"/>
      <c r="C105" s="43"/>
      <c r="D105" s="44"/>
      <c r="E105" s="43"/>
      <c r="F105" s="43"/>
      <c r="G105" s="45"/>
      <c r="H105" s="45"/>
      <c r="I105" s="45"/>
      <c r="J105" s="48"/>
      <c r="K105" s="48"/>
      <c r="L105" s="47"/>
    </row>
    <row r="106" spans="2:12" s="98" customFormat="1" ht="11.65" x14ac:dyDescent="0.35">
      <c r="B106" s="32"/>
      <c r="C106" s="43"/>
      <c r="D106" s="44"/>
      <c r="E106" s="43"/>
      <c r="F106" s="43"/>
      <c r="G106" s="45"/>
      <c r="H106" s="45"/>
      <c r="I106" s="45"/>
      <c r="J106" s="48"/>
      <c r="K106" s="48"/>
      <c r="L106" s="47"/>
    </row>
    <row r="107" spans="2:12" s="98" customFormat="1" ht="11.65" x14ac:dyDescent="0.35">
      <c r="B107" s="32"/>
      <c r="C107" s="43"/>
      <c r="D107" s="44"/>
      <c r="E107" s="43"/>
      <c r="F107" s="43"/>
      <c r="G107" s="45"/>
      <c r="H107" s="45"/>
      <c r="I107" s="45"/>
      <c r="J107" s="48"/>
      <c r="K107" s="48"/>
      <c r="L107" s="47"/>
    </row>
    <row r="108" spans="2:12" s="98" customFormat="1" ht="11.65" x14ac:dyDescent="0.35">
      <c r="B108" s="32"/>
      <c r="C108" s="43"/>
      <c r="D108" s="44"/>
      <c r="E108" s="43"/>
      <c r="F108" s="43"/>
      <c r="G108" s="45"/>
      <c r="H108" s="45"/>
      <c r="I108" s="45"/>
      <c r="J108" s="48"/>
      <c r="K108" s="48"/>
      <c r="L108" s="47"/>
    </row>
    <row r="109" spans="2:12" s="98" customFormat="1" ht="11.65" x14ac:dyDescent="0.35">
      <c r="B109" s="32"/>
      <c r="C109" s="43"/>
      <c r="D109" s="44"/>
      <c r="E109" s="43"/>
      <c r="F109" s="43"/>
      <c r="G109" s="45"/>
      <c r="H109" s="45"/>
      <c r="I109" s="45"/>
      <c r="J109" s="48"/>
      <c r="K109" s="48"/>
      <c r="L109" s="47"/>
    </row>
    <row r="110" spans="2:12" s="98" customFormat="1" ht="11.65" x14ac:dyDescent="0.35">
      <c r="B110" s="32"/>
      <c r="C110" s="43"/>
      <c r="D110" s="44"/>
      <c r="E110" s="43"/>
      <c r="F110" s="43"/>
      <c r="G110" s="45"/>
      <c r="H110" s="45"/>
      <c r="I110" s="45"/>
      <c r="J110" s="48"/>
      <c r="K110" s="48"/>
      <c r="L110" s="47"/>
    </row>
    <row r="111" spans="2:12" s="98" customFormat="1" ht="11.65" x14ac:dyDescent="0.35">
      <c r="B111" s="32"/>
      <c r="C111" s="43"/>
      <c r="D111" s="44"/>
      <c r="E111" s="43"/>
      <c r="F111" s="43"/>
      <c r="G111" s="45"/>
      <c r="H111" s="45"/>
      <c r="I111" s="45"/>
      <c r="J111" s="48"/>
      <c r="K111" s="48"/>
      <c r="L111" s="47"/>
    </row>
    <row r="112" spans="2:12" s="98" customFormat="1" ht="11.65" x14ac:dyDescent="0.35">
      <c r="B112" s="32"/>
      <c r="C112" s="43"/>
      <c r="D112" s="44"/>
      <c r="E112" s="43"/>
      <c r="F112" s="43"/>
      <c r="G112" s="45"/>
      <c r="H112" s="45"/>
      <c r="I112" s="45"/>
      <c r="J112" s="48"/>
      <c r="K112" s="48"/>
      <c r="L112" s="47"/>
    </row>
    <row r="113" spans="2:12" s="98" customFormat="1" ht="11.65" x14ac:dyDescent="0.35">
      <c r="B113" s="32"/>
      <c r="C113" s="43"/>
      <c r="D113" s="44"/>
      <c r="E113" s="43"/>
      <c r="F113" s="43"/>
      <c r="G113" s="45"/>
      <c r="H113" s="45"/>
      <c r="I113" s="45"/>
      <c r="J113" s="48"/>
      <c r="K113" s="48"/>
      <c r="L113" s="47"/>
    </row>
    <row r="114" spans="2:12" s="98" customFormat="1" ht="11.65" x14ac:dyDescent="0.35">
      <c r="B114" s="32"/>
      <c r="C114" s="43"/>
      <c r="D114" s="44"/>
      <c r="E114" s="43"/>
      <c r="F114" s="43"/>
      <c r="G114" s="45"/>
      <c r="H114" s="45"/>
      <c r="I114" s="45"/>
      <c r="J114" s="48"/>
      <c r="K114" s="48"/>
      <c r="L114" s="47"/>
    </row>
    <row r="115" spans="2:12" s="98" customFormat="1" ht="11.65" x14ac:dyDescent="0.35">
      <c r="B115" s="32"/>
      <c r="C115" s="43"/>
      <c r="D115" s="44"/>
      <c r="E115" s="43"/>
      <c r="F115" s="43"/>
      <c r="G115" s="45"/>
      <c r="H115" s="45"/>
      <c r="I115" s="45"/>
      <c r="J115" s="48"/>
      <c r="K115" s="48"/>
      <c r="L115" s="47"/>
    </row>
    <row r="116" spans="2:12" s="98" customFormat="1" ht="11.65" x14ac:dyDescent="0.35">
      <c r="B116" s="32"/>
      <c r="C116" s="43"/>
      <c r="D116" s="44"/>
      <c r="E116" s="43"/>
      <c r="F116" s="43"/>
      <c r="G116" s="45"/>
      <c r="H116" s="45"/>
      <c r="I116" s="45"/>
      <c r="J116" s="48"/>
      <c r="K116" s="48"/>
      <c r="L116" s="47"/>
    </row>
    <row r="117" spans="2:12" s="1" customFormat="1" ht="13.9" collapsed="1" thickBot="1" x14ac:dyDescent="0.4">
      <c r="B117" s="63" t="s">
        <v>43</v>
      </c>
      <c r="C117" s="49">
        <v>0.89504948198118373</v>
      </c>
      <c r="D117" s="49">
        <v>0</v>
      </c>
      <c r="E117" s="49">
        <v>0</v>
      </c>
      <c r="F117" s="49">
        <v>0.89504948198118373</v>
      </c>
      <c r="G117" s="50">
        <v>0</v>
      </c>
      <c r="H117" s="50">
        <v>0</v>
      </c>
      <c r="I117" s="50">
        <v>0</v>
      </c>
      <c r="J117" s="51">
        <v>0</v>
      </c>
      <c r="K117" s="51">
        <v>0</v>
      </c>
      <c r="L117" s="49">
        <v>0.89504948198118373</v>
      </c>
    </row>
    <row r="118" spans="2:12" s="1" customFormat="1" x14ac:dyDescent="0.35">
      <c r="B118" s="3" t="s">
        <v>57</v>
      </c>
      <c r="C118" s="5"/>
      <c r="D118" s="5"/>
      <c r="F118" s="5"/>
      <c r="G118" s="6"/>
      <c r="H118" s="6"/>
      <c r="I118" s="7"/>
      <c r="J118" s="7"/>
      <c r="K118" s="7"/>
    </row>
    <row r="119" spans="2:12" s="1" customFormat="1" x14ac:dyDescent="0.35">
      <c r="B119" s="8" t="s">
        <v>58</v>
      </c>
    </row>
    <row r="120" spans="2:12" s="1" customFormat="1" x14ac:dyDescent="0.35">
      <c r="B120" s="8" t="s">
        <v>59</v>
      </c>
    </row>
    <row r="121" spans="2:12" s="1" customFormat="1" x14ac:dyDescent="0.35"/>
    <row r="122" spans="2:12" s="1" customFormat="1" x14ac:dyDescent="0.35"/>
    <row r="123" spans="2:12" s="1" customFormat="1" ht="17.25" thickBot="1" x14ac:dyDescent="0.55000000000000004">
      <c r="B123" s="137" t="s">
        <v>60</v>
      </c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</row>
    <row r="124" spans="2:12" s="1" customFormat="1" x14ac:dyDescent="0.35"/>
    <row r="125" spans="2:12" s="1" customFormat="1" ht="26.25" customHeight="1" x14ac:dyDescent="0.35">
      <c r="B125" s="52"/>
      <c r="C125" s="26"/>
      <c r="D125" s="255" t="s">
        <v>61</v>
      </c>
      <c r="E125" s="256"/>
      <c r="F125" s="256"/>
      <c r="G125" s="257"/>
      <c r="H125" s="261" t="s">
        <v>62</v>
      </c>
      <c r="I125" s="256"/>
      <c r="J125" s="256"/>
      <c r="K125" s="257"/>
    </row>
    <row r="126" spans="2:12" s="1" customFormat="1" ht="23.25" x14ac:dyDescent="0.35">
      <c r="B126" s="29" t="s">
        <v>36</v>
      </c>
      <c r="C126" s="30" t="s">
        <v>63</v>
      </c>
      <c r="D126" s="30" t="s">
        <v>64</v>
      </c>
      <c r="E126" s="30" t="s">
        <v>65</v>
      </c>
      <c r="F126" s="30" t="s">
        <v>66</v>
      </c>
      <c r="G126" s="30" t="s">
        <v>18</v>
      </c>
      <c r="H126" s="53" t="s">
        <v>67</v>
      </c>
      <c r="I126" s="53" t="s">
        <v>65</v>
      </c>
      <c r="J126" s="53" t="s">
        <v>66</v>
      </c>
      <c r="K126" s="54" t="s">
        <v>18</v>
      </c>
    </row>
    <row r="127" spans="2:12" s="98" customFormat="1" ht="11.65" x14ac:dyDescent="0.35">
      <c r="B127" s="32"/>
      <c r="C127" s="55"/>
      <c r="D127" s="56"/>
      <c r="E127" s="43"/>
      <c r="F127" s="57"/>
      <c r="G127" s="58"/>
      <c r="H127" s="59"/>
      <c r="I127" s="59"/>
      <c r="J127" s="59"/>
      <c r="K127" s="60"/>
    </row>
    <row r="128" spans="2:12" s="98" customFormat="1" ht="11.65" x14ac:dyDescent="0.35">
      <c r="B128" s="32"/>
      <c r="C128" s="55"/>
      <c r="D128" s="56"/>
      <c r="E128" s="43"/>
      <c r="F128" s="57"/>
      <c r="G128" s="58"/>
      <c r="H128" s="61"/>
      <c r="I128" s="59"/>
      <c r="J128" s="61"/>
      <c r="K128" s="62"/>
    </row>
    <row r="129" spans="2:11" s="98" customFormat="1" ht="11.65" x14ac:dyDescent="0.35">
      <c r="B129" s="32"/>
      <c r="C129" s="55"/>
      <c r="D129" s="56"/>
      <c r="E129" s="43"/>
      <c r="F129" s="57"/>
      <c r="G129" s="58"/>
      <c r="H129" s="61"/>
      <c r="I129" s="59"/>
      <c r="J129" s="61"/>
      <c r="K129" s="62"/>
    </row>
    <row r="130" spans="2:11" s="98" customFormat="1" ht="11.65" x14ac:dyDescent="0.35">
      <c r="B130" s="32"/>
      <c r="C130" s="55"/>
      <c r="D130" s="56"/>
      <c r="E130" s="43"/>
      <c r="F130" s="57"/>
      <c r="G130" s="58"/>
      <c r="H130" s="61"/>
      <c r="I130" s="59"/>
      <c r="J130" s="61"/>
      <c r="K130" s="62"/>
    </row>
    <row r="131" spans="2:11" s="98" customFormat="1" ht="11.65" x14ac:dyDescent="0.35">
      <c r="B131" s="32"/>
      <c r="C131" s="55"/>
      <c r="D131" s="56"/>
      <c r="E131" s="43"/>
      <c r="F131" s="57"/>
      <c r="G131" s="58"/>
      <c r="H131" s="61"/>
      <c r="I131" s="59"/>
      <c r="J131" s="61"/>
      <c r="K131" s="62"/>
    </row>
    <row r="132" spans="2:11" s="98" customFormat="1" ht="11.65" x14ac:dyDescent="0.35">
      <c r="B132" s="32"/>
      <c r="C132" s="55"/>
      <c r="D132" s="56"/>
      <c r="E132" s="43"/>
      <c r="F132" s="57"/>
      <c r="G132" s="58"/>
      <c r="H132" s="61"/>
      <c r="I132" s="59"/>
      <c r="J132" s="61"/>
      <c r="K132" s="62"/>
    </row>
    <row r="133" spans="2:11" s="98" customFormat="1" ht="11.65" x14ac:dyDescent="0.35">
      <c r="B133" s="32"/>
      <c r="C133" s="55"/>
      <c r="D133" s="56"/>
      <c r="E133" s="43"/>
      <c r="F133" s="57"/>
      <c r="G133" s="58"/>
      <c r="H133" s="61"/>
      <c r="I133" s="59"/>
      <c r="J133" s="61"/>
      <c r="K133" s="62"/>
    </row>
    <row r="134" spans="2:11" s="98" customFormat="1" ht="11.65" x14ac:dyDescent="0.35">
      <c r="B134" s="32"/>
      <c r="C134" s="55"/>
      <c r="D134" s="56"/>
      <c r="E134" s="43"/>
      <c r="F134" s="57"/>
      <c r="G134" s="58"/>
      <c r="H134" s="61"/>
      <c r="I134" s="59"/>
      <c r="J134" s="61"/>
      <c r="K134" s="62"/>
    </row>
    <row r="135" spans="2:11" s="98" customFormat="1" ht="11.65" x14ac:dyDescent="0.35">
      <c r="B135" s="32"/>
      <c r="C135" s="55"/>
      <c r="D135" s="56"/>
      <c r="E135" s="43"/>
      <c r="F135" s="57"/>
      <c r="G135" s="58"/>
      <c r="H135" s="61"/>
      <c r="I135" s="59"/>
      <c r="J135" s="61"/>
      <c r="K135" s="62"/>
    </row>
    <row r="136" spans="2:11" s="98" customFormat="1" ht="11.65" x14ac:dyDescent="0.35">
      <c r="B136" s="32"/>
      <c r="C136" s="55"/>
      <c r="D136" s="56"/>
      <c r="E136" s="43"/>
      <c r="F136" s="57"/>
      <c r="G136" s="58"/>
      <c r="H136" s="61"/>
      <c r="I136" s="59"/>
      <c r="J136" s="61"/>
      <c r="K136" s="62"/>
    </row>
    <row r="137" spans="2:11" s="98" customFormat="1" ht="11.65" x14ac:dyDescent="0.35">
      <c r="B137" s="32"/>
      <c r="C137" s="55"/>
      <c r="D137" s="56"/>
      <c r="E137" s="43"/>
      <c r="F137" s="57"/>
      <c r="G137" s="58"/>
      <c r="H137" s="61"/>
      <c r="I137" s="59"/>
      <c r="J137" s="61"/>
      <c r="K137" s="62"/>
    </row>
    <row r="138" spans="2:11" s="98" customFormat="1" ht="11.65" x14ac:dyDescent="0.35">
      <c r="B138" s="32"/>
      <c r="C138" s="55"/>
      <c r="D138" s="56"/>
      <c r="E138" s="43"/>
      <c r="F138" s="57"/>
      <c r="G138" s="58"/>
      <c r="H138" s="61"/>
      <c r="I138" s="59"/>
      <c r="J138" s="61"/>
      <c r="K138" s="62"/>
    </row>
    <row r="139" spans="2:11" s="98" customFormat="1" ht="11.65" x14ac:dyDescent="0.35">
      <c r="B139" s="32"/>
      <c r="C139" s="55"/>
      <c r="D139" s="56"/>
      <c r="E139" s="43"/>
      <c r="F139" s="57"/>
      <c r="G139" s="58"/>
      <c r="H139" s="61"/>
      <c r="I139" s="59"/>
      <c r="J139" s="61"/>
      <c r="K139" s="62"/>
    </row>
    <row r="140" spans="2:11" s="98" customFormat="1" ht="11.65" x14ac:dyDescent="0.35">
      <c r="B140" s="32"/>
      <c r="C140" s="55"/>
      <c r="D140" s="56"/>
      <c r="E140" s="43"/>
      <c r="F140" s="57"/>
      <c r="G140" s="58"/>
      <c r="H140" s="61"/>
      <c r="I140" s="59"/>
      <c r="J140" s="61"/>
      <c r="K140" s="62"/>
    </row>
    <row r="141" spans="2:11" s="98" customFormat="1" ht="11.65" x14ac:dyDescent="0.35">
      <c r="B141" s="32"/>
      <c r="C141" s="55"/>
      <c r="D141" s="56"/>
      <c r="E141" s="43"/>
      <c r="F141" s="57"/>
      <c r="G141" s="58"/>
      <c r="H141" s="61"/>
      <c r="I141" s="59"/>
      <c r="J141" s="61"/>
      <c r="K141" s="62"/>
    </row>
    <row r="142" spans="2:11" s="98" customFormat="1" ht="11.65" x14ac:dyDescent="0.35">
      <c r="B142" s="32"/>
      <c r="C142" s="55"/>
      <c r="D142" s="56"/>
      <c r="E142" s="43"/>
      <c r="F142" s="57"/>
      <c r="G142" s="58"/>
      <c r="H142" s="61"/>
      <c r="I142" s="59"/>
      <c r="J142" s="61"/>
      <c r="K142" s="62"/>
    </row>
    <row r="143" spans="2:11" s="98" customFormat="1" ht="11.65" x14ac:dyDescent="0.35">
      <c r="B143" s="32"/>
      <c r="C143" s="55"/>
      <c r="D143" s="56"/>
      <c r="E143" s="43"/>
      <c r="F143" s="57"/>
      <c r="G143" s="58"/>
      <c r="H143" s="61"/>
      <c r="I143" s="59"/>
      <c r="J143" s="61"/>
      <c r="K143" s="62"/>
    </row>
    <row r="144" spans="2:11" s="98" customFormat="1" ht="11.65" x14ac:dyDescent="0.35">
      <c r="B144" s="32"/>
      <c r="C144" s="55"/>
      <c r="D144" s="56"/>
      <c r="E144" s="43"/>
      <c r="F144" s="57"/>
      <c r="G144" s="58"/>
      <c r="H144" s="61"/>
      <c r="I144" s="59"/>
      <c r="J144" s="61"/>
      <c r="K144" s="62"/>
    </row>
    <row r="145" spans="2:11" s="98" customFormat="1" ht="11.65" x14ac:dyDescent="0.35">
      <c r="B145" s="32"/>
      <c r="C145" s="55"/>
      <c r="D145" s="56"/>
      <c r="E145" s="43"/>
      <c r="F145" s="57"/>
      <c r="G145" s="58"/>
      <c r="H145" s="61"/>
      <c r="I145" s="59"/>
      <c r="J145" s="61"/>
      <c r="K145" s="62"/>
    </row>
    <row r="146" spans="2:11" s="98" customFormat="1" ht="11.65" x14ac:dyDescent="0.35">
      <c r="B146" s="32"/>
      <c r="C146" s="55"/>
      <c r="D146" s="56"/>
      <c r="E146" s="43"/>
      <c r="F146" s="57"/>
      <c r="G146" s="58"/>
      <c r="H146" s="61"/>
      <c r="I146" s="59"/>
      <c r="J146" s="61"/>
      <c r="K146" s="62"/>
    </row>
    <row r="147" spans="2:11" s="98" customFormat="1" ht="11.65" x14ac:dyDescent="0.35">
      <c r="B147" s="32"/>
      <c r="C147" s="55"/>
      <c r="D147" s="56"/>
      <c r="E147" s="43"/>
      <c r="F147" s="57"/>
      <c r="G147" s="58"/>
      <c r="H147" s="61"/>
      <c r="I147" s="59"/>
      <c r="J147" s="61"/>
      <c r="K147" s="62"/>
    </row>
    <row r="148" spans="2:11" s="98" customFormat="1" ht="11.65" x14ac:dyDescent="0.35">
      <c r="B148" s="32"/>
      <c r="C148" s="55"/>
      <c r="D148" s="56"/>
      <c r="E148" s="43"/>
      <c r="F148" s="57"/>
      <c r="G148" s="58"/>
      <c r="H148" s="61"/>
      <c r="I148" s="59"/>
      <c r="J148" s="61"/>
      <c r="K148" s="62"/>
    </row>
    <row r="149" spans="2:11" s="98" customFormat="1" ht="11.65" x14ac:dyDescent="0.35">
      <c r="B149" s="32"/>
      <c r="C149" s="55"/>
      <c r="D149" s="56"/>
      <c r="E149" s="43"/>
      <c r="F149" s="57"/>
      <c r="G149" s="58"/>
      <c r="H149" s="61"/>
      <c r="I149" s="59"/>
      <c r="J149" s="61"/>
      <c r="K149" s="62"/>
    </row>
    <row r="150" spans="2:11" s="98" customFormat="1" ht="11.65" x14ac:dyDescent="0.35">
      <c r="B150" s="32"/>
      <c r="C150" s="55"/>
      <c r="D150" s="56"/>
      <c r="E150" s="43"/>
      <c r="F150" s="57"/>
      <c r="G150" s="58"/>
      <c r="H150" s="61"/>
      <c r="I150" s="59"/>
      <c r="J150" s="61"/>
      <c r="K150" s="62"/>
    </row>
    <row r="151" spans="2:11" s="98" customFormat="1" ht="11.65" x14ac:dyDescent="0.35">
      <c r="B151" s="32"/>
      <c r="C151" s="55"/>
      <c r="D151" s="56"/>
      <c r="E151" s="43"/>
      <c r="F151" s="57"/>
      <c r="G151" s="58"/>
      <c r="H151" s="61"/>
      <c r="I151" s="59"/>
      <c r="J151" s="61"/>
      <c r="K151" s="62"/>
    </row>
    <row r="152" spans="2:11" s="98" customFormat="1" ht="11.65" x14ac:dyDescent="0.35">
      <c r="B152" s="32"/>
      <c r="C152" s="55"/>
      <c r="D152" s="56"/>
      <c r="E152" s="43"/>
      <c r="F152" s="57"/>
      <c r="G152" s="58"/>
      <c r="H152" s="61"/>
      <c r="I152" s="59"/>
      <c r="J152" s="61"/>
      <c r="K152" s="62"/>
    </row>
    <row r="153" spans="2:11" s="98" customFormat="1" ht="11.65" x14ac:dyDescent="0.35">
      <c r="B153" s="32"/>
      <c r="C153" s="55"/>
      <c r="D153" s="56"/>
      <c r="E153" s="43"/>
      <c r="F153" s="57"/>
      <c r="G153" s="58"/>
      <c r="H153" s="61"/>
      <c r="I153" s="59"/>
      <c r="J153" s="61"/>
      <c r="K153" s="62"/>
    </row>
    <row r="154" spans="2:11" s="98" customFormat="1" ht="11.65" x14ac:dyDescent="0.35">
      <c r="B154" s="32"/>
      <c r="C154" s="55"/>
      <c r="D154" s="56"/>
      <c r="E154" s="43"/>
      <c r="F154" s="57"/>
      <c r="G154" s="58"/>
      <c r="H154" s="61"/>
      <c r="I154" s="59"/>
      <c r="J154" s="61"/>
      <c r="K154" s="62"/>
    </row>
    <row r="155" spans="2:11" s="98" customFormat="1" ht="11.65" x14ac:dyDescent="0.35">
      <c r="B155" s="32"/>
      <c r="C155" s="55"/>
      <c r="D155" s="56"/>
      <c r="E155" s="43"/>
      <c r="F155" s="57"/>
      <c r="G155" s="58"/>
      <c r="H155" s="61"/>
      <c r="I155" s="59"/>
      <c r="J155" s="61"/>
      <c r="K155" s="62"/>
    </row>
    <row r="156" spans="2:11" s="98" customFormat="1" ht="11.65" x14ac:dyDescent="0.35">
      <c r="B156" s="32"/>
      <c r="C156" s="55"/>
      <c r="D156" s="56"/>
      <c r="E156" s="43"/>
      <c r="F156" s="57"/>
      <c r="G156" s="58"/>
      <c r="H156" s="61"/>
      <c r="I156" s="59"/>
      <c r="J156" s="61"/>
      <c r="K156" s="62"/>
    </row>
    <row r="157" spans="2:11" s="98" customFormat="1" ht="11.65" x14ac:dyDescent="0.35">
      <c r="B157" s="32"/>
      <c r="C157" s="55"/>
      <c r="D157" s="56"/>
      <c r="E157" s="43"/>
      <c r="F157" s="57"/>
      <c r="G157" s="58"/>
      <c r="H157" s="61"/>
      <c r="I157" s="59"/>
      <c r="J157" s="61"/>
      <c r="K157" s="62"/>
    </row>
    <row r="158" spans="2:11" s="98" customFormat="1" ht="11.65" x14ac:dyDescent="0.35">
      <c r="B158" s="32"/>
      <c r="C158" s="55"/>
      <c r="D158" s="56"/>
      <c r="E158" s="43"/>
      <c r="F158" s="57"/>
      <c r="G158" s="58"/>
      <c r="H158" s="61"/>
      <c r="I158" s="59"/>
      <c r="J158" s="61"/>
      <c r="K158" s="62"/>
    </row>
    <row r="159" spans="2:11" s="98" customFormat="1" ht="11.65" x14ac:dyDescent="0.35">
      <c r="B159" s="32"/>
      <c r="C159" s="55"/>
      <c r="D159" s="56"/>
      <c r="E159" s="43"/>
      <c r="F159" s="57"/>
      <c r="G159" s="58"/>
      <c r="H159" s="61"/>
      <c r="I159" s="59"/>
      <c r="J159" s="61"/>
      <c r="K159" s="62"/>
    </row>
    <row r="160" spans="2:11" s="98" customFormat="1" ht="11.65" x14ac:dyDescent="0.35">
      <c r="B160" s="32"/>
      <c r="C160" s="55"/>
      <c r="D160" s="56"/>
      <c r="E160" s="43"/>
      <c r="F160" s="57"/>
      <c r="G160" s="58"/>
      <c r="H160" s="61"/>
      <c r="I160" s="59"/>
      <c r="J160" s="61"/>
      <c r="K160" s="62"/>
    </row>
    <row r="161" spans="2:11" s="98" customFormat="1" ht="11.65" x14ac:dyDescent="0.35">
      <c r="B161" s="32"/>
      <c r="C161" s="55"/>
      <c r="D161" s="56"/>
      <c r="E161" s="43"/>
      <c r="F161" s="57"/>
      <c r="G161" s="58"/>
      <c r="H161" s="61"/>
      <c r="I161" s="59"/>
      <c r="J161" s="61"/>
      <c r="K161" s="62"/>
    </row>
    <row r="162" spans="2:11" s="98" customFormat="1" ht="11.65" x14ac:dyDescent="0.35">
      <c r="B162" s="32"/>
      <c r="C162" s="55"/>
      <c r="D162" s="56"/>
      <c r="E162" s="43"/>
      <c r="F162" s="57"/>
      <c r="G162" s="58"/>
      <c r="H162" s="61"/>
      <c r="I162" s="59"/>
      <c r="J162" s="61"/>
      <c r="K162" s="62"/>
    </row>
    <row r="163" spans="2:11" s="98" customFormat="1" ht="11.65" x14ac:dyDescent="0.35">
      <c r="B163" s="32"/>
      <c r="C163" s="55"/>
      <c r="D163" s="56"/>
      <c r="E163" s="43"/>
      <c r="F163" s="57"/>
      <c r="G163" s="58"/>
      <c r="H163" s="61"/>
      <c r="I163" s="59"/>
      <c r="J163" s="61"/>
      <c r="K163" s="62"/>
    </row>
    <row r="164" spans="2:11" s="98" customFormat="1" ht="11.65" x14ac:dyDescent="0.35">
      <c r="B164" s="32"/>
      <c r="C164" s="55"/>
      <c r="D164" s="56"/>
      <c r="E164" s="43"/>
      <c r="F164" s="57"/>
      <c r="G164" s="58"/>
      <c r="H164" s="61"/>
      <c r="I164" s="59"/>
      <c r="J164" s="61"/>
      <c r="K164" s="62"/>
    </row>
    <row r="165" spans="2:11" s="98" customFormat="1" ht="11.65" x14ac:dyDescent="0.35">
      <c r="B165" s="32"/>
      <c r="C165" s="55"/>
      <c r="D165" s="56"/>
      <c r="E165" s="43"/>
      <c r="F165" s="57"/>
      <c r="G165" s="58"/>
      <c r="H165" s="61"/>
      <c r="I165" s="59"/>
      <c r="J165" s="61"/>
      <c r="K165" s="62"/>
    </row>
    <row r="166" spans="2:11" s="98" customFormat="1" ht="11.65" x14ac:dyDescent="0.35">
      <c r="B166" s="32"/>
      <c r="C166" s="55"/>
      <c r="D166" s="56"/>
      <c r="E166" s="43"/>
      <c r="F166" s="57"/>
      <c r="G166" s="58"/>
      <c r="H166" s="61"/>
      <c r="I166" s="59"/>
      <c r="J166" s="61"/>
      <c r="K166" s="62"/>
    </row>
    <row r="167" spans="2:11" s="98" customFormat="1" ht="11.65" x14ac:dyDescent="0.35">
      <c r="B167" s="32"/>
      <c r="C167" s="55"/>
      <c r="D167" s="56"/>
      <c r="E167" s="43"/>
      <c r="F167" s="57"/>
      <c r="G167" s="58"/>
      <c r="H167" s="61"/>
      <c r="I167" s="59"/>
      <c r="J167" s="61"/>
      <c r="K167" s="62"/>
    </row>
    <row r="168" spans="2:11" s="98" customFormat="1" ht="11.65" x14ac:dyDescent="0.35">
      <c r="B168" s="32"/>
      <c r="C168" s="55"/>
      <c r="D168" s="56"/>
      <c r="E168" s="43"/>
      <c r="F168" s="57"/>
      <c r="G168" s="58"/>
      <c r="H168" s="61"/>
      <c r="I168" s="59"/>
      <c r="J168" s="61"/>
      <c r="K168" s="62"/>
    </row>
    <row r="169" spans="2:11" s="98" customFormat="1" ht="11.65" x14ac:dyDescent="0.35">
      <c r="B169" s="32"/>
      <c r="C169" s="55"/>
      <c r="D169" s="56"/>
      <c r="E169" s="43"/>
      <c r="F169" s="57"/>
      <c r="G169" s="58"/>
      <c r="H169" s="61"/>
      <c r="I169" s="59"/>
      <c r="J169" s="61"/>
      <c r="K169" s="62"/>
    </row>
    <row r="170" spans="2:11" s="98" customFormat="1" ht="11.65" x14ac:dyDescent="0.35">
      <c r="B170" s="32"/>
      <c r="C170" s="55"/>
      <c r="D170" s="56"/>
      <c r="E170" s="43"/>
      <c r="F170" s="57"/>
      <c r="G170" s="58"/>
      <c r="H170" s="61"/>
      <c r="I170" s="59"/>
      <c r="J170" s="61"/>
      <c r="K170" s="62"/>
    </row>
    <row r="171" spans="2:11" s="98" customFormat="1" ht="11.65" x14ac:dyDescent="0.35">
      <c r="B171" s="32"/>
      <c r="C171" s="55"/>
      <c r="D171" s="56"/>
      <c r="E171" s="43"/>
      <c r="F171" s="57"/>
      <c r="G171" s="58"/>
      <c r="H171" s="61"/>
      <c r="I171" s="59"/>
      <c r="J171" s="61"/>
      <c r="K171" s="62"/>
    </row>
    <row r="172" spans="2:11" s="98" customFormat="1" ht="11.65" x14ac:dyDescent="0.35">
      <c r="B172" s="32"/>
      <c r="C172" s="55"/>
      <c r="D172" s="56"/>
      <c r="E172" s="43"/>
      <c r="F172" s="57"/>
      <c r="G172" s="58"/>
      <c r="H172" s="61"/>
      <c r="I172" s="59"/>
      <c r="J172" s="61"/>
      <c r="K172" s="62"/>
    </row>
    <row r="173" spans="2:11" s="98" customFormat="1" ht="11.65" x14ac:dyDescent="0.35">
      <c r="B173" s="32"/>
      <c r="C173" s="55"/>
      <c r="D173" s="56"/>
      <c r="E173" s="43"/>
      <c r="F173" s="57"/>
      <c r="G173" s="58"/>
      <c r="H173" s="61"/>
      <c r="I173" s="59"/>
      <c r="J173" s="61"/>
      <c r="K173" s="62"/>
    </row>
    <row r="174" spans="2:11" s="98" customFormat="1" ht="11.65" x14ac:dyDescent="0.35">
      <c r="B174" s="32"/>
      <c r="C174" s="55"/>
      <c r="D174" s="56"/>
      <c r="E174" s="43"/>
      <c r="F174" s="57"/>
      <c r="G174" s="58"/>
      <c r="H174" s="61"/>
      <c r="I174" s="59"/>
      <c r="J174" s="61"/>
      <c r="K174" s="62"/>
    </row>
    <row r="175" spans="2:11" s="98" customFormat="1" ht="11.65" x14ac:dyDescent="0.35">
      <c r="B175" s="32"/>
      <c r="C175" s="55"/>
      <c r="D175" s="56"/>
      <c r="E175" s="43"/>
      <c r="F175" s="57"/>
      <c r="G175" s="58"/>
      <c r="H175" s="61"/>
      <c r="I175" s="59"/>
      <c r="J175" s="61"/>
      <c r="K175" s="62"/>
    </row>
    <row r="176" spans="2:11" s="98" customFormat="1" ht="11.65" x14ac:dyDescent="0.35">
      <c r="B176" s="32"/>
      <c r="C176" s="55"/>
      <c r="D176" s="56"/>
      <c r="E176" s="43"/>
      <c r="F176" s="57"/>
      <c r="G176" s="58"/>
      <c r="H176" s="61"/>
      <c r="I176" s="59"/>
      <c r="J176" s="61"/>
      <c r="K176" s="62"/>
    </row>
    <row r="177" spans="2:11" s="1" customFormat="1" ht="13.9" collapsed="1" thickBot="1" x14ac:dyDescent="0.4">
      <c r="B177" s="63" t="s">
        <v>43</v>
      </c>
      <c r="C177" s="64"/>
      <c r="D177" s="65"/>
      <c r="E177" s="49"/>
      <c r="F177" s="49"/>
      <c r="G177" s="66"/>
      <c r="H177" s="67"/>
      <c r="I177" s="68"/>
      <c r="J177" s="68"/>
      <c r="K177" s="69"/>
    </row>
    <row r="178" spans="2:11" s="1" customFormat="1" x14ac:dyDescent="0.35">
      <c r="B178" s="3"/>
    </row>
    <row r="179" spans="2:11" s="1" customFormat="1" x14ac:dyDescent="0.35">
      <c r="B179" s="3"/>
    </row>
    <row r="180" spans="2:11" s="1" customFormat="1" ht="17.25" thickBot="1" x14ac:dyDescent="0.55000000000000004">
      <c r="B180" s="137" t="s">
        <v>68</v>
      </c>
      <c r="C180" s="137"/>
      <c r="D180" s="137"/>
      <c r="E180" s="137"/>
      <c r="F180" s="137"/>
      <c r="G180" s="137"/>
      <c r="H180" s="137"/>
      <c r="I180" s="137"/>
      <c r="J180" s="137"/>
      <c r="K180" s="137"/>
    </row>
    <row r="181" spans="2:11" s="1" customFormat="1" x14ac:dyDescent="0.35"/>
    <row r="182" spans="2:11" s="1" customFormat="1" ht="13.9" x14ac:dyDescent="0.4">
      <c r="B182" s="11"/>
      <c r="C182" s="260" t="s">
        <v>69</v>
      </c>
      <c r="D182" s="256"/>
      <c r="E182" s="256"/>
      <c r="F182" s="256"/>
      <c r="G182" s="256"/>
      <c r="H182" s="260" t="s">
        <v>70</v>
      </c>
      <c r="I182" s="256"/>
      <c r="J182" s="256"/>
    </row>
    <row r="183" spans="2:11" s="1" customFormat="1" ht="39.4" x14ac:dyDescent="0.35">
      <c r="B183" s="29" t="s">
        <v>36</v>
      </c>
      <c r="C183" s="12" t="s">
        <v>71</v>
      </c>
      <c r="D183" s="12" t="s">
        <v>72</v>
      </c>
      <c r="E183" s="12" t="str">
        <f>YEAR(summary_inception_date)&amp;" GG Premium (BST Share)"</f>
        <v>1900 GG Premium (BST Share)</v>
      </c>
      <c r="F183" s="12" t="s">
        <v>73</v>
      </c>
      <c r="G183" s="12" t="str">
        <f>YEAR(summary_inception_date)&amp;" GN Premium (BST Share)"</f>
        <v>1900 GN Premium (BST Share)</v>
      </c>
      <c r="H183" s="12" t="s">
        <v>74</v>
      </c>
      <c r="I183" s="12" t="s">
        <v>75</v>
      </c>
      <c r="J183" s="12" t="s">
        <v>76</v>
      </c>
    </row>
    <row r="184" spans="2:11" s="98" customFormat="1" ht="11.65" x14ac:dyDescent="0.35">
      <c r="B184" s="32"/>
      <c r="C184" s="99"/>
      <c r="D184" s="34"/>
      <c r="E184" s="100"/>
      <c r="F184" s="35"/>
      <c r="G184" s="101"/>
      <c r="H184" s="101"/>
      <c r="I184" s="101"/>
      <c r="J184" s="101"/>
    </row>
    <row r="185" spans="2:11" s="98" customFormat="1" ht="11.65" x14ac:dyDescent="0.35">
      <c r="B185" s="32"/>
      <c r="C185" s="99"/>
      <c r="D185" s="34"/>
      <c r="E185" s="100"/>
      <c r="F185" s="35"/>
      <c r="G185" s="101"/>
      <c r="H185" s="101"/>
      <c r="I185" s="101"/>
      <c r="J185" s="101"/>
    </row>
    <row r="186" spans="2:11" s="98" customFormat="1" ht="11.65" x14ac:dyDescent="0.35">
      <c r="B186" s="32"/>
      <c r="C186" s="99"/>
      <c r="D186" s="34"/>
      <c r="E186" s="100"/>
      <c r="F186" s="35"/>
      <c r="G186" s="101"/>
      <c r="H186" s="101"/>
      <c r="I186" s="101"/>
      <c r="J186" s="101"/>
    </row>
    <row r="187" spans="2:11" s="98" customFormat="1" ht="11.65" x14ac:dyDescent="0.35">
      <c r="B187" s="32"/>
      <c r="C187" s="99"/>
      <c r="D187" s="34"/>
      <c r="E187" s="100"/>
      <c r="F187" s="35"/>
      <c r="G187" s="101"/>
      <c r="H187" s="101"/>
      <c r="I187" s="101"/>
      <c r="J187" s="101"/>
    </row>
    <row r="188" spans="2:11" s="98" customFormat="1" ht="11.65" x14ac:dyDescent="0.35">
      <c r="B188" s="32"/>
      <c r="C188" s="99"/>
      <c r="D188" s="34"/>
      <c r="E188" s="100"/>
      <c r="F188" s="35"/>
      <c r="G188" s="101"/>
      <c r="H188" s="101"/>
      <c r="I188" s="101"/>
      <c r="J188" s="101"/>
    </row>
    <row r="189" spans="2:11" s="98" customFormat="1" ht="11.65" x14ac:dyDescent="0.35">
      <c r="B189" s="32"/>
      <c r="C189" s="99"/>
      <c r="D189" s="34"/>
      <c r="E189" s="100"/>
      <c r="F189" s="35"/>
      <c r="G189" s="101"/>
      <c r="H189" s="101"/>
      <c r="I189" s="101"/>
      <c r="J189" s="101"/>
    </row>
    <row r="190" spans="2:11" s="98" customFormat="1" ht="11.65" x14ac:dyDescent="0.35">
      <c r="B190" s="32"/>
      <c r="C190" s="99"/>
      <c r="D190" s="34"/>
      <c r="E190" s="100"/>
      <c r="F190" s="35"/>
      <c r="G190" s="101"/>
      <c r="H190" s="101"/>
      <c r="I190" s="101"/>
      <c r="J190" s="101"/>
    </row>
    <row r="191" spans="2:11" s="98" customFormat="1" ht="11.65" x14ac:dyDescent="0.35">
      <c r="B191" s="32"/>
      <c r="C191" s="99"/>
      <c r="D191" s="34"/>
      <c r="E191" s="100"/>
      <c r="F191" s="35"/>
      <c r="G191" s="101"/>
      <c r="H191" s="101"/>
      <c r="I191" s="101"/>
      <c r="J191" s="101"/>
    </row>
    <row r="192" spans="2:11" s="98" customFormat="1" ht="11.65" x14ac:dyDescent="0.35">
      <c r="B192" s="32"/>
      <c r="C192" s="99"/>
      <c r="D192" s="34"/>
      <c r="E192" s="100"/>
      <c r="F192" s="35"/>
      <c r="G192" s="101"/>
      <c r="H192" s="101"/>
      <c r="I192" s="101"/>
      <c r="J192" s="101"/>
    </row>
    <row r="193" spans="2:10" s="98" customFormat="1" ht="11.65" x14ac:dyDescent="0.35">
      <c r="B193" s="32"/>
      <c r="C193" s="99"/>
      <c r="D193" s="34"/>
      <c r="E193" s="100"/>
      <c r="F193" s="35"/>
      <c r="G193" s="101"/>
      <c r="H193" s="101"/>
      <c r="I193" s="101"/>
      <c r="J193" s="101"/>
    </row>
    <row r="194" spans="2:10" s="98" customFormat="1" ht="11.65" x14ac:dyDescent="0.35">
      <c r="B194" s="32"/>
      <c r="C194" s="99"/>
      <c r="D194" s="34"/>
      <c r="E194" s="100"/>
      <c r="F194" s="35"/>
      <c r="G194" s="101"/>
      <c r="H194" s="101"/>
      <c r="I194" s="101"/>
      <c r="J194" s="101"/>
    </row>
    <row r="195" spans="2:10" s="98" customFormat="1" ht="11.65" x14ac:dyDescent="0.35">
      <c r="B195" s="32"/>
      <c r="C195" s="99"/>
      <c r="D195" s="34"/>
      <c r="E195" s="100"/>
      <c r="F195" s="35"/>
      <c r="G195" s="101"/>
      <c r="H195" s="101"/>
      <c r="I195" s="101"/>
      <c r="J195" s="101"/>
    </row>
    <row r="196" spans="2:10" s="98" customFormat="1" ht="11.65" x14ac:dyDescent="0.35">
      <c r="B196" s="32"/>
      <c r="C196" s="99"/>
      <c r="D196" s="34"/>
      <c r="E196" s="100"/>
      <c r="F196" s="35"/>
      <c r="G196" s="101"/>
      <c r="H196" s="101"/>
      <c r="I196" s="101"/>
      <c r="J196" s="101"/>
    </row>
    <row r="197" spans="2:10" s="98" customFormat="1" ht="11.65" x14ac:dyDescent="0.35">
      <c r="B197" s="32"/>
      <c r="C197" s="99"/>
      <c r="D197" s="34"/>
      <c r="E197" s="100"/>
      <c r="F197" s="35"/>
      <c r="G197" s="101"/>
      <c r="H197" s="101"/>
      <c r="I197" s="101"/>
      <c r="J197" s="101"/>
    </row>
    <row r="198" spans="2:10" s="98" customFormat="1" ht="11.65" x14ac:dyDescent="0.35">
      <c r="B198" s="32"/>
      <c r="C198" s="99"/>
      <c r="D198" s="34"/>
      <c r="E198" s="100"/>
      <c r="F198" s="35"/>
      <c r="G198" s="101"/>
      <c r="H198" s="101"/>
      <c r="I198" s="101"/>
      <c r="J198" s="101"/>
    </row>
    <row r="199" spans="2:10" s="98" customFormat="1" ht="11.65" x14ac:dyDescent="0.35">
      <c r="B199" s="32"/>
      <c r="C199" s="99"/>
      <c r="D199" s="34"/>
      <c r="E199" s="100"/>
      <c r="F199" s="35"/>
      <c r="G199" s="101"/>
      <c r="H199" s="101"/>
      <c r="I199" s="101"/>
      <c r="J199" s="101"/>
    </row>
    <row r="200" spans="2:10" s="98" customFormat="1" ht="11.65" x14ac:dyDescent="0.35">
      <c r="B200" s="32"/>
      <c r="C200" s="99"/>
      <c r="D200" s="34"/>
      <c r="E200" s="100"/>
      <c r="F200" s="35"/>
      <c r="G200" s="101"/>
      <c r="H200" s="101"/>
      <c r="I200" s="101"/>
      <c r="J200" s="101"/>
    </row>
    <row r="201" spans="2:10" s="98" customFormat="1" ht="11.65" x14ac:dyDescent="0.35">
      <c r="B201" s="32"/>
      <c r="C201" s="99"/>
      <c r="D201" s="34"/>
      <c r="E201" s="100"/>
      <c r="F201" s="35"/>
      <c r="G201" s="101"/>
      <c r="H201" s="101"/>
      <c r="I201" s="101"/>
      <c r="J201" s="101"/>
    </row>
    <row r="202" spans="2:10" s="98" customFormat="1" ht="11.65" x14ac:dyDescent="0.35">
      <c r="B202" s="32"/>
      <c r="C202" s="99"/>
      <c r="D202" s="34"/>
      <c r="E202" s="100"/>
      <c r="F202" s="35"/>
      <c r="G202" s="101"/>
      <c r="H202" s="101"/>
      <c r="I202" s="101"/>
      <c r="J202" s="101"/>
    </row>
    <row r="203" spans="2:10" s="98" customFormat="1" ht="11.65" x14ac:dyDescent="0.35">
      <c r="B203" s="32"/>
      <c r="C203" s="99"/>
      <c r="D203" s="34"/>
      <c r="E203" s="100"/>
      <c r="F203" s="35"/>
      <c r="G203" s="101"/>
      <c r="H203" s="101"/>
      <c r="I203" s="101"/>
      <c r="J203" s="101"/>
    </row>
    <row r="204" spans="2:10" s="98" customFormat="1" ht="11.65" x14ac:dyDescent="0.35">
      <c r="B204" s="32"/>
      <c r="C204" s="99"/>
      <c r="D204" s="34"/>
      <c r="E204" s="100"/>
      <c r="F204" s="35"/>
      <c r="G204" s="101"/>
      <c r="H204" s="101"/>
      <c r="I204" s="101"/>
      <c r="J204" s="101"/>
    </row>
    <row r="205" spans="2:10" s="98" customFormat="1" ht="11.65" x14ac:dyDescent="0.35">
      <c r="B205" s="32"/>
      <c r="C205" s="99"/>
      <c r="D205" s="34"/>
      <c r="E205" s="100"/>
      <c r="F205" s="35"/>
      <c r="G205" s="101"/>
      <c r="H205" s="101"/>
      <c r="I205" s="101"/>
      <c r="J205" s="101"/>
    </row>
    <row r="206" spans="2:10" s="98" customFormat="1" ht="11.65" x14ac:dyDescent="0.35">
      <c r="B206" s="32"/>
      <c r="C206" s="99"/>
      <c r="D206" s="34"/>
      <c r="E206" s="100"/>
      <c r="F206" s="35"/>
      <c r="G206" s="101"/>
      <c r="H206" s="101"/>
      <c r="I206" s="101"/>
      <c r="J206" s="101"/>
    </row>
    <row r="207" spans="2:10" s="98" customFormat="1" ht="11.65" x14ac:dyDescent="0.35">
      <c r="B207" s="32"/>
      <c r="C207" s="99"/>
      <c r="D207" s="34"/>
      <c r="E207" s="100"/>
      <c r="F207" s="35"/>
      <c r="G207" s="101"/>
      <c r="H207" s="101"/>
      <c r="I207" s="101"/>
      <c r="J207" s="101"/>
    </row>
    <row r="208" spans="2:10" s="98" customFormat="1" ht="11.65" x14ac:dyDescent="0.35">
      <c r="B208" s="32"/>
      <c r="C208" s="99"/>
      <c r="D208" s="34"/>
      <c r="E208" s="100"/>
      <c r="F208" s="35"/>
      <c r="G208" s="101"/>
      <c r="H208" s="101"/>
      <c r="I208" s="101"/>
      <c r="J208" s="101"/>
    </row>
    <row r="209" spans="2:10" s="98" customFormat="1" ht="11.65" x14ac:dyDescent="0.35">
      <c r="B209" s="32"/>
      <c r="C209" s="99"/>
      <c r="D209" s="34"/>
      <c r="E209" s="100"/>
      <c r="F209" s="35"/>
      <c r="G209" s="101"/>
      <c r="H209" s="101"/>
      <c r="I209" s="101"/>
      <c r="J209" s="101"/>
    </row>
    <row r="210" spans="2:10" s="98" customFormat="1" ht="11.65" x14ac:dyDescent="0.35">
      <c r="B210" s="32"/>
      <c r="C210" s="99"/>
      <c r="D210" s="34"/>
      <c r="E210" s="100"/>
      <c r="F210" s="35"/>
      <c r="G210" s="101"/>
      <c r="H210" s="101"/>
      <c r="I210" s="101"/>
      <c r="J210" s="101"/>
    </row>
    <row r="211" spans="2:10" s="98" customFormat="1" ht="11.65" x14ac:dyDescent="0.35">
      <c r="B211" s="32"/>
      <c r="C211" s="99"/>
      <c r="D211" s="34"/>
      <c r="E211" s="100"/>
      <c r="F211" s="35"/>
      <c r="G211" s="101"/>
      <c r="H211" s="101"/>
      <c r="I211" s="101"/>
      <c r="J211" s="101"/>
    </row>
    <row r="212" spans="2:10" s="98" customFormat="1" ht="11.65" x14ac:dyDescent="0.35">
      <c r="B212" s="32"/>
      <c r="C212" s="99"/>
      <c r="D212" s="34"/>
      <c r="E212" s="100"/>
      <c r="F212" s="35"/>
      <c r="G212" s="101"/>
      <c r="H212" s="101"/>
      <c r="I212" s="101"/>
      <c r="J212" s="101"/>
    </row>
    <row r="213" spans="2:10" s="98" customFormat="1" ht="11.65" x14ac:dyDescent="0.35">
      <c r="B213" s="32"/>
      <c r="C213" s="99"/>
      <c r="D213" s="34"/>
      <c r="E213" s="100"/>
      <c r="F213" s="35"/>
      <c r="G213" s="101"/>
      <c r="H213" s="101"/>
      <c r="I213" s="101"/>
      <c r="J213" s="101"/>
    </row>
    <row r="214" spans="2:10" s="98" customFormat="1" ht="11.65" x14ac:dyDescent="0.35">
      <c r="B214" s="32"/>
      <c r="C214" s="99"/>
      <c r="D214" s="34"/>
      <c r="E214" s="100"/>
      <c r="F214" s="35"/>
      <c r="G214" s="101"/>
      <c r="H214" s="101"/>
      <c r="I214" s="101"/>
      <c r="J214" s="101"/>
    </row>
    <row r="215" spans="2:10" s="98" customFormat="1" ht="11.65" x14ac:dyDescent="0.35">
      <c r="B215" s="32"/>
      <c r="C215" s="99"/>
      <c r="D215" s="34"/>
      <c r="E215" s="100"/>
      <c r="F215" s="35"/>
      <c r="G215" s="101"/>
      <c r="H215" s="101"/>
      <c r="I215" s="101"/>
      <c r="J215" s="101"/>
    </row>
    <row r="216" spans="2:10" s="98" customFormat="1" ht="11.65" x14ac:dyDescent="0.35">
      <c r="B216" s="32"/>
      <c r="C216" s="99"/>
      <c r="D216" s="34"/>
      <c r="E216" s="100"/>
      <c r="F216" s="35"/>
      <c r="G216" s="101"/>
      <c r="H216" s="101"/>
      <c r="I216" s="101"/>
      <c r="J216" s="101"/>
    </row>
    <row r="217" spans="2:10" s="98" customFormat="1" ht="11.65" x14ac:dyDescent="0.35">
      <c r="B217" s="32"/>
      <c r="C217" s="99"/>
      <c r="D217" s="34"/>
      <c r="E217" s="100"/>
      <c r="F217" s="35"/>
      <c r="G217" s="101"/>
      <c r="H217" s="101"/>
      <c r="I217" s="101"/>
      <c r="J217" s="101"/>
    </row>
    <row r="218" spans="2:10" s="98" customFormat="1" ht="11.65" x14ac:dyDescent="0.35">
      <c r="B218" s="32"/>
      <c r="C218" s="99"/>
      <c r="D218" s="34"/>
      <c r="E218" s="100"/>
      <c r="F218" s="35"/>
      <c r="G218" s="101"/>
      <c r="H218" s="101"/>
      <c r="I218" s="101"/>
      <c r="J218" s="101"/>
    </row>
    <row r="219" spans="2:10" s="98" customFormat="1" ht="11.65" x14ac:dyDescent="0.35">
      <c r="B219" s="32"/>
      <c r="C219" s="99"/>
      <c r="D219" s="34"/>
      <c r="E219" s="100"/>
      <c r="F219" s="35"/>
      <c r="G219" s="101"/>
      <c r="H219" s="101"/>
      <c r="I219" s="101"/>
      <c r="J219" s="101"/>
    </row>
    <row r="220" spans="2:10" s="98" customFormat="1" ht="11.65" x14ac:dyDescent="0.35">
      <c r="B220" s="32"/>
      <c r="C220" s="99"/>
      <c r="D220" s="34"/>
      <c r="E220" s="100"/>
      <c r="F220" s="35"/>
      <c r="G220" s="101"/>
      <c r="H220" s="101"/>
      <c r="I220" s="101"/>
      <c r="J220" s="101"/>
    </row>
    <row r="221" spans="2:10" s="98" customFormat="1" ht="11.65" x14ac:dyDescent="0.35">
      <c r="B221" s="32"/>
      <c r="C221" s="99"/>
      <c r="D221" s="34"/>
      <c r="E221" s="100"/>
      <c r="F221" s="35"/>
      <c r="G221" s="101"/>
      <c r="H221" s="101"/>
      <c r="I221" s="101"/>
      <c r="J221" s="101"/>
    </row>
    <row r="222" spans="2:10" s="98" customFormat="1" ht="11.65" x14ac:dyDescent="0.35">
      <c r="B222" s="32"/>
      <c r="C222" s="99"/>
      <c r="D222" s="34"/>
      <c r="E222" s="100"/>
      <c r="F222" s="35"/>
      <c r="G222" s="101"/>
      <c r="H222" s="101"/>
      <c r="I222" s="101"/>
      <c r="J222" s="101"/>
    </row>
    <row r="223" spans="2:10" s="98" customFormat="1" ht="11.65" x14ac:dyDescent="0.35">
      <c r="B223" s="32"/>
      <c r="C223" s="99"/>
      <c r="D223" s="34"/>
      <c r="E223" s="100"/>
      <c r="F223" s="35"/>
      <c r="G223" s="101"/>
      <c r="H223" s="101"/>
      <c r="I223" s="101"/>
      <c r="J223" s="101"/>
    </row>
    <row r="224" spans="2:10" s="98" customFormat="1" ht="11.65" x14ac:dyDescent="0.35">
      <c r="B224" s="32"/>
      <c r="C224" s="99"/>
      <c r="D224" s="34"/>
      <c r="E224" s="100"/>
      <c r="F224" s="35"/>
      <c r="G224" s="101"/>
      <c r="H224" s="101"/>
      <c r="I224" s="101"/>
      <c r="J224" s="101"/>
    </row>
    <row r="225" spans="2:11" s="98" customFormat="1" ht="11.65" x14ac:dyDescent="0.35">
      <c r="B225" s="32"/>
      <c r="C225" s="99"/>
      <c r="D225" s="34"/>
      <c r="E225" s="100"/>
      <c r="F225" s="35"/>
      <c r="G225" s="101"/>
      <c r="H225" s="101"/>
      <c r="I225" s="101"/>
      <c r="J225" s="101"/>
    </row>
    <row r="226" spans="2:11" s="98" customFormat="1" ht="11.65" x14ac:dyDescent="0.35">
      <c r="B226" s="32"/>
      <c r="C226" s="99"/>
      <c r="D226" s="34"/>
      <c r="E226" s="100"/>
      <c r="F226" s="35"/>
      <c r="G226" s="101"/>
      <c r="H226" s="101"/>
      <c r="I226" s="101"/>
      <c r="J226" s="101"/>
    </row>
    <row r="227" spans="2:11" s="98" customFormat="1" ht="11.65" x14ac:dyDescent="0.35">
      <c r="B227" s="32"/>
      <c r="C227" s="99"/>
      <c r="D227" s="34"/>
      <c r="E227" s="100"/>
      <c r="F227" s="35"/>
      <c r="G227" s="101"/>
      <c r="H227" s="101"/>
      <c r="I227" s="101"/>
      <c r="J227" s="101"/>
    </row>
    <row r="228" spans="2:11" s="98" customFormat="1" ht="11.65" x14ac:dyDescent="0.35">
      <c r="B228" s="32"/>
      <c r="C228" s="99"/>
      <c r="D228" s="34"/>
      <c r="E228" s="100"/>
      <c r="F228" s="35"/>
      <c r="G228" s="101"/>
      <c r="H228" s="101"/>
      <c r="I228" s="101"/>
      <c r="J228" s="101"/>
    </row>
    <row r="229" spans="2:11" s="98" customFormat="1" ht="11.65" x14ac:dyDescent="0.35">
      <c r="B229" s="32"/>
      <c r="C229" s="99"/>
      <c r="D229" s="34"/>
      <c r="E229" s="100"/>
      <c r="F229" s="35"/>
      <c r="G229" s="101"/>
      <c r="H229" s="101"/>
      <c r="I229" s="101"/>
      <c r="J229" s="101"/>
    </row>
    <row r="230" spans="2:11" s="98" customFormat="1" ht="11.65" x14ac:dyDescent="0.35">
      <c r="B230" s="32"/>
      <c r="C230" s="99"/>
      <c r="D230" s="34"/>
      <c r="E230" s="100"/>
      <c r="F230" s="35"/>
      <c r="G230" s="101"/>
      <c r="H230" s="101"/>
      <c r="I230" s="101"/>
      <c r="J230" s="101"/>
    </row>
    <row r="231" spans="2:11" s="98" customFormat="1" ht="11.65" x14ac:dyDescent="0.35">
      <c r="B231" s="32"/>
      <c r="C231" s="99"/>
      <c r="D231" s="34"/>
      <c r="E231" s="100"/>
      <c r="F231" s="35"/>
      <c r="G231" s="101"/>
      <c r="H231" s="101"/>
      <c r="I231" s="101"/>
      <c r="J231" s="101"/>
    </row>
    <row r="232" spans="2:11" s="98" customFormat="1" ht="11.65" x14ac:dyDescent="0.35">
      <c r="B232" s="32"/>
      <c r="C232" s="99"/>
      <c r="D232" s="34"/>
      <c r="E232" s="100"/>
      <c r="F232" s="35"/>
      <c r="G232" s="101"/>
      <c r="H232" s="101"/>
      <c r="I232" s="101"/>
      <c r="J232" s="101"/>
    </row>
    <row r="233" spans="2:11" s="98" customFormat="1" ht="11.65" x14ac:dyDescent="0.35">
      <c r="B233" s="32"/>
      <c r="C233" s="99"/>
      <c r="D233" s="34"/>
      <c r="E233" s="100"/>
      <c r="F233" s="35"/>
      <c r="G233" s="101"/>
      <c r="H233" s="101"/>
      <c r="I233" s="101"/>
      <c r="J233" s="101"/>
    </row>
    <row r="234" spans="2:11" s="1" customFormat="1" ht="14.25" collapsed="1" thickBot="1" x14ac:dyDescent="0.45">
      <c r="B234" s="9" t="s">
        <v>43</v>
      </c>
      <c r="C234" s="19"/>
      <c r="D234" s="20"/>
      <c r="E234" s="19"/>
      <c r="F234" s="21"/>
      <c r="G234" s="19"/>
      <c r="H234" s="19"/>
      <c r="I234" s="19"/>
      <c r="J234" s="19"/>
    </row>
    <row r="235" spans="2:11" s="1" customFormat="1" x14ac:dyDescent="0.35">
      <c r="B235" s="3"/>
    </row>
    <row r="236" spans="2:11" s="1" customFormat="1" x14ac:dyDescent="0.35">
      <c r="B236" s="4"/>
    </row>
    <row r="237" spans="2:11" s="1" customFormat="1" ht="17.25" thickBot="1" x14ac:dyDescent="0.55000000000000004">
      <c r="B237" s="137" t="s">
        <v>77</v>
      </c>
      <c r="C237" s="137"/>
      <c r="D237" s="137"/>
      <c r="E237" s="137"/>
      <c r="F237" s="137"/>
      <c r="G237" s="137"/>
      <c r="H237" s="137"/>
      <c r="I237" s="137"/>
      <c r="J237" s="137"/>
      <c r="K237" s="137"/>
    </row>
    <row r="238" spans="2:11" s="1" customFormat="1" x14ac:dyDescent="0.35"/>
    <row r="239" spans="2:11" s="1" customFormat="1" ht="52.5" x14ac:dyDescent="0.35">
      <c r="B239" s="29" t="s">
        <v>36</v>
      </c>
      <c r="C239" s="10" t="s">
        <v>78</v>
      </c>
      <c r="D239" s="10" t="s">
        <v>79</v>
      </c>
      <c r="E239" s="10" t="s">
        <v>80</v>
      </c>
      <c r="F239" s="10" t="s">
        <v>81</v>
      </c>
      <c r="G239" s="10" t="s">
        <v>82</v>
      </c>
      <c r="H239" s="10" t="s">
        <v>83</v>
      </c>
      <c r="I239" s="13" t="s">
        <v>26</v>
      </c>
    </row>
    <row r="240" spans="2:11" s="98" customFormat="1" ht="11.65" x14ac:dyDescent="0.35">
      <c r="B240" s="32"/>
      <c r="C240" s="102"/>
      <c r="D240" s="102"/>
      <c r="E240" s="102"/>
      <c r="F240" s="102"/>
      <c r="G240" s="102"/>
      <c r="H240" s="102"/>
      <c r="I240" s="103"/>
    </row>
    <row r="241" spans="2:9" s="98" customFormat="1" ht="11.65" x14ac:dyDescent="0.35">
      <c r="B241" s="32"/>
      <c r="C241" s="102"/>
      <c r="D241" s="102"/>
      <c r="E241" s="102"/>
      <c r="F241" s="102"/>
      <c r="G241" s="102"/>
      <c r="H241" s="102"/>
      <c r="I241" s="104"/>
    </row>
    <row r="242" spans="2:9" s="98" customFormat="1" ht="11.65" x14ac:dyDescent="0.35">
      <c r="B242" s="32"/>
      <c r="C242" s="102"/>
      <c r="D242" s="102"/>
      <c r="E242" s="102"/>
      <c r="F242" s="102"/>
      <c r="G242" s="102"/>
      <c r="H242" s="102"/>
      <c r="I242" s="104"/>
    </row>
    <row r="243" spans="2:9" s="98" customFormat="1" ht="11.65" x14ac:dyDescent="0.35">
      <c r="B243" s="32"/>
      <c r="C243" s="102"/>
      <c r="D243" s="102"/>
      <c r="E243" s="102"/>
      <c r="F243" s="102"/>
      <c r="G243" s="102"/>
      <c r="H243" s="102"/>
      <c r="I243" s="104"/>
    </row>
    <row r="244" spans="2:9" s="98" customFormat="1" ht="11.65" x14ac:dyDescent="0.35">
      <c r="B244" s="32"/>
      <c r="C244" s="102"/>
      <c r="D244" s="102"/>
      <c r="E244" s="102"/>
      <c r="F244" s="102"/>
      <c r="G244" s="102"/>
      <c r="H244" s="102"/>
      <c r="I244" s="104"/>
    </row>
    <row r="245" spans="2:9" s="98" customFormat="1" ht="11.65" x14ac:dyDescent="0.35">
      <c r="B245" s="32"/>
      <c r="C245" s="102"/>
      <c r="D245" s="102"/>
      <c r="E245" s="102"/>
      <c r="F245" s="102"/>
      <c r="G245" s="102"/>
      <c r="H245" s="102"/>
      <c r="I245" s="104"/>
    </row>
    <row r="246" spans="2:9" s="98" customFormat="1" ht="11.65" x14ac:dyDescent="0.35">
      <c r="B246" s="32"/>
      <c r="C246" s="102"/>
      <c r="D246" s="102"/>
      <c r="E246" s="102"/>
      <c r="F246" s="102"/>
      <c r="G246" s="102"/>
      <c r="H246" s="102"/>
      <c r="I246" s="104"/>
    </row>
    <row r="247" spans="2:9" s="98" customFormat="1" ht="11.65" x14ac:dyDescent="0.35">
      <c r="B247" s="32"/>
      <c r="C247" s="102"/>
      <c r="D247" s="102"/>
      <c r="E247" s="102"/>
      <c r="F247" s="102"/>
      <c r="G247" s="102"/>
      <c r="H247" s="102"/>
      <c r="I247" s="104"/>
    </row>
    <row r="248" spans="2:9" s="98" customFormat="1" ht="11.65" x14ac:dyDescent="0.35">
      <c r="B248" s="32"/>
      <c r="C248" s="102"/>
      <c r="D248" s="102"/>
      <c r="E248" s="102"/>
      <c r="F248" s="102"/>
      <c r="G248" s="102"/>
      <c r="H248" s="102"/>
      <c r="I248" s="104"/>
    </row>
    <row r="249" spans="2:9" s="98" customFormat="1" ht="11.65" x14ac:dyDescent="0.35">
      <c r="B249" s="32"/>
      <c r="C249" s="102"/>
      <c r="D249" s="102"/>
      <c r="E249" s="102"/>
      <c r="F249" s="102"/>
      <c r="G249" s="102"/>
      <c r="H249" s="102"/>
      <c r="I249" s="104"/>
    </row>
    <row r="250" spans="2:9" s="98" customFormat="1" ht="11.65" x14ac:dyDescent="0.35">
      <c r="B250" s="32"/>
      <c r="C250" s="102"/>
      <c r="D250" s="102"/>
      <c r="E250" s="102"/>
      <c r="F250" s="102"/>
      <c r="G250" s="102"/>
      <c r="H250" s="102"/>
      <c r="I250" s="104"/>
    </row>
    <row r="251" spans="2:9" s="98" customFormat="1" ht="11.65" x14ac:dyDescent="0.35">
      <c r="B251" s="32"/>
      <c r="C251" s="102"/>
      <c r="D251" s="102"/>
      <c r="E251" s="102"/>
      <c r="F251" s="102"/>
      <c r="G251" s="102"/>
      <c r="H251" s="102"/>
      <c r="I251" s="104"/>
    </row>
    <row r="252" spans="2:9" s="98" customFormat="1" ht="11.65" x14ac:dyDescent="0.35">
      <c r="B252" s="32"/>
      <c r="C252" s="102"/>
      <c r="D252" s="102"/>
      <c r="E252" s="102"/>
      <c r="F252" s="102"/>
      <c r="G252" s="102"/>
      <c r="H252" s="102"/>
      <c r="I252" s="104"/>
    </row>
    <row r="253" spans="2:9" s="98" customFormat="1" ht="11.65" x14ac:dyDescent="0.35">
      <c r="B253" s="32"/>
      <c r="C253" s="102"/>
      <c r="D253" s="102"/>
      <c r="E253" s="102"/>
      <c r="F253" s="102"/>
      <c r="G253" s="102"/>
      <c r="H253" s="102"/>
      <c r="I253" s="104"/>
    </row>
    <row r="254" spans="2:9" s="98" customFormat="1" ht="11.65" x14ac:dyDescent="0.35">
      <c r="B254" s="32"/>
      <c r="C254" s="102"/>
      <c r="D254" s="102"/>
      <c r="E254" s="102"/>
      <c r="F254" s="102"/>
      <c r="G254" s="102"/>
      <c r="H254" s="102"/>
      <c r="I254" s="104"/>
    </row>
    <row r="255" spans="2:9" s="98" customFormat="1" ht="11.65" x14ac:dyDescent="0.35">
      <c r="B255" s="32"/>
      <c r="C255" s="102"/>
      <c r="D255" s="102"/>
      <c r="E255" s="102"/>
      <c r="F255" s="102"/>
      <c r="G255" s="102"/>
      <c r="H255" s="102"/>
      <c r="I255" s="104"/>
    </row>
    <row r="256" spans="2:9" s="98" customFormat="1" ht="11.65" x14ac:dyDescent="0.35">
      <c r="B256" s="32"/>
      <c r="C256" s="102"/>
      <c r="D256" s="102"/>
      <c r="E256" s="102"/>
      <c r="F256" s="102"/>
      <c r="G256" s="102"/>
      <c r="H256" s="102"/>
      <c r="I256" s="104"/>
    </row>
    <row r="257" spans="2:9" s="98" customFormat="1" ht="11.65" x14ac:dyDescent="0.35">
      <c r="B257" s="32"/>
      <c r="C257" s="102"/>
      <c r="D257" s="102"/>
      <c r="E257" s="102"/>
      <c r="F257" s="102"/>
      <c r="G257" s="102"/>
      <c r="H257" s="102"/>
      <c r="I257" s="104"/>
    </row>
    <row r="258" spans="2:9" s="98" customFormat="1" ht="11.65" x14ac:dyDescent="0.35">
      <c r="B258" s="32"/>
      <c r="C258" s="102"/>
      <c r="D258" s="102"/>
      <c r="E258" s="102"/>
      <c r="F258" s="102"/>
      <c r="G258" s="102"/>
      <c r="H258" s="102"/>
      <c r="I258" s="104"/>
    </row>
    <row r="259" spans="2:9" s="98" customFormat="1" ht="11.65" x14ac:dyDescent="0.35">
      <c r="B259" s="32"/>
      <c r="C259" s="102"/>
      <c r="D259" s="102"/>
      <c r="E259" s="102"/>
      <c r="F259" s="102"/>
      <c r="G259" s="102"/>
      <c r="H259" s="102"/>
      <c r="I259" s="104"/>
    </row>
    <row r="260" spans="2:9" s="98" customFormat="1" ht="11.65" x14ac:dyDescent="0.35">
      <c r="B260" s="32"/>
      <c r="C260" s="102"/>
      <c r="D260" s="102"/>
      <c r="E260" s="102"/>
      <c r="F260" s="102"/>
      <c r="G260" s="102"/>
      <c r="H260" s="102"/>
      <c r="I260" s="104"/>
    </row>
    <row r="261" spans="2:9" s="98" customFormat="1" ht="11.65" x14ac:dyDescent="0.35">
      <c r="B261" s="32"/>
      <c r="C261" s="102"/>
      <c r="D261" s="102"/>
      <c r="E261" s="102"/>
      <c r="F261" s="102"/>
      <c r="G261" s="102"/>
      <c r="H261" s="102"/>
      <c r="I261" s="104"/>
    </row>
    <row r="262" spans="2:9" s="98" customFormat="1" ht="11.65" x14ac:dyDescent="0.35">
      <c r="B262" s="32"/>
      <c r="C262" s="102"/>
      <c r="D262" s="102"/>
      <c r="E262" s="102"/>
      <c r="F262" s="102"/>
      <c r="G262" s="102"/>
      <c r="H262" s="102"/>
      <c r="I262" s="104"/>
    </row>
    <row r="263" spans="2:9" s="98" customFormat="1" ht="11.65" x14ac:dyDescent="0.35">
      <c r="B263" s="32"/>
      <c r="C263" s="102"/>
      <c r="D263" s="102"/>
      <c r="E263" s="102"/>
      <c r="F263" s="102"/>
      <c r="G263" s="102"/>
      <c r="H263" s="102"/>
      <c r="I263" s="104"/>
    </row>
    <row r="264" spans="2:9" s="98" customFormat="1" ht="11.65" x14ac:dyDescent="0.35">
      <c r="B264" s="32"/>
      <c r="C264" s="102"/>
      <c r="D264" s="102"/>
      <c r="E264" s="102"/>
      <c r="F264" s="102"/>
      <c r="G264" s="102"/>
      <c r="H264" s="102"/>
      <c r="I264" s="104"/>
    </row>
    <row r="265" spans="2:9" s="98" customFormat="1" ht="11.65" x14ac:dyDescent="0.35">
      <c r="B265" s="32"/>
      <c r="C265" s="102"/>
      <c r="D265" s="102"/>
      <c r="E265" s="102"/>
      <c r="F265" s="102"/>
      <c r="G265" s="102"/>
      <c r="H265" s="102"/>
      <c r="I265" s="104"/>
    </row>
    <row r="266" spans="2:9" s="98" customFormat="1" ht="11.65" x14ac:dyDescent="0.35">
      <c r="B266" s="32"/>
      <c r="C266" s="102"/>
      <c r="D266" s="102"/>
      <c r="E266" s="102"/>
      <c r="F266" s="102"/>
      <c r="G266" s="102"/>
      <c r="H266" s="102"/>
      <c r="I266" s="104"/>
    </row>
    <row r="267" spans="2:9" s="98" customFormat="1" ht="11.65" x14ac:dyDescent="0.35">
      <c r="B267" s="32"/>
      <c r="C267" s="102"/>
      <c r="D267" s="102"/>
      <c r="E267" s="102"/>
      <c r="F267" s="102"/>
      <c r="G267" s="102"/>
      <c r="H267" s="102"/>
      <c r="I267" s="104"/>
    </row>
    <row r="268" spans="2:9" s="98" customFormat="1" ht="11.65" x14ac:dyDescent="0.35">
      <c r="B268" s="32"/>
      <c r="C268" s="102"/>
      <c r="D268" s="102"/>
      <c r="E268" s="102"/>
      <c r="F268" s="102"/>
      <c r="G268" s="102"/>
      <c r="H268" s="102"/>
      <c r="I268" s="104"/>
    </row>
    <row r="269" spans="2:9" s="98" customFormat="1" ht="11.65" x14ac:dyDescent="0.35">
      <c r="B269" s="32"/>
      <c r="C269" s="102"/>
      <c r="D269" s="102"/>
      <c r="E269" s="102"/>
      <c r="F269" s="102"/>
      <c r="G269" s="102"/>
      <c r="H269" s="102"/>
      <c r="I269" s="104"/>
    </row>
    <row r="270" spans="2:9" s="98" customFormat="1" ht="11.65" x14ac:dyDescent="0.35">
      <c r="B270" s="32"/>
      <c r="C270" s="102"/>
      <c r="D270" s="102"/>
      <c r="E270" s="102"/>
      <c r="F270" s="102"/>
      <c r="G270" s="102"/>
      <c r="H270" s="102"/>
      <c r="I270" s="104"/>
    </row>
    <row r="271" spans="2:9" s="98" customFormat="1" ht="11.65" x14ac:dyDescent="0.35">
      <c r="B271" s="32"/>
      <c r="C271" s="102"/>
      <c r="D271" s="102"/>
      <c r="E271" s="102"/>
      <c r="F271" s="102"/>
      <c r="G271" s="102"/>
      <c r="H271" s="102"/>
      <c r="I271" s="104"/>
    </row>
    <row r="272" spans="2:9" s="98" customFormat="1" ht="11.65" x14ac:dyDescent="0.35">
      <c r="B272" s="32"/>
      <c r="C272" s="102"/>
      <c r="D272" s="102"/>
      <c r="E272" s="102"/>
      <c r="F272" s="102"/>
      <c r="G272" s="102"/>
      <c r="H272" s="102"/>
      <c r="I272" s="104"/>
    </row>
    <row r="273" spans="2:9" s="98" customFormat="1" ht="11.65" x14ac:dyDescent="0.35">
      <c r="B273" s="32"/>
      <c r="C273" s="102"/>
      <c r="D273" s="102"/>
      <c r="E273" s="102"/>
      <c r="F273" s="102"/>
      <c r="G273" s="102"/>
      <c r="H273" s="102"/>
      <c r="I273" s="104"/>
    </row>
    <row r="274" spans="2:9" s="98" customFormat="1" ht="11.65" x14ac:dyDescent="0.35">
      <c r="B274" s="32"/>
      <c r="C274" s="102"/>
      <c r="D274" s="102"/>
      <c r="E274" s="102"/>
      <c r="F274" s="102"/>
      <c r="G274" s="102"/>
      <c r="H274" s="102"/>
      <c r="I274" s="104"/>
    </row>
    <row r="275" spans="2:9" s="98" customFormat="1" ht="11.65" x14ac:dyDescent="0.35">
      <c r="B275" s="32"/>
      <c r="C275" s="102"/>
      <c r="D275" s="102"/>
      <c r="E275" s="102"/>
      <c r="F275" s="102"/>
      <c r="G275" s="102"/>
      <c r="H275" s="102"/>
      <c r="I275" s="104"/>
    </row>
    <row r="276" spans="2:9" s="98" customFormat="1" ht="11.65" x14ac:dyDescent="0.35">
      <c r="B276" s="32"/>
      <c r="C276" s="102"/>
      <c r="D276" s="102"/>
      <c r="E276" s="102"/>
      <c r="F276" s="102"/>
      <c r="G276" s="102"/>
      <c r="H276" s="102"/>
      <c r="I276" s="104"/>
    </row>
    <row r="277" spans="2:9" s="98" customFormat="1" ht="11.65" x14ac:dyDescent="0.35">
      <c r="B277" s="32"/>
      <c r="C277" s="102"/>
      <c r="D277" s="102"/>
      <c r="E277" s="102"/>
      <c r="F277" s="102"/>
      <c r="G277" s="102"/>
      <c r="H277" s="102"/>
      <c r="I277" s="104"/>
    </row>
    <row r="278" spans="2:9" s="98" customFormat="1" ht="11.65" x14ac:dyDescent="0.35">
      <c r="B278" s="32"/>
      <c r="C278" s="102"/>
      <c r="D278" s="102"/>
      <c r="E278" s="102"/>
      <c r="F278" s="102"/>
      <c r="G278" s="102"/>
      <c r="H278" s="102"/>
      <c r="I278" s="104"/>
    </row>
    <row r="279" spans="2:9" s="98" customFormat="1" ht="11.65" x14ac:dyDescent="0.35">
      <c r="B279" s="32"/>
      <c r="C279" s="102"/>
      <c r="D279" s="102"/>
      <c r="E279" s="102"/>
      <c r="F279" s="102"/>
      <c r="G279" s="102"/>
      <c r="H279" s="102"/>
      <c r="I279" s="104"/>
    </row>
    <row r="280" spans="2:9" s="98" customFormat="1" ht="11.65" x14ac:dyDescent="0.35">
      <c r="B280" s="32"/>
      <c r="C280" s="102"/>
      <c r="D280" s="102"/>
      <c r="E280" s="102"/>
      <c r="F280" s="102"/>
      <c r="G280" s="102"/>
      <c r="H280" s="102"/>
      <c r="I280" s="104"/>
    </row>
    <row r="281" spans="2:9" s="98" customFormat="1" ht="11.65" x14ac:dyDescent="0.35">
      <c r="B281" s="32"/>
      <c r="C281" s="102"/>
      <c r="D281" s="102"/>
      <c r="E281" s="102"/>
      <c r="F281" s="102"/>
      <c r="G281" s="102"/>
      <c r="H281" s="102"/>
      <c r="I281" s="104"/>
    </row>
    <row r="282" spans="2:9" s="98" customFormat="1" ht="11.65" x14ac:dyDescent="0.35">
      <c r="B282" s="32"/>
      <c r="C282" s="102"/>
      <c r="D282" s="102"/>
      <c r="E282" s="102"/>
      <c r="F282" s="102"/>
      <c r="G282" s="102"/>
      <c r="H282" s="102"/>
      <c r="I282" s="104"/>
    </row>
    <row r="283" spans="2:9" s="98" customFormat="1" ht="11.65" x14ac:dyDescent="0.35">
      <c r="B283" s="32"/>
      <c r="C283" s="102"/>
      <c r="D283" s="102"/>
      <c r="E283" s="102"/>
      <c r="F283" s="102"/>
      <c r="G283" s="102"/>
      <c r="H283" s="102"/>
      <c r="I283" s="104"/>
    </row>
    <row r="284" spans="2:9" s="98" customFormat="1" ht="11.65" x14ac:dyDescent="0.35">
      <c r="B284" s="32"/>
      <c r="C284" s="102"/>
      <c r="D284" s="102"/>
      <c r="E284" s="102"/>
      <c r="F284" s="102"/>
      <c r="G284" s="102"/>
      <c r="H284" s="102"/>
      <c r="I284" s="104"/>
    </row>
    <row r="285" spans="2:9" s="98" customFormat="1" ht="11.65" x14ac:dyDescent="0.35">
      <c r="B285" s="32"/>
      <c r="C285" s="102"/>
      <c r="D285" s="102"/>
      <c r="E285" s="102"/>
      <c r="F285" s="102"/>
      <c r="G285" s="102"/>
      <c r="H285" s="102"/>
      <c r="I285" s="104"/>
    </row>
    <row r="286" spans="2:9" s="98" customFormat="1" ht="11.65" x14ac:dyDescent="0.35">
      <c r="B286" s="32"/>
      <c r="C286" s="102"/>
      <c r="D286" s="102"/>
      <c r="E286" s="102"/>
      <c r="F286" s="102"/>
      <c r="G286" s="102"/>
      <c r="H286" s="102"/>
      <c r="I286" s="104"/>
    </row>
    <row r="287" spans="2:9" s="98" customFormat="1" ht="11.65" x14ac:dyDescent="0.35">
      <c r="B287" s="32"/>
      <c r="C287" s="102"/>
      <c r="D287" s="102"/>
      <c r="E287" s="102"/>
      <c r="F287" s="102"/>
      <c r="G287" s="102"/>
      <c r="H287" s="102"/>
      <c r="I287" s="104"/>
    </row>
    <row r="288" spans="2:9" s="98" customFormat="1" ht="11.65" x14ac:dyDescent="0.35">
      <c r="B288" s="32"/>
      <c r="C288" s="102"/>
      <c r="D288" s="102"/>
      <c r="E288" s="102"/>
      <c r="F288" s="102"/>
      <c r="G288" s="102"/>
      <c r="H288" s="102"/>
      <c r="I288" s="104"/>
    </row>
    <row r="289" spans="2:11" s="98" customFormat="1" ht="11.65" x14ac:dyDescent="0.35">
      <c r="B289" s="32"/>
      <c r="C289" s="102"/>
      <c r="D289" s="102"/>
      <c r="E289" s="102"/>
      <c r="F289" s="102"/>
      <c r="G289" s="102"/>
      <c r="H289" s="102"/>
      <c r="I289" s="104"/>
    </row>
    <row r="290" spans="2:11" s="1" customFormat="1" ht="14.25" collapsed="1" thickBot="1" x14ac:dyDescent="0.45">
      <c r="B290" s="14" t="s">
        <v>84</v>
      </c>
      <c r="C290" s="17"/>
      <c r="D290" s="17"/>
      <c r="E290" s="17"/>
      <c r="F290" s="17"/>
      <c r="G290" s="17"/>
      <c r="H290" s="17"/>
      <c r="I290" s="18"/>
    </row>
    <row r="291" spans="2:11" s="1" customFormat="1" x14ac:dyDescent="0.35">
      <c r="B291" s="3"/>
    </row>
    <row r="292" spans="2:11" s="1" customFormat="1" ht="14.25" thickBot="1" x14ac:dyDescent="0.45">
      <c r="B292" s="14" t="s">
        <v>85</v>
      </c>
      <c r="C292" s="17"/>
      <c r="D292" s="17"/>
      <c r="E292" s="17"/>
      <c r="F292" s="17"/>
      <c r="G292" s="17"/>
      <c r="H292" s="17"/>
      <c r="I292" s="18"/>
    </row>
    <row r="293" spans="2:11" s="1" customFormat="1" x14ac:dyDescent="0.35"/>
    <row r="294" spans="2:11" s="1" customFormat="1" x14ac:dyDescent="0.35"/>
    <row r="295" spans="2:11" s="1" customFormat="1" ht="17.25" thickBot="1" x14ac:dyDescent="0.55000000000000004">
      <c r="B295" s="137" t="s">
        <v>86</v>
      </c>
      <c r="C295" s="137"/>
      <c r="D295" s="137"/>
      <c r="E295" s="137"/>
      <c r="F295" s="137"/>
      <c r="G295" s="137"/>
      <c r="H295" s="137"/>
      <c r="I295" s="137"/>
      <c r="J295" s="137"/>
      <c r="K295" s="137"/>
    </row>
    <row r="296" spans="2:11" s="1" customFormat="1" x14ac:dyDescent="0.35"/>
    <row r="297" spans="2:11" s="1" customFormat="1" x14ac:dyDescent="0.35">
      <c r="B297" s="29" t="s">
        <v>36</v>
      </c>
      <c r="C297" s="23">
        <f>YEAR(summary_inception_date)</f>
        <v>1900</v>
      </c>
      <c r="D297" s="23">
        <f t="shared" ref="D297:K297" si="0">C297-1</f>
        <v>1899</v>
      </c>
      <c r="E297" s="23">
        <f t="shared" si="0"/>
        <v>1898</v>
      </c>
      <c r="F297" s="23">
        <f t="shared" si="0"/>
        <v>1897</v>
      </c>
      <c r="G297" s="23">
        <f t="shared" si="0"/>
        <v>1896</v>
      </c>
      <c r="H297" s="23">
        <f t="shared" si="0"/>
        <v>1895</v>
      </c>
      <c r="I297" s="23">
        <f t="shared" si="0"/>
        <v>1894</v>
      </c>
      <c r="J297" s="23">
        <f t="shared" si="0"/>
        <v>1893</v>
      </c>
      <c r="K297" s="24">
        <f t="shared" si="0"/>
        <v>1892</v>
      </c>
    </row>
    <row r="298" spans="2:11" s="98" customFormat="1" ht="11.65" x14ac:dyDescent="0.35">
      <c r="B298" s="32"/>
      <c r="C298" s="105"/>
      <c r="D298" s="105"/>
      <c r="E298" s="105"/>
      <c r="F298" s="105"/>
      <c r="G298" s="105"/>
      <c r="H298" s="105"/>
      <c r="I298" s="105"/>
      <c r="J298" s="105"/>
      <c r="K298" s="106"/>
    </row>
    <row r="299" spans="2:11" s="98" customFormat="1" ht="11.65" x14ac:dyDescent="0.35">
      <c r="B299" s="32"/>
      <c r="C299" s="105"/>
      <c r="D299" s="105"/>
      <c r="E299" s="105"/>
      <c r="F299" s="105"/>
      <c r="G299" s="105"/>
      <c r="H299" s="105"/>
      <c r="I299" s="105"/>
      <c r="J299" s="105"/>
      <c r="K299" s="106"/>
    </row>
    <row r="300" spans="2:11" s="98" customFormat="1" ht="11.65" x14ac:dyDescent="0.35">
      <c r="B300" s="32"/>
      <c r="C300" s="105"/>
      <c r="D300" s="105"/>
      <c r="E300" s="105"/>
      <c r="F300" s="105"/>
      <c r="G300" s="105"/>
      <c r="H300" s="105"/>
      <c r="I300" s="105"/>
      <c r="J300" s="105"/>
      <c r="K300" s="106"/>
    </row>
    <row r="301" spans="2:11" s="98" customFormat="1" ht="11.65" x14ac:dyDescent="0.35">
      <c r="B301" s="32"/>
      <c r="C301" s="105"/>
      <c r="D301" s="105"/>
      <c r="E301" s="105"/>
      <c r="F301" s="105"/>
      <c r="G301" s="105"/>
      <c r="H301" s="105"/>
      <c r="I301" s="105"/>
      <c r="J301" s="105"/>
      <c r="K301" s="106"/>
    </row>
    <row r="302" spans="2:11" s="98" customFormat="1" ht="11.65" x14ac:dyDescent="0.35">
      <c r="B302" s="32"/>
      <c r="C302" s="105"/>
      <c r="D302" s="105"/>
      <c r="E302" s="105"/>
      <c r="F302" s="105"/>
      <c r="G302" s="105"/>
      <c r="H302" s="105"/>
      <c r="I302" s="105"/>
      <c r="J302" s="105"/>
      <c r="K302" s="106"/>
    </row>
    <row r="303" spans="2:11" s="98" customFormat="1" ht="11.65" x14ac:dyDescent="0.35">
      <c r="B303" s="32"/>
      <c r="C303" s="105"/>
      <c r="D303" s="105"/>
      <c r="E303" s="105"/>
      <c r="F303" s="105"/>
      <c r="G303" s="105"/>
      <c r="H303" s="105"/>
      <c r="I303" s="105"/>
      <c r="J303" s="105"/>
      <c r="K303" s="106"/>
    </row>
    <row r="304" spans="2:11" s="98" customFormat="1" ht="11.65" x14ac:dyDescent="0.35">
      <c r="B304" s="32"/>
      <c r="C304" s="105"/>
      <c r="D304" s="105"/>
      <c r="E304" s="105"/>
      <c r="F304" s="105"/>
      <c r="G304" s="105"/>
      <c r="H304" s="105"/>
      <c r="I304" s="105"/>
      <c r="J304" s="105"/>
      <c r="K304" s="106"/>
    </row>
    <row r="305" spans="2:11" s="98" customFormat="1" ht="11.65" x14ac:dyDescent="0.35">
      <c r="B305" s="32"/>
      <c r="C305" s="105"/>
      <c r="D305" s="105"/>
      <c r="E305" s="105"/>
      <c r="F305" s="105"/>
      <c r="G305" s="105"/>
      <c r="H305" s="105"/>
      <c r="I305" s="105"/>
      <c r="J305" s="105"/>
      <c r="K305" s="106"/>
    </row>
    <row r="306" spans="2:11" s="98" customFormat="1" ht="11.65" x14ac:dyDescent="0.35">
      <c r="B306" s="32"/>
      <c r="C306" s="105"/>
      <c r="D306" s="105"/>
      <c r="E306" s="105"/>
      <c r="F306" s="105"/>
      <c r="G306" s="105"/>
      <c r="H306" s="105"/>
      <c r="I306" s="105"/>
      <c r="J306" s="105"/>
      <c r="K306" s="106"/>
    </row>
    <row r="307" spans="2:11" s="98" customFormat="1" ht="11.65" x14ac:dyDescent="0.35">
      <c r="B307" s="32"/>
      <c r="C307" s="105"/>
      <c r="D307" s="105"/>
      <c r="E307" s="105"/>
      <c r="F307" s="105"/>
      <c r="G307" s="105"/>
      <c r="H307" s="105"/>
      <c r="I307" s="105"/>
      <c r="J307" s="105"/>
      <c r="K307" s="106"/>
    </row>
    <row r="308" spans="2:11" s="98" customFormat="1" ht="11.65" x14ac:dyDescent="0.35">
      <c r="B308" s="32"/>
      <c r="C308" s="105"/>
      <c r="D308" s="105"/>
      <c r="E308" s="105"/>
      <c r="F308" s="105"/>
      <c r="G308" s="105"/>
      <c r="H308" s="105"/>
      <c r="I308" s="105"/>
      <c r="J308" s="105"/>
      <c r="K308" s="106"/>
    </row>
    <row r="309" spans="2:11" s="98" customFormat="1" ht="11.65" x14ac:dyDescent="0.35">
      <c r="B309" s="32"/>
      <c r="C309" s="105"/>
      <c r="D309" s="105"/>
      <c r="E309" s="105"/>
      <c r="F309" s="105"/>
      <c r="G309" s="105"/>
      <c r="H309" s="105"/>
      <c r="I309" s="105"/>
      <c r="J309" s="105"/>
      <c r="K309" s="106"/>
    </row>
    <row r="310" spans="2:11" s="98" customFormat="1" ht="11.65" x14ac:dyDescent="0.35">
      <c r="B310" s="32"/>
      <c r="C310" s="105"/>
      <c r="D310" s="105"/>
      <c r="E310" s="105"/>
      <c r="F310" s="105"/>
      <c r="G310" s="105"/>
      <c r="H310" s="105"/>
      <c r="I310" s="105"/>
      <c r="J310" s="105"/>
      <c r="K310" s="106"/>
    </row>
    <row r="311" spans="2:11" s="98" customFormat="1" ht="11.65" x14ac:dyDescent="0.35">
      <c r="B311" s="32"/>
      <c r="C311" s="105"/>
      <c r="D311" s="105"/>
      <c r="E311" s="105"/>
      <c r="F311" s="105"/>
      <c r="G311" s="105"/>
      <c r="H311" s="105"/>
      <c r="I311" s="105"/>
      <c r="J311" s="105"/>
      <c r="K311" s="106"/>
    </row>
    <row r="312" spans="2:11" s="98" customFormat="1" ht="11.65" x14ac:dyDescent="0.35">
      <c r="B312" s="32"/>
      <c r="C312" s="105"/>
      <c r="D312" s="105"/>
      <c r="E312" s="105"/>
      <c r="F312" s="105"/>
      <c r="G312" s="105"/>
      <c r="H312" s="105"/>
      <c r="I312" s="105"/>
      <c r="J312" s="105"/>
      <c r="K312" s="106"/>
    </row>
    <row r="313" spans="2:11" s="98" customFormat="1" ht="11.65" x14ac:dyDescent="0.35">
      <c r="B313" s="32"/>
      <c r="C313" s="105"/>
      <c r="D313" s="105"/>
      <c r="E313" s="105"/>
      <c r="F313" s="105"/>
      <c r="G313" s="105"/>
      <c r="H313" s="105"/>
      <c r="I313" s="105"/>
      <c r="J313" s="105"/>
      <c r="K313" s="106"/>
    </row>
    <row r="314" spans="2:11" s="98" customFormat="1" ht="11.65" x14ac:dyDescent="0.35">
      <c r="B314" s="32"/>
      <c r="C314" s="105"/>
      <c r="D314" s="105"/>
      <c r="E314" s="105"/>
      <c r="F314" s="105"/>
      <c r="G314" s="105"/>
      <c r="H314" s="105"/>
      <c r="I314" s="105"/>
      <c r="J314" s="105"/>
      <c r="K314" s="106"/>
    </row>
    <row r="315" spans="2:11" s="98" customFormat="1" ht="11.65" x14ac:dyDescent="0.35">
      <c r="B315" s="32"/>
      <c r="C315" s="105"/>
      <c r="D315" s="105"/>
      <c r="E315" s="105"/>
      <c r="F315" s="105"/>
      <c r="G315" s="105"/>
      <c r="H315" s="105"/>
      <c r="I315" s="105"/>
      <c r="J315" s="105"/>
      <c r="K315" s="106"/>
    </row>
    <row r="316" spans="2:11" s="98" customFormat="1" ht="11.65" x14ac:dyDescent="0.35">
      <c r="B316" s="32"/>
      <c r="C316" s="105"/>
      <c r="D316" s="105"/>
      <c r="E316" s="105"/>
      <c r="F316" s="105"/>
      <c r="G316" s="105"/>
      <c r="H316" s="105"/>
      <c r="I316" s="105"/>
      <c r="J316" s="105"/>
      <c r="K316" s="106"/>
    </row>
    <row r="317" spans="2:11" s="98" customFormat="1" ht="11.65" x14ac:dyDescent="0.35">
      <c r="B317" s="32"/>
      <c r="C317" s="105"/>
      <c r="D317" s="105"/>
      <c r="E317" s="105"/>
      <c r="F317" s="105"/>
      <c r="G317" s="105"/>
      <c r="H317" s="105"/>
      <c r="I317" s="105"/>
      <c r="J317" s="105"/>
      <c r="K317" s="106"/>
    </row>
    <row r="318" spans="2:11" s="98" customFormat="1" ht="11.65" x14ac:dyDescent="0.35">
      <c r="B318" s="32"/>
      <c r="C318" s="105"/>
      <c r="D318" s="105"/>
      <c r="E318" s="105"/>
      <c r="F318" s="105"/>
      <c r="G318" s="105"/>
      <c r="H318" s="105"/>
      <c r="I318" s="105"/>
      <c r="J318" s="105"/>
      <c r="K318" s="106"/>
    </row>
    <row r="319" spans="2:11" s="98" customFormat="1" ht="11.65" x14ac:dyDescent="0.35">
      <c r="B319" s="32"/>
      <c r="C319" s="105"/>
      <c r="D319" s="105"/>
      <c r="E319" s="105"/>
      <c r="F319" s="105"/>
      <c r="G319" s="105"/>
      <c r="H319" s="105"/>
      <c r="I319" s="105"/>
      <c r="J319" s="105"/>
      <c r="K319" s="106"/>
    </row>
    <row r="320" spans="2:11" s="98" customFormat="1" ht="11.65" x14ac:dyDescent="0.35">
      <c r="B320" s="32"/>
      <c r="C320" s="105"/>
      <c r="D320" s="105"/>
      <c r="E320" s="105"/>
      <c r="F320" s="105"/>
      <c r="G320" s="105"/>
      <c r="H320" s="105"/>
      <c r="I320" s="105"/>
      <c r="J320" s="105"/>
      <c r="K320" s="106"/>
    </row>
    <row r="321" spans="2:11" s="98" customFormat="1" ht="11.65" x14ac:dyDescent="0.35">
      <c r="B321" s="32"/>
      <c r="C321" s="105"/>
      <c r="D321" s="105"/>
      <c r="E321" s="105"/>
      <c r="F321" s="105"/>
      <c r="G321" s="105"/>
      <c r="H321" s="105"/>
      <c r="I321" s="105"/>
      <c r="J321" s="105"/>
      <c r="K321" s="106"/>
    </row>
    <row r="322" spans="2:11" s="98" customFormat="1" ht="11.65" x14ac:dyDescent="0.35">
      <c r="B322" s="32"/>
      <c r="C322" s="105"/>
      <c r="D322" s="105"/>
      <c r="E322" s="105"/>
      <c r="F322" s="105"/>
      <c r="G322" s="105"/>
      <c r="H322" s="105"/>
      <c r="I322" s="105"/>
      <c r="J322" s="105"/>
      <c r="K322" s="106"/>
    </row>
    <row r="323" spans="2:11" s="98" customFormat="1" ht="11.65" x14ac:dyDescent="0.35">
      <c r="B323" s="32"/>
      <c r="C323" s="105"/>
      <c r="D323" s="105"/>
      <c r="E323" s="105"/>
      <c r="F323" s="105"/>
      <c r="G323" s="105"/>
      <c r="H323" s="105"/>
      <c r="I323" s="105"/>
      <c r="J323" s="105"/>
      <c r="K323" s="106"/>
    </row>
    <row r="324" spans="2:11" s="98" customFormat="1" ht="11.65" x14ac:dyDescent="0.35">
      <c r="B324" s="32"/>
      <c r="C324" s="105"/>
      <c r="D324" s="105"/>
      <c r="E324" s="105"/>
      <c r="F324" s="105"/>
      <c r="G324" s="105"/>
      <c r="H324" s="105"/>
      <c r="I324" s="105"/>
      <c r="J324" s="105"/>
      <c r="K324" s="106"/>
    </row>
    <row r="325" spans="2:11" s="98" customFormat="1" ht="11.65" x14ac:dyDescent="0.35">
      <c r="B325" s="32"/>
      <c r="C325" s="105"/>
      <c r="D325" s="105"/>
      <c r="E325" s="105"/>
      <c r="F325" s="105"/>
      <c r="G325" s="105"/>
      <c r="H325" s="105"/>
      <c r="I325" s="105"/>
      <c r="J325" s="105"/>
      <c r="K325" s="106"/>
    </row>
    <row r="326" spans="2:11" s="98" customFormat="1" ht="11.65" x14ac:dyDescent="0.35">
      <c r="B326" s="32"/>
      <c r="C326" s="105"/>
      <c r="D326" s="105"/>
      <c r="E326" s="105"/>
      <c r="F326" s="105"/>
      <c r="G326" s="105"/>
      <c r="H326" s="105"/>
      <c r="I326" s="105"/>
      <c r="J326" s="105"/>
      <c r="K326" s="106"/>
    </row>
    <row r="327" spans="2:11" s="98" customFormat="1" ht="11.65" x14ac:dyDescent="0.35">
      <c r="B327" s="32"/>
      <c r="C327" s="105"/>
      <c r="D327" s="105"/>
      <c r="E327" s="105"/>
      <c r="F327" s="105"/>
      <c r="G327" s="105"/>
      <c r="H327" s="105"/>
      <c r="I327" s="105"/>
      <c r="J327" s="105"/>
      <c r="K327" s="106"/>
    </row>
    <row r="328" spans="2:11" s="98" customFormat="1" ht="11.65" x14ac:dyDescent="0.35">
      <c r="B328" s="32"/>
      <c r="C328" s="105"/>
      <c r="D328" s="105"/>
      <c r="E328" s="105"/>
      <c r="F328" s="105"/>
      <c r="G328" s="105"/>
      <c r="H328" s="105"/>
      <c r="I328" s="105"/>
      <c r="J328" s="105"/>
      <c r="K328" s="106"/>
    </row>
    <row r="329" spans="2:11" s="98" customFormat="1" ht="11.65" x14ac:dyDescent="0.35">
      <c r="B329" s="32"/>
      <c r="C329" s="105"/>
      <c r="D329" s="105"/>
      <c r="E329" s="105"/>
      <c r="F329" s="105"/>
      <c r="G329" s="105"/>
      <c r="H329" s="105"/>
      <c r="I329" s="105"/>
      <c r="J329" s="105"/>
      <c r="K329" s="106"/>
    </row>
    <row r="330" spans="2:11" s="98" customFormat="1" ht="11.65" x14ac:dyDescent="0.35">
      <c r="B330" s="32"/>
      <c r="C330" s="105"/>
      <c r="D330" s="105"/>
      <c r="E330" s="105"/>
      <c r="F330" s="105"/>
      <c r="G330" s="105"/>
      <c r="H330" s="105"/>
      <c r="I330" s="105"/>
      <c r="J330" s="105"/>
      <c r="K330" s="106"/>
    </row>
    <row r="331" spans="2:11" s="98" customFormat="1" ht="11.65" x14ac:dyDescent="0.35">
      <c r="B331" s="32"/>
      <c r="C331" s="105"/>
      <c r="D331" s="105"/>
      <c r="E331" s="105"/>
      <c r="F331" s="105"/>
      <c r="G331" s="105"/>
      <c r="H331" s="105"/>
      <c r="I331" s="105"/>
      <c r="J331" s="105"/>
      <c r="K331" s="106"/>
    </row>
    <row r="332" spans="2:11" s="98" customFormat="1" ht="11.65" x14ac:dyDescent="0.35">
      <c r="B332" s="32"/>
      <c r="C332" s="105"/>
      <c r="D332" s="105"/>
      <c r="E332" s="105"/>
      <c r="F332" s="105"/>
      <c r="G332" s="105"/>
      <c r="H332" s="105"/>
      <c r="I332" s="105"/>
      <c r="J332" s="105"/>
      <c r="K332" s="106"/>
    </row>
    <row r="333" spans="2:11" s="98" customFormat="1" ht="11.65" x14ac:dyDescent="0.35">
      <c r="B333" s="32"/>
      <c r="C333" s="105"/>
      <c r="D333" s="105"/>
      <c r="E333" s="105"/>
      <c r="F333" s="105"/>
      <c r="G333" s="105"/>
      <c r="H333" s="105"/>
      <c r="I333" s="105"/>
      <c r="J333" s="105"/>
      <c r="K333" s="106"/>
    </row>
    <row r="334" spans="2:11" s="98" customFormat="1" ht="11.65" x14ac:dyDescent="0.35">
      <c r="B334" s="32"/>
      <c r="C334" s="105"/>
      <c r="D334" s="105"/>
      <c r="E334" s="105"/>
      <c r="F334" s="105"/>
      <c r="G334" s="105"/>
      <c r="H334" s="105"/>
      <c r="I334" s="105"/>
      <c r="J334" s="105"/>
      <c r="K334" s="106"/>
    </row>
    <row r="335" spans="2:11" s="98" customFormat="1" ht="11.65" x14ac:dyDescent="0.35">
      <c r="B335" s="32"/>
      <c r="C335" s="105"/>
      <c r="D335" s="105"/>
      <c r="E335" s="105"/>
      <c r="F335" s="105"/>
      <c r="G335" s="105"/>
      <c r="H335" s="105"/>
      <c r="I335" s="105"/>
      <c r="J335" s="105"/>
      <c r="K335" s="106"/>
    </row>
    <row r="336" spans="2:11" s="98" customFormat="1" ht="11.65" x14ac:dyDescent="0.35">
      <c r="B336" s="32"/>
      <c r="C336" s="105"/>
      <c r="D336" s="105"/>
      <c r="E336" s="105"/>
      <c r="F336" s="105"/>
      <c r="G336" s="105"/>
      <c r="H336" s="105"/>
      <c r="I336" s="105"/>
      <c r="J336" s="105"/>
      <c r="K336" s="106"/>
    </row>
    <row r="337" spans="2:11" s="98" customFormat="1" ht="11.65" x14ac:dyDescent="0.35">
      <c r="B337" s="32"/>
      <c r="C337" s="105"/>
      <c r="D337" s="105"/>
      <c r="E337" s="105"/>
      <c r="F337" s="105"/>
      <c r="G337" s="105"/>
      <c r="H337" s="105"/>
      <c r="I337" s="105"/>
      <c r="J337" s="105"/>
      <c r="K337" s="106"/>
    </row>
    <row r="338" spans="2:11" s="98" customFormat="1" ht="11.65" x14ac:dyDescent="0.35">
      <c r="B338" s="32"/>
      <c r="C338" s="105"/>
      <c r="D338" s="105"/>
      <c r="E338" s="105"/>
      <c r="F338" s="105"/>
      <c r="G338" s="105"/>
      <c r="H338" s="105"/>
      <c r="I338" s="105"/>
      <c r="J338" s="105"/>
      <c r="K338" s="106"/>
    </row>
    <row r="339" spans="2:11" s="98" customFormat="1" ht="11.65" x14ac:dyDescent="0.35">
      <c r="B339" s="32"/>
      <c r="C339" s="105"/>
      <c r="D339" s="105"/>
      <c r="E339" s="105"/>
      <c r="F339" s="105"/>
      <c r="G339" s="105"/>
      <c r="H339" s="105"/>
      <c r="I339" s="105"/>
      <c r="J339" s="105"/>
      <c r="K339" s="106"/>
    </row>
    <row r="340" spans="2:11" s="98" customFormat="1" ht="11.65" x14ac:dyDescent="0.35">
      <c r="B340" s="32"/>
      <c r="C340" s="105"/>
      <c r="D340" s="105"/>
      <c r="E340" s="105"/>
      <c r="F340" s="105"/>
      <c r="G340" s="105"/>
      <c r="H340" s="105"/>
      <c r="I340" s="105"/>
      <c r="J340" s="105"/>
      <c r="K340" s="106"/>
    </row>
    <row r="341" spans="2:11" s="98" customFormat="1" ht="11.65" x14ac:dyDescent="0.35">
      <c r="B341" s="32"/>
      <c r="C341" s="105"/>
      <c r="D341" s="105"/>
      <c r="E341" s="105"/>
      <c r="F341" s="105"/>
      <c r="G341" s="105"/>
      <c r="H341" s="105"/>
      <c r="I341" s="105"/>
      <c r="J341" s="105"/>
      <c r="K341" s="106"/>
    </row>
    <row r="342" spans="2:11" s="98" customFormat="1" ht="11.65" x14ac:dyDescent="0.35">
      <c r="B342" s="32"/>
      <c r="C342" s="105"/>
      <c r="D342" s="105"/>
      <c r="E342" s="105"/>
      <c r="F342" s="105"/>
      <c r="G342" s="105"/>
      <c r="H342" s="105"/>
      <c r="I342" s="105"/>
      <c r="J342" s="105"/>
      <c r="K342" s="106"/>
    </row>
    <row r="343" spans="2:11" s="98" customFormat="1" ht="11.65" x14ac:dyDescent="0.35">
      <c r="B343" s="32"/>
      <c r="C343" s="105"/>
      <c r="D343" s="105"/>
      <c r="E343" s="105"/>
      <c r="F343" s="105"/>
      <c r="G343" s="105"/>
      <c r="H343" s="105"/>
      <c r="I343" s="105"/>
      <c r="J343" s="105"/>
      <c r="K343" s="106"/>
    </row>
    <row r="344" spans="2:11" s="98" customFormat="1" ht="11.65" x14ac:dyDescent="0.35">
      <c r="B344" s="32"/>
      <c r="C344" s="105"/>
      <c r="D344" s="105"/>
      <c r="E344" s="105"/>
      <c r="F344" s="105"/>
      <c r="G344" s="105"/>
      <c r="H344" s="105"/>
      <c r="I344" s="105"/>
      <c r="J344" s="105"/>
      <c r="K344" s="106"/>
    </row>
    <row r="345" spans="2:11" s="98" customFormat="1" ht="11.65" x14ac:dyDescent="0.35">
      <c r="B345" s="32"/>
      <c r="C345" s="105"/>
      <c r="D345" s="105"/>
      <c r="E345" s="105"/>
      <c r="F345" s="105"/>
      <c r="G345" s="105"/>
      <c r="H345" s="105"/>
      <c r="I345" s="105"/>
      <c r="J345" s="105"/>
      <c r="K345" s="106"/>
    </row>
    <row r="346" spans="2:11" s="98" customFormat="1" ht="11.65" x14ac:dyDescent="0.35">
      <c r="B346" s="32"/>
      <c r="C346" s="105"/>
      <c r="D346" s="105"/>
      <c r="E346" s="105"/>
      <c r="F346" s="105"/>
      <c r="G346" s="105"/>
      <c r="H346" s="105"/>
      <c r="I346" s="105"/>
      <c r="J346" s="105"/>
      <c r="K346" s="106"/>
    </row>
    <row r="347" spans="2:11" s="98" customFormat="1" ht="11.65" x14ac:dyDescent="0.35">
      <c r="B347" s="32"/>
      <c r="C347" s="105"/>
      <c r="D347" s="105"/>
      <c r="E347" s="105"/>
      <c r="F347" s="105"/>
      <c r="G347" s="105"/>
      <c r="H347" s="105"/>
      <c r="I347" s="105"/>
      <c r="J347" s="105"/>
      <c r="K347" s="106"/>
    </row>
    <row r="348" spans="2:11" s="1" customFormat="1" ht="14.25" collapsed="1" thickBot="1" x14ac:dyDescent="0.45">
      <c r="B348" s="9" t="s">
        <v>43</v>
      </c>
      <c r="C348" s="70"/>
      <c r="D348" s="70"/>
      <c r="E348" s="70"/>
      <c r="F348" s="70"/>
      <c r="G348" s="70"/>
      <c r="H348" s="70"/>
      <c r="I348" s="70"/>
      <c r="J348" s="70"/>
      <c r="K348" s="70"/>
    </row>
    <row r="349" spans="2:11" s="1" customFormat="1" x14ac:dyDescent="0.35"/>
    <row r="350" spans="2:11" s="1" customFormat="1" x14ac:dyDescent="0.35"/>
    <row r="351" spans="2:11" s="1" customFormat="1" ht="17.25" thickBot="1" x14ac:dyDescent="0.55000000000000004">
      <c r="B351" s="137" t="s">
        <v>87</v>
      </c>
      <c r="C351" s="137"/>
      <c r="D351" s="137"/>
      <c r="E351" s="137"/>
      <c r="F351" s="137"/>
      <c r="G351" s="137"/>
      <c r="H351" s="137"/>
      <c r="I351" s="137"/>
      <c r="J351" s="137"/>
      <c r="K351" s="137"/>
    </row>
    <row r="352" spans="2:11" s="1" customFormat="1" x14ac:dyDescent="0.35"/>
    <row r="353" spans="2:8" s="1" customFormat="1" ht="26.25" x14ac:dyDescent="0.35">
      <c r="B353" s="29" t="s">
        <v>36</v>
      </c>
      <c r="C353" s="12" t="s">
        <v>88</v>
      </c>
      <c r="D353" s="12" t="s">
        <v>89</v>
      </c>
      <c r="E353" s="12" t="s">
        <v>90</v>
      </c>
      <c r="F353" s="12" t="s">
        <v>91</v>
      </c>
      <c r="G353" s="12" t="s">
        <v>43</v>
      </c>
      <c r="H353" s="12" t="s">
        <v>92</v>
      </c>
    </row>
    <row r="354" spans="2:8" s="98" customFormat="1" ht="11.65" x14ac:dyDescent="0.35">
      <c r="B354" s="32"/>
      <c r="C354" s="107"/>
      <c r="D354" s="108"/>
      <c r="E354" s="108"/>
      <c r="F354" s="108"/>
      <c r="G354" s="108"/>
      <c r="H354" s="108"/>
    </row>
    <row r="355" spans="2:8" s="98" customFormat="1" ht="11.65" x14ac:dyDescent="0.35">
      <c r="B355" s="32"/>
      <c r="C355" s="107"/>
      <c r="D355" s="108"/>
      <c r="E355" s="108"/>
      <c r="F355" s="108"/>
      <c r="G355" s="108"/>
      <c r="H355" s="108"/>
    </row>
    <row r="356" spans="2:8" s="98" customFormat="1" ht="11.65" x14ac:dyDescent="0.35">
      <c r="B356" s="32"/>
      <c r="C356" s="107"/>
      <c r="D356" s="108"/>
      <c r="E356" s="108"/>
      <c r="F356" s="108"/>
      <c r="G356" s="108"/>
      <c r="H356" s="108"/>
    </row>
    <row r="357" spans="2:8" s="98" customFormat="1" ht="11.65" x14ac:dyDescent="0.35">
      <c r="B357" s="32"/>
      <c r="C357" s="107"/>
      <c r="D357" s="108"/>
      <c r="E357" s="108"/>
      <c r="F357" s="108"/>
      <c r="G357" s="108"/>
      <c r="H357" s="108"/>
    </row>
    <row r="358" spans="2:8" s="98" customFormat="1" ht="11.65" x14ac:dyDescent="0.35">
      <c r="B358" s="32"/>
      <c r="C358" s="107"/>
      <c r="D358" s="108"/>
      <c r="E358" s="108"/>
      <c r="F358" s="108"/>
      <c r="G358" s="108"/>
      <c r="H358" s="108"/>
    </row>
    <row r="359" spans="2:8" s="98" customFormat="1" ht="11.65" x14ac:dyDescent="0.35">
      <c r="B359" s="32"/>
      <c r="C359" s="107"/>
      <c r="D359" s="108"/>
      <c r="E359" s="108"/>
      <c r="F359" s="108"/>
      <c r="G359" s="108"/>
      <c r="H359" s="108"/>
    </row>
    <row r="360" spans="2:8" s="98" customFormat="1" ht="11.65" x14ac:dyDescent="0.35">
      <c r="B360" s="32"/>
      <c r="C360" s="107"/>
      <c r="D360" s="108"/>
      <c r="E360" s="108"/>
      <c r="F360" s="108"/>
      <c r="G360" s="108"/>
      <c r="H360" s="108"/>
    </row>
    <row r="361" spans="2:8" s="98" customFormat="1" ht="11.65" x14ac:dyDescent="0.35">
      <c r="B361" s="32"/>
      <c r="C361" s="107"/>
      <c r="D361" s="108"/>
      <c r="E361" s="108"/>
      <c r="F361" s="108"/>
      <c r="G361" s="108"/>
      <c r="H361" s="108"/>
    </row>
    <row r="362" spans="2:8" s="98" customFormat="1" ht="11.65" x14ac:dyDescent="0.35">
      <c r="B362" s="32"/>
      <c r="C362" s="107"/>
      <c r="D362" s="108"/>
      <c r="E362" s="108"/>
      <c r="F362" s="108"/>
      <c r="G362" s="108"/>
      <c r="H362" s="108"/>
    </row>
    <row r="363" spans="2:8" s="98" customFormat="1" ht="11.65" x14ac:dyDescent="0.35">
      <c r="B363" s="32"/>
      <c r="C363" s="107"/>
      <c r="D363" s="108"/>
      <c r="E363" s="108"/>
      <c r="F363" s="108"/>
      <c r="G363" s="108"/>
      <c r="H363" s="108"/>
    </row>
    <row r="364" spans="2:8" s="98" customFormat="1" ht="11.65" x14ac:dyDescent="0.35">
      <c r="B364" s="32"/>
      <c r="C364" s="107"/>
      <c r="D364" s="108"/>
      <c r="E364" s="108"/>
      <c r="F364" s="108"/>
      <c r="G364" s="108"/>
      <c r="H364" s="108"/>
    </row>
    <row r="365" spans="2:8" s="98" customFormat="1" ht="11.65" x14ac:dyDescent="0.35">
      <c r="B365" s="32"/>
      <c r="C365" s="107"/>
      <c r="D365" s="108"/>
      <c r="E365" s="108"/>
      <c r="F365" s="108"/>
      <c r="G365" s="108"/>
      <c r="H365" s="108"/>
    </row>
    <row r="366" spans="2:8" s="98" customFormat="1" ht="11.65" x14ac:dyDescent="0.35">
      <c r="B366" s="32"/>
      <c r="C366" s="107"/>
      <c r="D366" s="108"/>
      <c r="E366" s="108"/>
      <c r="F366" s="108"/>
      <c r="G366" s="108"/>
      <c r="H366" s="108"/>
    </row>
    <row r="367" spans="2:8" s="98" customFormat="1" ht="11.65" x14ac:dyDescent="0.35">
      <c r="B367" s="32"/>
      <c r="C367" s="107"/>
      <c r="D367" s="108"/>
      <c r="E367" s="108"/>
      <c r="F367" s="108"/>
      <c r="G367" s="108"/>
      <c r="H367" s="108"/>
    </row>
    <row r="368" spans="2:8" s="98" customFormat="1" ht="11.65" x14ac:dyDescent="0.35">
      <c r="B368" s="32"/>
      <c r="C368" s="107"/>
      <c r="D368" s="108"/>
      <c r="E368" s="108"/>
      <c r="F368" s="108"/>
      <c r="G368" s="108"/>
      <c r="H368" s="108"/>
    </row>
    <row r="369" spans="2:8" s="98" customFormat="1" ht="11.65" x14ac:dyDescent="0.35">
      <c r="B369" s="32"/>
      <c r="C369" s="107"/>
      <c r="D369" s="108"/>
      <c r="E369" s="108"/>
      <c r="F369" s="108"/>
      <c r="G369" s="108"/>
      <c r="H369" s="108"/>
    </row>
    <row r="370" spans="2:8" s="98" customFormat="1" ht="11.65" x14ac:dyDescent="0.35">
      <c r="B370" s="32"/>
      <c r="C370" s="107"/>
      <c r="D370" s="108"/>
      <c r="E370" s="108"/>
      <c r="F370" s="108"/>
      <c r="G370" s="108"/>
      <c r="H370" s="108"/>
    </row>
    <row r="371" spans="2:8" s="98" customFormat="1" ht="11.65" x14ac:dyDescent="0.35">
      <c r="B371" s="32"/>
      <c r="C371" s="107"/>
      <c r="D371" s="108"/>
      <c r="E371" s="108"/>
      <c r="F371" s="108"/>
      <c r="G371" s="108"/>
      <c r="H371" s="108"/>
    </row>
    <row r="372" spans="2:8" s="98" customFormat="1" ht="11.65" x14ac:dyDescent="0.35">
      <c r="B372" s="32"/>
      <c r="C372" s="107"/>
      <c r="D372" s="108"/>
      <c r="E372" s="108"/>
      <c r="F372" s="108"/>
      <c r="G372" s="108"/>
      <c r="H372" s="108"/>
    </row>
    <row r="373" spans="2:8" s="98" customFormat="1" ht="11.65" x14ac:dyDescent="0.35">
      <c r="B373" s="32"/>
      <c r="C373" s="107"/>
      <c r="D373" s="108"/>
      <c r="E373" s="108"/>
      <c r="F373" s="108"/>
      <c r="G373" s="108"/>
      <c r="H373" s="108"/>
    </row>
    <row r="374" spans="2:8" s="98" customFormat="1" ht="11.65" x14ac:dyDescent="0.35">
      <c r="B374" s="32"/>
      <c r="C374" s="107"/>
      <c r="D374" s="108"/>
      <c r="E374" s="108"/>
      <c r="F374" s="108"/>
      <c r="G374" s="108"/>
      <c r="H374" s="108"/>
    </row>
    <row r="375" spans="2:8" s="98" customFormat="1" ht="11.65" x14ac:dyDescent="0.35">
      <c r="B375" s="32"/>
      <c r="C375" s="107"/>
      <c r="D375" s="108"/>
      <c r="E375" s="108"/>
      <c r="F375" s="108"/>
      <c r="G375" s="108"/>
      <c r="H375" s="108"/>
    </row>
    <row r="376" spans="2:8" s="98" customFormat="1" ht="11.65" x14ac:dyDescent="0.35">
      <c r="B376" s="32"/>
      <c r="C376" s="107"/>
      <c r="D376" s="108"/>
      <c r="E376" s="108"/>
      <c r="F376" s="108"/>
      <c r="G376" s="108"/>
      <c r="H376" s="108"/>
    </row>
    <row r="377" spans="2:8" s="98" customFormat="1" ht="11.65" x14ac:dyDescent="0.35">
      <c r="B377" s="32"/>
      <c r="C377" s="107"/>
      <c r="D377" s="108"/>
      <c r="E377" s="108"/>
      <c r="F377" s="108"/>
      <c r="G377" s="108"/>
      <c r="H377" s="108"/>
    </row>
    <row r="378" spans="2:8" s="98" customFormat="1" ht="11.65" x14ac:dyDescent="0.35">
      <c r="B378" s="32"/>
      <c r="C378" s="107"/>
      <c r="D378" s="108"/>
      <c r="E378" s="108"/>
      <c r="F378" s="108"/>
      <c r="G378" s="108"/>
      <c r="H378" s="108"/>
    </row>
    <row r="379" spans="2:8" s="98" customFormat="1" ht="11.65" x14ac:dyDescent="0.35">
      <c r="B379" s="32"/>
      <c r="C379" s="107"/>
      <c r="D379" s="108"/>
      <c r="E379" s="108"/>
      <c r="F379" s="108"/>
      <c r="G379" s="108"/>
      <c r="H379" s="108"/>
    </row>
    <row r="380" spans="2:8" s="98" customFormat="1" ht="11.65" x14ac:dyDescent="0.35">
      <c r="B380" s="32"/>
      <c r="C380" s="107"/>
      <c r="D380" s="108"/>
      <c r="E380" s="108"/>
      <c r="F380" s="108"/>
      <c r="G380" s="108"/>
      <c r="H380" s="108"/>
    </row>
    <row r="381" spans="2:8" s="98" customFormat="1" ht="11.65" x14ac:dyDescent="0.35">
      <c r="B381" s="32"/>
      <c r="C381" s="107"/>
      <c r="D381" s="108"/>
      <c r="E381" s="108"/>
      <c r="F381" s="108"/>
      <c r="G381" s="108"/>
      <c r="H381" s="108"/>
    </row>
    <row r="382" spans="2:8" s="98" customFormat="1" ht="11.65" x14ac:dyDescent="0.35">
      <c r="B382" s="32"/>
      <c r="C382" s="107"/>
      <c r="D382" s="108"/>
      <c r="E382" s="108"/>
      <c r="F382" s="108"/>
      <c r="G382" s="108"/>
      <c r="H382" s="108"/>
    </row>
    <row r="383" spans="2:8" s="98" customFormat="1" ht="11.65" x14ac:dyDescent="0.35">
      <c r="B383" s="32"/>
      <c r="C383" s="107"/>
      <c r="D383" s="108"/>
      <c r="E383" s="108"/>
      <c r="F383" s="108"/>
      <c r="G383" s="108"/>
      <c r="H383" s="108"/>
    </row>
    <row r="384" spans="2:8" s="98" customFormat="1" ht="11.65" x14ac:dyDescent="0.35">
      <c r="B384" s="32"/>
      <c r="C384" s="107"/>
      <c r="D384" s="108"/>
      <c r="E384" s="108"/>
      <c r="F384" s="108"/>
      <c r="G384" s="108"/>
      <c r="H384" s="108"/>
    </row>
    <row r="385" spans="2:8" s="98" customFormat="1" ht="11.65" x14ac:dyDescent="0.35">
      <c r="B385" s="32"/>
      <c r="C385" s="107"/>
      <c r="D385" s="108"/>
      <c r="E385" s="108"/>
      <c r="F385" s="108"/>
      <c r="G385" s="108"/>
      <c r="H385" s="108"/>
    </row>
    <row r="386" spans="2:8" s="98" customFormat="1" ht="11.65" x14ac:dyDescent="0.35">
      <c r="B386" s="32"/>
      <c r="C386" s="107"/>
      <c r="D386" s="108"/>
      <c r="E386" s="108"/>
      <c r="F386" s="108"/>
      <c r="G386" s="108"/>
      <c r="H386" s="108"/>
    </row>
    <row r="387" spans="2:8" s="98" customFormat="1" ht="11.65" x14ac:dyDescent="0.35">
      <c r="B387" s="32"/>
      <c r="C387" s="107"/>
      <c r="D387" s="108"/>
      <c r="E387" s="108"/>
      <c r="F387" s="108"/>
      <c r="G387" s="108"/>
      <c r="H387" s="108"/>
    </row>
    <row r="388" spans="2:8" s="98" customFormat="1" ht="11.65" x14ac:dyDescent="0.35">
      <c r="B388" s="32"/>
      <c r="C388" s="107"/>
      <c r="D388" s="108"/>
      <c r="E388" s="108"/>
      <c r="F388" s="108"/>
      <c r="G388" s="108"/>
      <c r="H388" s="108"/>
    </row>
    <row r="389" spans="2:8" s="98" customFormat="1" ht="11.65" x14ac:dyDescent="0.35">
      <c r="B389" s="32"/>
      <c r="C389" s="107"/>
      <c r="D389" s="108"/>
      <c r="E389" s="108"/>
      <c r="F389" s="108"/>
      <c r="G389" s="108"/>
      <c r="H389" s="108"/>
    </row>
    <row r="390" spans="2:8" s="98" customFormat="1" ht="11.65" x14ac:dyDescent="0.35">
      <c r="B390" s="32"/>
      <c r="C390" s="107"/>
      <c r="D390" s="108"/>
      <c r="E390" s="108"/>
      <c r="F390" s="108"/>
      <c r="G390" s="108"/>
      <c r="H390" s="108"/>
    </row>
    <row r="391" spans="2:8" s="98" customFormat="1" ht="11.65" x14ac:dyDescent="0.35">
      <c r="B391" s="32"/>
      <c r="C391" s="107"/>
      <c r="D391" s="108"/>
      <c r="E391" s="108"/>
      <c r="F391" s="108"/>
      <c r="G391" s="108"/>
      <c r="H391" s="108"/>
    </row>
    <row r="392" spans="2:8" s="98" customFormat="1" ht="11.65" x14ac:dyDescent="0.35">
      <c r="B392" s="32"/>
      <c r="C392" s="107"/>
      <c r="D392" s="108"/>
      <c r="E392" s="108"/>
      <c r="F392" s="108"/>
      <c r="G392" s="108"/>
      <c r="H392" s="108"/>
    </row>
    <row r="393" spans="2:8" s="98" customFormat="1" ht="11.65" x14ac:dyDescent="0.35">
      <c r="B393" s="32"/>
      <c r="C393" s="107"/>
      <c r="D393" s="108"/>
      <c r="E393" s="108"/>
      <c r="F393" s="108"/>
      <c r="G393" s="108"/>
      <c r="H393" s="108"/>
    </row>
    <row r="394" spans="2:8" s="98" customFormat="1" ht="11.65" x14ac:dyDescent="0.35">
      <c r="B394" s="32"/>
      <c r="C394" s="107"/>
      <c r="D394" s="108"/>
      <c r="E394" s="108"/>
      <c r="F394" s="108"/>
      <c r="G394" s="108"/>
      <c r="H394" s="108"/>
    </row>
    <row r="395" spans="2:8" s="98" customFormat="1" ht="11.65" x14ac:dyDescent="0.35">
      <c r="B395" s="32"/>
      <c r="C395" s="107"/>
      <c r="D395" s="108"/>
      <c r="E395" s="108"/>
      <c r="F395" s="108"/>
      <c r="G395" s="108"/>
      <c r="H395" s="108"/>
    </row>
    <row r="396" spans="2:8" s="98" customFormat="1" ht="11.65" x14ac:dyDescent="0.35">
      <c r="B396" s="32"/>
      <c r="C396" s="107"/>
      <c r="D396" s="108"/>
      <c r="E396" s="108"/>
      <c r="F396" s="108"/>
      <c r="G396" s="108"/>
      <c r="H396" s="108"/>
    </row>
    <row r="397" spans="2:8" s="98" customFormat="1" ht="11.65" x14ac:dyDescent="0.35">
      <c r="B397" s="32"/>
      <c r="C397" s="107"/>
      <c r="D397" s="108"/>
      <c r="E397" s="108"/>
      <c r="F397" s="108"/>
      <c r="G397" s="108"/>
      <c r="H397" s="108"/>
    </row>
    <row r="398" spans="2:8" s="98" customFormat="1" ht="11.65" x14ac:dyDescent="0.35">
      <c r="B398" s="32"/>
      <c r="C398" s="107"/>
      <c r="D398" s="108"/>
      <c r="E398" s="108"/>
      <c r="F398" s="108"/>
      <c r="G398" s="108"/>
      <c r="H398" s="108"/>
    </row>
    <row r="399" spans="2:8" s="98" customFormat="1" ht="11.65" x14ac:dyDescent="0.35">
      <c r="B399" s="32"/>
      <c r="C399" s="107"/>
      <c r="D399" s="108"/>
      <c r="E399" s="108"/>
      <c r="F399" s="108"/>
      <c r="G399" s="108"/>
      <c r="H399" s="108"/>
    </row>
    <row r="400" spans="2:8" s="98" customFormat="1" ht="11.65" x14ac:dyDescent="0.35">
      <c r="B400" s="32"/>
      <c r="C400" s="107"/>
      <c r="D400" s="108"/>
      <c r="E400" s="108"/>
      <c r="F400" s="108"/>
      <c r="G400" s="108"/>
      <c r="H400" s="108"/>
    </row>
    <row r="401" spans="2:11" s="98" customFormat="1" ht="11.65" x14ac:dyDescent="0.35">
      <c r="B401" s="32"/>
      <c r="C401" s="107"/>
      <c r="D401" s="108"/>
      <c r="E401" s="108"/>
      <c r="F401" s="108"/>
      <c r="G401" s="108"/>
      <c r="H401" s="108"/>
    </row>
    <row r="402" spans="2:11" s="98" customFormat="1" ht="11.65" x14ac:dyDescent="0.35">
      <c r="B402" s="32"/>
      <c r="C402" s="107"/>
      <c r="D402" s="108"/>
      <c r="E402" s="108"/>
      <c r="F402" s="108"/>
      <c r="G402" s="108"/>
      <c r="H402" s="108"/>
    </row>
    <row r="403" spans="2:11" s="98" customFormat="1" ht="11.65" x14ac:dyDescent="0.35">
      <c r="B403" s="32"/>
      <c r="C403" s="107"/>
      <c r="D403" s="108"/>
      <c r="E403" s="108"/>
      <c r="F403" s="108"/>
      <c r="G403" s="108"/>
      <c r="H403" s="108"/>
    </row>
    <row r="404" spans="2:11" s="1" customFormat="1" ht="14.25" collapsed="1" thickBot="1" x14ac:dyDescent="0.45">
      <c r="B404" s="9" t="s">
        <v>93</v>
      </c>
      <c r="C404" s="121"/>
      <c r="D404" s="121"/>
      <c r="E404" s="121"/>
      <c r="F404" s="121"/>
      <c r="G404" s="25"/>
      <c r="H404" s="121"/>
    </row>
    <row r="405" spans="2:11" s="1" customFormat="1" x14ac:dyDescent="0.35"/>
    <row r="406" spans="2:11" s="1" customFormat="1" x14ac:dyDescent="0.35"/>
    <row r="407" spans="2:11" s="1" customFormat="1" ht="17.25" thickBot="1" x14ac:dyDescent="0.55000000000000004">
      <c r="B407" s="137" t="s">
        <v>94</v>
      </c>
      <c r="C407" s="137"/>
      <c r="D407" s="137"/>
      <c r="E407" s="137"/>
      <c r="F407" s="137"/>
      <c r="G407" s="137"/>
      <c r="H407" s="137"/>
      <c r="I407" s="137"/>
      <c r="J407" s="137"/>
      <c r="K407" s="137"/>
    </row>
    <row r="408" spans="2:11" s="1" customFormat="1" x14ac:dyDescent="0.35"/>
    <row r="409" spans="2:11" s="1" customFormat="1" ht="39.4" x14ac:dyDescent="0.35">
      <c r="B409" s="29" t="s">
        <v>36</v>
      </c>
      <c r="C409" s="10" t="s">
        <v>95</v>
      </c>
      <c r="D409" s="10" t="s">
        <v>96</v>
      </c>
      <c r="E409" s="10" t="s">
        <v>97</v>
      </c>
      <c r="F409" s="10" t="s">
        <v>98</v>
      </c>
      <c r="G409" s="10" t="s">
        <v>99</v>
      </c>
      <c r="H409" s="10" t="s">
        <v>100</v>
      </c>
      <c r="I409" s="13" t="s">
        <v>101</v>
      </c>
      <c r="J409" s="22"/>
    </row>
    <row r="410" spans="2:11" s="98" customFormat="1" ht="11.65" x14ac:dyDescent="0.35">
      <c r="B410" s="32"/>
      <c r="C410" s="109"/>
      <c r="D410" s="109"/>
      <c r="E410" s="109"/>
      <c r="F410" s="109"/>
      <c r="G410" s="110"/>
      <c r="H410" s="109"/>
      <c r="I410" s="111"/>
      <c r="J410" s="112"/>
    </row>
    <row r="411" spans="2:11" s="98" customFormat="1" ht="11.65" x14ac:dyDescent="0.35">
      <c r="B411" s="32"/>
      <c r="C411" s="113"/>
      <c r="D411" s="113"/>
      <c r="E411" s="113"/>
      <c r="F411" s="113"/>
      <c r="G411" s="114"/>
      <c r="H411" s="113"/>
      <c r="I411" s="115"/>
    </row>
    <row r="412" spans="2:11" s="98" customFormat="1" ht="11.65" x14ac:dyDescent="0.35">
      <c r="B412" s="32"/>
      <c r="C412" s="113"/>
      <c r="D412" s="113"/>
      <c r="E412" s="113"/>
      <c r="F412" s="113"/>
      <c r="G412" s="114"/>
      <c r="H412" s="113"/>
      <c r="I412" s="115"/>
    </row>
    <row r="413" spans="2:11" s="98" customFormat="1" ht="11.65" x14ac:dyDescent="0.35">
      <c r="B413" s="32"/>
      <c r="C413" s="113"/>
      <c r="D413" s="113"/>
      <c r="E413" s="113"/>
      <c r="F413" s="113"/>
      <c r="G413" s="114"/>
      <c r="H413" s="113"/>
      <c r="I413" s="115"/>
    </row>
    <row r="414" spans="2:11" s="98" customFormat="1" ht="11.65" x14ac:dyDescent="0.35">
      <c r="B414" s="32"/>
      <c r="C414" s="113"/>
      <c r="D414" s="113"/>
      <c r="E414" s="113"/>
      <c r="F414" s="113"/>
      <c r="G414" s="114"/>
      <c r="H414" s="113"/>
      <c r="I414" s="115"/>
    </row>
    <row r="415" spans="2:11" s="98" customFormat="1" ht="11.65" x14ac:dyDescent="0.35">
      <c r="B415" s="32"/>
      <c r="C415" s="113"/>
      <c r="D415" s="113"/>
      <c r="E415" s="113"/>
      <c r="F415" s="113"/>
      <c r="G415" s="114"/>
      <c r="H415" s="113"/>
      <c r="I415" s="115"/>
    </row>
    <row r="416" spans="2:11" s="98" customFormat="1" ht="11.65" x14ac:dyDescent="0.35">
      <c r="B416" s="32"/>
      <c r="C416" s="113"/>
      <c r="D416" s="113"/>
      <c r="E416" s="113"/>
      <c r="F416" s="113"/>
      <c r="G416" s="114"/>
      <c r="H416" s="113"/>
      <c r="I416" s="115"/>
    </row>
    <row r="417" spans="2:9" s="98" customFormat="1" ht="11.65" x14ac:dyDescent="0.35">
      <c r="B417" s="32"/>
      <c r="C417" s="113"/>
      <c r="D417" s="113"/>
      <c r="E417" s="113"/>
      <c r="F417" s="113"/>
      <c r="G417" s="114"/>
      <c r="H417" s="113"/>
      <c r="I417" s="115"/>
    </row>
    <row r="418" spans="2:9" s="98" customFormat="1" ht="11.65" x14ac:dyDescent="0.35">
      <c r="B418" s="32"/>
      <c r="C418" s="113"/>
      <c r="D418" s="113"/>
      <c r="E418" s="113"/>
      <c r="F418" s="113"/>
      <c r="G418" s="114"/>
      <c r="H418" s="113"/>
      <c r="I418" s="115"/>
    </row>
    <row r="419" spans="2:9" s="98" customFormat="1" ht="11.65" x14ac:dyDescent="0.35">
      <c r="B419" s="32"/>
      <c r="C419" s="113"/>
      <c r="D419" s="113"/>
      <c r="E419" s="113"/>
      <c r="F419" s="113"/>
      <c r="G419" s="114"/>
      <c r="H419" s="113"/>
      <c r="I419" s="115"/>
    </row>
    <row r="420" spans="2:9" s="98" customFormat="1" ht="11.65" x14ac:dyDescent="0.35">
      <c r="B420" s="32"/>
      <c r="C420" s="113"/>
      <c r="D420" s="113"/>
      <c r="E420" s="113"/>
      <c r="F420" s="113"/>
      <c r="G420" s="114"/>
      <c r="H420" s="113"/>
      <c r="I420" s="115"/>
    </row>
    <row r="421" spans="2:9" s="98" customFormat="1" ht="11.65" x14ac:dyDescent="0.35">
      <c r="B421" s="32"/>
      <c r="C421" s="113"/>
      <c r="D421" s="113"/>
      <c r="E421" s="113"/>
      <c r="F421" s="113"/>
      <c r="G421" s="114"/>
      <c r="H421" s="113"/>
      <c r="I421" s="115"/>
    </row>
    <row r="422" spans="2:9" s="98" customFormat="1" ht="11.65" x14ac:dyDescent="0.35">
      <c r="B422" s="32"/>
      <c r="C422" s="113"/>
      <c r="D422" s="113"/>
      <c r="E422" s="113"/>
      <c r="F422" s="113"/>
      <c r="G422" s="114"/>
      <c r="H422" s="113"/>
      <c r="I422" s="115"/>
    </row>
    <row r="423" spans="2:9" s="98" customFormat="1" ht="11.65" x14ac:dyDescent="0.35">
      <c r="B423" s="32"/>
      <c r="C423" s="113"/>
      <c r="D423" s="113"/>
      <c r="E423" s="113"/>
      <c r="F423" s="113"/>
      <c r="G423" s="114"/>
      <c r="H423" s="113"/>
      <c r="I423" s="115"/>
    </row>
    <row r="424" spans="2:9" s="98" customFormat="1" ht="11.65" x14ac:dyDescent="0.35">
      <c r="B424" s="32"/>
      <c r="C424" s="113"/>
      <c r="D424" s="113"/>
      <c r="E424" s="113"/>
      <c r="F424" s="113"/>
      <c r="G424" s="114"/>
      <c r="H424" s="113"/>
      <c r="I424" s="115"/>
    </row>
    <row r="425" spans="2:9" s="98" customFormat="1" ht="11.65" x14ac:dyDescent="0.35">
      <c r="B425" s="32"/>
      <c r="C425" s="113"/>
      <c r="D425" s="113"/>
      <c r="E425" s="113"/>
      <c r="F425" s="113"/>
      <c r="G425" s="114"/>
      <c r="H425" s="113"/>
      <c r="I425" s="115"/>
    </row>
    <row r="426" spans="2:9" s="98" customFormat="1" ht="11.65" x14ac:dyDescent="0.35">
      <c r="B426" s="32"/>
      <c r="C426" s="113"/>
      <c r="D426" s="113"/>
      <c r="E426" s="113"/>
      <c r="F426" s="113"/>
      <c r="G426" s="114"/>
      <c r="H426" s="113"/>
      <c r="I426" s="115"/>
    </row>
    <row r="427" spans="2:9" s="98" customFormat="1" ht="11.65" x14ac:dyDescent="0.35">
      <c r="B427" s="32"/>
      <c r="C427" s="113"/>
      <c r="D427" s="113"/>
      <c r="E427" s="113"/>
      <c r="F427" s="113"/>
      <c r="G427" s="114"/>
      <c r="H427" s="113"/>
      <c r="I427" s="115"/>
    </row>
    <row r="428" spans="2:9" s="98" customFormat="1" ht="11.65" x14ac:dyDescent="0.35">
      <c r="B428" s="32"/>
      <c r="C428" s="113"/>
      <c r="D428" s="113"/>
      <c r="E428" s="113"/>
      <c r="F428" s="113"/>
      <c r="G428" s="114"/>
      <c r="H428" s="113"/>
      <c r="I428" s="115"/>
    </row>
    <row r="429" spans="2:9" s="98" customFormat="1" ht="11.65" x14ac:dyDescent="0.35">
      <c r="B429" s="32"/>
      <c r="C429" s="113"/>
      <c r="D429" s="113"/>
      <c r="E429" s="113"/>
      <c r="F429" s="113"/>
      <c r="G429" s="114"/>
      <c r="H429" s="113"/>
      <c r="I429" s="115"/>
    </row>
    <row r="430" spans="2:9" s="98" customFormat="1" ht="11.65" x14ac:dyDescent="0.35">
      <c r="B430" s="32"/>
      <c r="C430" s="113"/>
      <c r="D430" s="113"/>
      <c r="E430" s="113"/>
      <c r="F430" s="113"/>
      <c r="G430" s="114"/>
      <c r="H430" s="113"/>
      <c r="I430" s="115"/>
    </row>
    <row r="431" spans="2:9" s="98" customFormat="1" ht="11.65" x14ac:dyDescent="0.35">
      <c r="B431" s="32"/>
      <c r="C431" s="113"/>
      <c r="D431" s="113"/>
      <c r="E431" s="113"/>
      <c r="F431" s="113"/>
      <c r="G431" s="114"/>
      <c r="H431" s="113"/>
      <c r="I431" s="115"/>
    </row>
    <row r="432" spans="2:9" s="98" customFormat="1" ht="11.65" x14ac:dyDescent="0.35">
      <c r="B432" s="32"/>
      <c r="C432" s="113"/>
      <c r="D432" s="113"/>
      <c r="E432" s="113"/>
      <c r="F432" s="113"/>
      <c r="G432" s="114"/>
      <c r="H432" s="113"/>
      <c r="I432" s="115"/>
    </row>
    <row r="433" spans="2:9" s="98" customFormat="1" ht="11.65" x14ac:dyDescent="0.35">
      <c r="B433" s="32"/>
      <c r="C433" s="113"/>
      <c r="D433" s="113"/>
      <c r="E433" s="113"/>
      <c r="F433" s="113"/>
      <c r="G433" s="114"/>
      <c r="H433" s="113"/>
      <c r="I433" s="115"/>
    </row>
    <row r="434" spans="2:9" s="98" customFormat="1" ht="11.65" x14ac:dyDescent="0.35">
      <c r="B434" s="32"/>
      <c r="C434" s="113"/>
      <c r="D434" s="113"/>
      <c r="E434" s="113"/>
      <c r="F434" s="113"/>
      <c r="G434" s="114"/>
      <c r="H434" s="113"/>
      <c r="I434" s="115"/>
    </row>
    <row r="435" spans="2:9" s="98" customFormat="1" ht="11.65" x14ac:dyDescent="0.35">
      <c r="B435" s="32"/>
      <c r="C435" s="113"/>
      <c r="D435" s="113"/>
      <c r="E435" s="113"/>
      <c r="F435" s="113"/>
      <c r="G435" s="114"/>
      <c r="H435" s="113"/>
      <c r="I435" s="115"/>
    </row>
    <row r="436" spans="2:9" s="98" customFormat="1" ht="11.65" x14ac:dyDescent="0.35">
      <c r="B436" s="32"/>
      <c r="C436" s="113"/>
      <c r="D436" s="113"/>
      <c r="E436" s="113"/>
      <c r="F436" s="113"/>
      <c r="G436" s="114"/>
      <c r="H436" s="113"/>
      <c r="I436" s="115"/>
    </row>
    <row r="437" spans="2:9" s="98" customFormat="1" ht="11.65" x14ac:dyDescent="0.35">
      <c r="B437" s="32"/>
      <c r="C437" s="113"/>
      <c r="D437" s="113"/>
      <c r="E437" s="113"/>
      <c r="F437" s="113"/>
      <c r="G437" s="114"/>
      <c r="H437" s="113"/>
      <c r="I437" s="115"/>
    </row>
    <row r="438" spans="2:9" s="98" customFormat="1" ht="11.65" x14ac:dyDescent="0.35">
      <c r="B438" s="32"/>
      <c r="C438" s="113"/>
      <c r="D438" s="113"/>
      <c r="E438" s="113"/>
      <c r="F438" s="113"/>
      <c r="G438" s="114"/>
      <c r="H438" s="113"/>
      <c r="I438" s="115"/>
    </row>
    <row r="439" spans="2:9" s="98" customFormat="1" ht="11.65" x14ac:dyDescent="0.35">
      <c r="B439" s="32"/>
      <c r="C439" s="113"/>
      <c r="D439" s="113"/>
      <c r="E439" s="113"/>
      <c r="F439" s="113"/>
      <c r="G439" s="114"/>
      <c r="H439" s="113"/>
      <c r="I439" s="115"/>
    </row>
    <row r="440" spans="2:9" s="98" customFormat="1" ht="11.65" x14ac:dyDescent="0.35">
      <c r="B440" s="32"/>
      <c r="C440" s="113"/>
      <c r="D440" s="113"/>
      <c r="E440" s="113"/>
      <c r="F440" s="113"/>
      <c r="G440" s="114"/>
      <c r="H440" s="113"/>
      <c r="I440" s="115"/>
    </row>
    <row r="441" spans="2:9" s="98" customFormat="1" ht="11.65" x14ac:dyDescent="0.35">
      <c r="B441" s="32"/>
      <c r="C441" s="113"/>
      <c r="D441" s="113"/>
      <c r="E441" s="113"/>
      <c r="F441" s="113"/>
      <c r="G441" s="114"/>
      <c r="H441" s="113"/>
      <c r="I441" s="115"/>
    </row>
    <row r="442" spans="2:9" s="98" customFormat="1" ht="11.65" x14ac:dyDescent="0.35">
      <c r="B442" s="32"/>
      <c r="C442" s="113"/>
      <c r="D442" s="113"/>
      <c r="E442" s="113"/>
      <c r="F442" s="113"/>
      <c r="G442" s="114"/>
      <c r="H442" s="113"/>
      <c r="I442" s="115"/>
    </row>
    <row r="443" spans="2:9" s="98" customFormat="1" ht="11.65" x14ac:dyDescent="0.35">
      <c r="B443" s="32"/>
      <c r="C443" s="113"/>
      <c r="D443" s="113"/>
      <c r="E443" s="113"/>
      <c r="F443" s="113"/>
      <c r="G443" s="114"/>
      <c r="H443" s="113"/>
      <c r="I443" s="115"/>
    </row>
    <row r="444" spans="2:9" s="98" customFormat="1" ht="11.65" x14ac:dyDescent="0.35">
      <c r="B444" s="32"/>
      <c r="C444" s="113"/>
      <c r="D444" s="113"/>
      <c r="E444" s="113"/>
      <c r="F444" s="113"/>
      <c r="G444" s="114"/>
      <c r="H444" s="113"/>
      <c r="I444" s="115"/>
    </row>
    <row r="445" spans="2:9" s="98" customFormat="1" ht="11.65" x14ac:dyDescent="0.35">
      <c r="B445" s="32"/>
      <c r="C445" s="113"/>
      <c r="D445" s="113"/>
      <c r="E445" s="113"/>
      <c r="F445" s="113"/>
      <c r="G445" s="114"/>
      <c r="H445" s="113"/>
      <c r="I445" s="115"/>
    </row>
    <row r="446" spans="2:9" s="98" customFormat="1" ht="11.65" x14ac:dyDescent="0.35">
      <c r="B446" s="32"/>
      <c r="C446" s="113"/>
      <c r="D446" s="113"/>
      <c r="E446" s="113"/>
      <c r="F446" s="113"/>
      <c r="G446" s="114"/>
      <c r="H446" s="113"/>
      <c r="I446" s="115"/>
    </row>
    <row r="447" spans="2:9" s="98" customFormat="1" ht="11.65" x14ac:dyDescent="0.35">
      <c r="B447" s="32"/>
      <c r="C447" s="113"/>
      <c r="D447" s="113"/>
      <c r="E447" s="113"/>
      <c r="F447" s="113"/>
      <c r="G447" s="114"/>
      <c r="H447" s="113"/>
      <c r="I447" s="115"/>
    </row>
    <row r="448" spans="2:9" s="98" customFormat="1" ht="11.65" x14ac:dyDescent="0.35">
      <c r="B448" s="32"/>
      <c r="C448" s="113"/>
      <c r="D448" s="113"/>
      <c r="E448" s="113"/>
      <c r="F448" s="113"/>
      <c r="G448" s="114"/>
      <c r="H448" s="113"/>
      <c r="I448" s="115"/>
    </row>
    <row r="449" spans="2:10" s="98" customFormat="1" ht="11.65" x14ac:dyDescent="0.35">
      <c r="B449" s="32"/>
      <c r="C449" s="113"/>
      <c r="D449" s="113"/>
      <c r="E449" s="113"/>
      <c r="F449" s="113"/>
      <c r="G449" s="114"/>
      <c r="H449" s="113"/>
      <c r="I449" s="115"/>
    </row>
    <row r="450" spans="2:10" s="98" customFormat="1" ht="11.65" x14ac:dyDescent="0.35">
      <c r="B450" s="32"/>
      <c r="C450" s="113"/>
      <c r="D450" s="113"/>
      <c r="E450" s="113"/>
      <c r="F450" s="113"/>
      <c r="G450" s="114"/>
      <c r="H450" s="113"/>
      <c r="I450" s="115"/>
    </row>
    <row r="451" spans="2:10" s="98" customFormat="1" ht="11.65" x14ac:dyDescent="0.35">
      <c r="B451" s="32"/>
      <c r="C451" s="113"/>
      <c r="D451" s="113"/>
      <c r="E451" s="113"/>
      <c r="F451" s="113"/>
      <c r="G451" s="114"/>
      <c r="H451" s="113"/>
      <c r="I451" s="115"/>
    </row>
    <row r="452" spans="2:10" s="98" customFormat="1" ht="11.65" x14ac:dyDescent="0.35">
      <c r="B452" s="32"/>
      <c r="C452" s="113"/>
      <c r="D452" s="113"/>
      <c r="E452" s="113"/>
      <c r="F452" s="113"/>
      <c r="G452" s="114"/>
      <c r="H452" s="113"/>
      <c r="I452" s="115"/>
    </row>
    <row r="453" spans="2:10" s="98" customFormat="1" ht="11.65" x14ac:dyDescent="0.35">
      <c r="B453" s="32"/>
      <c r="C453" s="113"/>
      <c r="D453" s="113"/>
      <c r="E453" s="113"/>
      <c r="F453" s="113"/>
      <c r="G453" s="114"/>
      <c r="H453" s="113"/>
      <c r="I453" s="115"/>
    </row>
    <row r="454" spans="2:10" s="98" customFormat="1" ht="11.65" x14ac:dyDescent="0.35">
      <c r="B454" s="32"/>
      <c r="C454" s="113"/>
      <c r="D454" s="113"/>
      <c r="E454" s="113"/>
      <c r="F454" s="113"/>
      <c r="G454" s="114"/>
      <c r="H454" s="113"/>
      <c r="I454" s="115"/>
    </row>
    <row r="455" spans="2:10" s="98" customFormat="1" ht="11.65" x14ac:dyDescent="0.35">
      <c r="B455" s="32"/>
      <c r="C455" s="113"/>
      <c r="D455" s="113"/>
      <c r="E455" s="113"/>
      <c r="F455" s="113"/>
      <c r="G455" s="114"/>
      <c r="H455" s="113"/>
      <c r="I455" s="115"/>
    </row>
    <row r="456" spans="2:10" s="98" customFormat="1" ht="11.65" x14ac:dyDescent="0.35">
      <c r="B456" s="32"/>
      <c r="C456" s="113"/>
      <c r="D456" s="113"/>
      <c r="E456" s="113"/>
      <c r="F456" s="113"/>
      <c r="G456" s="114"/>
      <c r="H456" s="113"/>
      <c r="I456" s="115"/>
    </row>
    <row r="457" spans="2:10" s="98" customFormat="1" ht="11.65" x14ac:dyDescent="0.35">
      <c r="B457" s="32"/>
      <c r="C457" s="113"/>
      <c r="D457" s="113"/>
      <c r="E457" s="113"/>
      <c r="F457" s="113"/>
      <c r="G457" s="114"/>
      <c r="H457" s="113"/>
      <c r="I457" s="115"/>
    </row>
    <row r="458" spans="2:10" s="98" customFormat="1" ht="11.65" x14ac:dyDescent="0.35">
      <c r="B458" s="32"/>
      <c r="C458" s="113"/>
      <c r="D458" s="113"/>
      <c r="E458" s="113"/>
      <c r="F458" s="113"/>
      <c r="G458" s="114"/>
      <c r="H458" s="113"/>
      <c r="I458" s="115"/>
    </row>
    <row r="459" spans="2:10" s="98" customFormat="1" ht="11.65" x14ac:dyDescent="0.35">
      <c r="B459" s="32"/>
      <c r="C459" s="116"/>
      <c r="D459" s="116"/>
      <c r="E459" s="116"/>
      <c r="F459" s="116"/>
      <c r="G459" s="117"/>
      <c r="H459" s="116"/>
      <c r="I459" s="118"/>
      <c r="J459" s="119"/>
    </row>
    <row r="460" spans="2:10" s="1" customFormat="1" ht="13.9" collapsed="1" x14ac:dyDescent="0.4">
      <c r="B460" s="120"/>
      <c r="C460" s="96"/>
      <c r="D460" s="96"/>
      <c r="E460" s="96"/>
      <c r="F460" s="96"/>
      <c r="G460" s="96"/>
      <c r="H460" s="96"/>
      <c r="I460" s="96"/>
      <c r="J460" s="96"/>
    </row>
    <row r="461" spans="2:10" s="1" customFormat="1" x14ac:dyDescent="0.35"/>
    <row r="462" spans="2:10" s="1" customFormat="1" x14ac:dyDescent="0.35"/>
    <row r="463" spans="2:10" s="1" customFormat="1" x14ac:dyDescent="0.35"/>
    <row r="464" spans="2:10" s="1" customFormat="1" x14ac:dyDescent="0.35"/>
    <row r="465" s="1" customFormat="1" x14ac:dyDescent="0.35"/>
    <row r="466" s="1" customFormat="1" x14ac:dyDescent="0.35"/>
    <row r="467" s="1" customFormat="1" x14ac:dyDescent="0.35"/>
    <row r="468" s="1" customFormat="1" x14ac:dyDescent="0.35"/>
    <row r="469" s="1" customFormat="1" x14ac:dyDescent="0.35"/>
    <row r="470" s="1" customFormat="1" x14ac:dyDescent="0.35"/>
    <row r="471" s="1" customFormat="1" x14ac:dyDescent="0.35"/>
    <row r="472" s="1" customFormat="1" x14ac:dyDescent="0.35"/>
    <row r="473" s="1" customFormat="1" x14ac:dyDescent="0.35"/>
    <row r="474" s="1" customFormat="1" x14ac:dyDescent="0.35"/>
    <row r="475" s="1" customFormat="1" x14ac:dyDescent="0.35"/>
    <row r="476" s="1" customFormat="1" x14ac:dyDescent="0.35"/>
    <row r="477" s="1" customFormat="1" x14ac:dyDescent="0.35"/>
    <row r="478" s="1" customFormat="1" x14ac:dyDescent="0.35"/>
    <row r="479" s="1" customFormat="1" x14ac:dyDescent="0.35"/>
    <row r="480" s="1" customFormat="1" x14ac:dyDescent="0.35"/>
    <row r="481" s="1" customFormat="1" x14ac:dyDescent="0.35"/>
    <row r="482" s="1" customFormat="1" x14ac:dyDescent="0.35"/>
    <row r="483" s="1" customFormat="1" x14ac:dyDescent="0.35"/>
    <row r="484" s="1" customFormat="1" x14ac:dyDescent="0.35"/>
    <row r="485" s="1" customFormat="1" x14ac:dyDescent="0.35"/>
    <row r="486" s="1" customFormat="1" x14ac:dyDescent="0.35"/>
    <row r="487" s="1" customFormat="1" x14ac:dyDescent="0.35"/>
    <row r="488" s="1" customFormat="1" x14ac:dyDescent="0.35"/>
    <row r="489" s="1" customFormat="1" x14ac:dyDescent="0.35"/>
    <row r="490" s="1" customFormat="1" x14ac:dyDescent="0.35"/>
    <row r="491" s="1" customFormat="1" x14ac:dyDescent="0.35"/>
    <row r="492" s="1" customFormat="1" x14ac:dyDescent="0.35"/>
    <row r="493" s="1" customFormat="1" x14ac:dyDescent="0.35"/>
    <row r="494" s="1" customFormat="1" x14ac:dyDescent="0.35"/>
    <row r="495" s="1" customFormat="1" x14ac:dyDescent="0.35"/>
    <row r="496" s="1" customFormat="1" x14ac:dyDescent="0.35"/>
    <row r="497" s="1" customFormat="1" x14ac:dyDescent="0.35"/>
    <row r="498" s="1" customFormat="1" x14ac:dyDescent="0.35"/>
    <row r="499" s="1" customFormat="1" x14ac:dyDescent="0.35"/>
    <row r="500" s="1" customFormat="1" x14ac:dyDescent="0.35"/>
    <row r="501" s="1" customFormat="1" x14ac:dyDescent="0.35"/>
    <row r="502" s="1" customFormat="1" x14ac:dyDescent="0.35"/>
    <row r="503" s="1" customFormat="1" x14ac:dyDescent="0.35"/>
    <row r="504" s="1" customFormat="1" x14ac:dyDescent="0.35"/>
  </sheetData>
  <mergeCells count="7">
    <mergeCell ref="E7:G7"/>
    <mergeCell ref="C65:L65"/>
    <mergeCell ref="C182:G182"/>
    <mergeCell ref="H125:K125"/>
    <mergeCell ref="H182:J182"/>
    <mergeCell ref="D125:G125"/>
    <mergeCell ref="H7:K7"/>
  </mergeCells>
  <conditionalFormatting sqref="H9:J58">
    <cfRule type="colorScale" priority="4">
      <colorScale>
        <cfvo type="num" val="0"/>
        <cfvo type="num" val="1"/>
        <color theme="0" tint="-4.9989318521683403E-2"/>
        <color theme="8"/>
      </colorScale>
    </cfRule>
  </conditionalFormatting>
  <conditionalFormatting sqref="K9:K58">
    <cfRule type="colorScale" priority="2">
      <colorScale>
        <cfvo type="num" val="0"/>
        <cfvo type="num" val="1"/>
        <color theme="0" tint="-4.9989318521683403E-2"/>
        <color theme="8"/>
      </colorScale>
    </cfRule>
  </conditionalFormatting>
  <conditionalFormatting sqref="L386:L39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:L58">
    <cfRule type="colorScale" priority="1">
      <colorScale>
        <cfvo type="num" val="0"/>
        <cfvo type="num" val="1"/>
        <color theme="0" tint="-4.9989318521683403E-2"/>
        <color theme="8"/>
      </colorScale>
    </cfRule>
  </conditionalFormatting>
  <pageMargins left="0.7" right="0.7" top="0.75" bottom="0.75" header="0.3" footer="0.3"/>
  <pageSetup scale="6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CE74-FD94-4D1E-9556-D7673744477F}">
  <sheetPr>
    <tabColor theme="1"/>
  </sheetPr>
  <dimension ref="A1:EH141"/>
  <sheetViews>
    <sheetView showGridLines="0" topLeftCell="C2" zoomScale="85" zoomScaleNormal="85" workbookViewId="0">
      <selection activeCell="C2" sqref="C2"/>
    </sheetView>
  </sheetViews>
  <sheetFormatPr defaultRowHeight="13.5" outlineLevelRow="1" outlineLevelCol="1" x14ac:dyDescent="0.35"/>
  <cols>
    <col min="1" max="1" width="9" hidden="1" customWidth="1" outlineLevel="1"/>
    <col min="2" max="2" width="14" hidden="1" customWidth="1" outlineLevel="1"/>
    <col min="3" max="3" width="13.25" customWidth="1" collapsed="1"/>
    <col min="4" max="4" width="11.875" customWidth="1"/>
    <col min="5" max="5" width="14.375" customWidth="1"/>
    <col min="6" max="6" width="11" customWidth="1"/>
    <col min="7" max="30" width="11.875" customWidth="1"/>
    <col min="31" max="31" width="1.875" customWidth="1"/>
    <col min="32" max="36" width="11.875" customWidth="1"/>
    <col min="37" max="37" width="1.875" customWidth="1"/>
    <col min="38" max="46" width="14.75" customWidth="1"/>
    <col min="47" max="47" width="1.875" customWidth="1"/>
    <col min="48" max="83" width="11.875" customWidth="1"/>
    <col min="84" max="84" width="1.875" customWidth="1"/>
    <col min="85" max="89" width="11.875" customWidth="1"/>
    <col min="90" max="90" width="1.875" customWidth="1"/>
    <col min="91" max="95" width="11.875" customWidth="1"/>
    <col min="96" max="96" width="1.875" customWidth="1"/>
    <col min="97" max="100" width="11.875" customWidth="1"/>
    <col min="101" max="101" width="1.875" customWidth="1"/>
    <col min="102" max="103" width="11.875" customWidth="1"/>
    <col min="104" max="104" width="1.875" customWidth="1"/>
    <col min="105" max="114" width="11.875" customWidth="1"/>
    <col min="115" max="116" width="9.125" bestFit="1" customWidth="1"/>
  </cols>
  <sheetData>
    <row r="1" spans="1:35" ht="29.65" hidden="1" outlineLevel="1" x14ac:dyDescent="0.75">
      <c r="A1" s="254" t="s">
        <v>1096</v>
      </c>
    </row>
    <row r="2" spans="1:35" ht="13.9" collapsed="1" x14ac:dyDescent="0.4">
      <c r="C2" s="140" t="s">
        <v>1095</v>
      </c>
      <c r="M2" s="251" t="s">
        <v>1094</v>
      </c>
      <c r="N2" s="253"/>
      <c r="O2" s="253"/>
      <c r="P2" s="253"/>
      <c r="Q2" s="252"/>
      <c r="S2" s="251" t="s">
        <v>1093</v>
      </c>
      <c r="T2" s="253"/>
      <c r="U2" s="253"/>
      <c r="V2" s="253"/>
      <c r="W2" s="252"/>
      <c r="Y2" s="251" t="s">
        <v>1092</v>
      </c>
      <c r="Z2" s="223"/>
      <c r="AA2" s="223"/>
      <c r="AB2" s="223"/>
      <c r="AC2" s="223"/>
      <c r="AD2" s="223"/>
      <c r="AE2" s="223"/>
      <c r="AF2" s="223"/>
      <c r="AG2" s="223"/>
      <c r="AH2" s="250"/>
    </row>
    <row r="3" spans="1:35" s="194" customFormat="1" ht="41.65" x14ac:dyDescent="0.4">
      <c r="C3" s="249"/>
      <c r="D3" s="248" t="str">
        <f>INDEX(own_summary[Label],MATCH(D4,own_summary[Name],0))</f>
        <v>Selected Line of Business</v>
      </c>
      <c r="E3" s="247"/>
      <c r="F3" s="196" t="str">
        <f>INDEX(own_summary[Label],MATCH(F4,own_summary[Name],0))</f>
        <v>Claim Source</v>
      </c>
      <c r="G3" s="196"/>
      <c r="H3" s="196" t="str">
        <f>INDEX(own_summary[Label],MATCH(H4,own_summary[Name],0))</f>
        <v>Claim Basis</v>
      </c>
      <c r="I3" s="196" t="str">
        <f>INDEX(own_summary[Label],MATCH(I4,own_summary[Name],0))</f>
        <v>Claim to Develop
 to Ultimate</v>
      </c>
      <c r="J3" s="196" t="str">
        <f>INDEX(own_summary[Label],MATCH(J4,own_summary[Name],0))</f>
        <v>Cat Basis</v>
      </c>
      <c r="K3" s="195" t="str">
        <f>INDEX(own_summary[Label],MATCH(K4,own_summary[Name],0))</f>
        <v>IELR Method
&amp; Weights</v>
      </c>
      <c r="M3" s="197" t="str">
        <f>INDEX(own_summary[Label],MATCH(M4,own_summary[Name],0))</f>
        <v>Attritional</v>
      </c>
      <c r="N3" s="196" t="str">
        <f>INDEX(own_summary[Label],MATCH(N4,own_summary[Name],0))</f>
        <v>Large</v>
      </c>
      <c r="O3" s="196" t="str">
        <f>INDEX(own_summary[Label],MATCH(O4,own_summary[Name],0))</f>
        <v>Cat (on
Selected
Basis)</v>
      </c>
      <c r="P3" s="196" t="str">
        <f>INDEX(own_summary[Label],MATCH(P4,own_summary[Name],0))</f>
        <v>Total</v>
      </c>
      <c r="Q3" s="195" t="str">
        <f>INDEX(own_summary[Label],MATCH(Q4,own_summary[Name],0))</f>
        <v>Total
(Excl. CAT)</v>
      </c>
      <c r="S3" s="197" t="str">
        <f>INDEX(own_summary[Label],MATCH(S4,own_summary[Name],0))</f>
        <v>Attritional</v>
      </c>
      <c r="T3" s="196" t="str">
        <f>INDEX(own_summary[Label],MATCH(T4,own_summary[Name],0))</f>
        <v>Large</v>
      </c>
      <c r="U3" s="196" t="str">
        <f>INDEX(own_summary[Label],MATCH(U4,own_summary[Name],0))</f>
        <v>Cat (on
Selected
Basis)</v>
      </c>
      <c r="V3" s="196" t="str">
        <f>INDEX(own_summary[Label],MATCH(V4,own_summary[Name],0))</f>
        <v>Total</v>
      </c>
      <c r="W3" s="195" t="str">
        <f>INDEX(own_summary[Label],MATCH(W4,own_summary[Name],0))</f>
        <v>Total
(Excl. CAT)</v>
      </c>
      <c r="Y3" s="197" t="str">
        <f>INDEX(own_summary[Label],MATCH(Y4,own_summary[Name],0))</f>
        <v>Devt</v>
      </c>
      <c r="Z3" s="196" t="str">
        <f>INDEX(own_summary[Label],MATCH(Z4,own_summary[Name],0))</f>
        <v>Indices</v>
      </c>
      <c r="AA3" s="196" t="str">
        <f>INDEX(own_summary[Label],MATCH(AA4,own_summary[Name],0))</f>
        <v>Premium</v>
      </c>
      <c r="AB3" s="196" t="str">
        <f>INDEX(own_summary[Label],MATCH(AB4,own_summary[Name],0))</f>
        <v>IELR Wgt</v>
      </c>
      <c r="AC3" s="196" t="str">
        <f>INDEX(own_summary[Label],MATCH(AC4,own_summary[Name],0))</f>
        <v>IELR</v>
      </c>
      <c r="AD3" s="196" t="str">
        <f>INDEX(own_summary[Label],MATCH(AD4,own_summary[Name],0))</f>
        <v>IBNR add</v>
      </c>
      <c r="AE3" s="196"/>
      <c r="AF3" s="196" t="str">
        <f>INDEX(own_summary[Label],MATCH(AF4,own_summary[Name],0))</f>
        <v>Ult Mtd</v>
      </c>
      <c r="AG3" s="196" t="str">
        <f>INDEX(own_summary[Label],MATCH(AG4,own_summary[Name],0))</f>
        <v>Ult</v>
      </c>
      <c r="AH3" s="195" t="str">
        <f>INDEX(own_summary[Label],MATCH(AH4,own_summary[Name],0))</f>
        <v>ULR Wgt</v>
      </c>
    </row>
    <row r="4" spans="1:35" ht="13.9" hidden="1" outlineLevel="1" x14ac:dyDescent="0.4">
      <c r="C4" s="246">
        <f>COUNTA(data_oe_summary!A:A)-1</f>
        <v>0</v>
      </c>
      <c r="D4" s="245" t="s">
        <v>103</v>
      </c>
      <c r="E4" s="243"/>
      <c r="F4" s="243" t="s">
        <v>205</v>
      </c>
      <c r="G4" s="243"/>
      <c r="H4" s="243" t="s">
        <v>206</v>
      </c>
      <c r="I4" s="243" t="s">
        <v>207</v>
      </c>
      <c r="J4" s="243" t="s">
        <v>208</v>
      </c>
      <c r="K4" s="244" t="s">
        <v>209</v>
      </c>
      <c r="M4" s="245" t="s">
        <v>238</v>
      </c>
      <c r="N4" s="243" t="s">
        <v>239</v>
      </c>
      <c r="O4" s="243" t="s">
        <v>240</v>
      </c>
      <c r="P4" s="243" t="s">
        <v>241</v>
      </c>
      <c r="Q4" s="244" t="s">
        <v>242</v>
      </c>
      <c r="S4" s="245" t="s">
        <v>247</v>
      </c>
      <c r="T4" s="243" t="s">
        <v>248</v>
      </c>
      <c r="U4" s="243" t="s">
        <v>249</v>
      </c>
      <c r="V4" s="243" t="s">
        <v>250</v>
      </c>
      <c r="W4" s="244" t="s">
        <v>251</v>
      </c>
      <c r="Y4" s="245" t="s">
        <v>256</v>
      </c>
      <c r="Z4" s="243" t="s">
        <v>257</v>
      </c>
      <c r="AA4" s="243" t="s">
        <v>258</v>
      </c>
      <c r="AB4" s="243" t="s">
        <v>259</v>
      </c>
      <c r="AC4" s="243" t="s">
        <v>260</v>
      </c>
      <c r="AD4" s="243" t="s">
        <v>261</v>
      </c>
      <c r="AE4" s="243"/>
      <c r="AF4" s="243" t="s">
        <v>262</v>
      </c>
      <c r="AG4" s="243" t="s">
        <v>263</v>
      </c>
      <c r="AH4" s="244" t="s">
        <v>264</v>
      </c>
      <c r="AI4" s="243" t="s">
        <v>265</v>
      </c>
    </row>
    <row r="5" spans="1:35" ht="13.9" hidden="1" outlineLevel="1" x14ac:dyDescent="0.35">
      <c r="C5" s="190"/>
      <c r="D5" s="245">
        <f>MATCH(D4,data_oe_summary!$1:$1,0)</f>
        <v>68</v>
      </c>
      <c r="E5" s="243"/>
      <c r="F5" s="243">
        <f>MATCH(F4,data_oe_summary!$1:$1,0)</f>
        <v>1</v>
      </c>
      <c r="G5" s="243"/>
      <c r="H5" s="243">
        <f>MATCH(H4,data_oe_summary!$1:$1,0)</f>
        <v>2</v>
      </c>
      <c r="I5" s="243">
        <f>MATCH(I4,data_oe_summary!$1:$1,0)</f>
        <v>3</v>
      </c>
      <c r="J5" s="243">
        <f>MATCH(J4,data_oe_summary!$1:$1,0)</f>
        <v>4</v>
      </c>
      <c r="K5" s="244">
        <f>MATCH(K4,data_oe_summary!$1:$1,0)</f>
        <v>5</v>
      </c>
      <c r="M5" s="245">
        <f>MATCH(M4,data_oe_summary!$1:$1,0)</f>
        <v>34</v>
      </c>
      <c r="N5" s="243">
        <f>MATCH(N4,data_oe_summary!$1:$1,0)</f>
        <v>35</v>
      </c>
      <c r="O5" s="243">
        <f>MATCH(O4,data_oe_summary!$1:$1,0)</f>
        <v>36</v>
      </c>
      <c r="P5" s="243">
        <f>MATCH(P4,data_oe_summary!$1:$1,0)</f>
        <v>37</v>
      </c>
      <c r="Q5" s="244">
        <f>MATCH(Q4,data_oe_summary!$1:$1,0)</f>
        <v>38</v>
      </c>
      <c r="S5" s="245">
        <f>MATCH(S4,data_oe_summary!$1:$1,0)</f>
        <v>43</v>
      </c>
      <c r="T5" s="243">
        <f>MATCH(T4,data_oe_summary!$1:$1,0)</f>
        <v>44</v>
      </c>
      <c r="U5" s="243">
        <f>MATCH(U4,data_oe_summary!$1:$1,0)</f>
        <v>45</v>
      </c>
      <c r="V5" s="243">
        <f>MATCH(V4,data_oe_summary!$1:$1,0)</f>
        <v>46</v>
      </c>
      <c r="W5" s="244">
        <f>MATCH(W4,data_oe_summary!$1:$1,0)</f>
        <v>47</v>
      </c>
      <c r="Y5" s="245">
        <f>MATCH(Y4,data_oe_summary!$1:$1,0)</f>
        <v>52</v>
      </c>
      <c r="Z5" s="243">
        <f>MATCH(Z4,data_oe_summary!$1:$1,0)</f>
        <v>53</v>
      </c>
      <c r="AA5" s="243">
        <f>MATCH(AA4,data_oe_summary!$1:$1,0)</f>
        <v>54</v>
      </c>
      <c r="AB5" s="243">
        <f>MATCH(AB4,data_oe_summary!$1:$1,0)</f>
        <v>55</v>
      </c>
      <c r="AC5" s="243">
        <f>MATCH(AC4,data_oe_summary!$1:$1,0)</f>
        <v>56</v>
      </c>
      <c r="AD5" s="243">
        <f>MATCH(AD4,data_oe_summary!$1:$1,0)</f>
        <v>57</v>
      </c>
      <c r="AE5" s="243"/>
      <c r="AF5" s="243">
        <f>MATCH(AF4,data_oe_summary!$1:$1,0)</f>
        <v>58</v>
      </c>
      <c r="AG5" s="243">
        <f>MATCH(AG4,data_oe_summary!$1:$1,0)</f>
        <v>59</v>
      </c>
      <c r="AH5" s="244">
        <f>MATCH(AH4,data_oe_summary!$1:$1,0)</f>
        <v>60</v>
      </c>
      <c r="AI5" s="243"/>
    </row>
    <row r="6" spans="1:35" collapsed="1" x14ac:dyDescent="0.35">
      <c r="C6" s="190" t="str">
        <f>IF($C$4&lt;=MAX($C$5:C5),"",SUM(C5,1))</f>
        <v/>
      </c>
      <c r="D6" s="216" t="str">
        <f ca="1">IF($C6="","",OFFSET(data_oe_summary!$A$1,$C6,D$5-1))</f>
        <v/>
      </c>
      <c r="F6" t="str">
        <f ca="1">IF($C6="","",OFFSET(data_oe_summary!$A$1,$C6,F$5-1))</f>
        <v/>
      </c>
      <c r="H6" t="str">
        <f ca="1">IF($C6="","",OFFSET(data_oe_summary!$A$1,$C6,H$5-1))</f>
        <v/>
      </c>
      <c r="I6" t="str">
        <f ca="1">IF($C6="","",OFFSET(data_oe_summary!$A$1,$C6,I$5-1))</f>
        <v/>
      </c>
      <c r="J6" t="str">
        <f ca="1">IF($C6="","",OFFSET(data_oe_summary!$A$1,$C6,J$5-1))</f>
        <v/>
      </c>
      <c r="K6" s="215" t="str">
        <f ca="1">IF($C6="","",OFFSET(data_oe_summary!$A$1,$C6,K$5-1))</f>
        <v/>
      </c>
      <c r="M6" s="242" t="str">
        <f ca="1">IF($C6="","",OFFSET(data_oe_summary!$A$1,$C6,M$5-1))</f>
        <v/>
      </c>
      <c r="N6" s="241" t="str">
        <f ca="1">IF($C6="","",OFFSET(data_oe_summary!$A$1,$C6,N$5-1))</f>
        <v/>
      </c>
      <c r="O6" s="241" t="str">
        <f ca="1">IF($C6="","",OFFSET(data_oe_summary!$A$1,$C6,O$5-1))</f>
        <v/>
      </c>
      <c r="P6" s="241" t="str">
        <f ca="1">IF($C6="","",OFFSET(data_oe_summary!$A$1,$C6,P$5-1))</f>
        <v/>
      </c>
      <c r="Q6" s="240" t="str">
        <f ca="1">IF($C6="","",OFFSET(data_oe_summary!$A$1,$C6,Q$5-1))</f>
        <v/>
      </c>
      <c r="S6" s="242" t="str">
        <f ca="1">IF($C6="","",OFFSET(data_oe_summary!$A$1,$C6,S$5-1))</f>
        <v/>
      </c>
      <c r="T6" s="241" t="str">
        <f ca="1">IF($C6="","",OFFSET(data_oe_summary!$A$1,$C6,T$5-1))</f>
        <v/>
      </c>
      <c r="U6" s="241" t="str">
        <f ca="1">IF($C6="","",OFFSET(data_oe_summary!$A$1,$C6,U$5-1))</f>
        <v/>
      </c>
      <c r="V6" s="241" t="str">
        <f ca="1">IF($C6="","",OFFSET(data_oe_summary!$A$1,$C6,V$5-1))</f>
        <v/>
      </c>
      <c r="W6" s="240" t="str">
        <f ca="1">IF($C6="","",OFFSET(data_oe_summary!$A$1,$C6,W$5-1))</f>
        <v/>
      </c>
      <c r="Y6" s="239" t="str">
        <f ca="1">IF($C6="","",OFFSET(data_oe_summary!$A$1,$C6,Y$5-1))</f>
        <v/>
      </c>
      <c r="Z6" s="238" t="str">
        <f ca="1">IF($C6="","",OFFSET(data_oe_summary!$A$1,$C6,Z$5-1))</f>
        <v/>
      </c>
      <c r="AA6" s="238" t="str">
        <f ca="1">IF($C6="","",OFFSET(data_oe_summary!$A$1,$C6,AA$5-1))</f>
        <v/>
      </c>
      <c r="AB6" s="238" t="str">
        <f ca="1">IF($C6="","",OFFSET(data_oe_summary!$A$1,$C6,AB$5-1))</f>
        <v/>
      </c>
      <c r="AC6" s="238" t="str">
        <f ca="1">IF($C6="","",OFFSET(data_oe_summary!$A$1,$C6,AC$5-1))</f>
        <v/>
      </c>
      <c r="AD6" s="238" t="str">
        <f ca="1">IF($C6="","",OFFSET(data_oe_summary!$A$1,$C6,AD$5-1))</f>
        <v/>
      </c>
      <c r="AE6" s="238"/>
      <c r="AF6" s="238" t="str">
        <f ca="1">IF($C6="","",OFFSET(data_oe_summary!$A$1,$C6,AF$5-1))</f>
        <v/>
      </c>
      <c r="AG6" s="238" t="str">
        <f ca="1">IF($C6="","",OFFSET(data_oe_summary!$A$1,$C6,AG$5-1))</f>
        <v/>
      </c>
      <c r="AH6" s="237" t="str">
        <f ca="1">IF($C6="","",OFFSET(data_oe_summary!$A$1,$C6,AH$5-1))</f>
        <v/>
      </c>
    </row>
    <row r="7" spans="1:35" x14ac:dyDescent="0.35">
      <c r="C7" s="190" t="str">
        <f>IF($C$4&lt;=MAX($C$5:C6),"",SUM(C6,1))</f>
        <v/>
      </c>
      <c r="D7" s="216" t="str">
        <f ca="1">IF($C7="","",OFFSET(data_oe_summary!$A$1,$C7,D$5-1))</f>
        <v/>
      </c>
      <c r="F7" t="str">
        <f ca="1">IF($C7="","",OFFSET(data_oe_summary!$A$1,$C7,F$5-1))</f>
        <v/>
      </c>
      <c r="H7" t="str">
        <f ca="1">IF($C7="","",OFFSET(data_oe_summary!$A$1,$C7,H$5-1))</f>
        <v/>
      </c>
      <c r="I7" t="str">
        <f ca="1">IF($C7="","",OFFSET(data_oe_summary!$A$1,$C7,I$5-1))</f>
        <v/>
      </c>
      <c r="J7" t="str">
        <f ca="1">IF($C7="","",OFFSET(data_oe_summary!$A$1,$C7,J$5-1))</f>
        <v/>
      </c>
      <c r="K7" s="215" t="str">
        <f ca="1">IF($C7="","",OFFSET(data_oe_summary!$A$1,$C7,K$5-1))</f>
        <v/>
      </c>
      <c r="M7" s="242" t="str">
        <f ca="1">IF($C7="","",OFFSET(data_oe_summary!$A$1,$C7,M$5-1))</f>
        <v/>
      </c>
      <c r="N7" s="241" t="str">
        <f ca="1">IF($C7="","",OFFSET(data_oe_summary!$A$1,$C7,N$5-1))</f>
        <v/>
      </c>
      <c r="O7" s="241" t="str">
        <f ca="1">IF($C7="","",OFFSET(data_oe_summary!$A$1,$C7,O$5-1))</f>
        <v/>
      </c>
      <c r="P7" s="241" t="str">
        <f ca="1">IF($C7="","",OFFSET(data_oe_summary!$A$1,$C7,P$5-1))</f>
        <v/>
      </c>
      <c r="Q7" s="240" t="str">
        <f ca="1">IF($C7="","",OFFSET(data_oe_summary!$A$1,$C7,Q$5-1))</f>
        <v/>
      </c>
      <c r="S7" s="242" t="str">
        <f ca="1">IF($C7="","",OFFSET(data_oe_summary!$A$1,$C7,S$5-1))</f>
        <v/>
      </c>
      <c r="T7" s="241" t="str">
        <f ca="1">IF($C7="","",OFFSET(data_oe_summary!$A$1,$C7,T$5-1))</f>
        <v/>
      </c>
      <c r="U7" s="241" t="str">
        <f ca="1">IF($C7="","",OFFSET(data_oe_summary!$A$1,$C7,U$5-1))</f>
        <v/>
      </c>
      <c r="V7" s="241" t="str">
        <f ca="1">IF($C7="","",OFFSET(data_oe_summary!$A$1,$C7,V$5-1))</f>
        <v/>
      </c>
      <c r="W7" s="240" t="str">
        <f ca="1">IF($C7="","",OFFSET(data_oe_summary!$A$1,$C7,W$5-1))</f>
        <v/>
      </c>
      <c r="Y7" s="239" t="str">
        <f ca="1">IF($C7="","",OFFSET(data_oe_summary!$A$1,$C7,Y$5-1))</f>
        <v/>
      </c>
      <c r="Z7" s="238" t="str">
        <f ca="1">IF($C7="","",OFFSET(data_oe_summary!$A$1,$C7,Z$5-1))</f>
        <v/>
      </c>
      <c r="AA7" s="238" t="str">
        <f ca="1">IF($C7="","",OFFSET(data_oe_summary!$A$1,$C7,AA$5-1))</f>
        <v/>
      </c>
      <c r="AB7" s="238" t="str">
        <f ca="1">IF($C7="","",OFFSET(data_oe_summary!$A$1,$C7,AB$5-1))</f>
        <v/>
      </c>
      <c r="AC7" s="238" t="str">
        <f ca="1">IF($C7="","",OFFSET(data_oe_summary!$A$1,$C7,AC$5-1))</f>
        <v/>
      </c>
      <c r="AD7" s="238" t="str">
        <f ca="1">IF($C7="","",OFFSET(data_oe_summary!$A$1,$C7,AD$5-1))</f>
        <v/>
      </c>
      <c r="AE7" s="238"/>
      <c r="AF7" s="238" t="str">
        <f ca="1">IF($C7="","",OFFSET(data_oe_summary!$A$1,$C7,AF$5-1))</f>
        <v/>
      </c>
      <c r="AG7" s="238" t="str">
        <f ca="1">IF($C7="","",OFFSET(data_oe_summary!$A$1,$C7,AG$5-1))</f>
        <v/>
      </c>
      <c r="AH7" s="237" t="str">
        <f ca="1">IF($C7="","",OFFSET(data_oe_summary!$A$1,$C7,AH$5-1))</f>
        <v/>
      </c>
    </row>
    <row r="8" spans="1:35" x14ac:dyDescent="0.35">
      <c r="C8" s="190" t="str">
        <f>IF($C$4&lt;=MAX($C$5:C7),"",SUM(C7,1))</f>
        <v/>
      </c>
      <c r="D8" s="216" t="str">
        <f ca="1">IF($C8="","",OFFSET(data_oe_summary!$A$1,$C8,D$5-1))</f>
        <v/>
      </c>
      <c r="F8" t="str">
        <f ca="1">IF($C8="","",OFFSET(data_oe_summary!$A$1,$C8,F$5-1))</f>
        <v/>
      </c>
      <c r="H8" t="str">
        <f ca="1">IF($C8="","",OFFSET(data_oe_summary!$A$1,$C8,H$5-1))</f>
        <v/>
      </c>
      <c r="I8" t="str">
        <f ca="1">IF($C8="","",OFFSET(data_oe_summary!$A$1,$C8,I$5-1))</f>
        <v/>
      </c>
      <c r="J8" t="str">
        <f ca="1">IF($C8="","",OFFSET(data_oe_summary!$A$1,$C8,J$5-1))</f>
        <v/>
      </c>
      <c r="K8" s="215" t="str">
        <f ca="1">IF($C8="","",OFFSET(data_oe_summary!$A$1,$C8,K$5-1))</f>
        <v/>
      </c>
      <c r="M8" s="242" t="str">
        <f ca="1">IF($C8="","",OFFSET(data_oe_summary!$A$1,$C8,M$5-1))</f>
        <v/>
      </c>
      <c r="N8" s="241" t="str">
        <f ca="1">IF($C8="","",OFFSET(data_oe_summary!$A$1,$C8,N$5-1))</f>
        <v/>
      </c>
      <c r="O8" s="241" t="str">
        <f ca="1">IF($C8="","",OFFSET(data_oe_summary!$A$1,$C8,O$5-1))</f>
        <v/>
      </c>
      <c r="P8" s="241" t="str">
        <f ca="1">IF($C8="","",OFFSET(data_oe_summary!$A$1,$C8,P$5-1))</f>
        <v/>
      </c>
      <c r="Q8" s="240" t="str">
        <f ca="1">IF($C8="","",OFFSET(data_oe_summary!$A$1,$C8,Q$5-1))</f>
        <v/>
      </c>
      <c r="S8" s="242" t="str">
        <f ca="1">IF($C8="","",OFFSET(data_oe_summary!$A$1,$C8,S$5-1))</f>
        <v/>
      </c>
      <c r="T8" s="241" t="str">
        <f ca="1">IF($C8="","",OFFSET(data_oe_summary!$A$1,$C8,T$5-1))</f>
        <v/>
      </c>
      <c r="U8" s="241" t="str">
        <f ca="1">IF($C8="","",OFFSET(data_oe_summary!$A$1,$C8,U$5-1))</f>
        <v/>
      </c>
      <c r="V8" s="241" t="str">
        <f ca="1">IF($C8="","",OFFSET(data_oe_summary!$A$1,$C8,V$5-1))</f>
        <v/>
      </c>
      <c r="W8" s="240" t="str">
        <f ca="1">IF($C8="","",OFFSET(data_oe_summary!$A$1,$C8,W$5-1))</f>
        <v/>
      </c>
      <c r="Y8" s="239" t="str">
        <f ca="1">IF($C8="","",OFFSET(data_oe_summary!$A$1,$C8,Y$5-1))</f>
        <v/>
      </c>
      <c r="Z8" s="238" t="str">
        <f ca="1">IF($C8="","",OFFSET(data_oe_summary!$A$1,$C8,Z$5-1))</f>
        <v/>
      </c>
      <c r="AA8" s="238" t="str">
        <f ca="1">IF($C8="","",OFFSET(data_oe_summary!$A$1,$C8,AA$5-1))</f>
        <v/>
      </c>
      <c r="AB8" s="238" t="str">
        <f ca="1">IF($C8="","",OFFSET(data_oe_summary!$A$1,$C8,AB$5-1))</f>
        <v/>
      </c>
      <c r="AC8" s="238" t="str">
        <f ca="1">IF($C8="","",OFFSET(data_oe_summary!$A$1,$C8,AC$5-1))</f>
        <v/>
      </c>
      <c r="AD8" s="238" t="str">
        <f ca="1">IF($C8="","",OFFSET(data_oe_summary!$A$1,$C8,AD$5-1))</f>
        <v/>
      </c>
      <c r="AE8" s="238"/>
      <c r="AF8" s="238" t="str">
        <f ca="1">IF($C8="","",OFFSET(data_oe_summary!$A$1,$C8,AF$5-1))</f>
        <v/>
      </c>
      <c r="AG8" s="238" t="str">
        <f ca="1">IF($C8="","",OFFSET(data_oe_summary!$A$1,$C8,AG$5-1))</f>
        <v/>
      </c>
      <c r="AH8" s="237" t="str">
        <f ca="1">IF($C8="","",OFFSET(data_oe_summary!$A$1,$C8,AH$5-1))</f>
        <v/>
      </c>
    </row>
    <row r="9" spans="1:35" x14ac:dyDescent="0.35">
      <c r="C9" s="190" t="str">
        <f>IF($C$4&lt;=MAX($C$5:C8),"",SUM(C8,1))</f>
        <v/>
      </c>
      <c r="D9" s="216" t="str">
        <f ca="1">IF($C9="","",OFFSET(data_oe_summary!$A$1,$C9,D$5-1))</f>
        <v/>
      </c>
      <c r="F9" t="str">
        <f ca="1">IF($C9="","",OFFSET(data_oe_summary!$A$1,$C9,F$5-1))</f>
        <v/>
      </c>
      <c r="H9" t="str">
        <f ca="1">IF($C9="","",OFFSET(data_oe_summary!$A$1,$C9,H$5-1))</f>
        <v/>
      </c>
      <c r="I9" t="str">
        <f ca="1">IF($C9="","",OFFSET(data_oe_summary!$A$1,$C9,I$5-1))</f>
        <v/>
      </c>
      <c r="J9" t="str">
        <f ca="1">IF($C9="","",OFFSET(data_oe_summary!$A$1,$C9,J$5-1))</f>
        <v/>
      </c>
      <c r="K9" s="215" t="str">
        <f ca="1">IF($C9="","",OFFSET(data_oe_summary!$A$1,$C9,K$5-1))</f>
        <v/>
      </c>
      <c r="M9" s="242" t="str">
        <f ca="1">IF($C9="","",OFFSET(data_oe_summary!$A$1,$C9,M$5-1))</f>
        <v/>
      </c>
      <c r="N9" s="241" t="str">
        <f ca="1">IF($C9="","",OFFSET(data_oe_summary!$A$1,$C9,N$5-1))</f>
        <v/>
      </c>
      <c r="O9" s="241" t="str">
        <f ca="1">IF($C9="","",OFFSET(data_oe_summary!$A$1,$C9,O$5-1))</f>
        <v/>
      </c>
      <c r="P9" s="241" t="str">
        <f ca="1">IF($C9="","",OFFSET(data_oe_summary!$A$1,$C9,P$5-1))</f>
        <v/>
      </c>
      <c r="Q9" s="240" t="str">
        <f ca="1">IF($C9="","",OFFSET(data_oe_summary!$A$1,$C9,Q$5-1))</f>
        <v/>
      </c>
      <c r="S9" s="242" t="str">
        <f ca="1">IF($C9="","",OFFSET(data_oe_summary!$A$1,$C9,S$5-1))</f>
        <v/>
      </c>
      <c r="T9" s="241" t="str">
        <f ca="1">IF($C9="","",OFFSET(data_oe_summary!$A$1,$C9,T$5-1))</f>
        <v/>
      </c>
      <c r="U9" s="241" t="str">
        <f ca="1">IF($C9="","",OFFSET(data_oe_summary!$A$1,$C9,U$5-1))</f>
        <v/>
      </c>
      <c r="V9" s="241" t="str">
        <f ca="1">IF($C9="","",OFFSET(data_oe_summary!$A$1,$C9,V$5-1))</f>
        <v/>
      </c>
      <c r="W9" s="240" t="str">
        <f ca="1">IF($C9="","",OFFSET(data_oe_summary!$A$1,$C9,W$5-1))</f>
        <v/>
      </c>
      <c r="Y9" s="239" t="str">
        <f ca="1">IF($C9="","",OFFSET(data_oe_summary!$A$1,$C9,Y$5-1))</f>
        <v/>
      </c>
      <c r="Z9" s="238" t="str">
        <f ca="1">IF($C9="","",OFFSET(data_oe_summary!$A$1,$C9,Z$5-1))</f>
        <v/>
      </c>
      <c r="AA9" s="238" t="str">
        <f ca="1">IF($C9="","",OFFSET(data_oe_summary!$A$1,$C9,AA$5-1))</f>
        <v/>
      </c>
      <c r="AB9" s="238" t="str">
        <f ca="1">IF($C9="","",OFFSET(data_oe_summary!$A$1,$C9,AB$5-1))</f>
        <v/>
      </c>
      <c r="AC9" s="238" t="str">
        <f ca="1">IF($C9="","",OFFSET(data_oe_summary!$A$1,$C9,AC$5-1))</f>
        <v/>
      </c>
      <c r="AD9" s="238" t="str">
        <f ca="1">IF($C9="","",OFFSET(data_oe_summary!$A$1,$C9,AD$5-1))</f>
        <v/>
      </c>
      <c r="AE9" s="238"/>
      <c r="AF9" s="238" t="str">
        <f ca="1">IF($C9="","",OFFSET(data_oe_summary!$A$1,$C9,AF$5-1))</f>
        <v/>
      </c>
      <c r="AG9" s="238" t="str">
        <f ca="1">IF($C9="","",OFFSET(data_oe_summary!$A$1,$C9,AG$5-1))</f>
        <v/>
      </c>
      <c r="AH9" s="237" t="str">
        <f ca="1">IF($C9="","",OFFSET(data_oe_summary!$A$1,$C9,AH$5-1))</f>
        <v/>
      </c>
    </row>
    <row r="10" spans="1:35" x14ac:dyDescent="0.35">
      <c r="C10" s="190" t="str">
        <f>IF($C$4&lt;=MAX($C$5:C9),"",SUM(C9,1))</f>
        <v/>
      </c>
      <c r="D10" s="216" t="str">
        <f ca="1">IF($C10="","",OFFSET(data_oe_summary!$A$1,$C10,D$5-1))</f>
        <v/>
      </c>
      <c r="F10" t="str">
        <f ca="1">IF($C10="","",OFFSET(data_oe_summary!$A$1,$C10,F$5-1))</f>
        <v/>
      </c>
      <c r="H10" t="str">
        <f ca="1">IF($C10="","",OFFSET(data_oe_summary!$A$1,$C10,H$5-1))</f>
        <v/>
      </c>
      <c r="I10" t="str">
        <f ca="1">IF($C10="","",OFFSET(data_oe_summary!$A$1,$C10,I$5-1))</f>
        <v/>
      </c>
      <c r="J10" t="str">
        <f ca="1">IF($C10="","",OFFSET(data_oe_summary!$A$1,$C10,J$5-1))</f>
        <v/>
      </c>
      <c r="K10" s="215" t="str">
        <f ca="1">IF($C10="","",OFFSET(data_oe_summary!$A$1,$C10,K$5-1))</f>
        <v/>
      </c>
      <c r="M10" s="242" t="str">
        <f ca="1">IF($C10="","",OFFSET(data_oe_summary!$A$1,$C10,M$5-1))</f>
        <v/>
      </c>
      <c r="N10" s="241" t="str">
        <f ca="1">IF($C10="","",OFFSET(data_oe_summary!$A$1,$C10,N$5-1))</f>
        <v/>
      </c>
      <c r="O10" s="241" t="str">
        <f ca="1">IF($C10="","",OFFSET(data_oe_summary!$A$1,$C10,O$5-1))</f>
        <v/>
      </c>
      <c r="P10" s="241" t="str">
        <f ca="1">IF($C10="","",OFFSET(data_oe_summary!$A$1,$C10,P$5-1))</f>
        <v/>
      </c>
      <c r="Q10" s="240" t="str">
        <f ca="1">IF($C10="","",OFFSET(data_oe_summary!$A$1,$C10,Q$5-1))</f>
        <v/>
      </c>
      <c r="S10" s="242" t="str">
        <f ca="1">IF($C10="","",OFFSET(data_oe_summary!$A$1,$C10,S$5-1))</f>
        <v/>
      </c>
      <c r="T10" s="241" t="str">
        <f ca="1">IF($C10="","",OFFSET(data_oe_summary!$A$1,$C10,T$5-1))</f>
        <v/>
      </c>
      <c r="U10" s="241" t="str">
        <f ca="1">IF($C10="","",OFFSET(data_oe_summary!$A$1,$C10,U$5-1))</f>
        <v/>
      </c>
      <c r="V10" s="241" t="str">
        <f ca="1">IF($C10="","",OFFSET(data_oe_summary!$A$1,$C10,V$5-1))</f>
        <v/>
      </c>
      <c r="W10" s="240" t="str">
        <f ca="1">IF($C10="","",OFFSET(data_oe_summary!$A$1,$C10,W$5-1))</f>
        <v/>
      </c>
      <c r="Y10" s="239" t="str">
        <f ca="1">IF($C10="","",OFFSET(data_oe_summary!$A$1,$C10,Y$5-1))</f>
        <v/>
      </c>
      <c r="Z10" s="238" t="str">
        <f ca="1">IF($C10="","",OFFSET(data_oe_summary!$A$1,$C10,Z$5-1))</f>
        <v/>
      </c>
      <c r="AA10" s="238" t="str">
        <f ca="1">IF($C10="","",OFFSET(data_oe_summary!$A$1,$C10,AA$5-1))</f>
        <v/>
      </c>
      <c r="AB10" s="238" t="str">
        <f ca="1">IF($C10="","",OFFSET(data_oe_summary!$A$1,$C10,AB$5-1))</f>
        <v/>
      </c>
      <c r="AC10" s="238" t="str">
        <f ca="1">IF($C10="","",OFFSET(data_oe_summary!$A$1,$C10,AC$5-1))</f>
        <v/>
      </c>
      <c r="AD10" s="238" t="str">
        <f ca="1">IF($C10="","",OFFSET(data_oe_summary!$A$1,$C10,AD$5-1))</f>
        <v/>
      </c>
      <c r="AE10" s="238" t="str">
        <f ca="1">IF($C10="","",OFFSET(data_oe_summary!$A$1,$C10,AE$5-1))</f>
        <v/>
      </c>
      <c r="AF10" s="238" t="str">
        <f ca="1">IF($C10="","",OFFSET(data_oe_summary!$A$1,$C10,AF$5-1))</f>
        <v/>
      </c>
      <c r="AG10" s="238" t="str">
        <f ca="1">IF($C10="","",OFFSET(data_oe_summary!$A$1,$C10,AG$5-1))</f>
        <v/>
      </c>
      <c r="AH10" s="237" t="str">
        <f ca="1">IF($C10="","",OFFSET(data_oe_summary!$A$1,$C10,AH$5-1))</f>
        <v/>
      </c>
    </row>
    <row r="11" spans="1:35" x14ac:dyDescent="0.35">
      <c r="C11" s="190" t="str">
        <f>IF($C$4&lt;=MAX($C$5:C10),"",SUM(C10,1))</f>
        <v/>
      </c>
      <c r="D11" s="216" t="str">
        <f ca="1">IF($C11="","",OFFSET(data_oe_summary!$A$1,$C11,D$5-1))</f>
        <v/>
      </c>
      <c r="F11" t="str">
        <f ca="1">IF($C11="","",OFFSET(data_oe_summary!$A$1,$C11,F$5-1))</f>
        <v/>
      </c>
      <c r="H11" t="str">
        <f ca="1">IF($C11="","",OFFSET(data_oe_summary!$A$1,$C11,H$5-1))</f>
        <v/>
      </c>
      <c r="I11" t="str">
        <f ca="1">IF($C11="","",OFFSET(data_oe_summary!$A$1,$C11,I$5-1))</f>
        <v/>
      </c>
      <c r="J11" t="str">
        <f ca="1">IF($C11="","",OFFSET(data_oe_summary!$A$1,$C11,J$5-1))</f>
        <v/>
      </c>
      <c r="K11" s="215" t="str">
        <f ca="1">IF($C11="","",OFFSET(data_oe_summary!$A$1,$C11,K$5-1))</f>
        <v/>
      </c>
      <c r="M11" s="242" t="str">
        <f ca="1">IF($C11="","",OFFSET(data_oe_summary!$A$1,$C11,M$5-1))</f>
        <v/>
      </c>
      <c r="N11" s="241" t="str">
        <f ca="1">IF($C11="","",OFFSET(data_oe_summary!$A$1,$C11,N$5-1))</f>
        <v/>
      </c>
      <c r="O11" s="241" t="str">
        <f ca="1">IF($C11="","",OFFSET(data_oe_summary!$A$1,$C11,O$5-1))</f>
        <v/>
      </c>
      <c r="P11" s="241" t="str">
        <f ca="1">IF($C11="","",OFFSET(data_oe_summary!$A$1,$C11,P$5-1))</f>
        <v/>
      </c>
      <c r="Q11" s="240" t="str">
        <f ca="1">IF($C11="","",OFFSET(data_oe_summary!$A$1,$C11,Q$5-1))</f>
        <v/>
      </c>
      <c r="S11" s="242" t="str">
        <f ca="1">IF($C11="","",OFFSET(data_oe_summary!$A$1,$C11,S$5-1))</f>
        <v/>
      </c>
      <c r="T11" s="241" t="str">
        <f ca="1">IF($C11="","",OFFSET(data_oe_summary!$A$1,$C11,T$5-1))</f>
        <v/>
      </c>
      <c r="U11" s="241" t="str">
        <f ca="1">IF($C11="","",OFFSET(data_oe_summary!$A$1,$C11,U$5-1))</f>
        <v/>
      </c>
      <c r="V11" s="241" t="str">
        <f ca="1">IF($C11="","",OFFSET(data_oe_summary!$A$1,$C11,V$5-1))</f>
        <v/>
      </c>
      <c r="W11" s="240" t="str">
        <f ca="1">IF($C11="","",OFFSET(data_oe_summary!$A$1,$C11,W$5-1))</f>
        <v/>
      </c>
      <c r="Y11" s="239" t="str">
        <f ca="1">IF($C11="","",OFFSET(data_oe_summary!$A$1,$C11,Y$5-1))</f>
        <v/>
      </c>
      <c r="Z11" s="238" t="str">
        <f ca="1">IF($C11="","",OFFSET(data_oe_summary!$A$1,$C11,Z$5-1))</f>
        <v/>
      </c>
      <c r="AA11" s="238" t="str">
        <f ca="1">IF($C11="","",OFFSET(data_oe_summary!$A$1,$C11,AA$5-1))</f>
        <v/>
      </c>
      <c r="AB11" s="238" t="str">
        <f ca="1">IF($C11="","",OFFSET(data_oe_summary!$A$1,$C11,AB$5-1))</f>
        <v/>
      </c>
      <c r="AC11" s="238" t="str">
        <f ca="1">IF($C11="","",OFFSET(data_oe_summary!$A$1,$C11,AC$5-1))</f>
        <v/>
      </c>
      <c r="AD11" s="238" t="str">
        <f ca="1">IF($C11="","",OFFSET(data_oe_summary!$A$1,$C11,AD$5-1))</f>
        <v/>
      </c>
      <c r="AE11" s="238" t="str">
        <f ca="1">IF($C11="","",OFFSET(data_oe_summary!$A$1,$C11,AE$5-1))</f>
        <v/>
      </c>
      <c r="AF11" s="238" t="str">
        <f ca="1">IF($C11="","",OFFSET(data_oe_summary!$A$1,$C11,AF$5-1))</f>
        <v/>
      </c>
      <c r="AG11" s="238" t="str">
        <f ca="1">IF($C11="","",OFFSET(data_oe_summary!$A$1,$C11,AG$5-1))</f>
        <v/>
      </c>
      <c r="AH11" s="237" t="str">
        <f ca="1">IF($C11="","",OFFSET(data_oe_summary!$A$1,$C11,AH$5-1))</f>
        <v/>
      </c>
    </row>
    <row r="12" spans="1:35" x14ac:dyDescent="0.35">
      <c r="C12" s="190" t="str">
        <f>IF($C$4&lt;=MAX($C$5:C11),"",SUM(C11,1))</f>
        <v/>
      </c>
      <c r="D12" s="216" t="str">
        <f ca="1">IF($C12="","",OFFSET(data_oe_summary!$A$1,$C12,D$5-1))</f>
        <v/>
      </c>
      <c r="F12" t="str">
        <f ca="1">IF($C12="","",OFFSET(data_oe_summary!$A$1,$C12,F$5-1))</f>
        <v/>
      </c>
      <c r="H12" t="str">
        <f ca="1">IF($C12="","",OFFSET(data_oe_summary!$A$1,$C12,H$5-1))</f>
        <v/>
      </c>
      <c r="I12" t="str">
        <f ca="1">IF($C12="","",OFFSET(data_oe_summary!$A$1,$C12,I$5-1))</f>
        <v/>
      </c>
      <c r="J12" t="str">
        <f ca="1">IF($C12="","",OFFSET(data_oe_summary!$A$1,$C12,J$5-1))</f>
        <v/>
      </c>
      <c r="K12" s="215" t="str">
        <f ca="1">IF($C12="","",OFFSET(data_oe_summary!$A$1,$C12,K$5-1))</f>
        <v/>
      </c>
      <c r="M12" s="242" t="str">
        <f ca="1">IF($C12="","",OFFSET(data_oe_summary!$A$1,$C12,M$5-1))</f>
        <v/>
      </c>
      <c r="N12" s="241" t="str">
        <f ca="1">IF($C12="","",OFFSET(data_oe_summary!$A$1,$C12,N$5-1))</f>
        <v/>
      </c>
      <c r="O12" s="241" t="str">
        <f ca="1">IF($C12="","",OFFSET(data_oe_summary!$A$1,$C12,O$5-1))</f>
        <v/>
      </c>
      <c r="P12" s="241" t="str">
        <f ca="1">IF($C12="","",OFFSET(data_oe_summary!$A$1,$C12,P$5-1))</f>
        <v/>
      </c>
      <c r="Q12" s="240" t="str">
        <f ca="1">IF($C12="","",OFFSET(data_oe_summary!$A$1,$C12,Q$5-1))</f>
        <v/>
      </c>
      <c r="S12" s="242" t="str">
        <f ca="1">IF($C12="","",OFFSET(data_oe_summary!$A$1,$C12,S$5-1))</f>
        <v/>
      </c>
      <c r="T12" s="241" t="str">
        <f ca="1">IF($C12="","",OFFSET(data_oe_summary!$A$1,$C12,T$5-1))</f>
        <v/>
      </c>
      <c r="U12" s="241" t="str">
        <f ca="1">IF($C12="","",OFFSET(data_oe_summary!$A$1,$C12,U$5-1))</f>
        <v/>
      </c>
      <c r="V12" s="241" t="str">
        <f ca="1">IF($C12="","",OFFSET(data_oe_summary!$A$1,$C12,V$5-1))</f>
        <v/>
      </c>
      <c r="W12" s="240" t="str">
        <f ca="1">IF($C12="","",OFFSET(data_oe_summary!$A$1,$C12,W$5-1))</f>
        <v/>
      </c>
      <c r="Y12" s="239" t="str">
        <f ca="1">IF($C12="","",OFFSET(data_oe_summary!$A$1,$C12,Y$5-1))</f>
        <v/>
      </c>
      <c r="Z12" s="238" t="str">
        <f ca="1">IF($C12="","",OFFSET(data_oe_summary!$A$1,$C12,Z$5-1))</f>
        <v/>
      </c>
      <c r="AA12" s="238" t="str">
        <f ca="1">IF($C12="","",OFFSET(data_oe_summary!$A$1,$C12,AA$5-1))</f>
        <v/>
      </c>
      <c r="AB12" s="238" t="str">
        <f ca="1">IF($C12="","",OFFSET(data_oe_summary!$A$1,$C12,AB$5-1))</f>
        <v/>
      </c>
      <c r="AC12" s="238" t="str">
        <f ca="1">IF($C12="","",OFFSET(data_oe_summary!$A$1,$C12,AC$5-1))</f>
        <v/>
      </c>
      <c r="AD12" s="238" t="str">
        <f ca="1">IF($C12="","",OFFSET(data_oe_summary!$A$1,$C12,AD$5-1))</f>
        <v/>
      </c>
      <c r="AE12" s="238" t="str">
        <f ca="1">IF($C12="","",OFFSET(data_oe_summary!$A$1,$C12,AE$5-1))</f>
        <v/>
      </c>
      <c r="AF12" s="238" t="str">
        <f ca="1">IF($C12="","",OFFSET(data_oe_summary!$A$1,$C12,AF$5-1))</f>
        <v/>
      </c>
      <c r="AG12" s="238" t="str">
        <f ca="1">IF($C12="","",OFFSET(data_oe_summary!$A$1,$C12,AG$5-1))</f>
        <v/>
      </c>
      <c r="AH12" s="237" t="str">
        <f ca="1">IF($C12="","",OFFSET(data_oe_summary!$A$1,$C12,AH$5-1))</f>
        <v/>
      </c>
    </row>
    <row r="13" spans="1:35" x14ac:dyDescent="0.35">
      <c r="C13" s="190" t="str">
        <f>IF($C$4&lt;=MAX($C$5:C12),"",SUM(C12,1))</f>
        <v/>
      </c>
      <c r="D13" s="216" t="str">
        <f ca="1">IF($C13="","",OFFSET(data_oe_summary!$A$1,$C13,D$5-1))</f>
        <v/>
      </c>
      <c r="F13" t="str">
        <f ca="1">IF($C13="","",OFFSET(data_oe_summary!$A$1,$C13,F$5-1))</f>
        <v/>
      </c>
      <c r="H13" t="str">
        <f ca="1">IF($C13="","",OFFSET(data_oe_summary!$A$1,$C13,H$5-1))</f>
        <v/>
      </c>
      <c r="I13" t="str">
        <f ca="1">IF($C13="","",OFFSET(data_oe_summary!$A$1,$C13,I$5-1))</f>
        <v/>
      </c>
      <c r="J13" t="str">
        <f ca="1">IF($C13="","",OFFSET(data_oe_summary!$A$1,$C13,J$5-1))</f>
        <v/>
      </c>
      <c r="K13" s="215" t="str">
        <f ca="1">IF($C13="","",OFFSET(data_oe_summary!$A$1,$C13,K$5-1))</f>
        <v/>
      </c>
      <c r="M13" s="242" t="str">
        <f ca="1">IF($C13="","",OFFSET(data_oe_summary!$A$1,$C13,M$5-1))</f>
        <v/>
      </c>
      <c r="N13" s="241" t="str">
        <f ca="1">IF($C13="","",OFFSET(data_oe_summary!$A$1,$C13,N$5-1))</f>
        <v/>
      </c>
      <c r="O13" s="241" t="str">
        <f ca="1">IF($C13="","",OFFSET(data_oe_summary!$A$1,$C13,O$5-1))</f>
        <v/>
      </c>
      <c r="P13" s="241" t="str">
        <f ca="1">IF($C13="","",OFFSET(data_oe_summary!$A$1,$C13,P$5-1))</f>
        <v/>
      </c>
      <c r="Q13" s="240" t="str">
        <f ca="1">IF($C13="","",OFFSET(data_oe_summary!$A$1,$C13,Q$5-1))</f>
        <v/>
      </c>
      <c r="S13" s="242" t="str">
        <f ca="1">IF($C13="","",OFFSET(data_oe_summary!$A$1,$C13,S$5-1))</f>
        <v/>
      </c>
      <c r="T13" s="241" t="str">
        <f ca="1">IF($C13="","",OFFSET(data_oe_summary!$A$1,$C13,T$5-1))</f>
        <v/>
      </c>
      <c r="U13" s="241" t="str">
        <f ca="1">IF($C13="","",OFFSET(data_oe_summary!$A$1,$C13,U$5-1))</f>
        <v/>
      </c>
      <c r="V13" s="241" t="str">
        <f ca="1">IF($C13="","",OFFSET(data_oe_summary!$A$1,$C13,V$5-1))</f>
        <v/>
      </c>
      <c r="W13" s="240" t="str">
        <f ca="1">IF($C13="","",OFFSET(data_oe_summary!$A$1,$C13,W$5-1))</f>
        <v/>
      </c>
      <c r="Y13" s="239" t="str">
        <f ca="1">IF($C13="","",OFFSET(data_oe_summary!$A$1,$C13,Y$5-1))</f>
        <v/>
      </c>
      <c r="Z13" s="238" t="str">
        <f ca="1">IF($C13="","",OFFSET(data_oe_summary!$A$1,$C13,Z$5-1))</f>
        <v/>
      </c>
      <c r="AA13" s="238" t="str">
        <f ca="1">IF($C13="","",OFFSET(data_oe_summary!$A$1,$C13,AA$5-1))</f>
        <v/>
      </c>
      <c r="AB13" s="238" t="str">
        <f ca="1">IF($C13="","",OFFSET(data_oe_summary!$A$1,$C13,AB$5-1))</f>
        <v/>
      </c>
      <c r="AC13" s="238" t="str">
        <f ca="1">IF($C13="","",OFFSET(data_oe_summary!$A$1,$C13,AC$5-1))</f>
        <v/>
      </c>
      <c r="AD13" s="238" t="str">
        <f ca="1">IF($C13="","",OFFSET(data_oe_summary!$A$1,$C13,AD$5-1))</f>
        <v/>
      </c>
      <c r="AE13" s="238" t="str">
        <f ca="1">IF($C13="","",OFFSET(data_oe_summary!$A$1,$C13,AE$5-1))</f>
        <v/>
      </c>
      <c r="AF13" s="238" t="str">
        <f ca="1">IF($C13="","",OFFSET(data_oe_summary!$A$1,$C13,AF$5-1))</f>
        <v/>
      </c>
      <c r="AG13" s="238" t="str">
        <f ca="1">IF($C13="","",OFFSET(data_oe_summary!$A$1,$C13,AG$5-1))</f>
        <v/>
      </c>
      <c r="AH13" s="237" t="str">
        <f ca="1">IF($C13="","",OFFSET(data_oe_summary!$A$1,$C13,AH$5-1))</f>
        <v/>
      </c>
    </row>
    <row r="14" spans="1:35" x14ac:dyDescent="0.35">
      <c r="C14" s="190" t="str">
        <f>IF($C$4&lt;=MAX($C$5:C13),"",SUM(C13,1))</f>
        <v/>
      </c>
      <c r="D14" s="216" t="str">
        <f ca="1">IF($C14="","",OFFSET(data_oe_summary!$A$1,$C14,D$5-1))</f>
        <v/>
      </c>
      <c r="F14" t="str">
        <f ca="1">IF($C14="","",OFFSET(data_oe_summary!$A$1,$C14,F$5-1))</f>
        <v/>
      </c>
      <c r="H14" t="str">
        <f ca="1">IF($C14="","",OFFSET(data_oe_summary!$A$1,$C14,H$5-1))</f>
        <v/>
      </c>
      <c r="I14" t="str">
        <f ca="1">IF($C14="","",OFFSET(data_oe_summary!$A$1,$C14,I$5-1))</f>
        <v/>
      </c>
      <c r="J14" t="str">
        <f ca="1">IF($C14="","",OFFSET(data_oe_summary!$A$1,$C14,J$5-1))</f>
        <v/>
      </c>
      <c r="K14" s="215" t="str">
        <f ca="1">IF($C14="","",OFFSET(data_oe_summary!$A$1,$C14,K$5-1))</f>
        <v/>
      </c>
      <c r="M14" s="242" t="str">
        <f ca="1">IF($C14="","",OFFSET(data_oe_summary!$A$1,$C14,M$5-1))</f>
        <v/>
      </c>
      <c r="N14" s="241" t="str">
        <f ca="1">IF($C14="","",OFFSET(data_oe_summary!$A$1,$C14,N$5-1))</f>
        <v/>
      </c>
      <c r="O14" s="241" t="str">
        <f ca="1">IF($C14="","",OFFSET(data_oe_summary!$A$1,$C14,O$5-1))</f>
        <v/>
      </c>
      <c r="P14" s="241" t="str">
        <f ca="1">IF($C14="","",OFFSET(data_oe_summary!$A$1,$C14,P$5-1))</f>
        <v/>
      </c>
      <c r="Q14" s="240" t="str">
        <f ca="1">IF($C14="","",OFFSET(data_oe_summary!$A$1,$C14,Q$5-1))</f>
        <v/>
      </c>
      <c r="S14" s="242" t="str">
        <f ca="1">IF($C14="","",OFFSET(data_oe_summary!$A$1,$C14,S$5-1))</f>
        <v/>
      </c>
      <c r="T14" s="241" t="str">
        <f ca="1">IF($C14="","",OFFSET(data_oe_summary!$A$1,$C14,T$5-1))</f>
        <v/>
      </c>
      <c r="U14" s="241" t="str">
        <f ca="1">IF($C14="","",OFFSET(data_oe_summary!$A$1,$C14,U$5-1))</f>
        <v/>
      </c>
      <c r="V14" s="241" t="str">
        <f ca="1">IF($C14="","",OFFSET(data_oe_summary!$A$1,$C14,V$5-1))</f>
        <v/>
      </c>
      <c r="W14" s="240" t="str">
        <f ca="1">IF($C14="","",OFFSET(data_oe_summary!$A$1,$C14,W$5-1))</f>
        <v/>
      </c>
      <c r="Y14" s="239" t="str">
        <f ca="1">IF($C14="","",OFFSET(data_oe_summary!$A$1,$C14,Y$5-1))</f>
        <v/>
      </c>
      <c r="Z14" s="238" t="str">
        <f ca="1">IF($C14="","",OFFSET(data_oe_summary!$A$1,$C14,Z$5-1))</f>
        <v/>
      </c>
      <c r="AA14" s="238" t="str">
        <f ca="1">IF($C14="","",OFFSET(data_oe_summary!$A$1,$C14,AA$5-1))</f>
        <v/>
      </c>
      <c r="AB14" s="238" t="str">
        <f ca="1">IF($C14="","",OFFSET(data_oe_summary!$A$1,$C14,AB$5-1))</f>
        <v/>
      </c>
      <c r="AC14" s="238" t="str">
        <f ca="1">IF($C14="","",OFFSET(data_oe_summary!$A$1,$C14,AC$5-1))</f>
        <v/>
      </c>
      <c r="AD14" s="238" t="str">
        <f ca="1">IF($C14="","",OFFSET(data_oe_summary!$A$1,$C14,AD$5-1))</f>
        <v/>
      </c>
      <c r="AE14" s="238" t="str">
        <f ca="1">IF($C14="","",OFFSET(data_oe_summary!$A$1,$C14,AE$5-1))</f>
        <v/>
      </c>
      <c r="AF14" s="238" t="str">
        <f ca="1">IF($C14="","",OFFSET(data_oe_summary!$A$1,$C14,AF$5-1))</f>
        <v/>
      </c>
      <c r="AG14" s="238" t="str">
        <f ca="1">IF($C14="","",OFFSET(data_oe_summary!$A$1,$C14,AG$5-1))</f>
        <v/>
      </c>
      <c r="AH14" s="237" t="str">
        <f ca="1">IF($C14="","",OFFSET(data_oe_summary!$A$1,$C14,AH$5-1))</f>
        <v/>
      </c>
    </row>
    <row r="15" spans="1:35" x14ac:dyDescent="0.35">
      <c r="C15" s="175" t="str">
        <f>IF($C$4&lt;=MAX($C$5:C14),"",SUM(C14,1))</f>
        <v/>
      </c>
      <c r="D15" s="236" t="str">
        <f ca="1">IF($C15="","",OFFSET(data_oe_summary!$A$1,$C15,D$5-1))</f>
        <v/>
      </c>
      <c r="E15" s="235"/>
      <c r="F15" s="235" t="str">
        <f ca="1">IF($C15="","",OFFSET(data_oe_summary!$A$1,$C15,F$5-1))</f>
        <v/>
      </c>
      <c r="G15" s="235"/>
      <c r="H15" s="235" t="str">
        <f ca="1">IF($C15="","",OFFSET(data_oe_summary!$A$1,$C15,H$5-1))</f>
        <v/>
      </c>
      <c r="I15" s="235" t="str">
        <f ca="1">IF($C15="","",OFFSET(data_oe_summary!$A$1,$C15,I$5-1))</f>
        <v/>
      </c>
      <c r="J15" s="235" t="str">
        <f ca="1">IF($C15="","",OFFSET(data_oe_summary!$A$1,$C15,J$5-1))</f>
        <v/>
      </c>
      <c r="K15" s="234" t="str">
        <f ca="1">IF($C15="","",OFFSET(data_oe_summary!$A$1,$C15,K$5-1))</f>
        <v/>
      </c>
      <c r="M15" s="233" t="str">
        <f ca="1">IF($C15="","",OFFSET(data_oe_summary!$A$1,$C15,M$5-1))</f>
        <v/>
      </c>
      <c r="N15" s="232" t="str">
        <f ca="1">IF($C15="","",OFFSET(data_oe_summary!$A$1,$C15,N$5-1))</f>
        <v/>
      </c>
      <c r="O15" s="232" t="str">
        <f ca="1">IF($C15="","",OFFSET(data_oe_summary!$A$1,$C15,O$5-1))</f>
        <v/>
      </c>
      <c r="P15" s="232" t="str">
        <f ca="1">IF($C15="","",OFFSET(data_oe_summary!$A$1,$C15,P$5-1))</f>
        <v/>
      </c>
      <c r="Q15" s="231" t="str">
        <f ca="1">IF($C15="","",OFFSET(data_oe_summary!$A$1,$C15,Q$5-1))</f>
        <v/>
      </c>
      <c r="S15" s="233" t="str">
        <f ca="1">IF($C15="","",OFFSET(data_oe_summary!$A$1,$C15,S$5-1))</f>
        <v/>
      </c>
      <c r="T15" s="232" t="str">
        <f ca="1">IF($C15="","",OFFSET(data_oe_summary!$A$1,$C15,T$5-1))</f>
        <v/>
      </c>
      <c r="U15" s="232" t="str">
        <f ca="1">IF($C15="","",OFFSET(data_oe_summary!$A$1,$C15,U$5-1))</f>
        <v/>
      </c>
      <c r="V15" s="232" t="str">
        <f ca="1">IF($C15="","",OFFSET(data_oe_summary!$A$1,$C15,V$5-1))</f>
        <v/>
      </c>
      <c r="W15" s="231" t="str">
        <f ca="1">IF($C15="","",OFFSET(data_oe_summary!$A$1,$C15,W$5-1))</f>
        <v/>
      </c>
      <c r="Y15" s="230" t="str">
        <f ca="1">IF($C15="","",OFFSET(data_oe_summary!$A$1,$C15,Y$5-1))</f>
        <v/>
      </c>
      <c r="Z15" s="229" t="str">
        <f ca="1">IF($C15="","",OFFSET(data_oe_summary!$A$1,$C15,Z$5-1))</f>
        <v/>
      </c>
      <c r="AA15" s="229" t="str">
        <f ca="1">IF($C15="","",OFFSET(data_oe_summary!$A$1,$C15,AA$5-1))</f>
        <v/>
      </c>
      <c r="AB15" s="229" t="str">
        <f ca="1">IF($C15="","",OFFSET(data_oe_summary!$A$1,$C15,AB$5-1))</f>
        <v/>
      </c>
      <c r="AC15" s="229" t="str">
        <f ca="1">IF($C15="","",OFFSET(data_oe_summary!$A$1,$C15,AC$5-1))</f>
        <v/>
      </c>
      <c r="AD15" s="229" t="str">
        <f ca="1">IF($C15="","",OFFSET(data_oe_summary!$A$1,$C15,AD$5-1))</f>
        <v/>
      </c>
      <c r="AE15" s="229" t="str">
        <f ca="1">IF($C15="","",OFFSET(data_oe_summary!$A$1,$C15,AE$5-1))</f>
        <v/>
      </c>
      <c r="AF15" s="229" t="str">
        <f ca="1">IF($C15="","",OFFSET(data_oe_summary!$A$1,$C15,AF$5-1))</f>
        <v/>
      </c>
      <c r="AG15" s="229" t="str">
        <f ca="1">IF($C15="","",OFFSET(data_oe_summary!$A$1,$C15,AG$5-1))</f>
        <v/>
      </c>
      <c r="AH15" s="228" t="str">
        <f ca="1">IF($C15="","",OFFSET(data_oe_summary!$A$1,$C15,AH$5-1))</f>
        <v/>
      </c>
    </row>
    <row r="18" spans="1:114" s="227" customFormat="1" x14ac:dyDescent="0.35"/>
    <row r="20" spans="1:114" ht="13.9" x14ac:dyDescent="0.4">
      <c r="C20" s="126" t="s">
        <v>1012</v>
      </c>
      <c r="E20" s="262" t="str">
        <f ca="1">D6</f>
        <v/>
      </c>
      <c r="F20" s="263"/>
      <c r="G20" s="264"/>
    </row>
    <row r="22" spans="1:114" ht="13.9" x14ac:dyDescent="0.4">
      <c r="C22" s="154" t="s">
        <v>1091</v>
      </c>
      <c r="J22" s="154" t="s">
        <v>1090</v>
      </c>
      <c r="O22" s="154" t="s">
        <v>1089</v>
      </c>
    </row>
    <row r="23" spans="1:114" ht="13.9" x14ac:dyDescent="0.35">
      <c r="A23" s="139" t="s">
        <v>205</v>
      </c>
      <c r="B23" s="139">
        <f>MATCH(A23,$93:$93,0)-1</f>
        <v>2</v>
      </c>
      <c r="C23" s="147" t="str">
        <f>INDEX(own_summary[Label],MATCH(A23,own_summary[Name],0))</f>
        <v>Claim Source</v>
      </c>
      <c r="D23" s="148"/>
      <c r="E23" s="226" t="e">
        <f ca="1">IF(ISNA(B23),"",OFFSET($B$95,0,B23-1))</f>
        <v>#N/A</v>
      </c>
      <c r="H23" s="139" t="s">
        <v>210</v>
      </c>
      <c r="I23" s="225">
        <f t="shared" ref="I23:I28" si="0">MATCH(H23,$93:$93,0)-1</f>
        <v>7</v>
      </c>
      <c r="J23" s="147" t="str">
        <f>INDEX(own_summary[Label],MATCH(H23,own_summary[Name],0))</f>
        <v>Attritional IELR</v>
      </c>
      <c r="K23" s="148"/>
      <c r="L23" s="226" t="e">
        <f t="shared" ref="L23:L28" ca="1" si="1">IF(ISNA(I23),"",OFFSET($B$95,0,I23-1))</f>
        <v>#N/A</v>
      </c>
      <c r="O23" s="214"/>
      <c r="P23" s="213"/>
      <c r="Q23" s="214" t="s">
        <v>1088</v>
      </c>
      <c r="R23" s="213" t="s">
        <v>1087</v>
      </c>
      <c r="S23" s="212" t="s">
        <v>1086</v>
      </c>
      <c r="T23" s="139"/>
      <c r="U23" s="139"/>
      <c r="V23" s="139"/>
      <c r="W23" s="139"/>
      <c r="X23" s="139"/>
      <c r="Y23" s="139"/>
      <c r="Z23" s="139"/>
      <c r="AA23" s="139"/>
      <c r="AB23" s="139"/>
    </row>
    <row r="24" spans="1:114" ht="13.9" x14ac:dyDescent="0.35">
      <c r="A24" s="139" t="s">
        <v>206</v>
      </c>
      <c r="B24" s="139">
        <f>MATCH(A24,$93:$93,0)-1</f>
        <v>3</v>
      </c>
      <c r="C24" s="147" t="str">
        <f>INDEX(own_summary[Label],MATCH(A24,own_summary[Name],0))</f>
        <v>Claim Basis</v>
      </c>
      <c r="D24" s="148"/>
      <c r="E24" s="226" t="e">
        <f ca="1">IF(ISNA(B24),"",OFFSET($B$95,0,B24-1))</f>
        <v>#N/A</v>
      </c>
      <c r="H24" s="139" t="s">
        <v>211</v>
      </c>
      <c r="I24" s="225">
        <f t="shared" si="0"/>
        <v>8</v>
      </c>
      <c r="J24" s="147" t="str">
        <f>INDEX(own_summary[Label],MATCH(H24,own_summary[Name],0))</f>
        <v>Large IELR</v>
      </c>
      <c r="K24" s="148"/>
      <c r="L24" s="226" t="e">
        <f t="shared" ca="1" si="1"/>
        <v>#N/A</v>
      </c>
      <c r="O24" s="224" t="str">
        <f>INDEX(own_summary[Label],MATCH(U24,own_summary[Name],0))</f>
        <v>Attritional IELR</v>
      </c>
      <c r="P24" s="223"/>
      <c r="Q24" s="159" t="e">
        <f t="shared" ref="Q24:S28" ca="1" si="2">IF(ISNA(Z24),"",OFFSET($B$95,0,Z24-1))</f>
        <v>#N/A</v>
      </c>
      <c r="R24" s="158" t="e">
        <f t="shared" ca="1" si="2"/>
        <v>#N/A</v>
      </c>
      <c r="S24" s="157" t="e">
        <f t="shared" ca="1" si="2"/>
        <v>#N/A</v>
      </c>
      <c r="T24" s="139"/>
      <c r="U24" s="139" t="s">
        <v>223</v>
      </c>
      <c r="V24" s="139" t="s">
        <v>228</v>
      </c>
      <c r="W24" s="139" t="s">
        <v>233</v>
      </c>
      <c r="X24" s="139"/>
      <c r="Y24" s="139"/>
      <c r="Z24" s="139">
        <f t="shared" ref="Z24:AB28" si="3">MATCH(U24,$93:$93,0)-1</f>
        <v>20</v>
      </c>
      <c r="AA24" s="139">
        <f t="shared" si="3"/>
        <v>25</v>
      </c>
      <c r="AB24" s="139">
        <f t="shared" si="3"/>
        <v>30</v>
      </c>
    </row>
    <row r="25" spans="1:114" ht="13.9" x14ac:dyDescent="0.35">
      <c r="A25" s="139" t="s">
        <v>207</v>
      </c>
      <c r="B25" s="139">
        <f>MATCH(A25,$93:$93,0)-1</f>
        <v>4</v>
      </c>
      <c r="C25" s="147" t="str">
        <f>INDEX(own_summary[Label],MATCH(A25,own_summary[Name],0))</f>
        <v>Claim to Develop
 to Ultimate</v>
      </c>
      <c r="D25" s="148"/>
      <c r="E25" s="226" t="e">
        <f ca="1">IF(ISNA(B25),"",OFFSET($B$95,0,B25-1))</f>
        <v>#N/A</v>
      </c>
      <c r="H25" s="139" t="s">
        <v>212</v>
      </c>
      <c r="I25" s="225">
        <f t="shared" si="0"/>
        <v>9</v>
      </c>
      <c r="J25" s="147" t="str">
        <f>INDEX(own_summary[Label],MATCH(H25,own_summary[Name],0))</f>
        <v>CAT IELR</v>
      </c>
      <c r="K25" s="148"/>
      <c r="L25" s="226" t="e">
        <f t="shared" ca="1" si="1"/>
        <v>#N/A</v>
      </c>
      <c r="O25" s="224" t="str">
        <f>INDEX(own_summary[Label],MATCH(U25,own_summary[Name],0))</f>
        <v>Large IELR</v>
      </c>
      <c r="P25" s="223"/>
      <c r="Q25" s="159" t="e">
        <f t="shared" ca="1" si="2"/>
        <v>#N/A</v>
      </c>
      <c r="R25" s="158" t="e">
        <f t="shared" ca="1" si="2"/>
        <v>#N/A</v>
      </c>
      <c r="S25" s="157" t="e">
        <f t="shared" ca="1" si="2"/>
        <v>#N/A</v>
      </c>
      <c r="T25" s="139"/>
      <c r="U25" s="139" t="s">
        <v>224</v>
      </c>
      <c r="V25" s="139" t="s">
        <v>229</v>
      </c>
      <c r="W25" s="139" t="s">
        <v>234</v>
      </c>
      <c r="X25" s="139"/>
      <c r="Y25" s="139"/>
      <c r="Z25" s="139">
        <f t="shared" si="3"/>
        <v>21</v>
      </c>
      <c r="AA25" s="139">
        <f t="shared" si="3"/>
        <v>26</v>
      </c>
      <c r="AB25" s="139">
        <f t="shared" si="3"/>
        <v>31</v>
      </c>
    </row>
    <row r="26" spans="1:114" ht="13.9" x14ac:dyDescent="0.35">
      <c r="A26" s="139" t="s">
        <v>208</v>
      </c>
      <c r="B26" s="139">
        <f>MATCH(A26,$93:$93,0)-1</f>
        <v>5</v>
      </c>
      <c r="C26" s="147" t="str">
        <f>INDEX(own_summary[Label],MATCH(A26,own_summary[Name],0))</f>
        <v>Cat Basis</v>
      </c>
      <c r="D26" s="148"/>
      <c r="E26" s="226" t="e">
        <f ca="1">IF(ISNA(B26),"",OFFSET($B$95,0,B26-1))</f>
        <v>#N/A</v>
      </c>
      <c r="H26" s="139" t="s">
        <v>213</v>
      </c>
      <c r="I26" s="225">
        <f t="shared" si="0"/>
        <v>10</v>
      </c>
      <c r="J26" s="147" t="str">
        <f>INDEX(own_summary[Label],MATCH(H26,own_summary[Name],0))</f>
        <v>Total IELR</v>
      </c>
      <c r="K26" s="148"/>
      <c r="L26" s="226" t="e">
        <f t="shared" ca="1" si="1"/>
        <v>#N/A</v>
      </c>
      <c r="O26" s="224" t="str">
        <f>INDEX(own_summary[Label],MATCH(U26,own_summary[Name],0))</f>
        <v>CAT IELR</v>
      </c>
      <c r="P26" s="223"/>
      <c r="Q26" s="159" t="e">
        <f t="shared" ca="1" si="2"/>
        <v>#N/A</v>
      </c>
      <c r="R26" s="158" t="e">
        <f t="shared" ca="1" si="2"/>
        <v>#N/A</v>
      </c>
      <c r="S26" s="157" t="e">
        <f t="shared" ca="1" si="2"/>
        <v>#N/A</v>
      </c>
      <c r="T26" s="139"/>
      <c r="U26" s="139" t="s">
        <v>225</v>
      </c>
      <c r="V26" s="139" t="s">
        <v>230</v>
      </c>
      <c r="W26" s="139" t="s">
        <v>235</v>
      </c>
      <c r="X26" s="139"/>
      <c r="Y26" s="139"/>
      <c r="Z26" s="139">
        <f t="shared" si="3"/>
        <v>22</v>
      </c>
      <c r="AA26" s="139">
        <f t="shared" si="3"/>
        <v>27</v>
      </c>
      <c r="AB26" s="139">
        <f t="shared" si="3"/>
        <v>32</v>
      </c>
    </row>
    <row r="27" spans="1:114" ht="13.9" x14ac:dyDescent="0.35">
      <c r="A27" s="139" t="s">
        <v>209</v>
      </c>
      <c r="B27" s="139">
        <f>MATCH(A27,$93:$93,0)-1</f>
        <v>6</v>
      </c>
      <c r="C27" s="224" t="str">
        <f>INDEX(own_summary[Label],MATCH(A27,own_summary[Name],0))</f>
        <v>IELR Method
&amp; Weights</v>
      </c>
      <c r="D27" s="223"/>
      <c r="E27" s="222" t="e">
        <f ca="1">IF(ISNA(B27),"",OFFSET($B$95,0,B27-1))</f>
        <v>#N/A</v>
      </c>
      <c r="H27" s="139" t="s">
        <v>214</v>
      </c>
      <c r="I27" s="225">
        <f t="shared" si="0"/>
        <v>11</v>
      </c>
      <c r="J27" s="224" t="str">
        <f>INDEX(own_summary[Label],MATCH(H27,own_summary[Name],0))</f>
        <v>Total (Excl. CAT) IELR</v>
      </c>
      <c r="K27" s="223"/>
      <c r="L27" s="222" t="e">
        <f t="shared" ca="1" si="1"/>
        <v>#N/A</v>
      </c>
      <c r="O27" s="224" t="str">
        <f>INDEX(own_summary[Label],MATCH(U27,own_summary[Name],0))</f>
        <v>Total IELR</v>
      </c>
      <c r="P27" s="223"/>
      <c r="Q27" s="159" t="e">
        <f t="shared" ca="1" si="2"/>
        <v>#N/A</v>
      </c>
      <c r="R27" s="158" t="e">
        <f t="shared" ca="1" si="2"/>
        <v>#N/A</v>
      </c>
      <c r="S27" s="157" t="e">
        <f t="shared" ca="1" si="2"/>
        <v>#N/A</v>
      </c>
      <c r="T27" s="139"/>
      <c r="U27" s="139" t="s">
        <v>226</v>
      </c>
      <c r="V27" s="139" t="s">
        <v>231</v>
      </c>
      <c r="W27" s="139" t="s">
        <v>236</v>
      </c>
      <c r="X27" s="139"/>
      <c r="Y27" s="139"/>
      <c r="Z27" s="139">
        <f t="shared" si="3"/>
        <v>23</v>
      </c>
      <c r="AA27" s="139">
        <f t="shared" si="3"/>
        <v>28</v>
      </c>
      <c r="AB27" s="139">
        <f t="shared" si="3"/>
        <v>33</v>
      </c>
    </row>
    <row r="28" spans="1:114" ht="13.9" x14ac:dyDescent="0.35">
      <c r="H28" s="139" t="s">
        <v>217</v>
      </c>
      <c r="I28" s="225">
        <f t="shared" si="0"/>
        <v>14</v>
      </c>
      <c r="J28" s="224" t="str">
        <f>INDEX(own_summary[Label],MATCH(H28,own_summary[Name],0))</f>
        <v>Lloyds Selected IELR</v>
      </c>
      <c r="K28" s="223"/>
      <c r="L28" s="222" t="e">
        <f t="shared" ca="1" si="1"/>
        <v>#N/A</v>
      </c>
      <c r="O28" s="143" t="str">
        <f>INDEX(own_summary[Label],MATCH(U28,own_summary[Name],0))</f>
        <v>Total (Excl. CAT) IELR</v>
      </c>
      <c r="P28" s="144"/>
      <c r="Q28" s="163" t="e">
        <f t="shared" ca="1" si="2"/>
        <v>#N/A</v>
      </c>
      <c r="R28" s="162" t="e">
        <f t="shared" ca="1" si="2"/>
        <v>#N/A</v>
      </c>
      <c r="S28" s="161" t="e">
        <f t="shared" ca="1" si="2"/>
        <v>#N/A</v>
      </c>
      <c r="T28" s="139"/>
      <c r="U28" s="139" t="s">
        <v>227</v>
      </c>
      <c r="V28" s="139" t="s">
        <v>232</v>
      </c>
      <c r="W28" s="139" t="s">
        <v>237</v>
      </c>
      <c r="X28" s="139"/>
      <c r="Y28" s="139"/>
      <c r="Z28" s="139">
        <f t="shared" si="3"/>
        <v>24</v>
      </c>
      <c r="AA28" s="139">
        <f t="shared" si="3"/>
        <v>29</v>
      </c>
      <c r="AB28" s="139">
        <f t="shared" si="3"/>
        <v>34</v>
      </c>
    </row>
    <row r="31" spans="1:114" s="132" customFormat="1" ht="148.5" hidden="1" outlineLevel="1" x14ac:dyDescent="0.35">
      <c r="B31" s="132" t="s">
        <v>1022</v>
      </c>
      <c r="C31" s="221" t="s">
        <v>104</v>
      </c>
      <c r="D31" s="218" t="s">
        <v>105</v>
      </c>
      <c r="E31" s="218" t="s">
        <v>106</v>
      </c>
      <c r="F31" s="217" t="s">
        <v>107</v>
      </c>
      <c r="G31" s="219" t="s">
        <v>121</v>
      </c>
      <c r="H31" s="218" t="s">
        <v>133</v>
      </c>
      <c r="I31" s="218" t="s">
        <v>145</v>
      </c>
      <c r="J31" s="217" t="s">
        <v>157</v>
      </c>
      <c r="K31" s="219" t="s">
        <v>122</v>
      </c>
      <c r="L31" s="218" t="s">
        <v>134</v>
      </c>
      <c r="M31" s="218" t="s">
        <v>146</v>
      </c>
      <c r="N31" s="217" t="s">
        <v>158</v>
      </c>
      <c r="O31" s="219" t="s">
        <v>123</v>
      </c>
      <c r="P31" s="218" t="s">
        <v>135</v>
      </c>
      <c r="Q31" s="218" t="s">
        <v>147</v>
      </c>
      <c r="R31" s="217" t="s">
        <v>159</v>
      </c>
      <c r="S31" s="219" t="s">
        <v>124</v>
      </c>
      <c r="T31" s="218" t="s">
        <v>136</v>
      </c>
      <c r="U31" s="218" t="s">
        <v>148</v>
      </c>
      <c r="V31" s="217" t="s">
        <v>160</v>
      </c>
      <c r="W31" s="219" t="s">
        <v>125</v>
      </c>
      <c r="X31" s="218" t="s">
        <v>137</v>
      </c>
      <c r="Y31" s="218" t="s">
        <v>149</v>
      </c>
      <c r="Z31" s="217" t="s">
        <v>161</v>
      </c>
      <c r="AA31" s="219" t="s">
        <v>126</v>
      </c>
      <c r="AB31" s="218" t="s">
        <v>138</v>
      </c>
      <c r="AC31" s="218" t="s">
        <v>150</v>
      </c>
      <c r="AD31" s="217" t="s">
        <v>162</v>
      </c>
      <c r="AE31" s="132" t="s">
        <v>1085</v>
      </c>
      <c r="AF31" s="219" t="s">
        <v>183</v>
      </c>
      <c r="AG31" s="218" t="s">
        <v>184</v>
      </c>
      <c r="AH31" s="218" t="s">
        <v>186</v>
      </c>
      <c r="AI31" s="218" t="s">
        <v>187</v>
      </c>
      <c r="AJ31" s="217" t="s">
        <v>188</v>
      </c>
      <c r="AK31" s="220" t="s">
        <v>1084</v>
      </c>
      <c r="AL31" s="219" t="s">
        <v>172</v>
      </c>
      <c r="AM31" s="218" t="s">
        <v>173</v>
      </c>
      <c r="AN31" s="218" t="s">
        <v>174</v>
      </c>
      <c r="AO31" s="218" t="s">
        <v>175</v>
      </c>
      <c r="AP31" s="218" t="s">
        <v>177</v>
      </c>
      <c r="AQ31" s="218" t="s">
        <v>178</v>
      </c>
      <c r="AR31" s="218" t="s">
        <v>179</v>
      </c>
      <c r="AS31" s="218" t="s">
        <v>180</v>
      </c>
      <c r="AT31" s="217" t="s">
        <v>181</v>
      </c>
      <c r="AU31" s="220" t="s">
        <v>1084</v>
      </c>
      <c r="AV31" s="219" t="s">
        <v>108</v>
      </c>
      <c r="AW31" s="218" t="s">
        <v>109</v>
      </c>
      <c r="AX31" s="218" t="s">
        <v>110</v>
      </c>
      <c r="AY31" s="217" t="s">
        <v>111</v>
      </c>
      <c r="AZ31" s="219" t="s">
        <v>129</v>
      </c>
      <c r="BA31" s="218" t="s">
        <v>141</v>
      </c>
      <c r="BB31" s="218" t="s">
        <v>153</v>
      </c>
      <c r="BC31" s="218" t="s">
        <v>165</v>
      </c>
      <c r="BD31" s="218" t="s">
        <v>112</v>
      </c>
      <c r="BE31" s="219" t="s">
        <v>127</v>
      </c>
      <c r="BF31" s="218" t="s">
        <v>139</v>
      </c>
      <c r="BG31" s="218" t="s">
        <v>151</v>
      </c>
      <c r="BH31" s="217" t="s">
        <v>163</v>
      </c>
      <c r="BI31" s="219" t="s">
        <v>128</v>
      </c>
      <c r="BJ31" s="218" t="s">
        <v>140</v>
      </c>
      <c r="BK31" s="218" t="s">
        <v>152</v>
      </c>
      <c r="BL31" s="217" t="s">
        <v>164</v>
      </c>
      <c r="BM31" s="219" t="s">
        <v>271</v>
      </c>
      <c r="BN31" s="218" t="s">
        <v>273</v>
      </c>
      <c r="BO31" s="218" t="s">
        <v>275</v>
      </c>
      <c r="BP31" s="217" t="s">
        <v>277</v>
      </c>
      <c r="BQ31" s="132" t="s">
        <v>182</v>
      </c>
      <c r="BR31" s="219" t="s">
        <v>113</v>
      </c>
      <c r="BS31" s="218" t="s">
        <v>114</v>
      </c>
      <c r="BT31" s="218" t="s">
        <v>115</v>
      </c>
      <c r="BU31" s="217" t="s">
        <v>116</v>
      </c>
      <c r="BV31" s="219" t="s">
        <v>130</v>
      </c>
      <c r="BW31" s="218" t="s">
        <v>142</v>
      </c>
      <c r="BX31" s="218" t="s">
        <v>154</v>
      </c>
      <c r="BY31" s="218" t="s">
        <v>166</v>
      </c>
      <c r="BZ31" s="217" t="s">
        <v>169</v>
      </c>
      <c r="CA31" s="219" t="s">
        <v>131</v>
      </c>
      <c r="CB31" s="218" t="s">
        <v>143</v>
      </c>
      <c r="CC31" s="218" t="s">
        <v>155</v>
      </c>
      <c r="CD31" s="218" t="s">
        <v>167</v>
      </c>
      <c r="CE31" s="217" t="s">
        <v>170</v>
      </c>
      <c r="CF31" s="220" t="s">
        <v>1084</v>
      </c>
      <c r="CG31" s="219" t="s">
        <v>132</v>
      </c>
      <c r="CH31" s="218" t="s">
        <v>144</v>
      </c>
      <c r="CI31" s="218" t="s">
        <v>156</v>
      </c>
      <c r="CJ31" s="218" t="s">
        <v>168</v>
      </c>
      <c r="CK31" s="217" t="s">
        <v>171</v>
      </c>
      <c r="CL31" s="220" t="s">
        <v>1084</v>
      </c>
      <c r="CM31" s="219" t="s">
        <v>185</v>
      </c>
      <c r="CN31" s="218" t="s">
        <v>272</v>
      </c>
      <c r="CO31" s="218" t="s">
        <v>274</v>
      </c>
      <c r="CP31" s="218" t="s">
        <v>276</v>
      </c>
      <c r="CQ31" s="217" t="s">
        <v>278</v>
      </c>
      <c r="CR31" s="220" t="s">
        <v>1084</v>
      </c>
      <c r="CS31" s="219" t="s">
        <v>189</v>
      </c>
      <c r="CT31" s="218" t="s">
        <v>190</v>
      </c>
      <c r="CU31" s="218" t="s">
        <v>191</v>
      </c>
      <c r="CV31" s="217" t="s">
        <v>192</v>
      </c>
      <c r="CW31" s="220" t="s">
        <v>1084</v>
      </c>
      <c r="CX31" s="219" t="s">
        <v>193</v>
      </c>
      <c r="CY31" s="217" t="s">
        <v>194</v>
      </c>
      <c r="CZ31" s="220" t="s">
        <v>1084</v>
      </c>
      <c r="DA31" s="219" t="s">
        <v>195</v>
      </c>
      <c r="DB31" s="218" t="s">
        <v>196</v>
      </c>
      <c r="DC31" s="218" t="s">
        <v>197</v>
      </c>
      <c r="DD31" s="218" t="s">
        <v>198</v>
      </c>
      <c r="DE31" s="218" t="s">
        <v>199</v>
      </c>
      <c r="DF31" s="218" t="s">
        <v>200</v>
      </c>
      <c r="DG31" s="218" t="s">
        <v>201</v>
      </c>
      <c r="DH31" s="218" t="s">
        <v>202</v>
      </c>
      <c r="DI31" s="218" t="s">
        <v>203</v>
      </c>
      <c r="DJ31" s="217" t="s">
        <v>203</v>
      </c>
    </row>
    <row r="32" spans="1:114" hidden="1" outlineLevel="1" x14ac:dyDescent="0.35">
      <c r="B32" t="s">
        <v>1042</v>
      </c>
      <c r="C32" s="210">
        <f t="shared" ref="C32:AH32" si="4">MATCH(C31,99:99,0)-1</f>
        <v>4</v>
      </c>
      <c r="D32">
        <f t="shared" si="4"/>
        <v>5</v>
      </c>
      <c r="E32">
        <f t="shared" si="4"/>
        <v>6</v>
      </c>
      <c r="F32" s="215">
        <f t="shared" si="4"/>
        <v>7</v>
      </c>
      <c r="G32" s="216">
        <f t="shared" si="4"/>
        <v>21</v>
      </c>
      <c r="H32">
        <f t="shared" si="4"/>
        <v>35</v>
      </c>
      <c r="I32">
        <f t="shared" si="4"/>
        <v>49</v>
      </c>
      <c r="J32" s="215">
        <f t="shared" si="4"/>
        <v>63</v>
      </c>
      <c r="K32" s="216">
        <f t="shared" si="4"/>
        <v>22</v>
      </c>
      <c r="L32">
        <f t="shared" si="4"/>
        <v>36</v>
      </c>
      <c r="M32">
        <f t="shared" si="4"/>
        <v>50</v>
      </c>
      <c r="N32" s="215">
        <f t="shared" si="4"/>
        <v>64</v>
      </c>
      <c r="O32" s="216">
        <f t="shared" si="4"/>
        <v>23</v>
      </c>
      <c r="P32">
        <f t="shared" si="4"/>
        <v>37</v>
      </c>
      <c r="Q32">
        <f t="shared" si="4"/>
        <v>51</v>
      </c>
      <c r="R32" s="215">
        <f t="shared" si="4"/>
        <v>65</v>
      </c>
      <c r="S32" s="216">
        <f t="shared" si="4"/>
        <v>24</v>
      </c>
      <c r="T32">
        <f t="shared" si="4"/>
        <v>38</v>
      </c>
      <c r="U32">
        <f t="shared" si="4"/>
        <v>52</v>
      </c>
      <c r="V32" s="215">
        <f t="shared" si="4"/>
        <v>66</v>
      </c>
      <c r="W32" s="216">
        <f t="shared" si="4"/>
        <v>25</v>
      </c>
      <c r="X32">
        <f t="shared" si="4"/>
        <v>39</v>
      </c>
      <c r="Y32">
        <f t="shared" si="4"/>
        <v>53</v>
      </c>
      <c r="Z32" s="215">
        <f t="shared" si="4"/>
        <v>67</v>
      </c>
      <c r="AA32" s="216">
        <f t="shared" si="4"/>
        <v>26</v>
      </c>
      <c r="AB32">
        <f t="shared" si="4"/>
        <v>40</v>
      </c>
      <c r="AC32">
        <f t="shared" si="4"/>
        <v>54</v>
      </c>
      <c r="AD32" s="215">
        <f t="shared" si="4"/>
        <v>68</v>
      </c>
      <c r="AE32" t="e">
        <f t="shared" si="4"/>
        <v>#N/A</v>
      </c>
      <c r="AF32" s="216">
        <f t="shared" si="4"/>
        <v>91</v>
      </c>
      <c r="AG32">
        <f t="shared" si="4"/>
        <v>92</v>
      </c>
      <c r="AH32">
        <f t="shared" si="4"/>
        <v>94</v>
      </c>
      <c r="AI32">
        <f t="shared" ref="AI32:BN32" si="5">MATCH(AI31,99:99,0)-1</f>
        <v>95</v>
      </c>
      <c r="AJ32" s="215">
        <f t="shared" si="5"/>
        <v>96</v>
      </c>
      <c r="AK32" s="210" t="e">
        <f t="shared" si="5"/>
        <v>#N/A</v>
      </c>
      <c r="AL32" s="216">
        <f t="shared" si="5"/>
        <v>80</v>
      </c>
      <c r="AM32">
        <f t="shared" si="5"/>
        <v>81</v>
      </c>
      <c r="AN32">
        <f t="shared" si="5"/>
        <v>82</v>
      </c>
      <c r="AO32">
        <f t="shared" si="5"/>
        <v>83</v>
      </c>
      <c r="AP32">
        <f t="shared" si="5"/>
        <v>85</v>
      </c>
      <c r="AQ32">
        <f t="shared" si="5"/>
        <v>86</v>
      </c>
      <c r="AR32">
        <f t="shared" si="5"/>
        <v>87</v>
      </c>
      <c r="AS32">
        <f t="shared" si="5"/>
        <v>88</v>
      </c>
      <c r="AT32" s="215">
        <f t="shared" si="5"/>
        <v>89</v>
      </c>
      <c r="AU32" s="210" t="e">
        <f t="shared" si="5"/>
        <v>#N/A</v>
      </c>
      <c r="AV32" s="216">
        <f t="shared" si="5"/>
        <v>8</v>
      </c>
      <c r="AW32">
        <f t="shared" si="5"/>
        <v>9</v>
      </c>
      <c r="AX32">
        <f t="shared" si="5"/>
        <v>10</v>
      </c>
      <c r="AY32" s="215">
        <f t="shared" si="5"/>
        <v>11</v>
      </c>
      <c r="AZ32" s="216">
        <f t="shared" si="5"/>
        <v>29</v>
      </c>
      <c r="BA32">
        <f t="shared" si="5"/>
        <v>43</v>
      </c>
      <c r="BB32">
        <f t="shared" si="5"/>
        <v>57</v>
      </c>
      <c r="BC32">
        <f t="shared" si="5"/>
        <v>71</v>
      </c>
      <c r="BD32">
        <f t="shared" si="5"/>
        <v>12</v>
      </c>
      <c r="BE32" s="216">
        <f t="shared" si="5"/>
        <v>27</v>
      </c>
      <c r="BF32">
        <f t="shared" si="5"/>
        <v>41</v>
      </c>
      <c r="BG32">
        <f t="shared" si="5"/>
        <v>55</v>
      </c>
      <c r="BH32" s="215">
        <f t="shared" si="5"/>
        <v>69</v>
      </c>
      <c r="BI32" s="216">
        <f t="shared" si="5"/>
        <v>28</v>
      </c>
      <c r="BJ32">
        <f t="shared" si="5"/>
        <v>42</v>
      </c>
      <c r="BK32">
        <f t="shared" si="5"/>
        <v>56</v>
      </c>
      <c r="BL32" s="215">
        <f t="shared" si="5"/>
        <v>70</v>
      </c>
      <c r="BM32" s="216">
        <f t="shared" si="5"/>
        <v>30</v>
      </c>
      <c r="BN32">
        <f t="shared" si="5"/>
        <v>44</v>
      </c>
      <c r="BO32">
        <f t="shared" ref="BO32:CT32" si="6">MATCH(BO31,99:99,0)-1</f>
        <v>58</v>
      </c>
      <c r="BP32" s="215">
        <f t="shared" si="6"/>
        <v>72</v>
      </c>
      <c r="BQ32">
        <f t="shared" si="6"/>
        <v>90</v>
      </c>
      <c r="BR32" s="216">
        <f t="shared" si="6"/>
        <v>13</v>
      </c>
      <c r="BS32">
        <f t="shared" si="6"/>
        <v>14</v>
      </c>
      <c r="BT32">
        <f t="shared" si="6"/>
        <v>15</v>
      </c>
      <c r="BU32" s="215">
        <f t="shared" si="6"/>
        <v>16</v>
      </c>
      <c r="BV32" s="216">
        <f t="shared" si="6"/>
        <v>31</v>
      </c>
      <c r="BW32">
        <f t="shared" si="6"/>
        <v>45</v>
      </c>
      <c r="BX32">
        <f t="shared" si="6"/>
        <v>59</v>
      </c>
      <c r="BY32">
        <f t="shared" si="6"/>
        <v>73</v>
      </c>
      <c r="BZ32" s="215">
        <f t="shared" si="6"/>
        <v>77</v>
      </c>
      <c r="CA32" s="216">
        <f t="shared" si="6"/>
        <v>32</v>
      </c>
      <c r="CB32">
        <f t="shared" si="6"/>
        <v>46</v>
      </c>
      <c r="CC32">
        <f t="shared" si="6"/>
        <v>60</v>
      </c>
      <c r="CD32">
        <f t="shared" si="6"/>
        <v>74</v>
      </c>
      <c r="CE32" s="215">
        <f t="shared" si="6"/>
        <v>78</v>
      </c>
      <c r="CF32" s="210" t="e">
        <f t="shared" si="6"/>
        <v>#N/A</v>
      </c>
      <c r="CG32" s="216">
        <f t="shared" si="6"/>
        <v>33</v>
      </c>
      <c r="CH32">
        <f t="shared" si="6"/>
        <v>47</v>
      </c>
      <c r="CI32">
        <f t="shared" si="6"/>
        <v>61</v>
      </c>
      <c r="CJ32">
        <f t="shared" si="6"/>
        <v>75</v>
      </c>
      <c r="CK32" s="215">
        <f t="shared" si="6"/>
        <v>79</v>
      </c>
      <c r="CL32" s="210" t="e">
        <f t="shared" si="6"/>
        <v>#N/A</v>
      </c>
      <c r="CM32" s="216">
        <f t="shared" si="6"/>
        <v>93</v>
      </c>
      <c r="CN32">
        <f t="shared" si="6"/>
        <v>34</v>
      </c>
      <c r="CO32">
        <f t="shared" si="6"/>
        <v>48</v>
      </c>
      <c r="CP32">
        <f t="shared" si="6"/>
        <v>62</v>
      </c>
      <c r="CQ32" s="215">
        <f t="shared" si="6"/>
        <v>76</v>
      </c>
      <c r="CR32" s="210" t="e">
        <f t="shared" si="6"/>
        <v>#N/A</v>
      </c>
      <c r="CS32" s="216">
        <f t="shared" si="6"/>
        <v>97</v>
      </c>
      <c r="CT32">
        <f t="shared" si="6"/>
        <v>98</v>
      </c>
      <c r="CU32">
        <f t="shared" ref="CU32:DJ32" si="7">MATCH(CU31,99:99,0)-1</f>
        <v>99</v>
      </c>
      <c r="CV32" s="215">
        <f t="shared" si="7"/>
        <v>100</v>
      </c>
      <c r="CW32" s="210" t="e">
        <f t="shared" si="7"/>
        <v>#N/A</v>
      </c>
      <c r="CX32" s="216">
        <f t="shared" si="7"/>
        <v>101</v>
      </c>
      <c r="CY32" s="215">
        <f t="shared" si="7"/>
        <v>102</v>
      </c>
      <c r="CZ32" s="210" t="e">
        <f t="shared" si="7"/>
        <v>#N/A</v>
      </c>
      <c r="DA32" s="216">
        <f t="shared" si="7"/>
        <v>103</v>
      </c>
      <c r="DB32">
        <f t="shared" si="7"/>
        <v>104</v>
      </c>
      <c r="DC32">
        <f t="shared" si="7"/>
        <v>105</v>
      </c>
      <c r="DD32">
        <f t="shared" si="7"/>
        <v>106</v>
      </c>
      <c r="DE32">
        <f t="shared" si="7"/>
        <v>107</v>
      </c>
      <c r="DF32">
        <f t="shared" si="7"/>
        <v>108</v>
      </c>
      <c r="DG32">
        <f t="shared" si="7"/>
        <v>109</v>
      </c>
      <c r="DH32">
        <f t="shared" si="7"/>
        <v>110</v>
      </c>
      <c r="DI32">
        <f t="shared" si="7"/>
        <v>111</v>
      </c>
      <c r="DJ32" s="215">
        <f t="shared" si="7"/>
        <v>111</v>
      </c>
    </row>
    <row r="33" spans="2:115" hidden="1" outlineLevel="1" x14ac:dyDescent="0.35">
      <c r="B33" t="s">
        <v>1043</v>
      </c>
      <c r="C33" s="210">
        <f t="shared" ref="C33:AH33" si="8">MATCH(C31,93:93,0)-1</f>
        <v>70</v>
      </c>
      <c r="D33">
        <f t="shared" si="8"/>
        <v>71</v>
      </c>
      <c r="E33">
        <f t="shared" si="8"/>
        <v>72</v>
      </c>
      <c r="F33" s="215">
        <f t="shared" si="8"/>
        <v>73</v>
      </c>
      <c r="G33" s="216">
        <f t="shared" si="8"/>
        <v>87</v>
      </c>
      <c r="H33">
        <f t="shared" si="8"/>
        <v>99</v>
      </c>
      <c r="I33">
        <f t="shared" si="8"/>
        <v>111</v>
      </c>
      <c r="J33" s="215">
        <f t="shared" si="8"/>
        <v>123</v>
      </c>
      <c r="K33" s="216">
        <f t="shared" si="8"/>
        <v>88</v>
      </c>
      <c r="L33">
        <f t="shared" si="8"/>
        <v>100</v>
      </c>
      <c r="M33">
        <f t="shared" si="8"/>
        <v>112</v>
      </c>
      <c r="N33" s="215">
        <f t="shared" si="8"/>
        <v>124</v>
      </c>
      <c r="O33" s="216">
        <f t="shared" si="8"/>
        <v>89</v>
      </c>
      <c r="P33">
        <f t="shared" si="8"/>
        <v>101</v>
      </c>
      <c r="Q33">
        <f t="shared" si="8"/>
        <v>113</v>
      </c>
      <c r="R33" s="215">
        <f t="shared" si="8"/>
        <v>125</v>
      </c>
      <c r="S33" s="216">
        <f t="shared" si="8"/>
        <v>90</v>
      </c>
      <c r="T33">
        <f t="shared" si="8"/>
        <v>102</v>
      </c>
      <c r="U33">
        <f t="shared" si="8"/>
        <v>114</v>
      </c>
      <c r="V33" s="215">
        <f t="shared" si="8"/>
        <v>126</v>
      </c>
      <c r="W33" s="216">
        <f t="shared" si="8"/>
        <v>91</v>
      </c>
      <c r="X33">
        <f t="shared" si="8"/>
        <v>103</v>
      </c>
      <c r="Y33">
        <f t="shared" si="8"/>
        <v>115</v>
      </c>
      <c r="Z33" s="215">
        <f t="shared" si="8"/>
        <v>127</v>
      </c>
      <c r="AA33" s="216">
        <f t="shared" si="8"/>
        <v>92</v>
      </c>
      <c r="AB33">
        <f t="shared" si="8"/>
        <v>104</v>
      </c>
      <c r="AC33">
        <f t="shared" si="8"/>
        <v>116</v>
      </c>
      <c r="AD33" s="215">
        <f t="shared" si="8"/>
        <v>128</v>
      </c>
      <c r="AE33" t="e">
        <f t="shared" si="8"/>
        <v>#N/A</v>
      </c>
      <c r="AF33" s="216" t="e">
        <f t="shared" si="8"/>
        <v>#N/A</v>
      </c>
      <c r="AG33" t="e">
        <f t="shared" si="8"/>
        <v>#N/A</v>
      </c>
      <c r="AH33" t="e">
        <f t="shared" si="8"/>
        <v>#N/A</v>
      </c>
      <c r="AI33" t="e">
        <f t="shared" ref="AI33:BN33" si="9">MATCH(AI31,93:93,0)-1</f>
        <v>#N/A</v>
      </c>
      <c r="AJ33" s="215" t="e">
        <f t="shared" si="9"/>
        <v>#N/A</v>
      </c>
      <c r="AK33" s="210" t="e">
        <f t="shared" si="9"/>
        <v>#N/A</v>
      </c>
      <c r="AL33" s="216" t="e">
        <f t="shared" si="9"/>
        <v>#N/A</v>
      </c>
      <c r="AM33" t="e">
        <f t="shared" si="9"/>
        <v>#N/A</v>
      </c>
      <c r="AN33" t="e">
        <f t="shared" si="9"/>
        <v>#N/A</v>
      </c>
      <c r="AO33" t="e">
        <f t="shared" si="9"/>
        <v>#N/A</v>
      </c>
      <c r="AP33" t="e">
        <f t="shared" si="9"/>
        <v>#N/A</v>
      </c>
      <c r="AQ33" t="e">
        <f t="shared" si="9"/>
        <v>#N/A</v>
      </c>
      <c r="AR33" t="e">
        <f t="shared" si="9"/>
        <v>#N/A</v>
      </c>
      <c r="AS33" t="e">
        <f t="shared" si="9"/>
        <v>#N/A</v>
      </c>
      <c r="AT33" s="215" t="e">
        <f t="shared" si="9"/>
        <v>#N/A</v>
      </c>
      <c r="AU33" s="210" t="e">
        <f t="shared" si="9"/>
        <v>#N/A</v>
      </c>
      <c r="AV33" s="216">
        <f t="shared" si="9"/>
        <v>74</v>
      </c>
      <c r="AW33">
        <f t="shared" si="9"/>
        <v>75</v>
      </c>
      <c r="AX33">
        <f t="shared" si="9"/>
        <v>76</v>
      </c>
      <c r="AY33" s="215">
        <f t="shared" si="9"/>
        <v>77</v>
      </c>
      <c r="AZ33" s="216">
        <f t="shared" si="9"/>
        <v>95</v>
      </c>
      <c r="BA33">
        <f t="shared" si="9"/>
        <v>107</v>
      </c>
      <c r="BB33">
        <f t="shared" si="9"/>
        <v>119</v>
      </c>
      <c r="BC33">
        <f t="shared" si="9"/>
        <v>131</v>
      </c>
      <c r="BD33">
        <f t="shared" si="9"/>
        <v>78</v>
      </c>
      <c r="BE33" s="216">
        <f t="shared" si="9"/>
        <v>93</v>
      </c>
      <c r="BF33">
        <f t="shared" si="9"/>
        <v>105</v>
      </c>
      <c r="BG33">
        <f t="shared" si="9"/>
        <v>117</v>
      </c>
      <c r="BH33" s="215">
        <f t="shared" si="9"/>
        <v>129</v>
      </c>
      <c r="BI33" s="216">
        <f t="shared" si="9"/>
        <v>94</v>
      </c>
      <c r="BJ33">
        <f t="shared" si="9"/>
        <v>106</v>
      </c>
      <c r="BK33">
        <f t="shared" si="9"/>
        <v>118</v>
      </c>
      <c r="BL33" s="215">
        <f t="shared" si="9"/>
        <v>130</v>
      </c>
      <c r="BM33" s="216" t="e">
        <f t="shared" si="9"/>
        <v>#N/A</v>
      </c>
      <c r="BN33" t="e">
        <f t="shared" si="9"/>
        <v>#N/A</v>
      </c>
      <c r="BO33" t="e">
        <f t="shared" ref="BO33:CT33" si="10">MATCH(BO31,93:93,0)-1</f>
        <v>#N/A</v>
      </c>
      <c r="BP33" s="215" t="e">
        <f t="shared" si="10"/>
        <v>#N/A</v>
      </c>
      <c r="BQ33" t="e">
        <f t="shared" si="10"/>
        <v>#N/A</v>
      </c>
      <c r="BR33" s="216">
        <f t="shared" si="10"/>
        <v>79</v>
      </c>
      <c r="BS33">
        <f t="shared" si="10"/>
        <v>80</v>
      </c>
      <c r="BT33">
        <f t="shared" si="10"/>
        <v>81</v>
      </c>
      <c r="BU33" s="215">
        <f t="shared" si="10"/>
        <v>82</v>
      </c>
      <c r="BV33" s="216">
        <f t="shared" si="10"/>
        <v>96</v>
      </c>
      <c r="BW33">
        <f t="shared" si="10"/>
        <v>108</v>
      </c>
      <c r="BX33">
        <f t="shared" si="10"/>
        <v>120</v>
      </c>
      <c r="BY33">
        <f t="shared" si="10"/>
        <v>132</v>
      </c>
      <c r="BZ33" s="215">
        <f t="shared" si="10"/>
        <v>135</v>
      </c>
      <c r="CA33" s="216">
        <f t="shared" si="10"/>
        <v>97</v>
      </c>
      <c r="CB33">
        <f t="shared" si="10"/>
        <v>109</v>
      </c>
      <c r="CC33">
        <f t="shared" si="10"/>
        <v>121</v>
      </c>
      <c r="CD33">
        <f t="shared" si="10"/>
        <v>133</v>
      </c>
      <c r="CE33" s="215">
        <f t="shared" si="10"/>
        <v>136</v>
      </c>
      <c r="CF33" s="210" t="e">
        <f t="shared" si="10"/>
        <v>#N/A</v>
      </c>
      <c r="CG33" s="216">
        <f t="shared" si="10"/>
        <v>98</v>
      </c>
      <c r="CH33">
        <f t="shared" si="10"/>
        <v>110</v>
      </c>
      <c r="CI33">
        <f t="shared" si="10"/>
        <v>122</v>
      </c>
      <c r="CJ33">
        <f t="shared" si="10"/>
        <v>134</v>
      </c>
      <c r="CK33" s="215">
        <f t="shared" si="10"/>
        <v>137</v>
      </c>
      <c r="CL33" s="210" t="e">
        <f t="shared" si="10"/>
        <v>#N/A</v>
      </c>
      <c r="CM33" s="216" t="e">
        <f t="shared" si="10"/>
        <v>#N/A</v>
      </c>
      <c r="CN33" t="e">
        <f t="shared" si="10"/>
        <v>#N/A</v>
      </c>
      <c r="CO33" t="e">
        <f t="shared" si="10"/>
        <v>#N/A</v>
      </c>
      <c r="CP33" t="e">
        <f t="shared" si="10"/>
        <v>#N/A</v>
      </c>
      <c r="CQ33" s="215" t="e">
        <f t="shared" si="10"/>
        <v>#N/A</v>
      </c>
      <c r="CR33" s="210" t="e">
        <f t="shared" si="10"/>
        <v>#N/A</v>
      </c>
      <c r="CS33" s="216" t="e">
        <f t="shared" si="10"/>
        <v>#N/A</v>
      </c>
      <c r="CT33" t="e">
        <f t="shared" si="10"/>
        <v>#N/A</v>
      </c>
      <c r="CU33" t="e">
        <f t="shared" ref="CU33:DJ33" si="11">MATCH(CU31,93:93,0)-1</f>
        <v>#N/A</v>
      </c>
      <c r="CV33" s="215" t="e">
        <f t="shared" si="11"/>
        <v>#N/A</v>
      </c>
      <c r="CW33" s="210" t="e">
        <f t="shared" si="11"/>
        <v>#N/A</v>
      </c>
      <c r="CX33" s="216" t="e">
        <f t="shared" si="11"/>
        <v>#N/A</v>
      </c>
      <c r="CY33" s="215" t="e">
        <f t="shared" si="11"/>
        <v>#N/A</v>
      </c>
      <c r="CZ33" s="210" t="e">
        <f t="shared" si="11"/>
        <v>#N/A</v>
      </c>
      <c r="DA33" s="216" t="e">
        <f t="shared" si="11"/>
        <v>#N/A</v>
      </c>
      <c r="DB33" t="e">
        <f t="shared" si="11"/>
        <v>#N/A</v>
      </c>
      <c r="DC33" t="e">
        <f t="shared" si="11"/>
        <v>#N/A</v>
      </c>
      <c r="DD33" t="e">
        <f t="shared" si="11"/>
        <v>#N/A</v>
      </c>
      <c r="DE33" t="e">
        <f t="shared" si="11"/>
        <v>#N/A</v>
      </c>
      <c r="DF33" t="e">
        <f t="shared" si="11"/>
        <v>#N/A</v>
      </c>
      <c r="DG33" t="e">
        <f t="shared" si="11"/>
        <v>#N/A</v>
      </c>
      <c r="DH33" t="e">
        <f t="shared" si="11"/>
        <v>#N/A</v>
      </c>
      <c r="DI33" t="e">
        <f t="shared" si="11"/>
        <v>#N/A</v>
      </c>
      <c r="DJ33" s="215" t="e">
        <f t="shared" si="11"/>
        <v>#N/A</v>
      </c>
    </row>
    <row r="34" spans="2:115" collapsed="1" x14ac:dyDescent="0.35">
      <c r="D34" s="214"/>
      <c r="E34" s="213"/>
      <c r="F34" s="212"/>
      <c r="G34" s="214"/>
      <c r="H34" s="213"/>
      <c r="I34" s="213"/>
      <c r="J34" s="212"/>
      <c r="K34" s="214"/>
      <c r="L34" s="213"/>
      <c r="M34" s="213"/>
      <c r="N34" s="212"/>
      <c r="O34" s="214"/>
      <c r="P34" s="213"/>
      <c r="Q34" s="213"/>
      <c r="R34" s="212"/>
      <c r="S34" s="214"/>
      <c r="T34" s="213"/>
      <c r="U34" s="213"/>
      <c r="V34" s="212"/>
      <c r="W34" s="214"/>
      <c r="X34" s="213"/>
      <c r="Y34" s="213"/>
      <c r="Z34" s="212"/>
      <c r="AA34" s="214"/>
      <c r="AB34" s="213"/>
      <c r="AC34" s="213"/>
      <c r="AD34" s="212"/>
      <c r="AF34" s="214"/>
      <c r="AG34" s="212"/>
      <c r="AH34" s="213"/>
      <c r="AI34" s="213"/>
      <c r="AJ34" s="212"/>
      <c r="AK34" s="210"/>
      <c r="AL34" s="214"/>
      <c r="AM34" s="213"/>
      <c r="AN34" s="213"/>
      <c r="AO34" s="213"/>
      <c r="AP34" s="213"/>
      <c r="AQ34" s="213"/>
      <c r="AR34" s="213"/>
      <c r="AS34" s="213"/>
      <c r="AT34" s="212"/>
      <c r="AU34" s="210"/>
      <c r="AV34" s="214"/>
      <c r="AW34" s="213"/>
      <c r="AX34" s="213"/>
      <c r="AY34" s="212"/>
      <c r="AZ34" s="214"/>
      <c r="BA34" s="213"/>
      <c r="BB34" s="213"/>
      <c r="BC34" s="213"/>
      <c r="BD34" s="213"/>
      <c r="BE34" s="214"/>
      <c r="BF34" s="213"/>
      <c r="BG34" s="213"/>
      <c r="BH34" s="212"/>
      <c r="BI34" s="214"/>
      <c r="BJ34" s="213"/>
      <c r="BK34" s="213"/>
      <c r="BL34" s="212"/>
      <c r="BM34" s="214"/>
      <c r="BN34" s="213"/>
      <c r="BO34" s="213"/>
      <c r="BP34" s="212"/>
      <c r="BQ34" s="210"/>
      <c r="BR34" s="214"/>
      <c r="BS34" s="213"/>
      <c r="BT34" s="213"/>
      <c r="BU34" s="212"/>
      <c r="BV34" s="214"/>
      <c r="BW34" s="213"/>
      <c r="BX34" s="213"/>
      <c r="BY34" s="213"/>
      <c r="BZ34" s="212"/>
      <c r="CA34" s="214"/>
      <c r="CB34" s="213"/>
      <c r="CC34" s="213"/>
      <c r="CD34" s="213"/>
      <c r="CE34" s="212"/>
      <c r="CF34" s="210"/>
      <c r="CG34" s="214"/>
      <c r="CH34" s="213"/>
      <c r="CI34" s="213"/>
      <c r="CJ34" s="213"/>
      <c r="CK34" s="212"/>
      <c r="CL34" s="216"/>
      <c r="CM34" s="215"/>
      <c r="CN34" s="213"/>
      <c r="CO34" s="213"/>
      <c r="CP34" s="213"/>
      <c r="CQ34" s="212"/>
      <c r="CR34" s="210"/>
      <c r="CS34" s="214"/>
      <c r="CT34" s="213"/>
      <c r="CU34" s="213"/>
      <c r="CV34" s="212"/>
      <c r="CW34" s="210"/>
      <c r="CX34" s="214"/>
      <c r="CY34" s="212"/>
      <c r="CZ34" s="210"/>
      <c r="DA34" s="214"/>
      <c r="DB34" s="213"/>
      <c r="DC34" s="213"/>
      <c r="DD34" s="213"/>
      <c r="DE34" s="213"/>
      <c r="DF34" s="213"/>
      <c r="DG34" s="213"/>
      <c r="DH34" s="213"/>
      <c r="DI34" s="213"/>
      <c r="DJ34" s="212"/>
    </row>
    <row r="35" spans="2:115" s="202" customFormat="1" ht="13.9" x14ac:dyDescent="0.4">
      <c r="D35" s="211" t="s">
        <v>1083</v>
      </c>
      <c r="E35" s="206"/>
      <c r="F35" s="205"/>
      <c r="G35" s="211" t="s">
        <v>1082</v>
      </c>
      <c r="H35" s="206"/>
      <c r="I35" s="206"/>
      <c r="J35" s="205"/>
      <c r="K35" s="211" t="s">
        <v>1081</v>
      </c>
      <c r="L35" s="206"/>
      <c r="M35" s="206"/>
      <c r="N35" s="205"/>
      <c r="O35" s="211" t="s">
        <v>1080</v>
      </c>
      <c r="P35" s="206"/>
      <c r="Q35" s="206"/>
      <c r="R35" s="205"/>
      <c r="S35" s="211" t="s">
        <v>1079</v>
      </c>
      <c r="T35" s="206"/>
      <c r="U35" s="206"/>
      <c r="V35" s="205"/>
      <c r="W35" s="211" t="s">
        <v>1078</v>
      </c>
      <c r="X35" s="206"/>
      <c r="Y35" s="206"/>
      <c r="Z35" s="205"/>
      <c r="AA35" s="211" t="s">
        <v>1077</v>
      </c>
      <c r="AB35" s="206"/>
      <c r="AC35" s="206"/>
      <c r="AD35" s="205"/>
      <c r="AE35" s="126"/>
      <c r="AF35" s="204" t="s">
        <v>1076</v>
      </c>
      <c r="AG35" s="203"/>
      <c r="AH35" s="202" t="s">
        <v>1075</v>
      </c>
      <c r="AJ35" s="203"/>
      <c r="AK35" s="210"/>
      <c r="AL35" s="204" t="s">
        <v>1074</v>
      </c>
      <c r="AT35" s="203"/>
      <c r="AU35" s="210"/>
      <c r="AV35" s="204" t="s">
        <v>1073</v>
      </c>
      <c r="AY35" s="203"/>
      <c r="AZ35" s="204" t="s">
        <v>1072</v>
      </c>
      <c r="BE35" s="204" t="s">
        <v>1071</v>
      </c>
      <c r="BH35" s="203"/>
      <c r="BI35" s="204" t="s">
        <v>1070</v>
      </c>
      <c r="BL35" s="203"/>
      <c r="BM35" s="204" t="s">
        <v>1069</v>
      </c>
      <c r="BP35" s="203"/>
      <c r="BQ35" s="209" t="str">
        <f>""</f>
        <v/>
      </c>
      <c r="BR35" s="208" t="s">
        <v>1068</v>
      </c>
      <c r="BU35" s="203"/>
      <c r="BV35" s="204" t="s">
        <v>1067</v>
      </c>
      <c r="BZ35" s="203"/>
      <c r="CA35" s="204" t="s">
        <v>1066</v>
      </c>
      <c r="CE35" s="203"/>
      <c r="CF35" s="126"/>
      <c r="CG35" s="204" t="s">
        <v>1065</v>
      </c>
      <c r="CK35" s="203"/>
      <c r="CL35" s="126"/>
      <c r="CM35" s="207"/>
      <c r="CN35" s="206" t="s">
        <v>1064</v>
      </c>
      <c r="CO35" s="206"/>
      <c r="CP35" s="206"/>
      <c r="CQ35" s="205"/>
      <c r="CR35" s="126"/>
      <c r="CS35" s="204" t="s">
        <v>1063</v>
      </c>
      <c r="CV35" s="203"/>
      <c r="CW35" s="126"/>
      <c r="CX35" s="204" t="s">
        <v>1062</v>
      </c>
      <c r="CY35" s="203"/>
      <c r="CZ35" s="126"/>
      <c r="DA35" s="204" t="s">
        <v>1061</v>
      </c>
      <c r="DJ35" s="203"/>
      <c r="DK35"/>
    </row>
    <row r="36" spans="2:115" s="194" customFormat="1" ht="72.75" customHeight="1" x14ac:dyDescent="0.4">
      <c r="C36" s="198" t="str">
        <f>IFERROR(INDEX(own_detail[Label],MATCH(C$31,own_detail[Name],0)),"")</f>
        <v>YoA</v>
      </c>
      <c r="D36" s="200" t="str">
        <f>IFERROR(INDEX(own_detail[Label],MATCH(D$31,own_detail[Name],0)),"")</f>
        <v>Latest
GPI</v>
      </c>
      <c r="E36" s="200" t="str">
        <f>IFERROR(INDEX(own_detail[Label],MATCH(E$31,own_detail[Name],0)),"")</f>
        <v>Latest
GNPI</v>
      </c>
      <c r="F36" s="199" t="str">
        <f>IFERROR(INDEX(own_detail[Label],MATCH(F$31,own_detail[Name],0)),"")</f>
        <v>Acquisition
Costs %</v>
      </c>
      <c r="G36" s="201" t="str">
        <f>IFERROR(INDEX(own_detail[Label],MATCH(G$31,own_detail[Name],0)),"")</f>
        <v>Attritional</v>
      </c>
      <c r="H36" s="200" t="str">
        <f>IFERROR(INDEX(own_detail[Label],MATCH(H$31,own_detail[Name],0)),"")</f>
        <v>Large</v>
      </c>
      <c r="I36" s="200" t="str">
        <f>IFERROR(INDEX(own_detail[Label],MATCH(I$31,own_detail[Name],0)),"")</f>
        <v>Cat</v>
      </c>
      <c r="J36" s="199" t="str">
        <f>IFERROR(INDEX(own_detail[Label],MATCH(J$31,own_detail[Name],0)),"")</f>
        <v>Total</v>
      </c>
      <c r="K36" s="201" t="str">
        <f>IFERROR(INDEX(own_detail[Label],MATCH(K$31,own_detail[Name],0)),"")</f>
        <v>Attritional</v>
      </c>
      <c r="L36" s="200" t="str">
        <f>IFERROR(INDEX(own_detail[Label],MATCH(L$31,own_detail[Name],0)),"")</f>
        <v>Large</v>
      </c>
      <c r="M36" s="200" t="str">
        <f>IFERROR(INDEX(own_detail[Label],MATCH(M$31,own_detail[Name],0)),"")</f>
        <v>Cat</v>
      </c>
      <c r="N36" s="199" t="str">
        <f>IFERROR(INDEX(own_detail[Label],MATCH(N$31,own_detail[Name],0)),"")</f>
        <v>Total</v>
      </c>
      <c r="O36" s="201" t="str">
        <f>IFERROR(INDEX(own_detail[Label],MATCH(O$31,own_detail[Name],0)),"")</f>
        <v>Attritional</v>
      </c>
      <c r="P36" s="200" t="str">
        <f>IFERROR(INDEX(own_detail[Label],MATCH(P$31,own_detail[Name],0)),"")</f>
        <v>Large</v>
      </c>
      <c r="Q36" s="200" t="str">
        <f>IFERROR(INDEX(own_detail[Label],MATCH(Q$31,own_detail[Name],0)),"")</f>
        <v>Cat</v>
      </c>
      <c r="R36" s="199" t="str">
        <f>IFERROR(INDEX(own_detail[Label],MATCH(R$31,own_detail[Name],0)),"")</f>
        <v>Total</v>
      </c>
      <c r="S36" s="201" t="str">
        <f>IFERROR(INDEX(own_detail[Label],MATCH(S$31,own_detail[Name],0)),"")</f>
        <v>Attritional</v>
      </c>
      <c r="T36" s="200" t="str">
        <f>IFERROR(INDEX(own_detail[Label],MATCH(T$31,own_detail[Name],0)),"")</f>
        <v>Large</v>
      </c>
      <c r="U36" s="200" t="str">
        <f>IFERROR(INDEX(own_detail[Label],MATCH(U$31,own_detail[Name],0)),"")</f>
        <v>Cat</v>
      </c>
      <c r="V36" s="199" t="str">
        <f>IFERROR(INDEX(own_detail[Label],MATCH(V$31,own_detail[Name],0)),"")</f>
        <v>Total</v>
      </c>
      <c r="W36" s="201" t="str">
        <f>IFERROR(INDEX(own_detail[Label],MATCH(W$31,own_detail[Name],0)),"")</f>
        <v>Attritional</v>
      </c>
      <c r="X36" s="200" t="str">
        <f>IFERROR(INDEX(own_detail[Label],MATCH(X$31,own_detail[Name],0)),"")</f>
        <v>Large</v>
      </c>
      <c r="Y36" s="200" t="str">
        <f>IFERROR(INDEX(own_detail[Label],MATCH(Y$31,own_detail[Name],0)),"")</f>
        <v>Cat</v>
      </c>
      <c r="Z36" s="199" t="str">
        <f>IFERROR(INDEX(own_detail[Label],MATCH(Z$31,own_detail[Name],0)),"")</f>
        <v>Total</v>
      </c>
      <c r="AA36" s="201" t="str">
        <f>IFERROR(INDEX(own_detail[Label],MATCH(AA$31,own_detail[Name],0)),"")</f>
        <v>Attritional</v>
      </c>
      <c r="AB36" s="200" t="str">
        <f>IFERROR(INDEX(own_detail[Label],MATCH(AB$31,own_detail[Name],0)),"")</f>
        <v>Large</v>
      </c>
      <c r="AC36" s="200" t="str">
        <f>IFERROR(INDEX(own_detail[Label],MATCH(AC$31,own_detail[Name],0)),"")</f>
        <v>Cat</v>
      </c>
      <c r="AD36" s="199" t="str">
        <f>IFERROR(INDEX(own_detail[Label],MATCH(AD$31,own_detail[Name],0)),"")</f>
        <v>Total</v>
      </c>
      <c r="AE36" s="194" t="str">
        <f>IFERROR(INDEX(own_detail[Label],MATCH(AE$31,own_detail[Name],0)),"")</f>
        <v/>
      </c>
      <c r="AF36" s="201" t="str">
        <f>IFERROR(INDEX(own_detail[Label],MATCH(AF$31,own_detail[Name],0)),"")</f>
        <v>Applied
  Rate Change</v>
      </c>
      <c r="AG36" s="199" t="str">
        <f>IFERROR(INDEX(own_detail[Label],MATCH(AG$31,own_detail[Name],0)),"")</f>
        <v>Applied
  Inflation</v>
      </c>
      <c r="AH36" s="200" t="str">
        <f>IFERROR(INDEX(own_detail[Label],MATCH(AH$31,own_detail[Name],0)),"")</f>
        <v>Applied
  Rate Change
  Cumulative</v>
      </c>
      <c r="AI36" s="200" t="str">
        <f>IFERROR(INDEX(own_detail[Label],MATCH(AI$31,own_detail[Name],0)),"")</f>
        <v>Applied
  Inflation
  Cumulative</v>
      </c>
      <c r="AJ36" s="199" t="str">
        <f>IFERROR(INDEX(own_detail[Label],MATCH(AJ$31,own_detail[Name],0)),"")</f>
        <v>Selected
  On-Level
  Factor</v>
      </c>
      <c r="AK36" s="194" t="str">
        <f>IFERROR(INDEX(own_detail[Label],MATCH(AK$31,own_detail[Name],0)),"")</f>
        <v/>
      </c>
      <c r="AL36" s="201" t="str">
        <f>IFERROR(INDEX(own_detail[Label],MATCH(AL$31,own_detail[Name],0)),"")</f>
        <v>Premium
Development
 Pattern -
Lloyds
 - Unadjusted</v>
      </c>
      <c r="AM36" s="200" t="str">
        <f>IFERROR(INDEX(own_detail[Label],MATCH(AM$31,own_detail[Name],0)),"")</f>
        <v>Paid
Development
 Pattern -
Lloyds
 - Unadjusted</v>
      </c>
      <c r="AN36" s="200" t="str">
        <f>IFERROR(INDEX(own_detail[Label],MATCH(AN$31,own_detail[Name],0)),"")</f>
        <v>Incurred
Development
 Pattern -
Lloyds
 - Unadjusted</v>
      </c>
      <c r="AO36" s="200" t="str">
        <f>IFERROR(INDEX(own_detail[Label],MATCH(AO$31,own_detail[Name],0)),"")</f>
        <v>Premium
Development
 Pattern -
Lloyds</v>
      </c>
      <c r="AP36" s="200" t="str">
        <f>IFERROR(INDEX(own_detail[Label],MATCH(AP$31,own_detail[Name],0)),"")</f>
        <v>Incurred
Development
 Pattern -
Lloyds</v>
      </c>
      <c r="AQ36" s="200" t="str">
        <f>IFERROR(INDEX(own_detail[Label],MATCH(AQ$31,own_detail[Name],0)),"")</f>
        <v>Premium
Development
 Pattern -
Override</v>
      </c>
      <c r="AR36" s="200" t="str">
        <f>IFERROR(INDEX(own_detail[Label],MATCH(AR$31,own_detail[Name],0)),"")</f>
        <v>Incurred
Development
 Pattern -
Override</v>
      </c>
      <c r="AS36" s="200" t="str">
        <f>IFERROR(INDEX(own_detail[Label],MATCH(AS$31,own_detail[Name],0)),"")</f>
        <v>Premium
Development
 Pattern -
Selected</v>
      </c>
      <c r="AT36" s="199" t="str">
        <f>IFERROR(INDEX(own_detail[Label],MATCH(AT$31,own_detail[Name],0)),"")</f>
        <v>Incurred
Development
 Pattern -
Selected</v>
      </c>
      <c r="AU36" s="194" t="str">
        <f>IFERROR(INDEX(own_detail[Label],MATCH(AU$31,own_detail[Name],0)),"")</f>
        <v/>
      </c>
      <c r="AV36" s="197" t="str">
        <f>IFERROR(INDEX(own_detail[Label],MATCH(AV$31,own_detail[Name],0)),"")</f>
        <v>Ultimate
GNPI -
CL</v>
      </c>
      <c r="AW36" s="196" t="str">
        <f>IFERROR(INDEX(own_detail[Label],MATCH(AW$31,own_detail[Name],0)),"")</f>
        <v>Ultimate
GNPI -
Override</v>
      </c>
      <c r="AX36" s="196" t="str">
        <f>IFERROR(INDEX(own_detail[Label],MATCH(AX$31,own_detail[Name],0)),"")</f>
        <v>Ultimate
GNPI -
Selected</v>
      </c>
      <c r="AY36" s="195" t="str">
        <f>IFERROR(INDEX(own_detail[Label],MATCH(AY$31,own_detail[Name],0)),"")</f>
        <v>Ultimate
GNPI
On-level
Selected</v>
      </c>
      <c r="AZ36" s="197" t="str">
        <f>IFERROR(INDEX(own_detail[Label],MATCH(AZ$31,own_detail[Name],0)),"")</f>
        <v>Attritional</v>
      </c>
      <c r="BA36" s="196" t="str">
        <f>IFERROR(INDEX(own_detail[Label],MATCH(BA$31,own_detail[Name],0)),"")</f>
        <v>Large</v>
      </c>
      <c r="BB36" s="196" t="str">
        <f>IFERROR(INDEX(own_detail[Label],MATCH(BB$31,own_detail[Name],0)),"")</f>
        <v>Cat</v>
      </c>
      <c r="BC36" s="196" t="str">
        <f>IFERROR(INDEX(own_detail[Label],MATCH(BC$31,own_detail[Name],0)),"")</f>
        <v>Total</v>
      </c>
      <c r="BD36" s="196" t="str">
        <f>IFERROR(INDEX(own_detail[Label],MATCH(BD$31,own_detail[Name],0)),"")</f>
        <v>CL - IELR</v>
      </c>
      <c r="BE36" s="197" t="str">
        <f>IFERROR(INDEX(own_detail[Label],MATCH(BE$31,own_detail[Name],0)),"")</f>
        <v>Attritional</v>
      </c>
      <c r="BF36" s="196" t="str">
        <f>IFERROR(INDEX(own_detail[Label],MATCH(BF$31,own_detail[Name],0)),"")</f>
        <v>Large</v>
      </c>
      <c r="BG36" s="196" t="str">
        <f>IFERROR(INDEX(own_detail[Label],MATCH(BG$31,own_detail[Name],0)),"")</f>
        <v>Cat</v>
      </c>
      <c r="BH36" s="195" t="str">
        <f>IFERROR(INDEX(own_detail[Label],MATCH(BH$31,own_detail[Name],0)),"")</f>
        <v>Total</v>
      </c>
      <c r="BI36" s="197" t="str">
        <f>IFERROR(INDEX(own_detail[Label],MATCH(BI$31,own_detail[Name],0)),"")</f>
        <v>Attritional</v>
      </c>
      <c r="BJ36" s="196" t="str">
        <f>IFERROR(INDEX(own_detail[Label],MATCH(BJ$31,own_detail[Name],0)),"")</f>
        <v>Large</v>
      </c>
      <c r="BK36" s="196" t="str">
        <f>IFERROR(INDEX(own_detail[Label],MATCH(BK$31,own_detail[Name],0)),"")</f>
        <v>Cat</v>
      </c>
      <c r="BL36" s="195" t="str">
        <f>IFERROR(INDEX(own_detail[Label],MATCH(BL$31,own_detail[Name],0)),"")</f>
        <v>Total</v>
      </c>
      <c r="BM36" s="197" t="str">
        <f>IFERROR(INDEX(own_detail[Label],MATCH(BM$31,own_detail[Name],0)),"")</f>
        <v>Attritional</v>
      </c>
      <c r="BN36" s="196" t="str">
        <f>IFERROR(INDEX(own_detail[Label],MATCH(BN$31,own_detail[Name],0)),"")</f>
        <v>Large</v>
      </c>
      <c r="BO36" s="196" t="str">
        <f>IFERROR(INDEX(own_detail[Label],MATCH(BO$31,own_detail[Name],0)),"")</f>
        <v>Cat</v>
      </c>
      <c r="BP36" s="195" t="str">
        <f>IFERROR(INDEX(own_detail[Label],MATCH(BP$31,own_detail[Name],0)),"")</f>
        <v>Total</v>
      </c>
      <c r="BQ36" s="196" t="str">
        <f>IFERROR(INDEX(own_detail[Label],MATCH(BQ$31,own_detail[Name],0)),"")</f>
        <v>Method
Incurred</v>
      </c>
      <c r="BR36" s="197" t="str">
        <f>IFERROR(INDEX(own_detail[Label],MATCH(BR$31,own_detail[Name],0)),"")</f>
        <v>Attritional</v>
      </c>
      <c r="BS36" s="196" t="str">
        <f>IFERROR(INDEX(own_detail[Label],MATCH(BS$31,own_detail[Name],0)),"")</f>
        <v>Large</v>
      </c>
      <c r="BT36" s="196" t="str">
        <f>IFERROR(INDEX(own_detail[Label],MATCH(BT$31,own_detail[Name],0)),"")</f>
        <v>Cat</v>
      </c>
      <c r="BU36" s="195" t="str">
        <f>IFERROR(INDEX(own_detail[Label],MATCH(BU$31,own_detail[Name],0)),"")</f>
        <v>Total</v>
      </c>
      <c r="BV36" s="197" t="str">
        <f>IFERROR(INDEX(own_detail[Label],MATCH(BV$31,own_detail[Name],0)),"")</f>
        <v>Attritional</v>
      </c>
      <c r="BW36" s="196" t="str">
        <f>IFERROR(INDEX(own_detail[Label],MATCH(BW$31,own_detail[Name],0)),"")</f>
        <v>Large</v>
      </c>
      <c r="BX36" s="196" t="str">
        <f>IFERROR(INDEX(own_detail[Label],MATCH(BX$31,own_detail[Name],0)),"")</f>
        <v>Cat</v>
      </c>
      <c r="BY36" s="196" t="str">
        <f>IFERROR(INDEX(own_detail[Label],MATCH(BY$31,own_detail[Name],0)),"")</f>
        <v>Total</v>
      </c>
      <c r="BZ36" s="195" t="str">
        <f>IFERROR(INDEX(own_detail[Label],MATCH(BZ$31,own_detail[Name],0)),"")</f>
        <v>Total
(excl. Cat)</v>
      </c>
      <c r="CA36" s="197" t="str">
        <f>IFERROR(INDEX(own_detail[Label],MATCH(CA$31,own_detail[Name],0)),"")</f>
        <v>Attritional</v>
      </c>
      <c r="CB36" s="196" t="str">
        <f>IFERROR(INDEX(own_detail[Label],MATCH(CB$31,own_detail[Name],0)),"")</f>
        <v>Large</v>
      </c>
      <c r="CC36" s="196" t="str">
        <f>IFERROR(INDEX(own_detail[Label],MATCH(CC$31,own_detail[Name],0)),"")</f>
        <v>Cat</v>
      </c>
      <c r="CD36" s="196" t="str">
        <f>IFERROR(INDEX(own_detail[Label],MATCH(CD$31,own_detail[Name],0)),"")</f>
        <v>Total</v>
      </c>
      <c r="CE36" s="195" t="str">
        <f>IFERROR(INDEX(own_detail[Label],MATCH(CE$31,own_detail[Name],0)),"")</f>
        <v>Total
(excl. Cat)</v>
      </c>
      <c r="CF36" s="194" t="str">
        <f>IFERROR(INDEX(own_detail[Label],MATCH(CF$31,own_detail[Name],0)),"")</f>
        <v/>
      </c>
      <c r="CG36" s="197" t="str">
        <f>IFERROR(INDEX(own_detail[Label],MATCH(CG$31,own_detail[Name],0)),"")</f>
        <v>Attritional</v>
      </c>
      <c r="CH36" s="196" t="str">
        <f>IFERROR(INDEX(own_detail[Label],MATCH(CH$31,own_detail[Name],0)),"")</f>
        <v>Large</v>
      </c>
      <c r="CI36" s="196" t="str">
        <f>IFERROR(INDEX(own_detail[Label],MATCH(CI$31,own_detail[Name],0)),"")</f>
        <v>Cat</v>
      </c>
      <c r="CJ36" s="196" t="str">
        <f>IFERROR(INDEX(own_detail[Label],MATCH(CJ$31,own_detail[Name],0)),"")</f>
        <v>Total</v>
      </c>
      <c r="CK36" s="195" t="str">
        <f>IFERROR(INDEX(own_detail[Label],MATCH(CK$31,own_detail[Name],0)),"")</f>
        <v>Total
(excl. Cat)</v>
      </c>
      <c r="CL36" s="194" t="str">
        <f>IFERROR(INDEX(own_detail[Label],MATCH(CL$31,own_detail[Name],0)),"")</f>
        <v/>
      </c>
      <c r="CM36" s="198" t="str">
        <f>IFERROR(INDEX(own_detail[Label],MATCH(CM$31,own_detail[Name],0)),"")</f>
        <v>Modelled
 Weighting</v>
      </c>
      <c r="CN36" s="196" t="str">
        <f>IFERROR(INDEX(own_detail[Label],MATCH(CN$31,own_detail[Name],0)),"")</f>
        <v>Attritional</v>
      </c>
      <c r="CO36" s="196" t="str">
        <f>IFERROR(INDEX(own_detail[Label],MATCH(CO$31,own_detail[Name],0)),"")</f>
        <v>Large</v>
      </c>
      <c r="CP36" s="196" t="str">
        <f>IFERROR(INDEX(own_detail[Label],MATCH(CP$31,own_detail[Name],0)),"")</f>
        <v>Cat</v>
      </c>
      <c r="CQ36" s="195" t="str">
        <f>IFERROR(INDEX(own_detail[Label],MATCH(CQ$31,own_detail[Name],0)),"")</f>
        <v>Total</v>
      </c>
      <c r="CR36" s="194" t="str">
        <f>IFERROR(INDEX(own_detail[Label],MATCH(CR$31,own_detail[Name],0)),"")</f>
        <v/>
      </c>
      <c r="CS36" s="197" t="str">
        <f>IFERROR(INDEX(own_detail[Label],MATCH(CS$31,own_detail[Name],0)),"")</f>
        <v>Exposure -
weighting 1</v>
      </c>
      <c r="CT36" s="196" t="str">
        <f>IFERROR(INDEX(own_detail[Label],MATCH(CT$31,own_detail[Name],0)),"")</f>
        <v>Decay Ratio -
weighting 2</v>
      </c>
      <c r="CU36" s="196" t="str">
        <f>IFERROR(INDEX(own_detail[Label],MATCH(CU$31,own_detail[Name],0)),"")</f>
        <v>Developed -
weighting 3</v>
      </c>
      <c r="CV36" s="195" t="str">
        <f>IFERROR(INDEX(own_detail[Label],MATCH(CV$31,own_detail[Name],0)),"")</f>
        <v>Modelled
 Weighting</v>
      </c>
      <c r="CW36" s="194" t="str">
        <f>IFERROR(INDEX(own_detail[Label],MATCH(CW$31,own_detail[Name],0)),"")</f>
        <v/>
      </c>
      <c r="CX36" s="197" t="str">
        <f>IFERROR(INDEX(own_detail[Label],MATCH(CX$31,own_detail[Name],0)),"")</f>
        <v>Exposure -
weighting
Nominal</v>
      </c>
      <c r="CY36" s="195" t="str">
        <f>IFERROR(INDEX(own_detail[Label],MATCH(CY$31,own_detail[Name],0)),"")</f>
        <v>Modelled
 Weighting
Nominal</v>
      </c>
      <c r="CZ36" s="194" t="str">
        <f>IFERROR(INDEX(own_detail[Label],MATCH(CZ$31,own_detail[Name],0)),"")</f>
        <v/>
      </c>
      <c r="DA36" s="197" t="str">
        <f>IFERROR(INDEX(own_detail[Label],MATCH(DA$31,own_detail[Name],0)),"")</f>
        <v>Actual</v>
      </c>
      <c r="DB36" s="196" t="str">
        <f>IFERROR(INDEX(own_detail[Label],MATCH(DB$31,own_detail[Name],0)),"")</f>
        <v>Lower</v>
      </c>
      <c r="DC36" s="196" t="str">
        <f>IFERROR(INDEX(own_detail[Label],MATCH(DC$31,own_detail[Name],0)),"")</f>
        <v>Upper</v>
      </c>
      <c r="DD36" s="196" t="str">
        <f>IFERROR(INDEX(own_detail[Label],MATCH(DD$31,own_detail[Name],0)),"")</f>
        <v>Premium 
Lloyds
 Lower</v>
      </c>
      <c r="DE36" s="196" t="str">
        <f>IFERROR(INDEX(own_detail[Label],MATCH(DE$31,own_detail[Name],0)),"")</f>
        <v>Premium 
Lloyds
 Upper</v>
      </c>
      <c r="DF36" s="196" t="str">
        <f>IFERROR(INDEX(own_detail[Label],MATCH(DF$31,own_detail[Name],0)),"")</f>
        <v>Premium 
Lloyds
 Actual</v>
      </c>
      <c r="DG36" s="196" t="str">
        <f>IFERROR(INDEX(own_detail[Label],MATCH(DG$31,own_detail[Name],0)),"")</f>
        <v>Incurred 
Lloyds 
Lower</v>
      </c>
      <c r="DH36" s="196" t="str">
        <f>IFERROR(INDEX(own_detail[Label],MATCH(DH$31,own_detail[Name],0)),"")</f>
        <v>Incurred 
Lloyds 
Upper</v>
      </c>
      <c r="DI36" s="196" t="str">
        <f>IFERROR(INDEX(own_detail[Label],MATCH(DI$31,own_detail[Name],0)),"")</f>
        <v>Incurred 
Lloyds 
Actual</v>
      </c>
      <c r="DJ36" s="195" t="str">
        <f>IFERROR(INDEX(own_detail[Label],MATCH(DJ$31,own_detail[Name],0)),"")</f>
        <v>Incurred 
Lloyds 
Actual</v>
      </c>
    </row>
    <row r="37" spans="2:115" x14ac:dyDescent="0.35">
      <c r="B37" t="s">
        <v>1025</v>
      </c>
      <c r="C37" s="190" t="e">
        <f t="shared" ref="C37:AH37" ca="1" si="12">IF(ISNA(C$32),"",OFFSET($B101,0,C$32-1))</f>
        <v>#N/A</v>
      </c>
      <c r="D37" s="156" t="e">
        <f t="shared" ca="1" si="12"/>
        <v>#N/A</v>
      </c>
      <c r="E37" s="156" t="e">
        <f t="shared" ca="1" si="12"/>
        <v>#N/A</v>
      </c>
      <c r="F37" s="180" t="e">
        <f t="shared" ca="1" si="12"/>
        <v>#N/A</v>
      </c>
      <c r="G37" s="160" t="e">
        <f t="shared" ca="1" si="12"/>
        <v>#N/A</v>
      </c>
      <c r="H37" s="156" t="e">
        <f t="shared" ca="1" si="12"/>
        <v>#N/A</v>
      </c>
      <c r="I37" s="156" t="e">
        <f t="shared" ca="1" si="12"/>
        <v>#N/A</v>
      </c>
      <c r="J37" s="173" t="e">
        <f t="shared" ca="1" si="12"/>
        <v>#N/A</v>
      </c>
      <c r="K37" s="160" t="e">
        <f t="shared" ca="1" si="12"/>
        <v>#N/A</v>
      </c>
      <c r="L37" s="156" t="e">
        <f t="shared" ca="1" si="12"/>
        <v>#N/A</v>
      </c>
      <c r="M37" s="156" t="e">
        <f t="shared" ca="1" si="12"/>
        <v>#N/A</v>
      </c>
      <c r="N37" s="173" t="e">
        <f t="shared" ca="1" si="12"/>
        <v>#N/A</v>
      </c>
      <c r="O37" s="160" t="e">
        <f t="shared" ca="1" si="12"/>
        <v>#N/A</v>
      </c>
      <c r="P37" s="156" t="e">
        <f t="shared" ca="1" si="12"/>
        <v>#N/A</v>
      </c>
      <c r="Q37" s="156" t="e">
        <f t="shared" ca="1" si="12"/>
        <v>#N/A</v>
      </c>
      <c r="R37" s="173" t="e">
        <f t="shared" ca="1" si="12"/>
        <v>#N/A</v>
      </c>
      <c r="S37" s="160" t="e">
        <f t="shared" ca="1" si="12"/>
        <v>#N/A</v>
      </c>
      <c r="T37" s="156" t="e">
        <f t="shared" ca="1" si="12"/>
        <v>#N/A</v>
      </c>
      <c r="U37" s="156" t="e">
        <f t="shared" ca="1" si="12"/>
        <v>#N/A</v>
      </c>
      <c r="V37" s="173" t="e">
        <f t="shared" ca="1" si="12"/>
        <v>#N/A</v>
      </c>
      <c r="W37" s="160" t="e">
        <f t="shared" ca="1" si="12"/>
        <v>#N/A</v>
      </c>
      <c r="X37" s="156" t="e">
        <f t="shared" ca="1" si="12"/>
        <v>#N/A</v>
      </c>
      <c r="Y37" s="156" t="e">
        <f t="shared" ca="1" si="12"/>
        <v>#N/A</v>
      </c>
      <c r="Z37" s="173" t="e">
        <f t="shared" ca="1" si="12"/>
        <v>#N/A</v>
      </c>
      <c r="AA37" s="181" t="e">
        <f t="shared" ca="1" si="12"/>
        <v>#N/A</v>
      </c>
      <c r="AB37" s="168" t="e">
        <f t="shared" ca="1" si="12"/>
        <v>#N/A</v>
      </c>
      <c r="AC37" s="168" t="e">
        <f t="shared" ca="1" si="12"/>
        <v>#N/A</v>
      </c>
      <c r="AD37" s="180" t="e">
        <f t="shared" ca="1" si="12"/>
        <v>#N/A</v>
      </c>
      <c r="AE37" s="156" t="str">
        <f t="shared" ca="1" si="12"/>
        <v/>
      </c>
      <c r="AF37" s="181" t="e">
        <f t="shared" ca="1" si="12"/>
        <v>#N/A</v>
      </c>
      <c r="AG37" s="180" t="e">
        <f t="shared" ca="1" si="12"/>
        <v>#N/A</v>
      </c>
      <c r="AH37" s="168" t="e">
        <f t="shared" ca="1" si="12"/>
        <v>#N/A</v>
      </c>
      <c r="AI37" s="168" t="e">
        <f t="shared" ref="AI37:BN37" ca="1" si="13">IF(ISNA(AI$32),"",OFFSET($B101,0,AI$32-1))</f>
        <v>#N/A</v>
      </c>
      <c r="AJ37" s="180" t="e">
        <f t="shared" ca="1" si="13"/>
        <v>#N/A</v>
      </c>
      <c r="AK37" s="156" t="str">
        <f t="shared" ca="1" si="13"/>
        <v/>
      </c>
      <c r="AL37" s="189" t="e">
        <f t="shared" ca="1" si="13"/>
        <v>#N/A</v>
      </c>
      <c r="AM37" s="188" t="e">
        <f t="shared" ca="1" si="13"/>
        <v>#N/A</v>
      </c>
      <c r="AN37" s="188" t="e">
        <f t="shared" ca="1" si="13"/>
        <v>#N/A</v>
      </c>
      <c r="AO37" s="188" t="e">
        <f t="shared" ca="1" si="13"/>
        <v>#N/A</v>
      </c>
      <c r="AP37" s="188" t="e">
        <f t="shared" ca="1" si="13"/>
        <v>#N/A</v>
      </c>
      <c r="AQ37" s="188" t="e">
        <f t="shared" ca="1" si="13"/>
        <v>#N/A</v>
      </c>
      <c r="AR37" s="188" t="e">
        <f t="shared" ca="1" si="13"/>
        <v>#N/A</v>
      </c>
      <c r="AS37" s="188" t="e">
        <f t="shared" ca="1" si="13"/>
        <v>#N/A</v>
      </c>
      <c r="AT37" s="187" t="e">
        <f t="shared" ca="1" si="13"/>
        <v>#N/A</v>
      </c>
      <c r="AU37" s="156" t="str">
        <f t="shared" ca="1" si="13"/>
        <v/>
      </c>
      <c r="AV37" s="160" t="e">
        <f t="shared" ca="1" si="13"/>
        <v>#N/A</v>
      </c>
      <c r="AW37" s="156" t="e">
        <f t="shared" ca="1" si="13"/>
        <v>#N/A</v>
      </c>
      <c r="AX37" s="156" t="e">
        <f t="shared" ca="1" si="13"/>
        <v>#N/A</v>
      </c>
      <c r="AY37" s="173" t="e">
        <f t="shared" ca="1" si="13"/>
        <v>#N/A</v>
      </c>
      <c r="AZ37" s="160" t="e">
        <f t="shared" ca="1" si="13"/>
        <v>#N/A</v>
      </c>
      <c r="BA37" s="156" t="e">
        <f t="shared" ca="1" si="13"/>
        <v>#N/A</v>
      </c>
      <c r="BB37" s="156" t="e">
        <f t="shared" ca="1" si="13"/>
        <v>#N/A</v>
      </c>
      <c r="BC37" s="156" t="e">
        <f t="shared" ca="1" si="13"/>
        <v>#N/A</v>
      </c>
      <c r="BD37" s="168" t="e">
        <f t="shared" ca="1" si="13"/>
        <v>#N/A</v>
      </c>
      <c r="BE37" s="160" t="e">
        <f t="shared" ca="1" si="13"/>
        <v>#N/A</v>
      </c>
      <c r="BF37" s="156" t="e">
        <f t="shared" ca="1" si="13"/>
        <v>#N/A</v>
      </c>
      <c r="BG37" s="156" t="e">
        <f t="shared" ca="1" si="13"/>
        <v>#N/A</v>
      </c>
      <c r="BH37" s="173" t="e">
        <f t="shared" ca="1" si="13"/>
        <v>#N/A</v>
      </c>
      <c r="BI37" s="160" t="e">
        <f t="shared" ca="1" si="13"/>
        <v>#N/A</v>
      </c>
      <c r="BJ37" s="156" t="e">
        <f t="shared" ca="1" si="13"/>
        <v>#N/A</v>
      </c>
      <c r="BK37" s="156" t="e">
        <f t="shared" ca="1" si="13"/>
        <v>#N/A</v>
      </c>
      <c r="BL37" s="173" t="e">
        <f t="shared" ca="1" si="13"/>
        <v>#N/A</v>
      </c>
      <c r="BM37" s="160" t="e">
        <f t="shared" ca="1" si="13"/>
        <v>#N/A</v>
      </c>
      <c r="BN37" s="156" t="e">
        <f t="shared" ca="1" si="13"/>
        <v>#N/A</v>
      </c>
      <c r="BO37" s="156" t="e">
        <f t="shared" ref="BO37:CT37" ca="1" si="14">IF(ISNA(BO$32),"",OFFSET($B101,0,BO$32-1))</f>
        <v>#N/A</v>
      </c>
      <c r="BP37" s="173" t="e">
        <f t="shared" ca="1" si="14"/>
        <v>#N/A</v>
      </c>
      <c r="BQ37" s="186" t="e">
        <f t="shared" ca="1" si="14"/>
        <v>#N/A</v>
      </c>
      <c r="BR37" s="160" t="e">
        <f t="shared" ca="1" si="14"/>
        <v>#N/A</v>
      </c>
      <c r="BS37" s="156" t="e">
        <f t="shared" ca="1" si="14"/>
        <v>#N/A</v>
      </c>
      <c r="BT37" s="156" t="e">
        <f t="shared" ca="1" si="14"/>
        <v>#N/A</v>
      </c>
      <c r="BU37" s="173" t="e">
        <f t="shared" ca="1" si="14"/>
        <v>#N/A</v>
      </c>
      <c r="BV37" s="160" t="e">
        <f t="shared" ca="1" si="14"/>
        <v>#N/A</v>
      </c>
      <c r="BW37" s="156" t="e">
        <f t="shared" ca="1" si="14"/>
        <v>#N/A</v>
      </c>
      <c r="BX37" s="156" t="e">
        <f t="shared" ca="1" si="14"/>
        <v>#N/A</v>
      </c>
      <c r="BY37" s="156" t="e">
        <f t="shared" ca="1" si="14"/>
        <v>#N/A</v>
      </c>
      <c r="BZ37" s="173" t="e">
        <f t="shared" ca="1" si="14"/>
        <v>#N/A</v>
      </c>
      <c r="CA37" s="181" t="e">
        <f t="shared" ca="1" si="14"/>
        <v>#N/A</v>
      </c>
      <c r="CB37" s="168" t="e">
        <f t="shared" ca="1" si="14"/>
        <v>#N/A</v>
      </c>
      <c r="CC37" s="168" t="e">
        <f t="shared" ca="1" si="14"/>
        <v>#N/A</v>
      </c>
      <c r="CD37" s="168" t="e">
        <f t="shared" ca="1" si="14"/>
        <v>#N/A</v>
      </c>
      <c r="CE37" s="180" t="e">
        <f t="shared" ca="1" si="14"/>
        <v>#N/A</v>
      </c>
      <c r="CF37" s="156" t="str">
        <f t="shared" ca="1" si="14"/>
        <v/>
      </c>
      <c r="CG37" s="193" t="e">
        <f t="shared" ca="1" si="14"/>
        <v>#N/A</v>
      </c>
      <c r="CH37" s="192" t="e">
        <f t="shared" ca="1" si="14"/>
        <v>#N/A</v>
      </c>
      <c r="CI37" s="192" t="e">
        <f t="shared" ca="1" si="14"/>
        <v>#N/A</v>
      </c>
      <c r="CJ37" s="192" t="e">
        <f t="shared" ca="1" si="14"/>
        <v>#N/A</v>
      </c>
      <c r="CK37" s="191" t="e">
        <f t="shared" ca="1" si="14"/>
        <v>#N/A</v>
      </c>
      <c r="CL37" s="156" t="str">
        <f t="shared" ca="1" si="14"/>
        <v/>
      </c>
      <c r="CM37" s="185" t="e">
        <f t="shared" ca="1" si="14"/>
        <v>#N/A</v>
      </c>
      <c r="CN37" s="138" t="e">
        <f t="shared" ca="1" si="14"/>
        <v>#N/A</v>
      </c>
      <c r="CO37" s="138" t="e">
        <f t="shared" ca="1" si="14"/>
        <v>#N/A</v>
      </c>
      <c r="CP37" s="138" t="e">
        <f t="shared" ca="1" si="14"/>
        <v>#N/A</v>
      </c>
      <c r="CQ37" s="183" t="e">
        <f t="shared" ca="1" si="14"/>
        <v>#N/A</v>
      </c>
      <c r="CR37" s="138" t="str">
        <f t="shared" ca="1" si="14"/>
        <v/>
      </c>
      <c r="CS37" s="184" t="e">
        <f t="shared" ca="1" si="14"/>
        <v>#N/A</v>
      </c>
      <c r="CT37" s="138" t="e">
        <f t="shared" ca="1" si="14"/>
        <v>#N/A</v>
      </c>
      <c r="CU37" s="138" t="e">
        <f t="shared" ref="CU37:DJ37" ca="1" si="15">IF(ISNA(CU$32),"",OFFSET($B101,0,CU$32-1))</f>
        <v>#N/A</v>
      </c>
      <c r="CV37" s="183" t="e">
        <f t="shared" ca="1" si="15"/>
        <v>#N/A</v>
      </c>
      <c r="CW37" s="138" t="str">
        <f t="shared" ca="1" si="15"/>
        <v/>
      </c>
      <c r="CX37" s="184" t="e">
        <f t="shared" ca="1" si="15"/>
        <v>#N/A</v>
      </c>
      <c r="CY37" s="183" t="e">
        <f t="shared" ca="1" si="15"/>
        <v>#N/A</v>
      </c>
      <c r="CZ37" s="138" t="str">
        <f t="shared" ca="1" si="15"/>
        <v/>
      </c>
      <c r="DA37" s="184" t="e">
        <f t="shared" ca="1" si="15"/>
        <v>#N/A</v>
      </c>
      <c r="DB37" s="138" t="e">
        <f t="shared" ca="1" si="15"/>
        <v>#N/A</v>
      </c>
      <c r="DC37" s="138" t="e">
        <f t="shared" ca="1" si="15"/>
        <v>#N/A</v>
      </c>
      <c r="DD37" s="138" t="e">
        <f t="shared" ca="1" si="15"/>
        <v>#N/A</v>
      </c>
      <c r="DE37" s="138" t="e">
        <f t="shared" ca="1" si="15"/>
        <v>#N/A</v>
      </c>
      <c r="DF37" s="138" t="e">
        <f t="shared" ca="1" si="15"/>
        <v>#N/A</v>
      </c>
      <c r="DG37" s="138" t="e">
        <f t="shared" ca="1" si="15"/>
        <v>#N/A</v>
      </c>
      <c r="DH37" s="138" t="e">
        <f t="shared" ca="1" si="15"/>
        <v>#N/A</v>
      </c>
      <c r="DI37" s="138" t="e">
        <f t="shared" ca="1" si="15"/>
        <v>#N/A</v>
      </c>
      <c r="DJ37" s="183" t="e">
        <f t="shared" ca="1" si="15"/>
        <v>#N/A</v>
      </c>
    </row>
    <row r="38" spans="2:115" x14ac:dyDescent="0.35">
      <c r="B38" t="s">
        <v>1026</v>
      </c>
      <c r="C38" s="190" t="e">
        <f t="shared" ref="C38:AH38" ca="1" si="16">IF(ISNA(C$32),"",OFFSET($B102,0,C$32-1))</f>
        <v>#N/A</v>
      </c>
      <c r="D38" s="156" t="e">
        <f t="shared" ca="1" si="16"/>
        <v>#N/A</v>
      </c>
      <c r="E38" s="156" t="e">
        <f t="shared" ca="1" si="16"/>
        <v>#N/A</v>
      </c>
      <c r="F38" s="180" t="e">
        <f t="shared" ca="1" si="16"/>
        <v>#N/A</v>
      </c>
      <c r="G38" s="160" t="e">
        <f t="shared" ca="1" si="16"/>
        <v>#N/A</v>
      </c>
      <c r="H38" s="156" t="e">
        <f t="shared" ca="1" si="16"/>
        <v>#N/A</v>
      </c>
      <c r="I38" s="156" t="e">
        <f t="shared" ca="1" si="16"/>
        <v>#N/A</v>
      </c>
      <c r="J38" s="173" t="e">
        <f t="shared" ca="1" si="16"/>
        <v>#N/A</v>
      </c>
      <c r="K38" s="160" t="e">
        <f t="shared" ca="1" si="16"/>
        <v>#N/A</v>
      </c>
      <c r="L38" s="156" t="e">
        <f t="shared" ca="1" si="16"/>
        <v>#N/A</v>
      </c>
      <c r="M38" s="156" t="e">
        <f t="shared" ca="1" si="16"/>
        <v>#N/A</v>
      </c>
      <c r="N38" s="173" t="e">
        <f t="shared" ca="1" si="16"/>
        <v>#N/A</v>
      </c>
      <c r="O38" s="160" t="e">
        <f t="shared" ca="1" si="16"/>
        <v>#N/A</v>
      </c>
      <c r="P38" s="156" t="e">
        <f t="shared" ca="1" si="16"/>
        <v>#N/A</v>
      </c>
      <c r="Q38" s="156" t="e">
        <f t="shared" ca="1" si="16"/>
        <v>#N/A</v>
      </c>
      <c r="R38" s="173" t="e">
        <f t="shared" ca="1" si="16"/>
        <v>#N/A</v>
      </c>
      <c r="S38" s="160" t="e">
        <f t="shared" ca="1" si="16"/>
        <v>#N/A</v>
      </c>
      <c r="T38" s="156" t="e">
        <f t="shared" ca="1" si="16"/>
        <v>#N/A</v>
      </c>
      <c r="U38" s="156" t="e">
        <f t="shared" ca="1" si="16"/>
        <v>#N/A</v>
      </c>
      <c r="V38" s="173" t="e">
        <f t="shared" ca="1" si="16"/>
        <v>#N/A</v>
      </c>
      <c r="W38" s="160" t="e">
        <f t="shared" ca="1" si="16"/>
        <v>#N/A</v>
      </c>
      <c r="X38" s="156" t="e">
        <f t="shared" ca="1" si="16"/>
        <v>#N/A</v>
      </c>
      <c r="Y38" s="156" t="e">
        <f t="shared" ca="1" si="16"/>
        <v>#N/A</v>
      </c>
      <c r="Z38" s="173" t="e">
        <f t="shared" ca="1" si="16"/>
        <v>#N/A</v>
      </c>
      <c r="AA38" s="181" t="e">
        <f t="shared" ca="1" si="16"/>
        <v>#N/A</v>
      </c>
      <c r="AB38" s="168" t="e">
        <f t="shared" ca="1" si="16"/>
        <v>#N/A</v>
      </c>
      <c r="AC38" s="168" t="e">
        <f t="shared" ca="1" si="16"/>
        <v>#N/A</v>
      </c>
      <c r="AD38" s="180" t="e">
        <f t="shared" ca="1" si="16"/>
        <v>#N/A</v>
      </c>
      <c r="AE38" s="156" t="str">
        <f t="shared" ca="1" si="16"/>
        <v/>
      </c>
      <c r="AF38" s="181" t="e">
        <f t="shared" ca="1" si="16"/>
        <v>#N/A</v>
      </c>
      <c r="AG38" s="180" t="e">
        <f t="shared" ca="1" si="16"/>
        <v>#N/A</v>
      </c>
      <c r="AH38" s="168" t="e">
        <f t="shared" ca="1" si="16"/>
        <v>#N/A</v>
      </c>
      <c r="AI38" s="168" t="e">
        <f t="shared" ref="AI38:BN38" ca="1" si="17">IF(ISNA(AI$32),"",OFFSET($B102,0,AI$32-1))</f>
        <v>#N/A</v>
      </c>
      <c r="AJ38" s="180" t="e">
        <f t="shared" ca="1" si="17"/>
        <v>#N/A</v>
      </c>
      <c r="AK38" s="156" t="str">
        <f t="shared" ca="1" si="17"/>
        <v/>
      </c>
      <c r="AL38" s="189" t="e">
        <f t="shared" ca="1" si="17"/>
        <v>#N/A</v>
      </c>
      <c r="AM38" s="188" t="e">
        <f t="shared" ca="1" si="17"/>
        <v>#N/A</v>
      </c>
      <c r="AN38" s="188" t="e">
        <f t="shared" ca="1" si="17"/>
        <v>#N/A</v>
      </c>
      <c r="AO38" s="188" t="e">
        <f t="shared" ca="1" si="17"/>
        <v>#N/A</v>
      </c>
      <c r="AP38" s="188" t="e">
        <f t="shared" ca="1" si="17"/>
        <v>#N/A</v>
      </c>
      <c r="AQ38" s="188" t="e">
        <f t="shared" ca="1" si="17"/>
        <v>#N/A</v>
      </c>
      <c r="AR38" s="188" t="e">
        <f t="shared" ca="1" si="17"/>
        <v>#N/A</v>
      </c>
      <c r="AS38" s="188" t="e">
        <f t="shared" ca="1" si="17"/>
        <v>#N/A</v>
      </c>
      <c r="AT38" s="187" t="e">
        <f t="shared" ca="1" si="17"/>
        <v>#N/A</v>
      </c>
      <c r="AU38" s="156" t="str">
        <f t="shared" ca="1" si="17"/>
        <v/>
      </c>
      <c r="AV38" s="160" t="e">
        <f t="shared" ca="1" si="17"/>
        <v>#N/A</v>
      </c>
      <c r="AW38" s="156" t="e">
        <f t="shared" ca="1" si="17"/>
        <v>#N/A</v>
      </c>
      <c r="AX38" s="156" t="e">
        <f t="shared" ca="1" si="17"/>
        <v>#N/A</v>
      </c>
      <c r="AY38" s="173" t="e">
        <f t="shared" ca="1" si="17"/>
        <v>#N/A</v>
      </c>
      <c r="AZ38" s="160" t="e">
        <f t="shared" ca="1" si="17"/>
        <v>#N/A</v>
      </c>
      <c r="BA38" s="156" t="e">
        <f t="shared" ca="1" si="17"/>
        <v>#N/A</v>
      </c>
      <c r="BB38" s="156" t="e">
        <f t="shared" ca="1" si="17"/>
        <v>#N/A</v>
      </c>
      <c r="BC38" s="156" t="e">
        <f t="shared" ca="1" si="17"/>
        <v>#N/A</v>
      </c>
      <c r="BD38" s="168" t="e">
        <f t="shared" ca="1" si="17"/>
        <v>#N/A</v>
      </c>
      <c r="BE38" s="160" t="e">
        <f t="shared" ca="1" si="17"/>
        <v>#N/A</v>
      </c>
      <c r="BF38" s="156" t="e">
        <f t="shared" ca="1" si="17"/>
        <v>#N/A</v>
      </c>
      <c r="BG38" s="156" t="e">
        <f t="shared" ca="1" si="17"/>
        <v>#N/A</v>
      </c>
      <c r="BH38" s="173" t="e">
        <f t="shared" ca="1" si="17"/>
        <v>#N/A</v>
      </c>
      <c r="BI38" s="160" t="e">
        <f t="shared" ca="1" si="17"/>
        <v>#N/A</v>
      </c>
      <c r="BJ38" s="156" t="e">
        <f t="shared" ca="1" si="17"/>
        <v>#N/A</v>
      </c>
      <c r="BK38" s="156" t="e">
        <f t="shared" ca="1" si="17"/>
        <v>#N/A</v>
      </c>
      <c r="BL38" s="173" t="e">
        <f t="shared" ca="1" si="17"/>
        <v>#N/A</v>
      </c>
      <c r="BM38" s="160" t="e">
        <f t="shared" ca="1" si="17"/>
        <v>#N/A</v>
      </c>
      <c r="BN38" s="156" t="e">
        <f t="shared" ca="1" si="17"/>
        <v>#N/A</v>
      </c>
      <c r="BO38" s="156" t="e">
        <f t="shared" ref="BO38:CT38" ca="1" si="18">IF(ISNA(BO$32),"",OFFSET($B102,0,BO$32-1))</f>
        <v>#N/A</v>
      </c>
      <c r="BP38" s="173" t="e">
        <f t="shared" ca="1" si="18"/>
        <v>#N/A</v>
      </c>
      <c r="BQ38" s="186" t="e">
        <f t="shared" ca="1" si="18"/>
        <v>#N/A</v>
      </c>
      <c r="BR38" s="160" t="e">
        <f t="shared" ca="1" si="18"/>
        <v>#N/A</v>
      </c>
      <c r="BS38" s="156" t="e">
        <f t="shared" ca="1" si="18"/>
        <v>#N/A</v>
      </c>
      <c r="BT38" s="156" t="e">
        <f t="shared" ca="1" si="18"/>
        <v>#N/A</v>
      </c>
      <c r="BU38" s="173" t="e">
        <f t="shared" ca="1" si="18"/>
        <v>#N/A</v>
      </c>
      <c r="BV38" s="160" t="e">
        <f t="shared" ca="1" si="18"/>
        <v>#N/A</v>
      </c>
      <c r="BW38" s="156" t="e">
        <f t="shared" ca="1" si="18"/>
        <v>#N/A</v>
      </c>
      <c r="BX38" s="156" t="e">
        <f t="shared" ca="1" si="18"/>
        <v>#N/A</v>
      </c>
      <c r="BY38" s="156" t="e">
        <f t="shared" ca="1" si="18"/>
        <v>#N/A</v>
      </c>
      <c r="BZ38" s="173" t="e">
        <f t="shared" ca="1" si="18"/>
        <v>#N/A</v>
      </c>
      <c r="CA38" s="181" t="e">
        <f t="shared" ca="1" si="18"/>
        <v>#N/A</v>
      </c>
      <c r="CB38" s="168" t="e">
        <f t="shared" ca="1" si="18"/>
        <v>#N/A</v>
      </c>
      <c r="CC38" s="168" t="e">
        <f t="shared" ca="1" si="18"/>
        <v>#N/A</v>
      </c>
      <c r="CD38" s="168" t="e">
        <f t="shared" ca="1" si="18"/>
        <v>#N/A</v>
      </c>
      <c r="CE38" s="180" t="e">
        <f t="shared" ca="1" si="18"/>
        <v>#N/A</v>
      </c>
      <c r="CF38" s="156" t="str">
        <f t="shared" ca="1" si="18"/>
        <v/>
      </c>
      <c r="CG38" s="181" t="e">
        <f t="shared" ca="1" si="18"/>
        <v>#N/A</v>
      </c>
      <c r="CH38" s="168" t="e">
        <f t="shared" ca="1" si="18"/>
        <v>#N/A</v>
      </c>
      <c r="CI38" s="168" t="e">
        <f t="shared" ca="1" si="18"/>
        <v>#N/A</v>
      </c>
      <c r="CJ38" s="168" t="e">
        <f t="shared" ca="1" si="18"/>
        <v>#N/A</v>
      </c>
      <c r="CK38" s="180" t="e">
        <f t="shared" ca="1" si="18"/>
        <v>#N/A</v>
      </c>
      <c r="CL38" s="156" t="str">
        <f t="shared" ca="1" si="18"/>
        <v/>
      </c>
      <c r="CM38" s="185" t="e">
        <f t="shared" ca="1" si="18"/>
        <v>#N/A</v>
      </c>
      <c r="CN38" s="138" t="e">
        <f t="shared" ca="1" si="18"/>
        <v>#N/A</v>
      </c>
      <c r="CO38" s="138" t="e">
        <f t="shared" ca="1" si="18"/>
        <v>#N/A</v>
      </c>
      <c r="CP38" s="138" t="e">
        <f t="shared" ca="1" si="18"/>
        <v>#N/A</v>
      </c>
      <c r="CQ38" s="183" t="e">
        <f t="shared" ca="1" si="18"/>
        <v>#N/A</v>
      </c>
      <c r="CR38" s="138" t="str">
        <f t="shared" ca="1" si="18"/>
        <v/>
      </c>
      <c r="CS38" s="184" t="e">
        <f t="shared" ca="1" si="18"/>
        <v>#N/A</v>
      </c>
      <c r="CT38" s="138" t="e">
        <f t="shared" ca="1" si="18"/>
        <v>#N/A</v>
      </c>
      <c r="CU38" s="138" t="e">
        <f t="shared" ref="CU38:DJ38" ca="1" si="19">IF(ISNA(CU$32),"",OFFSET($B102,0,CU$32-1))</f>
        <v>#N/A</v>
      </c>
      <c r="CV38" s="183" t="e">
        <f t="shared" ca="1" si="19"/>
        <v>#N/A</v>
      </c>
      <c r="CW38" s="138" t="str">
        <f t="shared" ca="1" si="19"/>
        <v/>
      </c>
      <c r="CX38" s="184" t="e">
        <f t="shared" ca="1" si="19"/>
        <v>#N/A</v>
      </c>
      <c r="CY38" s="183" t="e">
        <f t="shared" ca="1" si="19"/>
        <v>#N/A</v>
      </c>
      <c r="CZ38" s="138" t="str">
        <f t="shared" ca="1" si="19"/>
        <v/>
      </c>
      <c r="DA38" s="184" t="e">
        <f t="shared" ca="1" si="19"/>
        <v>#N/A</v>
      </c>
      <c r="DB38" s="138" t="e">
        <f t="shared" ca="1" si="19"/>
        <v>#N/A</v>
      </c>
      <c r="DC38" s="138" t="e">
        <f t="shared" ca="1" si="19"/>
        <v>#N/A</v>
      </c>
      <c r="DD38" s="138" t="e">
        <f t="shared" ca="1" si="19"/>
        <v>#N/A</v>
      </c>
      <c r="DE38" s="138" t="e">
        <f t="shared" ca="1" si="19"/>
        <v>#N/A</v>
      </c>
      <c r="DF38" s="138" t="e">
        <f t="shared" ca="1" si="19"/>
        <v>#N/A</v>
      </c>
      <c r="DG38" s="138" t="e">
        <f t="shared" ca="1" si="19"/>
        <v>#N/A</v>
      </c>
      <c r="DH38" s="138" t="e">
        <f t="shared" ca="1" si="19"/>
        <v>#N/A</v>
      </c>
      <c r="DI38" s="138" t="e">
        <f t="shared" ca="1" si="19"/>
        <v>#N/A</v>
      </c>
      <c r="DJ38" s="183" t="e">
        <f t="shared" ca="1" si="19"/>
        <v>#N/A</v>
      </c>
    </row>
    <row r="39" spans="2:115" x14ac:dyDescent="0.35">
      <c r="B39" t="s">
        <v>1027</v>
      </c>
      <c r="C39" s="190" t="e">
        <f t="shared" ref="C39:AH39" ca="1" si="20">IF(ISNA(C$32),"",OFFSET($B103,0,C$32-1))</f>
        <v>#N/A</v>
      </c>
      <c r="D39" s="156" t="e">
        <f t="shared" ca="1" si="20"/>
        <v>#N/A</v>
      </c>
      <c r="E39" s="156" t="e">
        <f t="shared" ca="1" si="20"/>
        <v>#N/A</v>
      </c>
      <c r="F39" s="180" t="e">
        <f t="shared" ca="1" si="20"/>
        <v>#N/A</v>
      </c>
      <c r="G39" s="160" t="e">
        <f t="shared" ca="1" si="20"/>
        <v>#N/A</v>
      </c>
      <c r="H39" s="156" t="e">
        <f t="shared" ca="1" si="20"/>
        <v>#N/A</v>
      </c>
      <c r="I39" s="156" t="e">
        <f t="shared" ca="1" si="20"/>
        <v>#N/A</v>
      </c>
      <c r="J39" s="173" t="e">
        <f t="shared" ca="1" si="20"/>
        <v>#N/A</v>
      </c>
      <c r="K39" s="160" t="e">
        <f t="shared" ca="1" si="20"/>
        <v>#N/A</v>
      </c>
      <c r="L39" s="156" t="e">
        <f t="shared" ca="1" si="20"/>
        <v>#N/A</v>
      </c>
      <c r="M39" s="156" t="e">
        <f t="shared" ca="1" si="20"/>
        <v>#N/A</v>
      </c>
      <c r="N39" s="173" t="e">
        <f t="shared" ca="1" si="20"/>
        <v>#N/A</v>
      </c>
      <c r="O39" s="160" t="e">
        <f t="shared" ca="1" si="20"/>
        <v>#N/A</v>
      </c>
      <c r="P39" s="156" t="e">
        <f t="shared" ca="1" si="20"/>
        <v>#N/A</v>
      </c>
      <c r="Q39" s="156" t="e">
        <f t="shared" ca="1" si="20"/>
        <v>#N/A</v>
      </c>
      <c r="R39" s="173" t="e">
        <f t="shared" ca="1" si="20"/>
        <v>#N/A</v>
      </c>
      <c r="S39" s="160" t="e">
        <f t="shared" ca="1" si="20"/>
        <v>#N/A</v>
      </c>
      <c r="T39" s="156" t="e">
        <f t="shared" ca="1" si="20"/>
        <v>#N/A</v>
      </c>
      <c r="U39" s="156" t="e">
        <f t="shared" ca="1" si="20"/>
        <v>#N/A</v>
      </c>
      <c r="V39" s="173" t="e">
        <f t="shared" ca="1" si="20"/>
        <v>#N/A</v>
      </c>
      <c r="W39" s="160" t="e">
        <f t="shared" ca="1" si="20"/>
        <v>#N/A</v>
      </c>
      <c r="X39" s="156" t="e">
        <f t="shared" ca="1" si="20"/>
        <v>#N/A</v>
      </c>
      <c r="Y39" s="156" t="e">
        <f t="shared" ca="1" si="20"/>
        <v>#N/A</v>
      </c>
      <c r="Z39" s="173" t="e">
        <f t="shared" ca="1" si="20"/>
        <v>#N/A</v>
      </c>
      <c r="AA39" s="181" t="e">
        <f t="shared" ca="1" si="20"/>
        <v>#N/A</v>
      </c>
      <c r="AB39" s="168" t="e">
        <f t="shared" ca="1" si="20"/>
        <v>#N/A</v>
      </c>
      <c r="AC39" s="168" t="e">
        <f t="shared" ca="1" si="20"/>
        <v>#N/A</v>
      </c>
      <c r="AD39" s="180" t="e">
        <f t="shared" ca="1" si="20"/>
        <v>#N/A</v>
      </c>
      <c r="AE39" s="156" t="str">
        <f t="shared" ca="1" si="20"/>
        <v/>
      </c>
      <c r="AF39" s="181" t="e">
        <f t="shared" ca="1" si="20"/>
        <v>#N/A</v>
      </c>
      <c r="AG39" s="180" t="e">
        <f t="shared" ca="1" si="20"/>
        <v>#N/A</v>
      </c>
      <c r="AH39" s="168" t="e">
        <f t="shared" ca="1" si="20"/>
        <v>#N/A</v>
      </c>
      <c r="AI39" s="168" t="e">
        <f t="shared" ref="AI39:BN39" ca="1" si="21">IF(ISNA(AI$32),"",OFFSET($B103,0,AI$32-1))</f>
        <v>#N/A</v>
      </c>
      <c r="AJ39" s="180" t="e">
        <f t="shared" ca="1" si="21"/>
        <v>#N/A</v>
      </c>
      <c r="AK39" s="156" t="str">
        <f t="shared" ca="1" si="21"/>
        <v/>
      </c>
      <c r="AL39" s="189" t="e">
        <f t="shared" ca="1" si="21"/>
        <v>#N/A</v>
      </c>
      <c r="AM39" s="188" t="e">
        <f t="shared" ca="1" si="21"/>
        <v>#N/A</v>
      </c>
      <c r="AN39" s="188" t="e">
        <f t="shared" ca="1" si="21"/>
        <v>#N/A</v>
      </c>
      <c r="AO39" s="188" t="e">
        <f t="shared" ca="1" si="21"/>
        <v>#N/A</v>
      </c>
      <c r="AP39" s="188" t="e">
        <f t="shared" ca="1" si="21"/>
        <v>#N/A</v>
      </c>
      <c r="AQ39" s="188" t="e">
        <f t="shared" ca="1" si="21"/>
        <v>#N/A</v>
      </c>
      <c r="AR39" s="188" t="e">
        <f t="shared" ca="1" si="21"/>
        <v>#N/A</v>
      </c>
      <c r="AS39" s="188" t="e">
        <f t="shared" ca="1" si="21"/>
        <v>#N/A</v>
      </c>
      <c r="AT39" s="187" t="e">
        <f t="shared" ca="1" si="21"/>
        <v>#N/A</v>
      </c>
      <c r="AU39" s="156" t="str">
        <f t="shared" ca="1" si="21"/>
        <v/>
      </c>
      <c r="AV39" s="160" t="e">
        <f t="shared" ca="1" si="21"/>
        <v>#N/A</v>
      </c>
      <c r="AW39" s="156" t="e">
        <f t="shared" ca="1" si="21"/>
        <v>#N/A</v>
      </c>
      <c r="AX39" s="156" t="e">
        <f t="shared" ca="1" si="21"/>
        <v>#N/A</v>
      </c>
      <c r="AY39" s="173" t="e">
        <f t="shared" ca="1" si="21"/>
        <v>#N/A</v>
      </c>
      <c r="AZ39" s="160" t="e">
        <f t="shared" ca="1" si="21"/>
        <v>#N/A</v>
      </c>
      <c r="BA39" s="156" t="e">
        <f t="shared" ca="1" si="21"/>
        <v>#N/A</v>
      </c>
      <c r="BB39" s="156" t="e">
        <f t="shared" ca="1" si="21"/>
        <v>#N/A</v>
      </c>
      <c r="BC39" s="156" t="e">
        <f t="shared" ca="1" si="21"/>
        <v>#N/A</v>
      </c>
      <c r="BD39" s="168" t="e">
        <f t="shared" ca="1" si="21"/>
        <v>#N/A</v>
      </c>
      <c r="BE39" s="160" t="e">
        <f t="shared" ca="1" si="21"/>
        <v>#N/A</v>
      </c>
      <c r="BF39" s="156" t="e">
        <f t="shared" ca="1" si="21"/>
        <v>#N/A</v>
      </c>
      <c r="BG39" s="156" t="e">
        <f t="shared" ca="1" si="21"/>
        <v>#N/A</v>
      </c>
      <c r="BH39" s="173" t="e">
        <f t="shared" ca="1" si="21"/>
        <v>#N/A</v>
      </c>
      <c r="BI39" s="160" t="e">
        <f t="shared" ca="1" si="21"/>
        <v>#N/A</v>
      </c>
      <c r="BJ39" s="156" t="e">
        <f t="shared" ca="1" si="21"/>
        <v>#N/A</v>
      </c>
      <c r="BK39" s="156" t="e">
        <f t="shared" ca="1" si="21"/>
        <v>#N/A</v>
      </c>
      <c r="BL39" s="173" t="e">
        <f t="shared" ca="1" si="21"/>
        <v>#N/A</v>
      </c>
      <c r="BM39" s="160" t="e">
        <f t="shared" ca="1" si="21"/>
        <v>#N/A</v>
      </c>
      <c r="BN39" s="156" t="e">
        <f t="shared" ca="1" si="21"/>
        <v>#N/A</v>
      </c>
      <c r="BO39" s="156" t="e">
        <f t="shared" ref="BO39:CT39" ca="1" si="22">IF(ISNA(BO$32),"",OFFSET($B103,0,BO$32-1))</f>
        <v>#N/A</v>
      </c>
      <c r="BP39" s="173" t="e">
        <f t="shared" ca="1" si="22"/>
        <v>#N/A</v>
      </c>
      <c r="BQ39" s="186" t="e">
        <f t="shared" ca="1" si="22"/>
        <v>#N/A</v>
      </c>
      <c r="BR39" s="160" t="e">
        <f t="shared" ca="1" si="22"/>
        <v>#N/A</v>
      </c>
      <c r="BS39" s="156" t="e">
        <f t="shared" ca="1" si="22"/>
        <v>#N/A</v>
      </c>
      <c r="BT39" s="156" t="e">
        <f t="shared" ca="1" si="22"/>
        <v>#N/A</v>
      </c>
      <c r="BU39" s="173" t="e">
        <f t="shared" ca="1" si="22"/>
        <v>#N/A</v>
      </c>
      <c r="BV39" s="160" t="e">
        <f t="shared" ca="1" si="22"/>
        <v>#N/A</v>
      </c>
      <c r="BW39" s="156" t="e">
        <f t="shared" ca="1" si="22"/>
        <v>#N/A</v>
      </c>
      <c r="BX39" s="156" t="e">
        <f t="shared" ca="1" si="22"/>
        <v>#N/A</v>
      </c>
      <c r="BY39" s="156" t="e">
        <f t="shared" ca="1" si="22"/>
        <v>#N/A</v>
      </c>
      <c r="BZ39" s="173" t="e">
        <f t="shared" ca="1" si="22"/>
        <v>#N/A</v>
      </c>
      <c r="CA39" s="181" t="e">
        <f t="shared" ca="1" si="22"/>
        <v>#N/A</v>
      </c>
      <c r="CB39" s="168" t="e">
        <f t="shared" ca="1" si="22"/>
        <v>#N/A</v>
      </c>
      <c r="CC39" s="168" t="e">
        <f t="shared" ca="1" si="22"/>
        <v>#N/A</v>
      </c>
      <c r="CD39" s="168" t="e">
        <f t="shared" ca="1" si="22"/>
        <v>#N/A</v>
      </c>
      <c r="CE39" s="180" t="e">
        <f t="shared" ca="1" si="22"/>
        <v>#N/A</v>
      </c>
      <c r="CF39" s="156" t="str">
        <f t="shared" ca="1" si="22"/>
        <v/>
      </c>
      <c r="CG39" s="181" t="e">
        <f t="shared" ca="1" si="22"/>
        <v>#N/A</v>
      </c>
      <c r="CH39" s="168" t="e">
        <f t="shared" ca="1" si="22"/>
        <v>#N/A</v>
      </c>
      <c r="CI39" s="168" t="e">
        <f t="shared" ca="1" si="22"/>
        <v>#N/A</v>
      </c>
      <c r="CJ39" s="168" t="e">
        <f t="shared" ca="1" si="22"/>
        <v>#N/A</v>
      </c>
      <c r="CK39" s="180" t="e">
        <f t="shared" ca="1" si="22"/>
        <v>#N/A</v>
      </c>
      <c r="CL39" s="156" t="str">
        <f t="shared" ca="1" si="22"/>
        <v/>
      </c>
      <c r="CM39" s="185" t="e">
        <f t="shared" ca="1" si="22"/>
        <v>#N/A</v>
      </c>
      <c r="CN39" s="138" t="e">
        <f t="shared" ca="1" si="22"/>
        <v>#N/A</v>
      </c>
      <c r="CO39" s="138" t="e">
        <f t="shared" ca="1" si="22"/>
        <v>#N/A</v>
      </c>
      <c r="CP39" s="138" t="e">
        <f t="shared" ca="1" si="22"/>
        <v>#N/A</v>
      </c>
      <c r="CQ39" s="183" t="e">
        <f t="shared" ca="1" si="22"/>
        <v>#N/A</v>
      </c>
      <c r="CR39" s="138" t="str">
        <f t="shared" ca="1" si="22"/>
        <v/>
      </c>
      <c r="CS39" s="184" t="e">
        <f t="shared" ca="1" si="22"/>
        <v>#N/A</v>
      </c>
      <c r="CT39" s="138" t="e">
        <f t="shared" ca="1" si="22"/>
        <v>#N/A</v>
      </c>
      <c r="CU39" s="138" t="e">
        <f t="shared" ref="CU39:DJ39" ca="1" si="23">IF(ISNA(CU$32),"",OFFSET($B103,0,CU$32-1))</f>
        <v>#N/A</v>
      </c>
      <c r="CV39" s="183" t="e">
        <f t="shared" ca="1" si="23"/>
        <v>#N/A</v>
      </c>
      <c r="CW39" s="138" t="str">
        <f t="shared" ca="1" si="23"/>
        <v/>
      </c>
      <c r="CX39" s="184" t="e">
        <f t="shared" ca="1" si="23"/>
        <v>#N/A</v>
      </c>
      <c r="CY39" s="183" t="e">
        <f t="shared" ca="1" si="23"/>
        <v>#N/A</v>
      </c>
      <c r="CZ39" s="138" t="str">
        <f t="shared" ca="1" si="23"/>
        <v/>
      </c>
      <c r="DA39" s="184" t="e">
        <f t="shared" ca="1" si="23"/>
        <v>#N/A</v>
      </c>
      <c r="DB39" s="138" t="e">
        <f t="shared" ca="1" si="23"/>
        <v>#N/A</v>
      </c>
      <c r="DC39" s="138" t="e">
        <f t="shared" ca="1" si="23"/>
        <v>#N/A</v>
      </c>
      <c r="DD39" s="138" t="e">
        <f t="shared" ca="1" si="23"/>
        <v>#N/A</v>
      </c>
      <c r="DE39" s="138" t="e">
        <f t="shared" ca="1" si="23"/>
        <v>#N/A</v>
      </c>
      <c r="DF39" s="138" t="e">
        <f t="shared" ca="1" si="23"/>
        <v>#N/A</v>
      </c>
      <c r="DG39" s="138" t="e">
        <f t="shared" ca="1" si="23"/>
        <v>#N/A</v>
      </c>
      <c r="DH39" s="138" t="e">
        <f t="shared" ca="1" si="23"/>
        <v>#N/A</v>
      </c>
      <c r="DI39" s="138" t="e">
        <f t="shared" ca="1" si="23"/>
        <v>#N/A</v>
      </c>
      <c r="DJ39" s="183" t="e">
        <f t="shared" ca="1" si="23"/>
        <v>#N/A</v>
      </c>
    </row>
    <row r="40" spans="2:115" x14ac:dyDescent="0.35">
      <c r="B40" t="s">
        <v>1028</v>
      </c>
      <c r="C40" s="190" t="e">
        <f t="shared" ref="C40:AH40" ca="1" si="24">IF(ISNA(C$32),"",OFFSET($B104,0,C$32-1))</f>
        <v>#N/A</v>
      </c>
      <c r="D40" s="156" t="e">
        <f t="shared" ca="1" si="24"/>
        <v>#N/A</v>
      </c>
      <c r="E40" s="156" t="e">
        <f t="shared" ca="1" si="24"/>
        <v>#N/A</v>
      </c>
      <c r="F40" s="180" t="e">
        <f t="shared" ca="1" si="24"/>
        <v>#N/A</v>
      </c>
      <c r="G40" s="160" t="e">
        <f t="shared" ca="1" si="24"/>
        <v>#N/A</v>
      </c>
      <c r="H40" s="156" t="e">
        <f t="shared" ca="1" si="24"/>
        <v>#N/A</v>
      </c>
      <c r="I40" s="156" t="e">
        <f t="shared" ca="1" si="24"/>
        <v>#N/A</v>
      </c>
      <c r="J40" s="173" t="e">
        <f t="shared" ca="1" si="24"/>
        <v>#N/A</v>
      </c>
      <c r="K40" s="160" t="e">
        <f t="shared" ca="1" si="24"/>
        <v>#N/A</v>
      </c>
      <c r="L40" s="156" t="e">
        <f t="shared" ca="1" si="24"/>
        <v>#N/A</v>
      </c>
      <c r="M40" s="156" t="e">
        <f t="shared" ca="1" si="24"/>
        <v>#N/A</v>
      </c>
      <c r="N40" s="173" t="e">
        <f t="shared" ca="1" si="24"/>
        <v>#N/A</v>
      </c>
      <c r="O40" s="160" t="e">
        <f t="shared" ca="1" si="24"/>
        <v>#N/A</v>
      </c>
      <c r="P40" s="156" t="e">
        <f t="shared" ca="1" si="24"/>
        <v>#N/A</v>
      </c>
      <c r="Q40" s="156" t="e">
        <f t="shared" ca="1" si="24"/>
        <v>#N/A</v>
      </c>
      <c r="R40" s="173" t="e">
        <f t="shared" ca="1" si="24"/>
        <v>#N/A</v>
      </c>
      <c r="S40" s="160" t="e">
        <f t="shared" ca="1" si="24"/>
        <v>#N/A</v>
      </c>
      <c r="T40" s="156" t="e">
        <f t="shared" ca="1" si="24"/>
        <v>#N/A</v>
      </c>
      <c r="U40" s="156" t="e">
        <f t="shared" ca="1" si="24"/>
        <v>#N/A</v>
      </c>
      <c r="V40" s="173" t="e">
        <f t="shared" ca="1" si="24"/>
        <v>#N/A</v>
      </c>
      <c r="W40" s="160" t="e">
        <f t="shared" ca="1" si="24"/>
        <v>#N/A</v>
      </c>
      <c r="X40" s="156" t="e">
        <f t="shared" ca="1" si="24"/>
        <v>#N/A</v>
      </c>
      <c r="Y40" s="156" t="e">
        <f t="shared" ca="1" si="24"/>
        <v>#N/A</v>
      </c>
      <c r="Z40" s="173" t="e">
        <f t="shared" ca="1" si="24"/>
        <v>#N/A</v>
      </c>
      <c r="AA40" s="181" t="e">
        <f t="shared" ca="1" si="24"/>
        <v>#N/A</v>
      </c>
      <c r="AB40" s="168" t="e">
        <f t="shared" ca="1" si="24"/>
        <v>#N/A</v>
      </c>
      <c r="AC40" s="168" t="e">
        <f t="shared" ca="1" si="24"/>
        <v>#N/A</v>
      </c>
      <c r="AD40" s="180" t="e">
        <f t="shared" ca="1" si="24"/>
        <v>#N/A</v>
      </c>
      <c r="AE40" s="156" t="str">
        <f t="shared" ca="1" si="24"/>
        <v/>
      </c>
      <c r="AF40" s="181" t="e">
        <f t="shared" ca="1" si="24"/>
        <v>#N/A</v>
      </c>
      <c r="AG40" s="180" t="e">
        <f t="shared" ca="1" si="24"/>
        <v>#N/A</v>
      </c>
      <c r="AH40" s="168" t="e">
        <f t="shared" ca="1" si="24"/>
        <v>#N/A</v>
      </c>
      <c r="AI40" s="168" t="e">
        <f t="shared" ref="AI40:BN40" ca="1" si="25">IF(ISNA(AI$32),"",OFFSET($B104,0,AI$32-1))</f>
        <v>#N/A</v>
      </c>
      <c r="AJ40" s="180" t="e">
        <f t="shared" ca="1" si="25"/>
        <v>#N/A</v>
      </c>
      <c r="AK40" s="156" t="str">
        <f t="shared" ca="1" si="25"/>
        <v/>
      </c>
      <c r="AL40" s="189" t="e">
        <f t="shared" ca="1" si="25"/>
        <v>#N/A</v>
      </c>
      <c r="AM40" s="188" t="e">
        <f t="shared" ca="1" si="25"/>
        <v>#N/A</v>
      </c>
      <c r="AN40" s="188" t="e">
        <f t="shared" ca="1" si="25"/>
        <v>#N/A</v>
      </c>
      <c r="AO40" s="188" t="e">
        <f t="shared" ca="1" si="25"/>
        <v>#N/A</v>
      </c>
      <c r="AP40" s="188" t="e">
        <f t="shared" ca="1" si="25"/>
        <v>#N/A</v>
      </c>
      <c r="AQ40" s="188" t="e">
        <f t="shared" ca="1" si="25"/>
        <v>#N/A</v>
      </c>
      <c r="AR40" s="188" t="e">
        <f t="shared" ca="1" si="25"/>
        <v>#N/A</v>
      </c>
      <c r="AS40" s="188" t="e">
        <f t="shared" ca="1" si="25"/>
        <v>#N/A</v>
      </c>
      <c r="AT40" s="187" t="e">
        <f t="shared" ca="1" si="25"/>
        <v>#N/A</v>
      </c>
      <c r="AU40" s="156" t="str">
        <f t="shared" ca="1" si="25"/>
        <v/>
      </c>
      <c r="AV40" s="160" t="e">
        <f t="shared" ca="1" si="25"/>
        <v>#N/A</v>
      </c>
      <c r="AW40" s="156" t="e">
        <f t="shared" ca="1" si="25"/>
        <v>#N/A</v>
      </c>
      <c r="AX40" s="156" t="e">
        <f t="shared" ca="1" si="25"/>
        <v>#N/A</v>
      </c>
      <c r="AY40" s="173" t="e">
        <f t="shared" ca="1" si="25"/>
        <v>#N/A</v>
      </c>
      <c r="AZ40" s="160" t="e">
        <f t="shared" ca="1" si="25"/>
        <v>#N/A</v>
      </c>
      <c r="BA40" s="156" t="e">
        <f t="shared" ca="1" si="25"/>
        <v>#N/A</v>
      </c>
      <c r="BB40" s="156" t="e">
        <f t="shared" ca="1" si="25"/>
        <v>#N/A</v>
      </c>
      <c r="BC40" s="156" t="e">
        <f t="shared" ca="1" si="25"/>
        <v>#N/A</v>
      </c>
      <c r="BD40" s="168" t="e">
        <f t="shared" ca="1" si="25"/>
        <v>#N/A</v>
      </c>
      <c r="BE40" s="160" t="e">
        <f t="shared" ca="1" si="25"/>
        <v>#N/A</v>
      </c>
      <c r="BF40" s="156" t="e">
        <f t="shared" ca="1" si="25"/>
        <v>#N/A</v>
      </c>
      <c r="BG40" s="156" t="e">
        <f t="shared" ca="1" si="25"/>
        <v>#N/A</v>
      </c>
      <c r="BH40" s="173" t="e">
        <f t="shared" ca="1" si="25"/>
        <v>#N/A</v>
      </c>
      <c r="BI40" s="160" t="e">
        <f t="shared" ca="1" si="25"/>
        <v>#N/A</v>
      </c>
      <c r="BJ40" s="156" t="e">
        <f t="shared" ca="1" si="25"/>
        <v>#N/A</v>
      </c>
      <c r="BK40" s="156" t="e">
        <f t="shared" ca="1" si="25"/>
        <v>#N/A</v>
      </c>
      <c r="BL40" s="173" t="e">
        <f t="shared" ca="1" si="25"/>
        <v>#N/A</v>
      </c>
      <c r="BM40" s="160" t="e">
        <f t="shared" ca="1" si="25"/>
        <v>#N/A</v>
      </c>
      <c r="BN40" s="156" t="e">
        <f t="shared" ca="1" si="25"/>
        <v>#N/A</v>
      </c>
      <c r="BO40" s="156" t="e">
        <f t="shared" ref="BO40:CT40" ca="1" si="26">IF(ISNA(BO$32),"",OFFSET($B104,0,BO$32-1))</f>
        <v>#N/A</v>
      </c>
      <c r="BP40" s="173" t="e">
        <f t="shared" ca="1" si="26"/>
        <v>#N/A</v>
      </c>
      <c r="BQ40" s="186" t="e">
        <f t="shared" ca="1" si="26"/>
        <v>#N/A</v>
      </c>
      <c r="BR40" s="160" t="e">
        <f t="shared" ca="1" si="26"/>
        <v>#N/A</v>
      </c>
      <c r="BS40" s="156" t="e">
        <f t="shared" ca="1" si="26"/>
        <v>#N/A</v>
      </c>
      <c r="BT40" s="156" t="e">
        <f t="shared" ca="1" si="26"/>
        <v>#N/A</v>
      </c>
      <c r="BU40" s="173" t="e">
        <f t="shared" ca="1" si="26"/>
        <v>#N/A</v>
      </c>
      <c r="BV40" s="160" t="e">
        <f t="shared" ca="1" si="26"/>
        <v>#N/A</v>
      </c>
      <c r="BW40" s="156" t="e">
        <f t="shared" ca="1" si="26"/>
        <v>#N/A</v>
      </c>
      <c r="BX40" s="156" t="e">
        <f t="shared" ca="1" si="26"/>
        <v>#N/A</v>
      </c>
      <c r="BY40" s="156" t="e">
        <f t="shared" ca="1" si="26"/>
        <v>#N/A</v>
      </c>
      <c r="BZ40" s="173" t="e">
        <f t="shared" ca="1" si="26"/>
        <v>#N/A</v>
      </c>
      <c r="CA40" s="181" t="e">
        <f t="shared" ca="1" si="26"/>
        <v>#N/A</v>
      </c>
      <c r="CB40" s="168" t="e">
        <f t="shared" ca="1" si="26"/>
        <v>#N/A</v>
      </c>
      <c r="CC40" s="168" t="e">
        <f t="shared" ca="1" si="26"/>
        <v>#N/A</v>
      </c>
      <c r="CD40" s="168" t="e">
        <f t="shared" ca="1" si="26"/>
        <v>#N/A</v>
      </c>
      <c r="CE40" s="180" t="e">
        <f t="shared" ca="1" si="26"/>
        <v>#N/A</v>
      </c>
      <c r="CF40" s="156" t="str">
        <f t="shared" ca="1" si="26"/>
        <v/>
      </c>
      <c r="CG40" s="181" t="e">
        <f t="shared" ca="1" si="26"/>
        <v>#N/A</v>
      </c>
      <c r="CH40" s="168" t="e">
        <f t="shared" ca="1" si="26"/>
        <v>#N/A</v>
      </c>
      <c r="CI40" s="168" t="e">
        <f t="shared" ca="1" si="26"/>
        <v>#N/A</v>
      </c>
      <c r="CJ40" s="168" t="e">
        <f t="shared" ca="1" si="26"/>
        <v>#N/A</v>
      </c>
      <c r="CK40" s="180" t="e">
        <f t="shared" ca="1" si="26"/>
        <v>#N/A</v>
      </c>
      <c r="CL40" s="156" t="str">
        <f t="shared" ca="1" si="26"/>
        <v/>
      </c>
      <c r="CM40" s="185" t="e">
        <f t="shared" ca="1" si="26"/>
        <v>#N/A</v>
      </c>
      <c r="CN40" s="138" t="e">
        <f t="shared" ca="1" si="26"/>
        <v>#N/A</v>
      </c>
      <c r="CO40" s="138" t="e">
        <f t="shared" ca="1" si="26"/>
        <v>#N/A</v>
      </c>
      <c r="CP40" s="138" t="e">
        <f t="shared" ca="1" si="26"/>
        <v>#N/A</v>
      </c>
      <c r="CQ40" s="183" t="e">
        <f t="shared" ca="1" si="26"/>
        <v>#N/A</v>
      </c>
      <c r="CR40" s="138" t="str">
        <f t="shared" ca="1" si="26"/>
        <v/>
      </c>
      <c r="CS40" s="184" t="e">
        <f t="shared" ca="1" si="26"/>
        <v>#N/A</v>
      </c>
      <c r="CT40" s="138" t="e">
        <f t="shared" ca="1" si="26"/>
        <v>#N/A</v>
      </c>
      <c r="CU40" s="138" t="e">
        <f t="shared" ref="CU40:DJ40" ca="1" si="27">IF(ISNA(CU$32),"",OFFSET($B104,0,CU$32-1))</f>
        <v>#N/A</v>
      </c>
      <c r="CV40" s="183" t="e">
        <f t="shared" ca="1" si="27"/>
        <v>#N/A</v>
      </c>
      <c r="CW40" s="138" t="str">
        <f t="shared" ca="1" si="27"/>
        <v/>
      </c>
      <c r="CX40" s="184" t="e">
        <f t="shared" ca="1" si="27"/>
        <v>#N/A</v>
      </c>
      <c r="CY40" s="183" t="e">
        <f t="shared" ca="1" si="27"/>
        <v>#N/A</v>
      </c>
      <c r="CZ40" s="138" t="str">
        <f t="shared" ca="1" si="27"/>
        <v/>
      </c>
      <c r="DA40" s="184" t="e">
        <f t="shared" ca="1" si="27"/>
        <v>#N/A</v>
      </c>
      <c r="DB40" s="138" t="e">
        <f t="shared" ca="1" si="27"/>
        <v>#N/A</v>
      </c>
      <c r="DC40" s="138" t="e">
        <f t="shared" ca="1" si="27"/>
        <v>#N/A</v>
      </c>
      <c r="DD40" s="138" t="e">
        <f t="shared" ca="1" si="27"/>
        <v>#N/A</v>
      </c>
      <c r="DE40" s="138" t="e">
        <f t="shared" ca="1" si="27"/>
        <v>#N/A</v>
      </c>
      <c r="DF40" s="138" t="e">
        <f t="shared" ca="1" si="27"/>
        <v>#N/A</v>
      </c>
      <c r="DG40" s="138" t="e">
        <f t="shared" ca="1" si="27"/>
        <v>#N/A</v>
      </c>
      <c r="DH40" s="138" t="e">
        <f t="shared" ca="1" si="27"/>
        <v>#N/A</v>
      </c>
      <c r="DI40" s="138" t="e">
        <f t="shared" ca="1" si="27"/>
        <v>#N/A</v>
      </c>
      <c r="DJ40" s="183" t="e">
        <f t="shared" ca="1" si="27"/>
        <v>#N/A</v>
      </c>
    </row>
    <row r="41" spans="2:115" x14ac:dyDescent="0.35">
      <c r="B41" t="s">
        <v>1029</v>
      </c>
      <c r="C41" s="190" t="e">
        <f t="shared" ref="C41:AH41" ca="1" si="28">IF(ISNA(C$32),"",OFFSET($B105,0,C$32-1))</f>
        <v>#N/A</v>
      </c>
      <c r="D41" s="156" t="e">
        <f t="shared" ca="1" si="28"/>
        <v>#N/A</v>
      </c>
      <c r="E41" s="156" t="e">
        <f t="shared" ca="1" si="28"/>
        <v>#N/A</v>
      </c>
      <c r="F41" s="180" t="e">
        <f t="shared" ca="1" si="28"/>
        <v>#N/A</v>
      </c>
      <c r="G41" s="160" t="e">
        <f t="shared" ca="1" si="28"/>
        <v>#N/A</v>
      </c>
      <c r="H41" s="156" t="e">
        <f t="shared" ca="1" si="28"/>
        <v>#N/A</v>
      </c>
      <c r="I41" s="156" t="e">
        <f t="shared" ca="1" si="28"/>
        <v>#N/A</v>
      </c>
      <c r="J41" s="173" t="e">
        <f t="shared" ca="1" si="28"/>
        <v>#N/A</v>
      </c>
      <c r="K41" s="160" t="e">
        <f t="shared" ca="1" si="28"/>
        <v>#N/A</v>
      </c>
      <c r="L41" s="156" t="e">
        <f t="shared" ca="1" si="28"/>
        <v>#N/A</v>
      </c>
      <c r="M41" s="156" t="e">
        <f t="shared" ca="1" si="28"/>
        <v>#N/A</v>
      </c>
      <c r="N41" s="173" t="e">
        <f t="shared" ca="1" si="28"/>
        <v>#N/A</v>
      </c>
      <c r="O41" s="160" t="e">
        <f t="shared" ca="1" si="28"/>
        <v>#N/A</v>
      </c>
      <c r="P41" s="156" t="e">
        <f t="shared" ca="1" si="28"/>
        <v>#N/A</v>
      </c>
      <c r="Q41" s="156" t="e">
        <f t="shared" ca="1" si="28"/>
        <v>#N/A</v>
      </c>
      <c r="R41" s="173" t="e">
        <f t="shared" ca="1" si="28"/>
        <v>#N/A</v>
      </c>
      <c r="S41" s="160" t="e">
        <f t="shared" ca="1" si="28"/>
        <v>#N/A</v>
      </c>
      <c r="T41" s="156" t="e">
        <f t="shared" ca="1" si="28"/>
        <v>#N/A</v>
      </c>
      <c r="U41" s="156" t="e">
        <f t="shared" ca="1" si="28"/>
        <v>#N/A</v>
      </c>
      <c r="V41" s="173" t="e">
        <f t="shared" ca="1" si="28"/>
        <v>#N/A</v>
      </c>
      <c r="W41" s="160" t="e">
        <f t="shared" ca="1" si="28"/>
        <v>#N/A</v>
      </c>
      <c r="X41" s="156" t="e">
        <f t="shared" ca="1" si="28"/>
        <v>#N/A</v>
      </c>
      <c r="Y41" s="156" t="e">
        <f t="shared" ca="1" si="28"/>
        <v>#N/A</v>
      </c>
      <c r="Z41" s="173" t="e">
        <f t="shared" ca="1" si="28"/>
        <v>#N/A</v>
      </c>
      <c r="AA41" s="181" t="e">
        <f t="shared" ca="1" si="28"/>
        <v>#N/A</v>
      </c>
      <c r="AB41" s="168" t="e">
        <f t="shared" ca="1" si="28"/>
        <v>#N/A</v>
      </c>
      <c r="AC41" s="168" t="e">
        <f t="shared" ca="1" si="28"/>
        <v>#N/A</v>
      </c>
      <c r="AD41" s="180" t="e">
        <f t="shared" ca="1" si="28"/>
        <v>#N/A</v>
      </c>
      <c r="AE41" s="156" t="str">
        <f t="shared" ca="1" si="28"/>
        <v/>
      </c>
      <c r="AF41" s="181" t="e">
        <f t="shared" ca="1" si="28"/>
        <v>#N/A</v>
      </c>
      <c r="AG41" s="180" t="e">
        <f t="shared" ca="1" si="28"/>
        <v>#N/A</v>
      </c>
      <c r="AH41" s="168" t="e">
        <f t="shared" ca="1" si="28"/>
        <v>#N/A</v>
      </c>
      <c r="AI41" s="168" t="e">
        <f t="shared" ref="AI41:BN41" ca="1" si="29">IF(ISNA(AI$32),"",OFFSET($B105,0,AI$32-1))</f>
        <v>#N/A</v>
      </c>
      <c r="AJ41" s="180" t="e">
        <f t="shared" ca="1" si="29"/>
        <v>#N/A</v>
      </c>
      <c r="AK41" s="156" t="str">
        <f t="shared" ca="1" si="29"/>
        <v/>
      </c>
      <c r="AL41" s="189" t="e">
        <f t="shared" ca="1" si="29"/>
        <v>#N/A</v>
      </c>
      <c r="AM41" s="188" t="e">
        <f t="shared" ca="1" si="29"/>
        <v>#N/A</v>
      </c>
      <c r="AN41" s="188" t="e">
        <f t="shared" ca="1" si="29"/>
        <v>#N/A</v>
      </c>
      <c r="AO41" s="188" t="e">
        <f t="shared" ca="1" si="29"/>
        <v>#N/A</v>
      </c>
      <c r="AP41" s="188" t="e">
        <f t="shared" ca="1" si="29"/>
        <v>#N/A</v>
      </c>
      <c r="AQ41" s="188" t="e">
        <f t="shared" ca="1" si="29"/>
        <v>#N/A</v>
      </c>
      <c r="AR41" s="188" t="e">
        <f t="shared" ca="1" si="29"/>
        <v>#N/A</v>
      </c>
      <c r="AS41" s="188" t="e">
        <f t="shared" ca="1" si="29"/>
        <v>#N/A</v>
      </c>
      <c r="AT41" s="187" t="e">
        <f t="shared" ca="1" si="29"/>
        <v>#N/A</v>
      </c>
      <c r="AU41" s="156" t="str">
        <f t="shared" ca="1" si="29"/>
        <v/>
      </c>
      <c r="AV41" s="160" t="e">
        <f t="shared" ca="1" si="29"/>
        <v>#N/A</v>
      </c>
      <c r="AW41" s="156" t="e">
        <f t="shared" ca="1" si="29"/>
        <v>#N/A</v>
      </c>
      <c r="AX41" s="156" t="e">
        <f t="shared" ca="1" si="29"/>
        <v>#N/A</v>
      </c>
      <c r="AY41" s="173" t="e">
        <f t="shared" ca="1" si="29"/>
        <v>#N/A</v>
      </c>
      <c r="AZ41" s="160" t="e">
        <f t="shared" ca="1" si="29"/>
        <v>#N/A</v>
      </c>
      <c r="BA41" s="156" t="e">
        <f t="shared" ca="1" si="29"/>
        <v>#N/A</v>
      </c>
      <c r="BB41" s="156" t="e">
        <f t="shared" ca="1" si="29"/>
        <v>#N/A</v>
      </c>
      <c r="BC41" s="156" t="e">
        <f t="shared" ca="1" si="29"/>
        <v>#N/A</v>
      </c>
      <c r="BD41" s="168" t="e">
        <f t="shared" ca="1" si="29"/>
        <v>#N/A</v>
      </c>
      <c r="BE41" s="160" t="e">
        <f t="shared" ca="1" si="29"/>
        <v>#N/A</v>
      </c>
      <c r="BF41" s="156" t="e">
        <f t="shared" ca="1" si="29"/>
        <v>#N/A</v>
      </c>
      <c r="BG41" s="156" t="e">
        <f t="shared" ca="1" si="29"/>
        <v>#N/A</v>
      </c>
      <c r="BH41" s="173" t="e">
        <f t="shared" ca="1" si="29"/>
        <v>#N/A</v>
      </c>
      <c r="BI41" s="160" t="e">
        <f t="shared" ca="1" si="29"/>
        <v>#N/A</v>
      </c>
      <c r="BJ41" s="156" t="e">
        <f t="shared" ca="1" si="29"/>
        <v>#N/A</v>
      </c>
      <c r="BK41" s="156" t="e">
        <f t="shared" ca="1" si="29"/>
        <v>#N/A</v>
      </c>
      <c r="BL41" s="173" t="e">
        <f t="shared" ca="1" si="29"/>
        <v>#N/A</v>
      </c>
      <c r="BM41" s="160" t="e">
        <f t="shared" ca="1" si="29"/>
        <v>#N/A</v>
      </c>
      <c r="BN41" s="156" t="e">
        <f t="shared" ca="1" si="29"/>
        <v>#N/A</v>
      </c>
      <c r="BO41" s="156" t="e">
        <f t="shared" ref="BO41:CT41" ca="1" si="30">IF(ISNA(BO$32),"",OFFSET($B105,0,BO$32-1))</f>
        <v>#N/A</v>
      </c>
      <c r="BP41" s="173" t="e">
        <f t="shared" ca="1" si="30"/>
        <v>#N/A</v>
      </c>
      <c r="BQ41" s="186" t="e">
        <f t="shared" ca="1" si="30"/>
        <v>#N/A</v>
      </c>
      <c r="BR41" s="160" t="e">
        <f t="shared" ca="1" si="30"/>
        <v>#N/A</v>
      </c>
      <c r="BS41" s="156" t="e">
        <f t="shared" ca="1" si="30"/>
        <v>#N/A</v>
      </c>
      <c r="BT41" s="156" t="e">
        <f t="shared" ca="1" si="30"/>
        <v>#N/A</v>
      </c>
      <c r="BU41" s="173" t="e">
        <f t="shared" ca="1" si="30"/>
        <v>#N/A</v>
      </c>
      <c r="BV41" s="160" t="e">
        <f t="shared" ca="1" si="30"/>
        <v>#N/A</v>
      </c>
      <c r="BW41" s="156" t="e">
        <f t="shared" ca="1" si="30"/>
        <v>#N/A</v>
      </c>
      <c r="BX41" s="156" t="e">
        <f t="shared" ca="1" si="30"/>
        <v>#N/A</v>
      </c>
      <c r="BY41" s="156" t="e">
        <f t="shared" ca="1" si="30"/>
        <v>#N/A</v>
      </c>
      <c r="BZ41" s="173" t="e">
        <f t="shared" ca="1" si="30"/>
        <v>#N/A</v>
      </c>
      <c r="CA41" s="181" t="e">
        <f t="shared" ca="1" si="30"/>
        <v>#N/A</v>
      </c>
      <c r="CB41" s="168" t="e">
        <f t="shared" ca="1" si="30"/>
        <v>#N/A</v>
      </c>
      <c r="CC41" s="168" t="e">
        <f t="shared" ca="1" si="30"/>
        <v>#N/A</v>
      </c>
      <c r="CD41" s="168" t="e">
        <f t="shared" ca="1" si="30"/>
        <v>#N/A</v>
      </c>
      <c r="CE41" s="180" t="e">
        <f t="shared" ca="1" si="30"/>
        <v>#N/A</v>
      </c>
      <c r="CF41" s="156" t="str">
        <f t="shared" ca="1" si="30"/>
        <v/>
      </c>
      <c r="CG41" s="181" t="e">
        <f t="shared" ca="1" si="30"/>
        <v>#N/A</v>
      </c>
      <c r="CH41" s="168" t="e">
        <f t="shared" ca="1" si="30"/>
        <v>#N/A</v>
      </c>
      <c r="CI41" s="168" t="e">
        <f t="shared" ca="1" si="30"/>
        <v>#N/A</v>
      </c>
      <c r="CJ41" s="168" t="e">
        <f t="shared" ca="1" si="30"/>
        <v>#N/A</v>
      </c>
      <c r="CK41" s="180" t="e">
        <f t="shared" ca="1" si="30"/>
        <v>#N/A</v>
      </c>
      <c r="CL41" s="156" t="str">
        <f t="shared" ca="1" si="30"/>
        <v/>
      </c>
      <c r="CM41" s="185" t="e">
        <f t="shared" ca="1" si="30"/>
        <v>#N/A</v>
      </c>
      <c r="CN41" s="138" t="e">
        <f t="shared" ca="1" si="30"/>
        <v>#N/A</v>
      </c>
      <c r="CO41" s="138" t="e">
        <f t="shared" ca="1" si="30"/>
        <v>#N/A</v>
      </c>
      <c r="CP41" s="138" t="e">
        <f t="shared" ca="1" si="30"/>
        <v>#N/A</v>
      </c>
      <c r="CQ41" s="183" t="e">
        <f t="shared" ca="1" si="30"/>
        <v>#N/A</v>
      </c>
      <c r="CR41" s="138" t="str">
        <f t="shared" ca="1" si="30"/>
        <v/>
      </c>
      <c r="CS41" s="184" t="e">
        <f t="shared" ca="1" si="30"/>
        <v>#N/A</v>
      </c>
      <c r="CT41" s="138" t="e">
        <f t="shared" ca="1" si="30"/>
        <v>#N/A</v>
      </c>
      <c r="CU41" s="138" t="e">
        <f t="shared" ref="CU41:DJ41" ca="1" si="31">IF(ISNA(CU$32),"",OFFSET($B105,0,CU$32-1))</f>
        <v>#N/A</v>
      </c>
      <c r="CV41" s="183" t="e">
        <f t="shared" ca="1" si="31"/>
        <v>#N/A</v>
      </c>
      <c r="CW41" s="138" t="str">
        <f t="shared" ca="1" si="31"/>
        <v/>
      </c>
      <c r="CX41" s="184" t="e">
        <f t="shared" ca="1" si="31"/>
        <v>#N/A</v>
      </c>
      <c r="CY41" s="183" t="e">
        <f t="shared" ca="1" si="31"/>
        <v>#N/A</v>
      </c>
      <c r="CZ41" s="138" t="str">
        <f t="shared" ca="1" si="31"/>
        <v/>
      </c>
      <c r="DA41" s="184" t="e">
        <f t="shared" ca="1" si="31"/>
        <v>#N/A</v>
      </c>
      <c r="DB41" s="138" t="e">
        <f t="shared" ca="1" si="31"/>
        <v>#N/A</v>
      </c>
      <c r="DC41" s="138" t="e">
        <f t="shared" ca="1" si="31"/>
        <v>#N/A</v>
      </c>
      <c r="DD41" s="138" t="e">
        <f t="shared" ca="1" si="31"/>
        <v>#N/A</v>
      </c>
      <c r="DE41" s="138" t="e">
        <f t="shared" ca="1" si="31"/>
        <v>#N/A</v>
      </c>
      <c r="DF41" s="138" t="e">
        <f t="shared" ca="1" si="31"/>
        <v>#N/A</v>
      </c>
      <c r="DG41" s="138" t="e">
        <f t="shared" ca="1" si="31"/>
        <v>#N/A</v>
      </c>
      <c r="DH41" s="138" t="e">
        <f t="shared" ca="1" si="31"/>
        <v>#N/A</v>
      </c>
      <c r="DI41" s="138" t="e">
        <f t="shared" ca="1" si="31"/>
        <v>#N/A</v>
      </c>
      <c r="DJ41" s="183" t="e">
        <f t="shared" ca="1" si="31"/>
        <v>#N/A</v>
      </c>
    </row>
    <row r="42" spans="2:115" x14ac:dyDescent="0.35">
      <c r="B42" t="s">
        <v>1030</v>
      </c>
      <c r="C42" s="190" t="e">
        <f t="shared" ref="C42:AH42" ca="1" si="32">IF(ISNA(C$32),"",OFFSET($B106,0,C$32-1))</f>
        <v>#N/A</v>
      </c>
      <c r="D42" s="156" t="e">
        <f t="shared" ca="1" si="32"/>
        <v>#N/A</v>
      </c>
      <c r="E42" s="156" t="e">
        <f t="shared" ca="1" si="32"/>
        <v>#N/A</v>
      </c>
      <c r="F42" s="180" t="e">
        <f t="shared" ca="1" si="32"/>
        <v>#N/A</v>
      </c>
      <c r="G42" s="160" t="e">
        <f t="shared" ca="1" si="32"/>
        <v>#N/A</v>
      </c>
      <c r="H42" s="156" t="e">
        <f t="shared" ca="1" si="32"/>
        <v>#N/A</v>
      </c>
      <c r="I42" s="156" t="e">
        <f t="shared" ca="1" si="32"/>
        <v>#N/A</v>
      </c>
      <c r="J42" s="173" t="e">
        <f t="shared" ca="1" si="32"/>
        <v>#N/A</v>
      </c>
      <c r="K42" s="160" t="e">
        <f t="shared" ca="1" si="32"/>
        <v>#N/A</v>
      </c>
      <c r="L42" s="156" t="e">
        <f t="shared" ca="1" si="32"/>
        <v>#N/A</v>
      </c>
      <c r="M42" s="156" t="e">
        <f t="shared" ca="1" si="32"/>
        <v>#N/A</v>
      </c>
      <c r="N42" s="173" t="e">
        <f t="shared" ca="1" si="32"/>
        <v>#N/A</v>
      </c>
      <c r="O42" s="160" t="e">
        <f t="shared" ca="1" si="32"/>
        <v>#N/A</v>
      </c>
      <c r="P42" s="156" t="e">
        <f t="shared" ca="1" si="32"/>
        <v>#N/A</v>
      </c>
      <c r="Q42" s="156" t="e">
        <f t="shared" ca="1" si="32"/>
        <v>#N/A</v>
      </c>
      <c r="R42" s="173" t="e">
        <f t="shared" ca="1" si="32"/>
        <v>#N/A</v>
      </c>
      <c r="S42" s="160" t="e">
        <f t="shared" ca="1" si="32"/>
        <v>#N/A</v>
      </c>
      <c r="T42" s="156" t="e">
        <f t="shared" ca="1" si="32"/>
        <v>#N/A</v>
      </c>
      <c r="U42" s="156" t="e">
        <f t="shared" ca="1" si="32"/>
        <v>#N/A</v>
      </c>
      <c r="V42" s="173" t="e">
        <f t="shared" ca="1" si="32"/>
        <v>#N/A</v>
      </c>
      <c r="W42" s="160" t="e">
        <f t="shared" ca="1" si="32"/>
        <v>#N/A</v>
      </c>
      <c r="X42" s="156" t="e">
        <f t="shared" ca="1" si="32"/>
        <v>#N/A</v>
      </c>
      <c r="Y42" s="156" t="e">
        <f t="shared" ca="1" si="32"/>
        <v>#N/A</v>
      </c>
      <c r="Z42" s="173" t="e">
        <f t="shared" ca="1" si="32"/>
        <v>#N/A</v>
      </c>
      <c r="AA42" s="181" t="e">
        <f t="shared" ca="1" si="32"/>
        <v>#N/A</v>
      </c>
      <c r="AB42" s="168" t="e">
        <f t="shared" ca="1" si="32"/>
        <v>#N/A</v>
      </c>
      <c r="AC42" s="168" t="e">
        <f t="shared" ca="1" si="32"/>
        <v>#N/A</v>
      </c>
      <c r="AD42" s="180" t="e">
        <f t="shared" ca="1" si="32"/>
        <v>#N/A</v>
      </c>
      <c r="AE42" s="156" t="str">
        <f t="shared" ca="1" si="32"/>
        <v/>
      </c>
      <c r="AF42" s="181" t="e">
        <f t="shared" ca="1" si="32"/>
        <v>#N/A</v>
      </c>
      <c r="AG42" s="180" t="e">
        <f t="shared" ca="1" si="32"/>
        <v>#N/A</v>
      </c>
      <c r="AH42" s="168" t="e">
        <f t="shared" ca="1" si="32"/>
        <v>#N/A</v>
      </c>
      <c r="AI42" s="168" t="e">
        <f t="shared" ref="AI42:BN42" ca="1" si="33">IF(ISNA(AI$32),"",OFFSET($B106,0,AI$32-1))</f>
        <v>#N/A</v>
      </c>
      <c r="AJ42" s="180" t="e">
        <f t="shared" ca="1" si="33"/>
        <v>#N/A</v>
      </c>
      <c r="AK42" s="156" t="str">
        <f t="shared" ca="1" si="33"/>
        <v/>
      </c>
      <c r="AL42" s="189" t="e">
        <f t="shared" ca="1" si="33"/>
        <v>#N/A</v>
      </c>
      <c r="AM42" s="188" t="e">
        <f t="shared" ca="1" si="33"/>
        <v>#N/A</v>
      </c>
      <c r="AN42" s="188" t="e">
        <f t="shared" ca="1" si="33"/>
        <v>#N/A</v>
      </c>
      <c r="AO42" s="188" t="e">
        <f t="shared" ca="1" si="33"/>
        <v>#N/A</v>
      </c>
      <c r="AP42" s="188" t="e">
        <f t="shared" ca="1" si="33"/>
        <v>#N/A</v>
      </c>
      <c r="AQ42" s="188" t="e">
        <f t="shared" ca="1" si="33"/>
        <v>#N/A</v>
      </c>
      <c r="AR42" s="188" t="e">
        <f t="shared" ca="1" si="33"/>
        <v>#N/A</v>
      </c>
      <c r="AS42" s="188" t="e">
        <f t="shared" ca="1" si="33"/>
        <v>#N/A</v>
      </c>
      <c r="AT42" s="187" t="e">
        <f t="shared" ca="1" si="33"/>
        <v>#N/A</v>
      </c>
      <c r="AU42" s="156" t="str">
        <f t="shared" ca="1" si="33"/>
        <v/>
      </c>
      <c r="AV42" s="160" t="e">
        <f t="shared" ca="1" si="33"/>
        <v>#N/A</v>
      </c>
      <c r="AW42" s="156" t="e">
        <f t="shared" ca="1" si="33"/>
        <v>#N/A</v>
      </c>
      <c r="AX42" s="156" t="e">
        <f t="shared" ca="1" si="33"/>
        <v>#N/A</v>
      </c>
      <c r="AY42" s="173" t="e">
        <f t="shared" ca="1" si="33"/>
        <v>#N/A</v>
      </c>
      <c r="AZ42" s="160" t="e">
        <f t="shared" ca="1" si="33"/>
        <v>#N/A</v>
      </c>
      <c r="BA42" s="156" t="e">
        <f t="shared" ca="1" si="33"/>
        <v>#N/A</v>
      </c>
      <c r="BB42" s="156" t="e">
        <f t="shared" ca="1" si="33"/>
        <v>#N/A</v>
      </c>
      <c r="BC42" s="156" t="e">
        <f t="shared" ca="1" si="33"/>
        <v>#N/A</v>
      </c>
      <c r="BD42" s="168" t="e">
        <f t="shared" ca="1" si="33"/>
        <v>#N/A</v>
      </c>
      <c r="BE42" s="160" t="e">
        <f t="shared" ca="1" si="33"/>
        <v>#N/A</v>
      </c>
      <c r="BF42" s="156" t="e">
        <f t="shared" ca="1" si="33"/>
        <v>#N/A</v>
      </c>
      <c r="BG42" s="156" t="e">
        <f t="shared" ca="1" si="33"/>
        <v>#N/A</v>
      </c>
      <c r="BH42" s="173" t="e">
        <f t="shared" ca="1" si="33"/>
        <v>#N/A</v>
      </c>
      <c r="BI42" s="160" t="e">
        <f t="shared" ca="1" si="33"/>
        <v>#N/A</v>
      </c>
      <c r="BJ42" s="156" t="e">
        <f t="shared" ca="1" si="33"/>
        <v>#N/A</v>
      </c>
      <c r="BK42" s="156" t="e">
        <f t="shared" ca="1" si="33"/>
        <v>#N/A</v>
      </c>
      <c r="BL42" s="173" t="e">
        <f t="shared" ca="1" si="33"/>
        <v>#N/A</v>
      </c>
      <c r="BM42" s="160" t="e">
        <f t="shared" ca="1" si="33"/>
        <v>#N/A</v>
      </c>
      <c r="BN42" s="156" t="e">
        <f t="shared" ca="1" si="33"/>
        <v>#N/A</v>
      </c>
      <c r="BO42" s="156" t="e">
        <f t="shared" ref="BO42:CT42" ca="1" si="34">IF(ISNA(BO$32),"",OFFSET($B106,0,BO$32-1))</f>
        <v>#N/A</v>
      </c>
      <c r="BP42" s="173" t="e">
        <f t="shared" ca="1" si="34"/>
        <v>#N/A</v>
      </c>
      <c r="BQ42" s="186" t="e">
        <f t="shared" ca="1" si="34"/>
        <v>#N/A</v>
      </c>
      <c r="BR42" s="160" t="e">
        <f t="shared" ca="1" si="34"/>
        <v>#N/A</v>
      </c>
      <c r="BS42" s="156" t="e">
        <f t="shared" ca="1" si="34"/>
        <v>#N/A</v>
      </c>
      <c r="BT42" s="156" t="e">
        <f t="shared" ca="1" si="34"/>
        <v>#N/A</v>
      </c>
      <c r="BU42" s="173" t="e">
        <f t="shared" ca="1" si="34"/>
        <v>#N/A</v>
      </c>
      <c r="BV42" s="160" t="e">
        <f t="shared" ca="1" si="34"/>
        <v>#N/A</v>
      </c>
      <c r="BW42" s="156" t="e">
        <f t="shared" ca="1" si="34"/>
        <v>#N/A</v>
      </c>
      <c r="BX42" s="156" t="e">
        <f t="shared" ca="1" si="34"/>
        <v>#N/A</v>
      </c>
      <c r="BY42" s="156" t="e">
        <f t="shared" ca="1" si="34"/>
        <v>#N/A</v>
      </c>
      <c r="BZ42" s="173" t="e">
        <f t="shared" ca="1" si="34"/>
        <v>#N/A</v>
      </c>
      <c r="CA42" s="181" t="e">
        <f t="shared" ca="1" si="34"/>
        <v>#N/A</v>
      </c>
      <c r="CB42" s="168" t="e">
        <f t="shared" ca="1" si="34"/>
        <v>#N/A</v>
      </c>
      <c r="CC42" s="168" t="e">
        <f t="shared" ca="1" si="34"/>
        <v>#N/A</v>
      </c>
      <c r="CD42" s="168" t="e">
        <f t="shared" ca="1" si="34"/>
        <v>#N/A</v>
      </c>
      <c r="CE42" s="180" t="e">
        <f t="shared" ca="1" si="34"/>
        <v>#N/A</v>
      </c>
      <c r="CF42" s="156" t="str">
        <f t="shared" ca="1" si="34"/>
        <v/>
      </c>
      <c r="CG42" s="181" t="e">
        <f t="shared" ca="1" si="34"/>
        <v>#N/A</v>
      </c>
      <c r="CH42" s="168" t="e">
        <f t="shared" ca="1" si="34"/>
        <v>#N/A</v>
      </c>
      <c r="CI42" s="168" t="e">
        <f t="shared" ca="1" si="34"/>
        <v>#N/A</v>
      </c>
      <c r="CJ42" s="168" t="e">
        <f t="shared" ca="1" si="34"/>
        <v>#N/A</v>
      </c>
      <c r="CK42" s="180" t="e">
        <f t="shared" ca="1" si="34"/>
        <v>#N/A</v>
      </c>
      <c r="CL42" s="156" t="str">
        <f t="shared" ca="1" si="34"/>
        <v/>
      </c>
      <c r="CM42" s="185" t="e">
        <f t="shared" ca="1" si="34"/>
        <v>#N/A</v>
      </c>
      <c r="CN42" s="138" t="e">
        <f t="shared" ca="1" si="34"/>
        <v>#N/A</v>
      </c>
      <c r="CO42" s="138" t="e">
        <f t="shared" ca="1" si="34"/>
        <v>#N/A</v>
      </c>
      <c r="CP42" s="138" t="e">
        <f t="shared" ca="1" si="34"/>
        <v>#N/A</v>
      </c>
      <c r="CQ42" s="183" t="e">
        <f t="shared" ca="1" si="34"/>
        <v>#N/A</v>
      </c>
      <c r="CR42" s="138" t="str">
        <f t="shared" ca="1" si="34"/>
        <v/>
      </c>
      <c r="CS42" s="184" t="e">
        <f t="shared" ca="1" si="34"/>
        <v>#N/A</v>
      </c>
      <c r="CT42" s="138" t="e">
        <f t="shared" ca="1" si="34"/>
        <v>#N/A</v>
      </c>
      <c r="CU42" s="138" t="e">
        <f t="shared" ref="CU42:DJ42" ca="1" si="35">IF(ISNA(CU$32),"",OFFSET($B106,0,CU$32-1))</f>
        <v>#N/A</v>
      </c>
      <c r="CV42" s="183" t="e">
        <f t="shared" ca="1" si="35"/>
        <v>#N/A</v>
      </c>
      <c r="CW42" s="138" t="str">
        <f t="shared" ca="1" si="35"/>
        <v/>
      </c>
      <c r="CX42" s="184" t="e">
        <f t="shared" ca="1" si="35"/>
        <v>#N/A</v>
      </c>
      <c r="CY42" s="183" t="e">
        <f t="shared" ca="1" si="35"/>
        <v>#N/A</v>
      </c>
      <c r="CZ42" s="138" t="str">
        <f t="shared" ca="1" si="35"/>
        <v/>
      </c>
      <c r="DA42" s="184" t="e">
        <f t="shared" ca="1" si="35"/>
        <v>#N/A</v>
      </c>
      <c r="DB42" s="138" t="e">
        <f t="shared" ca="1" si="35"/>
        <v>#N/A</v>
      </c>
      <c r="DC42" s="138" t="e">
        <f t="shared" ca="1" si="35"/>
        <v>#N/A</v>
      </c>
      <c r="DD42" s="138" t="e">
        <f t="shared" ca="1" si="35"/>
        <v>#N/A</v>
      </c>
      <c r="DE42" s="138" t="e">
        <f t="shared" ca="1" si="35"/>
        <v>#N/A</v>
      </c>
      <c r="DF42" s="138" t="e">
        <f t="shared" ca="1" si="35"/>
        <v>#N/A</v>
      </c>
      <c r="DG42" s="138" t="e">
        <f t="shared" ca="1" si="35"/>
        <v>#N/A</v>
      </c>
      <c r="DH42" s="138" t="e">
        <f t="shared" ca="1" si="35"/>
        <v>#N/A</v>
      </c>
      <c r="DI42" s="138" t="e">
        <f t="shared" ca="1" si="35"/>
        <v>#N/A</v>
      </c>
      <c r="DJ42" s="183" t="e">
        <f t="shared" ca="1" si="35"/>
        <v>#N/A</v>
      </c>
    </row>
    <row r="43" spans="2:115" x14ac:dyDescent="0.35">
      <c r="B43" t="s">
        <v>1031</v>
      </c>
      <c r="C43" s="190" t="e">
        <f t="shared" ref="C43:AH43" ca="1" si="36">IF(ISNA(C$32),"",OFFSET($B107,0,C$32-1))</f>
        <v>#N/A</v>
      </c>
      <c r="D43" s="156" t="e">
        <f t="shared" ca="1" si="36"/>
        <v>#N/A</v>
      </c>
      <c r="E43" s="156" t="e">
        <f t="shared" ca="1" si="36"/>
        <v>#N/A</v>
      </c>
      <c r="F43" s="180" t="e">
        <f t="shared" ca="1" si="36"/>
        <v>#N/A</v>
      </c>
      <c r="G43" s="160" t="e">
        <f t="shared" ca="1" si="36"/>
        <v>#N/A</v>
      </c>
      <c r="H43" s="156" t="e">
        <f t="shared" ca="1" si="36"/>
        <v>#N/A</v>
      </c>
      <c r="I43" s="156" t="e">
        <f t="shared" ca="1" si="36"/>
        <v>#N/A</v>
      </c>
      <c r="J43" s="173" t="e">
        <f t="shared" ca="1" si="36"/>
        <v>#N/A</v>
      </c>
      <c r="K43" s="160" t="e">
        <f t="shared" ca="1" si="36"/>
        <v>#N/A</v>
      </c>
      <c r="L43" s="156" t="e">
        <f t="shared" ca="1" si="36"/>
        <v>#N/A</v>
      </c>
      <c r="M43" s="156" t="e">
        <f t="shared" ca="1" si="36"/>
        <v>#N/A</v>
      </c>
      <c r="N43" s="173" t="e">
        <f t="shared" ca="1" si="36"/>
        <v>#N/A</v>
      </c>
      <c r="O43" s="160" t="e">
        <f t="shared" ca="1" si="36"/>
        <v>#N/A</v>
      </c>
      <c r="P43" s="156" t="e">
        <f t="shared" ca="1" si="36"/>
        <v>#N/A</v>
      </c>
      <c r="Q43" s="156" t="e">
        <f t="shared" ca="1" si="36"/>
        <v>#N/A</v>
      </c>
      <c r="R43" s="173" t="e">
        <f t="shared" ca="1" si="36"/>
        <v>#N/A</v>
      </c>
      <c r="S43" s="160" t="e">
        <f t="shared" ca="1" si="36"/>
        <v>#N/A</v>
      </c>
      <c r="T43" s="156" t="e">
        <f t="shared" ca="1" si="36"/>
        <v>#N/A</v>
      </c>
      <c r="U43" s="156" t="e">
        <f t="shared" ca="1" si="36"/>
        <v>#N/A</v>
      </c>
      <c r="V43" s="173" t="e">
        <f t="shared" ca="1" si="36"/>
        <v>#N/A</v>
      </c>
      <c r="W43" s="160" t="e">
        <f t="shared" ca="1" si="36"/>
        <v>#N/A</v>
      </c>
      <c r="X43" s="156" t="e">
        <f t="shared" ca="1" si="36"/>
        <v>#N/A</v>
      </c>
      <c r="Y43" s="156" t="e">
        <f t="shared" ca="1" si="36"/>
        <v>#N/A</v>
      </c>
      <c r="Z43" s="173" t="e">
        <f t="shared" ca="1" si="36"/>
        <v>#N/A</v>
      </c>
      <c r="AA43" s="181" t="e">
        <f t="shared" ca="1" si="36"/>
        <v>#N/A</v>
      </c>
      <c r="AB43" s="168" t="e">
        <f t="shared" ca="1" si="36"/>
        <v>#N/A</v>
      </c>
      <c r="AC43" s="168" t="e">
        <f t="shared" ca="1" si="36"/>
        <v>#N/A</v>
      </c>
      <c r="AD43" s="180" t="e">
        <f t="shared" ca="1" si="36"/>
        <v>#N/A</v>
      </c>
      <c r="AE43" s="156" t="str">
        <f t="shared" ca="1" si="36"/>
        <v/>
      </c>
      <c r="AF43" s="181" t="e">
        <f t="shared" ca="1" si="36"/>
        <v>#N/A</v>
      </c>
      <c r="AG43" s="180" t="e">
        <f t="shared" ca="1" si="36"/>
        <v>#N/A</v>
      </c>
      <c r="AH43" s="168" t="e">
        <f t="shared" ca="1" si="36"/>
        <v>#N/A</v>
      </c>
      <c r="AI43" s="168" t="e">
        <f t="shared" ref="AI43:BN43" ca="1" si="37">IF(ISNA(AI$32),"",OFFSET($B107,0,AI$32-1))</f>
        <v>#N/A</v>
      </c>
      <c r="AJ43" s="180" t="e">
        <f t="shared" ca="1" si="37"/>
        <v>#N/A</v>
      </c>
      <c r="AK43" s="156" t="str">
        <f t="shared" ca="1" si="37"/>
        <v/>
      </c>
      <c r="AL43" s="189" t="e">
        <f t="shared" ca="1" si="37"/>
        <v>#N/A</v>
      </c>
      <c r="AM43" s="188" t="e">
        <f t="shared" ca="1" si="37"/>
        <v>#N/A</v>
      </c>
      <c r="AN43" s="188" t="e">
        <f t="shared" ca="1" si="37"/>
        <v>#N/A</v>
      </c>
      <c r="AO43" s="188" t="e">
        <f t="shared" ca="1" si="37"/>
        <v>#N/A</v>
      </c>
      <c r="AP43" s="188" t="e">
        <f t="shared" ca="1" si="37"/>
        <v>#N/A</v>
      </c>
      <c r="AQ43" s="188" t="e">
        <f t="shared" ca="1" si="37"/>
        <v>#N/A</v>
      </c>
      <c r="AR43" s="188" t="e">
        <f t="shared" ca="1" si="37"/>
        <v>#N/A</v>
      </c>
      <c r="AS43" s="188" t="e">
        <f t="shared" ca="1" si="37"/>
        <v>#N/A</v>
      </c>
      <c r="AT43" s="187" t="e">
        <f t="shared" ca="1" si="37"/>
        <v>#N/A</v>
      </c>
      <c r="AU43" s="156" t="str">
        <f t="shared" ca="1" si="37"/>
        <v/>
      </c>
      <c r="AV43" s="160" t="e">
        <f t="shared" ca="1" si="37"/>
        <v>#N/A</v>
      </c>
      <c r="AW43" s="156" t="e">
        <f t="shared" ca="1" si="37"/>
        <v>#N/A</v>
      </c>
      <c r="AX43" s="156" t="e">
        <f t="shared" ca="1" si="37"/>
        <v>#N/A</v>
      </c>
      <c r="AY43" s="173" t="e">
        <f t="shared" ca="1" si="37"/>
        <v>#N/A</v>
      </c>
      <c r="AZ43" s="160" t="e">
        <f t="shared" ca="1" si="37"/>
        <v>#N/A</v>
      </c>
      <c r="BA43" s="156" t="e">
        <f t="shared" ca="1" si="37"/>
        <v>#N/A</v>
      </c>
      <c r="BB43" s="156" t="e">
        <f t="shared" ca="1" si="37"/>
        <v>#N/A</v>
      </c>
      <c r="BC43" s="156" t="e">
        <f t="shared" ca="1" si="37"/>
        <v>#N/A</v>
      </c>
      <c r="BD43" s="168" t="e">
        <f t="shared" ca="1" si="37"/>
        <v>#N/A</v>
      </c>
      <c r="BE43" s="160" t="e">
        <f t="shared" ca="1" si="37"/>
        <v>#N/A</v>
      </c>
      <c r="BF43" s="156" t="e">
        <f t="shared" ca="1" si="37"/>
        <v>#N/A</v>
      </c>
      <c r="BG43" s="156" t="e">
        <f t="shared" ca="1" si="37"/>
        <v>#N/A</v>
      </c>
      <c r="BH43" s="173" t="e">
        <f t="shared" ca="1" si="37"/>
        <v>#N/A</v>
      </c>
      <c r="BI43" s="160" t="e">
        <f t="shared" ca="1" si="37"/>
        <v>#N/A</v>
      </c>
      <c r="BJ43" s="156" t="e">
        <f t="shared" ca="1" si="37"/>
        <v>#N/A</v>
      </c>
      <c r="BK43" s="156" t="e">
        <f t="shared" ca="1" si="37"/>
        <v>#N/A</v>
      </c>
      <c r="BL43" s="173" t="e">
        <f t="shared" ca="1" si="37"/>
        <v>#N/A</v>
      </c>
      <c r="BM43" s="160" t="e">
        <f t="shared" ca="1" si="37"/>
        <v>#N/A</v>
      </c>
      <c r="BN43" s="156" t="e">
        <f t="shared" ca="1" si="37"/>
        <v>#N/A</v>
      </c>
      <c r="BO43" s="156" t="e">
        <f t="shared" ref="BO43:CT43" ca="1" si="38">IF(ISNA(BO$32),"",OFFSET($B107,0,BO$32-1))</f>
        <v>#N/A</v>
      </c>
      <c r="BP43" s="173" t="e">
        <f t="shared" ca="1" si="38"/>
        <v>#N/A</v>
      </c>
      <c r="BQ43" s="186" t="e">
        <f t="shared" ca="1" si="38"/>
        <v>#N/A</v>
      </c>
      <c r="BR43" s="160" t="e">
        <f t="shared" ca="1" si="38"/>
        <v>#N/A</v>
      </c>
      <c r="BS43" s="156" t="e">
        <f t="shared" ca="1" si="38"/>
        <v>#N/A</v>
      </c>
      <c r="BT43" s="156" t="e">
        <f t="shared" ca="1" si="38"/>
        <v>#N/A</v>
      </c>
      <c r="BU43" s="173" t="e">
        <f t="shared" ca="1" si="38"/>
        <v>#N/A</v>
      </c>
      <c r="BV43" s="160" t="e">
        <f t="shared" ca="1" si="38"/>
        <v>#N/A</v>
      </c>
      <c r="BW43" s="156" t="e">
        <f t="shared" ca="1" si="38"/>
        <v>#N/A</v>
      </c>
      <c r="BX43" s="156" t="e">
        <f t="shared" ca="1" si="38"/>
        <v>#N/A</v>
      </c>
      <c r="BY43" s="156" t="e">
        <f t="shared" ca="1" si="38"/>
        <v>#N/A</v>
      </c>
      <c r="BZ43" s="173" t="e">
        <f t="shared" ca="1" si="38"/>
        <v>#N/A</v>
      </c>
      <c r="CA43" s="181" t="e">
        <f t="shared" ca="1" si="38"/>
        <v>#N/A</v>
      </c>
      <c r="CB43" s="168" t="e">
        <f t="shared" ca="1" si="38"/>
        <v>#N/A</v>
      </c>
      <c r="CC43" s="168" t="e">
        <f t="shared" ca="1" si="38"/>
        <v>#N/A</v>
      </c>
      <c r="CD43" s="168" t="e">
        <f t="shared" ca="1" si="38"/>
        <v>#N/A</v>
      </c>
      <c r="CE43" s="180" t="e">
        <f t="shared" ca="1" si="38"/>
        <v>#N/A</v>
      </c>
      <c r="CF43" s="156" t="str">
        <f t="shared" ca="1" si="38"/>
        <v/>
      </c>
      <c r="CG43" s="181" t="e">
        <f t="shared" ca="1" si="38"/>
        <v>#N/A</v>
      </c>
      <c r="CH43" s="168" t="e">
        <f t="shared" ca="1" si="38"/>
        <v>#N/A</v>
      </c>
      <c r="CI43" s="168" t="e">
        <f t="shared" ca="1" si="38"/>
        <v>#N/A</v>
      </c>
      <c r="CJ43" s="168" t="e">
        <f t="shared" ca="1" si="38"/>
        <v>#N/A</v>
      </c>
      <c r="CK43" s="180" t="e">
        <f t="shared" ca="1" si="38"/>
        <v>#N/A</v>
      </c>
      <c r="CL43" s="156" t="str">
        <f t="shared" ca="1" si="38"/>
        <v/>
      </c>
      <c r="CM43" s="185" t="e">
        <f t="shared" ca="1" si="38"/>
        <v>#N/A</v>
      </c>
      <c r="CN43" s="138" t="e">
        <f t="shared" ca="1" si="38"/>
        <v>#N/A</v>
      </c>
      <c r="CO43" s="138" t="e">
        <f t="shared" ca="1" si="38"/>
        <v>#N/A</v>
      </c>
      <c r="CP43" s="138" t="e">
        <f t="shared" ca="1" si="38"/>
        <v>#N/A</v>
      </c>
      <c r="CQ43" s="183" t="e">
        <f t="shared" ca="1" si="38"/>
        <v>#N/A</v>
      </c>
      <c r="CR43" s="138" t="str">
        <f t="shared" ca="1" si="38"/>
        <v/>
      </c>
      <c r="CS43" s="184" t="e">
        <f t="shared" ca="1" si="38"/>
        <v>#N/A</v>
      </c>
      <c r="CT43" s="138" t="e">
        <f t="shared" ca="1" si="38"/>
        <v>#N/A</v>
      </c>
      <c r="CU43" s="138" t="e">
        <f t="shared" ref="CU43:DJ43" ca="1" si="39">IF(ISNA(CU$32),"",OFFSET($B107,0,CU$32-1))</f>
        <v>#N/A</v>
      </c>
      <c r="CV43" s="183" t="e">
        <f t="shared" ca="1" si="39"/>
        <v>#N/A</v>
      </c>
      <c r="CW43" s="138" t="str">
        <f t="shared" ca="1" si="39"/>
        <v/>
      </c>
      <c r="CX43" s="184" t="e">
        <f t="shared" ca="1" si="39"/>
        <v>#N/A</v>
      </c>
      <c r="CY43" s="183" t="e">
        <f t="shared" ca="1" si="39"/>
        <v>#N/A</v>
      </c>
      <c r="CZ43" s="138" t="str">
        <f t="shared" ca="1" si="39"/>
        <v/>
      </c>
      <c r="DA43" s="184" t="e">
        <f t="shared" ca="1" si="39"/>
        <v>#N/A</v>
      </c>
      <c r="DB43" s="138" t="e">
        <f t="shared" ca="1" si="39"/>
        <v>#N/A</v>
      </c>
      <c r="DC43" s="138" t="e">
        <f t="shared" ca="1" si="39"/>
        <v>#N/A</v>
      </c>
      <c r="DD43" s="138" t="e">
        <f t="shared" ca="1" si="39"/>
        <v>#N/A</v>
      </c>
      <c r="DE43" s="138" t="e">
        <f t="shared" ca="1" si="39"/>
        <v>#N/A</v>
      </c>
      <c r="DF43" s="138" t="e">
        <f t="shared" ca="1" si="39"/>
        <v>#N/A</v>
      </c>
      <c r="DG43" s="138" t="e">
        <f t="shared" ca="1" si="39"/>
        <v>#N/A</v>
      </c>
      <c r="DH43" s="138" t="e">
        <f t="shared" ca="1" si="39"/>
        <v>#N/A</v>
      </c>
      <c r="DI43" s="138" t="e">
        <f t="shared" ca="1" si="39"/>
        <v>#N/A</v>
      </c>
      <c r="DJ43" s="183" t="e">
        <f t="shared" ca="1" si="39"/>
        <v>#N/A</v>
      </c>
    </row>
    <row r="44" spans="2:115" x14ac:dyDescent="0.35">
      <c r="B44" t="s">
        <v>1032</v>
      </c>
      <c r="C44" s="190" t="e">
        <f t="shared" ref="C44:AH44" ca="1" si="40">IF(ISNA(C$32),"",OFFSET($B108,0,C$32-1))</f>
        <v>#N/A</v>
      </c>
      <c r="D44" s="156" t="e">
        <f t="shared" ca="1" si="40"/>
        <v>#N/A</v>
      </c>
      <c r="E44" s="156" t="e">
        <f t="shared" ca="1" si="40"/>
        <v>#N/A</v>
      </c>
      <c r="F44" s="180" t="e">
        <f t="shared" ca="1" si="40"/>
        <v>#N/A</v>
      </c>
      <c r="G44" s="160" t="e">
        <f t="shared" ca="1" si="40"/>
        <v>#N/A</v>
      </c>
      <c r="H44" s="156" t="e">
        <f t="shared" ca="1" si="40"/>
        <v>#N/A</v>
      </c>
      <c r="I44" s="156" t="e">
        <f t="shared" ca="1" si="40"/>
        <v>#N/A</v>
      </c>
      <c r="J44" s="173" t="e">
        <f t="shared" ca="1" si="40"/>
        <v>#N/A</v>
      </c>
      <c r="K44" s="160" t="e">
        <f t="shared" ca="1" si="40"/>
        <v>#N/A</v>
      </c>
      <c r="L44" s="156" t="e">
        <f t="shared" ca="1" si="40"/>
        <v>#N/A</v>
      </c>
      <c r="M44" s="156" t="e">
        <f t="shared" ca="1" si="40"/>
        <v>#N/A</v>
      </c>
      <c r="N44" s="173" t="e">
        <f t="shared" ca="1" si="40"/>
        <v>#N/A</v>
      </c>
      <c r="O44" s="160" t="e">
        <f t="shared" ca="1" si="40"/>
        <v>#N/A</v>
      </c>
      <c r="P44" s="156" t="e">
        <f t="shared" ca="1" si="40"/>
        <v>#N/A</v>
      </c>
      <c r="Q44" s="156" t="e">
        <f t="shared" ca="1" si="40"/>
        <v>#N/A</v>
      </c>
      <c r="R44" s="173" t="e">
        <f t="shared" ca="1" si="40"/>
        <v>#N/A</v>
      </c>
      <c r="S44" s="160" t="e">
        <f t="shared" ca="1" si="40"/>
        <v>#N/A</v>
      </c>
      <c r="T44" s="156" t="e">
        <f t="shared" ca="1" si="40"/>
        <v>#N/A</v>
      </c>
      <c r="U44" s="156" t="e">
        <f t="shared" ca="1" si="40"/>
        <v>#N/A</v>
      </c>
      <c r="V44" s="173" t="e">
        <f t="shared" ca="1" si="40"/>
        <v>#N/A</v>
      </c>
      <c r="W44" s="160" t="e">
        <f t="shared" ca="1" si="40"/>
        <v>#N/A</v>
      </c>
      <c r="X44" s="156" t="e">
        <f t="shared" ca="1" si="40"/>
        <v>#N/A</v>
      </c>
      <c r="Y44" s="156" t="e">
        <f t="shared" ca="1" si="40"/>
        <v>#N/A</v>
      </c>
      <c r="Z44" s="173" t="e">
        <f t="shared" ca="1" si="40"/>
        <v>#N/A</v>
      </c>
      <c r="AA44" s="181" t="e">
        <f t="shared" ca="1" si="40"/>
        <v>#N/A</v>
      </c>
      <c r="AB44" s="168" t="e">
        <f t="shared" ca="1" si="40"/>
        <v>#N/A</v>
      </c>
      <c r="AC44" s="168" t="e">
        <f t="shared" ca="1" si="40"/>
        <v>#N/A</v>
      </c>
      <c r="AD44" s="180" t="e">
        <f t="shared" ca="1" si="40"/>
        <v>#N/A</v>
      </c>
      <c r="AE44" s="156" t="str">
        <f t="shared" ca="1" si="40"/>
        <v/>
      </c>
      <c r="AF44" s="181" t="e">
        <f t="shared" ca="1" si="40"/>
        <v>#N/A</v>
      </c>
      <c r="AG44" s="180" t="e">
        <f t="shared" ca="1" si="40"/>
        <v>#N/A</v>
      </c>
      <c r="AH44" s="168" t="e">
        <f t="shared" ca="1" si="40"/>
        <v>#N/A</v>
      </c>
      <c r="AI44" s="168" t="e">
        <f t="shared" ref="AI44:BN44" ca="1" si="41">IF(ISNA(AI$32),"",OFFSET($B108,0,AI$32-1))</f>
        <v>#N/A</v>
      </c>
      <c r="AJ44" s="180" t="e">
        <f t="shared" ca="1" si="41"/>
        <v>#N/A</v>
      </c>
      <c r="AK44" s="156" t="str">
        <f t="shared" ca="1" si="41"/>
        <v/>
      </c>
      <c r="AL44" s="189" t="e">
        <f t="shared" ca="1" si="41"/>
        <v>#N/A</v>
      </c>
      <c r="AM44" s="188" t="e">
        <f t="shared" ca="1" si="41"/>
        <v>#N/A</v>
      </c>
      <c r="AN44" s="188" t="e">
        <f t="shared" ca="1" si="41"/>
        <v>#N/A</v>
      </c>
      <c r="AO44" s="188" t="e">
        <f t="shared" ca="1" si="41"/>
        <v>#N/A</v>
      </c>
      <c r="AP44" s="188" t="e">
        <f t="shared" ca="1" si="41"/>
        <v>#N/A</v>
      </c>
      <c r="AQ44" s="188" t="e">
        <f t="shared" ca="1" si="41"/>
        <v>#N/A</v>
      </c>
      <c r="AR44" s="188" t="e">
        <f t="shared" ca="1" si="41"/>
        <v>#N/A</v>
      </c>
      <c r="AS44" s="188" t="e">
        <f t="shared" ca="1" si="41"/>
        <v>#N/A</v>
      </c>
      <c r="AT44" s="187" t="e">
        <f t="shared" ca="1" si="41"/>
        <v>#N/A</v>
      </c>
      <c r="AU44" s="156" t="str">
        <f t="shared" ca="1" si="41"/>
        <v/>
      </c>
      <c r="AV44" s="160" t="e">
        <f t="shared" ca="1" si="41"/>
        <v>#N/A</v>
      </c>
      <c r="AW44" s="156" t="e">
        <f t="shared" ca="1" si="41"/>
        <v>#N/A</v>
      </c>
      <c r="AX44" s="156" t="e">
        <f t="shared" ca="1" si="41"/>
        <v>#N/A</v>
      </c>
      <c r="AY44" s="173" t="e">
        <f t="shared" ca="1" si="41"/>
        <v>#N/A</v>
      </c>
      <c r="AZ44" s="160" t="e">
        <f t="shared" ca="1" si="41"/>
        <v>#N/A</v>
      </c>
      <c r="BA44" s="156" t="e">
        <f t="shared" ca="1" si="41"/>
        <v>#N/A</v>
      </c>
      <c r="BB44" s="156" t="e">
        <f t="shared" ca="1" si="41"/>
        <v>#N/A</v>
      </c>
      <c r="BC44" s="156" t="e">
        <f t="shared" ca="1" si="41"/>
        <v>#N/A</v>
      </c>
      <c r="BD44" s="168" t="e">
        <f t="shared" ca="1" si="41"/>
        <v>#N/A</v>
      </c>
      <c r="BE44" s="160" t="e">
        <f t="shared" ca="1" si="41"/>
        <v>#N/A</v>
      </c>
      <c r="BF44" s="156" t="e">
        <f t="shared" ca="1" si="41"/>
        <v>#N/A</v>
      </c>
      <c r="BG44" s="156" t="e">
        <f t="shared" ca="1" si="41"/>
        <v>#N/A</v>
      </c>
      <c r="BH44" s="173" t="e">
        <f t="shared" ca="1" si="41"/>
        <v>#N/A</v>
      </c>
      <c r="BI44" s="160" t="e">
        <f t="shared" ca="1" si="41"/>
        <v>#N/A</v>
      </c>
      <c r="BJ44" s="156" t="e">
        <f t="shared" ca="1" si="41"/>
        <v>#N/A</v>
      </c>
      <c r="BK44" s="156" t="e">
        <f t="shared" ca="1" si="41"/>
        <v>#N/A</v>
      </c>
      <c r="BL44" s="173" t="e">
        <f t="shared" ca="1" si="41"/>
        <v>#N/A</v>
      </c>
      <c r="BM44" s="160" t="e">
        <f t="shared" ca="1" si="41"/>
        <v>#N/A</v>
      </c>
      <c r="BN44" s="156" t="e">
        <f t="shared" ca="1" si="41"/>
        <v>#N/A</v>
      </c>
      <c r="BO44" s="156" t="e">
        <f t="shared" ref="BO44:CT44" ca="1" si="42">IF(ISNA(BO$32),"",OFFSET($B108,0,BO$32-1))</f>
        <v>#N/A</v>
      </c>
      <c r="BP44" s="173" t="e">
        <f t="shared" ca="1" si="42"/>
        <v>#N/A</v>
      </c>
      <c r="BQ44" s="186" t="e">
        <f t="shared" ca="1" si="42"/>
        <v>#N/A</v>
      </c>
      <c r="BR44" s="160" t="e">
        <f t="shared" ca="1" si="42"/>
        <v>#N/A</v>
      </c>
      <c r="BS44" s="156" t="e">
        <f t="shared" ca="1" si="42"/>
        <v>#N/A</v>
      </c>
      <c r="BT44" s="156" t="e">
        <f t="shared" ca="1" si="42"/>
        <v>#N/A</v>
      </c>
      <c r="BU44" s="173" t="e">
        <f t="shared" ca="1" si="42"/>
        <v>#N/A</v>
      </c>
      <c r="BV44" s="160" t="e">
        <f t="shared" ca="1" si="42"/>
        <v>#N/A</v>
      </c>
      <c r="BW44" s="156" t="e">
        <f t="shared" ca="1" si="42"/>
        <v>#N/A</v>
      </c>
      <c r="BX44" s="156" t="e">
        <f t="shared" ca="1" si="42"/>
        <v>#N/A</v>
      </c>
      <c r="BY44" s="156" t="e">
        <f t="shared" ca="1" si="42"/>
        <v>#N/A</v>
      </c>
      <c r="BZ44" s="173" t="e">
        <f t="shared" ca="1" si="42"/>
        <v>#N/A</v>
      </c>
      <c r="CA44" s="181" t="e">
        <f t="shared" ca="1" si="42"/>
        <v>#N/A</v>
      </c>
      <c r="CB44" s="168" t="e">
        <f t="shared" ca="1" si="42"/>
        <v>#N/A</v>
      </c>
      <c r="CC44" s="168" t="e">
        <f t="shared" ca="1" si="42"/>
        <v>#N/A</v>
      </c>
      <c r="CD44" s="168" t="e">
        <f t="shared" ca="1" si="42"/>
        <v>#N/A</v>
      </c>
      <c r="CE44" s="180" t="e">
        <f t="shared" ca="1" si="42"/>
        <v>#N/A</v>
      </c>
      <c r="CF44" s="156" t="str">
        <f t="shared" ca="1" si="42"/>
        <v/>
      </c>
      <c r="CG44" s="181" t="e">
        <f t="shared" ca="1" si="42"/>
        <v>#N/A</v>
      </c>
      <c r="CH44" s="168" t="e">
        <f t="shared" ca="1" si="42"/>
        <v>#N/A</v>
      </c>
      <c r="CI44" s="168" t="e">
        <f t="shared" ca="1" si="42"/>
        <v>#N/A</v>
      </c>
      <c r="CJ44" s="168" t="e">
        <f t="shared" ca="1" si="42"/>
        <v>#N/A</v>
      </c>
      <c r="CK44" s="180" t="e">
        <f t="shared" ca="1" si="42"/>
        <v>#N/A</v>
      </c>
      <c r="CL44" s="156" t="str">
        <f t="shared" ca="1" si="42"/>
        <v/>
      </c>
      <c r="CM44" s="185" t="e">
        <f t="shared" ca="1" si="42"/>
        <v>#N/A</v>
      </c>
      <c r="CN44" s="138" t="e">
        <f t="shared" ca="1" si="42"/>
        <v>#N/A</v>
      </c>
      <c r="CO44" s="138" t="e">
        <f t="shared" ca="1" si="42"/>
        <v>#N/A</v>
      </c>
      <c r="CP44" s="138" t="e">
        <f t="shared" ca="1" si="42"/>
        <v>#N/A</v>
      </c>
      <c r="CQ44" s="183" t="e">
        <f t="shared" ca="1" si="42"/>
        <v>#N/A</v>
      </c>
      <c r="CR44" s="138" t="str">
        <f t="shared" ca="1" si="42"/>
        <v/>
      </c>
      <c r="CS44" s="184" t="e">
        <f t="shared" ca="1" si="42"/>
        <v>#N/A</v>
      </c>
      <c r="CT44" s="138" t="e">
        <f t="shared" ca="1" si="42"/>
        <v>#N/A</v>
      </c>
      <c r="CU44" s="138" t="e">
        <f t="shared" ref="CU44:DJ44" ca="1" si="43">IF(ISNA(CU$32),"",OFFSET($B108,0,CU$32-1))</f>
        <v>#N/A</v>
      </c>
      <c r="CV44" s="183" t="e">
        <f t="shared" ca="1" si="43"/>
        <v>#N/A</v>
      </c>
      <c r="CW44" s="138" t="str">
        <f t="shared" ca="1" si="43"/>
        <v/>
      </c>
      <c r="CX44" s="184" t="e">
        <f t="shared" ca="1" si="43"/>
        <v>#N/A</v>
      </c>
      <c r="CY44" s="183" t="e">
        <f t="shared" ca="1" si="43"/>
        <v>#N/A</v>
      </c>
      <c r="CZ44" s="138" t="str">
        <f t="shared" ca="1" si="43"/>
        <v/>
      </c>
      <c r="DA44" s="184" t="e">
        <f t="shared" ca="1" si="43"/>
        <v>#N/A</v>
      </c>
      <c r="DB44" s="138" t="e">
        <f t="shared" ca="1" si="43"/>
        <v>#N/A</v>
      </c>
      <c r="DC44" s="138" t="e">
        <f t="shared" ca="1" si="43"/>
        <v>#N/A</v>
      </c>
      <c r="DD44" s="138" t="e">
        <f t="shared" ca="1" si="43"/>
        <v>#N/A</v>
      </c>
      <c r="DE44" s="138" t="e">
        <f t="shared" ca="1" si="43"/>
        <v>#N/A</v>
      </c>
      <c r="DF44" s="138" t="e">
        <f t="shared" ca="1" si="43"/>
        <v>#N/A</v>
      </c>
      <c r="DG44" s="138" t="e">
        <f t="shared" ca="1" si="43"/>
        <v>#N/A</v>
      </c>
      <c r="DH44" s="138" t="e">
        <f t="shared" ca="1" si="43"/>
        <v>#N/A</v>
      </c>
      <c r="DI44" s="138" t="e">
        <f t="shared" ca="1" si="43"/>
        <v>#N/A</v>
      </c>
      <c r="DJ44" s="183" t="e">
        <f t="shared" ca="1" si="43"/>
        <v>#N/A</v>
      </c>
    </row>
    <row r="45" spans="2:115" x14ac:dyDescent="0.35">
      <c r="B45" t="s">
        <v>1033</v>
      </c>
      <c r="C45" s="190" t="e">
        <f t="shared" ref="C45:AH45" ca="1" si="44">IF(ISNA(C$32),"",OFFSET($B109,0,C$32-1))</f>
        <v>#N/A</v>
      </c>
      <c r="D45" s="156" t="e">
        <f t="shared" ca="1" si="44"/>
        <v>#N/A</v>
      </c>
      <c r="E45" s="156" t="e">
        <f t="shared" ca="1" si="44"/>
        <v>#N/A</v>
      </c>
      <c r="F45" s="180" t="e">
        <f t="shared" ca="1" si="44"/>
        <v>#N/A</v>
      </c>
      <c r="G45" s="160" t="e">
        <f t="shared" ca="1" si="44"/>
        <v>#N/A</v>
      </c>
      <c r="H45" s="156" t="e">
        <f t="shared" ca="1" si="44"/>
        <v>#N/A</v>
      </c>
      <c r="I45" s="156" t="e">
        <f t="shared" ca="1" si="44"/>
        <v>#N/A</v>
      </c>
      <c r="J45" s="173" t="e">
        <f t="shared" ca="1" si="44"/>
        <v>#N/A</v>
      </c>
      <c r="K45" s="160" t="e">
        <f t="shared" ca="1" si="44"/>
        <v>#N/A</v>
      </c>
      <c r="L45" s="156" t="e">
        <f t="shared" ca="1" si="44"/>
        <v>#N/A</v>
      </c>
      <c r="M45" s="156" t="e">
        <f t="shared" ca="1" si="44"/>
        <v>#N/A</v>
      </c>
      <c r="N45" s="173" t="e">
        <f t="shared" ca="1" si="44"/>
        <v>#N/A</v>
      </c>
      <c r="O45" s="160" t="e">
        <f t="shared" ca="1" si="44"/>
        <v>#N/A</v>
      </c>
      <c r="P45" s="156" t="e">
        <f t="shared" ca="1" si="44"/>
        <v>#N/A</v>
      </c>
      <c r="Q45" s="156" t="e">
        <f t="shared" ca="1" si="44"/>
        <v>#N/A</v>
      </c>
      <c r="R45" s="173" t="e">
        <f t="shared" ca="1" si="44"/>
        <v>#N/A</v>
      </c>
      <c r="S45" s="160" t="e">
        <f t="shared" ca="1" si="44"/>
        <v>#N/A</v>
      </c>
      <c r="T45" s="156" t="e">
        <f t="shared" ca="1" si="44"/>
        <v>#N/A</v>
      </c>
      <c r="U45" s="156" t="e">
        <f t="shared" ca="1" si="44"/>
        <v>#N/A</v>
      </c>
      <c r="V45" s="173" t="e">
        <f t="shared" ca="1" si="44"/>
        <v>#N/A</v>
      </c>
      <c r="W45" s="160" t="e">
        <f t="shared" ca="1" si="44"/>
        <v>#N/A</v>
      </c>
      <c r="X45" s="156" t="e">
        <f t="shared" ca="1" si="44"/>
        <v>#N/A</v>
      </c>
      <c r="Y45" s="156" t="e">
        <f t="shared" ca="1" si="44"/>
        <v>#N/A</v>
      </c>
      <c r="Z45" s="173" t="e">
        <f t="shared" ca="1" si="44"/>
        <v>#N/A</v>
      </c>
      <c r="AA45" s="181" t="e">
        <f t="shared" ca="1" si="44"/>
        <v>#N/A</v>
      </c>
      <c r="AB45" s="168" t="e">
        <f t="shared" ca="1" si="44"/>
        <v>#N/A</v>
      </c>
      <c r="AC45" s="168" t="e">
        <f t="shared" ca="1" si="44"/>
        <v>#N/A</v>
      </c>
      <c r="AD45" s="180" t="e">
        <f t="shared" ca="1" si="44"/>
        <v>#N/A</v>
      </c>
      <c r="AE45" s="156" t="str">
        <f t="shared" ca="1" si="44"/>
        <v/>
      </c>
      <c r="AF45" s="181" t="e">
        <f t="shared" ca="1" si="44"/>
        <v>#N/A</v>
      </c>
      <c r="AG45" s="180" t="e">
        <f t="shared" ca="1" si="44"/>
        <v>#N/A</v>
      </c>
      <c r="AH45" s="168" t="e">
        <f t="shared" ca="1" si="44"/>
        <v>#N/A</v>
      </c>
      <c r="AI45" s="168" t="e">
        <f t="shared" ref="AI45:BN45" ca="1" si="45">IF(ISNA(AI$32),"",OFFSET($B109,0,AI$32-1))</f>
        <v>#N/A</v>
      </c>
      <c r="AJ45" s="180" t="e">
        <f t="shared" ca="1" si="45"/>
        <v>#N/A</v>
      </c>
      <c r="AK45" s="156" t="str">
        <f t="shared" ca="1" si="45"/>
        <v/>
      </c>
      <c r="AL45" s="189" t="e">
        <f t="shared" ca="1" si="45"/>
        <v>#N/A</v>
      </c>
      <c r="AM45" s="188" t="e">
        <f t="shared" ca="1" si="45"/>
        <v>#N/A</v>
      </c>
      <c r="AN45" s="188" t="e">
        <f t="shared" ca="1" si="45"/>
        <v>#N/A</v>
      </c>
      <c r="AO45" s="188" t="e">
        <f t="shared" ca="1" si="45"/>
        <v>#N/A</v>
      </c>
      <c r="AP45" s="188" t="e">
        <f t="shared" ca="1" si="45"/>
        <v>#N/A</v>
      </c>
      <c r="AQ45" s="188" t="e">
        <f t="shared" ca="1" si="45"/>
        <v>#N/A</v>
      </c>
      <c r="AR45" s="188" t="e">
        <f t="shared" ca="1" si="45"/>
        <v>#N/A</v>
      </c>
      <c r="AS45" s="188" t="e">
        <f t="shared" ca="1" si="45"/>
        <v>#N/A</v>
      </c>
      <c r="AT45" s="187" t="e">
        <f t="shared" ca="1" si="45"/>
        <v>#N/A</v>
      </c>
      <c r="AU45" s="156" t="str">
        <f t="shared" ca="1" si="45"/>
        <v/>
      </c>
      <c r="AV45" s="160" t="e">
        <f t="shared" ca="1" si="45"/>
        <v>#N/A</v>
      </c>
      <c r="AW45" s="156" t="e">
        <f t="shared" ca="1" si="45"/>
        <v>#N/A</v>
      </c>
      <c r="AX45" s="156" t="e">
        <f t="shared" ca="1" si="45"/>
        <v>#N/A</v>
      </c>
      <c r="AY45" s="173" t="e">
        <f t="shared" ca="1" si="45"/>
        <v>#N/A</v>
      </c>
      <c r="AZ45" s="160" t="e">
        <f t="shared" ca="1" si="45"/>
        <v>#N/A</v>
      </c>
      <c r="BA45" s="156" t="e">
        <f t="shared" ca="1" si="45"/>
        <v>#N/A</v>
      </c>
      <c r="BB45" s="156" t="e">
        <f t="shared" ca="1" si="45"/>
        <v>#N/A</v>
      </c>
      <c r="BC45" s="156" t="e">
        <f t="shared" ca="1" si="45"/>
        <v>#N/A</v>
      </c>
      <c r="BD45" s="168" t="e">
        <f t="shared" ca="1" si="45"/>
        <v>#N/A</v>
      </c>
      <c r="BE45" s="160" t="e">
        <f t="shared" ca="1" si="45"/>
        <v>#N/A</v>
      </c>
      <c r="BF45" s="156" t="e">
        <f t="shared" ca="1" si="45"/>
        <v>#N/A</v>
      </c>
      <c r="BG45" s="156" t="e">
        <f t="shared" ca="1" si="45"/>
        <v>#N/A</v>
      </c>
      <c r="BH45" s="173" t="e">
        <f t="shared" ca="1" si="45"/>
        <v>#N/A</v>
      </c>
      <c r="BI45" s="160" t="e">
        <f t="shared" ca="1" si="45"/>
        <v>#N/A</v>
      </c>
      <c r="BJ45" s="156" t="e">
        <f t="shared" ca="1" si="45"/>
        <v>#N/A</v>
      </c>
      <c r="BK45" s="156" t="e">
        <f t="shared" ca="1" si="45"/>
        <v>#N/A</v>
      </c>
      <c r="BL45" s="173" t="e">
        <f t="shared" ca="1" si="45"/>
        <v>#N/A</v>
      </c>
      <c r="BM45" s="160" t="e">
        <f t="shared" ca="1" si="45"/>
        <v>#N/A</v>
      </c>
      <c r="BN45" s="156" t="e">
        <f t="shared" ca="1" si="45"/>
        <v>#N/A</v>
      </c>
      <c r="BO45" s="156" t="e">
        <f t="shared" ref="BO45:CT45" ca="1" si="46">IF(ISNA(BO$32),"",OFFSET($B109,0,BO$32-1))</f>
        <v>#N/A</v>
      </c>
      <c r="BP45" s="173" t="e">
        <f t="shared" ca="1" si="46"/>
        <v>#N/A</v>
      </c>
      <c r="BQ45" s="186" t="e">
        <f t="shared" ca="1" si="46"/>
        <v>#N/A</v>
      </c>
      <c r="BR45" s="160" t="e">
        <f t="shared" ca="1" si="46"/>
        <v>#N/A</v>
      </c>
      <c r="BS45" s="156" t="e">
        <f t="shared" ca="1" si="46"/>
        <v>#N/A</v>
      </c>
      <c r="BT45" s="156" t="e">
        <f t="shared" ca="1" si="46"/>
        <v>#N/A</v>
      </c>
      <c r="BU45" s="173" t="e">
        <f t="shared" ca="1" si="46"/>
        <v>#N/A</v>
      </c>
      <c r="BV45" s="160" t="e">
        <f t="shared" ca="1" si="46"/>
        <v>#N/A</v>
      </c>
      <c r="BW45" s="156" t="e">
        <f t="shared" ca="1" si="46"/>
        <v>#N/A</v>
      </c>
      <c r="BX45" s="156" t="e">
        <f t="shared" ca="1" si="46"/>
        <v>#N/A</v>
      </c>
      <c r="BY45" s="156" t="e">
        <f t="shared" ca="1" si="46"/>
        <v>#N/A</v>
      </c>
      <c r="BZ45" s="173" t="e">
        <f t="shared" ca="1" si="46"/>
        <v>#N/A</v>
      </c>
      <c r="CA45" s="181" t="e">
        <f t="shared" ca="1" si="46"/>
        <v>#N/A</v>
      </c>
      <c r="CB45" s="168" t="e">
        <f t="shared" ca="1" si="46"/>
        <v>#N/A</v>
      </c>
      <c r="CC45" s="168" t="e">
        <f t="shared" ca="1" si="46"/>
        <v>#N/A</v>
      </c>
      <c r="CD45" s="168" t="e">
        <f t="shared" ca="1" si="46"/>
        <v>#N/A</v>
      </c>
      <c r="CE45" s="180" t="e">
        <f t="shared" ca="1" si="46"/>
        <v>#N/A</v>
      </c>
      <c r="CF45" s="156" t="str">
        <f t="shared" ca="1" si="46"/>
        <v/>
      </c>
      <c r="CG45" s="181" t="e">
        <f t="shared" ca="1" si="46"/>
        <v>#N/A</v>
      </c>
      <c r="CH45" s="168" t="e">
        <f t="shared" ca="1" si="46"/>
        <v>#N/A</v>
      </c>
      <c r="CI45" s="168" t="e">
        <f t="shared" ca="1" si="46"/>
        <v>#N/A</v>
      </c>
      <c r="CJ45" s="168" t="e">
        <f t="shared" ca="1" si="46"/>
        <v>#N/A</v>
      </c>
      <c r="CK45" s="180" t="e">
        <f t="shared" ca="1" si="46"/>
        <v>#N/A</v>
      </c>
      <c r="CL45" s="156" t="str">
        <f t="shared" ca="1" si="46"/>
        <v/>
      </c>
      <c r="CM45" s="185" t="e">
        <f t="shared" ca="1" si="46"/>
        <v>#N/A</v>
      </c>
      <c r="CN45" s="138" t="e">
        <f t="shared" ca="1" si="46"/>
        <v>#N/A</v>
      </c>
      <c r="CO45" s="138" t="e">
        <f t="shared" ca="1" si="46"/>
        <v>#N/A</v>
      </c>
      <c r="CP45" s="138" t="e">
        <f t="shared" ca="1" si="46"/>
        <v>#N/A</v>
      </c>
      <c r="CQ45" s="183" t="e">
        <f t="shared" ca="1" si="46"/>
        <v>#N/A</v>
      </c>
      <c r="CR45" s="138" t="str">
        <f t="shared" ca="1" si="46"/>
        <v/>
      </c>
      <c r="CS45" s="184" t="e">
        <f t="shared" ca="1" si="46"/>
        <v>#N/A</v>
      </c>
      <c r="CT45" s="138" t="e">
        <f t="shared" ca="1" si="46"/>
        <v>#N/A</v>
      </c>
      <c r="CU45" s="138" t="e">
        <f t="shared" ref="CU45:DJ45" ca="1" si="47">IF(ISNA(CU$32),"",OFFSET($B109,0,CU$32-1))</f>
        <v>#N/A</v>
      </c>
      <c r="CV45" s="183" t="e">
        <f t="shared" ca="1" si="47"/>
        <v>#N/A</v>
      </c>
      <c r="CW45" s="138" t="str">
        <f t="shared" ca="1" si="47"/>
        <v/>
      </c>
      <c r="CX45" s="184" t="e">
        <f t="shared" ca="1" si="47"/>
        <v>#N/A</v>
      </c>
      <c r="CY45" s="183" t="e">
        <f t="shared" ca="1" si="47"/>
        <v>#N/A</v>
      </c>
      <c r="CZ45" s="138" t="str">
        <f t="shared" ca="1" si="47"/>
        <v/>
      </c>
      <c r="DA45" s="184" t="e">
        <f t="shared" ca="1" si="47"/>
        <v>#N/A</v>
      </c>
      <c r="DB45" s="138" t="e">
        <f t="shared" ca="1" si="47"/>
        <v>#N/A</v>
      </c>
      <c r="DC45" s="138" t="e">
        <f t="shared" ca="1" si="47"/>
        <v>#N/A</v>
      </c>
      <c r="DD45" s="138" t="e">
        <f t="shared" ca="1" si="47"/>
        <v>#N/A</v>
      </c>
      <c r="DE45" s="138" t="e">
        <f t="shared" ca="1" si="47"/>
        <v>#N/A</v>
      </c>
      <c r="DF45" s="138" t="e">
        <f t="shared" ca="1" si="47"/>
        <v>#N/A</v>
      </c>
      <c r="DG45" s="138" t="e">
        <f t="shared" ca="1" si="47"/>
        <v>#N/A</v>
      </c>
      <c r="DH45" s="138" t="e">
        <f t="shared" ca="1" si="47"/>
        <v>#N/A</v>
      </c>
      <c r="DI45" s="138" t="e">
        <f t="shared" ca="1" si="47"/>
        <v>#N/A</v>
      </c>
      <c r="DJ45" s="183" t="e">
        <f t="shared" ca="1" si="47"/>
        <v>#N/A</v>
      </c>
    </row>
    <row r="46" spans="2:115" x14ac:dyDescent="0.35">
      <c r="B46" t="s">
        <v>1034</v>
      </c>
      <c r="C46" s="190" t="e">
        <f t="shared" ref="C46:AH46" ca="1" si="48">IF(ISNA(C$32),"",OFFSET($B110,0,C$32-1))</f>
        <v>#N/A</v>
      </c>
      <c r="D46" s="156" t="e">
        <f t="shared" ca="1" si="48"/>
        <v>#N/A</v>
      </c>
      <c r="E46" s="156" t="e">
        <f t="shared" ca="1" si="48"/>
        <v>#N/A</v>
      </c>
      <c r="F46" s="180" t="e">
        <f t="shared" ca="1" si="48"/>
        <v>#N/A</v>
      </c>
      <c r="G46" s="160" t="e">
        <f t="shared" ca="1" si="48"/>
        <v>#N/A</v>
      </c>
      <c r="H46" s="156" t="e">
        <f t="shared" ca="1" si="48"/>
        <v>#N/A</v>
      </c>
      <c r="I46" s="156" t="e">
        <f t="shared" ca="1" si="48"/>
        <v>#N/A</v>
      </c>
      <c r="J46" s="173" t="e">
        <f t="shared" ca="1" si="48"/>
        <v>#N/A</v>
      </c>
      <c r="K46" s="160" t="e">
        <f t="shared" ca="1" si="48"/>
        <v>#N/A</v>
      </c>
      <c r="L46" s="156" t="e">
        <f t="shared" ca="1" si="48"/>
        <v>#N/A</v>
      </c>
      <c r="M46" s="156" t="e">
        <f t="shared" ca="1" si="48"/>
        <v>#N/A</v>
      </c>
      <c r="N46" s="173" t="e">
        <f t="shared" ca="1" si="48"/>
        <v>#N/A</v>
      </c>
      <c r="O46" s="160" t="e">
        <f t="shared" ca="1" si="48"/>
        <v>#N/A</v>
      </c>
      <c r="P46" s="156" t="e">
        <f t="shared" ca="1" si="48"/>
        <v>#N/A</v>
      </c>
      <c r="Q46" s="156" t="e">
        <f t="shared" ca="1" si="48"/>
        <v>#N/A</v>
      </c>
      <c r="R46" s="173" t="e">
        <f t="shared" ca="1" si="48"/>
        <v>#N/A</v>
      </c>
      <c r="S46" s="160" t="e">
        <f t="shared" ca="1" si="48"/>
        <v>#N/A</v>
      </c>
      <c r="T46" s="156" t="e">
        <f t="shared" ca="1" si="48"/>
        <v>#N/A</v>
      </c>
      <c r="U46" s="156" t="e">
        <f t="shared" ca="1" si="48"/>
        <v>#N/A</v>
      </c>
      <c r="V46" s="173" t="e">
        <f t="shared" ca="1" si="48"/>
        <v>#N/A</v>
      </c>
      <c r="W46" s="160" t="e">
        <f t="shared" ca="1" si="48"/>
        <v>#N/A</v>
      </c>
      <c r="X46" s="156" t="e">
        <f t="shared" ca="1" si="48"/>
        <v>#N/A</v>
      </c>
      <c r="Y46" s="156" t="e">
        <f t="shared" ca="1" si="48"/>
        <v>#N/A</v>
      </c>
      <c r="Z46" s="173" t="e">
        <f t="shared" ca="1" si="48"/>
        <v>#N/A</v>
      </c>
      <c r="AA46" s="181" t="e">
        <f t="shared" ca="1" si="48"/>
        <v>#N/A</v>
      </c>
      <c r="AB46" s="168" t="e">
        <f t="shared" ca="1" si="48"/>
        <v>#N/A</v>
      </c>
      <c r="AC46" s="168" t="e">
        <f t="shared" ca="1" si="48"/>
        <v>#N/A</v>
      </c>
      <c r="AD46" s="180" t="e">
        <f t="shared" ca="1" si="48"/>
        <v>#N/A</v>
      </c>
      <c r="AE46" s="156" t="str">
        <f t="shared" ca="1" si="48"/>
        <v/>
      </c>
      <c r="AF46" s="181" t="e">
        <f t="shared" ca="1" si="48"/>
        <v>#N/A</v>
      </c>
      <c r="AG46" s="180" t="e">
        <f t="shared" ca="1" si="48"/>
        <v>#N/A</v>
      </c>
      <c r="AH46" s="168" t="e">
        <f t="shared" ca="1" si="48"/>
        <v>#N/A</v>
      </c>
      <c r="AI46" s="168" t="e">
        <f t="shared" ref="AI46:BN46" ca="1" si="49">IF(ISNA(AI$32),"",OFFSET($B110,0,AI$32-1))</f>
        <v>#N/A</v>
      </c>
      <c r="AJ46" s="180" t="e">
        <f t="shared" ca="1" si="49"/>
        <v>#N/A</v>
      </c>
      <c r="AK46" s="156" t="str">
        <f t="shared" ca="1" si="49"/>
        <v/>
      </c>
      <c r="AL46" s="189" t="e">
        <f t="shared" ca="1" si="49"/>
        <v>#N/A</v>
      </c>
      <c r="AM46" s="188" t="e">
        <f t="shared" ca="1" si="49"/>
        <v>#N/A</v>
      </c>
      <c r="AN46" s="188" t="e">
        <f t="shared" ca="1" si="49"/>
        <v>#N/A</v>
      </c>
      <c r="AO46" s="188" t="e">
        <f t="shared" ca="1" si="49"/>
        <v>#N/A</v>
      </c>
      <c r="AP46" s="188" t="e">
        <f t="shared" ca="1" si="49"/>
        <v>#N/A</v>
      </c>
      <c r="AQ46" s="188" t="e">
        <f t="shared" ca="1" si="49"/>
        <v>#N/A</v>
      </c>
      <c r="AR46" s="188" t="e">
        <f t="shared" ca="1" si="49"/>
        <v>#N/A</v>
      </c>
      <c r="AS46" s="188" t="e">
        <f t="shared" ca="1" si="49"/>
        <v>#N/A</v>
      </c>
      <c r="AT46" s="187" t="e">
        <f t="shared" ca="1" si="49"/>
        <v>#N/A</v>
      </c>
      <c r="AU46" s="156" t="str">
        <f t="shared" ca="1" si="49"/>
        <v/>
      </c>
      <c r="AV46" s="160" t="e">
        <f t="shared" ca="1" si="49"/>
        <v>#N/A</v>
      </c>
      <c r="AW46" s="156" t="e">
        <f t="shared" ca="1" si="49"/>
        <v>#N/A</v>
      </c>
      <c r="AX46" s="156" t="e">
        <f t="shared" ca="1" si="49"/>
        <v>#N/A</v>
      </c>
      <c r="AY46" s="173" t="e">
        <f t="shared" ca="1" si="49"/>
        <v>#N/A</v>
      </c>
      <c r="AZ46" s="160" t="e">
        <f t="shared" ca="1" si="49"/>
        <v>#N/A</v>
      </c>
      <c r="BA46" s="156" t="e">
        <f t="shared" ca="1" si="49"/>
        <v>#N/A</v>
      </c>
      <c r="BB46" s="156" t="e">
        <f t="shared" ca="1" si="49"/>
        <v>#N/A</v>
      </c>
      <c r="BC46" s="156" t="e">
        <f t="shared" ca="1" si="49"/>
        <v>#N/A</v>
      </c>
      <c r="BD46" s="168" t="e">
        <f t="shared" ca="1" si="49"/>
        <v>#N/A</v>
      </c>
      <c r="BE46" s="160" t="e">
        <f t="shared" ca="1" si="49"/>
        <v>#N/A</v>
      </c>
      <c r="BF46" s="156" t="e">
        <f t="shared" ca="1" si="49"/>
        <v>#N/A</v>
      </c>
      <c r="BG46" s="156" t="e">
        <f t="shared" ca="1" si="49"/>
        <v>#N/A</v>
      </c>
      <c r="BH46" s="173" t="e">
        <f t="shared" ca="1" si="49"/>
        <v>#N/A</v>
      </c>
      <c r="BI46" s="160" t="e">
        <f t="shared" ca="1" si="49"/>
        <v>#N/A</v>
      </c>
      <c r="BJ46" s="156" t="e">
        <f t="shared" ca="1" si="49"/>
        <v>#N/A</v>
      </c>
      <c r="BK46" s="156" t="e">
        <f t="shared" ca="1" si="49"/>
        <v>#N/A</v>
      </c>
      <c r="BL46" s="173" t="e">
        <f t="shared" ca="1" si="49"/>
        <v>#N/A</v>
      </c>
      <c r="BM46" s="160" t="e">
        <f t="shared" ca="1" si="49"/>
        <v>#N/A</v>
      </c>
      <c r="BN46" s="156" t="e">
        <f t="shared" ca="1" si="49"/>
        <v>#N/A</v>
      </c>
      <c r="BO46" s="156" t="e">
        <f t="shared" ref="BO46:CT46" ca="1" si="50">IF(ISNA(BO$32),"",OFFSET($B110,0,BO$32-1))</f>
        <v>#N/A</v>
      </c>
      <c r="BP46" s="173" t="e">
        <f t="shared" ca="1" si="50"/>
        <v>#N/A</v>
      </c>
      <c r="BQ46" s="186" t="e">
        <f t="shared" ca="1" si="50"/>
        <v>#N/A</v>
      </c>
      <c r="BR46" s="160" t="e">
        <f t="shared" ca="1" si="50"/>
        <v>#N/A</v>
      </c>
      <c r="BS46" s="156" t="e">
        <f t="shared" ca="1" si="50"/>
        <v>#N/A</v>
      </c>
      <c r="BT46" s="156" t="e">
        <f t="shared" ca="1" si="50"/>
        <v>#N/A</v>
      </c>
      <c r="BU46" s="173" t="e">
        <f t="shared" ca="1" si="50"/>
        <v>#N/A</v>
      </c>
      <c r="BV46" s="160" t="e">
        <f t="shared" ca="1" si="50"/>
        <v>#N/A</v>
      </c>
      <c r="BW46" s="156" t="e">
        <f t="shared" ca="1" si="50"/>
        <v>#N/A</v>
      </c>
      <c r="BX46" s="156" t="e">
        <f t="shared" ca="1" si="50"/>
        <v>#N/A</v>
      </c>
      <c r="BY46" s="156" t="e">
        <f t="shared" ca="1" si="50"/>
        <v>#N/A</v>
      </c>
      <c r="BZ46" s="173" t="e">
        <f t="shared" ca="1" si="50"/>
        <v>#N/A</v>
      </c>
      <c r="CA46" s="181" t="e">
        <f t="shared" ca="1" si="50"/>
        <v>#N/A</v>
      </c>
      <c r="CB46" s="168" t="e">
        <f t="shared" ca="1" si="50"/>
        <v>#N/A</v>
      </c>
      <c r="CC46" s="168" t="e">
        <f t="shared" ca="1" si="50"/>
        <v>#N/A</v>
      </c>
      <c r="CD46" s="168" t="e">
        <f t="shared" ca="1" si="50"/>
        <v>#N/A</v>
      </c>
      <c r="CE46" s="180" t="e">
        <f t="shared" ca="1" si="50"/>
        <v>#N/A</v>
      </c>
      <c r="CF46" s="156" t="str">
        <f t="shared" ca="1" si="50"/>
        <v/>
      </c>
      <c r="CG46" s="181" t="e">
        <f t="shared" ca="1" si="50"/>
        <v>#N/A</v>
      </c>
      <c r="CH46" s="168" t="e">
        <f t="shared" ca="1" si="50"/>
        <v>#N/A</v>
      </c>
      <c r="CI46" s="168" t="e">
        <f t="shared" ca="1" si="50"/>
        <v>#N/A</v>
      </c>
      <c r="CJ46" s="168" t="e">
        <f t="shared" ca="1" si="50"/>
        <v>#N/A</v>
      </c>
      <c r="CK46" s="180" t="e">
        <f t="shared" ca="1" si="50"/>
        <v>#N/A</v>
      </c>
      <c r="CL46" s="156" t="str">
        <f t="shared" ca="1" si="50"/>
        <v/>
      </c>
      <c r="CM46" s="185" t="e">
        <f t="shared" ca="1" si="50"/>
        <v>#N/A</v>
      </c>
      <c r="CN46" s="138" t="e">
        <f t="shared" ca="1" si="50"/>
        <v>#N/A</v>
      </c>
      <c r="CO46" s="138" t="e">
        <f t="shared" ca="1" si="50"/>
        <v>#N/A</v>
      </c>
      <c r="CP46" s="138" t="e">
        <f t="shared" ca="1" si="50"/>
        <v>#N/A</v>
      </c>
      <c r="CQ46" s="183" t="e">
        <f t="shared" ca="1" si="50"/>
        <v>#N/A</v>
      </c>
      <c r="CR46" s="138" t="str">
        <f t="shared" ca="1" si="50"/>
        <v/>
      </c>
      <c r="CS46" s="184" t="e">
        <f t="shared" ca="1" si="50"/>
        <v>#N/A</v>
      </c>
      <c r="CT46" s="138" t="e">
        <f t="shared" ca="1" si="50"/>
        <v>#N/A</v>
      </c>
      <c r="CU46" s="138" t="e">
        <f t="shared" ref="CU46:DJ46" ca="1" si="51">IF(ISNA(CU$32),"",OFFSET($B110,0,CU$32-1))</f>
        <v>#N/A</v>
      </c>
      <c r="CV46" s="183" t="e">
        <f t="shared" ca="1" si="51"/>
        <v>#N/A</v>
      </c>
      <c r="CW46" s="138" t="str">
        <f t="shared" ca="1" si="51"/>
        <v/>
      </c>
      <c r="CX46" s="184" t="e">
        <f t="shared" ca="1" si="51"/>
        <v>#N/A</v>
      </c>
      <c r="CY46" s="183" t="e">
        <f t="shared" ca="1" si="51"/>
        <v>#N/A</v>
      </c>
      <c r="CZ46" s="138" t="str">
        <f t="shared" ca="1" si="51"/>
        <v/>
      </c>
      <c r="DA46" s="184" t="e">
        <f t="shared" ca="1" si="51"/>
        <v>#N/A</v>
      </c>
      <c r="DB46" s="138" t="e">
        <f t="shared" ca="1" si="51"/>
        <v>#N/A</v>
      </c>
      <c r="DC46" s="138" t="e">
        <f t="shared" ca="1" si="51"/>
        <v>#N/A</v>
      </c>
      <c r="DD46" s="138" t="e">
        <f t="shared" ca="1" si="51"/>
        <v>#N/A</v>
      </c>
      <c r="DE46" s="138" t="e">
        <f t="shared" ca="1" si="51"/>
        <v>#N/A</v>
      </c>
      <c r="DF46" s="138" t="e">
        <f t="shared" ca="1" si="51"/>
        <v>#N/A</v>
      </c>
      <c r="DG46" s="138" t="e">
        <f t="shared" ca="1" si="51"/>
        <v>#N/A</v>
      </c>
      <c r="DH46" s="138" t="e">
        <f t="shared" ca="1" si="51"/>
        <v>#N/A</v>
      </c>
      <c r="DI46" s="138" t="e">
        <f t="shared" ca="1" si="51"/>
        <v>#N/A</v>
      </c>
      <c r="DJ46" s="183" t="e">
        <f t="shared" ca="1" si="51"/>
        <v>#N/A</v>
      </c>
    </row>
    <row r="47" spans="2:115" x14ac:dyDescent="0.35">
      <c r="B47" t="s">
        <v>1035</v>
      </c>
      <c r="C47" s="190" t="e">
        <f t="shared" ref="C47:AH47" ca="1" si="52">IF(ISNA(C$32),"",OFFSET($B111,0,C$32-1))</f>
        <v>#N/A</v>
      </c>
      <c r="D47" s="156" t="e">
        <f t="shared" ca="1" si="52"/>
        <v>#N/A</v>
      </c>
      <c r="E47" s="156" t="e">
        <f t="shared" ca="1" si="52"/>
        <v>#N/A</v>
      </c>
      <c r="F47" s="180" t="e">
        <f t="shared" ca="1" si="52"/>
        <v>#N/A</v>
      </c>
      <c r="G47" s="160" t="e">
        <f t="shared" ca="1" si="52"/>
        <v>#N/A</v>
      </c>
      <c r="H47" s="156" t="e">
        <f t="shared" ca="1" si="52"/>
        <v>#N/A</v>
      </c>
      <c r="I47" s="156" t="e">
        <f t="shared" ca="1" si="52"/>
        <v>#N/A</v>
      </c>
      <c r="J47" s="173" t="e">
        <f t="shared" ca="1" si="52"/>
        <v>#N/A</v>
      </c>
      <c r="K47" s="160" t="e">
        <f t="shared" ca="1" si="52"/>
        <v>#N/A</v>
      </c>
      <c r="L47" s="156" t="e">
        <f t="shared" ca="1" si="52"/>
        <v>#N/A</v>
      </c>
      <c r="M47" s="156" t="e">
        <f t="shared" ca="1" si="52"/>
        <v>#N/A</v>
      </c>
      <c r="N47" s="173" t="e">
        <f t="shared" ca="1" si="52"/>
        <v>#N/A</v>
      </c>
      <c r="O47" s="160" t="e">
        <f t="shared" ca="1" si="52"/>
        <v>#N/A</v>
      </c>
      <c r="P47" s="156" t="e">
        <f t="shared" ca="1" si="52"/>
        <v>#N/A</v>
      </c>
      <c r="Q47" s="156" t="e">
        <f t="shared" ca="1" si="52"/>
        <v>#N/A</v>
      </c>
      <c r="R47" s="173" t="e">
        <f t="shared" ca="1" si="52"/>
        <v>#N/A</v>
      </c>
      <c r="S47" s="160" t="e">
        <f t="shared" ca="1" si="52"/>
        <v>#N/A</v>
      </c>
      <c r="T47" s="156" t="e">
        <f t="shared" ca="1" si="52"/>
        <v>#N/A</v>
      </c>
      <c r="U47" s="156" t="e">
        <f t="shared" ca="1" si="52"/>
        <v>#N/A</v>
      </c>
      <c r="V47" s="173" t="e">
        <f t="shared" ca="1" si="52"/>
        <v>#N/A</v>
      </c>
      <c r="W47" s="160" t="e">
        <f t="shared" ca="1" si="52"/>
        <v>#N/A</v>
      </c>
      <c r="X47" s="156" t="e">
        <f t="shared" ca="1" si="52"/>
        <v>#N/A</v>
      </c>
      <c r="Y47" s="156" t="e">
        <f t="shared" ca="1" si="52"/>
        <v>#N/A</v>
      </c>
      <c r="Z47" s="173" t="e">
        <f t="shared" ca="1" si="52"/>
        <v>#N/A</v>
      </c>
      <c r="AA47" s="181" t="e">
        <f t="shared" ca="1" si="52"/>
        <v>#N/A</v>
      </c>
      <c r="AB47" s="168" t="e">
        <f t="shared" ca="1" si="52"/>
        <v>#N/A</v>
      </c>
      <c r="AC47" s="168" t="e">
        <f t="shared" ca="1" si="52"/>
        <v>#N/A</v>
      </c>
      <c r="AD47" s="180" t="e">
        <f t="shared" ca="1" si="52"/>
        <v>#N/A</v>
      </c>
      <c r="AE47" s="156" t="str">
        <f t="shared" ca="1" si="52"/>
        <v/>
      </c>
      <c r="AF47" s="181" t="e">
        <f t="shared" ca="1" si="52"/>
        <v>#N/A</v>
      </c>
      <c r="AG47" s="180" t="e">
        <f t="shared" ca="1" si="52"/>
        <v>#N/A</v>
      </c>
      <c r="AH47" s="168" t="e">
        <f t="shared" ca="1" si="52"/>
        <v>#N/A</v>
      </c>
      <c r="AI47" s="168" t="e">
        <f t="shared" ref="AI47:BN47" ca="1" si="53">IF(ISNA(AI$32),"",OFFSET($B111,0,AI$32-1))</f>
        <v>#N/A</v>
      </c>
      <c r="AJ47" s="180" t="e">
        <f t="shared" ca="1" si="53"/>
        <v>#N/A</v>
      </c>
      <c r="AK47" s="156" t="str">
        <f t="shared" ca="1" si="53"/>
        <v/>
      </c>
      <c r="AL47" s="189" t="e">
        <f t="shared" ca="1" si="53"/>
        <v>#N/A</v>
      </c>
      <c r="AM47" s="188" t="e">
        <f t="shared" ca="1" si="53"/>
        <v>#N/A</v>
      </c>
      <c r="AN47" s="188" t="e">
        <f t="shared" ca="1" si="53"/>
        <v>#N/A</v>
      </c>
      <c r="AO47" s="188" t="e">
        <f t="shared" ca="1" si="53"/>
        <v>#N/A</v>
      </c>
      <c r="AP47" s="188" t="e">
        <f t="shared" ca="1" si="53"/>
        <v>#N/A</v>
      </c>
      <c r="AQ47" s="188" t="e">
        <f t="shared" ca="1" si="53"/>
        <v>#N/A</v>
      </c>
      <c r="AR47" s="188" t="e">
        <f t="shared" ca="1" si="53"/>
        <v>#N/A</v>
      </c>
      <c r="AS47" s="188" t="e">
        <f t="shared" ca="1" si="53"/>
        <v>#N/A</v>
      </c>
      <c r="AT47" s="187" t="e">
        <f t="shared" ca="1" si="53"/>
        <v>#N/A</v>
      </c>
      <c r="AU47" s="156" t="str">
        <f t="shared" ca="1" si="53"/>
        <v/>
      </c>
      <c r="AV47" s="160" t="e">
        <f t="shared" ca="1" si="53"/>
        <v>#N/A</v>
      </c>
      <c r="AW47" s="156" t="e">
        <f t="shared" ca="1" si="53"/>
        <v>#N/A</v>
      </c>
      <c r="AX47" s="156" t="e">
        <f t="shared" ca="1" si="53"/>
        <v>#N/A</v>
      </c>
      <c r="AY47" s="173" t="e">
        <f t="shared" ca="1" si="53"/>
        <v>#N/A</v>
      </c>
      <c r="AZ47" s="160" t="e">
        <f t="shared" ca="1" si="53"/>
        <v>#N/A</v>
      </c>
      <c r="BA47" s="156" t="e">
        <f t="shared" ca="1" si="53"/>
        <v>#N/A</v>
      </c>
      <c r="BB47" s="156" t="e">
        <f t="shared" ca="1" si="53"/>
        <v>#N/A</v>
      </c>
      <c r="BC47" s="156" t="e">
        <f t="shared" ca="1" si="53"/>
        <v>#N/A</v>
      </c>
      <c r="BD47" s="168" t="e">
        <f t="shared" ca="1" si="53"/>
        <v>#N/A</v>
      </c>
      <c r="BE47" s="160" t="e">
        <f t="shared" ca="1" si="53"/>
        <v>#N/A</v>
      </c>
      <c r="BF47" s="156" t="e">
        <f t="shared" ca="1" si="53"/>
        <v>#N/A</v>
      </c>
      <c r="BG47" s="156" t="e">
        <f t="shared" ca="1" si="53"/>
        <v>#N/A</v>
      </c>
      <c r="BH47" s="173" t="e">
        <f t="shared" ca="1" si="53"/>
        <v>#N/A</v>
      </c>
      <c r="BI47" s="160" t="e">
        <f t="shared" ca="1" si="53"/>
        <v>#N/A</v>
      </c>
      <c r="BJ47" s="156" t="e">
        <f t="shared" ca="1" si="53"/>
        <v>#N/A</v>
      </c>
      <c r="BK47" s="156" t="e">
        <f t="shared" ca="1" si="53"/>
        <v>#N/A</v>
      </c>
      <c r="BL47" s="173" t="e">
        <f t="shared" ca="1" si="53"/>
        <v>#N/A</v>
      </c>
      <c r="BM47" s="160" t="e">
        <f t="shared" ca="1" si="53"/>
        <v>#N/A</v>
      </c>
      <c r="BN47" s="156" t="e">
        <f t="shared" ca="1" si="53"/>
        <v>#N/A</v>
      </c>
      <c r="BO47" s="156" t="e">
        <f t="shared" ref="BO47:CT47" ca="1" si="54">IF(ISNA(BO$32),"",OFFSET($B111,0,BO$32-1))</f>
        <v>#N/A</v>
      </c>
      <c r="BP47" s="173" t="e">
        <f t="shared" ca="1" si="54"/>
        <v>#N/A</v>
      </c>
      <c r="BQ47" s="186" t="e">
        <f t="shared" ca="1" si="54"/>
        <v>#N/A</v>
      </c>
      <c r="BR47" s="160" t="e">
        <f t="shared" ca="1" si="54"/>
        <v>#N/A</v>
      </c>
      <c r="BS47" s="156" t="e">
        <f t="shared" ca="1" si="54"/>
        <v>#N/A</v>
      </c>
      <c r="BT47" s="156" t="e">
        <f t="shared" ca="1" si="54"/>
        <v>#N/A</v>
      </c>
      <c r="BU47" s="173" t="e">
        <f t="shared" ca="1" si="54"/>
        <v>#N/A</v>
      </c>
      <c r="BV47" s="160" t="e">
        <f t="shared" ca="1" si="54"/>
        <v>#N/A</v>
      </c>
      <c r="BW47" s="156" t="e">
        <f t="shared" ca="1" si="54"/>
        <v>#N/A</v>
      </c>
      <c r="BX47" s="156" t="e">
        <f t="shared" ca="1" si="54"/>
        <v>#N/A</v>
      </c>
      <c r="BY47" s="156" t="e">
        <f t="shared" ca="1" si="54"/>
        <v>#N/A</v>
      </c>
      <c r="BZ47" s="173" t="e">
        <f t="shared" ca="1" si="54"/>
        <v>#N/A</v>
      </c>
      <c r="CA47" s="181" t="e">
        <f t="shared" ca="1" si="54"/>
        <v>#N/A</v>
      </c>
      <c r="CB47" s="168" t="e">
        <f t="shared" ca="1" si="54"/>
        <v>#N/A</v>
      </c>
      <c r="CC47" s="168" t="e">
        <f t="shared" ca="1" si="54"/>
        <v>#N/A</v>
      </c>
      <c r="CD47" s="168" t="e">
        <f t="shared" ca="1" si="54"/>
        <v>#N/A</v>
      </c>
      <c r="CE47" s="180" t="e">
        <f t="shared" ca="1" si="54"/>
        <v>#N/A</v>
      </c>
      <c r="CF47" s="156" t="str">
        <f t="shared" ca="1" si="54"/>
        <v/>
      </c>
      <c r="CG47" s="181" t="e">
        <f t="shared" ca="1" si="54"/>
        <v>#N/A</v>
      </c>
      <c r="CH47" s="168" t="e">
        <f t="shared" ca="1" si="54"/>
        <v>#N/A</v>
      </c>
      <c r="CI47" s="168" t="e">
        <f t="shared" ca="1" si="54"/>
        <v>#N/A</v>
      </c>
      <c r="CJ47" s="168" t="e">
        <f t="shared" ca="1" si="54"/>
        <v>#N/A</v>
      </c>
      <c r="CK47" s="180" t="e">
        <f t="shared" ca="1" si="54"/>
        <v>#N/A</v>
      </c>
      <c r="CL47" s="156" t="str">
        <f t="shared" ca="1" si="54"/>
        <v/>
      </c>
      <c r="CM47" s="185" t="e">
        <f t="shared" ca="1" si="54"/>
        <v>#N/A</v>
      </c>
      <c r="CN47" s="138" t="e">
        <f t="shared" ca="1" si="54"/>
        <v>#N/A</v>
      </c>
      <c r="CO47" s="138" t="e">
        <f t="shared" ca="1" si="54"/>
        <v>#N/A</v>
      </c>
      <c r="CP47" s="138" t="e">
        <f t="shared" ca="1" si="54"/>
        <v>#N/A</v>
      </c>
      <c r="CQ47" s="183" t="e">
        <f t="shared" ca="1" si="54"/>
        <v>#N/A</v>
      </c>
      <c r="CR47" s="138" t="str">
        <f t="shared" ca="1" si="54"/>
        <v/>
      </c>
      <c r="CS47" s="184" t="e">
        <f t="shared" ca="1" si="54"/>
        <v>#N/A</v>
      </c>
      <c r="CT47" s="138" t="e">
        <f t="shared" ca="1" si="54"/>
        <v>#N/A</v>
      </c>
      <c r="CU47" s="138" t="e">
        <f t="shared" ref="CU47:DJ47" ca="1" si="55">IF(ISNA(CU$32),"",OFFSET($B111,0,CU$32-1))</f>
        <v>#N/A</v>
      </c>
      <c r="CV47" s="183" t="e">
        <f t="shared" ca="1" si="55"/>
        <v>#N/A</v>
      </c>
      <c r="CW47" s="138" t="str">
        <f t="shared" ca="1" si="55"/>
        <v/>
      </c>
      <c r="CX47" s="184" t="e">
        <f t="shared" ca="1" si="55"/>
        <v>#N/A</v>
      </c>
      <c r="CY47" s="183" t="e">
        <f t="shared" ca="1" si="55"/>
        <v>#N/A</v>
      </c>
      <c r="CZ47" s="138" t="str">
        <f t="shared" ca="1" si="55"/>
        <v/>
      </c>
      <c r="DA47" s="184" t="e">
        <f t="shared" ca="1" si="55"/>
        <v>#N/A</v>
      </c>
      <c r="DB47" s="138" t="e">
        <f t="shared" ca="1" si="55"/>
        <v>#N/A</v>
      </c>
      <c r="DC47" s="138" t="e">
        <f t="shared" ca="1" si="55"/>
        <v>#N/A</v>
      </c>
      <c r="DD47" s="138" t="e">
        <f t="shared" ca="1" si="55"/>
        <v>#N/A</v>
      </c>
      <c r="DE47" s="138" t="e">
        <f t="shared" ca="1" si="55"/>
        <v>#N/A</v>
      </c>
      <c r="DF47" s="138" t="e">
        <f t="shared" ca="1" si="55"/>
        <v>#N/A</v>
      </c>
      <c r="DG47" s="138" t="e">
        <f t="shared" ca="1" si="55"/>
        <v>#N/A</v>
      </c>
      <c r="DH47" s="138" t="e">
        <f t="shared" ca="1" si="55"/>
        <v>#N/A</v>
      </c>
      <c r="DI47" s="138" t="e">
        <f t="shared" ca="1" si="55"/>
        <v>#N/A</v>
      </c>
      <c r="DJ47" s="183" t="e">
        <f t="shared" ca="1" si="55"/>
        <v>#N/A</v>
      </c>
    </row>
    <row r="48" spans="2:115" x14ac:dyDescent="0.35">
      <c r="B48" t="s">
        <v>1036</v>
      </c>
      <c r="C48" s="190" t="e">
        <f t="shared" ref="C48:AH48" ca="1" si="56">IF(ISNA(C$32),"",OFFSET($B112,0,C$32-1))</f>
        <v>#N/A</v>
      </c>
      <c r="D48" s="156" t="e">
        <f t="shared" ca="1" si="56"/>
        <v>#N/A</v>
      </c>
      <c r="E48" s="156" t="e">
        <f t="shared" ca="1" si="56"/>
        <v>#N/A</v>
      </c>
      <c r="F48" s="180" t="e">
        <f t="shared" ca="1" si="56"/>
        <v>#N/A</v>
      </c>
      <c r="G48" s="160" t="e">
        <f t="shared" ca="1" si="56"/>
        <v>#N/A</v>
      </c>
      <c r="H48" s="156" t="e">
        <f t="shared" ca="1" si="56"/>
        <v>#N/A</v>
      </c>
      <c r="I48" s="156" t="e">
        <f t="shared" ca="1" si="56"/>
        <v>#N/A</v>
      </c>
      <c r="J48" s="173" t="e">
        <f t="shared" ca="1" si="56"/>
        <v>#N/A</v>
      </c>
      <c r="K48" s="160" t="e">
        <f t="shared" ca="1" si="56"/>
        <v>#N/A</v>
      </c>
      <c r="L48" s="156" t="e">
        <f t="shared" ca="1" si="56"/>
        <v>#N/A</v>
      </c>
      <c r="M48" s="156" t="e">
        <f t="shared" ca="1" si="56"/>
        <v>#N/A</v>
      </c>
      <c r="N48" s="173" t="e">
        <f t="shared" ca="1" si="56"/>
        <v>#N/A</v>
      </c>
      <c r="O48" s="160" t="e">
        <f t="shared" ca="1" si="56"/>
        <v>#N/A</v>
      </c>
      <c r="P48" s="156" t="e">
        <f t="shared" ca="1" si="56"/>
        <v>#N/A</v>
      </c>
      <c r="Q48" s="156" t="e">
        <f t="shared" ca="1" si="56"/>
        <v>#N/A</v>
      </c>
      <c r="R48" s="173" t="e">
        <f t="shared" ca="1" si="56"/>
        <v>#N/A</v>
      </c>
      <c r="S48" s="160" t="e">
        <f t="shared" ca="1" si="56"/>
        <v>#N/A</v>
      </c>
      <c r="T48" s="156" t="e">
        <f t="shared" ca="1" si="56"/>
        <v>#N/A</v>
      </c>
      <c r="U48" s="156" t="e">
        <f t="shared" ca="1" si="56"/>
        <v>#N/A</v>
      </c>
      <c r="V48" s="173" t="e">
        <f t="shared" ca="1" si="56"/>
        <v>#N/A</v>
      </c>
      <c r="W48" s="160" t="e">
        <f t="shared" ca="1" si="56"/>
        <v>#N/A</v>
      </c>
      <c r="X48" s="156" t="e">
        <f t="shared" ca="1" si="56"/>
        <v>#N/A</v>
      </c>
      <c r="Y48" s="156" t="e">
        <f t="shared" ca="1" si="56"/>
        <v>#N/A</v>
      </c>
      <c r="Z48" s="173" t="e">
        <f t="shared" ca="1" si="56"/>
        <v>#N/A</v>
      </c>
      <c r="AA48" s="181" t="e">
        <f t="shared" ca="1" si="56"/>
        <v>#N/A</v>
      </c>
      <c r="AB48" s="168" t="e">
        <f t="shared" ca="1" si="56"/>
        <v>#N/A</v>
      </c>
      <c r="AC48" s="168" t="e">
        <f t="shared" ca="1" si="56"/>
        <v>#N/A</v>
      </c>
      <c r="AD48" s="180" t="e">
        <f t="shared" ca="1" si="56"/>
        <v>#N/A</v>
      </c>
      <c r="AE48" s="156" t="str">
        <f t="shared" ca="1" si="56"/>
        <v/>
      </c>
      <c r="AF48" s="181" t="e">
        <f t="shared" ca="1" si="56"/>
        <v>#N/A</v>
      </c>
      <c r="AG48" s="180" t="e">
        <f t="shared" ca="1" si="56"/>
        <v>#N/A</v>
      </c>
      <c r="AH48" s="168" t="e">
        <f t="shared" ca="1" si="56"/>
        <v>#N/A</v>
      </c>
      <c r="AI48" s="168" t="e">
        <f t="shared" ref="AI48:BN48" ca="1" si="57">IF(ISNA(AI$32),"",OFFSET($B112,0,AI$32-1))</f>
        <v>#N/A</v>
      </c>
      <c r="AJ48" s="180" t="e">
        <f t="shared" ca="1" si="57"/>
        <v>#N/A</v>
      </c>
      <c r="AK48" s="156" t="str">
        <f t="shared" ca="1" si="57"/>
        <v/>
      </c>
      <c r="AL48" s="189" t="e">
        <f t="shared" ca="1" si="57"/>
        <v>#N/A</v>
      </c>
      <c r="AM48" s="188" t="e">
        <f t="shared" ca="1" si="57"/>
        <v>#N/A</v>
      </c>
      <c r="AN48" s="188" t="e">
        <f t="shared" ca="1" si="57"/>
        <v>#N/A</v>
      </c>
      <c r="AO48" s="188" t="e">
        <f t="shared" ca="1" si="57"/>
        <v>#N/A</v>
      </c>
      <c r="AP48" s="188" t="e">
        <f t="shared" ca="1" si="57"/>
        <v>#N/A</v>
      </c>
      <c r="AQ48" s="188" t="e">
        <f t="shared" ca="1" si="57"/>
        <v>#N/A</v>
      </c>
      <c r="AR48" s="188" t="e">
        <f t="shared" ca="1" si="57"/>
        <v>#N/A</v>
      </c>
      <c r="AS48" s="188" t="e">
        <f t="shared" ca="1" si="57"/>
        <v>#N/A</v>
      </c>
      <c r="AT48" s="187" t="e">
        <f t="shared" ca="1" si="57"/>
        <v>#N/A</v>
      </c>
      <c r="AU48" s="156" t="str">
        <f t="shared" ca="1" si="57"/>
        <v/>
      </c>
      <c r="AV48" s="160" t="e">
        <f t="shared" ca="1" si="57"/>
        <v>#N/A</v>
      </c>
      <c r="AW48" s="156" t="e">
        <f t="shared" ca="1" si="57"/>
        <v>#N/A</v>
      </c>
      <c r="AX48" s="156" t="e">
        <f t="shared" ca="1" si="57"/>
        <v>#N/A</v>
      </c>
      <c r="AY48" s="173" t="e">
        <f t="shared" ca="1" si="57"/>
        <v>#N/A</v>
      </c>
      <c r="AZ48" s="160" t="e">
        <f t="shared" ca="1" si="57"/>
        <v>#N/A</v>
      </c>
      <c r="BA48" s="156" t="e">
        <f t="shared" ca="1" si="57"/>
        <v>#N/A</v>
      </c>
      <c r="BB48" s="156" t="e">
        <f t="shared" ca="1" si="57"/>
        <v>#N/A</v>
      </c>
      <c r="BC48" s="156" t="e">
        <f t="shared" ca="1" si="57"/>
        <v>#N/A</v>
      </c>
      <c r="BD48" s="168" t="e">
        <f t="shared" ca="1" si="57"/>
        <v>#N/A</v>
      </c>
      <c r="BE48" s="160" t="e">
        <f t="shared" ca="1" si="57"/>
        <v>#N/A</v>
      </c>
      <c r="BF48" s="156" t="e">
        <f t="shared" ca="1" si="57"/>
        <v>#N/A</v>
      </c>
      <c r="BG48" s="156" t="e">
        <f t="shared" ca="1" si="57"/>
        <v>#N/A</v>
      </c>
      <c r="BH48" s="173" t="e">
        <f t="shared" ca="1" si="57"/>
        <v>#N/A</v>
      </c>
      <c r="BI48" s="160" t="e">
        <f t="shared" ca="1" si="57"/>
        <v>#N/A</v>
      </c>
      <c r="BJ48" s="156" t="e">
        <f t="shared" ca="1" si="57"/>
        <v>#N/A</v>
      </c>
      <c r="BK48" s="156" t="e">
        <f t="shared" ca="1" si="57"/>
        <v>#N/A</v>
      </c>
      <c r="BL48" s="173" t="e">
        <f t="shared" ca="1" si="57"/>
        <v>#N/A</v>
      </c>
      <c r="BM48" s="160" t="e">
        <f t="shared" ca="1" si="57"/>
        <v>#N/A</v>
      </c>
      <c r="BN48" s="156" t="e">
        <f t="shared" ca="1" si="57"/>
        <v>#N/A</v>
      </c>
      <c r="BO48" s="156" t="e">
        <f t="shared" ref="BO48:CT48" ca="1" si="58">IF(ISNA(BO$32),"",OFFSET($B112,0,BO$32-1))</f>
        <v>#N/A</v>
      </c>
      <c r="BP48" s="173" t="e">
        <f t="shared" ca="1" si="58"/>
        <v>#N/A</v>
      </c>
      <c r="BQ48" s="186" t="e">
        <f t="shared" ca="1" si="58"/>
        <v>#N/A</v>
      </c>
      <c r="BR48" s="160" t="e">
        <f t="shared" ca="1" si="58"/>
        <v>#N/A</v>
      </c>
      <c r="BS48" s="156" t="e">
        <f t="shared" ca="1" si="58"/>
        <v>#N/A</v>
      </c>
      <c r="BT48" s="156" t="e">
        <f t="shared" ca="1" si="58"/>
        <v>#N/A</v>
      </c>
      <c r="BU48" s="173" t="e">
        <f t="shared" ca="1" si="58"/>
        <v>#N/A</v>
      </c>
      <c r="BV48" s="160" t="e">
        <f t="shared" ca="1" si="58"/>
        <v>#N/A</v>
      </c>
      <c r="BW48" s="156" t="e">
        <f t="shared" ca="1" si="58"/>
        <v>#N/A</v>
      </c>
      <c r="BX48" s="156" t="e">
        <f t="shared" ca="1" si="58"/>
        <v>#N/A</v>
      </c>
      <c r="BY48" s="156" t="e">
        <f t="shared" ca="1" si="58"/>
        <v>#N/A</v>
      </c>
      <c r="BZ48" s="173" t="e">
        <f t="shared" ca="1" si="58"/>
        <v>#N/A</v>
      </c>
      <c r="CA48" s="181" t="e">
        <f t="shared" ca="1" si="58"/>
        <v>#N/A</v>
      </c>
      <c r="CB48" s="168" t="e">
        <f t="shared" ca="1" si="58"/>
        <v>#N/A</v>
      </c>
      <c r="CC48" s="168" t="e">
        <f t="shared" ca="1" si="58"/>
        <v>#N/A</v>
      </c>
      <c r="CD48" s="168" t="e">
        <f t="shared" ca="1" si="58"/>
        <v>#N/A</v>
      </c>
      <c r="CE48" s="180" t="e">
        <f t="shared" ca="1" si="58"/>
        <v>#N/A</v>
      </c>
      <c r="CF48" s="156" t="str">
        <f t="shared" ca="1" si="58"/>
        <v/>
      </c>
      <c r="CG48" s="181" t="e">
        <f t="shared" ca="1" si="58"/>
        <v>#N/A</v>
      </c>
      <c r="CH48" s="168" t="e">
        <f t="shared" ca="1" si="58"/>
        <v>#N/A</v>
      </c>
      <c r="CI48" s="168" t="e">
        <f t="shared" ca="1" si="58"/>
        <v>#N/A</v>
      </c>
      <c r="CJ48" s="168" t="e">
        <f t="shared" ca="1" si="58"/>
        <v>#N/A</v>
      </c>
      <c r="CK48" s="180" t="e">
        <f t="shared" ca="1" si="58"/>
        <v>#N/A</v>
      </c>
      <c r="CL48" s="156" t="str">
        <f t="shared" ca="1" si="58"/>
        <v/>
      </c>
      <c r="CM48" s="185" t="e">
        <f t="shared" ca="1" si="58"/>
        <v>#N/A</v>
      </c>
      <c r="CN48" s="138" t="e">
        <f t="shared" ca="1" si="58"/>
        <v>#N/A</v>
      </c>
      <c r="CO48" s="138" t="e">
        <f t="shared" ca="1" si="58"/>
        <v>#N/A</v>
      </c>
      <c r="CP48" s="138" t="e">
        <f t="shared" ca="1" si="58"/>
        <v>#N/A</v>
      </c>
      <c r="CQ48" s="183" t="e">
        <f t="shared" ca="1" si="58"/>
        <v>#N/A</v>
      </c>
      <c r="CR48" s="138" t="str">
        <f t="shared" ca="1" si="58"/>
        <v/>
      </c>
      <c r="CS48" s="184" t="e">
        <f t="shared" ca="1" si="58"/>
        <v>#N/A</v>
      </c>
      <c r="CT48" s="138" t="e">
        <f t="shared" ca="1" si="58"/>
        <v>#N/A</v>
      </c>
      <c r="CU48" s="138" t="e">
        <f t="shared" ref="CU48:DJ48" ca="1" si="59">IF(ISNA(CU$32),"",OFFSET($B112,0,CU$32-1))</f>
        <v>#N/A</v>
      </c>
      <c r="CV48" s="183" t="e">
        <f t="shared" ca="1" si="59"/>
        <v>#N/A</v>
      </c>
      <c r="CW48" s="138" t="str">
        <f t="shared" ca="1" si="59"/>
        <v/>
      </c>
      <c r="CX48" s="184" t="e">
        <f t="shared" ca="1" si="59"/>
        <v>#N/A</v>
      </c>
      <c r="CY48" s="183" t="e">
        <f t="shared" ca="1" si="59"/>
        <v>#N/A</v>
      </c>
      <c r="CZ48" s="138" t="str">
        <f t="shared" ca="1" si="59"/>
        <v/>
      </c>
      <c r="DA48" s="184" t="e">
        <f t="shared" ca="1" si="59"/>
        <v>#N/A</v>
      </c>
      <c r="DB48" s="138" t="e">
        <f t="shared" ca="1" si="59"/>
        <v>#N/A</v>
      </c>
      <c r="DC48" s="138" t="e">
        <f t="shared" ca="1" si="59"/>
        <v>#N/A</v>
      </c>
      <c r="DD48" s="138" t="e">
        <f t="shared" ca="1" si="59"/>
        <v>#N/A</v>
      </c>
      <c r="DE48" s="138" t="e">
        <f t="shared" ca="1" si="59"/>
        <v>#N/A</v>
      </c>
      <c r="DF48" s="138" t="e">
        <f t="shared" ca="1" si="59"/>
        <v>#N/A</v>
      </c>
      <c r="DG48" s="138" t="e">
        <f t="shared" ca="1" si="59"/>
        <v>#N/A</v>
      </c>
      <c r="DH48" s="138" t="e">
        <f t="shared" ca="1" si="59"/>
        <v>#N/A</v>
      </c>
      <c r="DI48" s="138" t="e">
        <f t="shared" ca="1" si="59"/>
        <v>#N/A</v>
      </c>
      <c r="DJ48" s="183" t="e">
        <f t="shared" ca="1" si="59"/>
        <v>#N/A</v>
      </c>
    </row>
    <row r="49" spans="2:114" x14ac:dyDescent="0.35">
      <c r="B49" t="s">
        <v>1037</v>
      </c>
      <c r="C49" s="190" t="e">
        <f t="shared" ref="C49:AH49" ca="1" si="60">IF(ISNA(C$32),"",OFFSET($B113,0,C$32-1))</f>
        <v>#N/A</v>
      </c>
      <c r="D49" s="156" t="e">
        <f t="shared" ca="1" si="60"/>
        <v>#N/A</v>
      </c>
      <c r="E49" s="156" t="e">
        <f t="shared" ca="1" si="60"/>
        <v>#N/A</v>
      </c>
      <c r="F49" s="180" t="e">
        <f t="shared" ca="1" si="60"/>
        <v>#N/A</v>
      </c>
      <c r="G49" s="160" t="e">
        <f t="shared" ca="1" si="60"/>
        <v>#N/A</v>
      </c>
      <c r="H49" s="156" t="e">
        <f t="shared" ca="1" si="60"/>
        <v>#N/A</v>
      </c>
      <c r="I49" s="156" t="e">
        <f t="shared" ca="1" si="60"/>
        <v>#N/A</v>
      </c>
      <c r="J49" s="173" t="e">
        <f t="shared" ca="1" si="60"/>
        <v>#N/A</v>
      </c>
      <c r="K49" s="160" t="e">
        <f t="shared" ca="1" si="60"/>
        <v>#N/A</v>
      </c>
      <c r="L49" s="156" t="e">
        <f t="shared" ca="1" si="60"/>
        <v>#N/A</v>
      </c>
      <c r="M49" s="156" t="e">
        <f t="shared" ca="1" si="60"/>
        <v>#N/A</v>
      </c>
      <c r="N49" s="173" t="e">
        <f t="shared" ca="1" si="60"/>
        <v>#N/A</v>
      </c>
      <c r="O49" s="160" t="e">
        <f t="shared" ca="1" si="60"/>
        <v>#N/A</v>
      </c>
      <c r="P49" s="156" t="e">
        <f t="shared" ca="1" si="60"/>
        <v>#N/A</v>
      </c>
      <c r="Q49" s="156" t="e">
        <f t="shared" ca="1" si="60"/>
        <v>#N/A</v>
      </c>
      <c r="R49" s="173" t="e">
        <f t="shared" ca="1" si="60"/>
        <v>#N/A</v>
      </c>
      <c r="S49" s="160" t="e">
        <f t="shared" ca="1" si="60"/>
        <v>#N/A</v>
      </c>
      <c r="T49" s="156" t="e">
        <f t="shared" ca="1" si="60"/>
        <v>#N/A</v>
      </c>
      <c r="U49" s="156" t="e">
        <f t="shared" ca="1" si="60"/>
        <v>#N/A</v>
      </c>
      <c r="V49" s="173" t="e">
        <f t="shared" ca="1" si="60"/>
        <v>#N/A</v>
      </c>
      <c r="W49" s="160" t="e">
        <f t="shared" ca="1" si="60"/>
        <v>#N/A</v>
      </c>
      <c r="X49" s="156" t="e">
        <f t="shared" ca="1" si="60"/>
        <v>#N/A</v>
      </c>
      <c r="Y49" s="156" t="e">
        <f t="shared" ca="1" si="60"/>
        <v>#N/A</v>
      </c>
      <c r="Z49" s="173" t="e">
        <f t="shared" ca="1" si="60"/>
        <v>#N/A</v>
      </c>
      <c r="AA49" s="181" t="e">
        <f t="shared" ca="1" si="60"/>
        <v>#N/A</v>
      </c>
      <c r="AB49" s="168" t="e">
        <f t="shared" ca="1" si="60"/>
        <v>#N/A</v>
      </c>
      <c r="AC49" s="168" t="e">
        <f t="shared" ca="1" si="60"/>
        <v>#N/A</v>
      </c>
      <c r="AD49" s="180" t="e">
        <f t="shared" ca="1" si="60"/>
        <v>#N/A</v>
      </c>
      <c r="AE49" s="156" t="str">
        <f t="shared" ca="1" si="60"/>
        <v/>
      </c>
      <c r="AF49" s="181" t="e">
        <f t="shared" ca="1" si="60"/>
        <v>#N/A</v>
      </c>
      <c r="AG49" s="180" t="e">
        <f t="shared" ca="1" si="60"/>
        <v>#N/A</v>
      </c>
      <c r="AH49" s="168" t="e">
        <f t="shared" ca="1" si="60"/>
        <v>#N/A</v>
      </c>
      <c r="AI49" s="168" t="e">
        <f t="shared" ref="AI49:BN49" ca="1" si="61">IF(ISNA(AI$32),"",OFFSET($B113,0,AI$32-1))</f>
        <v>#N/A</v>
      </c>
      <c r="AJ49" s="180" t="e">
        <f t="shared" ca="1" si="61"/>
        <v>#N/A</v>
      </c>
      <c r="AK49" s="156" t="str">
        <f t="shared" ca="1" si="61"/>
        <v/>
      </c>
      <c r="AL49" s="189" t="e">
        <f t="shared" ca="1" si="61"/>
        <v>#N/A</v>
      </c>
      <c r="AM49" s="188" t="e">
        <f t="shared" ca="1" si="61"/>
        <v>#N/A</v>
      </c>
      <c r="AN49" s="188" t="e">
        <f t="shared" ca="1" si="61"/>
        <v>#N/A</v>
      </c>
      <c r="AO49" s="188" t="e">
        <f t="shared" ca="1" si="61"/>
        <v>#N/A</v>
      </c>
      <c r="AP49" s="188" t="e">
        <f t="shared" ca="1" si="61"/>
        <v>#N/A</v>
      </c>
      <c r="AQ49" s="188" t="e">
        <f t="shared" ca="1" si="61"/>
        <v>#N/A</v>
      </c>
      <c r="AR49" s="188" t="e">
        <f t="shared" ca="1" si="61"/>
        <v>#N/A</v>
      </c>
      <c r="AS49" s="188" t="e">
        <f t="shared" ca="1" si="61"/>
        <v>#N/A</v>
      </c>
      <c r="AT49" s="187" t="e">
        <f t="shared" ca="1" si="61"/>
        <v>#N/A</v>
      </c>
      <c r="AU49" s="156" t="str">
        <f t="shared" ca="1" si="61"/>
        <v/>
      </c>
      <c r="AV49" s="160" t="e">
        <f t="shared" ca="1" si="61"/>
        <v>#N/A</v>
      </c>
      <c r="AW49" s="156" t="e">
        <f t="shared" ca="1" si="61"/>
        <v>#N/A</v>
      </c>
      <c r="AX49" s="156" t="e">
        <f t="shared" ca="1" si="61"/>
        <v>#N/A</v>
      </c>
      <c r="AY49" s="173" t="e">
        <f t="shared" ca="1" si="61"/>
        <v>#N/A</v>
      </c>
      <c r="AZ49" s="160" t="e">
        <f t="shared" ca="1" si="61"/>
        <v>#N/A</v>
      </c>
      <c r="BA49" s="156" t="e">
        <f t="shared" ca="1" si="61"/>
        <v>#N/A</v>
      </c>
      <c r="BB49" s="156" t="e">
        <f t="shared" ca="1" si="61"/>
        <v>#N/A</v>
      </c>
      <c r="BC49" s="156" t="e">
        <f t="shared" ca="1" si="61"/>
        <v>#N/A</v>
      </c>
      <c r="BD49" s="168" t="e">
        <f t="shared" ca="1" si="61"/>
        <v>#N/A</v>
      </c>
      <c r="BE49" s="160" t="e">
        <f t="shared" ca="1" si="61"/>
        <v>#N/A</v>
      </c>
      <c r="BF49" s="156" t="e">
        <f t="shared" ca="1" si="61"/>
        <v>#N/A</v>
      </c>
      <c r="BG49" s="156" t="e">
        <f t="shared" ca="1" si="61"/>
        <v>#N/A</v>
      </c>
      <c r="BH49" s="173" t="e">
        <f t="shared" ca="1" si="61"/>
        <v>#N/A</v>
      </c>
      <c r="BI49" s="160" t="e">
        <f t="shared" ca="1" si="61"/>
        <v>#N/A</v>
      </c>
      <c r="BJ49" s="156" t="e">
        <f t="shared" ca="1" si="61"/>
        <v>#N/A</v>
      </c>
      <c r="BK49" s="156" t="e">
        <f t="shared" ca="1" si="61"/>
        <v>#N/A</v>
      </c>
      <c r="BL49" s="173" t="e">
        <f t="shared" ca="1" si="61"/>
        <v>#N/A</v>
      </c>
      <c r="BM49" s="160" t="e">
        <f t="shared" ca="1" si="61"/>
        <v>#N/A</v>
      </c>
      <c r="BN49" s="156" t="e">
        <f t="shared" ca="1" si="61"/>
        <v>#N/A</v>
      </c>
      <c r="BO49" s="156" t="e">
        <f t="shared" ref="BO49:CT49" ca="1" si="62">IF(ISNA(BO$32),"",OFFSET($B113,0,BO$32-1))</f>
        <v>#N/A</v>
      </c>
      <c r="BP49" s="173" t="e">
        <f t="shared" ca="1" si="62"/>
        <v>#N/A</v>
      </c>
      <c r="BQ49" s="186" t="e">
        <f t="shared" ca="1" si="62"/>
        <v>#N/A</v>
      </c>
      <c r="BR49" s="160" t="e">
        <f t="shared" ca="1" si="62"/>
        <v>#N/A</v>
      </c>
      <c r="BS49" s="156" t="e">
        <f t="shared" ca="1" si="62"/>
        <v>#N/A</v>
      </c>
      <c r="BT49" s="156" t="e">
        <f t="shared" ca="1" si="62"/>
        <v>#N/A</v>
      </c>
      <c r="BU49" s="173" t="e">
        <f t="shared" ca="1" si="62"/>
        <v>#N/A</v>
      </c>
      <c r="BV49" s="160" t="e">
        <f t="shared" ca="1" si="62"/>
        <v>#N/A</v>
      </c>
      <c r="BW49" s="156" t="e">
        <f t="shared" ca="1" si="62"/>
        <v>#N/A</v>
      </c>
      <c r="BX49" s="156" t="e">
        <f t="shared" ca="1" si="62"/>
        <v>#N/A</v>
      </c>
      <c r="BY49" s="156" t="e">
        <f t="shared" ca="1" si="62"/>
        <v>#N/A</v>
      </c>
      <c r="BZ49" s="173" t="e">
        <f t="shared" ca="1" si="62"/>
        <v>#N/A</v>
      </c>
      <c r="CA49" s="181" t="e">
        <f t="shared" ca="1" si="62"/>
        <v>#N/A</v>
      </c>
      <c r="CB49" s="168" t="e">
        <f t="shared" ca="1" si="62"/>
        <v>#N/A</v>
      </c>
      <c r="CC49" s="168" t="e">
        <f t="shared" ca="1" si="62"/>
        <v>#N/A</v>
      </c>
      <c r="CD49" s="168" t="e">
        <f t="shared" ca="1" si="62"/>
        <v>#N/A</v>
      </c>
      <c r="CE49" s="180" t="e">
        <f t="shared" ca="1" si="62"/>
        <v>#N/A</v>
      </c>
      <c r="CF49" s="156" t="str">
        <f t="shared" ca="1" si="62"/>
        <v/>
      </c>
      <c r="CG49" s="181" t="e">
        <f t="shared" ca="1" si="62"/>
        <v>#N/A</v>
      </c>
      <c r="CH49" s="168" t="e">
        <f t="shared" ca="1" si="62"/>
        <v>#N/A</v>
      </c>
      <c r="CI49" s="168" t="e">
        <f t="shared" ca="1" si="62"/>
        <v>#N/A</v>
      </c>
      <c r="CJ49" s="168" t="e">
        <f t="shared" ca="1" si="62"/>
        <v>#N/A</v>
      </c>
      <c r="CK49" s="180" t="e">
        <f t="shared" ca="1" si="62"/>
        <v>#N/A</v>
      </c>
      <c r="CL49" s="156" t="str">
        <f t="shared" ca="1" si="62"/>
        <v/>
      </c>
      <c r="CM49" s="185" t="e">
        <f t="shared" ca="1" si="62"/>
        <v>#N/A</v>
      </c>
      <c r="CN49" s="138" t="e">
        <f t="shared" ca="1" si="62"/>
        <v>#N/A</v>
      </c>
      <c r="CO49" s="138" t="e">
        <f t="shared" ca="1" si="62"/>
        <v>#N/A</v>
      </c>
      <c r="CP49" s="138" t="e">
        <f t="shared" ca="1" si="62"/>
        <v>#N/A</v>
      </c>
      <c r="CQ49" s="183" t="e">
        <f t="shared" ca="1" si="62"/>
        <v>#N/A</v>
      </c>
      <c r="CR49" s="138" t="str">
        <f t="shared" ca="1" si="62"/>
        <v/>
      </c>
      <c r="CS49" s="184" t="e">
        <f t="shared" ca="1" si="62"/>
        <v>#N/A</v>
      </c>
      <c r="CT49" s="138" t="e">
        <f t="shared" ca="1" si="62"/>
        <v>#N/A</v>
      </c>
      <c r="CU49" s="138" t="e">
        <f t="shared" ref="CU49:DJ49" ca="1" si="63">IF(ISNA(CU$32),"",OFFSET($B113,0,CU$32-1))</f>
        <v>#N/A</v>
      </c>
      <c r="CV49" s="183" t="e">
        <f t="shared" ca="1" si="63"/>
        <v>#N/A</v>
      </c>
      <c r="CW49" s="138" t="str">
        <f t="shared" ca="1" si="63"/>
        <v/>
      </c>
      <c r="CX49" s="184" t="e">
        <f t="shared" ca="1" si="63"/>
        <v>#N/A</v>
      </c>
      <c r="CY49" s="183" t="e">
        <f t="shared" ca="1" si="63"/>
        <v>#N/A</v>
      </c>
      <c r="CZ49" s="138" t="str">
        <f t="shared" ca="1" si="63"/>
        <v/>
      </c>
      <c r="DA49" s="184" t="e">
        <f t="shared" ca="1" si="63"/>
        <v>#N/A</v>
      </c>
      <c r="DB49" s="138" t="e">
        <f t="shared" ca="1" si="63"/>
        <v>#N/A</v>
      </c>
      <c r="DC49" s="138" t="e">
        <f t="shared" ca="1" si="63"/>
        <v>#N/A</v>
      </c>
      <c r="DD49" s="138" t="e">
        <f t="shared" ca="1" si="63"/>
        <v>#N/A</v>
      </c>
      <c r="DE49" s="138" t="e">
        <f t="shared" ca="1" si="63"/>
        <v>#N/A</v>
      </c>
      <c r="DF49" s="138" t="e">
        <f t="shared" ca="1" si="63"/>
        <v>#N/A</v>
      </c>
      <c r="DG49" s="138" t="e">
        <f t="shared" ca="1" si="63"/>
        <v>#N/A</v>
      </c>
      <c r="DH49" s="138" t="e">
        <f t="shared" ca="1" si="63"/>
        <v>#N/A</v>
      </c>
      <c r="DI49" s="138" t="e">
        <f t="shared" ca="1" si="63"/>
        <v>#N/A</v>
      </c>
      <c r="DJ49" s="183" t="e">
        <f t="shared" ca="1" si="63"/>
        <v>#N/A</v>
      </c>
    </row>
    <row r="50" spans="2:114" x14ac:dyDescent="0.35">
      <c r="B50" t="s">
        <v>1038</v>
      </c>
      <c r="C50" s="190" t="e">
        <f t="shared" ref="C50:AH50" ca="1" si="64">IF(ISNA(C$32),"",OFFSET($B114,0,C$32-1))</f>
        <v>#N/A</v>
      </c>
      <c r="D50" s="156" t="e">
        <f t="shared" ca="1" si="64"/>
        <v>#N/A</v>
      </c>
      <c r="E50" s="156" t="e">
        <f t="shared" ca="1" si="64"/>
        <v>#N/A</v>
      </c>
      <c r="F50" s="180" t="e">
        <f t="shared" ca="1" si="64"/>
        <v>#N/A</v>
      </c>
      <c r="G50" s="160" t="e">
        <f t="shared" ca="1" si="64"/>
        <v>#N/A</v>
      </c>
      <c r="H50" s="156" t="e">
        <f t="shared" ca="1" si="64"/>
        <v>#N/A</v>
      </c>
      <c r="I50" s="156" t="e">
        <f t="shared" ca="1" si="64"/>
        <v>#N/A</v>
      </c>
      <c r="J50" s="173" t="e">
        <f t="shared" ca="1" si="64"/>
        <v>#N/A</v>
      </c>
      <c r="K50" s="160" t="e">
        <f t="shared" ca="1" si="64"/>
        <v>#N/A</v>
      </c>
      <c r="L50" s="156" t="e">
        <f t="shared" ca="1" si="64"/>
        <v>#N/A</v>
      </c>
      <c r="M50" s="156" t="e">
        <f t="shared" ca="1" si="64"/>
        <v>#N/A</v>
      </c>
      <c r="N50" s="173" t="e">
        <f t="shared" ca="1" si="64"/>
        <v>#N/A</v>
      </c>
      <c r="O50" s="160" t="e">
        <f t="shared" ca="1" si="64"/>
        <v>#N/A</v>
      </c>
      <c r="P50" s="156" t="e">
        <f t="shared" ca="1" si="64"/>
        <v>#N/A</v>
      </c>
      <c r="Q50" s="156" t="e">
        <f t="shared" ca="1" si="64"/>
        <v>#N/A</v>
      </c>
      <c r="R50" s="173" t="e">
        <f t="shared" ca="1" si="64"/>
        <v>#N/A</v>
      </c>
      <c r="S50" s="160" t="e">
        <f t="shared" ca="1" si="64"/>
        <v>#N/A</v>
      </c>
      <c r="T50" s="156" t="e">
        <f t="shared" ca="1" si="64"/>
        <v>#N/A</v>
      </c>
      <c r="U50" s="156" t="e">
        <f t="shared" ca="1" si="64"/>
        <v>#N/A</v>
      </c>
      <c r="V50" s="173" t="e">
        <f t="shared" ca="1" si="64"/>
        <v>#N/A</v>
      </c>
      <c r="W50" s="160" t="e">
        <f t="shared" ca="1" si="64"/>
        <v>#N/A</v>
      </c>
      <c r="X50" s="156" t="e">
        <f t="shared" ca="1" si="64"/>
        <v>#N/A</v>
      </c>
      <c r="Y50" s="156" t="e">
        <f t="shared" ca="1" si="64"/>
        <v>#N/A</v>
      </c>
      <c r="Z50" s="173" t="e">
        <f t="shared" ca="1" si="64"/>
        <v>#N/A</v>
      </c>
      <c r="AA50" s="181" t="e">
        <f t="shared" ca="1" si="64"/>
        <v>#N/A</v>
      </c>
      <c r="AB50" s="168" t="e">
        <f t="shared" ca="1" si="64"/>
        <v>#N/A</v>
      </c>
      <c r="AC50" s="168" t="e">
        <f t="shared" ca="1" si="64"/>
        <v>#N/A</v>
      </c>
      <c r="AD50" s="180" t="e">
        <f t="shared" ca="1" si="64"/>
        <v>#N/A</v>
      </c>
      <c r="AE50" s="156" t="str">
        <f t="shared" ca="1" si="64"/>
        <v/>
      </c>
      <c r="AF50" s="181" t="e">
        <f t="shared" ca="1" si="64"/>
        <v>#N/A</v>
      </c>
      <c r="AG50" s="180" t="e">
        <f t="shared" ca="1" si="64"/>
        <v>#N/A</v>
      </c>
      <c r="AH50" s="168" t="e">
        <f t="shared" ca="1" si="64"/>
        <v>#N/A</v>
      </c>
      <c r="AI50" s="168" t="e">
        <f t="shared" ref="AI50:BN50" ca="1" si="65">IF(ISNA(AI$32),"",OFFSET($B114,0,AI$32-1))</f>
        <v>#N/A</v>
      </c>
      <c r="AJ50" s="180" t="e">
        <f t="shared" ca="1" si="65"/>
        <v>#N/A</v>
      </c>
      <c r="AK50" s="156" t="str">
        <f t="shared" ca="1" si="65"/>
        <v/>
      </c>
      <c r="AL50" s="189" t="e">
        <f t="shared" ca="1" si="65"/>
        <v>#N/A</v>
      </c>
      <c r="AM50" s="188" t="e">
        <f t="shared" ca="1" si="65"/>
        <v>#N/A</v>
      </c>
      <c r="AN50" s="188" t="e">
        <f t="shared" ca="1" si="65"/>
        <v>#N/A</v>
      </c>
      <c r="AO50" s="188" t="e">
        <f t="shared" ca="1" si="65"/>
        <v>#N/A</v>
      </c>
      <c r="AP50" s="188" t="e">
        <f t="shared" ca="1" si="65"/>
        <v>#N/A</v>
      </c>
      <c r="AQ50" s="188" t="e">
        <f t="shared" ca="1" si="65"/>
        <v>#N/A</v>
      </c>
      <c r="AR50" s="188" t="e">
        <f t="shared" ca="1" si="65"/>
        <v>#N/A</v>
      </c>
      <c r="AS50" s="188" t="e">
        <f t="shared" ca="1" si="65"/>
        <v>#N/A</v>
      </c>
      <c r="AT50" s="187" t="e">
        <f t="shared" ca="1" si="65"/>
        <v>#N/A</v>
      </c>
      <c r="AU50" s="156" t="str">
        <f t="shared" ca="1" si="65"/>
        <v/>
      </c>
      <c r="AV50" s="160" t="e">
        <f t="shared" ca="1" si="65"/>
        <v>#N/A</v>
      </c>
      <c r="AW50" s="156" t="e">
        <f t="shared" ca="1" si="65"/>
        <v>#N/A</v>
      </c>
      <c r="AX50" s="156" t="e">
        <f t="shared" ca="1" si="65"/>
        <v>#N/A</v>
      </c>
      <c r="AY50" s="173" t="e">
        <f t="shared" ca="1" si="65"/>
        <v>#N/A</v>
      </c>
      <c r="AZ50" s="160" t="e">
        <f t="shared" ca="1" si="65"/>
        <v>#N/A</v>
      </c>
      <c r="BA50" s="156" t="e">
        <f t="shared" ca="1" si="65"/>
        <v>#N/A</v>
      </c>
      <c r="BB50" s="156" t="e">
        <f t="shared" ca="1" si="65"/>
        <v>#N/A</v>
      </c>
      <c r="BC50" s="156" t="e">
        <f t="shared" ca="1" si="65"/>
        <v>#N/A</v>
      </c>
      <c r="BD50" s="168" t="e">
        <f t="shared" ca="1" si="65"/>
        <v>#N/A</v>
      </c>
      <c r="BE50" s="160" t="e">
        <f t="shared" ca="1" si="65"/>
        <v>#N/A</v>
      </c>
      <c r="BF50" s="156" t="e">
        <f t="shared" ca="1" si="65"/>
        <v>#N/A</v>
      </c>
      <c r="BG50" s="156" t="e">
        <f t="shared" ca="1" si="65"/>
        <v>#N/A</v>
      </c>
      <c r="BH50" s="173" t="e">
        <f t="shared" ca="1" si="65"/>
        <v>#N/A</v>
      </c>
      <c r="BI50" s="160" t="e">
        <f t="shared" ca="1" si="65"/>
        <v>#N/A</v>
      </c>
      <c r="BJ50" s="156" t="e">
        <f t="shared" ca="1" si="65"/>
        <v>#N/A</v>
      </c>
      <c r="BK50" s="156" t="e">
        <f t="shared" ca="1" si="65"/>
        <v>#N/A</v>
      </c>
      <c r="BL50" s="173" t="e">
        <f t="shared" ca="1" si="65"/>
        <v>#N/A</v>
      </c>
      <c r="BM50" s="160" t="e">
        <f t="shared" ca="1" si="65"/>
        <v>#N/A</v>
      </c>
      <c r="BN50" s="156" t="e">
        <f t="shared" ca="1" si="65"/>
        <v>#N/A</v>
      </c>
      <c r="BO50" s="156" t="e">
        <f t="shared" ref="BO50:CT50" ca="1" si="66">IF(ISNA(BO$32),"",OFFSET($B114,0,BO$32-1))</f>
        <v>#N/A</v>
      </c>
      <c r="BP50" s="173" t="e">
        <f t="shared" ca="1" si="66"/>
        <v>#N/A</v>
      </c>
      <c r="BQ50" s="186" t="e">
        <f t="shared" ca="1" si="66"/>
        <v>#N/A</v>
      </c>
      <c r="BR50" s="160" t="e">
        <f t="shared" ca="1" si="66"/>
        <v>#N/A</v>
      </c>
      <c r="BS50" s="156" t="e">
        <f t="shared" ca="1" si="66"/>
        <v>#N/A</v>
      </c>
      <c r="BT50" s="156" t="e">
        <f t="shared" ca="1" si="66"/>
        <v>#N/A</v>
      </c>
      <c r="BU50" s="173" t="e">
        <f t="shared" ca="1" si="66"/>
        <v>#N/A</v>
      </c>
      <c r="BV50" s="160" t="e">
        <f t="shared" ca="1" si="66"/>
        <v>#N/A</v>
      </c>
      <c r="BW50" s="156" t="e">
        <f t="shared" ca="1" si="66"/>
        <v>#N/A</v>
      </c>
      <c r="BX50" s="156" t="e">
        <f t="shared" ca="1" si="66"/>
        <v>#N/A</v>
      </c>
      <c r="BY50" s="156" t="e">
        <f t="shared" ca="1" si="66"/>
        <v>#N/A</v>
      </c>
      <c r="BZ50" s="173" t="e">
        <f t="shared" ca="1" si="66"/>
        <v>#N/A</v>
      </c>
      <c r="CA50" s="181" t="e">
        <f t="shared" ca="1" si="66"/>
        <v>#N/A</v>
      </c>
      <c r="CB50" s="168" t="e">
        <f t="shared" ca="1" si="66"/>
        <v>#N/A</v>
      </c>
      <c r="CC50" s="168" t="e">
        <f t="shared" ca="1" si="66"/>
        <v>#N/A</v>
      </c>
      <c r="CD50" s="168" t="e">
        <f t="shared" ca="1" si="66"/>
        <v>#N/A</v>
      </c>
      <c r="CE50" s="180" t="e">
        <f t="shared" ca="1" si="66"/>
        <v>#N/A</v>
      </c>
      <c r="CF50" s="156" t="str">
        <f t="shared" ca="1" si="66"/>
        <v/>
      </c>
      <c r="CG50" s="181" t="e">
        <f t="shared" ca="1" si="66"/>
        <v>#N/A</v>
      </c>
      <c r="CH50" s="168" t="e">
        <f t="shared" ca="1" si="66"/>
        <v>#N/A</v>
      </c>
      <c r="CI50" s="168" t="e">
        <f t="shared" ca="1" si="66"/>
        <v>#N/A</v>
      </c>
      <c r="CJ50" s="168" t="e">
        <f t="shared" ca="1" si="66"/>
        <v>#N/A</v>
      </c>
      <c r="CK50" s="180" t="e">
        <f t="shared" ca="1" si="66"/>
        <v>#N/A</v>
      </c>
      <c r="CL50" s="156" t="str">
        <f t="shared" ca="1" si="66"/>
        <v/>
      </c>
      <c r="CM50" s="185" t="e">
        <f t="shared" ca="1" si="66"/>
        <v>#N/A</v>
      </c>
      <c r="CN50" s="138" t="e">
        <f t="shared" ca="1" si="66"/>
        <v>#N/A</v>
      </c>
      <c r="CO50" s="138" t="e">
        <f t="shared" ca="1" si="66"/>
        <v>#N/A</v>
      </c>
      <c r="CP50" s="138" t="e">
        <f t="shared" ca="1" si="66"/>
        <v>#N/A</v>
      </c>
      <c r="CQ50" s="183" t="e">
        <f t="shared" ca="1" si="66"/>
        <v>#N/A</v>
      </c>
      <c r="CR50" s="138" t="str">
        <f t="shared" ca="1" si="66"/>
        <v/>
      </c>
      <c r="CS50" s="184" t="e">
        <f t="shared" ca="1" si="66"/>
        <v>#N/A</v>
      </c>
      <c r="CT50" s="138" t="e">
        <f t="shared" ca="1" si="66"/>
        <v>#N/A</v>
      </c>
      <c r="CU50" s="138" t="e">
        <f t="shared" ref="CU50:DJ50" ca="1" si="67">IF(ISNA(CU$32),"",OFFSET($B114,0,CU$32-1))</f>
        <v>#N/A</v>
      </c>
      <c r="CV50" s="183" t="e">
        <f t="shared" ca="1" si="67"/>
        <v>#N/A</v>
      </c>
      <c r="CW50" s="138" t="str">
        <f t="shared" ca="1" si="67"/>
        <v/>
      </c>
      <c r="CX50" s="184" t="e">
        <f t="shared" ca="1" si="67"/>
        <v>#N/A</v>
      </c>
      <c r="CY50" s="183" t="e">
        <f t="shared" ca="1" si="67"/>
        <v>#N/A</v>
      </c>
      <c r="CZ50" s="138" t="str">
        <f t="shared" ca="1" si="67"/>
        <v/>
      </c>
      <c r="DA50" s="184" t="e">
        <f t="shared" ca="1" si="67"/>
        <v>#N/A</v>
      </c>
      <c r="DB50" s="138" t="e">
        <f t="shared" ca="1" si="67"/>
        <v>#N/A</v>
      </c>
      <c r="DC50" s="138" t="e">
        <f t="shared" ca="1" si="67"/>
        <v>#N/A</v>
      </c>
      <c r="DD50" s="138" t="e">
        <f t="shared" ca="1" si="67"/>
        <v>#N/A</v>
      </c>
      <c r="DE50" s="138" t="e">
        <f t="shared" ca="1" si="67"/>
        <v>#N/A</v>
      </c>
      <c r="DF50" s="138" t="e">
        <f t="shared" ca="1" si="67"/>
        <v>#N/A</v>
      </c>
      <c r="DG50" s="138" t="e">
        <f t="shared" ca="1" si="67"/>
        <v>#N/A</v>
      </c>
      <c r="DH50" s="138" t="e">
        <f t="shared" ca="1" si="67"/>
        <v>#N/A</v>
      </c>
      <c r="DI50" s="138" t="e">
        <f t="shared" ca="1" si="67"/>
        <v>#N/A</v>
      </c>
      <c r="DJ50" s="183" t="e">
        <f t="shared" ca="1" si="67"/>
        <v>#N/A</v>
      </c>
    </row>
    <row r="51" spans="2:114" x14ac:dyDescent="0.35">
      <c r="B51" t="s">
        <v>1039</v>
      </c>
      <c r="C51" s="190" t="e">
        <f t="shared" ref="C51:AH51" ca="1" si="68">IF(ISNA(C$32),"",OFFSET($B115,0,C$32-1))</f>
        <v>#N/A</v>
      </c>
      <c r="D51" s="156" t="e">
        <f t="shared" ca="1" si="68"/>
        <v>#N/A</v>
      </c>
      <c r="E51" s="156" t="e">
        <f t="shared" ca="1" si="68"/>
        <v>#N/A</v>
      </c>
      <c r="F51" s="180" t="e">
        <f t="shared" ca="1" si="68"/>
        <v>#N/A</v>
      </c>
      <c r="G51" s="160" t="e">
        <f t="shared" ca="1" si="68"/>
        <v>#N/A</v>
      </c>
      <c r="H51" s="156" t="e">
        <f t="shared" ca="1" si="68"/>
        <v>#N/A</v>
      </c>
      <c r="I51" s="156" t="e">
        <f t="shared" ca="1" si="68"/>
        <v>#N/A</v>
      </c>
      <c r="J51" s="173" t="e">
        <f t="shared" ca="1" si="68"/>
        <v>#N/A</v>
      </c>
      <c r="K51" s="160" t="e">
        <f t="shared" ca="1" si="68"/>
        <v>#N/A</v>
      </c>
      <c r="L51" s="156" t="e">
        <f t="shared" ca="1" si="68"/>
        <v>#N/A</v>
      </c>
      <c r="M51" s="156" t="e">
        <f t="shared" ca="1" si="68"/>
        <v>#N/A</v>
      </c>
      <c r="N51" s="173" t="e">
        <f t="shared" ca="1" si="68"/>
        <v>#N/A</v>
      </c>
      <c r="O51" s="160" t="e">
        <f t="shared" ca="1" si="68"/>
        <v>#N/A</v>
      </c>
      <c r="P51" s="156" t="e">
        <f t="shared" ca="1" si="68"/>
        <v>#N/A</v>
      </c>
      <c r="Q51" s="156" t="e">
        <f t="shared" ca="1" si="68"/>
        <v>#N/A</v>
      </c>
      <c r="R51" s="173" t="e">
        <f t="shared" ca="1" si="68"/>
        <v>#N/A</v>
      </c>
      <c r="S51" s="160" t="e">
        <f t="shared" ca="1" si="68"/>
        <v>#N/A</v>
      </c>
      <c r="T51" s="156" t="e">
        <f t="shared" ca="1" si="68"/>
        <v>#N/A</v>
      </c>
      <c r="U51" s="156" t="e">
        <f t="shared" ca="1" si="68"/>
        <v>#N/A</v>
      </c>
      <c r="V51" s="173" t="e">
        <f t="shared" ca="1" si="68"/>
        <v>#N/A</v>
      </c>
      <c r="W51" s="160" t="e">
        <f t="shared" ca="1" si="68"/>
        <v>#N/A</v>
      </c>
      <c r="X51" s="156" t="e">
        <f t="shared" ca="1" si="68"/>
        <v>#N/A</v>
      </c>
      <c r="Y51" s="156" t="e">
        <f t="shared" ca="1" si="68"/>
        <v>#N/A</v>
      </c>
      <c r="Z51" s="173" t="e">
        <f t="shared" ca="1" si="68"/>
        <v>#N/A</v>
      </c>
      <c r="AA51" s="181" t="e">
        <f t="shared" ca="1" si="68"/>
        <v>#N/A</v>
      </c>
      <c r="AB51" s="168" t="e">
        <f t="shared" ca="1" si="68"/>
        <v>#N/A</v>
      </c>
      <c r="AC51" s="168" t="e">
        <f t="shared" ca="1" si="68"/>
        <v>#N/A</v>
      </c>
      <c r="AD51" s="180" t="e">
        <f t="shared" ca="1" si="68"/>
        <v>#N/A</v>
      </c>
      <c r="AE51" s="156" t="str">
        <f t="shared" ca="1" si="68"/>
        <v/>
      </c>
      <c r="AF51" s="181" t="e">
        <f t="shared" ca="1" si="68"/>
        <v>#N/A</v>
      </c>
      <c r="AG51" s="180" t="e">
        <f t="shared" ca="1" si="68"/>
        <v>#N/A</v>
      </c>
      <c r="AH51" s="168" t="e">
        <f t="shared" ca="1" si="68"/>
        <v>#N/A</v>
      </c>
      <c r="AI51" s="168" t="e">
        <f t="shared" ref="AI51:BN51" ca="1" si="69">IF(ISNA(AI$32),"",OFFSET($B115,0,AI$32-1))</f>
        <v>#N/A</v>
      </c>
      <c r="AJ51" s="180" t="e">
        <f t="shared" ca="1" si="69"/>
        <v>#N/A</v>
      </c>
      <c r="AK51" s="156" t="str">
        <f t="shared" ca="1" si="69"/>
        <v/>
      </c>
      <c r="AL51" s="189" t="e">
        <f t="shared" ca="1" si="69"/>
        <v>#N/A</v>
      </c>
      <c r="AM51" s="188" t="e">
        <f t="shared" ca="1" si="69"/>
        <v>#N/A</v>
      </c>
      <c r="AN51" s="188" t="e">
        <f t="shared" ca="1" si="69"/>
        <v>#N/A</v>
      </c>
      <c r="AO51" s="188" t="e">
        <f t="shared" ca="1" si="69"/>
        <v>#N/A</v>
      </c>
      <c r="AP51" s="188" t="e">
        <f t="shared" ca="1" si="69"/>
        <v>#N/A</v>
      </c>
      <c r="AQ51" s="188" t="e">
        <f t="shared" ca="1" si="69"/>
        <v>#N/A</v>
      </c>
      <c r="AR51" s="188" t="e">
        <f t="shared" ca="1" si="69"/>
        <v>#N/A</v>
      </c>
      <c r="AS51" s="188" t="e">
        <f t="shared" ca="1" si="69"/>
        <v>#N/A</v>
      </c>
      <c r="AT51" s="187" t="e">
        <f t="shared" ca="1" si="69"/>
        <v>#N/A</v>
      </c>
      <c r="AU51" s="156" t="str">
        <f t="shared" ca="1" si="69"/>
        <v/>
      </c>
      <c r="AV51" s="160" t="e">
        <f t="shared" ca="1" si="69"/>
        <v>#N/A</v>
      </c>
      <c r="AW51" s="156" t="e">
        <f t="shared" ca="1" si="69"/>
        <v>#N/A</v>
      </c>
      <c r="AX51" s="156" t="e">
        <f t="shared" ca="1" si="69"/>
        <v>#N/A</v>
      </c>
      <c r="AY51" s="173" t="e">
        <f t="shared" ca="1" si="69"/>
        <v>#N/A</v>
      </c>
      <c r="AZ51" s="160" t="e">
        <f t="shared" ca="1" si="69"/>
        <v>#N/A</v>
      </c>
      <c r="BA51" s="156" t="e">
        <f t="shared" ca="1" si="69"/>
        <v>#N/A</v>
      </c>
      <c r="BB51" s="156" t="e">
        <f t="shared" ca="1" si="69"/>
        <v>#N/A</v>
      </c>
      <c r="BC51" s="156" t="e">
        <f t="shared" ca="1" si="69"/>
        <v>#N/A</v>
      </c>
      <c r="BD51" s="168" t="e">
        <f t="shared" ca="1" si="69"/>
        <v>#N/A</v>
      </c>
      <c r="BE51" s="160" t="e">
        <f t="shared" ca="1" si="69"/>
        <v>#N/A</v>
      </c>
      <c r="BF51" s="156" t="e">
        <f t="shared" ca="1" si="69"/>
        <v>#N/A</v>
      </c>
      <c r="BG51" s="156" t="e">
        <f t="shared" ca="1" si="69"/>
        <v>#N/A</v>
      </c>
      <c r="BH51" s="173" t="e">
        <f t="shared" ca="1" si="69"/>
        <v>#N/A</v>
      </c>
      <c r="BI51" s="160" t="e">
        <f t="shared" ca="1" si="69"/>
        <v>#N/A</v>
      </c>
      <c r="BJ51" s="156" t="e">
        <f t="shared" ca="1" si="69"/>
        <v>#N/A</v>
      </c>
      <c r="BK51" s="156" t="e">
        <f t="shared" ca="1" si="69"/>
        <v>#N/A</v>
      </c>
      <c r="BL51" s="173" t="e">
        <f t="shared" ca="1" si="69"/>
        <v>#N/A</v>
      </c>
      <c r="BM51" s="160" t="e">
        <f t="shared" ca="1" si="69"/>
        <v>#N/A</v>
      </c>
      <c r="BN51" s="156" t="e">
        <f t="shared" ca="1" si="69"/>
        <v>#N/A</v>
      </c>
      <c r="BO51" s="156" t="e">
        <f t="shared" ref="BO51:CT51" ca="1" si="70">IF(ISNA(BO$32),"",OFFSET($B115,0,BO$32-1))</f>
        <v>#N/A</v>
      </c>
      <c r="BP51" s="173" t="e">
        <f t="shared" ca="1" si="70"/>
        <v>#N/A</v>
      </c>
      <c r="BQ51" s="186" t="e">
        <f t="shared" ca="1" si="70"/>
        <v>#N/A</v>
      </c>
      <c r="BR51" s="160" t="e">
        <f t="shared" ca="1" si="70"/>
        <v>#N/A</v>
      </c>
      <c r="BS51" s="156" t="e">
        <f t="shared" ca="1" si="70"/>
        <v>#N/A</v>
      </c>
      <c r="BT51" s="156" t="e">
        <f t="shared" ca="1" si="70"/>
        <v>#N/A</v>
      </c>
      <c r="BU51" s="173" t="e">
        <f t="shared" ca="1" si="70"/>
        <v>#N/A</v>
      </c>
      <c r="BV51" s="160" t="e">
        <f t="shared" ca="1" si="70"/>
        <v>#N/A</v>
      </c>
      <c r="BW51" s="156" t="e">
        <f t="shared" ca="1" si="70"/>
        <v>#N/A</v>
      </c>
      <c r="BX51" s="156" t="e">
        <f t="shared" ca="1" si="70"/>
        <v>#N/A</v>
      </c>
      <c r="BY51" s="156" t="e">
        <f t="shared" ca="1" si="70"/>
        <v>#N/A</v>
      </c>
      <c r="BZ51" s="173" t="e">
        <f t="shared" ca="1" si="70"/>
        <v>#N/A</v>
      </c>
      <c r="CA51" s="181" t="e">
        <f t="shared" ca="1" si="70"/>
        <v>#N/A</v>
      </c>
      <c r="CB51" s="168" t="e">
        <f t="shared" ca="1" si="70"/>
        <v>#N/A</v>
      </c>
      <c r="CC51" s="168" t="e">
        <f t="shared" ca="1" si="70"/>
        <v>#N/A</v>
      </c>
      <c r="CD51" s="168" t="e">
        <f t="shared" ca="1" si="70"/>
        <v>#N/A</v>
      </c>
      <c r="CE51" s="180" t="e">
        <f t="shared" ca="1" si="70"/>
        <v>#N/A</v>
      </c>
      <c r="CF51" s="156" t="str">
        <f t="shared" ca="1" si="70"/>
        <v/>
      </c>
      <c r="CG51" s="181" t="e">
        <f t="shared" ca="1" si="70"/>
        <v>#N/A</v>
      </c>
      <c r="CH51" s="168" t="e">
        <f t="shared" ca="1" si="70"/>
        <v>#N/A</v>
      </c>
      <c r="CI51" s="168" t="e">
        <f t="shared" ca="1" si="70"/>
        <v>#N/A</v>
      </c>
      <c r="CJ51" s="168" t="e">
        <f t="shared" ca="1" si="70"/>
        <v>#N/A</v>
      </c>
      <c r="CK51" s="180" t="e">
        <f t="shared" ca="1" si="70"/>
        <v>#N/A</v>
      </c>
      <c r="CL51" s="156" t="str">
        <f t="shared" ca="1" si="70"/>
        <v/>
      </c>
      <c r="CM51" s="185" t="e">
        <f t="shared" ca="1" si="70"/>
        <v>#N/A</v>
      </c>
      <c r="CN51" s="138" t="e">
        <f t="shared" ca="1" si="70"/>
        <v>#N/A</v>
      </c>
      <c r="CO51" s="138" t="e">
        <f t="shared" ca="1" si="70"/>
        <v>#N/A</v>
      </c>
      <c r="CP51" s="138" t="e">
        <f t="shared" ca="1" si="70"/>
        <v>#N/A</v>
      </c>
      <c r="CQ51" s="183" t="e">
        <f t="shared" ca="1" si="70"/>
        <v>#N/A</v>
      </c>
      <c r="CR51" s="138" t="str">
        <f t="shared" ca="1" si="70"/>
        <v/>
      </c>
      <c r="CS51" s="184" t="e">
        <f t="shared" ca="1" si="70"/>
        <v>#N/A</v>
      </c>
      <c r="CT51" s="138" t="e">
        <f t="shared" ca="1" si="70"/>
        <v>#N/A</v>
      </c>
      <c r="CU51" s="138" t="e">
        <f t="shared" ref="CU51:DJ51" ca="1" si="71">IF(ISNA(CU$32),"",OFFSET($B115,0,CU$32-1))</f>
        <v>#N/A</v>
      </c>
      <c r="CV51" s="183" t="e">
        <f t="shared" ca="1" si="71"/>
        <v>#N/A</v>
      </c>
      <c r="CW51" s="138" t="str">
        <f t="shared" ca="1" si="71"/>
        <v/>
      </c>
      <c r="CX51" s="184" t="e">
        <f t="shared" ca="1" si="71"/>
        <v>#N/A</v>
      </c>
      <c r="CY51" s="183" t="e">
        <f t="shared" ca="1" si="71"/>
        <v>#N/A</v>
      </c>
      <c r="CZ51" s="138" t="str">
        <f t="shared" ca="1" si="71"/>
        <v/>
      </c>
      <c r="DA51" s="184" t="e">
        <f t="shared" ca="1" si="71"/>
        <v>#N/A</v>
      </c>
      <c r="DB51" s="138" t="e">
        <f t="shared" ca="1" si="71"/>
        <v>#N/A</v>
      </c>
      <c r="DC51" s="138" t="e">
        <f t="shared" ca="1" si="71"/>
        <v>#N/A</v>
      </c>
      <c r="DD51" s="138" t="e">
        <f t="shared" ca="1" si="71"/>
        <v>#N/A</v>
      </c>
      <c r="DE51" s="138" t="e">
        <f t="shared" ca="1" si="71"/>
        <v>#N/A</v>
      </c>
      <c r="DF51" s="138" t="e">
        <f t="shared" ca="1" si="71"/>
        <v>#N/A</v>
      </c>
      <c r="DG51" s="138" t="e">
        <f t="shared" ca="1" si="71"/>
        <v>#N/A</v>
      </c>
      <c r="DH51" s="138" t="e">
        <f t="shared" ca="1" si="71"/>
        <v>#N/A</v>
      </c>
      <c r="DI51" s="138" t="e">
        <f t="shared" ca="1" si="71"/>
        <v>#N/A</v>
      </c>
      <c r="DJ51" s="183" t="e">
        <f t="shared" ca="1" si="71"/>
        <v>#N/A</v>
      </c>
    </row>
    <row r="52" spans="2:114" x14ac:dyDescent="0.35">
      <c r="B52" t="s">
        <v>1040</v>
      </c>
      <c r="C52" s="175" t="e">
        <f t="shared" ref="C52:AH52" ca="1" si="72">IF(ISNA(C$32),"",OFFSET($B116,0,C$32-1))</f>
        <v>#N/A</v>
      </c>
      <c r="D52" s="165" t="e">
        <f t="shared" ca="1" si="72"/>
        <v>#N/A</v>
      </c>
      <c r="E52" s="165" t="e">
        <f t="shared" ca="1" si="72"/>
        <v>#N/A</v>
      </c>
      <c r="F52" s="161" t="e">
        <f t="shared" ca="1" si="72"/>
        <v>#N/A</v>
      </c>
      <c r="G52" s="166" t="e">
        <f t="shared" ca="1" si="72"/>
        <v>#N/A</v>
      </c>
      <c r="H52" s="165" t="e">
        <f t="shared" ca="1" si="72"/>
        <v>#N/A</v>
      </c>
      <c r="I52" s="165" t="e">
        <f t="shared" ca="1" si="72"/>
        <v>#N/A</v>
      </c>
      <c r="J52" s="164" t="e">
        <f t="shared" ca="1" si="72"/>
        <v>#N/A</v>
      </c>
      <c r="K52" s="166" t="e">
        <f t="shared" ca="1" si="72"/>
        <v>#N/A</v>
      </c>
      <c r="L52" s="165" t="e">
        <f t="shared" ca="1" si="72"/>
        <v>#N/A</v>
      </c>
      <c r="M52" s="165" t="e">
        <f t="shared" ca="1" si="72"/>
        <v>#N/A</v>
      </c>
      <c r="N52" s="164" t="e">
        <f t="shared" ca="1" si="72"/>
        <v>#N/A</v>
      </c>
      <c r="O52" s="166" t="e">
        <f t="shared" ca="1" si="72"/>
        <v>#N/A</v>
      </c>
      <c r="P52" s="165" t="e">
        <f t="shared" ca="1" si="72"/>
        <v>#N/A</v>
      </c>
      <c r="Q52" s="165" t="e">
        <f t="shared" ca="1" si="72"/>
        <v>#N/A</v>
      </c>
      <c r="R52" s="164" t="e">
        <f t="shared" ca="1" si="72"/>
        <v>#N/A</v>
      </c>
      <c r="S52" s="166" t="e">
        <f t="shared" ca="1" si="72"/>
        <v>#N/A</v>
      </c>
      <c r="T52" s="165" t="e">
        <f t="shared" ca="1" si="72"/>
        <v>#N/A</v>
      </c>
      <c r="U52" s="165" t="e">
        <f t="shared" ca="1" si="72"/>
        <v>#N/A</v>
      </c>
      <c r="V52" s="164" t="e">
        <f t="shared" ca="1" si="72"/>
        <v>#N/A</v>
      </c>
      <c r="W52" s="166" t="e">
        <f t="shared" ca="1" si="72"/>
        <v>#N/A</v>
      </c>
      <c r="X52" s="165" t="e">
        <f t="shared" ca="1" si="72"/>
        <v>#N/A</v>
      </c>
      <c r="Y52" s="165" t="e">
        <f t="shared" ca="1" si="72"/>
        <v>#N/A</v>
      </c>
      <c r="Z52" s="164" t="e">
        <f t="shared" ca="1" si="72"/>
        <v>#N/A</v>
      </c>
      <c r="AA52" s="163" t="e">
        <f t="shared" ca="1" si="72"/>
        <v>#N/A</v>
      </c>
      <c r="AB52" s="162" t="e">
        <f t="shared" ca="1" si="72"/>
        <v>#N/A</v>
      </c>
      <c r="AC52" s="162" t="e">
        <f t="shared" ca="1" si="72"/>
        <v>#N/A</v>
      </c>
      <c r="AD52" s="161" t="e">
        <f t="shared" ca="1" si="72"/>
        <v>#N/A</v>
      </c>
      <c r="AE52" s="169" t="str">
        <f t="shared" ca="1" si="72"/>
        <v/>
      </c>
      <c r="AF52" s="163" t="e">
        <f t="shared" ca="1" si="72"/>
        <v>#N/A</v>
      </c>
      <c r="AG52" s="161" t="e">
        <f t="shared" ca="1" si="72"/>
        <v>#N/A</v>
      </c>
      <c r="AH52" s="162" t="e">
        <f t="shared" ca="1" si="72"/>
        <v>#N/A</v>
      </c>
      <c r="AI52" s="162" t="e">
        <f t="shared" ref="AI52:BN52" ca="1" si="73">IF(ISNA(AI$32),"",OFFSET($B116,0,AI$32-1))</f>
        <v>#N/A</v>
      </c>
      <c r="AJ52" s="161" t="e">
        <f t="shared" ca="1" si="73"/>
        <v>#N/A</v>
      </c>
      <c r="AK52" s="156" t="str">
        <f t="shared" ca="1" si="73"/>
        <v/>
      </c>
      <c r="AL52" s="172" t="e">
        <f t="shared" ca="1" si="73"/>
        <v>#N/A</v>
      </c>
      <c r="AM52" s="171" t="e">
        <f t="shared" ca="1" si="73"/>
        <v>#N/A</v>
      </c>
      <c r="AN52" s="171" t="e">
        <f t="shared" ca="1" si="73"/>
        <v>#N/A</v>
      </c>
      <c r="AO52" s="171" t="e">
        <f t="shared" ca="1" si="73"/>
        <v>#N/A</v>
      </c>
      <c r="AP52" s="171" t="e">
        <f t="shared" ca="1" si="73"/>
        <v>#N/A</v>
      </c>
      <c r="AQ52" s="171" t="e">
        <f t="shared" ca="1" si="73"/>
        <v>#N/A</v>
      </c>
      <c r="AR52" s="171" t="e">
        <f t="shared" ca="1" si="73"/>
        <v>#N/A</v>
      </c>
      <c r="AS52" s="171" t="e">
        <f t="shared" ca="1" si="73"/>
        <v>#N/A</v>
      </c>
      <c r="AT52" s="170" t="e">
        <f t="shared" ca="1" si="73"/>
        <v>#N/A</v>
      </c>
      <c r="AU52" s="169" t="str">
        <f t="shared" ca="1" si="73"/>
        <v/>
      </c>
      <c r="AV52" s="166" t="e">
        <f t="shared" ca="1" si="73"/>
        <v>#N/A</v>
      </c>
      <c r="AW52" s="165" t="e">
        <f t="shared" ca="1" si="73"/>
        <v>#N/A</v>
      </c>
      <c r="AX52" s="165" t="e">
        <f t="shared" ca="1" si="73"/>
        <v>#N/A</v>
      </c>
      <c r="AY52" s="164" t="e">
        <f t="shared" ca="1" si="73"/>
        <v>#N/A</v>
      </c>
      <c r="AZ52" s="166" t="e">
        <f t="shared" ca="1" si="73"/>
        <v>#N/A</v>
      </c>
      <c r="BA52" s="165" t="e">
        <f t="shared" ca="1" si="73"/>
        <v>#N/A</v>
      </c>
      <c r="BB52" s="165" t="e">
        <f t="shared" ca="1" si="73"/>
        <v>#N/A</v>
      </c>
      <c r="BC52" s="165" t="e">
        <f t="shared" ca="1" si="73"/>
        <v>#N/A</v>
      </c>
      <c r="BD52" s="162" t="e">
        <f t="shared" ca="1" si="73"/>
        <v>#N/A</v>
      </c>
      <c r="BE52" s="166" t="e">
        <f t="shared" ca="1" si="73"/>
        <v>#N/A</v>
      </c>
      <c r="BF52" s="165" t="e">
        <f t="shared" ca="1" si="73"/>
        <v>#N/A</v>
      </c>
      <c r="BG52" s="165" t="e">
        <f t="shared" ca="1" si="73"/>
        <v>#N/A</v>
      </c>
      <c r="BH52" s="164" t="e">
        <f t="shared" ca="1" si="73"/>
        <v>#N/A</v>
      </c>
      <c r="BI52" s="166" t="e">
        <f t="shared" ca="1" si="73"/>
        <v>#N/A</v>
      </c>
      <c r="BJ52" s="165" t="e">
        <f t="shared" ca="1" si="73"/>
        <v>#N/A</v>
      </c>
      <c r="BK52" s="165" t="e">
        <f t="shared" ca="1" si="73"/>
        <v>#N/A</v>
      </c>
      <c r="BL52" s="164" t="e">
        <f t="shared" ca="1" si="73"/>
        <v>#N/A</v>
      </c>
      <c r="BM52" s="166" t="e">
        <f t="shared" ca="1" si="73"/>
        <v>#N/A</v>
      </c>
      <c r="BN52" s="165" t="e">
        <f t="shared" ca="1" si="73"/>
        <v>#N/A</v>
      </c>
      <c r="BO52" s="165" t="e">
        <f t="shared" ref="BO52:CT52" ca="1" si="74">IF(ISNA(BO$32),"",OFFSET($B116,0,BO$32-1))</f>
        <v>#N/A</v>
      </c>
      <c r="BP52" s="164" t="e">
        <f t="shared" ca="1" si="74"/>
        <v>#N/A</v>
      </c>
      <c r="BQ52" s="182" t="e">
        <f t="shared" ca="1" si="74"/>
        <v>#N/A</v>
      </c>
      <c r="BR52" s="166" t="e">
        <f t="shared" ca="1" si="74"/>
        <v>#N/A</v>
      </c>
      <c r="BS52" s="165" t="e">
        <f t="shared" ca="1" si="74"/>
        <v>#N/A</v>
      </c>
      <c r="BT52" s="165" t="e">
        <f t="shared" ca="1" si="74"/>
        <v>#N/A</v>
      </c>
      <c r="BU52" s="164" t="e">
        <f t="shared" ca="1" si="74"/>
        <v>#N/A</v>
      </c>
      <c r="BV52" s="166" t="e">
        <f t="shared" ca="1" si="74"/>
        <v>#N/A</v>
      </c>
      <c r="BW52" s="165" t="e">
        <f t="shared" ca="1" si="74"/>
        <v>#N/A</v>
      </c>
      <c r="BX52" s="165" t="e">
        <f t="shared" ca="1" si="74"/>
        <v>#N/A</v>
      </c>
      <c r="BY52" s="165" t="e">
        <f t="shared" ca="1" si="74"/>
        <v>#N/A</v>
      </c>
      <c r="BZ52" s="164" t="e">
        <f t="shared" ca="1" si="74"/>
        <v>#N/A</v>
      </c>
      <c r="CA52" s="163" t="e">
        <f t="shared" ca="1" si="74"/>
        <v>#N/A</v>
      </c>
      <c r="CB52" s="162" t="e">
        <f t="shared" ca="1" si="74"/>
        <v>#N/A</v>
      </c>
      <c r="CC52" s="162" t="e">
        <f t="shared" ca="1" si="74"/>
        <v>#N/A</v>
      </c>
      <c r="CD52" s="162" t="e">
        <f t="shared" ca="1" si="74"/>
        <v>#N/A</v>
      </c>
      <c r="CE52" s="161" t="e">
        <f t="shared" ca="1" si="74"/>
        <v>#N/A</v>
      </c>
      <c r="CF52" s="160" t="str">
        <f t="shared" ca="1" si="74"/>
        <v/>
      </c>
      <c r="CG52" s="181" t="e">
        <f t="shared" ca="1" si="74"/>
        <v>#N/A</v>
      </c>
      <c r="CH52" s="168" t="e">
        <f t="shared" ca="1" si="74"/>
        <v>#N/A</v>
      </c>
      <c r="CI52" s="168" t="e">
        <f t="shared" ca="1" si="74"/>
        <v>#N/A</v>
      </c>
      <c r="CJ52" s="168" t="e">
        <f t="shared" ca="1" si="74"/>
        <v>#N/A</v>
      </c>
      <c r="CK52" s="180" t="e">
        <f t="shared" ca="1" si="74"/>
        <v>#N/A</v>
      </c>
      <c r="CL52" s="156" t="str">
        <f t="shared" ca="1" si="74"/>
        <v/>
      </c>
      <c r="CM52" s="179" t="e">
        <f t="shared" ca="1" si="74"/>
        <v>#N/A</v>
      </c>
      <c r="CN52" s="177" t="e">
        <f t="shared" ca="1" si="74"/>
        <v>#N/A</v>
      </c>
      <c r="CO52" s="177" t="e">
        <f t="shared" ca="1" si="74"/>
        <v>#N/A</v>
      </c>
      <c r="CP52" s="177" t="e">
        <f t="shared" ca="1" si="74"/>
        <v>#N/A</v>
      </c>
      <c r="CQ52" s="176" t="e">
        <f t="shared" ca="1" si="74"/>
        <v>#N/A</v>
      </c>
      <c r="CR52" s="169" t="str">
        <f t="shared" ca="1" si="74"/>
        <v/>
      </c>
      <c r="CS52" s="178" t="e">
        <f t="shared" ca="1" si="74"/>
        <v>#N/A</v>
      </c>
      <c r="CT52" s="177" t="e">
        <f t="shared" ca="1" si="74"/>
        <v>#N/A</v>
      </c>
      <c r="CU52" s="177" t="e">
        <f t="shared" ref="CU52:DJ52" ca="1" si="75">IF(ISNA(CU$32),"",OFFSET($B116,0,CU$32-1))</f>
        <v>#N/A</v>
      </c>
      <c r="CV52" s="176" t="e">
        <f t="shared" ca="1" si="75"/>
        <v>#N/A</v>
      </c>
      <c r="CW52" s="138" t="str">
        <f t="shared" ca="1" si="75"/>
        <v/>
      </c>
      <c r="CX52" s="178" t="e">
        <f t="shared" ca="1" si="75"/>
        <v>#N/A</v>
      </c>
      <c r="CY52" s="176" t="e">
        <f t="shared" ca="1" si="75"/>
        <v>#N/A</v>
      </c>
      <c r="CZ52" s="169" t="str">
        <f t="shared" ca="1" si="75"/>
        <v/>
      </c>
      <c r="DA52" s="178" t="e">
        <f t="shared" ca="1" si="75"/>
        <v>#N/A</v>
      </c>
      <c r="DB52" s="177" t="e">
        <f t="shared" ca="1" si="75"/>
        <v>#N/A</v>
      </c>
      <c r="DC52" s="177" t="e">
        <f t="shared" ca="1" si="75"/>
        <v>#N/A</v>
      </c>
      <c r="DD52" s="177" t="e">
        <f t="shared" ca="1" si="75"/>
        <v>#N/A</v>
      </c>
      <c r="DE52" s="177" t="e">
        <f t="shared" ca="1" si="75"/>
        <v>#N/A</v>
      </c>
      <c r="DF52" s="177" t="e">
        <f t="shared" ca="1" si="75"/>
        <v>#N/A</v>
      </c>
      <c r="DG52" s="177" t="e">
        <f t="shared" ca="1" si="75"/>
        <v>#N/A</v>
      </c>
      <c r="DH52" s="177" t="e">
        <f t="shared" ca="1" si="75"/>
        <v>#N/A</v>
      </c>
      <c r="DI52" s="177" t="e">
        <f t="shared" ca="1" si="75"/>
        <v>#N/A</v>
      </c>
      <c r="DJ52" s="176" t="e">
        <f t="shared" ca="1" si="75"/>
        <v>#N/A</v>
      </c>
    </row>
    <row r="53" spans="2:114" x14ac:dyDescent="0.35">
      <c r="B53" t="s">
        <v>1041</v>
      </c>
      <c r="C53" s="175" t="e">
        <f t="shared" ref="C53:AH53" ca="1" si="76">IF(ISNA(C$33),"",OFFSET($B95,0,C$33-1))</f>
        <v>#N/A</v>
      </c>
      <c r="D53" s="165" t="e">
        <f t="shared" ca="1" si="76"/>
        <v>#N/A</v>
      </c>
      <c r="E53" s="165" t="e">
        <f t="shared" ca="1" si="76"/>
        <v>#N/A</v>
      </c>
      <c r="F53" s="161" t="e">
        <f t="shared" ca="1" si="76"/>
        <v>#N/A</v>
      </c>
      <c r="G53" s="166" t="e">
        <f t="shared" ca="1" si="76"/>
        <v>#N/A</v>
      </c>
      <c r="H53" s="165" t="e">
        <f t="shared" ca="1" si="76"/>
        <v>#N/A</v>
      </c>
      <c r="I53" s="165" t="e">
        <f t="shared" ca="1" si="76"/>
        <v>#N/A</v>
      </c>
      <c r="J53" s="164" t="e">
        <f t="shared" ca="1" si="76"/>
        <v>#N/A</v>
      </c>
      <c r="K53" s="166" t="e">
        <f t="shared" ca="1" si="76"/>
        <v>#N/A</v>
      </c>
      <c r="L53" s="165" t="e">
        <f t="shared" ca="1" si="76"/>
        <v>#N/A</v>
      </c>
      <c r="M53" s="165" t="e">
        <f t="shared" ca="1" si="76"/>
        <v>#N/A</v>
      </c>
      <c r="N53" s="164" t="e">
        <f t="shared" ca="1" si="76"/>
        <v>#N/A</v>
      </c>
      <c r="O53" s="166" t="e">
        <f t="shared" ca="1" si="76"/>
        <v>#N/A</v>
      </c>
      <c r="P53" s="165" t="e">
        <f t="shared" ca="1" si="76"/>
        <v>#N/A</v>
      </c>
      <c r="Q53" s="165" t="e">
        <f t="shared" ca="1" si="76"/>
        <v>#N/A</v>
      </c>
      <c r="R53" s="164" t="e">
        <f t="shared" ca="1" si="76"/>
        <v>#N/A</v>
      </c>
      <c r="S53" s="166" t="e">
        <f t="shared" ca="1" si="76"/>
        <v>#N/A</v>
      </c>
      <c r="T53" s="165" t="e">
        <f t="shared" ca="1" si="76"/>
        <v>#N/A</v>
      </c>
      <c r="U53" s="165" t="e">
        <f t="shared" ca="1" si="76"/>
        <v>#N/A</v>
      </c>
      <c r="V53" s="164" t="e">
        <f t="shared" ca="1" si="76"/>
        <v>#N/A</v>
      </c>
      <c r="W53" s="166" t="e">
        <f t="shared" ca="1" si="76"/>
        <v>#N/A</v>
      </c>
      <c r="X53" s="165" t="e">
        <f t="shared" ca="1" si="76"/>
        <v>#N/A</v>
      </c>
      <c r="Y53" s="165" t="e">
        <f t="shared" ca="1" si="76"/>
        <v>#N/A</v>
      </c>
      <c r="Z53" s="164" t="e">
        <f t="shared" ca="1" si="76"/>
        <v>#N/A</v>
      </c>
      <c r="AA53" s="163" t="e">
        <f t="shared" ca="1" si="76"/>
        <v>#N/A</v>
      </c>
      <c r="AB53" s="162" t="e">
        <f t="shared" ca="1" si="76"/>
        <v>#N/A</v>
      </c>
      <c r="AC53" s="162" t="e">
        <f t="shared" ca="1" si="76"/>
        <v>#N/A</v>
      </c>
      <c r="AD53" s="161" t="e">
        <f t="shared" ca="1" si="76"/>
        <v>#N/A</v>
      </c>
      <c r="AE53" s="160" t="str">
        <f t="shared" ca="1" si="76"/>
        <v/>
      </c>
      <c r="AF53" s="174" t="str">
        <f t="shared" ca="1" si="76"/>
        <v/>
      </c>
      <c r="AG53" s="174" t="str">
        <f t="shared" ca="1" si="76"/>
        <v/>
      </c>
      <c r="AH53" s="174" t="str">
        <f t="shared" ca="1" si="76"/>
        <v/>
      </c>
      <c r="AI53" s="174" t="str">
        <f t="shared" ref="AI53:BN53" ca="1" si="77">IF(ISNA(AI$33),"",OFFSET($B95,0,AI$33-1))</f>
        <v/>
      </c>
      <c r="AJ53" s="174" t="str">
        <f t="shared" ca="1" si="77"/>
        <v/>
      </c>
      <c r="AK53" s="173" t="str">
        <f t="shared" ca="1" si="77"/>
        <v/>
      </c>
      <c r="AL53" s="172" t="str">
        <f t="shared" ca="1" si="77"/>
        <v/>
      </c>
      <c r="AM53" s="171" t="str">
        <f t="shared" ca="1" si="77"/>
        <v/>
      </c>
      <c r="AN53" s="171" t="str">
        <f t="shared" ca="1" si="77"/>
        <v/>
      </c>
      <c r="AO53" s="171" t="str">
        <f t="shared" ca="1" si="77"/>
        <v/>
      </c>
      <c r="AP53" s="171" t="str">
        <f t="shared" ca="1" si="77"/>
        <v/>
      </c>
      <c r="AQ53" s="171" t="str">
        <f t="shared" ca="1" si="77"/>
        <v/>
      </c>
      <c r="AR53" s="171" t="str">
        <f t="shared" ca="1" si="77"/>
        <v/>
      </c>
      <c r="AS53" s="171" t="str">
        <f t="shared" ca="1" si="77"/>
        <v/>
      </c>
      <c r="AT53" s="170" t="str">
        <f t="shared" ca="1" si="77"/>
        <v/>
      </c>
      <c r="AU53" s="169" t="str">
        <f t="shared" ca="1" si="77"/>
        <v/>
      </c>
      <c r="AV53" s="166" t="e">
        <f t="shared" ca="1" si="77"/>
        <v>#N/A</v>
      </c>
      <c r="AW53" s="165" t="e">
        <f t="shared" ca="1" si="77"/>
        <v>#N/A</v>
      </c>
      <c r="AX53" s="165" t="e">
        <f t="shared" ca="1" si="77"/>
        <v>#N/A</v>
      </c>
      <c r="AY53" s="164" t="e">
        <f t="shared" ca="1" si="77"/>
        <v>#N/A</v>
      </c>
      <c r="AZ53" s="166" t="e">
        <f t="shared" ca="1" si="77"/>
        <v>#N/A</v>
      </c>
      <c r="BA53" s="165" t="e">
        <f t="shared" ca="1" si="77"/>
        <v>#N/A</v>
      </c>
      <c r="BB53" s="165" t="e">
        <f t="shared" ca="1" si="77"/>
        <v>#N/A</v>
      </c>
      <c r="BC53" s="165" t="e">
        <f t="shared" ca="1" si="77"/>
        <v>#N/A</v>
      </c>
      <c r="BD53" s="168" t="e">
        <f t="shared" ca="1" si="77"/>
        <v>#N/A</v>
      </c>
      <c r="BE53" s="166" t="e">
        <f t="shared" ca="1" si="77"/>
        <v>#N/A</v>
      </c>
      <c r="BF53" s="165" t="e">
        <f t="shared" ca="1" si="77"/>
        <v>#N/A</v>
      </c>
      <c r="BG53" s="165" t="e">
        <f t="shared" ca="1" si="77"/>
        <v>#N/A</v>
      </c>
      <c r="BH53" s="164" t="e">
        <f t="shared" ca="1" si="77"/>
        <v>#N/A</v>
      </c>
      <c r="BI53" s="166" t="e">
        <f t="shared" ca="1" si="77"/>
        <v>#N/A</v>
      </c>
      <c r="BJ53" s="165" t="e">
        <f t="shared" ca="1" si="77"/>
        <v>#N/A</v>
      </c>
      <c r="BK53" s="165" t="e">
        <f t="shared" ca="1" si="77"/>
        <v>#N/A</v>
      </c>
      <c r="BL53" s="164" t="e">
        <f t="shared" ca="1" si="77"/>
        <v>#N/A</v>
      </c>
      <c r="BM53" s="166" t="str">
        <f t="shared" ca="1" si="77"/>
        <v/>
      </c>
      <c r="BN53" s="165" t="str">
        <f t="shared" ca="1" si="77"/>
        <v/>
      </c>
      <c r="BO53" s="165" t="str">
        <f t="shared" ref="BO53:CT53" ca="1" si="78">IF(ISNA(BO$33),"",OFFSET($B95,0,BO$33-1))</f>
        <v/>
      </c>
      <c r="BP53" s="164" t="str">
        <f t="shared" ca="1" si="78"/>
        <v/>
      </c>
      <c r="BQ53" s="167" t="str">
        <f t="shared" ca="1" si="78"/>
        <v/>
      </c>
      <c r="BR53" s="166" t="e">
        <f t="shared" ca="1" si="78"/>
        <v>#N/A</v>
      </c>
      <c r="BS53" s="165" t="e">
        <f t="shared" ca="1" si="78"/>
        <v>#N/A</v>
      </c>
      <c r="BT53" s="165" t="e">
        <f t="shared" ca="1" si="78"/>
        <v>#N/A</v>
      </c>
      <c r="BU53" s="164" t="e">
        <f t="shared" ca="1" si="78"/>
        <v>#N/A</v>
      </c>
      <c r="BV53" s="166" t="e">
        <f t="shared" ca="1" si="78"/>
        <v>#N/A</v>
      </c>
      <c r="BW53" s="165" t="e">
        <f t="shared" ca="1" si="78"/>
        <v>#N/A</v>
      </c>
      <c r="BX53" s="165" t="e">
        <f t="shared" ca="1" si="78"/>
        <v>#N/A</v>
      </c>
      <c r="BY53" s="165" t="e">
        <f t="shared" ca="1" si="78"/>
        <v>#N/A</v>
      </c>
      <c r="BZ53" s="164" t="e">
        <f t="shared" ca="1" si="78"/>
        <v>#N/A</v>
      </c>
      <c r="CA53" s="163" t="e">
        <f t="shared" ca="1" si="78"/>
        <v>#N/A</v>
      </c>
      <c r="CB53" s="162" t="e">
        <f t="shared" ca="1" si="78"/>
        <v>#N/A</v>
      </c>
      <c r="CC53" s="162" t="e">
        <f t="shared" ca="1" si="78"/>
        <v>#N/A</v>
      </c>
      <c r="CD53" s="162" t="e">
        <f t="shared" ca="1" si="78"/>
        <v>#N/A</v>
      </c>
      <c r="CE53" s="161" t="e">
        <f t="shared" ca="1" si="78"/>
        <v>#N/A</v>
      </c>
      <c r="CF53" s="160" t="str">
        <f t="shared" ca="1" si="78"/>
        <v/>
      </c>
      <c r="CG53" s="159" t="e">
        <f t="shared" ca="1" si="78"/>
        <v>#N/A</v>
      </c>
      <c r="CH53" s="158" t="e">
        <f t="shared" ca="1" si="78"/>
        <v>#N/A</v>
      </c>
      <c r="CI53" s="158" t="e">
        <f t="shared" ca="1" si="78"/>
        <v>#N/A</v>
      </c>
      <c r="CJ53" s="158" t="e">
        <f t="shared" ca="1" si="78"/>
        <v>#N/A</v>
      </c>
      <c r="CK53" s="157" t="e">
        <f t="shared" ca="1" si="78"/>
        <v>#N/A</v>
      </c>
      <c r="CL53" s="156" t="str">
        <f t="shared" ca="1" si="78"/>
        <v/>
      </c>
      <c r="CM53" s="138" t="str">
        <f t="shared" ca="1" si="78"/>
        <v/>
      </c>
      <c r="CN53" s="138" t="str">
        <f t="shared" ca="1" si="78"/>
        <v/>
      </c>
      <c r="CO53" s="138" t="str">
        <f t="shared" ca="1" si="78"/>
        <v/>
      </c>
      <c r="CP53" s="138" t="str">
        <f t="shared" ca="1" si="78"/>
        <v/>
      </c>
      <c r="CQ53" s="138" t="str">
        <f t="shared" ca="1" si="78"/>
        <v/>
      </c>
      <c r="CR53" s="156" t="str">
        <f t="shared" ca="1" si="78"/>
        <v/>
      </c>
      <c r="CS53" s="138" t="str">
        <f t="shared" ca="1" si="78"/>
        <v/>
      </c>
      <c r="CT53" s="138" t="str">
        <f t="shared" ca="1" si="78"/>
        <v/>
      </c>
      <c r="CU53" s="138" t="str">
        <f t="shared" ref="CU53:DJ53" ca="1" si="79">IF(ISNA(CU$33),"",OFFSET($B95,0,CU$33-1))</f>
        <v/>
      </c>
      <c r="CV53" s="138" t="str">
        <f t="shared" ca="1" si="79"/>
        <v/>
      </c>
      <c r="CW53" s="138" t="str">
        <f t="shared" ca="1" si="79"/>
        <v/>
      </c>
      <c r="CX53" s="138" t="str">
        <f t="shared" ca="1" si="79"/>
        <v/>
      </c>
      <c r="CY53" s="138" t="str">
        <f t="shared" ca="1" si="79"/>
        <v/>
      </c>
      <c r="CZ53" s="156" t="str">
        <f t="shared" ca="1" si="79"/>
        <v/>
      </c>
      <c r="DA53" s="138" t="str">
        <f t="shared" ca="1" si="79"/>
        <v/>
      </c>
      <c r="DB53" s="138" t="str">
        <f t="shared" ca="1" si="79"/>
        <v/>
      </c>
      <c r="DC53" s="138" t="str">
        <f t="shared" ca="1" si="79"/>
        <v/>
      </c>
      <c r="DD53" s="138" t="str">
        <f t="shared" ca="1" si="79"/>
        <v/>
      </c>
      <c r="DE53" s="138" t="str">
        <f t="shared" ca="1" si="79"/>
        <v/>
      </c>
      <c r="DF53" s="138" t="str">
        <f t="shared" ca="1" si="79"/>
        <v/>
      </c>
      <c r="DG53" s="138" t="str">
        <f t="shared" ca="1" si="79"/>
        <v/>
      </c>
      <c r="DH53" s="138" t="str">
        <f t="shared" ca="1" si="79"/>
        <v/>
      </c>
      <c r="DI53" s="138" t="str">
        <f t="shared" ca="1" si="79"/>
        <v/>
      </c>
      <c r="DJ53" s="138" t="str">
        <f t="shared" ca="1" si="79"/>
        <v/>
      </c>
    </row>
    <row r="56" spans="2:114" ht="13.9" x14ac:dyDescent="0.4">
      <c r="C56" s="155" t="str">
        <f t="shared" ref="C56:C72" si="80">C36</f>
        <v>YoA</v>
      </c>
      <c r="D56" t="s">
        <v>1060</v>
      </c>
      <c r="E56" t="s">
        <v>1059</v>
      </c>
      <c r="F56" t="s">
        <v>1058</v>
      </c>
      <c r="G56" t="s">
        <v>1057</v>
      </c>
      <c r="I56" s="139"/>
      <c r="J56" s="139"/>
      <c r="K56" s="139"/>
      <c r="L56" s="154" t="s">
        <v>1056</v>
      </c>
      <c r="P56" s="154" t="s">
        <v>1055</v>
      </c>
    </row>
    <row r="57" spans="2:114" ht="13.9" x14ac:dyDescent="0.35">
      <c r="C57" t="e">
        <f t="shared" ca="1" si="80"/>
        <v>#N/A</v>
      </c>
      <c r="D57" s="138" t="e">
        <f t="shared" ref="D57:D72" ca="1" si="81">AD37</f>
        <v>#N/A</v>
      </c>
      <c r="E57" s="138" t="e">
        <f t="shared" ref="E57:E72" ca="1" si="82">CD37</f>
        <v>#N/A</v>
      </c>
      <c r="F57" s="138" t="e">
        <f t="shared" ref="F57:F72" ca="1" si="83">CJ37</f>
        <v>#N/A</v>
      </c>
      <c r="G57" s="138" t="e">
        <f t="shared" ref="G57:G72" ca="1" si="84">$R$65</f>
        <v>#N/A</v>
      </c>
      <c r="I57" s="139"/>
      <c r="J57" s="139" t="s">
        <v>247</v>
      </c>
      <c r="K57" s="139">
        <f t="shared" ref="K57:K63" si="85">MATCH(J57,$93:$93,0)-1</f>
        <v>44</v>
      </c>
      <c r="L57" s="147" t="str">
        <f>INDEX(own_summary[Label],MATCH(J57,own_summary[Name],0))</f>
        <v>Attritional</v>
      </c>
      <c r="M57" s="148"/>
      <c r="N57" s="145" t="e">
        <f t="shared" ref="N57:N63" ca="1" si="86">IF(ISNA(K57),"",OFFSET($B$95,0,K57-1))</f>
        <v>#N/A</v>
      </c>
      <c r="P57" s="147" t="str">
        <f>INDEX(own_summary[Label],MATCH(T57,own_summary[Name],0))</f>
        <v>Attritional</v>
      </c>
      <c r="Q57" s="146"/>
      <c r="R57" s="145" t="e">
        <f t="shared" ref="R57:R63" ca="1" si="87">IF(ISNA(S57),"",OFFSET($B$95,0,S57-1))</f>
        <v>#N/A</v>
      </c>
      <c r="S57" s="139">
        <f t="shared" ref="S57:S63" si="88">MATCH(T57,$93:$93,0)-1</f>
        <v>35</v>
      </c>
      <c r="T57" s="139" t="s">
        <v>238</v>
      </c>
    </row>
    <row r="58" spans="2:114" ht="13.9" x14ac:dyDescent="0.35">
      <c r="C58" t="e">
        <f t="shared" ca="1" si="80"/>
        <v>#N/A</v>
      </c>
      <c r="D58" s="138" t="e">
        <f t="shared" ca="1" si="81"/>
        <v>#N/A</v>
      </c>
      <c r="E58" s="138" t="e">
        <f t="shared" ca="1" si="82"/>
        <v>#N/A</v>
      </c>
      <c r="F58" s="138" t="e">
        <f t="shared" ca="1" si="83"/>
        <v>#N/A</v>
      </c>
      <c r="G58" s="138" t="e">
        <f t="shared" ca="1" si="84"/>
        <v>#N/A</v>
      </c>
      <c r="I58" s="139"/>
      <c r="J58" s="139" t="s">
        <v>248</v>
      </c>
      <c r="K58" s="139">
        <f t="shared" si="85"/>
        <v>45</v>
      </c>
      <c r="L58" s="152" t="str">
        <f>INDEX(own_summary[Label],MATCH(J58,own_summary[Name],0))</f>
        <v>Large</v>
      </c>
      <c r="M58" s="149"/>
      <c r="N58" s="153" t="e">
        <f t="shared" ca="1" si="86"/>
        <v>#N/A</v>
      </c>
      <c r="P58" s="152" t="str">
        <f>INDEX(own_summary[Label],MATCH(T58,own_summary[Name],0))</f>
        <v>Large</v>
      </c>
      <c r="Q58" s="151"/>
      <c r="R58" s="153" t="e">
        <f t="shared" ca="1" si="87"/>
        <v>#N/A</v>
      </c>
      <c r="S58" s="139">
        <f t="shared" si="88"/>
        <v>36</v>
      </c>
      <c r="T58" s="139" t="s">
        <v>239</v>
      </c>
    </row>
    <row r="59" spans="2:114" ht="13.9" x14ac:dyDescent="0.35">
      <c r="C59" t="e">
        <f t="shared" ca="1" si="80"/>
        <v>#N/A</v>
      </c>
      <c r="D59" s="138" t="e">
        <f t="shared" ca="1" si="81"/>
        <v>#N/A</v>
      </c>
      <c r="E59" s="138" t="e">
        <f t="shared" ca="1" si="82"/>
        <v>#N/A</v>
      </c>
      <c r="F59" s="138" t="e">
        <f t="shared" ca="1" si="83"/>
        <v>#N/A</v>
      </c>
      <c r="G59" s="138" t="e">
        <f t="shared" ca="1" si="84"/>
        <v>#N/A</v>
      </c>
      <c r="I59" s="139"/>
      <c r="J59" s="139" t="s">
        <v>252</v>
      </c>
      <c r="K59" s="139">
        <f t="shared" si="85"/>
        <v>49</v>
      </c>
      <c r="L59" s="152" t="str">
        <f>INDEX(own_summary[Label],MATCH(J59,own_summary[Name],0))</f>
        <v>Cat (Experience)</v>
      </c>
      <c r="M59" s="149"/>
      <c r="N59" s="153" t="e">
        <f t="shared" ca="1" si="86"/>
        <v>#N/A</v>
      </c>
      <c r="P59" s="152" t="str">
        <f>INDEX(own_summary[Label],MATCH(T59,own_summary[Name],0))</f>
        <v>Cat (Experience)</v>
      </c>
      <c r="Q59" s="151"/>
      <c r="R59" s="153" t="e">
        <f t="shared" ca="1" si="87"/>
        <v>#N/A</v>
      </c>
      <c r="S59" s="139">
        <f t="shared" si="88"/>
        <v>40</v>
      </c>
      <c r="T59" s="139" t="s">
        <v>243</v>
      </c>
    </row>
    <row r="60" spans="2:114" ht="13.9" x14ac:dyDescent="0.35">
      <c r="C60" t="e">
        <f t="shared" ca="1" si="80"/>
        <v>#N/A</v>
      </c>
      <c r="D60" s="138" t="e">
        <f t="shared" ca="1" si="81"/>
        <v>#N/A</v>
      </c>
      <c r="E60" s="138" t="e">
        <f t="shared" ca="1" si="82"/>
        <v>#N/A</v>
      </c>
      <c r="F60" s="138" t="e">
        <f t="shared" ca="1" si="83"/>
        <v>#N/A</v>
      </c>
      <c r="G60" s="138" t="e">
        <f t="shared" ca="1" si="84"/>
        <v>#N/A</v>
      </c>
      <c r="I60" s="139"/>
      <c r="J60" s="139" t="s">
        <v>253</v>
      </c>
      <c r="K60" s="139">
        <f t="shared" si="85"/>
        <v>50</v>
      </c>
      <c r="L60" s="152" t="str">
        <f>INDEX(own_summary[Label],MATCH(J60,own_summary[Name],0))</f>
        <v>Cat (BP)</v>
      </c>
      <c r="M60" s="149"/>
      <c r="N60" s="153" t="e">
        <f t="shared" ca="1" si="86"/>
        <v>#N/A</v>
      </c>
      <c r="P60" s="152" t="str">
        <f>INDEX(own_summary[Label],MATCH(T60,own_summary[Name],0))</f>
        <v>Cat (BP)</v>
      </c>
      <c r="Q60" s="151"/>
      <c r="R60" s="153" t="e">
        <f t="shared" ca="1" si="87"/>
        <v>#N/A</v>
      </c>
      <c r="S60" s="139">
        <f t="shared" si="88"/>
        <v>41</v>
      </c>
      <c r="T60" s="139" t="s">
        <v>244</v>
      </c>
    </row>
    <row r="61" spans="2:114" ht="13.9" x14ac:dyDescent="0.35">
      <c r="C61" t="e">
        <f t="shared" ca="1" si="80"/>
        <v>#N/A</v>
      </c>
      <c r="D61" s="138" t="e">
        <f t="shared" ca="1" si="81"/>
        <v>#N/A</v>
      </c>
      <c r="E61" s="138" t="e">
        <f t="shared" ca="1" si="82"/>
        <v>#N/A</v>
      </c>
      <c r="F61" s="138" t="e">
        <f t="shared" ca="1" si="83"/>
        <v>#N/A</v>
      </c>
      <c r="G61" s="138" t="e">
        <f t="shared" ca="1" si="84"/>
        <v>#N/A</v>
      </c>
      <c r="I61" s="139"/>
      <c r="J61" s="139" t="s">
        <v>254</v>
      </c>
      <c r="K61" s="139">
        <f t="shared" si="85"/>
        <v>51</v>
      </c>
      <c r="L61" s="152" t="str">
        <f>INDEX(own_summary[Label],MATCH(J61,own_summary[Name],0))</f>
        <v>Cat (RMS)</v>
      </c>
      <c r="M61" s="149"/>
      <c r="N61" s="153" t="e">
        <f t="shared" ca="1" si="86"/>
        <v>#N/A</v>
      </c>
      <c r="P61" s="152" t="str">
        <f>INDEX(own_summary[Label],MATCH(T61,own_summary[Name],0))</f>
        <v>Cat (RMS)</v>
      </c>
      <c r="Q61" s="151"/>
      <c r="R61" s="153" t="e">
        <f t="shared" ca="1" si="87"/>
        <v>#N/A</v>
      </c>
      <c r="S61" s="139">
        <f t="shared" si="88"/>
        <v>42</v>
      </c>
      <c r="T61" s="139" t="s">
        <v>245</v>
      </c>
    </row>
    <row r="62" spans="2:114" ht="13.9" x14ac:dyDescent="0.35">
      <c r="C62" t="e">
        <f t="shared" ca="1" si="80"/>
        <v>#N/A</v>
      </c>
      <c r="D62" s="138" t="e">
        <f t="shared" ca="1" si="81"/>
        <v>#N/A</v>
      </c>
      <c r="E62" s="138" t="e">
        <f t="shared" ca="1" si="82"/>
        <v>#N/A</v>
      </c>
      <c r="F62" s="138" t="e">
        <f t="shared" ca="1" si="83"/>
        <v>#N/A</v>
      </c>
      <c r="G62" s="138" t="e">
        <f t="shared" ca="1" si="84"/>
        <v>#N/A</v>
      </c>
      <c r="I62" s="139"/>
      <c r="J62" s="139" t="s">
        <v>255</v>
      </c>
      <c r="K62" s="139">
        <f t="shared" si="85"/>
        <v>52</v>
      </c>
      <c r="L62" s="152" t="str">
        <f>INDEX(own_summary[Label],MATCH(J62,own_summary[Name],0))</f>
        <v>Cat Basis</v>
      </c>
      <c r="M62" s="149"/>
      <c r="N62" s="150" t="e">
        <f t="shared" ca="1" si="86"/>
        <v>#N/A</v>
      </c>
      <c r="P62" s="152" t="str">
        <f>INDEX(own_summary[Label],MATCH(T62,own_summary[Name],0))</f>
        <v>Cat Basis</v>
      </c>
      <c r="Q62" s="151"/>
      <c r="R62" s="150" t="e">
        <f t="shared" ca="1" si="87"/>
        <v>#N/A</v>
      </c>
      <c r="S62" s="139">
        <f t="shared" si="88"/>
        <v>43</v>
      </c>
      <c r="T62" s="139" t="s">
        <v>246</v>
      </c>
    </row>
    <row r="63" spans="2:114" ht="13.9" x14ac:dyDescent="0.35">
      <c r="C63" t="e">
        <f t="shared" ca="1" si="80"/>
        <v>#N/A</v>
      </c>
      <c r="D63" s="138" t="e">
        <f t="shared" ca="1" si="81"/>
        <v>#N/A</v>
      </c>
      <c r="E63" s="138" t="e">
        <f t="shared" ca="1" si="82"/>
        <v>#N/A</v>
      </c>
      <c r="F63" s="138" t="e">
        <f t="shared" ca="1" si="83"/>
        <v>#N/A</v>
      </c>
      <c r="G63" s="138" t="e">
        <f t="shared" ca="1" si="84"/>
        <v>#N/A</v>
      </c>
      <c r="I63" s="139"/>
      <c r="J63" s="139" t="s">
        <v>249</v>
      </c>
      <c r="K63" s="139">
        <f t="shared" si="85"/>
        <v>46</v>
      </c>
      <c r="L63" s="143" t="str">
        <f>INDEX(own_summary[Label],MATCH(J63,own_summary[Name],0))</f>
        <v>Cat (on
Selected
Basis)</v>
      </c>
      <c r="M63" s="144"/>
      <c r="N63" s="141" t="e">
        <f t="shared" ca="1" si="86"/>
        <v>#N/A</v>
      </c>
      <c r="P63" s="143" t="str">
        <f>INDEX(own_summary[Label],MATCH(T63,own_summary[Name],0))</f>
        <v>Cat (on
Selected
Basis)</v>
      </c>
      <c r="Q63" s="142"/>
      <c r="R63" s="141" t="e">
        <f t="shared" ca="1" si="87"/>
        <v>#N/A</v>
      </c>
      <c r="S63" s="139">
        <f t="shared" si="88"/>
        <v>37</v>
      </c>
      <c r="T63" s="139" t="s">
        <v>240</v>
      </c>
    </row>
    <row r="64" spans="2:114" ht="13.9" x14ac:dyDescent="0.35">
      <c r="C64" t="e">
        <f t="shared" ca="1" si="80"/>
        <v>#N/A</v>
      </c>
      <c r="D64" s="138" t="e">
        <f t="shared" ca="1" si="81"/>
        <v>#N/A</v>
      </c>
      <c r="E64" s="138" t="e">
        <f t="shared" ca="1" si="82"/>
        <v>#N/A</v>
      </c>
      <c r="F64" s="138" t="e">
        <f t="shared" ca="1" si="83"/>
        <v>#N/A</v>
      </c>
      <c r="G64" s="138" t="e">
        <f t="shared" ca="1" si="84"/>
        <v>#N/A</v>
      </c>
      <c r="I64" s="139"/>
      <c r="J64" s="139"/>
      <c r="K64" s="139"/>
      <c r="L64" s="149"/>
      <c r="M64" s="149"/>
      <c r="P64" s="149"/>
      <c r="Q64" s="149"/>
      <c r="S64" s="139"/>
      <c r="T64" s="139"/>
    </row>
    <row r="65" spans="3:20" ht="13.9" x14ac:dyDescent="0.35">
      <c r="C65" t="e">
        <f t="shared" ca="1" si="80"/>
        <v>#N/A</v>
      </c>
      <c r="D65" s="138" t="e">
        <f t="shared" ca="1" si="81"/>
        <v>#N/A</v>
      </c>
      <c r="E65" s="138" t="e">
        <f t="shared" ca="1" si="82"/>
        <v>#N/A</v>
      </c>
      <c r="F65" s="138" t="e">
        <f t="shared" ca="1" si="83"/>
        <v>#N/A</v>
      </c>
      <c r="G65" s="138" t="e">
        <f t="shared" ca="1" si="84"/>
        <v>#N/A</v>
      </c>
      <c r="I65" s="139"/>
      <c r="J65" s="139" t="s">
        <v>250</v>
      </c>
      <c r="K65" s="139">
        <f>MATCH(J65,$93:$93,0)-1</f>
        <v>47</v>
      </c>
      <c r="L65" s="147" t="str">
        <f>INDEX(own_summary[Label],MATCH(J65,own_summary[Name],0))</f>
        <v>Total</v>
      </c>
      <c r="M65" s="148"/>
      <c r="N65" s="145" t="e">
        <f ca="1">IF(ISNA(K65),"",OFFSET($B$95,0,K65-1))</f>
        <v>#N/A</v>
      </c>
      <c r="P65" s="147" t="str">
        <f>INDEX(own_summary[Label],MATCH(T65,own_summary[Name],0))</f>
        <v>Total</v>
      </c>
      <c r="Q65" s="146"/>
      <c r="R65" s="145" t="e">
        <f ca="1">IF(ISNA(S65),"",OFFSET($B$95,0,S65-1))</f>
        <v>#N/A</v>
      </c>
      <c r="S65" s="139">
        <f>MATCH(T65,$93:$93,0)-1</f>
        <v>38</v>
      </c>
      <c r="T65" s="139" t="s">
        <v>241</v>
      </c>
    </row>
    <row r="66" spans="3:20" ht="13.9" x14ac:dyDescent="0.35">
      <c r="C66" t="e">
        <f t="shared" ca="1" si="80"/>
        <v>#N/A</v>
      </c>
      <c r="D66" s="138" t="e">
        <f t="shared" ca="1" si="81"/>
        <v>#N/A</v>
      </c>
      <c r="E66" s="138" t="e">
        <f t="shared" ca="1" si="82"/>
        <v>#N/A</v>
      </c>
      <c r="F66" s="138" t="e">
        <f t="shared" ca="1" si="83"/>
        <v>#N/A</v>
      </c>
      <c r="G66" s="138" t="e">
        <f t="shared" ca="1" si="84"/>
        <v>#N/A</v>
      </c>
      <c r="I66" s="139"/>
      <c r="J66" s="139" t="s">
        <v>251</v>
      </c>
      <c r="K66" s="139">
        <f>MATCH(J66,$93:$93,0)-1</f>
        <v>48</v>
      </c>
      <c r="L66" s="143" t="str">
        <f>INDEX(own_summary[Label],MATCH(J66,own_summary[Name],0))</f>
        <v>Total
(Excl. CAT)</v>
      </c>
      <c r="M66" s="144"/>
      <c r="N66" s="141" t="e">
        <f ca="1">IF(ISNA(K66),"",OFFSET($B$95,0,K66-1))</f>
        <v>#N/A</v>
      </c>
      <c r="P66" s="143" t="str">
        <f>INDEX(own_summary[Label],MATCH(T66,own_summary[Name],0))</f>
        <v>Total
(Excl. CAT)</v>
      </c>
      <c r="Q66" s="142"/>
      <c r="R66" s="141" t="e">
        <f ca="1">IF(ISNA(S66),"",OFFSET($B$95,0,S66-1))</f>
        <v>#N/A</v>
      </c>
      <c r="S66" s="139">
        <f>MATCH(T66,$93:$93,0)-1</f>
        <v>39</v>
      </c>
      <c r="T66" s="139" t="s">
        <v>242</v>
      </c>
    </row>
    <row r="67" spans="3:20" ht="13.9" x14ac:dyDescent="0.35">
      <c r="C67" t="e">
        <f t="shared" ca="1" si="80"/>
        <v>#N/A</v>
      </c>
      <c r="D67" s="138" t="e">
        <f t="shared" ca="1" si="81"/>
        <v>#N/A</v>
      </c>
      <c r="E67" s="138" t="e">
        <f t="shared" ca="1" si="82"/>
        <v>#N/A</v>
      </c>
      <c r="F67" s="138" t="e">
        <f t="shared" ca="1" si="83"/>
        <v>#N/A</v>
      </c>
      <c r="G67" s="138" t="e">
        <f t="shared" ca="1" si="84"/>
        <v>#N/A</v>
      </c>
      <c r="I67" s="139"/>
      <c r="J67" s="139"/>
      <c r="K67" s="139"/>
    </row>
    <row r="68" spans="3:20" ht="13.9" x14ac:dyDescent="0.35">
      <c r="C68" t="e">
        <f t="shared" ca="1" si="80"/>
        <v>#N/A</v>
      </c>
      <c r="D68" s="138" t="e">
        <f t="shared" ca="1" si="81"/>
        <v>#N/A</v>
      </c>
      <c r="E68" s="138" t="e">
        <f t="shared" ca="1" si="82"/>
        <v>#N/A</v>
      </c>
      <c r="F68" s="138" t="e">
        <f t="shared" ca="1" si="83"/>
        <v>#N/A</v>
      </c>
      <c r="G68" s="138" t="e">
        <f t="shared" ca="1" si="84"/>
        <v>#N/A</v>
      </c>
      <c r="I68" s="139"/>
      <c r="J68" s="139"/>
      <c r="K68" s="139"/>
    </row>
    <row r="69" spans="3:20" ht="13.9" x14ac:dyDescent="0.4">
      <c r="C69" t="e">
        <f t="shared" ca="1" si="80"/>
        <v>#N/A</v>
      </c>
      <c r="D69" s="138" t="e">
        <f t="shared" ca="1" si="81"/>
        <v>#N/A</v>
      </c>
      <c r="E69" s="138" t="e">
        <f t="shared" ca="1" si="82"/>
        <v>#N/A</v>
      </c>
      <c r="F69" s="138" t="e">
        <f t="shared" ca="1" si="83"/>
        <v>#N/A</v>
      </c>
      <c r="G69" s="138" t="e">
        <f t="shared" ca="1" si="84"/>
        <v>#N/A</v>
      </c>
      <c r="I69" s="139"/>
      <c r="J69" s="139"/>
      <c r="K69" s="139"/>
      <c r="L69" s="140" t="s">
        <v>1054</v>
      </c>
    </row>
    <row r="70" spans="3:20" ht="13.9" x14ac:dyDescent="0.35">
      <c r="C70" t="e">
        <f t="shared" ca="1" si="80"/>
        <v>#N/A</v>
      </c>
      <c r="D70" s="138" t="e">
        <f t="shared" ca="1" si="81"/>
        <v>#N/A</v>
      </c>
      <c r="E70" s="138" t="e">
        <f t="shared" ca="1" si="82"/>
        <v>#N/A</v>
      </c>
      <c r="F70" s="138" t="e">
        <f t="shared" ca="1" si="83"/>
        <v>#N/A</v>
      </c>
      <c r="G70" s="138" t="e">
        <f t="shared" ca="1" si="84"/>
        <v>#N/A</v>
      </c>
      <c r="I70" s="139"/>
      <c r="J70" s="139" t="s">
        <v>270</v>
      </c>
      <c r="K70" s="139">
        <f>MATCH(J70,$93:$93,0)-1</f>
        <v>67</v>
      </c>
      <c r="L70" s="265" t="e">
        <f ca="1">IF(ISNA(K70),"",OFFSET($B$95,0,K70-1))</f>
        <v>#N/A</v>
      </c>
      <c r="M70" s="266"/>
      <c r="N70" s="266"/>
      <c r="O70" s="266"/>
      <c r="P70" s="266"/>
      <c r="Q70" s="266"/>
      <c r="R70" s="267"/>
    </row>
    <row r="71" spans="3:20" x14ac:dyDescent="0.35">
      <c r="C71" t="e">
        <f t="shared" ca="1" si="80"/>
        <v>#N/A</v>
      </c>
      <c r="D71" s="138" t="e">
        <f t="shared" ca="1" si="81"/>
        <v>#N/A</v>
      </c>
      <c r="E71" s="138" t="e">
        <f t="shared" ca="1" si="82"/>
        <v>#N/A</v>
      </c>
      <c r="F71" s="138" t="e">
        <f t="shared" ca="1" si="83"/>
        <v>#N/A</v>
      </c>
      <c r="G71" s="138" t="e">
        <f t="shared" ca="1" si="84"/>
        <v>#N/A</v>
      </c>
      <c r="L71" s="268"/>
      <c r="M71" s="269"/>
      <c r="N71" s="269"/>
      <c r="O71" s="269"/>
      <c r="P71" s="269"/>
      <c r="Q71" s="269"/>
      <c r="R71" s="270"/>
    </row>
    <row r="72" spans="3:20" x14ac:dyDescent="0.35">
      <c r="C72" t="e">
        <f t="shared" ca="1" si="80"/>
        <v>#N/A</v>
      </c>
      <c r="D72" s="138" t="e">
        <f t="shared" ca="1" si="81"/>
        <v>#N/A</v>
      </c>
      <c r="E72" s="138" t="e">
        <f t="shared" ca="1" si="82"/>
        <v>#N/A</v>
      </c>
      <c r="F72" s="138" t="e">
        <f t="shared" ca="1" si="83"/>
        <v>#N/A</v>
      </c>
      <c r="G72" s="138" t="e">
        <f t="shared" ca="1" si="84"/>
        <v>#N/A</v>
      </c>
      <c r="L72" s="268"/>
      <c r="M72" s="269"/>
      <c r="N72" s="269"/>
      <c r="O72" s="269"/>
      <c r="P72" s="269"/>
      <c r="Q72" s="269"/>
      <c r="R72" s="270"/>
    </row>
    <row r="73" spans="3:20" x14ac:dyDescent="0.35">
      <c r="L73" s="268"/>
      <c r="M73" s="269"/>
      <c r="N73" s="269"/>
      <c r="O73" s="269"/>
      <c r="P73" s="269"/>
      <c r="Q73" s="269"/>
      <c r="R73" s="270"/>
    </row>
    <row r="74" spans="3:20" x14ac:dyDescent="0.35">
      <c r="L74" s="271"/>
      <c r="M74" s="272"/>
      <c r="N74" s="272"/>
      <c r="O74" s="272"/>
      <c r="P74" s="272"/>
      <c r="Q74" s="272"/>
      <c r="R74" s="273"/>
    </row>
    <row r="83" spans="2:138" ht="15" customHeight="1" x14ac:dyDescent="0.4">
      <c r="B83" s="127" t="s">
        <v>1020</v>
      </c>
    </row>
    <row r="84" spans="2:138" x14ac:dyDescent="0.35">
      <c r="B84" t="s">
        <v>1014</v>
      </c>
      <c r="D84" t="s">
        <v>103</v>
      </c>
    </row>
    <row r="85" spans="2:138" x14ac:dyDescent="0.35">
      <c r="B85" t="s">
        <v>1015</v>
      </c>
      <c r="D85" t="str">
        <f ca="1">E20</f>
        <v/>
      </c>
    </row>
    <row r="86" spans="2:138" x14ac:dyDescent="0.35">
      <c r="B86" t="s">
        <v>1016</v>
      </c>
      <c r="D86">
        <f>MATCH(D84,data_oe_summary!1:1,0)</f>
        <v>68</v>
      </c>
    </row>
    <row r="87" spans="2:138" ht="15" customHeight="1" x14ac:dyDescent="0.4">
      <c r="B87" s="126" t="s">
        <v>1017</v>
      </c>
      <c r="C87" s="126"/>
      <c r="D87" s="126" t="e">
        <f ca="1">MATCH(D85,OFFSET(data_oe_summary!A:A,0,D86-1),0)</f>
        <v>#N/A</v>
      </c>
    </row>
    <row r="88" spans="2:138" x14ac:dyDescent="0.35">
      <c r="B88" t="s">
        <v>1018</v>
      </c>
      <c r="D88">
        <f>MATCH(D84,data_oe_detail!1:1,0)</f>
        <v>2</v>
      </c>
    </row>
    <row r="89" spans="2:138" ht="15" customHeight="1" x14ac:dyDescent="0.4">
      <c r="B89" s="126" t="s">
        <v>1019</v>
      </c>
      <c r="C89" s="126"/>
      <c r="D89" s="126" t="e">
        <f ca="1">MATCH(D85,OFFSET(data_oe_detail!A:A,0,D88-1),0)</f>
        <v>#N/A</v>
      </c>
    </row>
    <row r="90" spans="2:138" hidden="1" outlineLevel="1" x14ac:dyDescent="0.35"/>
    <row r="91" spans="2:138" ht="15" hidden="1" customHeight="1" outlineLevel="1" x14ac:dyDescent="0.4">
      <c r="B91" s="127" t="s">
        <v>1013</v>
      </c>
    </row>
    <row r="92" spans="2:138" s="131" customFormat="1" ht="57" hidden="1" customHeight="1" outlineLevel="1" x14ac:dyDescent="0.35">
      <c r="B92" s="130" t="s">
        <v>1023</v>
      </c>
      <c r="C92" s="130" t="str">
        <f>INDEX(own_summary[Label],MATCH(C$93,own_summary[Name],0))</f>
        <v>Claim Source</v>
      </c>
      <c r="D92" s="130" t="str">
        <f>INDEX(own_summary[Label],MATCH(D$93,own_summary[Name],0))</f>
        <v>Claim Basis</v>
      </c>
      <c r="E92" s="130" t="str">
        <f>INDEX(own_summary[Label],MATCH(E$93,own_summary[Name],0))</f>
        <v>Claim to Develop
 to Ultimate</v>
      </c>
      <c r="F92" s="130" t="str">
        <f>INDEX(own_summary[Label],MATCH(F$93,own_summary[Name],0))</f>
        <v>Cat Basis</v>
      </c>
      <c r="G92" s="130" t="str">
        <f>INDEX(own_summary[Label],MATCH(G$93,own_summary[Name],0))</f>
        <v>IELR Method
&amp; Weights</v>
      </c>
      <c r="H92" s="130" t="str">
        <f>INDEX(own_summary[Label],MATCH(H$93,own_summary[Name],0))</f>
        <v>Attritional IELR</v>
      </c>
      <c r="I92" s="130" t="str">
        <f>INDEX(own_summary[Label],MATCH(I$93,own_summary[Name],0))</f>
        <v>Large IELR</v>
      </c>
      <c r="J92" s="130" t="str">
        <f>INDEX(own_summary[Label],MATCH(J$93,own_summary[Name],0))</f>
        <v>CAT IELR</v>
      </c>
      <c r="K92" s="130" t="str">
        <f>INDEX(own_summary[Label],MATCH(K$93,own_summary[Name],0))</f>
        <v>Total IELR</v>
      </c>
      <c r="L92" s="130" t="str">
        <f>INDEX(own_summary[Label],MATCH(L$93,own_summary[Name],0))</f>
        <v>Total (Excl. CAT) IELR</v>
      </c>
      <c r="M92" s="130" t="str">
        <f>INDEX(own_summary[Label],MATCH(M$93,own_summary[Name],0))</f>
        <v>Lloyds Model IELR</v>
      </c>
      <c r="N92" s="130" t="str">
        <f>INDEX(own_summary[Label],MATCH(N$93,own_summary[Name],0))</f>
        <v>Lloyds Model GNULR</v>
      </c>
      <c r="O92" s="130" t="str">
        <f>INDEX(own_summary[Label],MATCH(O$93,own_summary[Name],0))</f>
        <v>Lloyds Selected IELR</v>
      </c>
      <c r="P92" s="130" t="str">
        <f>INDEX(own_summary[Label],MATCH(P$93,own_summary[Name],0))</f>
        <v>Lloyds Selected GNULR</v>
      </c>
      <c r="Q92" s="130" t="str">
        <f>INDEX(own_summary[Label],MATCH(Q$93,own_summary[Name],0))</f>
        <v>Beazley Model IELR</v>
      </c>
      <c r="R92" s="130" t="str">
        <f>INDEX(own_summary[Label],MATCH(R$93,own_summary[Name],0))</f>
        <v>Beazley Model GNULR</v>
      </c>
      <c r="S92" s="130" t="str">
        <f>INDEX(own_summary[Label],MATCH(S$93,own_summary[Name],0))</f>
        <v>Beazley Selected IELR</v>
      </c>
      <c r="T92" s="130" t="str">
        <f>INDEX(own_summary[Label],MATCH(T$93,own_summary[Name],0))</f>
        <v>Beazley Selected GNULR</v>
      </c>
      <c r="U92" s="130" t="str">
        <f>INDEX(own_summary[Label],MATCH(U$93,own_summary[Name],0))</f>
        <v>Attritional IELR</v>
      </c>
      <c r="V92" s="130" t="str">
        <f>INDEX(own_summary[Label],MATCH(V$93,own_summary[Name],0))</f>
        <v>Large IELR</v>
      </c>
      <c r="W92" s="130" t="str">
        <f>INDEX(own_summary[Label],MATCH(W$93,own_summary[Name],0))</f>
        <v>CAT IELR</v>
      </c>
      <c r="X92" s="130" t="str">
        <f>INDEX(own_summary[Label],MATCH(X$93,own_summary[Name],0))</f>
        <v>Total IELR</v>
      </c>
      <c r="Y92" s="130" t="str">
        <f>INDEX(own_summary[Label],MATCH(Y$93,own_summary[Name],0))</f>
        <v>Total (Excl. CAT) IELR</v>
      </c>
      <c r="Z92" s="130" t="str">
        <f>INDEX(own_summary[Label],MATCH(Z$93,own_summary[Name],0))</f>
        <v>Attritional IELR</v>
      </c>
      <c r="AA92" s="130" t="str">
        <f>INDEX(own_summary[Label],MATCH(AA$93,own_summary[Name],0))</f>
        <v>Large IELR</v>
      </c>
      <c r="AB92" s="130" t="str">
        <f>INDEX(own_summary[Label],MATCH(AB$93,own_summary[Name],0))</f>
        <v>CAT IELR</v>
      </c>
      <c r="AC92" s="130" t="str">
        <f>INDEX(own_summary[Label],MATCH(AC$93,own_summary[Name],0))</f>
        <v>Total IELR</v>
      </c>
      <c r="AD92" s="130" t="str">
        <f>INDEX(own_summary[Label],MATCH(AD$93,own_summary[Name],0))</f>
        <v>Total (Excl. CAT) IELR</v>
      </c>
      <c r="AE92" s="130" t="str">
        <f>INDEX(own_summary[Label],MATCH(AE$93,own_summary[Name],0))</f>
        <v>Attritional IELR</v>
      </c>
      <c r="AF92" s="130" t="str">
        <f>INDEX(own_summary[Label],MATCH(AF$93,own_summary[Name],0))</f>
        <v>Large IELR</v>
      </c>
      <c r="AG92" s="130" t="str">
        <f>INDEX(own_summary[Label],MATCH(AG$93,own_summary[Name],0))</f>
        <v>CAT IELR</v>
      </c>
      <c r="AH92" s="130" t="str">
        <f>INDEX(own_summary[Label],MATCH(AH$93,own_summary[Name],0))</f>
        <v>Total IELR</v>
      </c>
      <c r="AI92" s="130" t="str">
        <f>INDEX(own_summary[Label],MATCH(AI$93,own_summary[Name],0))</f>
        <v>Total (Excl. CAT) IELR</v>
      </c>
      <c r="AJ92" s="130" t="str">
        <f>INDEX(own_summary[Label],MATCH(AJ$93,own_summary[Name],0))</f>
        <v>Attritional</v>
      </c>
      <c r="AK92" s="130" t="str">
        <f>INDEX(own_summary[Label],MATCH(AK$93,own_summary[Name],0))</f>
        <v>Large</v>
      </c>
      <c r="AL92" s="130" t="str">
        <f>INDEX(own_summary[Label],MATCH(AL$93,own_summary[Name],0))</f>
        <v>Cat (on
Selected
Basis)</v>
      </c>
      <c r="AM92" s="130" t="str">
        <f>INDEX(own_summary[Label],MATCH(AM$93,own_summary[Name],0))</f>
        <v>Total</v>
      </c>
      <c r="AN92" s="130" t="str">
        <f>INDEX(own_summary[Label],MATCH(AN$93,own_summary[Name],0))</f>
        <v>Total
(Excl. CAT)</v>
      </c>
      <c r="AO92" s="130" t="str">
        <f>INDEX(own_summary[Label],MATCH(AO$93,own_summary[Name],0))</f>
        <v>Cat (Experience)</v>
      </c>
      <c r="AP92" s="130" t="str">
        <f>INDEX(own_summary[Label],MATCH(AP$93,own_summary[Name],0))</f>
        <v>Cat (BP)</v>
      </c>
      <c r="AQ92" s="130" t="str">
        <f>INDEX(own_summary[Label],MATCH(AQ$93,own_summary[Name],0))</f>
        <v>Cat (RMS)</v>
      </c>
      <c r="AR92" s="130" t="str">
        <f>INDEX(own_summary[Label],MATCH(AR$93,own_summary[Name],0))</f>
        <v>Cat Basis</v>
      </c>
      <c r="AS92" s="130" t="str">
        <f>INDEX(own_summary[Label],MATCH(AS$93,own_summary[Name],0))</f>
        <v>Attritional</v>
      </c>
      <c r="AT92" s="130" t="str">
        <f>INDEX(own_summary[Label],MATCH(AT$93,own_summary[Name],0))</f>
        <v>Large</v>
      </c>
      <c r="AU92" s="130" t="str">
        <f>INDEX(own_summary[Label],MATCH(AU$93,own_summary[Name],0))</f>
        <v>Cat (on
Selected
Basis)</v>
      </c>
      <c r="AV92" s="130" t="str">
        <f>INDEX(own_summary[Label],MATCH(AV$93,own_summary[Name],0))</f>
        <v>Total</v>
      </c>
      <c r="AW92" s="130" t="str">
        <f>INDEX(own_summary[Label],MATCH(AW$93,own_summary[Name],0))</f>
        <v>Total
(Excl. CAT)</v>
      </c>
      <c r="AX92" s="130" t="str">
        <f>INDEX(own_summary[Label],MATCH(AX$93,own_summary[Name],0))</f>
        <v>Cat (Experience)</v>
      </c>
      <c r="AY92" s="130" t="str">
        <f>INDEX(own_summary[Label],MATCH(AY$93,own_summary[Name],0))</f>
        <v>Cat (BP)</v>
      </c>
      <c r="AZ92" s="130" t="str">
        <f>INDEX(own_summary[Label],MATCH(AZ$93,own_summary[Name],0))</f>
        <v>Cat (RMS)</v>
      </c>
      <c r="BA92" s="130" t="str">
        <f>INDEX(own_summary[Label],MATCH(BA$93,own_summary[Name],0))</f>
        <v>Cat Basis</v>
      </c>
      <c r="BB92" s="130" t="str">
        <f>INDEX(own_summary[Label],MATCH(BB$93,own_summary[Name],0))</f>
        <v>Devt</v>
      </c>
      <c r="BC92" s="130" t="str">
        <f>INDEX(own_summary[Label],MATCH(BC$93,own_summary[Name],0))</f>
        <v>Indices</v>
      </c>
      <c r="BD92" s="130" t="str">
        <f>INDEX(own_summary[Label],MATCH(BD$93,own_summary[Name],0))</f>
        <v>Premium</v>
      </c>
      <c r="BE92" s="130" t="str">
        <f>INDEX(own_summary[Label],MATCH(BE$93,own_summary[Name],0))</f>
        <v>IELR Wgt</v>
      </c>
      <c r="BF92" s="130" t="str">
        <f>INDEX(own_summary[Label],MATCH(BF$93,own_summary[Name],0))</f>
        <v>IELR</v>
      </c>
      <c r="BG92" s="130" t="str">
        <f>INDEX(own_summary[Label],MATCH(BG$93,own_summary[Name],0))</f>
        <v>IBNR add</v>
      </c>
      <c r="BH92" s="130" t="str">
        <f>INDEX(own_summary[Label],MATCH(BH$93,own_summary[Name],0))</f>
        <v>Ult Mtd</v>
      </c>
      <c r="BI92" s="130" t="str">
        <f>INDEX(own_summary[Label],MATCH(BI$93,own_summary[Name],0))</f>
        <v>Ult</v>
      </c>
      <c r="BJ92" s="130" t="str">
        <f>INDEX(own_summary[Label],MATCH(BJ$93,own_summary[Name],0))</f>
        <v>ULR Wgt</v>
      </c>
      <c r="BK92" s="130" t="str">
        <f>INDEX(own_summary[Label],MATCH(BK$93,own_summary[Name],0))</f>
        <v>ULR</v>
      </c>
      <c r="BL92" s="130" t="str">
        <f>INDEX(own_summary[Label],MATCH(BL$93,own_summary[Name],0))</f>
        <v>ATT COV</v>
      </c>
      <c r="BM92" s="130" t="str">
        <f>INDEX(own_summary[Label],MATCH(BM$93,own_summary[Name],0))</f>
        <v>LRG COV</v>
      </c>
      <c r="BN92" s="130" t="str">
        <f>INDEX(own_summary[Label],MATCH(BN$93,own_summary[Name],0))</f>
        <v>CAT COV</v>
      </c>
      <c r="BO92" s="130" t="str">
        <f>INDEX(own_summary[Label],MATCH(BO$93,own_summary[Name],0))</f>
        <v>TOTAL COV</v>
      </c>
      <c r="BP92" s="130" t="str">
        <f>INDEX(own_summary[Label],MATCH(BP$93,own_summary[Name],0))</f>
        <v>Actuarial Notes</v>
      </c>
      <c r="BQ92" s="130" t="str">
        <f>INDEX(own_summary[Label],MATCH(BQ$93,own_summary[Name],0))</f>
        <v>Number of Line of Business</v>
      </c>
      <c r="BR92" s="130" t="str">
        <f>INDEX(own_summary[Label],MATCH(BR$93,own_summary[Name],0))</f>
        <v>Selected Line of Business</v>
      </c>
      <c r="BS92" s="130" t="str">
        <f>INDEX(own_summary[Label],MATCH(BS$93,own_summary[Name],0))</f>
        <v>YoA</v>
      </c>
      <c r="BT92" s="130" t="str">
        <f>INDEX(own_summary[Label],MATCH(BT$93,own_summary[Name],0))</f>
        <v>Latest
GPI</v>
      </c>
      <c r="BU92" s="130" t="str">
        <f>INDEX(own_summary[Label],MATCH(BU$93,own_summary[Name],0))</f>
        <v>Latest
GNPI</v>
      </c>
      <c r="BV92" s="130" t="str">
        <f>INDEX(own_summary[Label],MATCH(BV$93,own_summary[Name],0))</f>
        <v>Acquisition
Costs %</v>
      </c>
      <c r="BW92" s="130" t="str">
        <f>INDEX(own_summary[Label],MATCH(BW$93,own_summary[Name],0))</f>
        <v>Ultimate
GNPI -
CL</v>
      </c>
      <c r="BX92" s="130" t="str">
        <f>INDEX(own_summary[Label],MATCH(BX$93,own_summary[Name],0))</f>
        <v>Ultimate
GNPI -
Override</v>
      </c>
      <c r="BY92" s="130" t="str">
        <f>INDEX(own_summary[Label],MATCH(BY$93,own_summary[Name],0))</f>
        <v>Ultimate
GNPI -
Selected</v>
      </c>
      <c r="BZ92" s="130" t="str">
        <f>INDEX(own_summary[Label],MATCH(BZ$93,own_summary[Name],0))</f>
        <v>Ultimate
GNPI
On-level
Selected</v>
      </c>
      <c r="CA92" s="130" t="str">
        <f>INDEX(own_summary[Label],MATCH(CA$93,own_summary[Name],0))</f>
        <v>CL - IELR</v>
      </c>
      <c r="CB92" s="130" t="str">
        <f>INDEX(own_summary[Label],MATCH(CB$93,own_summary[Name],0))</f>
        <v>Attritional</v>
      </c>
      <c r="CC92" s="130" t="str">
        <f>INDEX(own_summary[Label],MATCH(CC$93,own_summary[Name],0))</f>
        <v>Large</v>
      </c>
      <c r="CD92" s="130" t="str">
        <f>INDEX(own_summary[Label],MATCH(CD$93,own_summary[Name],0))</f>
        <v>Cat</v>
      </c>
      <c r="CE92" s="130" t="str">
        <f>INDEX(own_summary[Label],MATCH(CE$93,own_summary[Name],0))</f>
        <v>Total</v>
      </c>
      <c r="CF92" s="130" t="str">
        <f>INDEX(own_summary[Label],MATCH(CF$93,own_summary[Name],0))</f>
        <v>is_row_visible</v>
      </c>
      <c r="CG92" s="130" t="str">
        <f>INDEX(own_summary[Label],MATCH(CG$93,own_summary[Name],0))</f>
        <v>lob_visible_1</v>
      </c>
      <c r="CH92" s="130" t="str">
        <f>INDEX(own_summary[Label],MATCH(CH$93,own_summary[Name],0))</f>
        <v>lob_visible_2</v>
      </c>
      <c r="CI92" s="130" t="str">
        <f>INDEX(own_summary[Label],MATCH(CI$93,own_summary[Name],0))</f>
        <v>lob_visible_3</v>
      </c>
      <c r="CJ92" s="130" t="str">
        <f>INDEX(own_summary[Label],MATCH(CJ$93,own_summary[Name],0))</f>
        <v>Attritional</v>
      </c>
      <c r="CK92" s="130" t="str">
        <f>INDEX(own_summary[Label],MATCH(CK$93,own_summary[Name],0))</f>
        <v>Attritional</v>
      </c>
      <c r="CL92" s="130" t="str">
        <f>INDEX(own_summary[Label],MATCH(CL$93,own_summary[Name],0))</f>
        <v>Attritional</v>
      </c>
      <c r="CM92" s="130" t="str">
        <f>INDEX(own_summary[Label],MATCH(CM$93,own_summary[Name],0))</f>
        <v>Attritional</v>
      </c>
      <c r="CN92" s="130" t="str">
        <f>INDEX(own_summary[Label],MATCH(CN$93,own_summary[Name],0))</f>
        <v>Attritional</v>
      </c>
      <c r="CO92" s="130" t="str">
        <f>INDEX(own_summary[Label],MATCH(CO$93,own_summary[Name],0))</f>
        <v>Attritional</v>
      </c>
      <c r="CP92" s="130" t="str">
        <f>INDEX(own_summary[Label],MATCH(CP$93,own_summary[Name],0))</f>
        <v>Attritional</v>
      </c>
      <c r="CQ92" s="130" t="str">
        <f>INDEX(own_summary[Label],MATCH(CQ$93,own_summary[Name],0))</f>
        <v>Attritional</v>
      </c>
      <c r="CR92" s="130" t="str">
        <f>INDEX(own_summary[Label],MATCH(CR$93,own_summary[Name],0))</f>
        <v>Attritional</v>
      </c>
      <c r="CS92" s="130" t="str">
        <f>INDEX(own_summary[Label],MATCH(CS$93,own_summary[Name],0))</f>
        <v>Attritional</v>
      </c>
      <c r="CT92" s="130" t="str">
        <f>INDEX(own_summary[Label],MATCH(CT$93,own_summary[Name],0))</f>
        <v>Attritional</v>
      </c>
      <c r="CU92" s="130" t="str">
        <f>INDEX(own_summary[Label],MATCH(CU$93,own_summary[Name],0))</f>
        <v>Attritional</v>
      </c>
      <c r="CV92" s="130" t="str">
        <f>INDEX(own_summary[Label],MATCH(CV$93,own_summary[Name],0))</f>
        <v>Large</v>
      </c>
      <c r="CW92" s="130" t="str">
        <f>INDEX(own_summary[Label],MATCH(CW$93,own_summary[Name],0))</f>
        <v>Large</v>
      </c>
      <c r="CX92" s="130" t="str">
        <f>INDEX(own_summary[Label],MATCH(CX$93,own_summary[Name],0))</f>
        <v>Large</v>
      </c>
      <c r="CY92" s="130" t="str">
        <f>INDEX(own_summary[Label],MATCH(CY$93,own_summary[Name],0))</f>
        <v>Large</v>
      </c>
      <c r="CZ92" s="130" t="str">
        <f>INDEX(own_summary[Label],MATCH(CZ$93,own_summary[Name],0))</f>
        <v>Large</v>
      </c>
      <c r="DA92" s="130" t="str">
        <f>INDEX(own_summary[Label],MATCH(DA$93,own_summary[Name],0))</f>
        <v>Large</v>
      </c>
      <c r="DB92" s="130" t="str">
        <f>INDEX(own_summary[Label],MATCH(DB$93,own_summary[Name],0))</f>
        <v>Large</v>
      </c>
      <c r="DC92" s="130" t="str">
        <f>INDEX(own_summary[Label],MATCH(DC$93,own_summary[Name],0))</f>
        <v>Large</v>
      </c>
      <c r="DD92" s="130" t="str">
        <f>INDEX(own_summary[Label],MATCH(DD$93,own_summary[Name],0))</f>
        <v>Large</v>
      </c>
      <c r="DE92" s="130" t="str">
        <f>INDEX(own_summary[Label],MATCH(DE$93,own_summary[Name],0))</f>
        <v>Large</v>
      </c>
      <c r="DF92" s="130" t="str">
        <f>INDEX(own_summary[Label],MATCH(DF$93,own_summary[Name],0))</f>
        <v>Large</v>
      </c>
      <c r="DG92" s="130" t="str">
        <f>INDEX(own_summary[Label],MATCH(DG$93,own_summary[Name],0))</f>
        <v>Large</v>
      </c>
      <c r="DH92" s="130" t="str">
        <f>INDEX(own_summary[Label],MATCH(DH$93,own_summary[Name],0))</f>
        <v>Cat</v>
      </c>
      <c r="DI92" s="130" t="str">
        <f>INDEX(own_summary[Label],MATCH(DI$93,own_summary[Name],0))</f>
        <v>Cat</v>
      </c>
      <c r="DJ92" s="130" t="str">
        <f>INDEX(own_summary[Label],MATCH(DJ$93,own_summary[Name],0))</f>
        <v>Cat</v>
      </c>
      <c r="DK92" s="130" t="str">
        <f>INDEX(own_summary[Label],MATCH(DK$93,own_summary[Name],0))</f>
        <v>Cat</v>
      </c>
      <c r="DL92" s="130" t="str">
        <f>INDEX(own_summary[Label],MATCH(DL$93,own_summary[Name],0))</f>
        <v>Cat</v>
      </c>
      <c r="DM92" s="130" t="str">
        <f>INDEX(own_summary[Label],MATCH(DM$93,own_summary[Name],0))</f>
        <v>Cat</v>
      </c>
      <c r="DN92" s="130" t="str">
        <f>INDEX(own_summary[Label],MATCH(DN$93,own_summary[Name],0))</f>
        <v>Cat</v>
      </c>
      <c r="DO92" s="130" t="str">
        <f>INDEX(own_summary[Label],MATCH(DO$93,own_summary[Name],0))</f>
        <v>Cat</v>
      </c>
      <c r="DP92" s="130" t="str">
        <f>INDEX(own_summary[Label],MATCH(DP$93,own_summary[Name],0))</f>
        <v>Cat</v>
      </c>
      <c r="DQ92" s="130" t="str">
        <f>INDEX(own_summary[Label],MATCH(DQ$93,own_summary[Name],0))</f>
        <v>Cat</v>
      </c>
      <c r="DR92" s="130" t="str">
        <f>INDEX(own_summary[Label],MATCH(DR$93,own_summary[Name],0))</f>
        <v>Cat</v>
      </c>
      <c r="DS92" s="130" t="str">
        <f>INDEX(own_summary[Label],MATCH(DS$93,own_summary[Name],0))</f>
        <v>Cat</v>
      </c>
      <c r="DT92" s="130" t="str">
        <f>INDEX(own_summary[Label],MATCH(DT$93,own_summary[Name],0))</f>
        <v>Total</v>
      </c>
      <c r="DU92" s="130" t="str">
        <f>INDEX(own_summary[Label],MATCH(DU$93,own_summary[Name],0))</f>
        <v>Total</v>
      </c>
      <c r="DV92" s="130" t="str">
        <f>INDEX(own_summary[Label],MATCH(DV$93,own_summary[Name],0))</f>
        <v>Total</v>
      </c>
      <c r="DW92" s="130" t="str">
        <f>INDEX(own_summary[Label],MATCH(DW$93,own_summary[Name],0))</f>
        <v>Total</v>
      </c>
      <c r="DX92" s="130" t="str">
        <f>INDEX(own_summary[Label],MATCH(DX$93,own_summary[Name],0))</f>
        <v>Total</v>
      </c>
      <c r="DY92" s="130" t="str">
        <f>INDEX(own_summary[Label],MATCH(DY$93,own_summary[Name],0))</f>
        <v>Total</v>
      </c>
      <c r="DZ92" s="130" t="str">
        <f>INDEX(own_summary[Label],MATCH(DZ$93,own_summary[Name],0))</f>
        <v>Total</v>
      </c>
      <c r="EA92" s="130" t="str">
        <f>INDEX(own_summary[Label],MATCH(EA$93,own_summary[Name],0))</f>
        <v>Total</v>
      </c>
      <c r="EB92" s="130" t="str">
        <f>INDEX(own_summary[Label],MATCH(EB$93,own_summary[Name],0))</f>
        <v>Total</v>
      </c>
      <c r="EC92" s="130" t="str">
        <f>INDEX(own_summary[Label],MATCH(EC$93,own_summary[Name],0))</f>
        <v>Total</v>
      </c>
      <c r="ED92" s="130" t="str">
        <f>INDEX(own_summary[Label],MATCH(ED$93,own_summary[Name],0))</f>
        <v>Total</v>
      </c>
      <c r="EE92" s="130" t="str">
        <f>INDEX(own_summary[Label],MATCH(EE$93,own_summary[Name],0))</f>
        <v>Total</v>
      </c>
      <c r="EF92" s="130" t="str">
        <f>INDEX(own_summary[Label],MATCH(EF$93,own_summary[Name],0))</f>
        <v>Total
(excl. Cat)</v>
      </c>
      <c r="EG92" s="130" t="str">
        <f>INDEX(own_summary[Label],MATCH(EG$93,own_summary[Name],0))</f>
        <v>Total
(excl. Cat)</v>
      </c>
      <c r="EH92" s="130" t="str">
        <f>INDEX(own_summary[Label],MATCH(EH$93,own_summary[Name],0))</f>
        <v>Total
(excl. Cat)</v>
      </c>
    </row>
    <row r="93" spans="2:138" s="131" customFormat="1" ht="68.25" hidden="1" customHeight="1" outlineLevel="1" x14ac:dyDescent="0.35">
      <c r="B93" s="130" t="s">
        <v>1022</v>
      </c>
      <c r="C93" s="130" t="str">
        <f>data_oe_summary!A1</f>
        <v>claim_source</v>
      </c>
      <c r="D93" s="130" t="str">
        <f>data_oe_summary!B1</f>
        <v>claim_basis</v>
      </c>
      <c r="E93" s="130" t="str">
        <f>data_oe_summary!C1</f>
        <v>claim_to_develop_to_ultimate</v>
      </c>
      <c r="F93" s="130" t="str">
        <f>data_oe_summary!D1</f>
        <v>cat_basis</v>
      </c>
      <c r="G93" s="130" t="str">
        <f>data_oe_summary!E1</f>
        <v>ielr_approach</v>
      </c>
      <c r="H93" s="130" t="str">
        <f>data_oe_summary!F1</f>
        <v>ielr_attr</v>
      </c>
      <c r="I93" s="130" t="str">
        <f>data_oe_summary!G1</f>
        <v>ielr_large</v>
      </c>
      <c r="J93" s="130" t="str">
        <f>data_oe_summary!H1</f>
        <v>ielr_cat</v>
      </c>
      <c r="K93" s="130" t="str">
        <f>data_oe_summary!I1</f>
        <v>ielr_total</v>
      </c>
      <c r="L93" s="130" t="str">
        <f>data_oe_summary!J1</f>
        <v>ielr_total_excl_cat</v>
      </c>
      <c r="M93" s="130" t="str">
        <f>data_oe_summary!K1</f>
        <v>lloyds_model_ielr</v>
      </c>
      <c r="N93" s="130" t="str">
        <f>data_oe_summary!L1</f>
        <v>lloyds_model_final_gn_ulr</v>
      </c>
      <c r="O93" s="130" t="str">
        <f>data_oe_summary!M1</f>
        <v>lloyds_selected_ielr</v>
      </c>
      <c r="P93" s="130" t="str">
        <f>data_oe_summary!N1</f>
        <v>lloyds_selected_final_gn_ulr</v>
      </c>
      <c r="Q93" s="130" t="str">
        <f>data_oe_summary!O1</f>
        <v>beazley_model_ielr</v>
      </c>
      <c r="R93" s="130" t="str">
        <f>data_oe_summary!P1</f>
        <v>beazley_model_final_gn_ulr</v>
      </c>
      <c r="S93" s="130" t="str">
        <f>data_oe_summary!Q1</f>
        <v>beazley_selected_ielr</v>
      </c>
      <c r="T93" s="130" t="str">
        <f>data_oe_summary!R1</f>
        <v>beazley_selected_final_gn_ulr</v>
      </c>
      <c r="U93" s="130" t="str">
        <f>data_oe_summary!S1</f>
        <v>ielr_nominal_attr</v>
      </c>
      <c r="V93" s="130" t="str">
        <f>data_oe_summary!T1</f>
        <v>ielr_nominal_large</v>
      </c>
      <c r="W93" s="130" t="str">
        <f>data_oe_summary!U1</f>
        <v>ielr_nominal_cat</v>
      </c>
      <c r="X93" s="130" t="str">
        <f>data_oe_summary!V1</f>
        <v>ielr_nominal_total</v>
      </c>
      <c r="Y93" s="130" t="str">
        <f>data_oe_summary!W1</f>
        <v>ielr_nominal_total_excl_cat</v>
      </c>
      <c r="Z93" s="130" t="str">
        <f>data_oe_summary!X1</f>
        <v>ielr_ol_all_yr_attr</v>
      </c>
      <c r="AA93" s="130" t="str">
        <f>data_oe_summary!Y1</f>
        <v>ielr_ol_all_yr_large</v>
      </c>
      <c r="AB93" s="130" t="str">
        <f>data_oe_summary!Z1</f>
        <v>ielr_ol_all_yr_cat</v>
      </c>
      <c r="AC93" s="130" t="str">
        <f>data_oe_summary!AA1</f>
        <v>ielr_ol_all_yr_total</v>
      </c>
      <c r="AD93" s="130" t="str">
        <f>data_oe_summary!AB1</f>
        <v>ielr_ol_all_yr_total_excl_cat</v>
      </c>
      <c r="AE93" s="130" t="str">
        <f>data_oe_summary!AC1</f>
        <v>ielr_ol_cl_yr_attr</v>
      </c>
      <c r="AF93" s="130" t="str">
        <f>data_oe_summary!AD1</f>
        <v>ielr_ol_cl_yr_large</v>
      </c>
      <c r="AG93" s="130" t="str">
        <f>data_oe_summary!AE1</f>
        <v>ielr_ol_cl_yr_cat</v>
      </c>
      <c r="AH93" s="130" t="str">
        <f>data_oe_summary!AF1</f>
        <v>ielr_ol_cl_yr_total</v>
      </c>
      <c r="AI93" s="130" t="str">
        <f>data_oe_summary!AG1</f>
        <v>ielr_ol_cl_yr_total_excl_cat</v>
      </c>
      <c r="AJ93" s="130" t="str">
        <f>data_oe_summary!AH1</f>
        <v>selected_attr</v>
      </c>
      <c r="AK93" s="130" t="str">
        <f>data_oe_summary!AI1</f>
        <v>selected_large</v>
      </c>
      <c r="AL93" s="130" t="str">
        <f>data_oe_summary!AJ1</f>
        <v>selected_cat</v>
      </c>
      <c r="AM93" s="130" t="str">
        <f>data_oe_summary!AK1</f>
        <v>selected_total</v>
      </c>
      <c r="AN93" s="130" t="str">
        <f>data_oe_summary!AL1</f>
        <v>selected_total_excl_cat</v>
      </c>
      <c r="AO93" s="130" t="str">
        <f>data_oe_summary!AM1</f>
        <v>selected_cat_exp</v>
      </c>
      <c r="AP93" s="130" t="str">
        <f>data_oe_summary!AN1</f>
        <v>selected_cat_bp</v>
      </c>
      <c r="AQ93" s="130" t="str">
        <f>data_oe_summary!AO1</f>
        <v>selected_cat_rms</v>
      </c>
      <c r="AR93" s="130" t="str">
        <f>data_oe_summary!AP1</f>
        <v>selected_cat_basis</v>
      </c>
      <c r="AS93" s="130" t="str">
        <f>data_oe_summary!AQ1</f>
        <v>model_default_attr</v>
      </c>
      <c r="AT93" s="130" t="str">
        <f>data_oe_summary!AR1</f>
        <v>model_default_large</v>
      </c>
      <c r="AU93" s="130" t="str">
        <f>data_oe_summary!AS1</f>
        <v>model_default_cat</v>
      </c>
      <c r="AV93" s="130" t="str">
        <f>data_oe_summary!AT1</f>
        <v>model_default_total</v>
      </c>
      <c r="AW93" s="130" t="str">
        <f>data_oe_summary!AU1</f>
        <v>model_default_total_excl_cat</v>
      </c>
      <c r="AX93" s="130" t="str">
        <f>data_oe_summary!AV1</f>
        <v>model_default_cat_exp</v>
      </c>
      <c r="AY93" s="130" t="str">
        <f>data_oe_summary!AW1</f>
        <v>model_default_cat_bp</v>
      </c>
      <c r="AZ93" s="130" t="str">
        <f>data_oe_summary!AX1</f>
        <v>model_default_cat_rms</v>
      </c>
      <c r="BA93" s="130" t="str">
        <f>data_oe_summary!AY1</f>
        <v>model_default_cat_basis</v>
      </c>
      <c r="BB93" s="130" t="str">
        <f>data_oe_summary!AZ1</f>
        <v>ovd_dev</v>
      </c>
      <c r="BC93" s="130" t="str">
        <f>data_oe_summary!BA1</f>
        <v>ovd_index</v>
      </c>
      <c r="BD93" s="130" t="str">
        <f>data_oe_summary!BB1</f>
        <v>ovd_premium</v>
      </c>
      <c r="BE93" s="130" t="str">
        <f>data_oe_summary!BC1</f>
        <v>ovd_ielr_weights</v>
      </c>
      <c r="BF93" s="130" t="str">
        <f>data_oe_summary!BD1</f>
        <v>ovd_ielr</v>
      </c>
      <c r="BG93" s="130" t="str">
        <f>data_oe_summary!BE1</f>
        <v>ovd_ibnr</v>
      </c>
      <c r="BH93" s="130" t="str">
        <f>data_oe_summary!BF1</f>
        <v>ovd_ultimate_method</v>
      </c>
      <c r="BI93" s="130" t="str">
        <f>data_oe_summary!BG1</f>
        <v>ovd_ultimate</v>
      </c>
      <c r="BJ93" s="130" t="str">
        <f>data_oe_summary!BH1</f>
        <v>ovd_ulr_weights</v>
      </c>
      <c r="BK93" s="130" t="str">
        <f>data_oe_summary!BI1</f>
        <v>ovd_ulr</v>
      </c>
      <c r="BL93" s="130" t="str">
        <f>data_oe_summary!BJ1</f>
        <v>cov_attr</v>
      </c>
      <c r="BM93" s="130" t="str">
        <f>data_oe_summary!BK1</f>
        <v>cov_large</v>
      </c>
      <c r="BN93" s="130" t="str">
        <f>data_oe_summary!BL1</f>
        <v>cov_cat</v>
      </c>
      <c r="BO93" s="130" t="str">
        <f>data_oe_summary!BM1</f>
        <v>cov_total</v>
      </c>
      <c r="BP93" s="130" t="str">
        <f>data_oe_summary!BN1</f>
        <v>actuarial_notes</v>
      </c>
      <c r="BQ93" s="130" t="str">
        <f>data_oe_summary!BO1</f>
        <v>lob_number</v>
      </c>
      <c r="BR93" s="130" t="str">
        <f>data_oe_summary!BP1</f>
        <v>selected_lob</v>
      </c>
      <c r="BS93" s="130" t="str">
        <f>data_oe_summary!BQ1</f>
        <v>yoa</v>
      </c>
      <c r="BT93" s="130" t="str">
        <f>data_oe_summary!BR1</f>
        <v>latest_gpi</v>
      </c>
      <c r="BU93" s="130" t="str">
        <f>data_oe_summary!BS1</f>
        <v>latest_gnpi</v>
      </c>
      <c r="BV93" s="130" t="str">
        <f>data_oe_summary!BT1</f>
        <v>acquisition_costs</v>
      </c>
      <c r="BW93" s="130" t="str">
        <f>data_oe_summary!BU1</f>
        <v>ultimate_premium_selected_gnpi_cl</v>
      </c>
      <c r="BX93" s="130" t="str">
        <f>data_oe_summary!BV1</f>
        <v>ultimate_premium_selected_gnpi_override</v>
      </c>
      <c r="BY93" s="130" t="str">
        <f>data_oe_summary!BW1</f>
        <v>ultimate_premium_selected_gnpi_selected</v>
      </c>
      <c r="BZ93" s="130" t="str">
        <f>data_oe_summary!BX1</f>
        <v>ultimate_premium_selected_gnpi_selected_ol</v>
      </c>
      <c r="CA93" s="130" t="str">
        <f>data_oe_summary!BY1</f>
        <v>ultimate_incurred_cl_ielr</v>
      </c>
      <c r="CB93" s="130" t="str">
        <f>data_oe_summary!BZ1</f>
        <v>additional_ibnr_attr</v>
      </c>
      <c r="CC93" s="130" t="str">
        <f>data_oe_summary!CA1</f>
        <v>additional_ibnr_large</v>
      </c>
      <c r="CD93" s="130" t="str">
        <f>data_oe_summary!CB1</f>
        <v>additional_ibnr_cat</v>
      </c>
      <c r="CE93" s="130" t="str">
        <f>data_oe_summary!CC1</f>
        <v>additional_ibnr_total</v>
      </c>
      <c r="CF93" s="130" t="str">
        <f>data_oe_summary!CD1</f>
        <v>is_row_visible</v>
      </c>
      <c r="CG93" s="130" t="str">
        <f>data_oe_summary!CE1</f>
        <v>lob_visible_1</v>
      </c>
      <c r="CH93" s="130" t="str">
        <f>data_oe_summary!CF1</f>
        <v>lob_visible_2</v>
      </c>
      <c r="CI93" s="130" t="str">
        <f>data_oe_summary!CG1</f>
        <v>lob_visible_3</v>
      </c>
      <c r="CJ93" s="130" t="str">
        <f>data_oe_summary!CH1</f>
        <v>latest_incurred_open_claims_attr</v>
      </c>
      <c r="CK93" s="130" t="str">
        <f>data_oe_summary!CI1</f>
        <v>latest_incurred_closed_claims_attr</v>
      </c>
      <c r="CL93" s="130" t="str">
        <f>data_oe_summary!CJ1</f>
        <v>latest_incurred_total_claims_attr</v>
      </c>
      <c r="CM93" s="130" t="str">
        <f>data_oe_summary!CK1</f>
        <v>last_year_position_attr</v>
      </c>
      <c r="CN93" s="130" t="str">
        <f>data_oe_summary!CL1</f>
        <v>movement_attr</v>
      </c>
      <c r="CO93" s="130" t="str">
        <f>data_oe_summary!CM1</f>
        <v>gn_ilr_attr</v>
      </c>
      <c r="CP93" s="130" t="str">
        <f>data_oe_summary!CN1</f>
        <v>ultimate_incurred_ielr_attr</v>
      </c>
      <c r="CQ93" s="130" t="str">
        <f>data_oe_summary!CO1</f>
        <v>ultimate_incurred_bf_attr</v>
      </c>
      <c r="CR93" s="130" t="str">
        <f>data_oe_summary!CP1</f>
        <v>ultimate_incurred_cl_attr</v>
      </c>
      <c r="CS93" s="130" t="str">
        <f>data_oe_summary!CQ1</f>
        <v>ultimate_incurred_selected_attr</v>
      </c>
      <c r="CT93" s="130" t="str">
        <f>data_oe_summary!CR1</f>
        <v>ultimate_ulr_selected_attr</v>
      </c>
      <c r="CU93" s="130" t="str">
        <f>data_oe_summary!CS1</f>
        <v>ultimate_ulr_on_levelled_attr</v>
      </c>
      <c r="CV93" s="130" t="str">
        <f>data_oe_summary!CT1</f>
        <v>latest_incurred_open_claims_large</v>
      </c>
      <c r="CW93" s="130" t="str">
        <f>data_oe_summary!CU1</f>
        <v>latest_incurred_closed_claims_large</v>
      </c>
      <c r="CX93" s="130" t="str">
        <f>data_oe_summary!CV1</f>
        <v>latest_incurred_total_claims_large</v>
      </c>
      <c r="CY93" s="130" t="str">
        <f>data_oe_summary!CW1</f>
        <v>last_year_position_large</v>
      </c>
      <c r="CZ93" s="130" t="str">
        <f>data_oe_summary!CX1</f>
        <v>movement_large</v>
      </c>
      <c r="DA93" s="130" t="str">
        <f>data_oe_summary!CY1</f>
        <v>gn_ilr_large</v>
      </c>
      <c r="DB93" s="130" t="str">
        <f>data_oe_summary!CZ1</f>
        <v>ultimate_incurred_ielr_large</v>
      </c>
      <c r="DC93" s="130" t="str">
        <f>data_oe_summary!DA1</f>
        <v>ultimate_incurred_bf_large</v>
      </c>
      <c r="DD93" s="130" t="str">
        <f>data_oe_summary!DB1</f>
        <v>ultimate_incurred_cl_large</v>
      </c>
      <c r="DE93" s="130" t="str">
        <f>data_oe_summary!DC1</f>
        <v>ultimate_incurred_selected_large</v>
      </c>
      <c r="DF93" s="130" t="str">
        <f>data_oe_summary!DD1</f>
        <v>ultimate_ulr_selected_large</v>
      </c>
      <c r="DG93" s="130" t="str">
        <f>data_oe_summary!DE1</f>
        <v>ultimate_ulr_on_levelled_large</v>
      </c>
      <c r="DH93" s="130" t="str">
        <f>data_oe_summary!DF1</f>
        <v>latest_incurred_open_claims_cat</v>
      </c>
      <c r="DI93" s="130" t="str">
        <f>data_oe_summary!DG1</f>
        <v>latest_incurred_closed_claims_cat</v>
      </c>
      <c r="DJ93" s="130" t="str">
        <f>data_oe_summary!DH1</f>
        <v>latest_incurred_total_claims_cat</v>
      </c>
      <c r="DK93" s="130" t="str">
        <f>data_oe_summary!DI1</f>
        <v>last_year_position_cat</v>
      </c>
      <c r="DL93" s="130" t="str">
        <f>data_oe_summary!DJ1</f>
        <v>movement_cat</v>
      </c>
      <c r="DM93" s="130" t="str">
        <f>data_oe_summary!DK1</f>
        <v>gn_ilr_cat</v>
      </c>
      <c r="DN93" s="130" t="str">
        <f>data_oe_summary!DL1</f>
        <v>ultimate_incurred_ielr_cat</v>
      </c>
      <c r="DO93" s="130" t="str">
        <f>data_oe_summary!DM1</f>
        <v>ultimate_incurred_bf_cat</v>
      </c>
      <c r="DP93" s="130" t="str">
        <f>data_oe_summary!DN1</f>
        <v>ultimate_incurred_cl_cat</v>
      </c>
      <c r="DQ93" s="130" t="str">
        <f>data_oe_summary!DO1</f>
        <v>ultimate_incurred_selected_cat</v>
      </c>
      <c r="DR93" s="130" t="str">
        <f>data_oe_summary!DP1</f>
        <v>ultimate_ulr_selected_cat</v>
      </c>
      <c r="DS93" s="130" t="str">
        <f>data_oe_summary!DQ1</f>
        <v>ultimate_ulr_on_levelled_cat</v>
      </c>
      <c r="DT93" s="130" t="str">
        <f>data_oe_summary!DR1</f>
        <v>latest_incurred_open_claims_total</v>
      </c>
      <c r="DU93" s="130" t="str">
        <f>data_oe_summary!DS1</f>
        <v>latest_incurred_closed_claims_total</v>
      </c>
      <c r="DV93" s="130" t="str">
        <f>data_oe_summary!DT1</f>
        <v>latest_incurred_total_claims_total</v>
      </c>
      <c r="DW93" s="130" t="str">
        <f>data_oe_summary!DU1</f>
        <v>last_year_position_total</v>
      </c>
      <c r="DX93" s="130" t="str">
        <f>data_oe_summary!DV1</f>
        <v>movement_total</v>
      </c>
      <c r="DY93" s="130" t="str">
        <f>data_oe_summary!DW1</f>
        <v>gn_ilr_total</v>
      </c>
      <c r="DZ93" s="130" t="str">
        <f>data_oe_summary!DX1</f>
        <v>ultimate_incurred_ielr_total</v>
      </c>
      <c r="EA93" s="130" t="str">
        <f>data_oe_summary!DY1</f>
        <v>ultimate_incurred_bf_total</v>
      </c>
      <c r="EB93" s="130" t="str">
        <f>data_oe_summary!DZ1</f>
        <v>ultimate_incurred_cl_total</v>
      </c>
      <c r="EC93" s="130" t="str">
        <f>data_oe_summary!EA1</f>
        <v>ultimate_incurred_selected_total</v>
      </c>
      <c r="ED93" s="130" t="str">
        <f>data_oe_summary!EB1</f>
        <v>ultimate_ulr_selected_total</v>
      </c>
      <c r="EE93" s="130" t="str">
        <f>data_oe_summary!EC1</f>
        <v>ultimate_ulr_on_levelled_total</v>
      </c>
      <c r="EF93" s="130" t="str">
        <f>data_oe_summary!ED1</f>
        <v>ultimate_incurred_selected_total_x_cat</v>
      </c>
      <c r="EG93" s="130" t="str">
        <f>data_oe_summary!EE1</f>
        <v>ultimate_ulr_selected_total_x_cat</v>
      </c>
      <c r="EH93" s="130" t="str">
        <f>data_oe_summary!EF1</f>
        <v>ultimate_ulr_on_levelled_total_x_cat</v>
      </c>
    </row>
    <row r="94" spans="2:138" hidden="1" outlineLevel="1" x14ac:dyDescent="0.35">
      <c r="B94" s="129" t="s">
        <v>1024</v>
      </c>
      <c r="C94" s="129">
        <v>1</v>
      </c>
      <c r="D94" s="129">
        <f t="shared" ref="D94:AI94" si="89">C94+1</f>
        <v>2</v>
      </c>
      <c r="E94" s="129">
        <f t="shared" si="89"/>
        <v>3</v>
      </c>
      <c r="F94" s="129">
        <f t="shared" si="89"/>
        <v>4</v>
      </c>
      <c r="G94" s="129">
        <f t="shared" si="89"/>
        <v>5</v>
      </c>
      <c r="H94" s="129">
        <f t="shared" si="89"/>
        <v>6</v>
      </c>
      <c r="I94" s="129">
        <f t="shared" si="89"/>
        <v>7</v>
      </c>
      <c r="J94" s="129">
        <f t="shared" si="89"/>
        <v>8</v>
      </c>
      <c r="K94" s="129">
        <f t="shared" si="89"/>
        <v>9</v>
      </c>
      <c r="L94" s="129">
        <f t="shared" si="89"/>
        <v>10</v>
      </c>
      <c r="M94" s="129">
        <f t="shared" si="89"/>
        <v>11</v>
      </c>
      <c r="N94" s="129">
        <f t="shared" si="89"/>
        <v>12</v>
      </c>
      <c r="O94" s="129">
        <f t="shared" si="89"/>
        <v>13</v>
      </c>
      <c r="P94" s="129">
        <f t="shared" si="89"/>
        <v>14</v>
      </c>
      <c r="Q94" s="129">
        <f t="shared" si="89"/>
        <v>15</v>
      </c>
      <c r="R94" s="129">
        <f t="shared" si="89"/>
        <v>16</v>
      </c>
      <c r="S94" s="129">
        <f t="shared" si="89"/>
        <v>17</v>
      </c>
      <c r="T94" s="129">
        <f t="shared" si="89"/>
        <v>18</v>
      </c>
      <c r="U94" s="129">
        <f t="shared" si="89"/>
        <v>19</v>
      </c>
      <c r="V94" s="129">
        <f t="shared" si="89"/>
        <v>20</v>
      </c>
      <c r="W94" s="129">
        <f t="shared" si="89"/>
        <v>21</v>
      </c>
      <c r="X94" s="129">
        <f t="shared" si="89"/>
        <v>22</v>
      </c>
      <c r="Y94" s="129">
        <f t="shared" si="89"/>
        <v>23</v>
      </c>
      <c r="Z94" s="129">
        <f t="shared" si="89"/>
        <v>24</v>
      </c>
      <c r="AA94" s="129">
        <f t="shared" si="89"/>
        <v>25</v>
      </c>
      <c r="AB94" s="129">
        <f t="shared" si="89"/>
        <v>26</v>
      </c>
      <c r="AC94" s="129">
        <f t="shared" si="89"/>
        <v>27</v>
      </c>
      <c r="AD94" s="129">
        <f t="shared" si="89"/>
        <v>28</v>
      </c>
      <c r="AE94" s="129">
        <f t="shared" si="89"/>
        <v>29</v>
      </c>
      <c r="AF94" s="129">
        <f t="shared" si="89"/>
        <v>30</v>
      </c>
      <c r="AG94" s="129">
        <f t="shared" si="89"/>
        <v>31</v>
      </c>
      <c r="AH94" s="129">
        <f t="shared" si="89"/>
        <v>32</v>
      </c>
      <c r="AI94" s="129">
        <f t="shared" si="89"/>
        <v>33</v>
      </c>
      <c r="AJ94" s="129">
        <f t="shared" ref="AJ94:BO94" si="90">AI94+1</f>
        <v>34</v>
      </c>
      <c r="AK94" s="129">
        <f t="shared" si="90"/>
        <v>35</v>
      </c>
      <c r="AL94" s="129">
        <f t="shared" si="90"/>
        <v>36</v>
      </c>
      <c r="AM94" s="129">
        <f t="shared" si="90"/>
        <v>37</v>
      </c>
      <c r="AN94" s="129">
        <f t="shared" si="90"/>
        <v>38</v>
      </c>
      <c r="AO94" s="129">
        <f t="shared" si="90"/>
        <v>39</v>
      </c>
      <c r="AP94" s="129">
        <f t="shared" si="90"/>
        <v>40</v>
      </c>
      <c r="AQ94" s="129">
        <f t="shared" si="90"/>
        <v>41</v>
      </c>
      <c r="AR94" s="129">
        <f t="shared" si="90"/>
        <v>42</v>
      </c>
      <c r="AS94" s="129">
        <f t="shared" si="90"/>
        <v>43</v>
      </c>
      <c r="AT94" s="129">
        <f t="shared" si="90"/>
        <v>44</v>
      </c>
      <c r="AU94" s="129">
        <f t="shared" si="90"/>
        <v>45</v>
      </c>
      <c r="AV94" s="129">
        <f t="shared" si="90"/>
        <v>46</v>
      </c>
      <c r="AW94" s="129">
        <f t="shared" si="90"/>
        <v>47</v>
      </c>
      <c r="AX94" s="129">
        <f t="shared" si="90"/>
        <v>48</v>
      </c>
      <c r="AY94" s="129">
        <f t="shared" si="90"/>
        <v>49</v>
      </c>
      <c r="AZ94" s="129">
        <f t="shared" si="90"/>
        <v>50</v>
      </c>
      <c r="BA94" s="129">
        <f t="shared" si="90"/>
        <v>51</v>
      </c>
      <c r="BB94" s="129">
        <f t="shared" si="90"/>
        <v>52</v>
      </c>
      <c r="BC94" s="129">
        <f t="shared" si="90"/>
        <v>53</v>
      </c>
      <c r="BD94" s="129">
        <f t="shared" si="90"/>
        <v>54</v>
      </c>
      <c r="BE94" s="129">
        <f t="shared" si="90"/>
        <v>55</v>
      </c>
      <c r="BF94" s="129">
        <f t="shared" si="90"/>
        <v>56</v>
      </c>
      <c r="BG94" s="129">
        <f t="shared" si="90"/>
        <v>57</v>
      </c>
      <c r="BH94" s="129">
        <f t="shared" si="90"/>
        <v>58</v>
      </c>
      <c r="BI94" s="129">
        <f t="shared" si="90"/>
        <v>59</v>
      </c>
      <c r="BJ94" s="129">
        <f t="shared" si="90"/>
        <v>60</v>
      </c>
      <c r="BK94" s="129">
        <f t="shared" si="90"/>
        <v>61</v>
      </c>
      <c r="BL94" s="129">
        <f t="shared" si="90"/>
        <v>62</v>
      </c>
      <c r="BM94" s="129">
        <f t="shared" si="90"/>
        <v>63</v>
      </c>
      <c r="BN94" s="129">
        <f t="shared" si="90"/>
        <v>64</v>
      </c>
      <c r="BO94" s="129">
        <f t="shared" si="90"/>
        <v>65</v>
      </c>
      <c r="BP94" s="129">
        <f t="shared" ref="BP94:CU94" si="91">BO94+1</f>
        <v>66</v>
      </c>
      <c r="BQ94" s="129">
        <f t="shared" si="91"/>
        <v>67</v>
      </c>
      <c r="BR94" s="129">
        <f t="shared" si="91"/>
        <v>68</v>
      </c>
      <c r="BS94" s="129">
        <f t="shared" si="91"/>
        <v>69</v>
      </c>
      <c r="BT94" s="129">
        <f t="shared" si="91"/>
        <v>70</v>
      </c>
      <c r="BU94" s="129">
        <f t="shared" si="91"/>
        <v>71</v>
      </c>
      <c r="BV94" s="129">
        <f t="shared" si="91"/>
        <v>72</v>
      </c>
      <c r="BW94" s="129">
        <f t="shared" si="91"/>
        <v>73</v>
      </c>
      <c r="BX94" s="129">
        <f t="shared" si="91"/>
        <v>74</v>
      </c>
      <c r="BY94" s="129">
        <f t="shared" si="91"/>
        <v>75</v>
      </c>
      <c r="BZ94" s="129">
        <f t="shared" si="91"/>
        <v>76</v>
      </c>
      <c r="CA94" s="129">
        <f t="shared" si="91"/>
        <v>77</v>
      </c>
      <c r="CB94" s="129">
        <f t="shared" si="91"/>
        <v>78</v>
      </c>
      <c r="CC94" s="129">
        <f t="shared" si="91"/>
        <v>79</v>
      </c>
      <c r="CD94" s="129">
        <f t="shared" si="91"/>
        <v>80</v>
      </c>
      <c r="CE94" s="129">
        <f t="shared" si="91"/>
        <v>81</v>
      </c>
      <c r="CF94" s="129">
        <f t="shared" si="91"/>
        <v>82</v>
      </c>
      <c r="CG94" s="129">
        <f t="shared" si="91"/>
        <v>83</v>
      </c>
      <c r="CH94" s="129">
        <f t="shared" si="91"/>
        <v>84</v>
      </c>
      <c r="CI94" s="129">
        <f t="shared" si="91"/>
        <v>85</v>
      </c>
      <c r="CJ94" s="129">
        <f t="shared" si="91"/>
        <v>86</v>
      </c>
      <c r="CK94" s="129">
        <f t="shared" si="91"/>
        <v>87</v>
      </c>
      <c r="CL94" s="129">
        <f t="shared" si="91"/>
        <v>88</v>
      </c>
      <c r="CM94" s="129">
        <f t="shared" si="91"/>
        <v>89</v>
      </c>
      <c r="CN94" s="129">
        <f t="shared" si="91"/>
        <v>90</v>
      </c>
      <c r="CO94" s="129">
        <f t="shared" si="91"/>
        <v>91</v>
      </c>
      <c r="CP94" s="129">
        <f t="shared" si="91"/>
        <v>92</v>
      </c>
      <c r="CQ94" s="129">
        <f t="shared" si="91"/>
        <v>93</v>
      </c>
      <c r="CR94" s="129">
        <f t="shared" si="91"/>
        <v>94</v>
      </c>
      <c r="CS94" s="129">
        <f t="shared" si="91"/>
        <v>95</v>
      </c>
      <c r="CT94" s="129">
        <f t="shared" si="91"/>
        <v>96</v>
      </c>
      <c r="CU94" s="129">
        <f t="shared" si="91"/>
        <v>97</v>
      </c>
      <c r="CV94" s="129">
        <f t="shared" ref="CV94:EA94" si="92">CU94+1</f>
        <v>98</v>
      </c>
      <c r="CW94" s="129">
        <f t="shared" si="92"/>
        <v>99</v>
      </c>
      <c r="CX94" s="129">
        <f t="shared" si="92"/>
        <v>100</v>
      </c>
      <c r="CY94" s="129">
        <f t="shared" si="92"/>
        <v>101</v>
      </c>
      <c r="CZ94" s="129">
        <f t="shared" si="92"/>
        <v>102</v>
      </c>
      <c r="DA94" s="129">
        <f t="shared" si="92"/>
        <v>103</v>
      </c>
      <c r="DB94" s="129">
        <f t="shared" si="92"/>
        <v>104</v>
      </c>
      <c r="DC94" s="129">
        <f t="shared" si="92"/>
        <v>105</v>
      </c>
      <c r="DD94" s="129">
        <f t="shared" si="92"/>
        <v>106</v>
      </c>
      <c r="DE94" s="129">
        <f t="shared" si="92"/>
        <v>107</v>
      </c>
      <c r="DF94" s="129">
        <f t="shared" si="92"/>
        <v>108</v>
      </c>
      <c r="DG94" s="129">
        <f t="shared" si="92"/>
        <v>109</v>
      </c>
      <c r="DH94" s="129">
        <f t="shared" si="92"/>
        <v>110</v>
      </c>
      <c r="DI94" s="129">
        <f t="shared" si="92"/>
        <v>111</v>
      </c>
      <c r="DJ94" s="129">
        <f t="shared" si="92"/>
        <v>112</v>
      </c>
      <c r="DK94" s="129">
        <f t="shared" si="92"/>
        <v>113</v>
      </c>
      <c r="DL94" s="129">
        <f t="shared" si="92"/>
        <v>114</v>
      </c>
      <c r="DM94" s="129">
        <f t="shared" si="92"/>
        <v>115</v>
      </c>
      <c r="DN94" s="129">
        <f t="shared" si="92"/>
        <v>116</v>
      </c>
      <c r="DO94" s="129">
        <f t="shared" si="92"/>
        <v>117</v>
      </c>
      <c r="DP94" s="129">
        <f t="shared" si="92"/>
        <v>118</v>
      </c>
      <c r="DQ94" s="129">
        <f t="shared" si="92"/>
        <v>119</v>
      </c>
      <c r="DR94" s="129">
        <f t="shared" si="92"/>
        <v>120</v>
      </c>
      <c r="DS94" s="129">
        <f t="shared" si="92"/>
        <v>121</v>
      </c>
      <c r="DT94" s="129">
        <f t="shared" si="92"/>
        <v>122</v>
      </c>
      <c r="DU94" s="129">
        <f t="shared" si="92"/>
        <v>123</v>
      </c>
      <c r="DV94" s="129">
        <f t="shared" si="92"/>
        <v>124</v>
      </c>
      <c r="DW94" s="129">
        <f t="shared" si="92"/>
        <v>125</v>
      </c>
      <c r="DX94" s="129">
        <f t="shared" si="92"/>
        <v>126</v>
      </c>
      <c r="DY94" s="129">
        <f t="shared" si="92"/>
        <v>127</v>
      </c>
      <c r="DZ94" s="129">
        <f t="shared" si="92"/>
        <v>128</v>
      </c>
      <c r="EA94" s="129">
        <f t="shared" si="92"/>
        <v>129</v>
      </c>
      <c r="EB94" s="129">
        <f t="shared" ref="EB94:EH94" si="93">EA94+1</f>
        <v>130</v>
      </c>
      <c r="EC94" s="129">
        <f t="shared" si="93"/>
        <v>131</v>
      </c>
      <c r="ED94" s="129">
        <f t="shared" si="93"/>
        <v>132</v>
      </c>
      <c r="EE94" s="129">
        <f t="shared" si="93"/>
        <v>133</v>
      </c>
      <c r="EF94" s="129">
        <f t="shared" si="93"/>
        <v>134</v>
      </c>
      <c r="EG94" s="129">
        <f t="shared" si="93"/>
        <v>135</v>
      </c>
      <c r="EH94" s="129">
        <f t="shared" si="93"/>
        <v>136</v>
      </c>
    </row>
    <row r="95" spans="2:138" hidden="1" outlineLevel="1" x14ac:dyDescent="0.35">
      <c r="C95" t="e">
        <f ca="1">OFFSET(data_oe_summary!$A$1,$D$87+$B95-1,C$94-1)</f>
        <v>#N/A</v>
      </c>
      <c r="D95" t="e">
        <f ca="1">OFFSET(data_oe_summary!$A$1,$D$87+$B95-1,D$94-1)</f>
        <v>#N/A</v>
      </c>
      <c r="E95" t="e">
        <f ca="1">OFFSET(data_oe_summary!$A$1,$D$87+$B95-1,E$94-1)</f>
        <v>#N/A</v>
      </c>
      <c r="F95" t="e">
        <f ca="1">OFFSET(data_oe_summary!$A$1,$D$87+$B95-1,F$94-1)</f>
        <v>#N/A</v>
      </c>
      <c r="G95" t="e">
        <f ca="1">OFFSET(data_oe_summary!$A$1,$D$87+$B95-1,G$94-1)</f>
        <v>#N/A</v>
      </c>
      <c r="H95" t="e">
        <f ca="1">OFFSET(data_oe_summary!$A$1,$D$87+$B95-1,H$94-1)</f>
        <v>#N/A</v>
      </c>
      <c r="I95" t="e">
        <f ca="1">OFFSET(data_oe_summary!$A$1,$D$87+$B95-1,I$94-1)</f>
        <v>#N/A</v>
      </c>
      <c r="J95" t="e">
        <f ca="1">OFFSET(data_oe_summary!$A$1,$D$87+$B95-1,J$94-1)</f>
        <v>#N/A</v>
      </c>
      <c r="K95" t="e">
        <f ca="1">OFFSET(data_oe_summary!$A$1,$D$87+$B95-1,K$94-1)</f>
        <v>#N/A</v>
      </c>
      <c r="L95" t="e">
        <f ca="1">OFFSET(data_oe_summary!$A$1,$D$87+$B95-1,L$94-1)</f>
        <v>#N/A</v>
      </c>
      <c r="M95" t="e">
        <f ca="1">OFFSET(data_oe_summary!$A$1,$D$87+$B95-1,M$94-1)</f>
        <v>#N/A</v>
      </c>
      <c r="N95" t="e">
        <f ca="1">OFFSET(data_oe_summary!$A$1,$D$87+$B95-1,N$94-1)</f>
        <v>#N/A</v>
      </c>
      <c r="O95" t="e">
        <f ca="1">OFFSET(data_oe_summary!$A$1,$D$87+$B95-1,O$94-1)</f>
        <v>#N/A</v>
      </c>
      <c r="P95" t="e">
        <f ca="1">OFFSET(data_oe_summary!$A$1,$D$87+$B95-1,P$94-1)</f>
        <v>#N/A</v>
      </c>
      <c r="Q95" t="e">
        <f ca="1">OFFSET(data_oe_summary!$A$1,$D$87+$B95-1,Q$94-1)</f>
        <v>#N/A</v>
      </c>
      <c r="R95" t="e">
        <f ca="1">OFFSET(data_oe_summary!$A$1,$D$87+$B95-1,R$94-1)</f>
        <v>#N/A</v>
      </c>
      <c r="S95" t="e">
        <f ca="1">OFFSET(data_oe_summary!$A$1,$D$87+$B95-1,S$94-1)</f>
        <v>#N/A</v>
      </c>
      <c r="T95" t="e">
        <f ca="1">OFFSET(data_oe_summary!$A$1,$D$87+$B95-1,T$94-1)</f>
        <v>#N/A</v>
      </c>
      <c r="U95" t="e">
        <f ca="1">OFFSET(data_oe_summary!$A$1,$D$87+$B95-1,U$94-1)</f>
        <v>#N/A</v>
      </c>
      <c r="V95" t="e">
        <f ca="1">OFFSET(data_oe_summary!$A$1,$D$87+$B95-1,V$94-1)</f>
        <v>#N/A</v>
      </c>
      <c r="W95" t="e">
        <f ca="1">OFFSET(data_oe_summary!$A$1,$D$87+$B95-1,W$94-1)</f>
        <v>#N/A</v>
      </c>
      <c r="X95" t="e">
        <f ca="1">OFFSET(data_oe_summary!$A$1,$D$87+$B95-1,X$94-1)</f>
        <v>#N/A</v>
      </c>
      <c r="Y95" t="e">
        <f ca="1">OFFSET(data_oe_summary!$A$1,$D$87+$B95-1,Y$94-1)</f>
        <v>#N/A</v>
      </c>
      <c r="Z95" t="e">
        <f ca="1">OFFSET(data_oe_summary!$A$1,$D$87+$B95-1,Z$94-1)</f>
        <v>#N/A</v>
      </c>
      <c r="AA95" t="e">
        <f ca="1">OFFSET(data_oe_summary!$A$1,$D$87+$B95-1,AA$94-1)</f>
        <v>#N/A</v>
      </c>
      <c r="AB95" t="e">
        <f ca="1">OFFSET(data_oe_summary!$A$1,$D$87+$B95-1,AB$94-1)</f>
        <v>#N/A</v>
      </c>
      <c r="AC95" t="e">
        <f ca="1">OFFSET(data_oe_summary!$A$1,$D$87+$B95-1,AC$94-1)</f>
        <v>#N/A</v>
      </c>
      <c r="AD95" t="e">
        <f ca="1">OFFSET(data_oe_summary!$A$1,$D$87+$B95-1,AD$94-1)</f>
        <v>#N/A</v>
      </c>
      <c r="AE95" t="e">
        <f ca="1">OFFSET(data_oe_summary!$A$1,$D$87+$B95-1,AE$94-1)</f>
        <v>#N/A</v>
      </c>
      <c r="AF95" t="e">
        <f ca="1">OFFSET(data_oe_summary!$A$1,$D$87+$B95-1,AF$94-1)</f>
        <v>#N/A</v>
      </c>
      <c r="AG95" t="e">
        <f ca="1">OFFSET(data_oe_summary!$A$1,$D$87+$B95-1,AG$94-1)</f>
        <v>#N/A</v>
      </c>
      <c r="AH95" t="e">
        <f ca="1">OFFSET(data_oe_summary!$A$1,$D$87+$B95-1,AH$94-1)</f>
        <v>#N/A</v>
      </c>
      <c r="AI95" t="e">
        <f ca="1">OFFSET(data_oe_summary!$A$1,$D$87+$B95-1,AI$94-1)</f>
        <v>#N/A</v>
      </c>
      <c r="AJ95" t="e">
        <f ca="1">OFFSET(data_oe_summary!$A$1,$D$87+$B95-1,AJ$94-1)</f>
        <v>#N/A</v>
      </c>
      <c r="AK95" t="e">
        <f ca="1">OFFSET(data_oe_summary!$A$1,$D$87+$B95-1,AK$94-1)</f>
        <v>#N/A</v>
      </c>
      <c r="AL95" t="e">
        <f ca="1">OFFSET(data_oe_summary!$A$1,$D$87+$B95-1,AL$94-1)</f>
        <v>#N/A</v>
      </c>
      <c r="AM95" t="e">
        <f ca="1">OFFSET(data_oe_summary!$A$1,$D$87+$B95-1,AM$94-1)</f>
        <v>#N/A</v>
      </c>
      <c r="AN95" t="e">
        <f ca="1">OFFSET(data_oe_summary!$A$1,$D$87+$B95-1,AN$94-1)</f>
        <v>#N/A</v>
      </c>
      <c r="AO95" t="e">
        <f ca="1">OFFSET(data_oe_summary!$A$1,$D$87+$B95-1,AO$94-1)</f>
        <v>#N/A</v>
      </c>
      <c r="AP95" t="e">
        <f ca="1">OFFSET(data_oe_summary!$A$1,$D$87+$B95-1,AP$94-1)</f>
        <v>#N/A</v>
      </c>
      <c r="AQ95" t="e">
        <f ca="1">OFFSET(data_oe_summary!$A$1,$D$87+$B95-1,AQ$94-1)</f>
        <v>#N/A</v>
      </c>
      <c r="AR95" t="e">
        <f ca="1">OFFSET(data_oe_summary!$A$1,$D$87+$B95-1,AR$94-1)</f>
        <v>#N/A</v>
      </c>
      <c r="AS95" t="e">
        <f ca="1">OFFSET(data_oe_summary!$A$1,$D$87+$B95-1,AS$94-1)</f>
        <v>#N/A</v>
      </c>
      <c r="AT95" t="e">
        <f ca="1">OFFSET(data_oe_summary!$A$1,$D$87+$B95-1,AT$94-1)</f>
        <v>#N/A</v>
      </c>
      <c r="AU95" t="e">
        <f ca="1">OFFSET(data_oe_summary!$A$1,$D$87+$B95-1,AU$94-1)</f>
        <v>#N/A</v>
      </c>
      <c r="AV95" t="e">
        <f ca="1">OFFSET(data_oe_summary!$A$1,$D$87+$B95-1,AV$94-1)</f>
        <v>#N/A</v>
      </c>
      <c r="AW95" t="e">
        <f ca="1">OFFSET(data_oe_summary!$A$1,$D$87+$B95-1,AW$94-1)</f>
        <v>#N/A</v>
      </c>
      <c r="AX95" t="e">
        <f ca="1">OFFSET(data_oe_summary!$A$1,$D$87+$B95-1,AX$94-1)</f>
        <v>#N/A</v>
      </c>
      <c r="AY95" t="e">
        <f ca="1">OFFSET(data_oe_summary!$A$1,$D$87+$B95-1,AY$94-1)</f>
        <v>#N/A</v>
      </c>
      <c r="AZ95" t="e">
        <f ca="1">OFFSET(data_oe_summary!$A$1,$D$87+$B95-1,AZ$94-1)</f>
        <v>#N/A</v>
      </c>
      <c r="BA95" t="e">
        <f ca="1">OFFSET(data_oe_summary!$A$1,$D$87+$B95-1,BA$94-1)</f>
        <v>#N/A</v>
      </c>
      <c r="BB95" t="e">
        <f ca="1">OFFSET(data_oe_summary!$A$1,$D$87+$B95-1,BB$94-1)</f>
        <v>#N/A</v>
      </c>
      <c r="BC95" t="e">
        <f ca="1">OFFSET(data_oe_summary!$A$1,$D$87+$B95-1,BC$94-1)</f>
        <v>#N/A</v>
      </c>
      <c r="BD95" t="e">
        <f ca="1">OFFSET(data_oe_summary!$A$1,$D$87+$B95-1,BD$94-1)</f>
        <v>#N/A</v>
      </c>
      <c r="BE95" t="e">
        <f ca="1">OFFSET(data_oe_summary!$A$1,$D$87+$B95-1,BE$94-1)</f>
        <v>#N/A</v>
      </c>
      <c r="BF95" t="e">
        <f ca="1">OFFSET(data_oe_summary!$A$1,$D$87+$B95-1,BF$94-1)</f>
        <v>#N/A</v>
      </c>
      <c r="BG95" t="e">
        <f ca="1">OFFSET(data_oe_summary!$A$1,$D$87+$B95-1,BG$94-1)</f>
        <v>#N/A</v>
      </c>
      <c r="BH95" t="e">
        <f ca="1">OFFSET(data_oe_summary!$A$1,$D$87+$B95-1,BH$94-1)</f>
        <v>#N/A</v>
      </c>
      <c r="BI95" t="e">
        <f ca="1">OFFSET(data_oe_summary!$A$1,$D$87+$B95-1,BI$94-1)</f>
        <v>#N/A</v>
      </c>
      <c r="BJ95" t="e">
        <f ca="1">OFFSET(data_oe_summary!$A$1,$D$87+$B95-1,BJ$94-1)</f>
        <v>#N/A</v>
      </c>
      <c r="BK95" t="e">
        <f ca="1">OFFSET(data_oe_summary!$A$1,$D$87+$B95-1,BK$94-1)</f>
        <v>#N/A</v>
      </c>
      <c r="BL95" t="e">
        <f ca="1">OFFSET(data_oe_summary!$A$1,$D$87+$B95-1,BL$94-1)</f>
        <v>#N/A</v>
      </c>
      <c r="BM95" t="e">
        <f ca="1">OFFSET(data_oe_summary!$A$1,$D$87+$B95-1,BM$94-1)</f>
        <v>#N/A</v>
      </c>
      <c r="BN95" t="e">
        <f ca="1">OFFSET(data_oe_summary!$A$1,$D$87+$B95-1,BN$94-1)</f>
        <v>#N/A</v>
      </c>
      <c r="BO95" t="e">
        <f ca="1">OFFSET(data_oe_summary!$A$1,$D$87+$B95-1,BO$94-1)</f>
        <v>#N/A</v>
      </c>
      <c r="BP95" t="e">
        <f ca="1">OFFSET(data_oe_summary!$A$1,$D$87+$B95-1,BP$94-1)</f>
        <v>#N/A</v>
      </c>
      <c r="BQ95" t="e">
        <f ca="1">OFFSET(data_oe_summary!$A$1,$D$87+$B95-1,BQ$94-1)</f>
        <v>#N/A</v>
      </c>
      <c r="BR95" t="e">
        <f ca="1">OFFSET(data_oe_summary!$A$1,$D$87+$B95-1,BR$94-1)</f>
        <v>#N/A</v>
      </c>
      <c r="BS95" t="e">
        <f ca="1">OFFSET(data_oe_summary!$A$1,$D$87+$B95-1,BS$94-1)</f>
        <v>#N/A</v>
      </c>
      <c r="BT95" t="e">
        <f ca="1">OFFSET(data_oe_summary!$A$1,$D$87+$B95-1,BT$94-1)</f>
        <v>#N/A</v>
      </c>
      <c r="BU95" t="e">
        <f ca="1">OFFSET(data_oe_summary!$A$1,$D$87+$B95-1,BU$94-1)</f>
        <v>#N/A</v>
      </c>
      <c r="BV95" t="e">
        <f ca="1">OFFSET(data_oe_summary!$A$1,$D$87+$B95-1,BV$94-1)</f>
        <v>#N/A</v>
      </c>
      <c r="BW95" t="e">
        <f ca="1">OFFSET(data_oe_summary!$A$1,$D$87+$B95-1,BW$94-1)</f>
        <v>#N/A</v>
      </c>
      <c r="BX95" t="e">
        <f ca="1">OFFSET(data_oe_summary!$A$1,$D$87+$B95-1,BX$94-1)</f>
        <v>#N/A</v>
      </c>
      <c r="BY95" t="e">
        <f ca="1">OFFSET(data_oe_summary!$A$1,$D$87+$B95-1,BY$94-1)</f>
        <v>#N/A</v>
      </c>
      <c r="BZ95" t="e">
        <f ca="1">OFFSET(data_oe_summary!$A$1,$D$87+$B95-1,BZ$94-1)</f>
        <v>#N/A</v>
      </c>
      <c r="CA95" t="e">
        <f ca="1">OFFSET(data_oe_summary!$A$1,$D$87+$B95-1,CA$94-1)</f>
        <v>#N/A</v>
      </c>
      <c r="CB95" t="e">
        <f ca="1">OFFSET(data_oe_summary!$A$1,$D$87+$B95-1,CB$94-1)</f>
        <v>#N/A</v>
      </c>
      <c r="CC95" t="e">
        <f ca="1">OFFSET(data_oe_summary!$A$1,$D$87+$B95-1,CC$94-1)</f>
        <v>#N/A</v>
      </c>
      <c r="CD95" t="e">
        <f ca="1">OFFSET(data_oe_summary!$A$1,$D$87+$B95-1,CD$94-1)</f>
        <v>#N/A</v>
      </c>
      <c r="CE95" t="e">
        <f ca="1">OFFSET(data_oe_summary!$A$1,$D$87+$B95-1,CE$94-1)</f>
        <v>#N/A</v>
      </c>
      <c r="CF95" t="e">
        <f ca="1">OFFSET(data_oe_summary!$A$1,$D$87+$B95-1,CF$94-1)</f>
        <v>#N/A</v>
      </c>
      <c r="CG95" t="e">
        <f ca="1">OFFSET(data_oe_summary!$A$1,$D$87+$B95-1,CG$94-1)</f>
        <v>#N/A</v>
      </c>
      <c r="CH95" t="e">
        <f ca="1">OFFSET(data_oe_summary!$A$1,$D$87+$B95-1,CH$94-1)</f>
        <v>#N/A</v>
      </c>
      <c r="CI95" t="e">
        <f ca="1">OFFSET(data_oe_summary!$A$1,$D$87+$B95-1,CI$94-1)</f>
        <v>#N/A</v>
      </c>
      <c r="CJ95" t="e">
        <f ca="1">OFFSET(data_oe_summary!$A$1,$D$87+$B95-1,CJ$94-1)</f>
        <v>#N/A</v>
      </c>
      <c r="CK95" t="e">
        <f ca="1">OFFSET(data_oe_summary!$A$1,$D$87+$B95-1,CK$94-1)</f>
        <v>#N/A</v>
      </c>
      <c r="CL95" t="e">
        <f ca="1">OFFSET(data_oe_summary!$A$1,$D$87+$B95-1,CL$94-1)</f>
        <v>#N/A</v>
      </c>
      <c r="CM95" t="e">
        <f ca="1">OFFSET(data_oe_summary!$A$1,$D$87+$B95-1,CM$94-1)</f>
        <v>#N/A</v>
      </c>
      <c r="CN95" t="e">
        <f ca="1">OFFSET(data_oe_summary!$A$1,$D$87+$B95-1,CN$94-1)</f>
        <v>#N/A</v>
      </c>
      <c r="CO95" t="e">
        <f ca="1">OFFSET(data_oe_summary!$A$1,$D$87+$B95-1,CO$94-1)</f>
        <v>#N/A</v>
      </c>
      <c r="CP95" t="e">
        <f ca="1">OFFSET(data_oe_summary!$A$1,$D$87+$B95-1,CP$94-1)</f>
        <v>#N/A</v>
      </c>
      <c r="CQ95" t="e">
        <f ca="1">OFFSET(data_oe_summary!$A$1,$D$87+$B95-1,CQ$94-1)</f>
        <v>#N/A</v>
      </c>
      <c r="CR95" t="e">
        <f ca="1">OFFSET(data_oe_summary!$A$1,$D$87+$B95-1,CR$94-1)</f>
        <v>#N/A</v>
      </c>
      <c r="CS95" t="e">
        <f ca="1">OFFSET(data_oe_summary!$A$1,$D$87+$B95-1,CS$94-1)</f>
        <v>#N/A</v>
      </c>
      <c r="CT95" t="e">
        <f ca="1">OFFSET(data_oe_summary!$A$1,$D$87+$B95-1,CT$94-1)</f>
        <v>#N/A</v>
      </c>
      <c r="CU95" t="e">
        <f ca="1">OFFSET(data_oe_summary!$A$1,$D$87+$B95-1,CU$94-1)</f>
        <v>#N/A</v>
      </c>
      <c r="CV95" t="e">
        <f ca="1">OFFSET(data_oe_summary!$A$1,$D$87+$B95-1,CV$94-1)</f>
        <v>#N/A</v>
      </c>
      <c r="CW95" t="e">
        <f ca="1">OFFSET(data_oe_summary!$A$1,$D$87+$B95-1,CW$94-1)</f>
        <v>#N/A</v>
      </c>
      <c r="CX95" t="e">
        <f ca="1">OFFSET(data_oe_summary!$A$1,$D$87+$B95-1,CX$94-1)</f>
        <v>#N/A</v>
      </c>
      <c r="CY95" t="e">
        <f ca="1">OFFSET(data_oe_summary!$A$1,$D$87+$B95-1,CY$94-1)</f>
        <v>#N/A</v>
      </c>
      <c r="CZ95" t="e">
        <f ca="1">OFFSET(data_oe_summary!$A$1,$D$87+$B95-1,CZ$94-1)</f>
        <v>#N/A</v>
      </c>
      <c r="DA95" t="e">
        <f ca="1">OFFSET(data_oe_summary!$A$1,$D$87+$B95-1,DA$94-1)</f>
        <v>#N/A</v>
      </c>
      <c r="DB95" t="e">
        <f ca="1">OFFSET(data_oe_summary!$A$1,$D$87+$B95-1,DB$94-1)</f>
        <v>#N/A</v>
      </c>
      <c r="DC95" t="e">
        <f ca="1">OFFSET(data_oe_summary!$A$1,$D$87+$B95-1,DC$94-1)</f>
        <v>#N/A</v>
      </c>
      <c r="DD95" t="e">
        <f ca="1">OFFSET(data_oe_summary!$A$1,$D$87+$B95-1,DD$94-1)</f>
        <v>#N/A</v>
      </c>
      <c r="DE95" t="e">
        <f ca="1">OFFSET(data_oe_summary!$A$1,$D$87+$B95-1,DE$94-1)</f>
        <v>#N/A</v>
      </c>
      <c r="DF95" t="e">
        <f ca="1">OFFSET(data_oe_summary!$A$1,$D$87+$B95-1,DF$94-1)</f>
        <v>#N/A</v>
      </c>
      <c r="DG95" t="e">
        <f ca="1">OFFSET(data_oe_summary!$A$1,$D$87+$B95-1,DG$94-1)</f>
        <v>#N/A</v>
      </c>
      <c r="DH95" t="e">
        <f ca="1">OFFSET(data_oe_summary!$A$1,$D$87+$B95-1,DH$94-1)</f>
        <v>#N/A</v>
      </c>
      <c r="DI95" t="e">
        <f ca="1">OFFSET(data_oe_summary!$A$1,$D$87+$B95-1,DI$94-1)</f>
        <v>#N/A</v>
      </c>
      <c r="DJ95" t="e">
        <f ca="1">OFFSET(data_oe_summary!$A$1,$D$87+$B95-1,DJ$94-1)</f>
        <v>#N/A</v>
      </c>
      <c r="DK95" t="e">
        <f ca="1">OFFSET(data_oe_summary!$A$1,$D$87+$B95-1,DK$94-1)</f>
        <v>#N/A</v>
      </c>
      <c r="DL95" t="e">
        <f ca="1">OFFSET(data_oe_summary!$A$1,$D$87+$B95-1,DL$94-1)</f>
        <v>#N/A</v>
      </c>
      <c r="DM95" t="e">
        <f ca="1">OFFSET(data_oe_summary!$A$1,$D$87+$B95-1,DM$94-1)</f>
        <v>#N/A</v>
      </c>
      <c r="DN95" t="e">
        <f ca="1">OFFSET(data_oe_summary!$A$1,$D$87+$B95-1,DN$94-1)</f>
        <v>#N/A</v>
      </c>
      <c r="DO95" t="e">
        <f ca="1">OFFSET(data_oe_summary!$A$1,$D$87+$B95-1,DO$94-1)</f>
        <v>#N/A</v>
      </c>
      <c r="DP95" t="e">
        <f ca="1">OFFSET(data_oe_summary!$A$1,$D$87+$B95-1,DP$94-1)</f>
        <v>#N/A</v>
      </c>
      <c r="DQ95" t="e">
        <f ca="1">OFFSET(data_oe_summary!$A$1,$D$87+$B95-1,DQ$94-1)</f>
        <v>#N/A</v>
      </c>
      <c r="DR95" t="e">
        <f ca="1">OFFSET(data_oe_summary!$A$1,$D$87+$B95-1,DR$94-1)</f>
        <v>#N/A</v>
      </c>
      <c r="DS95" t="e">
        <f ca="1">OFFSET(data_oe_summary!$A$1,$D$87+$B95-1,DS$94-1)</f>
        <v>#N/A</v>
      </c>
      <c r="DT95" t="e">
        <f ca="1">OFFSET(data_oe_summary!$A$1,$D$87+$B95-1,DT$94-1)</f>
        <v>#N/A</v>
      </c>
      <c r="DU95" t="e">
        <f ca="1">OFFSET(data_oe_summary!$A$1,$D$87+$B95-1,DU$94-1)</f>
        <v>#N/A</v>
      </c>
      <c r="DV95" t="e">
        <f ca="1">OFFSET(data_oe_summary!$A$1,$D$87+$B95-1,DV$94-1)</f>
        <v>#N/A</v>
      </c>
      <c r="DW95" t="e">
        <f ca="1">OFFSET(data_oe_summary!$A$1,$D$87+$B95-1,DW$94-1)</f>
        <v>#N/A</v>
      </c>
      <c r="DX95" t="e">
        <f ca="1">OFFSET(data_oe_summary!$A$1,$D$87+$B95-1,DX$94-1)</f>
        <v>#N/A</v>
      </c>
      <c r="DY95" t="e">
        <f ca="1">OFFSET(data_oe_summary!$A$1,$D$87+$B95-1,DY$94-1)</f>
        <v>#N/A</v>
      </c>
      <c r="DZ95" t="e">
        <f ca="1">OFFSET(data_oe_summary!$A$1,$D$87+$B95-1,DZ$94-1)</f>
        <v>#N/A</v>
      </c>
      <c r="EA95" t="e">
        <f ca="1">OFFSET(data_oe_summary!$A$1,$D$87+$B95-1,EA$94-1)</f>
        <v>#N/A</v>
      </c>
      <c r="EB95" t="e">
        <f ca="1">OFFSET(data_oe_summary!$A$1,$D$87+$B95-1,EB$94-1)</f>
        <v>#N/A</v>
      </c>
      <c r="EC95" t="e">
        <f ca="1">OFFSET(data_oe_summary!$A$1,$D$87+$B95-1,EC$94-1)</f>
        <v>#N/A</v>
      </c>
      <c r="ED95" t="e">
        <f ca="1">OFFSET(data_oe_summary!$A$1,$D$87+$B95-1,ED$94-1)</f>
        <v>#N/A</v>
      </c>
      <c r="EE95" t="e">
        <f ca="1">OFFSET(data_oe_summary!$A$1,$D$87+$B95-1,EE$94-1)</f>
        <v>#N/A</v>
      </c>
      <c r="EF95" t="e">
        <f ca="1">OFFSET(data_oe_summary!$A$1,$D$87+$B95-1,EF$94-1)</f>
        <v>#N/A</v>
      </c>
      <c r="EG95" t="e">
        <f ca="1">OFFSET(data_oe_summary!$A$1,$D$87+$B95-1,EG$94-1)</f>
        <v>#N/A</v>
      </c>
      <c r="EH95" t="e">
        <f ca="1">OFFSET(data_oe_summary!$A$1,$D$87+$B95-1,EH$94-1)</f>
        <v>#N/A</v>
      </c>
    </row>
    <row r="96" spans="2:138" hidden="1" outlineLevel="1" x14ac:dyDescent="0.35"/>
    <row r="97" spans="2:112" ht="15" hidden="1" customHeight="1" outlineLevel="1" x14ac:dyDescent="0.4">
      <c r="B97" s="127" t="s">
        <v>1021</v>
      </c>
    </row>
    <row r="98" spans="2:112" s="131" customFormat="1" ht="114" hidden="1" customHeight="1" outlineLevel="1" x14ac:dyDescent="0.35">
      <c r="B98" s="130" t="s">
        <v>1023</v>
      </c>
      <c r="C98" s="130" t="str">
        <f>INDEX(own_detail[Label],MATCH(C$99,own_detail[Name],0))</f>
        <v>Number of Line of Business</v>
      </c>
      <c r="D98" s="130" t="str">
        <f>INDEX(own_detail[Label],MATCH(D$99,own_detail[Name],0))</f>
        <v>Selected Line of Business</v>
      </c>
      <c r="E98" s="130" t="str">
        <f>INDEX(own_detail[Label],MATCH(E$99,own_detail[Name],0))</f>
        <v>YoA</v>
      </c>
      <c r="F98" s="130" t="str">
        <f>INDEX(own_detail[Label],MATCH(F$99,own_detail[Name],0))</f>
        <v>Latest
GPI</v>
      </c>
      <c r="G98" s="130" t="str">
        <f>INDEX(own_detail[Label],MATCH(G$99,own_detail[Name],0))</f>
        <v>Latest
GNPI</v>
      </c>
      <c r="H98" s="130" t="str">
        <f>INDEX(own_detail[Label],MATCH(H$99,own_detail[Name],0))</f>
        <v>Acquisition
Costs %</v>
      </c>
      <c r="I98" s="130" t="str">
        <f>INDEX(own_detail[Label],MATCH(I$99,own_detail[Name],0))</f>
        <v>Ultimate
GNPI -
CL</v>
      </c>
      <c r="J98" s="130" t="str">
        <f>INDEX(own_detail[Label],MATCH(J$99,own_detail[Name],0))</f>
        <v>Ultimate
GNPI -
Override</v>
      </c>
      <c r="K98" s="130" t="str">
        <f>INDEX(own_detail[Label],MATCH(K$99,own_detail[Name],0))</f>
        <v>Ultimate
GNPI -
Selected</v>
      </c>
      <c r="L98" s="130" t="str">
        <f>INDEX(own_detail[Label],MATCH(L$99,own_detail[Name],0))</f>
        <v>Ultimate
GNPI
On-level
Selected</v>
      </c>
      <c r="M98" s="130" t="str">
        <f>INDEX(own_detail[Label],MATCH(M$99,own_detail[Name],0))</f>
        <v>CL - IELR</v>
      </c>
      <c r="N98" s="130" t="str">
        <f>INDEX(own_detail[Label],MATCH(N$99,own_detail[Name],0))</f>
        <v>Attritional</v>
      </c>
      <c r="O98" s="130" t="str">
        <f>INDEX(own_detail[Label],MATCH(O$99,own_detail[Name],0))</f>
        <v>Large</v>
      </c>
      <c r="P98" s="130" t="str">
        <f>INDEX(own_detail[Label],MATCH(P$99,own_detail[Name],0))</f>
        <v>Cat</v>
      </c>
      <c r="Q98" s="130" t="str">
        <f>INDEX(own_detail[Label],MATCH(Q$99,own_detail[Name],0))</f>
        <v>Total</v>
      </c>
      <c r="R98" s="130" t="str">
        <f>INDEX(own_detail[Label],MATCH(R$99,own_detail[Name],0))</f>
        <v>is_row_visible</v>
      </c>
      <c r="S98" s="130" t="str">
        <f>INDEX(own_detail[Label],MATCH(S$99,own_detail[Name],0))</f>
        <v>lob_visible_1</v>
      </c>
      <c r="T98" s="130" t="str">
        <f>INDEX(own_detail[Label],MATCH(T$99,own_detail[Name],0))</f>
        <v>lob_visible_2</v>
      </c>
      <c r="U98" s="130" t="str">
        <f>INDEX(own_detail[Label],MATCH(U$99,own_detail[Name],0))</f>
        <v>lob_visible_3</v>
      </c>
      <c r="V98" s="130" t="str">
        <f>INDEX(own_detail[Label],MATCH(V$99,own_detail[Name],0))</f>
        <v>Attritional</v>
      </c>
      <c r="W98" s="130" t="str">
        <f>INDEX(own_detail[Label],MATCH(W$99,own_detail[Name],0))</f>
        <v>Attritional</v>
      </c>
      <c r="X98" s="130" t="str">
        <f>INDEX(own_detail[Label],MATCH(X$99,own_detail[Name],0))</f>
        <v>Attritional</v>
      </c>
      <c r="Y98" s="130" t="str">
        <f>INDEX(own_detail[Label],MATCH(Y$99,own_detail[Name],0))</f>
        <v>Attritional</v>
      </c>
      <c r="Z98" s="130" t="str">
        <f>INDEX(own_detail[Label],MATCH(Z$99,own_detail[Name],0))</f>
        <v>Attritional</v>
      </c>
      <c r="AA98" s="130" t="str">
        <f>INDEX(own_detail[Label],MATCH(AA$99,own_detail[Name],0))</f>
        <v>Attritional</v>
      </c>
      <c r="AB98" s="130" t="str">
        <f>INDEX(own_detail[Label],MATCH(AB$99,own_detail[Name],0))</f>
        <v>Attritional</v>
      </c>
      <c r="AC98" s="130" t="str">
        <f>INDEX(own_detail[Label],MATCH(AC$99,own_detail[Name],0))</f>
        <v>Attritional</v>
      </c>
      <c r="AD98" s="130" t="str">
        <f>INDEX(own_detail[Label],MATCH(AD$99,own_detail[Name],0))</f>
        <v>Attritional</v>
      </c>
      <c r="AE98" s="130" t="str">
        <f>INDEX(own_detail[Label],MATCH(AE$99,own_detail[Name],0))</f>
        <v>Attritional</v>
      </c>
      <c r="AF98" s="130" t="str">
        <f>INDEX(own_detail[Label],MATCH(AF$99,own_detail[Name],0))</f>
        <v>Attritional</v>
      </c>
      <c r="AG98" s="130" t="str">
        <f>INDEX(own_detail[Label],MATCH(AG$99,own_detail[Name],0))</f>
        <v>Attritional</v>
      </c>
      <c r="AH98" s="130" t="str">
        <f>INDEX(own_detail[Label],MATCH(AH$99,own_detail[Name],0))</f>
        <v>Attritional</v>
      </c>
      <c r="AI98" s="130" t="str">
        <f>INDEX(own_detail[Label],MATCH(AI$99,own_detail[Name],0))</f>
        <v>Attritional</v>
      </c>
      <c r="AJ98" s="130" t="str">
        <f>INDEX(own_detail[Label],MATCH(AJ$99,own_detail[Name],0))</f>
        <v>Large</v>
      </c>
      <c r="AK98" s="130" t="str">
        <f>INDEX(own_detail[Label],MATCH(AK$99,own_detail[Name],0))</f>
        <v>Large</v>
      </c>
      <c r="AL98" s="130" t="str">
        <f>INDEX(own_detail[Label],MATCH(AL$99,own_detail[Name],0))</f>
        <v>Large</v>
      </c>
      <c r="AM98" s="130" t="str">
        <f>INDEX(own_detail[Label],MATCH(AM$99,own_detail[Name],0))</f>
        <v>Large</v>
      </c>
      <c r="AN98" s="130" t="str">
        <f>INDEX(own_detail[Label],MATCH(AN$99,own_detail[Name],0))</f>
        <v>Large</v>
      </c>
      <c r="AO98" s="130" t="str">
        <f>INDEX(own_detail[Label],MATCH(AO$99,own_detail[Name],0))</f>
        <v>Large</v>
      </c>
      <c r="AP98" s="130" t="str">
        <f>INDEX(own_detail[Label],MATCH(AP$99,own_detail[Name],0))</f>
        <v>Large</v>
      </c>
      <c r="AQ98" s="130" t="str">
        <f>INDEX(own_detail[Label],MATCH(AQ$99,own_detail[Name],0))</f>
        <v>Large</v>
      </c>
      <c r="AR98" s="130" t="str">
        <f>INDEX(own_detail[Label],MATCH(AR$99,own_detail[Name],0))</f>
        <v>Large</v>
      </c>
      <c r="AS98" s="130" t="str">
        <f>INDEX(own_detail[Label],MATCH(AS$99,own_detail[Name],0))</f>
        <v>Large</v>
      </c>
      <c r="AT98" s="130" t="str">
        <f>INDEX(own_detail[Label],MATCH(AT$99,own_detail[Name],0))</f>
        <v>Large</v>
      </c>
      <c r="AU98" s="130" t="str">
        <f>INDEX(own_detail[Label],MATCH(AU$99,own_detail[Name],0))</f>
        <v>Large</v>
      </c>
      <c r="AV98" s="130" t="str">
        <f>INDEX(own_detail[Label],MATCH(AV$99,own_detail[Name],0))</f>
        <v>Large</v>
      </c>
      <c r="AW98" s="130" t="str">
        <f>INDEX(own_detail[Label],MATCH(AW$99,own_detail[Name],0))</f>
        <v>Large</v>
      </c>
      <c r="AX98" s="130" t="str">
        <f>INDEX(own_detail[Label],MATCH(AX$99,own_detail[Name],0))</f>
        <v>Cat</v>
      </c>
      <c r="AY98" s="130" t="str">
        <f>INDEX(own_detail[Label],MATCH(AY$99,own_detail[Name],0))</f>
        <v>Cat</v>
      </c>
      <c r="AZ98" s="130" t="str">
        <f>INDEX(own_detail[Label],MATCH(AZ$99,own_detail[Name],0))</f>
        <v>Cat</v>
      </c>
      <c r="BA98" s="130" t="str">
        <f>INDEX(own_detail[Label],MATCH(BA$99,own_detail[Name],0))</f>
        <v>Cat</v>
      </c>
      <c r="BB98" s="130" t="str">
        <f>INDEX(own_detail[Label],MATCH(BB$99,own_detail[Name],0))</f>
        <v>Cat</v>
      </c>
      <c r="BC98" s="130" t="str">
        <f>INDEX(own_detail[Label],MATCH(BC$99,own_detail[Name],0))</f>
        <v>Cat</v>
      </c>
      <c r="BD98" s="130" t="str">
        <f>INDEX(own_detail[Label],MATCH(BD$99,own_detail[Name],0))</f>
        <v>Cat</v>
      </c>
      <c r="BE98" s="130" t="str">
        <f>INDEX(own_detail[Label],MATCH(BE$99,own_detail[Name],0))</f>
        <v>Cat</v>
      </c>
      <c r="BF98" s="130" t="str">
        <f>INDEX(own_detail[Label],MATCH(BF$99,own_detail[Name],0))</f>
        <v>Cat</v>
      </c>
      <c r="BG98" s="130" t="str">
        <f>INDEX(own_detail[Label],MATCH(BG$99,own_detail[Name],0))</f>
        <v>Cat</v>
      </c>
      <c r="BH98" s="130" t="str">
        <f>INDEX(own_detail[Label],MATCH(BH$99,own_detail[Name],0))</f>
        <v>Cat</v>
      </c>
      <c r="BI98" s="130" t="str">
        <f>INDEX(own_detail[Label],MATCH(BI$99,own_detail[Name],0))</f>
        <v>Cat</v>
      </c>
      <c r="BJ98" s="130" t="str">
        <f>INDEX(own_detail[Label],MATCH(BJ$99,own_detail[Name],0))</f>
        <v>Cat</v>
      </c>
      <c r="BK98" s="130" t="str">
        <f>INDEX(own_detail[Label],MATCH(BK$99,own_detail[Name],0))</f>
        <v>Cat</v>
      </c>
      <c r="BL98" s="130" t="str">
        <f>INDEX(own_detail[Label],MATCH(BL$99,own_detail[Name],0))</f>
        <v>Total</v>
      </c>
      <c r="BM98" s="130" t="str">
        <f>INDEX(own_detail[Label],MATCH(BM$99,own_detail[Name],0))</f>
        <v>Total</v>
      </c>
      <c r="BN98" s="130" t="str">
        <f>INDEX(own_detail[Label],MATCH(BN$99,own_detail[Name],0))</f>
        <v>Total</v>
      </c>
      <c r="BO98" s="130" t="str">
        <f>INDEX(own_detail[Label],MATCH(BO$99,own_detail[Name],0))</f>
        <v>Total</v>
      </c>
      <c r="BP98" s="130" t="str">
        <f>INDEX(own_detail[Label],MATCH(BP$99,own_detail[Name],0))</f>
        <v>Total</v>
      </c>
      <c r="BQ98" s="130" t="str">
        <f>INDEX(own_detail[Label],MATCH(BQ$99,own_detail[Name],0))</f>
        <v>Total</v>
      </c>
      <c r="BR98" s="130" t="str">
        <f>INDEX(own_detail[Label],MATCH(BR$99,own_detail[Name],0))</f>
        <v>Total</v>
      </c>
      <c r="BS98" s="130" t="str">
        <f>INDEX(own_detail[Label],MATCH(BS$99,own_detail[Name],0))</f>
        <v>Total</v>
      </c>
      <c r="BT98" s="130" t="str">
        <f>INDEX(own_detail[Label],MATCH(BT$99,own_detail[Name],0))</f>
        <v>Total</v>
      </c>
      <c r="BU98" s="130" t="str">
        <f>INDEX(own_detail[Label],MATCH(BU$99,own_detail[Name],0))</f>
        <v>Total</v>
      </c>
      <c r="BV98" s="130" t="str">
        <f>INDEX(own_detail[Label],MATCH(BV$99,own_detail[Name],0))</f>
        <v>Total</v>
      </c>
      <c r="BW98" s="130" t="str">
        <f>INDEX(own_detail[Label],MATCH(BW$99,own_detail[Name],0))</f>
        <v>Total</v>
      </c>
      <c r="BX98" s="130" t="str">
        <f>INDEX(own_detail[Label],MATCH(BX$99,own_detail[Name],0))</f>
        <v>Total</v>
      </c>
      <c r="BY98" s="130" t="str">
        <f>INDEX(own_detail[Label],MATCH(BY$99,own_detail[Name],0))</f>
        <v>Total</v>
      </c>
      <c r="BZ98" s="130" t="str">
        <f>INDEX(own_detail[Label],MATCH(BZ$99,own_detail[Name],0))</f>
        <v>Total
(excl. Cat)</v>
      </c>
      <c r="CA98" s="130" t="str">
        <f>INDEX(own_detail[Label],MATCH(CA$99,own_detail[Name],0))</f>
        <v>Total
(excl. Cat)</v>
      </c>
      <c r="CB98" s="130" t="str">
        <f>INDEX(own_detail[Label],MATCH(CB$99,own_detail[Name],0))</f>
        <v>Total
(excl. Cat)</v>
      </c>
      <c r="CC98" s="130" t="str">
        <f>INDEX(own_detail[Label],MATCH(CC$99,own_detail[Name],0))</f>
        <v>Premium
Development
 Pattern -
Lloyds
 - Unadjusted</v>
      </c>
      <c r="CD98" s="130" t="str">
        <f>INDEX(own_detail[Label],MATCH(CD$99,own_detail[Name],0))</f>
        <v>Paid
Development
 Pattern -
Lloyds
 - Unadjusted</v>
      </c>
      <c r="CE98" s="130" t="str">
        <f>INDEX(own_detail[Label],MATCH(CE$99,own_detail[Name],0))</f>
        <v>Incurred
Development
 Pattern -
Lloyds
 - Unadjusted</v>
      </c>
      <c r="CF98" s="130" t="str">
        <f>INDEX(own_detail[Label],MATCH(CF$99,own_detail[Name],0))</f>
        <v>Premium
Development
 Pattern -
Lloyds</v>
      </c>
      <c r="CG98" s="130" t="str">
        <f>INDEX(own_detail[Label],MATCH(CG$99,own_detail[Name],0))</f>
        <v>Paid
Development
 Pattern -
Lloyds</v>
      </c>
      <c r="CH98" s="130" t="str">
        <f>INDEX(own_detail[Label],MATCH(CH$99,own_detail[Name],0))</f>
        <v>Incurred
Development
 Pattern -
Lloyds</v>
      </c>
      <c r="CI98" s="130" t="str">
        <f>INDEX(own_detail[Label],MATCH(CI$99,own_detail[Name],0))</f>
        <v>Premium
Development
 Pattern -
Override</v>
      </c>
      <c r="CJ98" s="130" t="str">
        <f>INDEX(own_detail[Label],MATCH(CJ$99,own_detail[Name],0))</f>
        <v>Incurred
Development
 Pattern -
Override</v>
      </c>
      <c r="CK98" s="130" t="str">
        <f>INDEX(own_detail[Label],MATCH(CK$99,own_detail[Name],0))</f>
        <v>Premium
Development
 Pattern -
Selected</v>
      </c>
      <c r="CL98" s="130" t="str">
        <f>INDEX(own_detail[Label],MATCH(CL$99,own_detail[Name],0))</f>
        <v>Incurred
Development
 Pattern -
Selected</v>
      </c>
      <c r="CM98" s="130" t="str">
        <f>INDEX(own_detail[Label],MATCH(CM$99,own_detail[Name],0))</f>
        <v>Method
Incurred</v>
      </c>
      <c r="CN98" s="130" t="str">
        <f>INDEX(own_detail[Label],MATCH(CN$99,own_detail[Name],0))</f>
        <v>Applied
  Rate Change</v>
      </c>
      <c r="CO98" s="130" t="str">
        <f>INDEX(own_detail[Label],MATCH(CO$99,own_detail[Name],0))</f>
        <v>Applied
  Inflation</v>
      </c>
      <c r="CP98" s="130" t="str">
        <f>INDEX(own_detail[Label],MATCH(CP$99,own_detail[Name],0))</f>
        <v>Modelled
 Weighting</v>
      </c>
      <c r="CQ98" s="130" t="str">
        <f>INDEX(own_detail[Label],MATCH(CQ$99,own_detail[Name],0))</f>
        <v>Applied
  Rate Change
  Cumulative</v>
      </c>
      <c r="CR98" s="130" t="str">
        <f>INDEX(own_detail[Label],MATCH(CR$99,own_detail[Name],0))</f>
        <v>Applied
  Inflation
  Cumulative</v>
      </c>
      <c r="CS98" s="130" t="str">
        <f>INDEX(own_detail[Label],MATCH(CS$99,own_detail[Name],0))</f>
        <v>Selected
  On-Level
  Factor</v>
      </c>
      <c r="CT98" s="130" t="str">
        <f>INDEX(own_detail[Label],MATCH(CT$99,own_detail[Name],0))</f>
        <v>Exposure -
weighting 1</v>
      </c>
      <c r="CU98" s="130" t="str">
        <f>INDEX(own_detail[Label],MATCH(CU$99,own_detail[Name],0))</f>
        <v>Decay Ratio -
weighting 2</v>
      </c>
      <c r="CV98" s="130" t="str">
        <f>INDEX(own_detail[Label],MATCH(CV$99,own_detail[Name],0))</f>
        <v>Developed -
weighting 3</v>
      </c>
      <c r="CW98" s="130" t="str">
        <f>INDEX(own_detail[Label],MATCH(CW$99,own_detail[Name],0))</f>
        <v>Modelled
 Weighting</v>
      </c>
      <c r="CX98" s="130" t="str">
        <f>INDEX(own_detail[Label],MATCH(CX$99,own_detail[Name],0))</f>
        <v>Exposure -
weighting
Nominal</v>
      </c>
      <c r="CY98" s="130" t="str">
        <f>INDEX(own_detail[Label],MATCH(CY$99,own_detail[Name],0))</f>
        <v>Modelled
 Weighting
Nominal</v>
      </c>
      <c r="CZ98" s="130" t="str">
        <f>INDEX(own_detail[Label],MATCH(CZ$99,own_detail[Name],0))</f>
        <v>Actual</v>
      </c>
      <c r="DA98" s="130" t="str">
        <f>INDEX(own_detail[Label],MATCH(DA$99,own_detail[Name],0))</f>
        <v>Lower</v>
      </c>
      <c r="DB98" s="130" t="str">
        <f>INDEX(own_detail[Label],MATCH(DB$99,own_detail[Name],0))</f>
        <v>Upper</v>
      </c>
      <c r="DC98" s="130" t="str">
        <f>INDEX(own_detail[Label],MATCH(DC$99,own_detail[Name],0))</f>
        <v>Premium 
Lloyds
 Lower</v>
      </c>
      <c r="DD98" s="130" t="str">
        <f>INDEX(own_detail[Label],MATCH(DD$99,own_detail[Name],0))</f>
        <v>Premium 
Lloyds
 Upper</v>
      </c>
      <c r="DE98" s="130" t="str">
        <f>INDEX(own_detail[Label],MATCH(DE$99,own_detail[Name],0))</f>
        <v>Premium 
Lloyds
 Actual</v>
      </c>
      <c r="DF98" s="130" t="str">
        <f>INDEX(own_detail[Label],MATCH(DF$99,own_detail[Name],0))</f>
        <v>Incurred 
Lloyds 
Lower</v>
      </c>
      <c r="DG98" s="130" t="str">
        <f>INDEX(own_detail[Label],MATCH(DG$99,own_detail[Name],0))</f>
        <v>Incurred 
Lloyds 
Upper</v>
      </c>
      <c r="DH98" s="130" t="str">
        <f>INDEX(own_detail[Label],MATCH(DH$99,own_detail[Name],0))</f>
        <v>Incurred 
Lloyds 
Actual</v>
      </c>
    </row>
    <row r="99" spans="2:112" hidden="1" outlineLevel="1" x14ac:dyDescent="0.35">
      <c r="B99" s="129" t="s">
        <v>1022</v>
      </c>
      <c r="C99" s="129" t="str">
        <f>data_oe_detail!A1</f>
        <v>lob_number</v>
      </c>
      <c r="D99" s="129" t="str">
        <f>data_oe_detail!B1</f>
        <v>selected_lob</v>
      </c>
      <c r="E99" s="129" t="str">
        <f>data_oe_detail!C1</f>
        <v>yoa</v>
      </c>
      <c r="F99" s="129" t="str">
        <f>data_oe_detail!D1</f>
        <v>latest_gpi</v>
      </c>
      <c r="G99" s="129" t="str">
        <f>data_oe_detail!E1</f>
        <v>latest_gnpi</v>
      </c>
      <c r="H99" s="129" t="str">
        <f>data_oe_detail!F1</f>
        <v>acquisition_costs</v>
      </c>
      <c r="I99" s="129" t="str">
        <f>data_oe_detail!G1</f>
        <v>ultimate_premium_selected_gnpi_cl</v>
      </c>
      <c r="J99" s="129" t="str">
        <f>data_oe_detail!H1</f>
        <v>ultimate_premium_selected_gnpi_override</v>
      </c>
      <c r="K99" s="129" t="str">
        <f>data_oe_detail!I1</f>
        <v>ultimate_premium_selected_gnpi_selected</v>
      </c>
      <c r="L99" s="129" t="str">
        <f>data_oe_detail!J1</f>
        <v>ultimate_premium_selected_gnpi_selected_ol</v>
      </c>
      <c r="M99" s="129" t="str">
        <f>data_oe_detail!K1</f>
        <v>ultimate_incurred_cl_ielr</v>
      </c>
      <c r="N99" s="129" t="str">
        <f>data_oe_detail!L1</f>
        <v>additional_ibnr_attr</v>
      </c>
      <c r="O99" s="129" t="str">
        <f>data_oe_detail!M1</f>
        <v>additional_ibnr_large</v>
      </c>
      <c r="P99" s="129" t="str">
        <f>data_oe_detail!N1</f>
        <v>additional_ibnr_cat</v>
      </c>
      <c r="Q99" s="129" t="str">
        <f>data_oe_detail!O1</f>
        <v>additional_ibnr_total</v>
      </c>
      <c r="R99" s="129" t="str">
        <f>data_oe_detail!P1</f>
        <v>is_row_visible</v>
      </c>
      <c r="S99" s="129" t="str">
        <f>data_oe_detail!Q1</f>
        <v>lob_visible_1</v>
      </c>
      <c r="T99" s="129" t="str">
        <f>data_oe_detail!R1</f>
        <v>lob_visible_2</v>
      </c>
      <c r="U99" s="129" t="str">
        <f>data_oe_detail!S1</f>
        <v>lob_visible_3</v>
      </c>
      <c r="V99" s="129" t="str">
        <f>data_oe_detail!T1</f>
        <v>latest_incurred_open_claims_attr</v>
      </c>
      <c r="W99" s="129" t="str">
        <f>data_oe_detail!U1</f>
        <v>latest_incurred_closed_claims_attr</v>
      </c>
      <c r="X99" s="129" t="str">
        <f>data_oe_detail!V1</f>
        <v>latest_incurred_total_claims_attr</v>
      </c>
      <c r="Y99" s="129" t="str">
        <f>data_oe_detail!W1</f>
        <v>last_year_position_attr</v>
      </c>
      <c r="Z99" s="129" t="str">
        <f>data_oe_detail!X1</f>
        <v>movement_attr</v>
      </c>
      <c r="AA99" s="129" t="str">
        <f>data_oe_detail!Y1</f>
        <v>gn_ilr_attr</v>
      </c>
      <c r="AB99" s="129" t="str">
        <f>data_oe_detail!Z1</f>
        <v>ultimate_incurred_ielr_attr</v>
      </c>
      <c r="AC99" s="129" t="str">
        <f>data_oe_detail!AA1</f>
        <v>ultimate_incurred_bf_attr</v>
      </c>
      <c r="AD99" s="129" t="str">
        <f>data_oe_detail!AB1</f>
        <v>ultimate_incurred_cl_attr</v>
      </c>
      <c r="AE99" s="129" t="str">
        <f>data_oe_detail!AC1</f>
        <v>ielr_weighting_cl_attr</v>
      </c>
      <c r="AF99" s="129" t="str">
        <f>data_oe_detail!AD1</f>
        <v>ultimate_incurred_selected_attr</v>
      </c>
      <c r="AG99" s="129" t="str">
        <f>data_oe_detail!AE1</f>
        <v>ultimate_ulr_selected_attr</v>
      </c>
      <c r="AH99" s="129" t="str">
        <f>data_oe_detail!AF1</f>
        <v>ultimate_ulr_on_levelled_attr</v>
      </c>
      <c r="AI99" s="129" t="str">
        <f>data_oe_detail!AG1</f>
        <v>ielr_weighting_sel_attr</v>
      </c>
      <c r="AJ99" s="129" t="str">
        <f>data_oe_detail!AH1</f>
        <v>latest_incurred_open_claims_large</v>
      </c>
      <c r="AK99" s="129" t="str">
        <f>data_oe_detail!AI1</f>
        <v>latest_incurred_closed_claims_large</v>
      </c>
      <c r="AL99" s="129" t="str">
        <f>data_oe_detail!AJ1</f>
        <v>latest_incurred_total_claims_large</v>
      </c>
      <c r="AM99" s="129" t="str">
        <f>data_oe_detail!AK1</f>
        <v>last_year_position_large</v>
      </c>
      <c r="AN99" s="129" t="str">
        <f>data_oe_detail!AL1</f>
        <v>movement_large</v>
      </c>
      <c r="AO99" s="129" t="str">
        <f>data_oe_detail!AM1</f>
        <v>gn_ilr_large</v>
      </c>
      <c r="AP99" s="129" t="str">
        <f>data_oe_detail!AN1</f>
        <v>ultimate_incurred_ielr_large</v>
      </c>
      <c r="AQ99" s="129" t="str">
        <f>data_oe_detail!AO1</f>
        <v>ultimate_incurred_bf_large</v>
      </c>
      <c r="AR99" s="129" t="str">
        <f>data_oe_detail!AP1</f>
        <v>ultimate_incurred_cl_large</v>
      </c>
      <c r="AS99" s="129" t="str">
        <f>data_oe_detail!AQ1</f>
        <v>ielr_weighting_cl_large</v>
      </c>
      <c r="AT99" s="129" t="str">
        <f>data_oe_detail!AR1</f>
        <v>ultimate_incurred_selected_large</v>
      </c>
      <c r="AU99" s="129" t="str">
        <f>data_oe_detail!AS1</f>
        <v>ultimate_ulr_selected_large</v>
      </c>
      <c r="AV99" s="129" t="str">
        <f>data_oe_detail!AT1</f>
        <v>ultimate_ulr_on_levelled_large</v>
      </c>
      <c r="AW99" s="129" t="str">
        <f>data_oe_detail!AU1</f>
        <v>ielr_weighting_sel_large</v>
      </c>
      <c r="AX99" s="129" t="str">
        <f>data_oe_detail!AV1</f>
        <v>latest_incurred_open_claims_cat</v>
      </c>
      <c r="AY99" s="129" t="str">
        <f>data_oe_detail!AW1</f>
        <v>latest_incurred_closed_claims_cat</v>
      </c>
      <c r="AZ99" s="129" t="str">
        <f>data_oe_detail!AX1</f>
        <v>latest_incurred_total_claims_cat</v>
      </c>
      <c r="BA99" s="129" t="str">
        <f>data_oe_detail!AY1</f>
        <v>last_year_position_cat</v>
      </c>
      <c r="BB99" s="129" t="str">
        <f>data_oe_detail!AZ1</f>
        <v>movement_cat</v>
      </c>
      <c r="BC99" s="129" t="str">
        <f>data_oe_detail!BA1</f>
        <v>gn_ilr_cat</v>
      </c>
      <c r="BD99" s="129" t="str">
        <f>data_oe_detail!BB1</f>
        <v>ultimate_incurred_ielr_cat</v>
      </c>
      <c r="BE99" s="129" t="str">
        <f>data_oe_detail!BC1</f>
        <v>ultimate_incurred_bf_cat</v>
      </c>
      <c r="BF99" s="129" t="str">
        <f>data_oe_detail!BD1</f>
        <v>ultimate_incurred_cl_cat</v>
      </c>
      <c r="BG99" s="129" t="str">
        <f>data_oe_detail!BE1</f>
        <v>ielr_weighting_cl_cat</v>
      </c>
      <c r="BH99" s="129" t="str">
        <f>data_oe_detail!BF1</f>
        <v>ultimate_incurred_selected_cat</v>
      </c>
      <c r="BI99" s="129" t="str">
        <f>data_oe_detail!BG1</f>
        <v>ultimate_ulr_selected_cat</v>
      </c>
      <c r="BJ99" s="129" t="str">
        <f>data_oe_detail!BH1</f>
        <v>ultimate_ulr_on_levelled_cat</v>
      </c>
      <c r="BK99" s="129" t="str">
        <f>data_oe_detail!BI1</f>
        <v>ielr_weighting_sel_cat</v>
      </c>
      <c r="BL99" s="129" t="str">
        <f>data_oe_detail!BJ1</f>
        <v>latest_incurred_open_claims_total</v>
      </c>
      <c r="BM99" s="129" t="str">
        <f>data_oe_detail!BK1</f>
        <v>latest_incurred_closed_claims_total</v>
      </c>
      <c r="BN99" s="129" t="str">
        <f>data_oe_detail!BL1</f>
        <v>latest_incurred_total_claims_total</v>
      </c>
      <c r="BO99" s="129" t="str">
        <f>data_oe_detail!BM1</f>
        <v>last_year_position_total</v>
      </c>
      <c r="BP99" s="129" t="str">
        <f>data_oe_detail!BN1</f>
        <v>movement_total</v>
      </c>
      <c r="BQ99" s="129" t="str">
        <f>data_oe_detail!BO1</f>
        <v>gn_ilr_total</v>
      </c>
      <c r="BR99" s="129" t="str">
        <f>data_oe_detail!BP1</f>
        <v>ultimate_incurred_ielr_total</v>
      </c>
      <c r="BS99" s="129" t="str">
        <f>data_oe_detail!BQ1</f>
        <v>ultimate_incurred_bf_total</v>
      </c>
      <c r="BT99" s="129" t="str">
        <f>data_oe_detail!BR1</f>
        <v>ultimate_incurred_cl_total</v>
      </c>
      <c r="BU99" s="129" t="str">
        <f>data_oe_detail!BS1</f>
        <v>ielr_weighting_cl_total</v>
      </c>
      <c r="BV99" s="129" t="str">
        <f>data_oe_detail!BT1</f>
        <v>ultimate_incurred_selected_total</v>
      </c>
      <c r="BW99" s="129" t="str">
        <f>data_oe_detail!BU1</f>
        <v>ultimate_ulr_selected_total</v>
      </c>
      <c r="BX99" s="129" t="str">
        <f>data_oe_detail!BV1</f>
        <v>ultimate_ulr_on_levelled_total</v>
      </c>
      <c r="BY99" s="129" t="str">
        <f>data_oe_detail!BW1</f>
        <v>ielr_weighting_sel_total</v>
      </c>
      <c r="BZ99" s="129" t="str">
        <f>data_oe_detail!BX1</f>
        <v>ultimate_incurred_selected_total_x_cat</v>
      </c>
      <c r="CA99" s="129" t="str">
        <f>data_oe_detail!BY1</f>
        <v>ultimate_ulr_selected_total_x_cat</v>
      </c>
      <c r="CB99" s="129" t="str">
        <f>data_oe_detail!BZ1</f>
        <v>ultimate_ulr_on_levelled_total_x_cat</v>
      </c>
      <c r="CC99" s="129" t="str">
        <f>data_oe_detail!CA1</f>
        <v>development_pattern_premium_lloyds_unadjusted</v>
      </c>
      <c r="CD99" s="129" t="str">
        <f>data_oe_detail!CB1</f>
        <v>development_pattern_paid_lloyds_unadjusted</v>
      </c>
      <c r="CE99" s="129" t="str">
        <f>data_oe_detail!CC1</f>
        <v>development_pattern_incurred_lloyds_unadjusted</v>
      </c>
      <c r="CF99" s="129" t="str">
        <f>data_oe_detail!CD1</f>
        <v>development_pattern_premium_lloyds</v>
      </c>
      <c r="CG99" s="129" t="str">
        <f>data_oe_detail!CE1</f>
        <v>development_pattern_paid_lloyds</v>
      </c>
      <c r="CH99" s="129" t="str">
        <f>data_oe_detail!CF1</f>
        <v>development_pattern_incurred_lloyds</v>
      </c>
      <c r="CI99" s="129" t="str">
        <f>data_oe_detail!CG1</f>
        <v>development_pattern_premium_override</v>
      </c>
      <c r="CJ99" s="129" t="str">
        <f>data_oe_detail!CH1</f>
        <v>development_pattern_incurred_override</v>
      </c>
      <c r="CK99" s="129" t="str">
        <f>data_oe_detail!CI1</f>
        <v>development_pattern_premium_selected</v>
      </c>
      <c r="CL99" s="129" t="str">
        <f>data_oe_detail!CJ1</f>
        <v>development_pattern_incurred_selected</v>
      </c>
      <c r="CM99" s="129" t="str">
        <f>data_oe_detail!CK1</f>
        <v>method_incurred</v>
      </c>
      <c r="CN99" s="129" t="str">
        <f>data_oe_detail!CL1</f>
        <v>applied_rate_change</v>
      </c>
      <c r="CO99" s="129" t="str">
        <f>data_oe_detail!CM1</f>
        <v>applied_inflation</v>
      </c>
      <c r="CP99" s="129" t="str">
        <f>data_oe_detail!CN1</f>
        <v>modelled_weighting</v>
      </c>
      <c r="CQ99" s="129" t="str">
        <f>data_oe_detail!CO1</f>
        <v>applied_rate_change_cumulative</v>
      </c>
      <c r="CR99" s="129" t="str">
        <f>data_oe_detail!CP1</f>
        <v>applied_inflation_cumulative</v>
      </c>
      <c r="CS99" s="129" t="str">
        <f>data_oe_detail!CQ1</f>
        <v>onlevel_factor_cumulative</v>
      </c>
      <c r="CT99" s="129" t="str">
        <f>data_oe_detail!CR1</f>
        <v>exposure_weighting_onlevel_1</v>
      </c>
      <c r="CU99" s="129" t="str">
        <f>data_oe_detail!CS1</f>
        <v>decay_ratio_weighting_2</v>
      </c>
      <c r="CV99" s="129" t="str">
        <f>data_oe_detail!CT1</f>
        <v>developed_weighting_3</v>
      </c>
      <c r="CW99" s="129" t="str">
        <f>data_oe_detail!CU1</f>
        <v>overall_weighting_onlevel</v>
      </c>
      <c r="CX99" s="129" t="str">
        <f>data_oe_detail!CV1</f>
        <v>exposure_weighting_nominal_1</v>
      </c>
      <c r="CY99" s="129" t="str">
        <f>data_oe_detail!CW1</f>
        <v>overall_weighting_nominal</v>
      </c>
      <c r="CZ99" s="129" t="str">
        <f>data_oe_detail!CX1</f>
        <v>adjustments_actual</v>
      </c>
      <c r="DA99" s="129" t="str">
        <f>data_oe_detail!CY1</f>
        <v>adjustments_lower</v>
      </c>
      <c r="DB99" s="129" t="str">
        <f>data_oe_detail!CZ1</f>
        <v>adjustments_upper</v>
      </c>
      <c r="DC99" s="129" t="str">
        <f>data_oe_detail!DA1</f>
        <v>adjustments_prem_lloyds_lower</v>
      </c>
      <c r="DD99" s="129" t="str">
        <f>data_oe_detail!DB1</f>
        <v>adjustments_prem_lloyds_upper</v>
      </c>
      <c r="DE99" s="129" t="str">
        <f>data_oe_detail!DC1</f>
        <v>adjustments_prem_lloyds_actual</v>
      </c>
      <c r="DF99" s="129" t="str">
        <f>data_oe_detail!DD1</f>
        <v>adjustments_incurred_lloyds_lower</v>
      </c>
      <c r="DG99" s="129" t="str">
        <f>data_oe_detail!DE1</f>
        <v>adjustments_incurred_lloyds_upper</v>
      </c>
      <c r="DH99" s="129" t="str">
        <f>data_oe_detail!DF1</f>
        <v>adjustments_incurred_lloyds_actual</v>
      </c>
    </row>
    <row r="100" spans="2:112" hidden="1" outlineLevel="1" x14ac:dyDescent="0.35">
      <c r="B100" s="129" t="s">
        <v>1024</v>
      </c>
      <c r="C100" s="129">
        <v>1</v>
      </c>
      <c r="D100" s="129">
        <f t="shared" ref="D100:AI100" si="94">C100+1</f>
        <v>2</v>
      </c>
      <c r="E100" s="129">
        <f t="shared" si="94"/>
        <v>3</v>
      </c>
      <c r="F100" s="129">
        <f t="shared" si="94"/>
        <v>4</v>
      </c>
      <c r="G100" s="129">
        <f t="shared" si="94"/>
        <v>5</v>
      </c>
      <c r="H100" s="129">
        <f t="shared" si="94"/>
        <v>6</v>
      </c>
      <c r="I100" s="129">
        <f t="shared" si="94"/>
        <v>7</v>
      </c>
      <c r="J100" s="129">
        <f t="shared" si="94"/>
        <v>8</v>
      </c>
      <c r="K100" s="129">
        <f t="shared" si="94"/>
        <v>9</v>
      </c>
      <c r="L100" s="129">
        <f t="shared" si="94"/>
        <v>10</v>
      </c>
      <c r="M100" s="129">
        <f t="shared" si="94"/>
        <v>11</v>
      </c>
      <c r="N100" s="129">
        <f t="shared" si="94"/>
        <v>12</v>
      </c>
      <c r="O100" s="129">
        <f t="shared" si="94"/>
        <v>13</v>
      </c>
      <c r="P100" s="129">
        <f t="shared" si="94"/>
        <v>14</v>
      </c>
      <c r="Q100" s="129">
        <f t="shared" si="94"/>
        <v>15</v>
      </c>
      <c r="R100" s="129">
        <f t="shared" si="94"/>
        <v>16</v>
      </c>
      <c r="S100" s="129">
        <f t="shared" si="94"/>
        <v>17</v>
      </c>
      <c r="T100" s="129">
        <f t="shared" si="94"/>
        <v>18</v>
      </c>
      <c r="U100" s="129">
        <f t="shared" si="94"/>
        <v>19</v>
      </c>
      <c r="V100" s="129">
        <f t="shared" si="94"/>
        <v>20</v>
      </c>
      <c r="W100" s="129">
        <f t="shared" si="94"/>
        <v>21</v>
      </c>
      <c r="X100" s="129">
        <f t="shared" si="94"/>
        <v>22</v>
      </c>
      <c r="Y100" s="129">
        <f t="shared" si="94"/>
        <v>23</v>
      </c>
      <c r="Z100" s="129">
        <f t="shared" si="94"/>
        <v>24</v>
      </c>
      <c r="AA100" s="129">
        <f t="shared" si="94"/>
        <v>25</v>
      </c>
      <c r="AB100" s="129">
        <f t="shared" si="94"/>
        <v>26</v>
      </c>
      <c r="AC100" s="129">
        <f t="shared" si="94"/>
        <v>27</v>
      </c>
      <c r="AD100" s="129">
        <f t="shared" si="94"/>
        <v>28</v>
      </c>
      <c r="AE100" s="129">
        <f t="shared" si="94"/>
        <v>29</v>
      </c>
      <c r="AF100" s="129">
        <f t="shared" si="94"/>
        <v>30</v>
      </c>
      <c r="AG100" s="129">
        <f t="shared" si="94"/>
        <v>31</v>
      </c>
      <c r="AH100" s="129">
        <f t="shared" si="94"/>
        <v>32</v>
      </c>
      <c r="AI100" s="129">
        <f t="shared" si="94"/>
        <v>33</v>
      </c>
      <c r="AJ100" s="129">
        <f t="shared" ref="AJ100:BO100" si="95">AI100+1</f>
        <v>34</v>
      </c>
      <c r="AK100" s="129">
        <f t="shared" si="95"/>
        <v>35</v>
      </c>
      <c r="AL100" s="129">
        <f t="shared" si="95"/>
        <v>36</v>
      </c>
      <c r="AM100" s="129">
        <f t="shared" si="95"/>
        <v>37</v>
      </c>
      <c r="AN100" s="129">
        <f t="shared" si="95"/>
        <v>38</v>
      </c>
      <c r="AO100" s="129">
        <f t="shared" si="95"/>
        <v>39</v>
      </c>
      <c r="AP100" s="129">
        <f t="shared" si="95"/>
        <v>40</v>
      </c>
      <c r="AQ100" s="129">
        <f t="shared" si="95"/>
        <v>41</v>
      </c>
      <c r="AR100" s="129">
        <f t="shared" si="95"/>
        <v>42</v>
      </c>
      <c r="AS100" s="129">
        <f t="shared" si="95"/>
        <v>43</v>
      </c>
      <c r="AT100" s="129">
        <f t="shared" si="95"/>
        <v>44</v>
      </c>
      <c r="AU100" s="129">
        <f t="shared" si="95"/>
        <v>45</v>
      </c>
      <c r="AV100" s="129">
        <f t="shared" si="95"/>
        <v>46</v>
      </c>
      <c r="AW100" s="129">
        <f t="shared" si="95"/>
        <v>47</v>
      </c>
      <c r="AX100" s="129">
        <f t="shared" si="95"/>
        <v>48</v>
      </c>
      <c r="AY100" s="129">
        <f t="shared" si="95"/>
        <v>49</v>
      </c>
      <c r="AZ100" s="129">
        <f t="shared" si="95"/>
        <v>50</v>
      </c>
      <c r="BA100" s="129">
        <f t="shared" si="95"/>
        <v>51</v>
      </c>
      <c r="BB100" s="129">
        <f t="shared" si="95"/>
        <v>52</v>
      </c>
      <c r="BC100" s="129">
        <f t="shared" si="95"/>
        <v>53</v>
      </c>
      <c r="BD100" s="129">
        <f t="shared" si="95"/>
        <v>54</v>
      </c>
      <c r="BE100" s="129">
        <f t="shared" si="95"/>
        <v>55</v>
      </c>
      <c r="BF100" s="129">
        <f t="shared" si="95"/>
        <v>56</v>
      </c>
      <c r="BG100" s="129">
        <f t="shared" si="95"/>
        <v>57</v>
      </c>
      <c r="BH100" s="129">
        <f t="shared" si="95"/>
        <v>58</v>
      </c>
      <c r="BI100" s="129">
        <f t="shared" si="95"/>
        <v>59</v>
      </c>
      <c r="BJ100" s="129">
        <f t="shared" si="95"/>
        <v>60</v>
      </c>
      <c r="BK100" s="129">
        <f t="shared" si="95"/>
        <v>61</v>
      </c>
      <c r="BL100" s="129">
        <f t="shared" si="95"/>
        <v>62</v>
      </c>
      <c r="BM100" s="129">
        <f t="shared" si="95"/>
        <v>63</v>
      </c>
      <c r="BN100" s="129">
        <f t="shared" si="95"/>
        <v>64</v>
      </c>
      <c r="BO100" s="129">
        <f t="shared" si="95"/>
        <v>65</v>
      </c>
      <c r="BP100" s="129">
        <f t="shared" ref="BP100:CU100" si="96">BO100+1</f>
        <v>66</v>
      </c>
      <c r="BQ100" s="129">
        <f t="shared" si="96"/>
        <v>67</v>
      </c>
      <c r="BR100" s="129">
        <f t="shared" si="96"/>
        <v>68</v>
      </c>
      <c r="BS100" s="129">
        <f t="shared" si="96"/>
        <v>69</v>
      </c>
      <c r="BT100" s="129">
        <f t="shared" si="96"/>
        <v>70</v>
      </c>
      <c r="BU100" s="129">
        <f t="shared" si="96"/>
        <v>71</v>
      </c>
      <c r="BV100" s="129">
        <f t="shared" si="96"/>
        <v>72</v>
      </c>
      <c r="BW100" s="129">
        <f t="shared" si="96"/>
        <v>73</v>
      </c>
      <c r="BX100" s="129">
        <f t="shared" si="96"/>
        <v>74</v>
      </c>
      <c r="BY100" s="129">
        <f t="shared" si="96"/>
        <v>75</v>
      </c>
      <c r="BZ100" s="129">
        <f t="shared" si="96"/>
        <v>76</v>
      </c>
      <c r="CA100" s="129">
        <f t="shared" si="96"/>
        <v>77</v>
      </c>
      <c r="CB100" s="129">
        <f t="shared" si="96"/>
        <v>78</v>
      </c>
      <c r="CC100" s="129">
        <f t="shared" si="96"/>
        <v>79</v>
      </c>
      <c r="CD100" s="129">
        <f t="shared" si="96"/>
        <v>80</v>
      </c>
      <c r="CE100" s="129">
        <f t="shared" si="96"/>
        <v>81</v>
      </c>
      <c r="CF100" s="129">
        <f t="shared" si="96"/>
        <v>82</v>
      </c>
      <c r="CG100" s="129">
        <f t="shared" si="96"/>
        <v>83</v>
      </c>
      <c r="CH100" s="129">
        <f t="shared" si="96"/>
        <v>84</v>
      </c>
      <c r="CI100" s="129">
        <f t="shared" si="96"/>
        <v>85</v>
      </c>
      <c r="CJ100" s="129">
        <f t="shared" si="96"/>
        <v>86</v>
      </c>
      <c r="CK100" s="129">
        <f t="shared" si="96"/>
        <v>87</v>
      </c>
      <c r="CL100" s="129">
        <f t="shared" si="96"/>
        <v>88</v>
      </c>
      <c r="CM100" s="129">
        <f t="shared" si="96"/>
        <v>89</v>
      </c>
      <c r="CN100" s="129">
        <f t="shared" si="96"/>
        <v>90</v>
      </c>
      <c r="CO100" s="129">
        <f t="shared" si="96"/>
        <v>91</v>
      </c>
      <c r="CP100" s="129">
        <f t="shared" si="96"/>
        <v>92</v>
      </c>
      <c r="CQ100" s="129">
        <f t="shared" si="96"/>
        <v>93</v>
      </c>
      <c r="CR100" s="129">
        <f t="shared" si="96"/>
        <v>94</v>
      </c>
      <c r="CS100" s="129">
        <f t="shared" si="96"/>
        <v>95</v>
      </c>
      <c r="CT100" s="129">
        <f t="shared" si="96"/>
        <v>96</v>
      </c>
      <c r="CU100" s="129">
        <f t="shared" si="96"/>
        <v>97</v>
      </c>
      <c r="CV100" s="129">
        <f t="shared" ref="CV100:DH100" si="97">CU100+1</f>
        <v>98</v>
      </c>
      <c r="CW100" s="129">
        <f t="shared" si="97"/>
        <v>99</v>
      </c>
      <c r="CX100" s="129">
        <f t="shared" si="97"/>
        <v>100</v>
      </c>
      <c r="CY100" s="129">
        <f t="shared" si="97"/>
        <v>101</v>
      </c>
      <c r="CZ100" s="129">
        <f t="shared" si="97"/>
        <v>102</v>
      </c>
      <c r="DA100" s="129">
        <f t="shared" si="97"/>
        <v>103</v>
      </c>
      <c r="DB100" s="129">
        <f t="shared" si="97"/>
        <v>104</v>
      </c>
      <c r="DC100" s="129">
        <f t="shared" si="97"/>
        <v>105</v>
      </c>
      <c r="DD100" s="129">
        <f t="shared" si="97"/>
        <v>106</v>
      </c>
      <c r="DE100" s="129">
        <f t="shared" si="97"/>
        <v>107</v>
      </c>
      <c r="DF100" s="129">
        <f t="shared" si="97"/>
        <v>108</v>
      </c>
      <c r="DG100" s="129">
        <f t="shared" si="97"/>
        <v>109</v>
      </c>
      <c r="DH100" s="129">
        <f t="shared" si="97"/>
        <v>110</v>
      </c>
    </row>
    <row r="101" spans="2:112" hidden="1" outlineLevel="1" x14ac:dyDescent="0.35">
      <c r="B101" s="128">
        <v>0</v>
      </c>
      <c r="C101" t="e">
        <f ca="1">OFFSET(data_oe_detail!$A$1,$D$89+$B101-1,C$100-1)</f>
        <v>#N/A</v>
      </c>
      <c r="D101" t="e">
        <f ca="1">OFFSET(data_oe_detail!$A$1,$D$89+$B101-1,D$100-1)</f>
        <v>#N/A</v>
      </c>
      <c r="E101" t="e">
        <f ca="1">OFFSET(data_oe_detail!$A$1,$D$89+$B101-1,E$100-1)</f>
        <v>#N/A</v>
      </c>
      <c r="F101" t="e">
        <f ca="1">OFFSET(data_oe_detail!$A$1,$D$89+$B101-1,F$100-1)</f>
        <v>#N/A</v>
      </c>
      <c r="G101" t="e">
        <f ca="1">OFFSET(data_oe_detail!$A$1,$D$89+$B101-1,G$100-1)</f>
        <v>#N/A</v>
      </c>
      <c r="H101" t="e">
        <f ca="1">OFFSET(data_oe_detail!$A$1,$D$89+$B101-1,H$100-1)</f>
        <v>#N/A</v>
      </c>
      <c r="I101" t="e">
        <f ca="1">OFFSET(data_oe_detail!$A$1,$D$89+$B101-1,I$100-1)</f>
        <v>#N/A</v>
      </c>
      <c r="J101" t="e">
        <f ca="1">OFFSET(data_oe_detail!$A$1,$D$89+$B101-1,J$100-1)</f>
        <v>#N/A</v>
      </c>
      <c r="K101" t="e">
        <f ca="1">OFFSET(data_oe_detail!$A$1,$D$89+$B101-1,K$100-1)</f>
        <v>#N/A</v>
      </c>
      <c r="L101" t="e">
        <f ca="1">OFFSET(data_oe_detail!$A$1,$D$89+$B101-1,L$100-1)</f>
        <v>#N/A</v>
      </c>
      <c r="M101" t="e">
        <f ca="1">OFFSET(data_oe_detail!$A$1,$D$89+$B101-1,M$100-1)</f>
        <v>#N/A</v>
      </c>
      <c r="N101" t="e">
        <f ca="1">OFFSET(data_oe_detail!$A$1,$D$89+$B101-1,N$100-1)</f>
        <v>#N/A</v>
      </c>
      <c r="O101" t="e">
        <f ca="1">OFFSET(data_oe_detail!$A$1,$D$89+$B101-1,O$100-1)</f>
        <v>#N/A</v>
      </c>
      <c r="P101" t="e">
        <f ca="1">OFFSET(data_oe_detail!$A$1,$D$89+$B101-1,P$100-1)</f>
        <v>#N/A</v>
      </c>
      <c r="Q101" t="e">
        <f ca="1">OFFSET(data_oe_detail!$A$1,$D$89+$B101-1,Q$100-1)</f>
        <v>#N/A</v>
      </c>
      <c r="R101" t="e">
        <f ca="1">OFFSET(data_oe_detail!$A$1,$D$89+$B101-1,R$100-1)</f>
        <v>#N/A</v>
      </c>
      <c r="S101" t="e">
        <f ca="1">OFFSET(data_oe_detail!$A$1,$D$89+$B101-1,S$100-1)</f>
        <v>#N/A</v>
      </c>
      <c r="T101" t="e">
        <f ca="1">OFFSET(data_oe_detail!$A$1,$D$89+$B101-1,T$100-1)</f>
        <v>#N/A</v>
      </c>
      <c r="U101" t="e">
        <f ca="1">OFFSET(data_oe_detail!$A$1,$D$89+$B101-1,U$100-1)</f>
        <v>#N/A</v>
      </c>
      <c r="V101" t="e">
        <f ca="1">OFFSET(data_oe_detail!$A$1,$D$89+$B101-1,V$100-1)</f>
        <v>#N/A</v>
      </c>
      <c r="W101" t="e">
        <f ca="1">OFFSET(data_oe_detail!$A$1,$D$89+$B101-1,W$100-1)</f>
        <v>#N/A</v>
      </c>
      <c r="X101" t="e">
        <f ca="1">OFFSET(data_oe_detail!$A$1,$D$89+$B101-1,X$100-1)</f>
        <v>#N/A</v>
      </c>
      <c r="Y101" t="e">
        <f ca="1">OFFSET(data_oe_detail!$A$1,$D$89+$B101-1,Y$100-1)</f>
        <v>#N/A</v>
      </c>
      <c r="Z101" t="e">
        <f ca="1">OFFSET(data_oe_detail!$A$1,$D$89+$B101-1,Z$100-1)</f>
        <v>#N/A</v>
      </c>
      <c r="AA101" t="e">
        <f ca="1">OFFSET(data_oe_detail!$A$1,$D$89+$B101-1,AA$100-1)</f>
        <v>#N/A</v>
      </c>
      <c r="AB101" t="e">
        <f ca="1">OFFSET(data_oe_detail!$A$1,$D$89+$B101-1,AB$100-1)</f>
        <v>#N/A</v>
      </c>
      <c r="AC101" t="e">
        <f ca="1">OFFSET(data_oe_detail!$A$1,$D$89+$B101-1,AC$100-1)</f>
        <v>#N/A</v>
      </c>
      <c r="AD101" t="e">
        <f ca="1">OFFSET(data_oe_detail!$A$1,$D$89+$B101-1,AD$100-1)</f>
        <v>#N/A</v>
      </c>
      <c r="AE101" t="e">
        <f ca="1">OFFSET(data_oe_detail!$A$1,$D$89+$B101-1,AE$100-1)</f>
        <v>#N/A</v>
      </c>
      <c r="AF101" t="e">
        <f ca="1">OFFSET(data_oe_detail!$A$1,$D$89+$B101-1,AF$100-1)</f>
        <v>#N/A</v>
      </c>
      <c r="AG101" t="e">
        <f ca="1">OFFSET(data_oe_detail!$A$1,$D$89+$B101-1,AG$100-1)</f>
        <v>#N/A</v>
      </c>
      <c r="AH101" t="e">
        <f ca="1">OFFSET(data_oe_detail!$A$1,$D$89+$B101-1,AH$100-1)</f>
        <v>#N/A</v>
      </c>
      <c r="AI101" t="e">
        <f ca="1">OFFSET(data_oe_detail!$A$1,$D$89+$B101-1,AI$100-1)</f>
        <v>#N/A</v>
      </c>
      <c r="AJ101" t="e">
        <f ca="1">OFFSET(data_oe_detail!$A$1,$D$89+$B101-1,AJ$100-1)</f>
        <v>#N/A</v>
      </c>
      <c r="AK101" t="e">
        <f ca="1">OFFSET(data_oe_detail!$A$1,$D$89+$B101-1,AK$100-1)</f>
        <v>#N/A</v>
      </c>
      <c r="AL101" t="e">
        <f ca="1">OFFSET(data_oe_detail!$A$1,$D$89+$B101-1,AL$100-1)</f>
        <v>#N/A</v>
      </c>
      <c r="AM101" t="e">
        <f ca="1">OFFSET(data_oe_detail!$A$1,$D$89+$B101-1,AM$100-1)</f>
        <v>#N/A</v>
      </c>
      <c r="AN101" t="e">
        <f ca="1">OFFSET(data_oe_detail!$A$1,$D$89+$B101-1,AN$100-1)</f>
        <v>#N/A</v>
      </c>
      <c r="AO101" t="e">
        <f ca="1">OFFSET(data_oe_detail!$A$1,$D$89+$B101-1,AO$100-1)</f>
        <v>#N/A</v>
      </c>
      <c r="AP101" t="e">
        <f ca="1">OFFSET(data_oe_detail!$A$1,$D$89+$B101-1,AP$100-1)</f>
        <v>#N/A</v>
      </c>
      <c r="AQ101" t="e">
        <f ca="1">OFFSET(data_oe_detail!$A$1,$D$89+$B101-1,AQ$100-1)</f>
        <v>#N/A</v>
      </c>
      <c r="AR101" t="e">
        <f ca="1">OFFSET(data_oe_detail!$A$1,$D$89+$B101-1,AR$100-1)</f>
        <v>#N/A</v>
      </c>
      <c r="AS101" t="e">
        <f ca="1">OFFSET(data_oe_detail!$A$1,$D$89+$B101-1,AS$100-1)</f>
        <v>#N/A</v>
      </c>
      <c r="AT101" t="e">
        <f ca="1">OFFSET(data_oe_detail!$A$1,$D$89+$B101-1,AT$100-1)</f>
        <v>#N/A</v>
      </c>
      <c r="AU101" t="e">
        <f ca="1">OFFSET(data_oe_detail!$A$1,$D$89+$B101-1,AU$100-1)</f>
        <v>#N/A</v>
      </c>
      <c r="AV101" t="e">
        <f ca="1">OFFSET(data_oe_detail!$A$1,$D$89+$B101-1,AV$100-1)</f>
        <v>#N/A</v>
      </c>
      <c r="AW101" t="e">
        <f ca="1">OFFSET(data_oe_detail!$A$1,$D$89+$B101-1,AW$100-1)</f>
        <v>#N/A</v>
      </c>
      <c r="AX101" t="e">
        <f ca="1">OFFSET(data_oe_detail!$A$1,$D$89+$B101-1,AX$100-1)</f>
        <v>#N/A</v>
      </c>
      <c r="AY101" t="e">
        <f ca="1">OFFSET(data_oe_detail!$A$1,$D$89+$B101-1,AY$100-1)</f>
        <v>#N/A</v>
      </c>
      <c r="AZ101" t="e">
        <f ca="1">OFFSET(data_oe_detail!$A$1,$D$89+$B101-1,AZ$100-1)</f>
        <v>#N/A</v>
      </c>
      <c r="BA101" t="e">
        <f ca="1">OFFSET(data_oe_detail!$A$1,$D$89+$B101-1,BA$100-1)</f>
        <v>#N/A</v>
      </c>
      <c r="BB101" t="e">
        <f ca="1">OFFSET(data_oe_detail!$A$1,$D$89+$B101-1,BB$100-1)</f>
        <v>#N/A</v>
      </c>
      <c r="BC101" t="e">
        <f ca="1">OFFSET(data_oe_detail!$A$1,$D$89+$B101-1,BC$100-1)</f>
        <v>#N/A</v>
      </c>
      <c r="BD101" t="e">
        <f ca="1">OFFSET(data_oe_detail!$A$1,$D$89+$B101-1,BD$100-1)</f>
        <v>#N/A</v>
      </c>
      <c r="BE101" t="e">
        <f ca="1">OFFSET(data_oe_detail!$A$1,$D$89+$B101-1,BE$100-1)</f>
        <v>#N/A</v>
      </c>
      <c r="BF101" t="e">
        <f ca="1">OFFSET(data_oe_detail!$A$1,$D$89+$B101-1,BF$100-1)</f>
        <v>#N/A</v>
      </c>
      <c r="BG101" t="e">
        <f ca="1">OFFSET(data_oe_detail!$A$1,$D$89+$B101-1,BG$100-1)</f>
        <v>#N/A</v>
      </c>
      <c r="BH101" t="e">
        <f ca="1">OFFSET(data_oe_detail!$A$1,$D$89+$B101-1,BH$100-1)</f>
        <v>#N/A</v>
      </c>
      <c r="BI101" t="e">
        <f ca="1">OFFSET(data_oe_detail!$A$1,$D$89+$B101-1,BI$100-1)</f>
        <v>#N/A</v>
      </c>
      <c r="BJ101" t="e">
        <f ca="1">OFFSET(data_oe_detail!$A$1,$D$89+$B101-1,BJ$100-1)</f>
        <v>#N/A</v>
      </c>
      <c r="BK101" t="e">
        <f ca="1">OFFSET(data_oe_detail!$A$1,$D$89+$B101-1,BK$100-1)</f>
        <v>#N/A</v>
      </c>
      <c r="BL101" t="e">
        <f ca="1">OFFSET(data_oe_detail!$A$1,$D$89+$B101-1,BL$100-1)</f>
        <v>#N/A</v>
      </c>
      <c r="BM101" t="e">
        <f ca="1">OFFSET(data_oe_detail!$A$1,$D$89+$B101-1,BM$100-1)</f>
        <v>#N/A</v>
      </c>
      <c r="BN101" t="e">
        <f ca="1">OFFSET(data_oe_detail!$A$1,$D$89+$B101-1,BN$100-1)</f>
        <v>#N/A</v>
      </c>
      <c r="BO101" t="e">
        <f ca="1">OFFSET(data_oe_detail!$A$1,$D$89+$B101-1,BO$100-1)</f>
        <v>#N/A</v>
      </c>
      <c r="BP101" t="e">
        <f ca="1">OFFSET(data_oe_detail!$A$1,$D$89+$B101-1,BP$100-1)</f>
        <v>#N/A</v>
      </c>
      <c r="BQ101" t="e">
        <f ca="1">OFFSET(data_oe_detail!$A$1,$D$89+$B101-1,BQ$100-1)</f>
        <v>#N/A</v>
      </c>
      <c r="BR101" t="e">
        <f ca="1">OFFSET(data_oe_detail!$A$1,$D$89+$B101-1,BR$100-1)</f>
        <v>#N/A</v>
      </c>
      <c r="BS101" t="e">
        <f ca="1">OFFSET(data_oe_detail!$A$1,$D$89+$B101-1,BS$100-1)</f>
        <v>#N/A</v>
      </c>
      <c r="BT101" t="e">
        <f ca="1">OFFSET(data_oe_detail!$A$1,$D$89+$B101-1,BT$100-1)</f>
        <v>#N/A</v>
      </c>
      <c r="BU101" t="e">
        <f ca="1">OFFSET(data_oe_detail!$A$1,$D$89+$B101-1,BU$100-1)</f>
        <v>#N/A</v>
      </c>
      <c r="BV101" t="e">
        <f ca="1">OFFSET(data_oe_detail!$A$1,$D$89+$B101-1,BV$100-1)</f>
        <v>#N/A</v>
      </c>
      <c r="BW101" t="e">
        <f ca="1">OFFSET(data_oe_detail!$A$1,$D$89+$B101-1,BW$100-1)</f>
        <v>#N/A</v>
      </c>
      <c r="BX101" t="e">
        <f ca="1">OFFSET(data_oe_detail!$A$1,$D$89+$B101-1,BX$100-1)</f>
        <v>#N/A</v>
      </c>
      <c r="BY101" t="e">
        <f ca="1">OFFSET(data_oe_detail!$A$1,$D$89+$B101-1,BY$100-1)</f>
        <v>#N/A</v>
      </c>
      <c r="BZ101" t="e">
        <f ca="1">OFFSET(data_oe_detail!$A$1,$D$89+$B101-1,BZ$100-1)</f>
        <v>#N/A</v>
      </c>
      <c r="CA101" t="e">
        <f ca="1">OFFSET(data_oe_detail!$A$1,$D$89+$B101-1,CA$100-1)</f>
        <v>#N/A</v>
      </c>
      <c r="CB101" t="e">
        <f ca="1">OFFSET(data_oe_detail!$A$1,$D$89+$B101-1,CB$100-1)</f>
        <v>#N/A</v>
      </c>
      <c r="CC101" t="e">
        <f ca="1">OFFSET(data_oe_detail!$A$1,$D$89+$B101-1,CC$100-1)</f>
        <v>#N/A</v>
      </c>
      <c r="CD101" t="e">
        <f ca="1">OFFSET(data_oe_detail!$A$1,$D$89+$B101-1,CD$100-1)</f>
        <v>#N/A</v>
      </c>
      <c r="CE101" t="e">
        <f ca="1">OFFSET(data_oe_detail!$A$1,$D$89+$B101-1,CE$100-1)</f>
        <v>#N/A</v>
      </c>
      <c r="CF101" t="e">
        <f ca="1">OFFSET(data_oe_detail!$A$1,$D$89+$B101-1,CF$100-1)</f>
        <v>#N/A</v>
      </c>
      <c r="CG101" t="e">
        <f ca="1">OFFSET(data_oe_detail!$A$1,$D$89+$B101-1,CG$100-1)</f>
        <v>#N/A</v>
      </c>
      <c r="CH101" t="e">
        <f ca="1">OFFSET(data_oe_detail!$A$1,$D$89+$B101-1,CH$100-1)</f>
        <v>#N/A</v>
      </c>
      <c r="CI101" t="e">
        <f ca="1">OFFSET(data_oe_detail!$A$1,$D$89+$B101-1,CI$100-1)</f>
        <v>#N/A</v>
      </c>
      <c r="CJ101" t="e">
        <f ca="1">OFFSET(data_oe_detail!$A$1,$D$89+$B101-1,CJ$100-1)</f>
        <v>#N/A</v>
      </c>
      <c r="CK101" t="e">
        <f ca="1">OFFSET(data_oe_detail!$A$1,$D$89+$B101-1,CK$100-1)</f>
        <v>#N/A</v>
      </c>
      <c r="CL101" t="e">
        <f ca="1">OFFSET(data_oe_detail!$A$1,$D$89+$B101-1,CL$100-1)</f>
        <v>#N/A</v>
      </c>
      <c r="CM101" t="e">
        <f ca="1">OFFSET(data_oe_detail!$A$1,$D$89+$B101-1,CM$100-1)</f>
        <v>#N/A</v>
      </c>
      <c r="CN101" t="e">
        <f ca="1">OFFSET(data_oe_detail!$A$1,$D$89+$B101-1,CN$100-1)</f>
        <v>#N/A</v>
      </c>
      <c r="CO101" t="e">
        <f ca="1">OFFSET(data_oe_detail!$A$1,$D$89+$B101-1,CO$100-1)</f>
        <v>#N/A</v>
      </c>
      <c r="CP101" t="e">
        <f ca="1">OFFSET(data_oe_detail!$A$1,$D$89+$B101-1,CP$100-1)</f>
        <v>#N/A</v>
      </c>
      <c r="CQ101" t="e">
        <f ca="1">OFFSET(data_oe_detail!$A$1,$D$89+$B101-1,CQ$100-1)</f>
        <v>#N/A</v>
      </c>
      <c r="CR101" t="e">
        <f ca="1">OFFSET(data_oe_detail!$A$1,$D$89+$B101-1,CR$100-1)</f>
        <v>#N/A</v>
      </c>
      <c r="CS101" t="e">
        <f ca="1">OFFSET(data_oe_detail!$A$1,$D$89+$B101-1,CS$100-1)</f>
        <v>#N/A</v>
      </c>
      <c r="CT101" t="e">
        <f ca="1">OFFSET(data_oe_detail!$A$1,$D$89+$B101-1,CT$100-1)</f>
        <v>#N/A</v>
      </c>
      <c r="CU101" t="e">
        <f ca="1">OFFSET(data_oe_detail!$A$1,$D$89+$B101-1,CU$100-1)</f>
        <v>#N/A</v>
      </c>
      <c r="CV101" t="e">
        <f ca="1">OFFSET(data_oe_detail!$A$1,$D$89+$B101-1,CV$100-1)</f>
        <v>#N/A</v>
      </c>
      <c r="CW101" t="e">
        <f ca="1">OFFSET(data_oe_detail!$A$1,$D$89+$B101-1,CW$100-1)</f>
        <v>#N/A</v>
      </c>
      <c r="CX101" t="e">
        <f ca="1">OFFSET(data_oe_detail!$A$1,$D$89+$B101-1,CX$100-1)</f>
        <v>#N/A</v>
      </c>
      <c r="CY101" t="e">
        <f ca="1">OFFSET(data_oe_detail!$A$1,$D$89+$B101-1,CY$100-1)</f>
        <v>#N/A</v>
      </c>
      <c r="CZ101" t="e">
        <f ca="1">OFFSET(data_oe_detail!$A$1,$D$89+$B101-1,CZ$100-1)</f>
        <v>#N/A</v>
      </c>
      <c r="DA101" t="e">
        <f ca="1">OFFSET(data_oe_detail!$A$1,$D$89+$B101-1,DA$100-1)</f>
        <v>#N/A</v>
      </c>
      <c r="DB101" t="e">
        <f ca="1">OFFSET(data_oe_detail!$A$1,$D$89+$B101-1,DB$100-1)</f>
        <v>#N/A</v>
      </c>
      <c r="DC101" t="e">
        <f ca="1">OFFSET(data_oe_detail!$A$1,$D$89+$B101-1,DC$100-1)</f>
        <v>#N/A</v>
      </c>
      <c r="DD101" t="e">
        <f ca="1">OFFSET(data_oe_detail!$A$1,$D$89+$B101-1,DD$100-1)</f>
        <v>#N/A</v>
      </c>
      <c r="DE101" t="e">
        <f ca="1">OFFSET(data_oe_detail!$A$1,$D$89+$B101-1,DE$100-1)</f>
        <v>#N/A</v>
      </c>
      <c r="DF101" t="e">
        <f ca="1">OFFSET(data_oe_detail!$A$1,$D$89+$B101-1,DF$100-1)</f>
        <v>#N/A</v>
      </c>
      <c r="DG101" t="e">
        <f ca="1">OFFSET(data_oe_detail!$A$1,$D$89+$B101-1,DG$100-1)</f>
        <v>#N/A</v>
      </c>
      <c r="DH101" t="e">
        <f ca="1">OFFSET(data_oe_detail!$A$1,$D$89+$B101-1,DH$100-1)</f>
        <v>#N/A</v>
      </c>
    </row>
    <row r="102" spans="2:112" hidden="1" outlineLevel="1" x14ac:dyDescent="0.35">
      <c r="B102" s="128">
        <v>1</v>
      </c>
      <c r="C102" t="e">
        <f ca="1">OFFSET(data_oe_detail!$A$1,$D$89+$B102-1,C$100-1)</f>
        <v>#N/A</v>
      </c>
      <c r="D102" t="e">
        <f ca="1">OFFSET(data_oe_detail!$A$1,$D$89+$B102-1,D$100-1)</f>
        <v>#N/A</v>
      </c>
      <c r="E102" t="e">
        <f ca="1">OFFSET(data_oe_detail!$A$1,$D$89+$B102-1,E$100-1)</f>
        <v>#N/A</v>
      </c>
      <c r="F102" t="e">
        <f ca="1">OFFSET(data_oe_detail!$A$1,$D$89+$B102-1,F$100-1)</f>
        <v>#N/A</v>
      </c>
      <c r="G102" t="e">
        <f ca="1">OFFSET(data_oe_detail!$A$1,$D$89+$B102-1,G$100-1)</f>
        <v>#N/A</v>
      </c>
      <c r="H102" t="e">
        <f ca="1">OFFSET(data_oe_detail!$A$1,$D$89+$B102-1,H$100-1)</f>
        <v>#N/A</v>
      </c>
      <c r="I102" t="e">
        <f ca="1">OFFSET(data_oe_detail!$A$1,$D$89+$B102-1,I$100-1)</f>
        <v>#N/A</v>
      </c>
      <c r="J102" t="e">
        <f ca="1">OFFSET(data_oe_detail!$A$1,$D$89+$B102-1,J$100-1)</f>
        <v>#N/A</v>
      </c>
      <c r="K102" t="e">
        <f ca="1">OFFSET(data_oe_detail!$A$1,$D$89+$B102-1,K$100-1)</f>
        <v>#N/A</v>
      </c>
      <c r="L102" t="e">
        <f ca="1">OFFSET(data_oe_detail!$A$1,$D$89+$B102-1,L$100-1)</f>
        <v>#N/A</v>
      </c>
      <c r="M102" t="e">
        <f ca="1">OFFSET(data_oe_detail!$A$1,$D$89+$B102-1,M$100-1)</f>
        <v>#N/A</v>
      </c>
      <c r="N102" t="e">
        <f ca="1">OFFSET(data_oe_detail!$A$1,$D$89+$B102-1,N$100-1)</f>
        <v>#N/A</v>
      </c>
      <c r="O102" t="e">
        <f ca="1">OFFSET(data_oe_detail!$A$1,$D$89+$B102-1,O$100-1)</f>
        <v>#N/A</v>
      </c>
      <c r="P102" t="e">
        <f ca="1">OFFSET(data_oe_detail!$A$1,$D$89+$B102-1,P$100-1)</f>
        <v>#N/A</v>
      </c>
      <c r="Q102" t="e">
        <f ca="1">OFFSET(data_oe_detail!$A$1,$D$89+$B102-1,Q$100-1)</f>
        <v>#N/A</v>
      </c>
      <c r="R102" t="e">
        <f ca="1">OFFSET(data_oe_detail!$A$1,$D$89+$B102-1,R$100-1)</f>
        <v>#N/A</v>
      </c>
      <c r="S102" t="e">
        <f ca="1">OFFSET(data_oe_detail!$A$1,$D$89+$B102-1,S$100-1)</f>
        <v>#N/A</v>
      </c>
      <c r="T102" t="e">
        <f ca="1">OFFSET(data_oe_detail!$A$1,$D$89+$B102-1,T$100-1)</f>
        <v>#N/A</v>
      </c>
      <c r="U102" t="e">
        <f ca="1">OFFSET(data_oe_detail!$A$1,$D$89+$B102-1,U$100-1)</f>
        <v>#N/A</v>
      </c>
      <c r="V102" t="e">
        <f ca="1">OFFSET(data_oe_detail!$A$1,$D$89+$B102-1,V$100-1)</f>
        <v>#N/A</v>
      </c>
      <c r="W102" t="e">
        <f ca="1">OFFSET(data_oe_detail!$A$1,$D$89+$B102-1,W$100-1)</f>
        <v>#N/A</v>
      </c>
      <c r="X102" t="e">
        <f ca="1">OFFSET(data_oe_detail!$A$1,$D$89+$B102-1,X$100-1)</f>
        <v>#N/A</v>
      </c>
      <c r="Y102" t="e">
        <f ca="1">OFFSET(data_oe_detail!$A$1,$D$89+$B102-1,Y$100-1)</f>
        <v>#N/A</v>
      </c>
      <c r="Z102" t="e">
        <f ca="1">OFFSET(data_oe_detail!$A$1,$D$89+$B102-1,Z$100-1)</f>
        <v>#N/A</v>
      </c>
      <c r="AA102" t="e">
        <f ca="1">OFFSET(data_oe_detail!$A$1,$D$89+$B102-1,AA$100-1)</f>
        <v>#N/A</v>
      </c>
      <c r="AB102" t="e">
        <f ca="1">OFFSET(data_oe_detail!$A$1,$D$89+$B102-1,AB$100-1)</f>
        <v>#N/A</v>
      </c>
      <c r="AC102" t="e">
        <f ca="1">OFFSET(data_oe_detail!$A$1,$D$89+$B102-1,AC$100-1)</f>
        <v>#N/A</v>
      </c>
      <c r="AD102" t="e">
        <f ca="1">OFFSET(data_oe_detail!$A$1,$D$89+$B102-1,AD$100-1)</f>
        <v>#N/A</v>
      </c>
      <c r="AE102" t="e">
        <f ca="1">OFFSET(data_oe_detail!$A$1,$D$89+$B102-1,AE$100-1)</f>
        <v>#N/A</v>
      </c>
      <c r="AF102" t="e">
        <f ca="1">OFFSET(data_oe_detail!$A$1,$D$89+$B102-1,AF$100-1)</f>
        <v>#N/A</v>
      </c>
      <c r="AG102" t="e">
        <f ca="1">OFFSET(data_oe_detail!$A$1,$D$89+$B102-1,AG$100-1)</f>
        <v>#N/A</v>
      </c>
      <c r="AH102" t="e">
        <f ca="1">OFFSET(data_oe_detail!$A$1,$D$89+$B102-1,AH$100-1)</f>
        <v>#N/A</v>
      </c>
      <c r="AI102" t="e">
        <f ca="1">OFFSET(data_oe_detail!$A$1,$D$89+$B102-1,AI$100-1)</f>
        <v>#N/A</v>
      </c>
      <c r="AJ102" t="e">
        <f ca="1">OFFSET(data_oe_detail!$A$1,$D$89+$B102-1,AJ$100-1)</f>
        <v>#N/A</v>
      </c>
      <c r="AK102" t="e">
        <f ca="1">OFFSET(data_oe_detail!$A$1,$D$89+$B102-1,AK$100-1)</f>
        <v>#N/A</v>
      </c>
      <c r="AL102" t="e">
        <f ca="1">OFFSET(data_oe_detail!$A$1,$D$89+$B102-1,AL$100-1)</f>
        <v>#N/A</v>
      </c>
      <c r="AM102" t="e">
        <f ca="1">OFFSET(data_oe_detail!$A$1,$D$89+$B102-1,AM$100-1)</f>
        <v>#N/A</v>
      </c>
      <c r="AN102" t="e">
        <f ca="1">OFFSET(data_oe_detail!$A$1,$D$89+$B102-1,AN$100-1)</f>
        <v>#N/A</v>
      </c>
      <c r="AO102" t="e">
        <f ca="1">OFFSET(data_oe_detail!$A$1,$D$89+$B102-1,AO$100-1)</f>
        <v>#N/A</v>
      </c>
      <c r="AP102" t="e">
        <f ca="1">OFFSET(data_oe_detail!$A$1,$D$89+$B102-1,AP$100-1)</f>
        <v>#N/A</v>
      </c>
      <c r="AQ102" t="e">
        <f ca="1">OFFSET(data_oe_detail!$A$1,$D$89+$B102-1,AQ$100-1)</f>
        <v>#N/A</v>
      </c>
      <c r="AR102" t="e">
        <f ca="1">OFFSET(data_oe_detail!$A$1,$D$89+$B102-1,AR$100-1)</f>
        <v>#N/A</v>
      </c>
      <c r="AS102" t="e">
        <f ca="1">OFFSET(data_oe_detail!$A$1,$D$89+$B102-1,AS$100-1)</f>
        <v>#N/A</v>
      </c>
      <c r="AT102" t="e">
        <f ca="1">OFFSET(data_oe_detail!$A$1,$D$89+$B102-1,AT$100-1)</f>
        <v>#N/A</v>
      </c>
      <c r="AU102" t="e">
        <f ca="1">OFFSET(data_oe_detail!$A$1,$D$89+$B102-1,AU$100-1)</f>
        <v>#N/A</v>
      </c>
      <c r="AV102" t="e">
        <f ca="1">OFFSET(data_oe_detail!$A$1,$D$89+$B102-1,AV$100-1)</f>
        <v>#N/A</v>
      </c>
      <c r="AW102" t="e">
        <f ca="1">OFFSET(data_oe_detail!$A$1,$D$89+$B102-1,AW$100-1)</f>
        <v>#N/A</v>
      </c>
      <c r="AX102" t="e">
        <f ca="1">OFFSET(data_oe_detail!$A$1,$D$89+$B102-1,AX$100-1)</f>
        <v>#N/A</v>
      </c>
      <c r="AY102" t="e">
        <f ca="1">OFFSET(data_oe_detail!$A$1,$D$89+$B102-1,AY$100-1)</f>
        <v>#N/A</v>
      </c>
      <c r="AZ102" t="e">
        <f ca="1">OFFSET(data_oe_detail!$A$1,$D$89+$B102-1,AZ$100-1)</f>
        <v>#N/A</v>
      </c>
      <c r="BA102" t="e">
        <f ca="1">OFFSET(data_oe_detail!$A$1,$D$89+$B102-1,BA$100-1)</f>
        <v>#N/A</v>
      </c>
      <c r="BB102" t="e">
        <f ca="1">OFFSET(data_oe_detail!$A$1,$D$89+$B102-1,BB$100-1)</f>
        <v>#N/A</v>
      </c>
      <c r="BC102" t="e">
        <f ca="1">OFFSET(data_oe_detail!$A$1,$D$89+$B102-1,BC$100-1)</f>
        <v>#N/A</v>
      </c>
      <c r="BD102" t="e">
        <f ca="1">OFFSET(data_oe_detail!$A$1,$D$89+$B102-1,BD$100-1)</f>
        <v>#N/A</v>
      </c>
      <c r="BE102" t="e">
        <f ca="1">OFFSET(data_oe_detail!$A$1,$D$89+$B102-1,BE$100-1)</f>
        <v>#N/A</v>
      </c>
      <c r="BF102" t="e">
        <f ca="1">OFFSET(data_oe_detail!$A$1,$D$89+$B102-1,BF$100-1)</f>
        <v>#N/A</v>
      </c>
      <c r="BG102" t="e">
        <f ca="1">OFFSET(data_oe_detail!$A$1,$D$89+$B102-1,BG$100-1)</f>
        <v>#N/A</v>
      </c>
      <c r="BH102" t="e">
        <f ca="1">OFFSET(data_oe_detail!$A$1,$D$89+$B102-1,BH$100-1)</f>
        <v>#N/A</v>
      </c>
      <c r="BI102" t="e">
        <f ca="1">OFFSET(data_oe_detail!$A$1,$D$89+$B102-1,BI$100-1)</f>
        <v>#N/A</v>
      </c>
      <c r="BJ102" t="e">
        <f ca="1">OFFSET(data_oe_detail!$A$1,$D$89+$B102-1,BJ$100-1)</f>
        <v>#N/A</v>
      </c>
      <c r="BK102" t="e">
        <f ca="1">OFFSET(data_oe_detail!$A$1,$D$89+$B102-1,BK$100-1)</f>
        <v>#N/A</v>
      </c>
      <c r="BL102" t="e">
        <f ca="1">OFFSET(data_oe_detail!$A$1,$D$89+$B102-1,BL$100-1)</f>
        <v>#N/A</v>
      </c>
      <c r="BM102" t="e">
        <f ca="1">OFFSET(data_oe_detail!$A$1,$D$89+$B102-1,BM$100-1)</f>
        <v>#N/A</v>
      </c>
      <c r="BN102" t="e">
        <f ca="1">OFFSET(data_oe_detail!$A$1,$D$89+$B102-1,BN$100-1)</f>
        <v>#N/A</v>
      </c>
      <c r="BO102" t="e">
        <f ca="1">OFFSET(data_oe_detail!$A$1,$D$89+$B102-1,BO$100-1)</f>
        <v>#N/A</v>
      </c>
      <c r="BP102" t="e">
        <f ca="1">OFFSET(data_oe_detail!$A$1,$D$89+$B102-1,BP$100-1)</f>
        <v>#N/A</v>
      </c>
      <c r="BQ102" t="e">
        <f ca="1">OFFSET(data_oe_detail!$A$1,$D$89+$B102-1,BQ$100-1)</f>
        <v>#N/A</v>
      </c>
      <c r="BR102" t="e">
        <f ca="1">OFFSET(data_oe_detail!$A$1,$D$89+$B102-1,BR$100-1)</f>
        <v>#N/A</v>
      </c>
      <c r="BS102" t="e">
        <f ca="1">OFFSET(data_oe_detail!$A$1,$D$89+$B102-1,BS$100-1)</f>
        <v>#N/A</v>
      </c>
      <c r="BT102" t="e">
        <f ca="1">OFFSET(data_oe_detail!$A$1,$D$89+$B102-1,BT$100-1)</f>
        <v>#N/A</v>
      </c>
      <c r="BU102" t="e">
        <f ca="1">OFFSET(data_oe_detail!$A$1,$D$89+$B102-1,BU$100-1)</f>
        <v>#N/A</v>
      </c>
      <c r="BV102" t="e">
        <f ca="1">OFFSET(data_oe_detail!$A$1,$D$89+$B102-1,BV$100-1)</f>
        <v>#N/A</v>
      </c>
      <c r="BW102" t="e">
        <f ca="1">OFFSET(data_oe_detail!$A$1,$D$89+$B102-1,BW$100-1)</f>
        <v>#N/A</v>
      </c>
      <c r="BX102" t="e">
        <f ca="1">OFFSET(data_oe_detail!$A$1,$D$89+$B102-1,BX$100-1)</f>
        <v>#N/A</v>
      </c>
      <c r="BY102" t="e">
        <f ca="1">OFFSET(data_oe_detail!$A$1,$D$89+$B102-1,BY$100-1)</f>
        <v>#N/A</v>
      </c>
      <c r="BZ102" t="e">
        <f ca="1">OFFSET(data_oe_detail!$A$1,$D$89+$B102-1,BZ$100-1)</f>
        <v>#N/A</v>
      </c>
      <c r="CA102" t="e">
        <f ca="1">OFFSET(data_oe_detail!$A$1,$D$89+$B102-1,CA$100-1)</f>
        <v>#N/A</v>
      </c>
      <c r="CB102" t="e">
        <f ca="1">OFFSET(data_oe_detail!$A$1,$D$89+$B102-1,CB$100-1)</f>
        <v>#N/A</v>
      </c>
      <c r="CC102" t="e">
        <f ca="1">OFFSET(data_oe_detail!$A$1,$D$89+$B102-1,CC$100-1)</f>
        <v>#N/A</v>
      </c>
      <c r="CD102" t="e">
        <f ca="1">OFFSET(data_oe_detail!$A$1,$D$89+$B102-1,CD$100-1)</f>
        <v>#N/A</v>
      </c>
      <c r="CE102" t="e">
        <f ca="1">OFFSET(data_oe_detail!$A$1,$D$89+$B102-1,CE$100-1)</f>
        <v>#N/A</v>
      </c>
      <c r="CF102" t="e">
        <f ca="1">OFFSET(data_oe_detail!$A$1,$D$89+$B102-1,CF$100-1)</f>
        <v>#N/A</v>
      </c>
      <c r="CG102" t="e">
        <f ca="1">OFFSET(data_oe_detail!$A$1,$D$89+$B102-1,CG$100-1)</f>
        <v>#N/A</v>
      </c>
      <c r="CH102" t="e">
        <f ca="1">OFFSET(data_oe_detail!$A$1,$D$89+$B102-1,CH$100-1)</f>
        <v>#N/A</v>
      </c>
      <c r="CI102" t="e">
        <f ca="1">OFFSET(data_oe_detail!$A$1,$D$89+$B102-1,CI$100-1)</f>
        <v>#N/A</v>
      </c>
      <c r="CJ102" t="e">
        <f ca="1">OFFSET(data_oe_detail!$A$1,$D$89+$B102-1,CJ$100-1)</f>
        <v>#N/A</v>
      </c>
      <c r="CK102" t="e">
        <f ca="1">OFFSET(data_oe_detail!$A$1,$D$89+$B102-1,CK$100-1)</f>
        <v>#N/A</v>
      </c>
      <c r="CL102" t="e">
        <f ca="1">OFFSET(data_oe_detail!$A$1,$D$89+$B102-1,CL$100-1)</f>
        <v>#N/A</v>
      </c>
      <c r="CM102" t="e">
        <f ca="1">OFFSET(data_oe_detail!$A$1,$D$89+$B102-1,CM$100-1)</f>
        <v>#N/A</v>
      </c>
      <c r="CN102" t="e">
        <f ca="1">OFFSET(data_oe_detail!$A$1,$D$89+$B102-1,CN$100-1)</f>
        <v>#N/A</v>
      </c>
      <c r="CO102" t="e">
        <f ca="1">OFFSET(data_oe_detail!$A$1,$D$89+$B102-1,CO$100-1)</f>
        <v>#N/A</v>
      </c>
      <c r="CP102" t="e">
        <f ca="1">OFFSET(data_oe_detail!$A$1,$D$89+$B102-1,CP$100-1)</f>
        <v>#N/A</v>
      </c>
      <c r="CQ102" t="e">
        <f ca="1">OFFSET(data_oe_detail!$A$1,$D$89+$B102-1,CQ$100-1)</f>
        <v>#N/A</v>
      </c>
      <c r="CR102" t="e">
        <f ca="1">OFFSET(data_oe_detail!$A$1,$D$89+$B102-1,CR$100-1)</f>
        <v>#N/A</v>
      </c>
      <c r="CS102" t="e">
        <f ca="1">OFFSET(data_oe_detail!$A$1,$D$89+$B102-1,CS$100-1)</f>
        <v>#N/A</v>
      </c>
      <c r="CT102" t="e">
        <f ca="1">OFFSET(data_oe_detail!$A$1,$D$89+$B102-1,CT$100-1)</f>
        <v>#N/A</v>
      </c>
      <c r="CU102" t="e">
        <f ca="1">OFFSET(data_oe_detail!$A$1,$D$89+$B102-1,CU$100-1)</f>
        <v>#N/A</v>
      </c>
      <c r="CV102" t="e">
        <f ca="1">OFFSET(data_oe_detail!$A$1,$D$89+$B102-1,CV$100-1)</f>
        <v>#N/A</v>
      </c>
      <c r="CW102" t="e">
        <f ca="1">OFFSET(data_oe_detail!$A$1,$D$89+$B102-1,CW$100-1)</f>
        <v>#N/A</v>
      </c>
      <c r="CX102" t="e">
        <f ca="1">OFFSET(data_oe_detail!$A$1,$D$89+$B102-1,CX$100-1)</f>
        <v>#N/A</v>
      </c>
      <c r="CY102" t="e">
        <f ca="1">OFFSET(data_oe_detail!$A$1,$D$89+$B102-1,CY$100-1)</f>
        <v>#N/A</v>
      </c>
      <c r="CZ102" t="e">
        <f ca="1">OFFSET(data_oe_detail!$A$1,$D$89+$B102-1,CZ$100-1)</f>
        <v>#N/A</v>
      </c>
      <c r="DA102" t="e">
        <f ca="1">OFFSET(data_oe_detail!$A$1,$D$89+$B102-1,DA$100-1)</f>
        <v>#N/A</v>
      </c>
      <c r="DB102" t="e">
        <f ca="1">OFFSET(data_oe_detail!$A$1,$D$89+$B102-1,DB$100-1)</f>
        <v>#N/A</v>
      </c>
      <c r="DC102" t="e">
        <f ca="1">OFFSET(data_oe_detail!$A$1,$D$89+$B102-1,DC$100-1)</f>
        <v>#N/A</v>
      </c>
      <c r="DD102" t="e">
        <f ca="1">OFFSET(data_oe_detail!$A$1,$D$89+$B102-1,DD$100-1)</f>
        <v>#N/A</v>
      </c>
      <c r="DE102" t="e">
        <f ca="1">OFFSET(data_oe_detail!$A$1,$D$89+$B102-1,DE$100-1)</f>
        <v>#N/A</v>
      </c>
      <c r="DF102" t="e">
        <f ca="1">OFFSET(data_oe_detail!$A$1,$D$89+$B102-1,DF$100-1)</f>
        <v>#N/A</v>
      </c>
      <c r="DG102" t="e">
        <f ca="1">OFFSET(data_oe_detail!$A$1,$D$89+$B102-1,DG$100-1)</f>
        <v>#N/A</v>
      </c>
      <c r="DH102" t="e">
        <f ca="1">OFFSET(data_oe_detail!$A$1,$D$89+$B102-1,DH$100-1)</f>
        <v>#N/A</v>
      </c>
    </row>
    <row r="103" spans="2:112" hidden="1" outlineLevel="1" x14ac:dyDescent="0.35">
      <c r="B103" s="128">
        <v>2</v>
      </c>
      <c r="C103" t="e">
        <f ca="1">OFFSET(data_oe_detail!$A$1,$D$89+$B103-1,C$100-1)</f>
        <v>#N/A</v>
      </c>
      <c r="D103" t="e">
        <f ca="1">OFFSET(data_oe_detail!$A$1,$D$89+$B103-1,D$100-1)</f>
        <v>#N/A</v>
      </c>
      <c r="E103" t="e">
        <f ca="1">OFFSET(data_oe_detail!$A$1,$D$89+$B103-1,E$100-1)</f>
        <v>#N/A</v>
      </c>
      <c r="F103" t="e">
        <f ca="1">OFFSET(data_oe_detail!$A$1,$D$89+$B103-1,F$100-1)</f>
        <v>#N/A</v>
      </c>
      <c r="G103" t="e">
        <f ca="1">OFFSET(data_oe_detail!$A$1,$D$89+$B103-1,G$100-1)</f>
        <v>#N/A</v>
      </c>
      <c r="H103" t="e">
        <f ca="1">OFFSET(data_oe_detail!$A$1,$D$89+$B103-1,H$100-1)</f>
        <v>#N/A</v>
      </c>
      <c r="I103" t="e">
        <f ca="1">OFFSET(data_oe_detail!$A$1,$D$89+$B103-1,I$100-1)</f>
        <v>#N/A</v>
      </c>
      <c r="J103" t="e">
        <f ca="1">OFFSET(data_oe_detail!$A$1,$D$89+$B103-1,J$100-1)</f>
        <v>#N/A</v>
      </c>
      <c r="K103" t="e">
        <f ca="1">OFFSET(data_oe_detail!$A$1,$D$89+$B103-1,K$100-1)</f>
        <v>#N/A</v>
      </c>
      <c r="L103" t="e">
        <f ca="1">OFFSET(data_oe_detail!$A$1,$D$89+$B103-1,L$100-1)</f>
        <v>#N/A</v>
      </c>
      <c r="M103" t="e">
        <f ca="1">OFFSET(data_oe_detail!$A$1,$D$89+$B103-1,M$100-1)</f>
        <v>#N/A</v>
      </c>
      <c r="N103" t="e">
        <f ca="1">OFFSET(data_oe_detail!$A$1,$D$89+$B103-1,N$100-1)</f>
        <v>#N/A</v>
      </c>
      <c r="O103" t="e">
        <f ca="1">OFFSET(data_oe_detail!$A$1,$D$89+$B103-1,O$100-1)</f>
        <v>#N/A</v>
      </c>
      <c r="P103" t="e">
        <f ca="1">OFFSET(data_oe_detail!$A$1,$D$89+$B103-1,P$100-1)</f>
        <v>#N/A</v>
      </c>
      <c r="Q103" t="e">
        <f ca="1">OFFSET(data_oe_detail!$A$1,$D$89+$B103-1,Q$100-1)</f>
        <v>#N/A</v>
      </c>
      <c r="R103" t="e">
        <f ca="1">OFFSET(data_oe_detail!$A$1,$D$89+$B103-1,R$100-1)</f>
        <v>#N/A</v>
      </c>
      <c r="S103" t="e">
        <f ca="1">OFFSET(data_oe_detail!$A$1,$D$89+$B103-1,S$100-1)</f>
        <v>#N/A</v>
      </c>
      <c r="T103" t="e">
        <f ca="1">OFFSET(data_oe_detail!$A$1,$D$89+$B103-1,T$100-1)</f>
        <v>#N/A</v>
      </c>
      <c r="U103" t="e">
        <f ca="1">OFFSET(data_oe_detail!$A$1,$D$89+$B103-1,U$100-1)</f>
        <v>#N/A</v>
      </c>
      <c r="V103" t="e">
        <f ca="1">OFFSET(data_oe_detail!$A$1,$D$89+$B103-1,V$100-1)</f>
        <v>#N/A</v>
      </c>
      <c r="W103" t="e">
        <f ca="1">OFFSET(data_oe_detail!$A$1,$D$89+$B103-1,W$100-1)</f>
        <v>#N/A</v>
      </c>
      <c r="X103" t="e">
        <f ca="1">OFFSET(data_oe_detail!$A$1,$D$89+$B103-1,X$100-1)</f>
        <v>#N/A</v>
      </c>
      <c r="Y103" t="e">
        <f ca="1">OFFSET(data_oe_detail!$A$1,$D$89+$B103-1,Y$100-1)</f>
        <v>#N/A</v>
      </c>
      <c r="Z103" t="e">
        <f ca="1">OFFSET(data_oe_detail!$A$1,$D$89+$B103-1,Z$100-1)</f>
        <v>#N/A</v>
      </c>
      <c r="AA103" t="e">
        <f ca="1">OFFSET(data_oe_detail!$A$1,$D$89+$B103-1,AA$100-1)</f>
        <v>#N/A</v>
      </c>
      <c r="AB103" t="e">
        <f ca="1">OFFSET(data_oe_detail!$A$1,$D$89+$B103-1,AB$100-1)</f>
        <v>#N/A</v>
      </c>
      <c r="AC103" t="e">
        <f ca="1">OFFSET(data_oe_detail!$A$1,$D$89+$B103-1,AC$100-1)</f>
        <v>#N/A</v>
      </c>
      <c r="AD103" t="e">
        <f ca="1">OFFSET(data_oe_detail!$A$1,$D$89+$B103-1,AD$100-1)</f>
        <v>#N/A</v>
      </c>
      <c r="AE103" t="e">
        <f ca="1">OFFSET(data_oe_detail!$A$1,$D$89+$B103-1,AE$100-1)</f>
        <v>#N/A</v>
      </c>
      <c r="AF103" t="e">
        <f ca="1">OFFSET(data_oe_detail!$A$1,$D$89+$B103-1,AF$100-1)</f>
        <v>#N/A</v>
      </c>
      <c r="AG103" t="e">
        <f ca="1">OFFSET(data_oe_detail!$A$1,$D$89+$B103-1,AG$100-1)</f>
        <v>#N/A</v>
      </c>
      <c r="AH103" t="e">
        <f ca="1">OFFSET(data_oe_detail!$A$1,$D$89+$B103-1,AH$100-1)</f>
        <v>#N/A</v>
      </c>
      <c r="AI103" t="e">
        <f ca="1">OFFSET(data_oe_detail!$A$1,$D$89+$B103-1,AI$100-1)</f>
        <v>#N/A</v>
      </c>
      <c r="AJ103" t="e">
        <f ca="1">OFFSET(data_oe_detail!$A$1,$D$89+$B103-1,AJ$100-1)</f>
        <v>#N/A</v>
      </c>
      <c r="AK103" t="e">
        <f ca="1">OFFSET(data_oe_detail!$A$1,$D$89+$B103-1,AK$100-1)</f>
        <v>#N/A</v>
      </c>
      <c r="AL103" t="e">
        <f ca="1">OFFSET(data_oe_detail!$A$1,$D$89+$B103-1,AL$100-1)</f>
        <v>#N/A</v>
      </c>
      <c r="AM103" t="e">
        <f ca="1">OFFSET(data_oe_detail!$A$1,$D$89+$B103-1,AM$100-1)</f>
        <v>#N/A</v>
      </c>
      <c r="AN103" t="e">
        <f ca="1">OFFSET(data_oe_detail!$A$1,$D$89+$B103-1,AN$100-1)</f>
        <v>#N/A</v>
      </c>
      <c r="AO103" t="e">
        <f ca="1">OFFSET(data_oe_detail!$A$1,$D$89+$B103-1,AO$100-1)</f>
        <v>#N/A</v>
      </c>
      <c r="AP103" t="e">
        <f ca="1">OFFSET(data_oe_detail!$A$1,$D$89+$B103-1,AP$100-1)</f>
        <v>#N/A</v>
      </c>
      <c r="AQ103" t="e">
        <f ca="1">OFFSET(data_oe_detail!$A$1,$D$89+$B103-1,AQ$100-1)</f>
        <v>#N/A</v>
      </c>
      <c r="AR103" t="e">
        <f ca="1">OFFSET(data_oe_detail!$A$1,$D$89+$B103-1,AR$100-1)</f>
        <v>#N/A</v>
      </c>
      <c r="AS103" t="e">
        <f ca="1">OFFSET(data_oe_detail!$A$1,$D$89+$B103-1,AS$100-1)</f>
        <v>#N/A</v>
      </c>
      <c r="AT103" t="e">
        <f ca="1">OFFSET(data_oe_detail!$A$1,$D$89+$B103-1,AT$100-1)</f>
        <v>#N/A</v>
      </c>
      <c r="AU103" t="e">
        <f ca="1">OFFSET(data_oe_detail!$A$1,$D$89+$B103-1,AU$100-1)</f>
        <v>#N/A</v>
      </c>
      <c r="AV103" t="e">
        <f ca="1">OFFSET(data_oe_detail!$A$1,$D$89+$B103-1,AV$100-1)</f>
        <v>#N/A</v>
      </c>
      <c r="AW103" t="e">
        <f ca="1">OFFSET(data_oe_detail!$A$1,$D$89+$B103-1,AW$100-1)</f>
        <v>#N/A</v>
      </c>
      <c r="AX103" t="e">
        <f ca="1">OFFSET(data_oe_detail!$A$1,$D$89+$B103-1,AX$100-1)</f>
        <v>#N/A</v>
      </c>
      <c r="AY103" t="e">
        <f ca="1">OFFSET(data_oe_detail!$A$1,$D$89+$B103-1,AY$100-1)</f>
        <v>#N/A</v>
      </c>
      <c r="AZ103" t="e">
        <f ca="1">OFFSET(data_oe_detail!$A$1,$D$89+$B103-1,AZ$100-1)</f>
        <v>#N/A</v>
      </c>
      <c r="BA103" t="e">
        <f ca="1">OFFSET(data_oe_detail!$A$1,$D$89+$B103-1,BA$100-1)</f>
        <v>#N/A</v>
      </c>
      <c r="BB103" t="e">
        <f ca="1">OFFSET(data_oe_detail!$A$1,$D$89+$B103-1,BB$100-1)</f>
        <v>#N/A</v>
      </c>
      <c r="BC103" t="e">
        <f ca="1">OFFSET(data_oe_detail!$A$1,$D$89+$B103-1,BC$100-1)</f>
        <v>#N/A</v>
      </c>
      <c r="BD103" t="e">
        <f ca="1">OFFSET(data_oe_detail!$A$1,$D$89+$B103-1,BD$100-1)</f>
        <v>#N/A</v>
      </c>
      <c r="BE103" t="e">
        <f ca="1">OFFSET(data_oe_detail!$A$1,$D$89+$B103-1,BE$100-1)</f>
        <v>#N/A</v>
      </c>
      <c r="BF103" t="e">
        <f ca="1">OFFSET(data_oe_detail!$A$1,$D$89+$B103-1,BF$100-1)</f>
        <v>#N/A</v>
      </c>
      <c r="BG103" t="e">
        <f ca="1">OFFSET(data_oe_detail!$A$1,$D$89+$B103-1,BG$100-1)</f>
        <v>#N/A</v>
      </c>
      <c r="BH103" t="e">
        <f ca="1">OFFSET(data_oe_detail!$A$1,$D$89+$B103-1,BH$100-1)</f>
        <v>#N/A</v>
      </c>
      <c r="BI103" t="e">
        <f ca="1">OFFSET(data_oe_detail!$A$1,$D$89+$B103-1,BI$100-1)</f>
        <v>#N/A</v>
      </c>
      <c r="BJ103" t="e">
        <f ca="1">OFFSET(data_oe_detail!$A$1,$D$89+$B103-1,BJ$100-1)</f>
        <v>#N/A</v>
      </c>
      <c r="BK103" t="e">
        <f ca="1">OFFSET(data_oe_detail!$A$1,$D$89+$B103-1,BK$100-1)</f>
        <v>#N/A</v>
      </c>
      <c r="BL103" t="e">
        <f ca="1">OFFSET(data_oe_detail!$A$1,$D$89+$B103-1,BL$100-1)</f>
        <v>#N/A</v>
      </c>
      <c r="BM103" t="e">
        <f ca="1">OFFSET(data_oe_detail!$A$1,$D$89+$B103-1,BM$100-1)</f>
        <v>#N/A</v>
      </c>
      <c r="BN103" t="e">
        <f ca="1">OFFSET(data_oe_detail!$A$1,$D$89+$B103-1,BN$100-1)</f>
        <v>#N/A</v>
      </c>
      <c r="BO103" t="e">
        <f ca="1">OFFSET(data_oe_detail!$A$1,$D$89+$B103-1,BO$100-1)</f>
        <v>#N/A</v>
      </c>
      <c r="BP103" t="e">
        <f ca="1">OFFSET(data_oe_detail!$A$1,$D$89+$B103-1,BP$100-1)</f>
        <v>#N/A</v>
      </c>
      <c r="BQ103" t="e">
        <f ca="1">OFFSET(data_oe_detail!$A$1,$D$89+$B103-1,BQ$100-1)</f>
        <v>#N/A</v>
      </c>
      <c r="BR103" t="e">
        <f ca="1">OFFSET(data_oe_detail!$A$1,$D$89+$B103-1,BR$100-1)</f>
        <v>#N/A</v>
      </c>
      <c r="BS103" t="e">
        <f ca="1">OFFSET(data_oe_detail!$A$1,$D$89+$B103-1,BS$100-1)</f>
        <v>#N/A</v>
      </c>
      <c r="BT103" t="e">
        <f ca="1">OFFSET(data_oe_detail!$A$1,$D$89+$B103-1,BT$100-1)</f>
        <v>#N/A</v>
      </c>
      <c r="BU103" t="e">
        <f ca="1">OFFSET(data_oe_detail!$A$1,$D$89+$B103-1,BU$100-1)</f>
        <v>#N/A</v>
      </c>
      <c r="BV103" t="e">
        <f ca="1">OFFSET(data_oe_detail!$A$1,$D$89+$B103-1,BV$100-1)</f>
        <v>#N/A</v>
      </c>
      <c r="BW103" t="e">
        <f ca="1">OFFSET(data_oe_detail!$A$1,$D$89+$B103-1,BW$100-1)</f>
        <v>#N/A</v>
      </c>
      <c r="BX103" t="e">
        <f ca="1">OFFSET(data_oe_detail!$A$1,$D$89+$B103-1,BX$100-1)</f>
        <v>#N/A</v>
      </c>
      <c r="BY103" t="e">
        <f ca="1">OFFSET(data_oe_detail!$A$1,$D$89+$B103-1,BY$100-1)</f>
        <v>#N/A</v>
      </c>
      <c r="BZ103" t="e">
        <f ca="1">OFFSET(data_oe_detail!$A$1,$D$89+$B103-1,BZ$100-1)</f>
        <v>#N/A</v>
      </c>
      <c r="CA103" t="e">
        <f ca="1">OFFSET(data_oe_detail!$A$1,$D$89+$B103-1,CA$100-1)</f>
        <v>#N/A</v>
      </c>
      <c r="CB103" t="e">
        <f ca="1">OFFSET(data_oe_detail!$A$1,$D$89+$B103-1,CB$100-1)</f>
        <v>#N/A</v>
      </c>
      <c r="CC103" t="e">
        <f ca="1">OFFSET(data_oe_detail!$A$1,$D$89+$B103-1,CC$100-1)</f>
        <v>#N/A</v>
      </c>
      <c r="CD103" t="e">
        <f ca="1">OFFSET(data_oe_detail!$A$1,$D$89+$B103-1,CD$100-1)</f>
        <v>#N/A</v>
      </c>
      <c r="CE103" t="e">
        <f ca="1">OFFSET(data_oe_detail!$A$1,$D$89+$B103-1,CE$100-1)</f>
        <v>#N/A</v>
      </c>
      <c r="CF103" t="e">
        <f ca="1">OFFSET(data_oe_detail!$A$1,$D$89+$B103-1,CF$100-1)</f>
        <v>#N/A</v>
      </c>
      <c r="CG103" t="e">
        <f ca="1">OFFSET(data_oe_detail!$A$1,$D$89+$B103-1,CG$100-1)</f>
        <v>#N/A</v>
      </c>
      <c r="CH103" t="e">
        <f ca="1">OFFSET(data_oe_detail!$A$1,$D$89+$B103-1,CH$100-1)</f>
        <v>#N/A</v>
      </c>
      <c r="CI103" t="e">
        <f ca="1">OFFSET(data_oe_detail!$A$1,$D$89+$B103-1,CI$100-1)</f>
        <v>#N/A</v>
      </c>
      <c r="CJ103" t="e">
        <f ca="1">OFFSET(data_oe_detail!$A$1,$D$89+$B103-1,CJ$100-1)</f>
        <v>#N/A</v>
      </c>
      <c r="CK103" t="e">
        <f ca="1">OFFSET(data_oe_detail!$A$1,$D$89+$B103-1,CK$100-1)</f>
        <v>#N/A</v>
      </c>
      <c r="CL103" t="e">
        <f ca="1">OFFSET(data_oe_detail!$A$1,$D$89+$B103-1,CL$100-1)</f>
        <v>#N/A</v>
      </c>
      <c r="CM103" t="e">
        <f ca="1">OFFSET(data_oe_detail!$A$1,$D$89+$B103-1,CM$100-1)</f>
        <v>#N/A</v>
      </c>
      <c r="CN103" t="e">
        <f ca="1">OFFSET(data_oe_detail!$A$1,$D$89+$B103-1,CN$100-1)</f>
        <v>#N/A</v>
      </c>
      <c r="CO103" t="e">
        <f ca="1">OFFSET(data_oe_detail!$A$1,$D$89+$B103-1,CO$100-1)</f>
        <v>#N/A</v>
      </c>
      <c r="CP103" t="e">
        <f ca="1">OFFSET(data_oe_detail!$A$1,$D$89+$B103-1,CP$100-1)</f>
        <v>#N/A</v>
      </c>
      <c r="CQ103" t="e">
        <f ca="1">OFFSET(data_oe_detail!$A$1,$D$89+$B103-1,CQ$100-1)</f>
        <v>#N/A</v>
      </c>
      <c r="CR103" t="e">
        <f ca="1">OFFSET(data_oe_detail!$A$1,$D$89+$B103-1,CR$100-1)</f>
        <v>#N/A</v>
      </c>
      <c r="CS103" t="e">
        <f ca="1">OFFSET(data_oe_detail!$A$1,$D$89+$B103-1,CS$100-1)</f>
        <v>#N/A</v>
      </c>
      <c r="CT103" t="e">
        <f ca="1">OFFSET(data_oe_detail!$A$1,$D$89+$B103-1,CT$100-1)</f>
        <v>#N/A</v>
      </c>
      <c r="CU103" t="e">
        <f ca="1">OFFSET(data_oe_detail!$A$1,$D$89+$B103-1,CU$100-1)</f>
        <v>#N/A</v>
      </c>
      <c r="CV103" t="e">
        <f ca="1">OFFSET(data_oe_detail!$A$1,$D$89+$B103-1,CV$100-1)</f>
        <v>#N/A</v>
      </c>
      <c r="CW103" t="e">
        <f ca="1">OFFSET(data_oe_detail!$A$1,$D$89+$B103-1,CW$100-1)</f>
        <v>#N/A</v>
      </c>
      <c r="CX103" t="e">
        <f ca="1">OFFSET(data_oe_detail!$A$1,$D$89+$B103-1,CX$100-1)</f>
        <v>#N/A</v>
      </c>
      <c r="CY103" t="e">
        <f ca="1">OFFSET(data_oe_detail!$A$1,$D$89+$B103-1,CY$100-1)</f>
        <v>#N/A</v>
      </c>
      <c r="CZ103" t="e">
        <f ca="1">OFFSET(data_oe_detail!$A$1,$D$89+$B103-1,CZ$100-1)</f>
        <v>#N/A</v>
      </c>
      <c r="DA103" t="e">
        <f ca="1">OFFSET(data_oe_detail!$A$1,$D$89+$B103-1,DA$100-1)</f>
        <v>#N/A</v>
      </c>
      <c r="DB103" t="e">
        <f ca="1">OFFSET(data_oe_detail!$A$1,$D$89+$B103-1,DB$100-1)</f>
        <v>#N/A</v>
      </c>
      <c r="DC103" t="e">
        <f ca="1">OFFSET(data_oe_detail!$A$1,$D$89+$B103-1,DC$100-1)</f>
        <v>#N/A</v>
      </c>
      <c r="DD103" t="e">
        <f ca="1">OFFSET(data_oe_detail!$A$1,$D$89+$B103-1,DD$100-1)</f>
        <v>#N/A</v>
      </c>
      <c r="DE103" t="e">
        <f ca="1">OFFSET(data_oe_detail!$A$1,$D$89+$B103-1,DE$100-1)</f>
        <v>#N/A</v>
      </c>
      <c r="DF103" t="e">
        <f ca="1">OFFSET(data_oe_detail!$A$1,$D$89+$B103-1,DF$100-1)</f>
        <v>#N/A</v>
      </c>
      <c r="DG103" t="e">
        <f ca="1">OFFSET(data_oe_detail!$A$1,$D$89+$B103-1,DG$100-1)</f>
        <v>#N/A</v>
      </c>
      <c r="DH103" t="e">
        <f ca="1">OFFSET(data_oe_detail!$A$1,$D$89+$B103-1,DH$100-1)</f>
        <v>#N/A</v>
      </c>
    </row>
    <row r="104" spans="2:112" hidden="1" outlineLevel="1" x14ac:dyDescent="0.35">
      <c r="B104" s="128">
        <v>3</v>
      </c>
      <c r="C104" t="e">
        <f ca="1">OFFSET(data_oe_detail!$A$1,$D$89+$B104-1,C$100-1)</f>
        <v>#N/A</v>
      </c>
      <c r="D104" t="e">
        <f ca="1">OFFSET(data_oe_detail!$A$1,$D$89+$B104-1,D$100-1)</f>
        <v>#N/A</v>
      </c>
      <c r="E104" t="e">
        <f ca="1">OFFSET(data_oe_detail!$A$1,$D$89+$B104-1,E$100-1)</f>
        <v>#N/A</v>
      </c>
      <c r="F104" t="e">
        <f ca="1">OFFSET(data_oe_detail!$A$1,$D$89+$B104-1,F$100-1)</f>
        <v>#N/A</v>
      </c>
      <c r="G104" t="e">
        <f ca="1">OFFSET(data_oe_detail!$A$1,$D$89+$B104-1,G$100-1)</f>
        <v>#N/A</v>
      </c>
      <c r="H104" t="e">
        <f ca="1">OFFSET(data_oe_detail!$A$1,$D$89+$B104-1,H$100-1)</f>
        <v>#N/A</v>
      </c>
      <c r="I104" t="e">
        <f ca="1">OFFSET(data_oe_detail!$A$1,$D$89+$B104-1,I$100-1)</f>
        <v>#N/A</v>
      </c>
      <c r="J104" t="e">
        <f ca="1">OFFSET(data_oe_detail!$A$1,$D$89+$B104-1,J$100-1)</f>
        <v>#N/A</v>
      </c>
      <c r="K104" t="e">
        <f ca="1">OFFSET(data_oe_detail!$A$1,$D$89+$B104-1,K$100-1)</f>
        <v>#N/A</v>
      </c>
      <c r="L104" t="e">
        <f ca="1">OFFSET(data_oe_detail!$A$1,$D$89+$B104-1,L$100-1)</f>
        <v>#N/A</v>
      </c>
      <c r="M104" t="e">
        <f ca="1">OFFSET(data_oe_detail!$A$1,$D$89+$B104-1,M$100-1)</f>
        <v>#N/A</v>
      </c>
      <c r="N104" t="e">
        <f ca="1">OFFSET(data_oe_detail!$A$1,$D$89+$B104-1,N$100-1)</f>
        <v>#N/A</v>
      </c>
      <c r="O104" t="e">
        <f ca="1">OFFSET(data_oe_detail!$A$1,$D$89+$B104-1,O$100-1)</f>
        <v>#N/A</v>
      </c>
      <c r="P104" t="e">
        <f ca="1">OFFSET(data_oe_detail!$A$1,$D$89+$B104-1,P$100-1)</f>
        <v>#N/A</v>
      </c>
      <c r="Q104" t="e">
        <f ca="1">OFFSET(data_oe_detail!$A$1,$D$89+$B104-1,Q$100-1)</f>
        <v>#N/A</v>
      </c>
      <c r="R104" t="e">
        <f ca="1">OFFSET(data_oe_detail!$A$1,$D$89+$B104-1,R$100-1)</f>
        <v>#N/A</v>
      </c>
      <c r="S104" t="e">
        <f ca="1">OFFSET(data_oe_detail!$A$1,$D$89+$B104-1,S$100-1)</f>
        <v>#N/A</v>
      </c>
      <c r="T104" t="e">
        <f ca="1">OFFSET(data_oe_detail!$A$1,$D$89+$B104-1,T$100-1)</f>
        <v>#N/A</v>
      </c>
      <c r="U104" t="e">
        <f ca="1">OFFSET(data_oe_detail!$A$1,$D$89+$B104-1,U$100-1)</f>
        <v>#N/A</v>
      </c>
      <c r="V104" t="e">
        <f ca="1">OFFSET(data_oe_detail!$A$1,$D$89+$B104-1,V$100-1)</f>
        <v>#N/A</v>
      </c>
      <c r="W104" t="e">
        <f ca="1">OFFSET(data_oe_detail!$A$1,$D$89+$B104-1,W$100-1)</f>
        <v>#N/A</v>
      </c>
      <c r="X104" t="e">
        <f ca="1">OFFSET(data_oe_detail!$A$1,$D$89+$B104-1,X$100-1)</f>
        <v>#N/A</v>
      </c>
      <c r="Y104" t="e">
        <f ca="1">OFFSET(data_oe_detail!$A$1,$D$89+$B104-1,Y$100-1)</f>
        <v>#N/A</v>
      </c>
      <c r="Z104" t="e">
        <f ca="1">OFFSET(data_oe_detail!$A$1,$D$89+$B104-1,Z$100-1)</f>
        <v>#N/A</v>
      </c>
      <c r="AA104" t="e">
        <f ca="1">OFFSET(data_oe_detail!$A$1,$D$89+$B104-1,AA$100-1)</f>
        <v>#N/A</v>
      </c>
      <c r="AB104" t="e">
        <f ca="1">OFFSET(data_oe_detail!$A$1,$D$89+$B104-1,AB$100-1)</f>
        <v>#N/A</v>
      </c>
      <c r="AC104" t="e">
        <f ca="1">OFFSET(data_oe_detail!$A$1,$D$89+$B104-1,AC$100-1)</f>
        <v>#N/A</v>
      </c>
      <c r="AD104" t="e">
        <f ca="1">OFFSET(data_oe_detail!$A$1,$D$89+$B104-1,AD$100-1)</f>
        <v>#N/A</v>
      </c>
      <c r="AE104" t="e">
        <f ca="1">OFFSET(data_oe_detail!$A$1,$D$89+$B104-1,AE$100-1)</f>
        <v>#N/A</v>
      </c>
      <c r="AF104" t="e">
        <f ca="1">OFFSET(data_oe_detail!$A$1,$D$89+$B104-1,AF$100-1)</f>
        <v>#N/A</v>
      </c>
      <c r="AG104" t="e">
        <f ca="1">OFFSET(data_oe_detail!$A$1,$D$89+$B104-1,AG$100-1)</f>
        <v>#N/A</v>
      </c>
      <c r="AH104" t="e">
        <f ca="1">OFFSET(data_oe_detail!$A$1,$D$89+$B104-1,AH$100-1)</f>
        <v>#N/A</v>
      </c>
      <c r="AI104" t="e">
        <f ca="1">OFFSET(data_oe_detail!$A$1,$D$89+$B104-1,AI$100-1)</f>
        <v>#N/A</v>
      </c>
      <c r="AJ104" t="e">
        <f ca="1">OFFSET(data_oe_detail!$A$1,$D$89+$B104-1,AJ$100-1)</f>
        <v>#N/A</v>
      </c>
      <c r="AK104" t="e">
        <f ca="1">OFFSET(data_oe_detail!$A$1,$D$89+$B104-1,AK$100-1)</f>
        <v>#N/A</v>
      </c>
      <c r="AL104" t="e">
        <f ca="1">OFFSET(data_oe_detail!$A$1,$D$89+$B104-1,AL$100-1)</f>
        <v>#N/A</v>
      </c>
      <c r="AM104" t="e">
        <f ca="1">OFFSET(data_oe_detail!$A$1,$D$89+$B104-1,AM$100-1)</f>
        <v>#N/A</v>
      </c>
      <c r="AN104" t="e">
        <f ca="1">OFFSET(data_oe_detail!$A$1,$D$89+$B104-1,AN$100-1)</f>
        <v>#N/A</v>
      </c>
      <c r="AO104" t="e">
        <f ca="1">OFFSET(data_oe_detail!$A$1,$D$89+$B104-1,AO$100-1)</f>
        <v>#N/A</v>
      </c>
      <c r="AP104" t="e">
        <f ca="1">OFFSET(data_oe_detail!$A$1,$D$89+$B104-1,AP$100-1)</f>
        <v>#N/A</v>
      </c>
      <c r="AQ104" t="e">
        <f ca="1">OFFSET(data_oe_detail!$A$1,$D$89+$B104-1,AQ$100-1)</f>
        <v>#N/A</v>
      </c>
      <c r="AR104" t="e">
        <f ca="1">OFFSET(data_oe_detail!$A$1,$D$89+$B104-1,AR$100-1)</f>
        <v>#N/A</v>
      </c>
      <c r="AS104" t="e">
        <f ca="1">OFFSET(data_oe_detail!$A$1,$D$89+$B104-1,AS$100-1)</f>
        <v>#N/A</v>
      </c>
      <c r="AT104" t="e">
        <f ca="1">OFFSET(data_oe_detail!$A$1,$D$89+$B104-1,AT$100-1)</f>
        <v>#N/A</v>
      </c>
      <c r="AU104" t="e">
        <f ca="1">OFFSET(data_oe_detail!$A$1,$D$89+$B104-1,AU$100-1)</f>
        <v>#N/A</v>
      </c>
      <c r="AV104" t="e">
        <f ca="1">OFFSET(data_oe_detail!$A$1,$D$89+$B104-1,AV$100-1)</f>
        <v>#N/A</v>
      </c>
      <c r="AW104" t="e">
        <f ca="1">OFFSET(data_oe_detail!$A$1,$D$89+$B104-1,AW$100-1)</f>
        <v>#N/A</v>
      </c>
      <c r="AX104" t="e">
        <f ca="1">OFFSET(data_oe_detail!$A$1,$D$89+$B104-1,AX$100-1)</f>
        <v>#N/A</v>
      </c>
      <c r="AY104" t="e">
        <f ca="1">OFFSET(data_oe_detail!$A$1,$D$89+$B104-1,AY$100-1)</f>
        <v>#N/A</v>
      </c>
      <c r="AZ104" t="e">
        <f ca="1">OFFSET(data_oe_detail!$A$1,$D$89+$B104-1,AZ$100-1)</f>
        <v>#N/A</v>
      </c>
      <c r="BA104" t="e">
        <f ca="1">OFFSET(data_oe_detail!$A$1,$D$89+$B104-1,BA$100-1)</f>
        <v>#N/A</v>
      </c>
      <c r="BB104" t="e">
        <f ca="1">OFFSET(data_oe_detail!$A$1,$D$89+$B104-1,BB$100-1)</f>
        <v>#N/A</v>
      </c>
      <c r="BC104" t="e">
        <f ca="1">OFFSET(data_oe_detail!$A$1,$D$89+$B104-1,BC$100-1)</f>
        <v>#N/A</v>
      </c>
      <c r="BD104" t="e">
        <f ca="1">OFFSET(data_oe_detail!$A$1,$D$89+$B104-1,BD$100-1)</f>
        <v>#N/A</v>
      </c>
      <c r="BE104" t="e">
        <f ca="1">OFFSET(data_oe_detail!$A$1,$D$89+$B104-1,BE$100-1)</f>
        <v>#N/A</v>
      </c>
      <c r="BF104" t="e">
        <f ca="1">OFFSET(data_oe_detail!$A$1,$D$89+$B104-1,BF$100-1)</f>
        <v>#N/A</v>
      </c>
      <c r="BG104" t="e">
        <f ca="1">OFFSET(data_oe_detail!$A$1,$D$89+$B104-1,BG$100-1)</f>
        <v>#N/A</v>
      </c>
      <c r="BH104" t="e">
        <f ca="1">OFFSET(data_oe_detail!$A$1,$D$89+$B104-1,BH$100-1)</f>
        <v>#N/A</v>
      </c>
      <c r="BI104" t="e">
        <f ca="1">OFFSET(data_oe_detail!$A$1,$D$89+$B104-1,BI$100-1)</f>
        <v>#N/A</v>
      </c>
      <c r="BJ104" t="e">
        <f ca="1">OFFSET(data_oe_detail!$A$1,$D$89+$B104-1,BJ$100-1)</f>
        <v>#N/A</v>
      </c>
      <c r="BK104" t="e">
        <f ca="1">OFFSET(data_oe_detail!$A$1,$D$89+$B104-1,BK$100-1)</f>
        <v>#N/A</v>
      </c>
      <c r="BL104" t="e">
        <f ca="1">OFFSET(data_oe_detail!$A$1,$D$89+$B104-1,BL$100-1)</f>
        <v>#N/A</v>
      </c>
      <c r="BM104" t="e">
        <f ca="1">OFFSET(data_oe_detail!$A$1,$D$89+$B104-1,BM$100-1)</f>
        <v>#N/A</v>
      </c>
      <c r="BN104" t="e">
        <f ca="1">OFFSET(data_oe_detail!$A$1,$D$89+$B104-1,BN$100-1)</f>
        <v>#N/A</v>
      </c>
      <c r="BO104" t="e">
        <f ca="1">OFFSET(data_oe_detail!$A$1,$D$89+$B104-1,BO$100-1)</f>
        <v>#N/A</v>
      </c>
      <c r="BP104" t="e">
        <f ca="1">OFFSET(data_oe_detail!$A$1,$D$89+$B104-1,BP$100-1)</f>
        <v>#N/A</v>
      </c>
      <c r="BQ104" t="e">
        <f ca="1">OFFSET(data_oe_detail!$A$1,$D$89+$B104-1,BQ$100-1)</f>
        <v>#N/A</v>
      </c>
      <c r="BR104" t="e">
        <f ca="1">OFFSET(data_oe_detail!$A$1,$D$89+$B104-1,BR$100-1)</f>
        <v>#N/A</v>
      </c>
      <c r="BS104" t="e">
        <f ca="1">OFFSET(data_oe_detail!$A$1,$D$89+$B104-1,BS$100-1)</f>
        <v>#N/A</v>
      </c>
      <c r="BT104" t="e">
        <f ca="1">OFFSET(data_oe_detail!$A$1,$D$89+$B104-1,BT$100-1)</f>
        <v>#N/A</v>
      </c>
      <c r="BU104" t="e">
        <f ca="1">OFFSET(data_oe_detail!$A$1,$D$89+$B104-1,BU$100-1)</f>
        <v>#N/A</v>
      </c>
      <c r="BV104" t="e">
        <f ca="1">OFFSET(data_oe_detail!$A$1,$D$89+$B104-1,BV$100-1)</f>
        <v>#N/A</v>
      </c>
      <c r="BW104" t="e">
        <f ca="1">OFFSET(data_oe_detail!$A$1,$D$89+$B104-1,BW$100-1)</f>
        <v>#N/A</v>
      </c>
      <c r="BX104" t="e">
        <f ca="1">OFFSET(data_oe_detail!$A$1,$D$89+$B104-1,BX$100-1)</f>
        <v>#N/A</v>
      </c>
      <c r="BY104" t="e">
        <f ca="1">OFFSET(data_oe_detail!$A$1,$D$89+$B104-1,BY$100-1)</f>
        <v>#N/A</v>
      </c>
      <c r="BZ104" t="e">
        <f ca="1">OFFSET(data_oe_detail!$A$1,$D$89+$B104-1,BZ$100-1)</f>
        <v>#N/A</v>
      </c>
      <c r="CA104" t="e">
        <f ca="1">OFFSET(data_oe_detail!$A$1,$D$89+$B104-1,CA$100-1)</f>
        <v>#N/A</v>
      </c>
      <c r="CB104" t="e">
        <f ca="1">OFFSET(data_oe_detail!$A$1,$D$89+$B104-1,CB$100-1)</f>
        <v>#N/A</v>
      </c>
      <c r="CC104" t="e">
        <f ca="1">OFFSET(data_oe_detail!$A$1,$D$89+$B104-1,CC$100-1)</f>
        <v>#N/A</v>
      </c>
      <c r="CD104" t="e">
        <f ca="1">OFFSET(data_oe_detail!$A$1,$D$89+$B104-1,CD$100-1)</f>
        <v>#N/A</v>
      </c>
      <c r="CE104" t="e">
        <f ca="1">OFFSET(data_oe_detail!$A$1,$D$89+$B104-1,CE$100-1)</f>
        <v>#N/A</v>
      </c>
      <c r="CF104" t="e">
        <f ca="1">OFFSET(data_oe_detail!$A$1,$D$89+$B104-1,CF$100-1)</f>
        <v>#N/A</v>
      </c>
      <c r="CG104" t="e">
        <f ca="1">OFFSET(data_oe_detail!$A$1,$D$89+$B104-1,CG$100-1)</f>
        <v>#N/A</v>
      </c>
      <c r="CH104" t="e">
        <f ca="1">OFFSET(data_oe_detail!$A$1,$D$89+$B104-1,CH$100-1)</f>
        <v>#N/A</v>
      </c>
      <c r="CI104" t="e">
        <f ca="1">OFFSET(data_oe_detail!$A$1,$D$89+$B104-1,CI$100-1)</f>
        <v>#N/A</v>
      </c>
      <c r="CJ104" t="e">
        <f ca="1">OFFSET(data_oe_detail!$A$1,$D$89+$B104-1,CJ$100-1)</f>
        <v>#N/A</v>
      </c>
      <c r="CK104" t="e">
        <f ca="1">OFFSET(data_oe_detail!$A$1,$D$89+$B104-1,CK$100-1)</f>
        <v>#N/A</v>
      </c>
      <c r="CL104" t="e">
        <f ca="1">OFFSET(data_oe_detail!$A$1,$D$89+$B104-1,CL$100-1)</f>
        <v>#N/A</v>
      </c>
      <c r="CM104" t="e">
        <f ca="1">OFFSET(data_oe_detail!$A$1,$D$89+$B104-1,CM$100-1)</f>
        <v>#N/A</v>
      </c>
      <c r="CN104" t="e">
        <f ca="1">OFFSET(data_oe_detail!$A$1,$D$89+$B104-1,CN$100-1)</f>
        <v>#N/A</v>
      </c>
      <c r="CO104" t="e">
        <f ca="1">OFFSET(data_oe_detail!$A$1,$D$89+$B104-1,CO$100-1)</f>
        <v>#N/A</v>
      </c>
      <c r="CP104" t="e">
        <f ca="1">OFFSET(data_oe_detail!$A$1,$D$89+$B104-1,CP$100-1)</f>
        <v>#N/A</v>
      </c>
      <c r="CQ104" t="e">
        <f ca="1">OFFSET(data_oe_detail!$A$1,$D$89+$B104-1,CQ$100-1)</f>
        <v>#N/A</v>
      </c>
      <c r="CR104" t="e">
        <f ca="1">OFFSET(data_oe_detail!$A$1,$D$89+$B104-1,CR$100-1)</f>
        <v>#N/A</v>
      </c>
      <c r="CS104" t="e">
        <f ca="1">OFFSET(data_oe_detail!$A$1,$D$89+$B104-1,CS$100-1)</f>
        <v>#N/A</v>
      </c>
      <c r="CT104" t="e">
        <f ca="1">OFFSET(data_oe_detail!$A$1,$D$89+$B104-1,CT$100-1)</f>
        <v>#N/A</v>
      </c>
      <c r="CU104" t="e">
        <f ca="1">OFFSET(data_oe_detail!$A$1,$D$89+$B104-1,CU$100-1)</f>
        <v>#N/A</v>
      </c>
      <c r="CV104" t="e">
        <f ca="1">OFFSET(data_oe_detail!$A$1,$D$89+$B104-1,CV$100-1)</f>
        <v>#N/A</v>
      </c>
      <c r="CW104" t="e">
        <f ca="1">OFFSET(data_oe_detail!$A$1,$D$89+$B104-1,CW$100-1)</f>
        <v>#N/A</v>
      </c>
      <c r="CX104" t="e">
        <f ca="1">OFFSET(data_oe_detail!$A$1,$D$89+$B104-1,CX$100-1)</f>
        <v>#N/A</v>
      </c>
      <c r="CY104" t="e">
        <f ca="1">OFFSET(data_oe_detail!$A$1,$D$89+$B104-1,CY$100-1)</f>
        <v>#N/A</v>
      </c>
      <c r="CZ104" t="e">
        <f ca="1">OFFSET(data_oe_detail!$A$1,$D$89+$B104-1,CZ$100-1)</f>
        <v>#N/A</v>
      </c>
      <c r="DA104" t="e">
        <f ca="1">OFFSET(data_oe_detail!$A$1,$D$89+$B104-1,DA$100-1)</f>
        <v>#N/A</v>
      </c>
      <c r="DB104" t="e">
        <f ca="1">OFFSET(data_oe_detail!$A$1,$D$89+$B104-1,DB$100-1)</f>
        <v>#N/A</v>
      </c>
      <c r="DC104" t="e">
        <f ca="1">OFFSET(data_oe_detail!$A$1,$D$89+$B104-1,DC$100-1)</f>
        <v>#N/A</v>
      </c>
      <c r="DD104" t="e">
        <f ca="1">OFFSET(data_oe_detail!$A$1,$D$89+$B104-1,DD$100-1)</f>
        <v>#N/A</v>
      </c>
      <c r="DE104" t="e">
        <f ca="1">OFFSET(data_oe_detail!$A$1,$D$89+$B104-1,DE$100-1)</f>
        <v>#N/A</v>
      </c>
      <c r="DF104" t="e">
        <f ca="1">OFFSET(data_oe_detail!$A$1,$D$89+$B104-1,DF$100-1)</f>
        <v>#N/A</v>
      </c>
      <c r="DG104" t="e">
        <f ca="1">OFFSET(data_oe_detail!$A$1,$D$89+$B104-1,DG$100-1)</f>
        <v>#N/A</v>
      </c>
      <c r="DH104" t="e">
        <f ca="1">OFFSET(data_oe_detail!$A$1,$D$89+$B104-1,DH$100-1)</f>
        <v>#N/A</v>
      </c>
    </row>
    <row r="105" spans="2:112" hidden="1" outlineLevel="1" x14ac:dyDescent="0.35">
      <c r="B105" s="128">
        <v>4</v>
      </c>
      <c r="C105" t="e">
        <f ca="1">OFFSET(data_oe_detail!$A$1,$D$89+$B105-1,C$100-1)</f>
        <v>#N/A</v>
      </c>
      <c r="D105" t="e">
        <f ca="1">OFFSET(data_oe_detail!$A$1,$D$89+$B105-1,D$100-1)</f>
        <v>#N/A</v>
      </c>
      <c r="E105" t="e">
        <f ca="1">OFFSET(data_oe_detail!$A$1,$D$89+$B105-1,E$100-1)</f>
        <v>#N/A</v>
      </c>
      <c r="F105" t="e">
        <f ca="1">OFFSET(data_oe_detail!$A$1,$D$89+$B105-1,F$100-1)</f>
        <v>#N/A</v>
      </c>
      <c r="G105" t="e">
        <f ca="1">OFFSET(data_oe_detail!$A$1,$D$89+$B105-1,G$100-1)</f>
        <v>#N/A</v>
      </c>
      <c r="H105" t="e">
        <f ca="1">OFFSET(data_oe_detail!$A$1,$D$89+$B105-1,H$100-1)</f>
        <v>#N/A</v>
      </c>
      <c r="I105" t="e">
        <f ca="1">OFFSET(data_oe_detail!$A$1,$D$89+$B105-1,I$100-1)</f>
        <v>#N/A</v>
      </c>
      <c r="J105" t="e">
        <f ca="1">OFFSET(data_oe_detail!$A$1,$D$89+$B105-1,J$100-1)</f>
        <v>#N/A</v>
      </c>
      <c r="K105" t="e">
        <f ca="1">OFFSET(data_oe_detail!$A$1,$D$89+$B105-1,K$100-1)</f>
        <v>#N/A</v>
      </c>
      <c r="L105" t="e">
        <f ca="1">OFFSET(data_oe_detail!$A$1,$D$89+$B105-1,L$100-1)</f>
        <v>#N/A</v>
      </c>
      <c r="M105" t="e">
        <f ca="1">OFFSET(data_oe_detail!$A$1,$D$89+$B105-1,M$100-1)</f>
        <v>#N/A</v>
      </c>
      <c r="N105" t="e">
        <f ca="1">OFFSET(data_oe_detail!$A$1,$D$89+$B105-1,N$100-1)</f>
        <v>#N/A</v>
      </c>
      <c r="O105" t="e">
        <f ca="1">OFFSET(data_oe_detail!$A$1,$D$89+$B105-1,O$100-1)</f>
        <v>#N/A</v>
      </c>
      <c r="P105" t="e">
        <f ca="1">OFFSET(data_oe_detail!$A$1,$D$89+$B105-1,P$100-1)</f>
        <v>#N/A</v>
      </c>
      <c r="Q105" t="e">
        <f ca="1">OFFSET(data_oe_detail!$A$1,$D$89+$B105-1,Q$100-1)</f>
        <v>#N/A</v>
      </c>
      <c r="R105" t="e">
        <f ca="1">OFFSET(data_oe_detail!$A$1,$D$89+$B105-1,R$100-1)</f>
        <v>#N/A</v>
      </c>
      <c r="S105" t="e">
        <f ca="1">OFFSET(data_oe_detail!$A$1,$D$89+$B105-1,S$100-1)</f>
        <v>#N/A</v>
      </c>
      <c r="T105" t="e">
        <f ca="1">OFFSET(data_oe_detail!$A$1,$D$89+$B105-1,T$100-1)</f>
        <v>#N/A</v>
      </c>
      <c r="U105" t="e">
        <f ca="1">OFFSET(data_oe_detail!$A$1,$D$89+$B105-1,U$100-1)</f>
        <v>#N/A</v>
      </c>
      <c r="V105" t="e">
        <f ca="1">OFFSET(data_oe_detail!$A$1,$D$89+$B105-1,V$100-1)</f>
        <v>#N/A</v>
      </c>
      <c r="W105" t="e">
        <f ca="1">OFFSET(data_oe_detail!$A$1,$D$89+$B105-1,W$100-1)</f>
        <v>#N/A</v>
      </c>
      <c r="X105" t="e">
        <f ca="1">OFFSET(data_oe_detail!$A$1,$D$89+$B105-1,X$100-1)</f>
        <v>#N/A</v>
      </c>
      <c r="Y105" t="e">
        <f ca="1">OFFSET(data_oe_detail!$A$1,$D$89+$B105-1,Y$100-1)</f>
        <v>#N/A</v>
      </c>
      <c r="Z105" t="e">
        <f ca="1">OFFSET(data_oe_detail!$A$1,$D$89+$B105-1,Z$100-1)</f>
        <v>#N/A</v>
      </c>
      <c r="AA105" t="e">
        <f ca="1">OFFSET(data_oe_detail!$A$1,$D$89+$B105-1,AA$100-1)</f>
        <v>#N/A</v>
      </c>
      <c r="AB105" t="e">
        <f ca="1">OFFSET(data_oe_detail!$A$1,$D$89+$B105-1,AB$100-1)</f>
        <v>#N/A</v>
      </c>
      <c r="AC105" t="e">
        <f ca="1">OFFSET(data_oe_detail!$A$1,$D$89+$B105-1,AC$100-1)</f>
        <v>#N/A</v>
      </c>
      <c r="AD105" t="e">
        <f ca="1">OFFSET(data_oe_detail!$A$1,$D$89+$B105-1,AD$100-1)</f>
        <v>#N/A</v>
      </c>
      <c r="AE105" t="e">
        <f ca="1">OFFSET(data_oe_detail!$A$1,$D$89+$B105-1,AE$100-1)</f>
        <v>#N/A</v>
      </c>
      <c r="AF105" t="e">
        <f ca="1">OFFSET(data_oe_detail!$A$1,$D$89+$B105-1,AF$100-1)</f>
        <v>#N/A</v>
      </c>
      <c r="AG105" t="e">
        <f ca="1">OFFSET(data_oe_detail!$A$1,$D$89+$B105-1,AG$100-1)</f>
        <v>#N/A</v>
      </c>
      <c r="AH105" t="e">
        <f ca="1">OFFSET(data_oe_detail!$A$1,$D$89+$B105-1,AH$100-1)</f>
        <v>#N/A</v>
      </c>
      <c r="AI105" t="e">
        <f ca="1">OFFSET(data_oe_detail!$A$1,$D$89+$B105-1,AI$100-1)</f>
        <v>#N/A</v>
      </c>
      <c r="AJ105" t="e">
        <f ca="1">OFFSET(data_oe_detail!$A$1,$D$89+$B105-1,AJ$100-1)</f>
        <v>#N/A</v>
      </c>
      <c r="AK105" t="e">
        <f ca="1">OFFSET(data_oe_detail!$A$1,$D$89+$B105-1,AK$100-1)</f>
        <v>#N/A</v>
      </c>
      <c r="AL105" t="e">
        <f ca="1">OFFSET(data_oe_detail!$A$1,$D$89+$B105-1,AL$100-1)</f>
        <v>#N/A</v>
      </c>
      <c r="AM105" t="e">
        <f ca="1">OFFSET(data_oe_detail!$A$1,$D$89+$B105-1,AM$100-1)</f>
        <v>#N/A</v>
      </c>
      <c r="AN105" t="e">
        <f ca="1">OFFSET(data_oe_detail!$A$1,$D$89+$B105-1,AN$100-1)</f>
        <v>#N/A</v>
      </c>
      <c r="AO105" t="e">
        <f ca="1">OFFSET(data_oe_detail!$A$1,$D$89+$B105-1,AO$100-1)</f>
        <v>#N/A</v>
      </c>
      <c r="AP105" t="e">
        <f ca="1">OFFSET(data_oe_detail!$A$1,$D$89+$B105-1,AP$100-1)</f>
        <v>#N/A</v>
      </c>
      <c r="AQ105" t="e">
        <f ca="1">OFFSET(data_oe_detail!$A$1,$D$89+$B105-1,AQ$100-1)</f>
        <v>#N/A</v>
      </c>
      <c r="AR105" t="e">
        <f ca="1">OFFSET(data_oe_detail!$A$1,$D$89+$B105-1,AR$100-1)</f>
        <v>#N/A</v>
      </c>
      <c r="AS105" t="e">
        <f ca="1">OFFSET(data_oe_detail!$A$1,$D$89+$B105-1,AS$100-1)</f>
        <v>#N/A</v>
      </c>
      <c r="AT105" t="e">
        <f ca="1">OFFSET(data_oe_detail!$A$1,$D$89+$B105-1,AT$100-1)</f>
        <v>#N/A</v>
      </c>
      <c r="AU105" t="e">
        <f ca="1">OFFSET(data_oe_detail!$A$1,$D$89+$B105-1,AU$100-1)</f>
        <v>#N/A</v>
      </c>
      <c r="AV105" t="e">
        <f ca="1">OFFSET(data_oe_detail!$A$1,$D$89+$B105-1,AV$100-1)</f>
        <v>#N/A</v>
      </c>
      <c r="AW105" t="e">
        <f ca="1">OFFSET(data_oe_detail!$A$1,$D$89+$B105-1,AW$100-1)</f>
        <v>#N/A</v>
      </c>
      <c r="AX105" t="e">
        <f ca="1">OFFSET(data_oe_detail!$A$1,$D$89+$B105-1,AX$100-1)</f>
        <v>#N/A</v>
      </c>
      <c r="AY105" t="e">
        <f ca="1">OFFSET(data_oe_detail!$A$1,$D$89+$B105-1,AY$100-1)</f>
        <v>#N/A</v>
      </c>
      <c r="AZ105" t="e">
        <f ca="1">OFFSET(data_oe_detail!$A$1,$D$89+$B105-1,AZ$100-1)</f>
        <v>#N/A</v>
      </c>
      <c r="BA105" t="e">
        <f ca="1">OFFSET(data_oe_detail!$A$1,$D$89+$B105-1,BA$100-1)</f>
        <v>#N/A</v>
      </c>
      <c r="BB105" t="e">
        <f ca="1">OFFSET(data_oe_detail!$A$1,$D$89+$B105-1,BB$100-1)</f>
        <v>#N/A</v>
      </c>
      <c r="BC105" t="e">
        <f ca="1">OFFSET(data_oe_detail!$A$1,$D$89+$B105-1,BC$100-1)</f>
        <v>#N/A</v>
      </c>
      <c r="BD105" t="e">
        <f ca="1">OFFSET(data_oe_detail!$A$1,$D$89+$B105-1,BD$100-1)</f>
        <v>#N/A</v>
      </c>
      <c r="BE105" t="e">
        <f ca="1">OFFSET(data_oe_detail!$A$1,$D$89+$B105-1,BE$100-1)</f>
        <v>#N/A</v>
      </c>
      <c r="BF105" t="e">
        <f ca="1">OFFSET(data_oe_detail!$A$1,$D$89+$B105-1,BF$100-1)</f>
        <v>#N/A</v>
      </c>
      <c r="BG105" t="e">
        <f ca="1">OFFSET(data_oe_detail!$A$1,$D$89+$B105-1,BG$100-1)</f>
        <v>#N/A</v>
      </c>
      <c r="BH105" t="e">
        <f ca="1">OFFSET(data_oe_detail!$A$1,$D$89+$B105-1,BH$100-1)</f>
        <v>#N/A</v>
      </c>
      <c r="BI105" t="e">
        <f ca="1">OFFSET(data_oe_detail!$A$1,$D$89+$B105-1,BI$100-1)</f>
        <v>#N/A</v>
      </c>
      <c r="BJ105" t="e">
        <f ca="1">OFFSET(data_oe_detail!$A$1,$D$89+$B105-1,BJ$100-1)</f>
        <v>#N/A</v>
      </c>
      <c r="BK105" t="e">
        <f ca="1">OFFSET(data_oe_detail!$A$1,$D$89+$B105-1,BK$100-1)</f>
        <v>#N/A</v>
      </c>
      <c r="BL105" t="e">
        <f ca="1">OFFSET(data_oe_detail!$A$1,$D$89+$B105-1,BL$100-1)</f>
        <v>#N/A</v>
      </c>
      <c r="BM105" t="e">
        <f ca="1">OFFSET(data_oe_detail!$A$1,$D$89+$B105-1,BM$100-1)</f>
        <v>#N/A</v>
      </c>
      <c r="BN105" t="e">
        <f ca="1">OFFSET(data_oe_detail!$A$1,$D$89+$B105-1,BN$100-1)</f>
        <v>#N/A</v>
      </c>
      <c r="BO105" t="e">
        <f ca="1">OFFSET(data_oe_detail!$A$1,$D$89+$B105-1,BO$100-1)</f>
        <v>#N/A</v>
      </c>
      <c r="BP105" t="e">
        <f ca="1">OFFSET(data_oe_detail!$A$1,$D$89+$B105-1,BP$100-1)</f>
        <v>#N/A</v>
      </c>
      <c r="BQ105" t="e">
        <f ca="1">OFFSET(data_oe_detail!$A$1,$D$89+$B105-1,BQ$100-1)</f>
        <v>#N/A</v>
      </c>
      <c r="BR105" t="e">
        <f ca="1">OFFSET(data_oe_detail!$A$1,$D$89+$B105-1,BR$100-1)</f>
        <v>#N/A</v>
      </c>
      <c r="BS105" t="e">
        <f ca="1">OFFSET(data_oe_detail!$A$1,$D$89+$B105-1,BS$100-1)</f>
        <v>#N/A</v>
      </c>
      <c r="BT105" t="e">
        <f ca="1">OFFSET(data_oe_detail!$A$1,$D$89+$B105-1,BT$100-1)</f>
        <v>#N/A</v>
      </c>
      <c r="BU105" t="e">
        <f ca="1">OFFSET(data_oe_detail!$A$1,$D$89+$B105-1,BU$100-1)</f>
        <v>#N/A</v>
      </c>
      <c r="BV105" t="e">
        <f ca="1">OFFSET(data_oe_detail!$A$1,$D$89+$B105-1,BV$100-1)</f>
        <v>#N/A</v>
      </c>
      <c r="BW105" t="e">
        <f ca="1">OFFSET(data_oe_detail!$A$1,$D$89+$B105-1,BW$100-1)</f>
        <v>#N/A</v>
      </c>
      <c r="BX105" t="e">
        <f ca="1">OFFSET(data_oe_detail!$A$1,$D$89+$B105-1,BX$100-1)</f>
        <v>#N/A</v>
      </c>
      <c r="BY105" t="e">
        <f ca="1">OFFSET(data_oe_detail!$A$1,$D$89+$B105-1,BY$100-1)</f>
        <v>#N/A</v>
      </c>
      <c r="BZ105" t="e">
        <f ca="1">OFFSET(data_oe_detail!$A$1,$D$89+$B105-1,BZ$100-1)</f>
        <v>#N/A</v>
      </c>
      <c r="CA105" t="e">
        <f ca="1">OFFSET(data_oe_detail!$A$1,$D$89+$B105-1,CA$100-1)</f>
        <v>#N/A</v>
      </c>
      <c r="CB105" t="e">
        <f ca="1">OFFSET(data_oe_detail!$A$1,$D$89+$B105-1,CB$100-1)</f>
        <v>#N/A</v>
      </c>
      <c r="CC105" t="e">
        <f ca="1">OFFSET(data_oe_detail!$A$1,$D$89+$B105-1,CC$100-1)</f>
        <v>#N/A</v>
      </c>
      <c r="CD105" t="e">
        <f ca="1">OFFSET(data_oe_detail!$A$1,$D$89+$B105-1,CD$100-1)</f>
        <v>#N/A</v>
      </c>
      <c r="CE105" t="e">
        <f ca="1">OFFSET(data_oe_detail!$A$1,$D$89+$B105-1,CE$100-1)</f>
        <v>#N/A</v>
      </c>
      <c r="CF105" t="e">
        <f ca="1">OFFSET(data_oe_detail!$A$1,$D$89+$B105-1,CF$100-1)</f>
        <v>#N/A</v>
      </c>
      <c r="CG105" t="e">
        <f ca="1">OFFSET(data_oe_detail!$A$1,$D$89+$B105-1,CG$100-1)</f>
        <v>#N/A</v>
      </c>
      <c r="CH105" t="e">
        <f ca="1">OFFSET(data_oe_detail!$A$1,$D$89+$B105-1,CH$100-1)</f>
        <v>#N/A</v>
      </c>
      <c r="CI105" t="e">
        <f ca="1">OFFSET(data_oe_detail!$A$1,$D$89+$B105-1,CI$100-1)</f>
        <v>#N/A</v>
      </c>
      <c r="CJ105" t="e">
        <f ca="1">OFFSET(data_oe_detail!$A$1,$D$89+$B105-1,CJ$100-1)</f>
        <v>#N/A</v>
      </c>
      <c r="CK105" t="e">
        <f ca="1">OFFSET(data_oe_detail!$A$1,$D$89+$B105-1,CK$100-1)</f>
        <v>#N/A</v>
      </c>
      <c r="CL105" t="e">
        <f ca="1">OFFSET(data_oe_detail!$A$1,$D$89+$B105-1,CL$100-1)</f>
        <v>#N/A</v>
      </c>
      <c r="CM105" t="e">
        <f ca="1">OFFSET(data_oe_detail!$A$1,$D$89+$B105-1,CM$100-1)</f>
        <v>#N/A</v>
      </c>
      <c r="CN105" t="e">
        <f ca="1">OFFSET(data_oe_detail!$A$1,$D$89+$B105-1,CN$100-1)</f>
        <v>#N/A</v>
      </c>
      <c r="CO105" t="e">
        <f ca="1">OFFSET(data_oe_detail!$A$1,$D$89+$B105-1,CO$100-1)</f>
        <v>#N/A</v>
      </c>
      <c r="CP105" t="e">
        <f ca="1">OFFSET(data_oe_detail!$A$1,$D$89+$B105-1,CP$100-1)</f>
        <v>#N/A</v>
      </c>
      <c r="CQ105" t="e">
        <f ca="1">OFFSET(data_oe_detail!$A$1,$D$89+$B105-1,CQ$100-1)</f>
        <v>#N/A</v>
      </c>
      <c r="CR105" t="e">
        <f ca="1">OFFSET(data_oe_detail!$A$1,$D$89+$B105-1,CR$100-1)</f>
        <v>#N/A</v>
      </c>
      <c r="CS105" t="e">
        <f ca="1">OFFSET(data_oe_detail!$A$1,$D$89+$B105-1,CS$100-1)</f>
        <v>#N/A</v>
      </c>
      <c r="CT105" t="e">
        <f ca="1">OFFSET(data_oe_detail!$A$1,$D$89+$B105-1,CT$100-1)</f>
        <v>#N/A</v>
      </c>
      <c r="CU105" t="e">
        <f ca="1">OFFSET(data_oe_detail!$A$1,$D$89+$B105-1,CU$100-1)</f>
        <v>#N/A</v>
      </c>
      <c r="CV105" t="e">
        <f ca="1">OFFSET(data_oe_detail!$A$1,$D$89+$B105-1,CV$100-1)</f>
        <v>#N/A</v>
      </c>
      <c r="CW105" t="e">
        <f ca="1">OFFSET(data_oe_detail!$A$1,$D$89+$B105-1,CW$100-1)</f>
        <v>#N/A</v>
      </c>
      <c r="CX105" t="e">
        <f ca="1">OFFSET(data_oe_detail!$A$1,$D$89+$B105-1,CX$100-1)</f>
        <v>#N/A</v>
      </c>
      <c r="CY105" t="e">
        <f ca="1">OFFSET(data_oe_detail!$A$1,$D$89+$B105-1,CY$100-1)</f>
        <v>#N/A</v>
      </c>
      <c r="CZ105" t="e">
        <f ca="1">OFFSET(data_oe_detail!$A$1,$D$89+$B105-1,CZ$100-1)</f>
        <v>#N/A</v>
      </c>
      <c r="DA105" t="e">
        <f ca="1">OFFSET(data_oe_detail!$A$1,$D$89+$B105-1,DA$100-1)</f>
        <v>#N/A</v>
      </c>
      <c r="DB105" t="e">
        <f ca="1">OFFSET(data_oe_detail!$A$1,$D$89+$B105-1,DB$100-1)</f>
        <v>#N/A</v>
      </c>
      <c r="DC105" t="e">
        <f ca="1">OFFSET(data_oe_detail!$A$1,$D$89+$B105-1,DC$100-1)</f>
        <v>#N/A</v>
      </c>
      <c r="DD105" t="e">
        <f ca="1">OFFSET(data_oe_detail!$A$1,$D$89+$B105-1,DD$100-1)</f>
        <v>#N/A</v>
      </c>
      <c r="DE105" t="e">
        <f ca="1">OFFSET(data_oe_detail!$A$1,$D$89+$B105-1,DE$100-1)</f>
        <v>#N/A</v>
      </c>
      <c r="DF105" t="e">
        <f ca="1">OFFSET(data_oe_detail!$A$1,$D$89+$B105-1,DF$100-1)</f>
        <v>#N/A</v>
      </c>
      <c r="DG105" t="e">
        <f ca="1">OFFSET(data_oe_detail!$A$1,$D$89+$B105-1,DG$100-1)</f>
        <v>#N/A</v>
      </c>
      <c r="DH105" t="e">
        <f ca="1">OFFSET(data_oe_detail!$A$1,$D$89+$B105-1,DH$100-1)</f>
        <v>#N/A</v>
      </c>
    </row>
    <row r="106" spans="2:112" hidden="1" outlineLevel="1" x14ac:dyDescent="0.35">
      <c r="B106" s="128">
        <v>5</v>
      </c>
      <c r="C106" t="e">
        <f ca="1">OFFSET(data_oe_detail!$A$1,$D$89+$B106-1,C$100-1)</f>
        <v>#N/A</v>
      </c>
      <c r="D106" t="e">
        <f ca="1">OFFSET(data_oe_detail!$A$1,$D$89+$B106-1,D$100-1)</f>
        <v>#N/A</v>
      </c>
      <c r="E106" t="e">
        <f ca="1">OFFSET(data_oe_detail!$A$1,$D$89+$B106-1,E$100-1)</f>
        <v>#N/A</v>
      </c>
      <c r="F106" t="e">
        <f ca="1">OFFSET(data_oe_detail!$A$1,$D$89+$B106-1,F$100-1)</f>
        <v>#N/A</v>
      </c>
      <c r="G106" t="e">
        <f ca="1">OFFSET(data_oe_detail!$A$1,$D$89+$B106-1,G$100-1)</f>
        <v>#N/A</v>
      </c>
      <c r="H106" t="e">
        <f ca="1">OFFSET(data_oe_detail!$A$1,$D$89+$B106-1,H$100-1)</f>
        <v>#N/A</v>
      </c>
      <c r="I106" t="e">
        <f ca="1">OFFSET(data_oe_detail!$A$1,$D$89+$B106-1,I$100-1)</f>
        <v>#N/A</v>
      </c>
      <c r="J106" t="e">
        <f ca="1">OFFSET(data_oe_detail!$A$1,$D$89+$B106-1,J$100-1)</f>
        <v>#N/A</v>
      </c>
      <c r="K106" t="e">
        <f ca="1">OFFSET(data_oe_detail!$A$1,$D$89+$B106-1,K$100-1)</f>
        <v>#N/A</v>
      </c>
      <c r="L106" t="e">
        <f ca="1">OFFSET(data_oe_detail!$A$1,$D$89+$B106-1,L$100-1)</f>
        <v>#N/A</v>
      </c>
      <c r="M106" t="e">
        <f ca="1">OFFSET(data_oe_detail!$A$1,$D$89+$B106-1,M$100-1)</f>
        <v>#N/A</v>
      </c>
      <c r="N106" t="e">
        <f ca="1">OFFSET(data_oe_detail!$A$1,$D$89+$B106-1,N$100-1)</f>
        <v>#N/A</v>
      </c>
      <c r="O106" t="e">
        <f ca="1">OFFSET(data_oe_detail!$A$1,$D$89+$B106-1,O$100-1)</f>
        <v>#N/A</v>
      </c>
      <c r="P106" t="e">
        <f ca="1">OFFSET(data_oe_detail!$A$1,$D$89+$B106-1,P$100-1)</f>
        <v>#N/A</v>
      </c>
      <c r="Q106" t="e">
        <f ca="1">OFFSET(data_oe_detail!$A$1,$D$89+$B106-1,Q$100-1)</f>
        <v>#N/A</v>
      </c>
      <c r="R106" t="e">
        <f ca="1">OFFSET(data_oe_detail!$A$1,$D$89+$B106-1,R$100-1)</f>
        <v>#N/A</v>
      </c>
      <c r="S106" t="e">
        <f ca="1">OFFSET(data_oe_detail!$A$1,$D$89+$B106-1,S$100-1)</f>
        <v>#N/A</v>
      </c>
      <c r="T106" t="e">
        <f ca="1">OFFSET(data_oe_detail!$A$1,$D$89+$B106-1,T$100-1)</f>
        <v>#N/A</v>
      </c>
      <c r="U106" t="e">
        <f ca="1">OFFSET(data_oe_detail!$A$1,$D$89+$B106-1,U$100-1)</f>
        <v>#N/A</v>
      </c>
      <c r="V106" t="e">
        <f ca="1">OFFSET(data_oe_detail!$A$1,$D$89+$B106-1,V$100-1)</f>
        <v>#N/A</v>
      </c>
      <c r="W106" t="e">
        <f ca="1">OFFSET(data_oe_detail!$A$1,$D$89+$B106-1,W$100-1)</f>
        <v>#N/A</v>
      </c>
      <c r="X106" t="e">
        <f ca="1">OFFSET(data_oe_detail!$A$1,$D$89+$B106-1,X$100-1)</f>
        <v>#N/A</v>
      </c>
      <c r="Y106" t="e">
        <f ca="1">OFFSET(data_oe_detail!$A$1,$D$89+$B106-1,Y$100-1)</f>
        <v>#N/A</v>
      </c>
      <c r="Z106" t="e">
        <f ca="1">OFFSET(data_oe_detail!$A$1,$D$89+$B106-1,Z$100-1)</f>
        <v>#N/A</v>
      </c>
      <c r="AA106" t="e">
        <f ca="1">OFFSET(data_oe_detail!$A$1,$D$89+$B106-1,AA$100-1)</f>
        <v>#N/A</v>
      </c>
      <c r="AB106" t="e">
        <f ca="1">OFFSET(data_oe_detail!$A$1,$D$89+$B106-1,AB$100-1)</f>
        <v>#N/A</v>
      </c>
      <c r="AC106" t="e">
        <f ca="1">OFFSET(data_oe_detail!$A$1,$D$89+$B106-1,AC$100-1)</f>
        <v>#N/A</v>
      </c>
      <c r="AD106" t="e">
        <f ca="1">OFFSET(data_oe_detail!$A$1,$D$89+$B106-1,AD$100-1)</f>
        <v>#N/A</v>
      </c>
      <c r="AE106" t="e">
        <f ca="1">OFFSET(data_oe_detail!$A$1,$D$89+$B106-1,AE$100-1)</f>
        <v>#N/A</v>
      </c>
      <c r="AF106" t="e">
        <f ca="1">OFFSET(data_oe_detail!$A$1,$D$89+$B106-1,AF$100-1)</f>
        <v>#N/A</v>
      </c>
      <c r="AG106" t="e">
        <f ca="1">OFFSET(data_oe_detail!$A$1,$D$89+$B106-1,AG$100-1)</f>
        <v>#N/A</v>
      </c>
      <c r="AH106" t="e">
        <f ca="1">OFFSET(data_oe_detail!$A$1,$D$89+$B106-1,AH$100-1)</f>
        <v>#N/A</v>
      </c>
      <c r="AI106" t="e">
        <f ca="1">OFFSET(data_oe_detail!$A$1,$D$89+$B106-1,AI$100-1)</f>
        <v>#N/A</v>
      </c>
      <c r="AJ106" t="e">
        <f ca="1">OFFSET(data_oe_detail!$A$1,$D$89+$B106-1,AJ$100-1)</f>
        <v>#N/A</v>
      </c>
      <c r="AK106" t="e">
        <f ca="1">OFFSET(data_oe_detail!$A$1,$D$89+$B106-1,AK$100-1)</f>
        <v>#N/A</v>
      </c>
      <c r="AL106" t="e">
        <f ca="1">OFFSET(data_oe_detail!$A$1,$D$89+$B106-1,AL$100-1)</f>
        <v>#N/A</v>
      </c>
      <c r="AM106" t="e">
        <f ca="1">OFFSET(data_oe_detail!$A$1,$D$89+$B106-1,AM$100-1)</f>
        <v>#N/A</v>
      </c>
      <c r="AN106" t="e">
        <f ca="1">OFFSET(data_oe_detail!$A$1,$D$89+$B106-1,AN$100-1)</f>
        <v>#N/A</v>
      </c>
      <c r="AO106" t="e">
        <f ca="1">OFFSET(data_oe_detail!$A$1,$D$89+$B106-1,AO$100-1)</f>
        <v>#N/A</v>
      </c>
      <c r="AP106" t="e">
        <f ca="1">OFFSET(data_oe_detail!$A$1,$D$89+$B106-1,AP$100-1)</f>
        <v>#N/A</v>
      </c>
      <c r="AQ106" t="e">
        <f ca="1">OFFSET(data_oe_detail!$A$1,$D$89+$B106-1,AQ$100-1)</f>
        <v>#N/A</v>
      </c>
      <c r="AR106" t="e">
        <f ca="1">OFFSET(data_oe_detail!$A$1,$D$89+$B106-1,AR$100-1)</f>
        <v>#N/A</v>
      </c>
      <c r="AS106" t="e">
        <f ca="1">OFFSET(data_oe_detail!$A$1,$D$89+$B106-1,AS$100-1)</f>
        <v>#N/A</v>
      </c>
      <c r="AT106" t="e">
        <f ca="1">OFFSET(data_oe_detail!$A$1,$D$89+$B106-1,AT$100-1)</f>
        <v>#N/A</v>
      </c>
      <c r="AU106" t="e">
        <f ca="1">OFFSET(data_oe_detail!$A$1,$D$89+$B106-1,AU$100-1)</f>
        <v>#N/A</v>
      </c>
      <c r="AV106" t="e">
        <f ca="1">OFFSET(data_oe_detail!$A$1,$D$89+$B106-1,AV$100-1)</f>
        <v>#N/A</v>
      </c>
      <c r="AW106" t="e">
        <f ca="1">OFFSET(data_oe_detail!$A$1,$D$89+$B106-1,AW$100-1)</f>
        <v>#N/A</v>
      </c>
      <c r="AX106" t="e">
        <f ca="1">OFFSET(data_oe_detail!$A$1,$D$89+$B106-1,AX$100-1)</f>
        <v>#N/A</v>
      </c>
      <c r="AY106" t="e">
        <f ca="1">OFFSET(data_oe_detail!$A$1,$D$89+$B106-1,AY$100-1)</f>
        <v>#N/A</v>
      </c>
      <c r="AZ106" t="e">
        <f ca="1">OFFSET(data_oe_detail!$A$1,$D$89+$B106-1,AZ$100-1)</f>
        <v>#N/A</v>
      </c>
      <c r="BA106" t="e">
        <f ca="1">OFFSET(data_oe_detail!$A$1,$D$89+$B106-1,BA$100-1)</f>
        <v>#N/A</v>
      </c>
      <c r="BB106" t="e">
        <f ca="1">OFFSET(data_oe_detail!$A$1,$D$89+$B106-1,BB$100-1)</f>
        <v>#N/A</v>
      </c>
      <c r="BC106" t="e">
        <f ca="1">OFFSET(data_oe_detail!$A$1,$D$89+$B106-1,BC$100-1)</f>
        <v>#N/A</v>
      </c>
      <c r="BD106" t="e">
        <f ca="1">OFFSET(data_oe_detail!$A$1,$D$89+$B106-1,BD$100-1)</f>
        <v>#N/A</v>
      </c>
      <c r="BE106" t="e">
        <f ca="1">OFFSET(data_oe_detail!$A$1,$D$89+$B106-1,BE$100-1)</f>
        <v>#N/A</v>
      </c>
      <c r="BF106" t="e">
        <f ca="1">OFFSET(data_oe_detail!$A$1,$D$89+$B106-1,BF$100-1)</f>
        <v>#N/A</v>
      </c>
      <c r="BG106" t="e">
        <f ca="1">OFFSET(data_oe_detail!$A$1,$D$89+$B106-1,BG$100-1)</f>
        <v>#N/A</v>
      </c>
      <c r="BH106" t="e">
        <f ca="1">OFFSET(data_oe_detail!$A$1,$D$89+$B106-1,BH$100-1)</f>
        <v>#N/A</v>
      </c>
      <c r="BI106" t="e">
        <f ca="1">OFFSET(data_oe_detail!$A$1,$D$89+$B106-1,BI$100-1)</f>
        <v>#N/A</v>
      </c>
      <c r="BJ106" t="e">
        <f ca="1">OFFSET(data_oe_detail!$A$1,$D$89+$B106-1,BJ$100-1)</f>
        <v>#N/A</v>
      </c>
      <c r="BK106" t="e">
        <f ca="1">OFFSET(data_oe_detail!$A$1,$D$89+$B106-1,BK$100-1)</f>
        <v>#N/A</v>
      </c>
      <c r="BL106" t="e">
        <f ca="1">OFFSET(data_oe_detail!$A$1,$D$89+$B106-1,BL$100-1)</f>
        <v>#N/A</v>
      </c>
      <c r="BM106" t="e">
        <f ca="1">OFFSET(data_oe_detail!$A$1,$D$89+$B106-1,BM$100-1)</f>
        <v>#N/A</v>
      </c>
      <c r="BN106" t="e">
        <f ca="1">OFFSET(data_oe_detail!$A$1,$D$89+$B106-1,BN$100-1)</f>
        <v>#N/A</v>
      </c>
      <c r="BO106" t="e">
        <f ca="1">OFFSET(data_oe_detail!$A$1,$D$89+$B106-1,BO$100-1)</f>
        <v>#N/A</v>
      </c>
      <c r="BP106" t="e">
        <f ca="1">OFFSET(data_oe_detail!$A$1,$D$89+$B106-1,BP$100-1)</f>
        <v>#N/A</v>
      </c>
      <c r="BQ106" t="e">
        <f ca="1">OFFSET(data_oe_detail!$A$1,$D$89+$B106-1,BQ$100-1)</f>
        <v>#N/A</v>
      </c>
      <c r="BR106" t="e">
        <f ca="1">OFFSET(data_oe_detail!$A$1,$D$89+$B106-1,BR$100-1)</f>
        <v>#N/A</v>
      </c>
      <c r="BS106" t="e">
        <f ca="1">OFFSET(data_oe_detail!$A$1,$D$89+$B106-1,BS$100-1)</f>
        <v>#N/A</v>
      </c>
      <c r="BT106" t="e">
        <f ca="1">OFFSET(data_oe_detail!$A$1,$D$89+$B106-1,BT$100-1)</f>
        <v>#N/A</v>
      </c>
      <c r="BU106" t="e">
        <f ca="1">OFFSET(data_oe_detail!$A$1,$D$89+$B106-1,BU$100-1)</f>
        <v>#N/A</v>
      </c>
      <c r="BV106" t="e">
        <f ca="1">OFFSET(data_oe_detail!$A$1,$D$89+$B106-1,BV$100-1)</f>
        <v>#N/A</v>
      </c>
      <c r="BW106" t="e">
        <f ca="1">OFFSET(data_oe_detail!$A$1,$D$89+$B106-1,BW$100-1)</f>
        <v>#N/A</v>
      </c>
      <c r="BX106" t="e">
        <f ca="1">OFFSET(data_oe_detail!$A$1,$D$89+$B106-1,BX$100-1)</f>
        <v>#N/A</v>
      </c>
      <c r="BY106" t="e">
        <f ca="1">OFFSET(data_oe_detail!$A$1,$D$89+$B106-1,BY$100-1)</f>
        <v>#N/A</v>
      </c>
      <c r="BZ106" t="e">
        <f ca="1">OFFSET(data_oe_detail!$A$1,$D$89+$B106-1,BZ$100-1)</f>
        <v>#N/A</v>
      </c>
      <c r="CA106" t="e">
        <f ca="1">OFFSET(data_oe_detail!$A$1,$D$89+$B106-1,CA$100-1)</f>
        <v>#N/A</v>
      </c>
      <c r="CB106" t="e">
        <f ca="1">OFFSET(data_oe_detail!$A$1,$D$89+$B106-1,CB$100-1)</f>
        <v>#N/A</v>
      </c>
      <c r="CC106" t="e">
        <f ca="1">OFFSET(data_oe_detail!$A$1,$D$89+$B106-1,CC$100-1)</f>
        <v>#N/A</v>
      </c>
      <c r="CD106" t="e">
        <f ca="1">OFFSET(data_oe_detail!$A$1,$D$89+$B106-1,CD$100-1)</f>
        <v>#N/A</v>
      </c>
      <c r="CE106" t="e">
        <f ca="1">OFFSET(data_oe_detail!$A$1,$D$89+$B106-1,CE$100-1)</f>
        <v>#N/A</v>
      </c>
      <c r="CF106" t="e">
        <f ca="1">OFFSET(data_oe_detail!$A$1,$D$89+$B106-1,CF$100-1)</f>
        <v>#N/A</v>
      </c>
      <c r="CG106" t="e">
        <f ca="1">OFFSET(data_oe_detail!$A$1,$D$89+$B106-1,CG$100-1)</f>
        <v>#N/A</v>
      </c>
      <c r="CH106" t="e">
        <f ca="1">OFFSET(data_oe_detail!$A$1,$D$89+$B106-1,CH$100-1)</f>
        <v>#N/A</v>
      </c>
      <c r="CI106" t="e">
        <f ca="1">OFFSET(data_oe_detail!$A$1,$D$89+$B106-1,CI$100-1)</f>
        <v>#N/A</v>
      </c>
      <c r="CJ106" t="e">
        <f ca="1">OFFSET(data_oe_detail!$A$1,$D$89+$B106-1,CJ$100-1)</f>
        <v>#N/A</v>
      </c>
      <c r="CK106" t="e">
        <f ca="1">OFFSET(data_oe_detail!$A$1,$D$89+$B106-1,CK$100-1)</f>
        <v>#N/A</v>
      </c>
      <c r="CL106" t="e">
        <f ca="1">OFFSET(data_oe_detail!$A$1,$D$89+$B106-1,CL$100-1)</f>
        <v>#N/A</v>
      </c>
      <c r="CM106" t="e">
        <f ca="1">OFFSET(data_oe_detail!$A$1,$D$89+$B106-1,CM$100-1)</f>
        <v>#N/A</v>
      </c>
      <c r="CN106" t="e">
        <f ca="1">OFFSET(data_oe_detail!$A$1,$D$89+$B106-1,CN$100-1)</f>
        <v>#N/A</v>
      </c>
      <c r="CO106" t="e">
        <f ca="1">OFFSET(data_oe_detail!$A$1,$D$89+$B106-1,CO$100-1)</f>
        <v>#N/A</v>
      </c>
      <c r="CP106" t="e">
        <f ca="1">OFFSET(data_oe_detail!$A$1,$D$89+$B106-1,CP$100-1)</f>
        <v>#N/A</v>
      </c>
      <c r="CQ106" t="e">
        <f ca="1">OFFSET(data_oe_detail!$A$1,$D$89+$B106-1,CQ$100-1)</f>
        <v>#N/A</v>
      </c>
      <c r="CR106" t="e">
        <f ca="1">OFFSET(data_oe_detail!$A$1,$D$89+$B106-1,CR$100-1)</f>
        <v>#N/A</v>
      </c>
      <c r="CS106" t="e">
        <f ca="1">OFFSET(data_oe_detail!$A$1,$D$89+$B106-1,CS$100-1)</f>
        <v>#N/A</v>
      </c>
      <c r="CT106" t="e">
        <f ca="1">OFFSET(data_oe_detail!$A$1,$D$89+$B106-1,CT$100-1)</f>
        <v>#N/A</v>
      </c>
      <c r="CU106" t="e">
        <f ca="1">OFFSET(data_oe_detail!$A$1,$D$89+$B106-1,CU$100-1)</f>
        <v>#N/A</v>
      </c>
      <c r="CV106" t="e">
        <f ca="1">OFFSET(data_oe_detail!$A$1,$D$89+$B106-1,CV$100-1)</f>
        <v>#N/A</v>
      </c>
      <c r="CW106" t="e">
        <f ca="1">OFFSET(data_oe_detail!$A$1,$D$89+$B106-1,CW$100-1)</f>
        <v>#N/A</v>
      </c>
      <c r="CX106" t="e">
        <f ca="1">OFFSET(data_oe_detail!$A$1,$D$89+$B106-1,CX$100-1)</f>
        <v>#N/A</v>
      </c>
      <c r="CY106" t="e">
        <f ca="1">OFFSET(data_oe_detail!$A$1,$D$89+$B106-1,CY$100-1)</f>
        <v>#N/A</v>
      </c>
      <c r="CZ106" t="e">
        <f ca="1">OFFSET(data_oe_detail!$A$1,$D$89+$B106-1,CZ$100-1)</f>
        <v>#N/A</v>
      </c>
      <c r="DA106" t="e">
        <f ca="1">OFFSET(data_oe_detail!$A$1,$D$89+$B106-1,DA$100-1)</f>
        <v>#N/A</v>
      </c>
      <c r="DB106" t="e">
        <f ca="1">OFFSET(data_oe_detail!$A$1,$D$89+$B106-1,DB$100-1)</f>
        <v>#N/A</v>
      </c>
      <c r="DC106" t="e">
        <f ca="1">OFFSET(data_oe_detail!$A$1,$D$89+$B106-1,DC$100-1)</f>
        <v>#N/A</v>
      </c>
      <c r="DD106" t="e">
        <f ca="1">OFFSET(data_oe_detail!$A$1,$D$89+$B106-1,DD$100-1)</f>
        <v>#N/A</v>
      </c>
      <c r="DE106" t="e">
        <f ca="1">OFFSET(data_oe_detail!$A$1,$D$89+$B106-1,DE$100-1)</f>
        <v>#N/A</v>
      </c>
      <c r="DF106" t="e">
        <f ca="1">OFFSET(data_oe_detail!$A$1,$D$89+$B106-1,DF$100-1)</f>
        <v>#N/A</v>
      </c>
      <c r="DG106" t="e">
        <f ca="1">OFFSET(data_oe_detail!$A$1,$D$89+$B106-1,DG$100-1)</f>
        <v>#N/A</v>
      </c>
      <c r="DH106" t="e">
        <f ca="1">OFFSET(data_oe_detail!$A$1,$D$89+$B106-1,DH$100-1)</f>
        <v>#N/A</v>
      </c>
    </row>
    <row r="107" spans="2:112" hidden="1" outlineLevel="1" x14ac:dyDescent="0.35">
      <c r="B107" s="128">
        <v>6</v>
      </c>
      <c r="C107" t="e">
        <f ca="1">OFFSET(data_oe_detail!$A$1,$D$89+$B107-1,C$100-1)</f>
        <v>#N/A</v>
      </c>
      <c r="D107" t="e">
        <f ca="1">OFFSET(data_oe_detail!$A$1,$D$89+$B107-1,D$100-1)</f>
        <v>#N/A</v>
      </c>
      <c r="E107" t="e">
        <f ca="1">OFFSET(data_oe_detail!$A$1,$D$89+$B107-1,E$100-1)</f>
        <v>#N/A</v>
      </c>
      <c r="F107" t="e">
        <f ca="1">OFFSET(data_oe_detail!$A$1,$D$89+$B107-1,F$100-1)</f>
        <v>#N/A</v>
      </c>
      <c r="G107" t="e">
        <f ca="1">OFFSET(data_oe_detail!$A$1,$D$89+$B107-1,G$100-1)</f>
        <v>#N/A</v>
      </c>
      <c r="H107" t="e">
        <f ca="1">OFFSET(data_oe_detail!$A$1,$D$89+$B107-1,H$100-1)</f>
        <v>#N/A</v>
      </c>
      <c r="I107" t="e">
        <f ca="1">OFFSET(data_oe_detail!$A$1,$D$89+$B107-1,I$100-1)</f>
        <v>#N/A</v>
      </c>
      <c r="J107" t="e">
        <f ca="1">OFFSET(data_oe_detail!$A$1,$D$89+$B107-1,J$100-1)</f>
        <v>#N/A</v>
      </c>
      <c r="K107" t="e">
        <f ca="1">OFFSET(data_oe_detail!$A$1,$D$89+$B107-1,K$100-1)</f>
        <v>#N/A</v>
      </c>
      <c r="L107" t="e">
        <f ca="1">OFFSET(data_oe_detail!$A$1,$D$89+$B107-1,L$100-1)</f>
        <v>#N/A</v>
      </c>
      <c r="M107" t="e">
        <f ca="1">OFFSET(data_oe_detail!$A$1,$D$89+$B107-1,M$100-1)</f>
        <v>#N/A</v>
      </c>
      <c r="N107" t="e">
        <f ca="1">OFFSET(data_oe_detail!$A$1,$D$89+$B107-1,N$100-1)</f>
        <v>#N/A</v>
      </c>
      <c r="O107" t="e">
        <f ca="1">OFFSET(data_oe_detail!$A$1,$D$89+$B107-1,O$100-1)</f>
        <v>#N/A</v>
      </c>
      <c r="P107" t="e">
        <f ca="1">OFFSET(data_oe_detail!$A$1,$D$89+$B107-1,P$100-1)</f>
        <v>#N/A</v>
      </c>
      <c r="Q107" t="e">
        <f ca="1">OFFSET(data_oe_detail!$A$1,$D$89+$B107-1,Q$100-1)</f>
        <v>#N/A</v>
      </c>
      <c r="R107" t="e">
        <f ca="1">OFFSET(data_oe_detail!$A$1,$D$89+$B107-1,R$100-1)</f>
        <v>#N/A</v>
      </c>
      <c r="S107" t="e">
        <f ca="1">OFFSET(data_oe_detail!$A$1,$D$89+$B107-1,S$100-1)</f>
        <v>#N/A</v>
      </c>
      <c r="T107" t="e">
        <f ca="1">OFFSET(data_oe_detail!$A$1,$D$89+$B107-1,T$100-1)</f>
        <v>#N/A</v>
      </c>
      <c r="U107" t="e">
        <f ca="1">OFFSET(data_oe_detail!$A$1,$D$89+$B107-1,U$100-1)</f>
        <v>#N/A</v>
      </c>
      <c r="V107" t="e">
        <f ca="1">OFFSET(data_oe_detail!$A$1,$D$89+$B107-1,V$100-1)</f>
        <v>#N/A</v>
      </c>
      <c r="W107" t="e">
        <f ca="1">OFFSET(data_oe_detail!$A$1,$D$89+$B107-1,W$100-1)</f>
        <v>#N/A</v>
      </c>
      <c r="X107" t="e">
        <f ca="1">OFFSET(data_oe_detail!$A$1,$D$89+$B107-1,X$100-1)</f>
        <v>#N/A</v>
      </c>
      <c r="Y107" t="e">
        <f ca="1">OFFSET(data_oe_detail!$A$1,$D$89+$B107-1,Y$100-1)</f>
        <v>#N/A</v>
      </c>
      <c r="Z107" t="e">
        <f ca="1">OFFSET(data_oe_detail!$A$1,$D$89+$B107-1,Z$100-1)</f>
        <v>#N/A</v>
      </c>
      <c r="AA107" t="e">
        <f ca="1">OFFSET(data_oe_detail!$A$1,$D$89+$B107-1,AA$100-1)</f>
        <v>#N/A</v>
      </c>
      <c r="AB107" t="e">
        <f ca="1">OFFSET(data_oe_detail!$A$1,$D$89+$B107-1,AB$100-1)</f>
        <v>#N/A</v>
      </c>
      <c r="AC107" t="e">
        <f ca="1">OFFSET(data_oe_detail!$A$1,$D$89+$B107-1,AC$100-1)</f>
        <v>#N/A</v>
      </c>
      <c r="AD107" t="e">
        <f ca="1">OFFSET(data_oe_detail!$A$1,$D$89+$B107-1,AD$100-1)</f>
        <v>#N/A</v>
      </c>
      <c r="AE107" t="e">
        <f ca="1">OFFSET(data_oe_detail!$A$1,$D$89+$B107-1,AE$100-1)</f>
        <v>#N/A</v>
      </c>
      <c r="AF107" t="e">
        <f ca="1">OFFSET(data_oe_detail!$A$1,$D$89+$B107-1,AF$100-1)</f>
        <v>#N/A</v>
      </c>
      <c r="AG107" t="e">
        <f ca="1">OFFSET(data_oe_detail!$A$1,$D$89+$B107-1,AG$100-1)</f>
        <v>#N/A</v>
      </c>
      <c r="AH107" t="e">
        <f ca="1">OFFSET(data_oe_detail!$A$1,$D$89+$B107-1,AH$100-1)</f>
        <v>#N/A</v>
      </c>
      <c r="AI107" t="e">
        <f ca="1">OFFSET(data_oe_detail!$A$1,$D$89+$B107-1,AI$100-1)</f>
        <v>#N/A</v>
      </c>
      <c r="AJ107" t="e">
        <f ca="1">OFFSET(data_oe_detail!$A$1,$D$89+$B107-1,AJ$100-1)</f>
        <v>#N/A</v>
      </c>
      <c r="AK107" t="e">
        <f ca="1">OFFSET(data_oe_detail!$A$1,$D$89+$B107-1,AK$100-1)</f>
        <v>#N/A</v>
      </c>
      <c r="AL107" t="e">
        <f ca="1">OFFSET(data_oe_detail!$A$1,$D$89+$B107-1,AL$100-1)</f>
        <v>#N/A</v>
      </c>
      <c r="AM107" t="e">
        <f ca="1">OFFSET(data_oe_detail!$A$1,$D$89+$B107-1,AM$100-1)</f>
        <v>#N/A</v>
      </c>
      <c r="AN107" t="e">
        <f ca="1">OFFSET(data_oe_detail!$A$1,$D$89+$B107-1,AN$100-1)</f>
        <v>#N/A</v>
      </c>
      <c r="AO107" t="e">
        <f ca="1">OFFSET(data_oe_detail!$A$1,$D$89+$B107-1,AO$100-1)</f>
        <v>#N/A</v>
      </c>
      <c r="AP107" t="e">
        <f ca="1">OFFSET(data_oe_detail!$A$1,$D$89+$B107-1,AP$100-1)</f>
        <v>#N/A</v>
      </c>
      <c r="AQ107" t="e">
        <f ca="1">OFFSET(data_oe_detail!$A$1,$D$89+$B107-1,AQ$100-1)</f>
        <v>#N/A</v>
      </c>
      <c r="AR107" t="e">
        <f ca="1">OFFSET(data_oe_detail!$A$1,$D$89+$B107-1,AR$100-1)</f>
        <v>#N/A</v>
      </c>
      <c r="AS107" t="e">
        <f ca="1">OFFSET(data_oe_detail!$A$1,$D$89+$B107-1,AS$100-1)</f>
        <v>#N/A</v>
      </c>
      <c r="AT107" t="e">
        <f ca="1">OFFSET(data_oe_detail!$A$1,$D$89+$B107-1,AT$100-1)</f>
        <v>#N/A</v>
      </c>
      <c r="AU107" t="e">
        <f ca="1">OFFSET(data_oe_detail!$A$1,$D$89+$B107-1,AU$100-1)</f>
        <v>#N/A</v>
      </c>
      <c r="AV107" t="e">
        <f ca="1">OFFSET(data_oe_detail!$A$1,$D$89+$B107-1,AV$100-1)</f>
        <v>#N/A</v>
      </c>
      <c r="AW107" t="e">
        <f ca="1">OFFSET(data_oe_detail!$A$1,$D$89+$B107-1,AW$100-1)</f>
        <v>#N/A</v>
      </c>
      <c r="AX107" t="e">
        <f ca="1">OFFSET(data_oe_detail!$A$1,$D$89+$B107-1,AX$100-1)</f>
        <v>#N/A</v>
      </c>
      <c r="AY107" t="e">
        <f ca="1">OFFSET(data_oe_detail!$A$1,$D$89+$B107-1,AY$100-1)</f>
        <v>#N/A</v>
      </c>
      <c r="AZ107" t="e">
        <f ca="1">OFFSET(data_oe_detail!$A$1,$D$89+$B107-1,AZ$100-1)</f>
        <v>#N/A</v>
      </c>
      <c r="BA107" t="e">
        <f ca="1">OFFSET(data_oe_detail!$A$1,$D$89+$B107-1,BA$100-1)</f>
        <v>#N/A</v>
      </c>
      <c r="BB107" t="e">
        <f ca="1">OFFSET(data_oe_detail!$A$1,$D$89+$B107-1,BB$100-1)</f>
        <v>#N/A</v>
      </c>
      <c r="BC107" t="e">
        <f ca="1">OFFSET(data_oe_detail!$A$1,$D$89+$B107-1,BC$100-1)</f>
        <v>#N/A</v>
      </c>
      <c r="BD107" t="e">
        <f ca="1">OFFSET(data_oe_detail!$A$1,$D$89+$B107-1,BD$100-1)</f>
        <v>#N/A</v>
      </c>
      <c r="BE107" t="e">
        <f ca="1">OFFSET(data_oe_detail!$A$1,$D$89+$B107-1,BE$100-1)</f>
        <v>#N/A</v>
      </c>
      <c r="BF107" t="e">
        <f ca="1">OFFSET(data_oe_detail!$A$1,$D$89+$B107-1,BF$100-1)</f>
        <v>#N/A</v>
      </c>
      <c r="BG107" t="e">
        <f ca="1">OFFSET(data_oe_detail!$A$1,$D$89+$B107-1,BG$100-1)</f>
        <v>#N/A</v>
      </c>
      <c r="BH107" t="e">
        <f ca="1">OFFSET(data_oe_detail!$A$1,$D$89+$B107-1,BH$100-1)</f>
        <v>#N/A</v>
      </c>
      <c r="BI107" t="e">
        <f ca="1">OFFSET(data_oe_detail!$A$1,$D$89+$B107-1,BI$100-1)</f>
        <v>#N/A</v>
      </c>
      <c r="BJ107" t="e">
        <f ca="1">OFFSET(data_oe_detail!$A$1,$D$89+$B107-1,BJ$100-1)</f>
        <v>#N/A</v>
      </c>
      <c r="BK107" t="e">
        <f ca="1">OFFSET(data_oe_detail!$A$1,$D$89+$B107-1,BK$100-1)</f>
        <v>#N/A</v>
      </c>
      <c r="BL107" t="e">
        <f ca="1">OFFSET(data_oe_detail!$A$1,$D$89+$B107-1,BL$100-1)</f>
        <v>#N/A</v>
      </c>
      <c r="BM107" t="e">
        <f ca="1">OFFSET(data_oe_detail!$A$1,$D$89+$B107-1,BM$100-1)</f>
        <v>#N/A</v>
      </c>
      <c r="BN107" t="e">
        <f ca="1">OFFSET(data_oe_detail!$A$1,$D$89+$B107-1,BN$100-1)</f>
        <v>#N/A</v>
      </c>
      <c r="BO107" t="e">
        <f ca="1">OFFSET(data_oe_detail!$A$1,$D$89+$B107-1,BO$100-1)</f>
        <v>#N/A</v>
      </c>
      <c r="BP107" t="e">
        <f ca="1">OFFSET(data_oe_detail!$A$1,$D$89+$B107-1,BP$100-1)</f>
        <v>#N/A</v>
      </c>
      <c r="BQ107" t="e">
        <f ca="1">OFFSET(data_oe_detail!$A$1,$D$89+$B107-1,BQ$100-1)</f>
        <v>#N/A</v>
      </c>
      <c r="BR107" t="e">
        <f ca="1">OFFSET(data_oe_detail!$A$1,$D$89+$B107-1,BR$100-1)</f>
        <v>#N/A</v>
      </c>
      <c r="BS107" t="e">
        <f ca="1">OFFSET(data_oe_detail!$A$1,$D$89+$B107-1,BS$100-1)</f>
        <v>#N/A</v>
      </c>
      <c r="BT107" t="e">
        <f ca="1">OFFSET(data_oe_detail!$A$1,$D$89+$B107-1,BT$100-1)</f>
        <v>#N/A</v>
      </c>
      <c r="BU107" t="e">
        <f ca="1">OFFSET(data_oe_detail!$A$1,$D$89+$B107-1,BU$100-1)</f>
        <v>#N/A</v>
      </c>
      <c r="BV107" t="e">
        <f ca="1">OFFSET(data_oe_detail!$A$1,$D$89+$B107-1,BV$100-1)</f>
        <v>#N/A</v>
      </c>
      <c r="BW107" t="e">
        <f ca="1">OFFSET(data_oe_detail!$A$1,$D$89+$B107-1,BW$100-1)</f>
        <v>#N/A</v>
      </c>
      <c r="BX107" t="e">
        <f ca="1">OFFSET(data_oe_detail!$A$1,$D$89+$B107-1,BX$100-1)</f>
        <v>#N/A</v>
      </c>
      <c r="BY107" t="e">
        <f ca="1">OFFSET(data_oe_detail!$A$1,$D$89+$B107-1,BY$100-1)</f>
        <v>#N/A</v>
      </c>
      <c r="BZ107" t="e">
        <f ca="1">OFFSET(data_oe_detail!$A$1,$D$89+$B107-1,BZ$100-1)</f>
        <v>#N/A</v>
      </c>
      <c r="CA107" t="e">
        <f ca="1">OFFSET(data_oe_detail!$A$1,$D$89+$B107-1,CA$100-1)</f>
        <v>#N/A</v>
      </c>
      <c r="CB107" t="e">
        <f ca="1">OFFSET(data_oe_detail!$A$1,$D$89+$B107-1,CB$100-1)</f>
        <v>#N/A</v>
      </c>
      <c r="CC107" t="e">
        <f ca="1">OFFSET(data_oe_detail!$A$1,$D$89+$B107-1,CC$100-1)</f>
        <v>#N/A</v>
      </c>
      <c r="CD107" t="e">
        <f ca="1">OFFSET(data_oe_detail!$A$1,$D$89+$B107-1,CD$100-1)</f>
        <v>#N/A</v>
      </c>
      <c r="CE107" t="e">
        <f ca="1">OFFSET(data_oe_detail!$A$1,$D$89+$B107-1,CE$100-1)</f>
        <v>#N/A</v>
      </c>
      <c r="CF107" t="e">
        <f ca="1">OFFSET(data_oe_detail!$A$1,$D$89+$B107-1,CF$100-1)</f>
        <v>#N/A</v>
      </c>
      <c r="CG107" t="e">
        <f ca="1">OFFSET(data_oe_detail!$A$1,$D$89+$B107-1,CG$100-1)</f>
        <v>#N/A</v>
      </c>
      <c r="CH107" t="e">
        <f ca="1">OFFSET(data_oe_detail!$A$1,$D$89+$B107-1,CH$100-1)</f>
        <v>#N/A</v>
      </c>
      <c r="CI107" t="e">
        <f ca="1">OFFSET(data_oe_detail!$A$1,$D$89+$B107-1,CI$100-1)</f>
        <v>#N/A</v>
      </c>
      <c r="CJ107" t="e">
        <f ca="1">OFFSET(data_oe_detail!$A$1,$D$89+$B107-1,CJ$100-1)</f>
        <v>#N/A</v>
      </c>
      <c r="CK107" t="e">
        <f ca="1">OFFSET(data_oe_detail!$A$1,$D$89+$B107-1,CK$100-1)</f>
        <v>#N/A</v>
      </c>
      <c r="CL107" t="e">
        <f ca="1">OFFSET(data_oe_detail!$A$1,$D$89+$B107-1,CL$100-1)</f>
        <v>#N/A</v>
      </c>
      <c r="CM107" t="e">
        <f ca="1">OFFSET(data_oe_detail!$A$1,$D$89+$B107-1,CM$100-1)</f>
        <v>#N/A</v>
      </c>
      <c r="CN107" t="e">
        <f ca="1">OFFSET(data_oe_detail!$A$1,$D$89+$B107-1,CN$100-1)</f>
        <v>#N/A</v>
      </c>
      <c r="CO107" t="e">
        <f ca="1">OFFSET(data_oe_detail!$A$1,$D$89+$B107-1,CO$100-1)</f>
        <v>#N/A</v>
      </c>
      <c r="CP107" t="e">
        <f ca="1">OFFSET(data_oe_detail!$A$1,$D$89+$B107-1,CP$100-1)</f>
        <v>#N/A</v>
      </c>
      <c r="CQ107" t="e">
        <f ca="1">OFFSET(data_oe_detail!$A$1,$D$89+$B107-1,CQ$100-1)</f>
        <v>#N/A</v>
      </c>
      <c r="CR107" t="e">
        <f ca="1">OFFSET(data_oe_detail!$A$1,$D$89+$B107-1,CR$100-1)</f>
        <v>#N/A</v>
      </c>
      <c r="CS107" t="e">
        <f ca="1">OFFSET(data_oe_detail!$A$1,$D$89+$B107-1,CS$100-1)</f>
        <v>#N/A</v>
      </c>
      <c r="CT107" t="e">
        <f ca="1">OFFSET(data_oe_detail!$A$1,$D$89+$B107-1,CT$100-1)</f>
        <v>#N/A</v>
      </c>
      <c r="CU107" t="e">
        <f ca="1">OFFSET(data_oe_detail!$A$1,$D$89+$B107-1,CU$100-1)</f>
        <v>#N/A</v>
      </c>
      <c r="CV107" t="e">
        <f ca="1">OFFSET(data_oe_detail!$A$1,$D$89+$B107-1,CV$100-1)</f>
        <v>#N/A</v>
      </c>
      <c r="CW107" t="e">
        <f ca="1">OFFSET(data_oe_detail!$A$1,$D$89+$B107-1,CW$100-1)</f>
        <v>#N/A</v>
      </c>
      <c r="CX107" t="e">
        <f ca="1">OFFSET(data_oe_detail!$A$1,$D$89+$B107-1,CX$100-1)</f>
        <v>#N/A</v>
      </c>
      <c r="CY107" t="e">
        <f ca="1">OFFSET(data_oe_detail!$A$1,$D$89+$B107-1,CY$100-1)</f>
        <v>#N/A</v>
      </c>
      <c r="CZ107" t="e">
        <f ca="1">OFFSET(data_oe_detail!$A$1,$D$89+$B107-1,CZ$100-1)</f>
        <v>#N/A</v>
      </c>
      <c r="DA107" t="e">
        <f ca="1">OFFSET(data_oe_detail!$A$1,$D$89+$B107-1,DA$100-1)</f>
        <v>#N/A</v>
      </c>
      <c r="DB107" t="e">
        <f ca="1">OFFSET(data_oe_detail!$A$1,$D$89+$B107-1,DB$100-1)</f>
        <v>#N/A</v>
      </c>
      <c r="DC107" t="e">
        <f ca="1">OFFSET(data_oe_detail!$A$1,$D$89+$B107-1,DC$100-1)</f>
        <v>#N/A</v>
      </c>
      <c r="DD107" t="e">
        <f ca="1">OFFSET(data_oe_detail!$A$1,$D$89+$B107-1,DD$100-1)</f>
        <v>#N/A</v>
      </c>
      <c r="DE107" t="e">
        <f ca="1">OFFSET(data_oe_detail!$A$1,$D$89+$B107-1,DE$100-1)</f>
        <v>#N/A</v>
      </c>
      <c r="DF107" t="e">
        <f ca="1">OFFSET(data_oe_detail!$A$1,$D$89+$B107-1,DF$100-1)</f>
        <v>#N/A</v>
      </c>
      <c r="DG107" t="e">
        <f ca="1">OFFSET(data_oe_detail!$A$1,$D$89+$B107-1,DG$100-1)</f>
        <v>#N/A</v>
      </c>
      <c r="DH107" t="e">
        <f ca="1">OFFSET(data_oe_detail!$A$1,$D$89+$B107-1,DH$100-1)</f>
        <v>#N/A</v>
      </c>
    </row>
    <row r="108" spans="2:112" hidden="1" outlineLevel="1" x14ac:dyDescent="0.35">
      <c r="B108" s="128">
        <v>7</v>
      </c>
      <c r="C108" t="e">
        <f ca="1">OFFSET(data_oe_detail!$A$1,$D$89+$B108-1,C$100-1)</f>
        <v>#N/A</v>
      </c>
      <c r="D108" t="e">
        <f ca="1">OFFSET(data_oe_detail!$A$1,$D$89+$B108-1,D$100-1)</f>
        <v>#N/A</v>
      </c>
      <c r="E108" t="e">
        <f ca="1">OFFSET(data_oe_detail!$A$1,$D$89+$B108-1,E$100-1)</f>
        <v>#N/A</v>
      </c>
      <c r="F108" t="e">
        <f ca="1">OFFSET(data_oe_detail!$A$1,$D$89+$B108-1,F$100-1)</f>
        <v>#N/A</v>
      </c>
      <c r="G108" t="e">
        <f ca="1">OFFSET(data_oe_detail!$A$1,$D$89+$B108-1,G$100-1)</f>
        <v>#N/A</v>
      </c>
      <c r="H108" t="e">
        <f ca="1">OFFSET(data_oe_detail!$A$1,$D$89+$B108-1,H$100-1)</f>
        <v>#N/A</v>
      </c>
      <c r="I108" t="e">
        <f ca="1">OFFSET(data_oe_detail!$A$1,$D$89+$B108-1,I$100-1)</f>
        <v>#N/A</v>
      </c>
      <c r="J108" t="e">
        <f ca="1">OFFSET(data_oe_detail!$A$1,$D$89+$B108-1,J$100-1)</f>
        <v>#N/A</v>
      </c>
      <c r="K108" t="e">
        <f ca="1">OFFSET(data_oe_detail!$A$1,$D$89+$B108-1,K$100-1)</f>
        <v>#N/A</v>
      </c>
      <c r="L108" t="e">
        <f ca="1">OFFSET(data_oe_detail!$A$1,$D$89+$B108-1,L$100-1)</f>
        <v>#N/A</v>
      </c>
      <c r="M108" t="e">
        <f ca="1">OFFSET(data_oe_detail!$A$1,$D$89+$B108-1,M$100-1)</f>
        <v>#N/A</v>
      </c>
      <c r="N108" t="e">
        <f ca="1">OFFSET(data_oe_detail!$A$1,$D$89+$B108-1,N$100-1)</f>
        <v>#N/A</v>
      </c>
      <c r="O108" t="e">
        <f ca="1">OFFSET(data_oe_detail!$A$1,$D$89+$B108-1,O$100-1)</f>
        <v>#N/A</v>
      </c>
      <c r="P108" t="e">
        <f ca="1">OFFSET(data_oe_detail!$A$1,$D$89+$B108-1,P$100-1)</f>
        <v>#N/A</v>
      </c>
      <c r="Q108" t="e">
        <f ca="1">OFFSET(data_oe_detail!$A$1,$D$89+$B108-1,Q$100-1)</f>
        <v>#N/A</v>
      </c>
      <c r="R108" t="e">
        <f ca="1">OFFSET(data_oe_detail!$A$1,$D$89+$B108-1,R$100-1)</f>
        <v>#N/A</v>
      </c>
      <c r="S108" t="e">
        <f ca="1">OFFSET(data_oe_detail!$A$1,$D$89+$B108-1,S$100-1)</f>
        <v>#N/A</v>
      </c>
      <c r="T108" t="e">
        <f ca="1">OFFSET(data_oe_detail!$A$1,$D$89+$B108-1,T$100-1)</f>
        <v>#N/A</v>
      </c>
      <c r="U108" t="e">
        <f ca="1">OFFSET(data_oe_detail!$A$1,$D$89+$B108-1,U$100-1)</f>
        <v>#N/A</v>
      </c>
      <c r="V108" t="e">
        <f ca="1">OFFSET(data_oe_detail!$A$1,$D$89+$B108-1,V$100-1)</f>
        <v>#N/A</v>
      </c>
      <c r="W108" t="e">
        <f ca="1">OFFSET(data_oe_detail!$A$1,$D$89+$B108-1,W$100-1)</f>
        <v>#N/A</v>
      </c>
      <c r="X108" t="e">
        <f ca="1">OFFSET(data_oe_detail!$A$1,$D$89+$B108-1,X$100-1)</f>
        <v>#N/A</v>
      </c>
      <c r="Y108" t="e">
        <f ca="1">OFFSET(data_oe_detail!$A$1,$D$89+$B108-1,Y$100-1)</f>
        <v>#N/A</v>
      </c>
      <c r="Z108" t="e">
        <f ca="1">OFFSET(data_oe_detail!$A$1,$D$89+$B108-1,Z$100-1)</f>
        <v>#N/A</v>
      </c>
      <c r="AA108" t="e">
        <f ca="1">OFFSET(data_oe_detail!$A$1,$D$89+$B108-1,AA$100-1)</f>
        <v>#N/A</v>
      </c>
      <c r="AB108" t="e">
        <f ca="1">OFFSET(data_oe_detail!$A$1,$D$89+$B108-1,AB$100-1)</f>
        <v>#N/A</v>
      </c>
      <c r="AC108" t="e">
        <f ca="1">OFFSET(data_oe_detail!$A$1,$D$89+$B108-1,AC$100-1)</f>
        <v>#N/A</v>
      </c>
      <c r="AD108" t="e">
        <f ca="1">OFFSET(data_oe_detail!$A$1,$D$89+$B108-1,AD$100-1)</f>
        <v>#N/A</v>
      </c>
      <c r="AE108" t="e">
        <f ca="1">OFFSET(data_oe_detail!$A$1,$D$89+$B108-1,AE$100-1)</f>
        <v>#N/A</v>
      </c>
      <c r="AF108" t="e">
        <f ca="1">OFFSET(data_oe_detail!$A$1,$D$89+$B108-1,AF$100-1)</f>
        <v>#N/A</v>
      </c>
      <c r="AG108" t="e">
        <f ca="1">OFFSET(data_oe_detail!$A$1,$D$89+$B108-1,AG$100-1)</f>
        <v>#N/A</v>
      </c>
      <c r="AH108" t="e">
        <f ca="1">OFFSET(data_oe_detail!$A$1,$D$89+$B108-1,AH$100-1)</f>
        <v>#N/A</v>
      </c>
      <c r="AI108" t="e">
        <f ca="1">OFFSET(data_oe_detail!$A$1,$D$89+$B108-1,AI$100-1)</f>
        <v>#N/A</v>
      </c>
      <c r="AJ108" t="e">
        <f ca="1">OFFSET(data_oe_detail!$A$1,$D$89+$B108-1,AJ$100-1)</f>
        <v>#N/A</v>
      </c>
      <c r="AK108" t="e">
        <f ca="1">OFFSET(data_oe_detail!$A$1,$D$89+$B108-1,AK$100-1)</f>
        <v>#N/A</v>
      </c>
      <c r="AL108" t="e">
        <f ca="1">OFFSET(data_oe_detail!$A$1,$D$89+$B108-1,AL$100-1)</f>
        <v>#N/A</v>
      </c>
      <c r="AM108" t="e">
        <f ca="1">OFFSET(data_oe_detail!$A$1,$D$89+$B108-1,AM$100-1)</f>
        <v>#N/A</v>
      </c>
      <c r="AN108" t="e">
        <f ca="1">OFFSET(data_oe_detail!$A$1,$D$89+$B108-1,AN$100-1)</f>
        <v>#N/A</v>
      </c>
      <c r="AO108" t="e">
        <f ca="1">OFFSET(data_oe_detail!$A$1,$D$89+$B108-1,AO$100-1)</f>
        <v>#N/A</v>
      </c>
      <c r="AP108" t="e">
        <f ca="1">OFFSET(data_oe_detail!$A$1,$D$89+$B108-1,AP$100-1)</f>
        <v>#N/A</v>
      </c>
      <c r="AQ108" t="e">
        <f ca="1">OFFSET(data_oe_detail!$A$1,$D$89+$B108-1,AQ$100-1)</f>
        <v>#N/A</v>
      </c>
      <c r="AR108" t="e">
        <f ca="1">OFFSET(data_oe_detail!$A$1,$D$89+$B108-1,AR$100-1)</f>
        <v>#N/A</v>
      </c>
      <c r="AS108" t="e">
        <f ca="1">OFFSET(data_oe_detail!$A$1,$D$89+$B108-1,AS$100-1)</f>
        <v>#N/A</v>
      </c>
      <c r="AT108" t="e">
        <f ca="1">OFFSET(data_oe_detail!$A$1,$D$89+$B108-1,AT$100-1)</f>
        <v>#N/A</v>
      </c>
      <c r="AU108" t="e">
        <f ca="1">OFFSET(data_oe_detail!$A$1,$D$89+$B108-1,AU$100-1)</f>
        <v>#N/A</v>
      </c>
      <c r="AV108" t="e">
        <f ca="1">OFFSET(data_oe_detail!$A$1,$D$89+$B108-1,AV$100-1)</f>
        <v>#N/A</v>
      </c>
      <c r="AW108" t="e">
        <f ca="1">OFFSET(data_oe_detail!$A$1,$D$89+$B108-1,AW$100-1)</f>
        <v>#N/A</v>
      </c>
      <c r="AX108" t="e">
        <f ca="1">OFFSET(data_oe_detail!$A$1,$D$89+$B108-1,AX$100-1)</f>
        <v>#N/A</v>
      </c>
      <c r="AY108" t="e">
        <f ca="1">OFFSET(data_oe_detail!$A$1,$D$89+$B108-1,AY$100-1)</f>
        <v>#N/A</v>
      </c>
      <c r="AZ108" t="e">
        <f ca="1">OFFSET(data_oe_detail!$A$1,$D$89+$B108-1,AZ$100-1)</f>
        <v>#N/A</v>
      </c>
      <c r="BA108" t="e">
        <f ca="1">OFFSET(data_oe_detail!$A$1,$D$89+$B108-1,BA$100-1)</f>
        <v>#N/A</v>
      </c>
      <c r="BB108" t="e">
        <f ca="1">OFFSET(data_oe_detail!$A$1,$D$89+$B108-1,BB$100-1)</f>
        <v>#N/A</v>
      </c>
      <c r="BC108" t="e">
        <f ca="1">OFFSET(data_oe_detail!$A$1,$D$89+$B108-1,BC$100-1)</f>
        <v>#N/A</v>
      </c>
      <c r="BD108" t="e">
        <f ca="1">OFFSET(data_oe_detail!$A$1,$D$89+$B108-1,BD$100-1)</f>
        <v>#N/A</v>
      </c>
      <c r="BE108" t="e">
        <f ca="1">OFFSET(data_oe_detail!$A$1,$D$89+$B108-1,BE$100-1)</f>
        <v>#N/A</v>
      </c>
      <c r="BF108" t="e">
        <f ca="1">OFFSET(data_oe_detail!$A$1,$D$89+$B108-1,BF$100-1)</f>
        <v>#N/A</v>
      </c>
      <c r="BG108" t="e">
        <f ca="1">OFFSET(data_oe_detail!$A$1,$D$89+$B108-1,BG$100-1)</f>
        <v>#N/A</v>
      </c>
      <c r="BH108" t="e">
        <f ca="1">OFFSET(data_oe_detail!$A$1,$D$89+$B108-1,BH$100-1)</f>
        <v>#N/A</v>
      </c>
      <c r="BI108" t="e">
        <f ca="1">OFFSET(data_oe_detail!$A$1,$D$89+$B108-1,BI$100-1)</f>
        <v>#N/A</v>
      </c>
      <c r="BJ108" t="e">
        <f ca="1">OFFSET(data_oe_detail!$A$1,$D$89+$B108-1,BJ$100-1)</f>
        <v>#N/A</v>
      </c>
      <c r="BK108" t="e">
        <f ca="1">OFFSET(data_oe_detail!$A$1,$D$89+$B108-1,BK$100-1)</f>
        <v>#N/A</v>
      </c>
      <c r="BL108" t="e">
        <f ca="1">OFFSET(data_oe_detail!$A$1,$D$89+$B108-1,BL$100-1)</f>
        <v>#N/A</v>
      </c>
      <c r="BM108" t="e">
        <f ca="1">OFFSET(data_oe_detail!$A$1,$D$89+$B108-1,BM$100-1)</f>
        <v>#N/A</v>
      </c>
      <c r="BN108" t="e">
        <f ca="1">OFFSET(data_oe_detail!$A$1,$D$89+$B108-1,BN$100-1)</f>
        <v>#N/A</v>
      </c>
      <c r="BO108" t="e">
        <f ca="1">OFFSET(data_oe_detail!$A$1,$D$89+$B108-1,BO$100-1)</f>
        <v>#N/A</v>
      </c>
      <c r="BP108" t="e">
        <f ca="1">OFFSET(data_oe_detail!$A$1,$D$89+$B108-1,BP$100-1)</f>
        <v>#N/A</v>
      </c>
      <c r="BQ108" t="e">
        <f ca="1">OFFSET(data_oe_detail!$A$1,$D$89+$B108-1,BQ$100-1)</f>
        <v>#N/A</v>
      </c>
      <c r="BR108" t="e">
        <f ca="1">OFFSET(data_oe_detail!$A$1,$D$89+$B108-1,BR$100-1)</f>
        <v>#N/A</v>
      </c>
      <c r="BS108" t="e">
        <f ca="1">OFFSET(data_oe_detail!$A$1,$D$89+$B108-1,BS$100-1)</f>
        <v>#N/A</v>
      </c>
      <c r="BT108" t="e">
        <f ca="1">OFFSET(data_oe_detail!$A$1,$D$89+$B108-1,BT$100-1)</f>
        <v>#N/A</v>
      </c>
      <c r="BU108" t="e">
        <f ca="1">OFFSET(data_oe_detail!$A$1,$D$89+$B108-1,BU$100-1)</f>
        <v>#N/A</v>
      </c>
      <c r="BV108" t="e">
        <f ca="1">OFFSET(data_oe_detail!$A$1,$D$89+$B108-1,BV$100-1)</f>
        <v>#N/A</v>
      </c>
      <c r="BW108" t="e">
        <f ca="1">OFFSET(data_oe_detail!$A$1,$D$89+$B108-1,BW$100-1)</f>
        <v>#N/A</v>
      </c>
      <c r="BX108" t="e">
        <f ca="1">OFFSET(data_oe_detail!$A$1,$D$89+$B108-1,BX$100-1)</f>
        <v>#N/A</v>
      </c>
      <c r="BY108" t="e">
        <f ca="1">OFFSET(data_oe_detail!$A$1,$D$89+$B108-1,BY$100-1)</f>
        <v>#N/A</v>
      </c>
      <c r="BZ108" t="e">
        <f ca="1">OFFSET(data_oe_detail!$A$1,$D$89+$B108-1,BZ$100-1)</f>
        <v>#N/A</v>
      </c>
      <c r="CA108" t="e">
        <f ca="1">OFFSET(data_oe_detail!$A$1,$D$89+$B108-1,CA$100-1)</f>
        <v>#N/A</v>
      </c>
      <c r="CB108" t="e">
        <f ca="1">OFFSET(data_oe_detail!$A$1,$D$89+$B108-1,CB$100-1)</f>
        <v>#N/A</v>
      </c>
      <c r="CC108" t="e">
        <f ca="1">OFFSET(data_oe_detail!$A$1,$D$89+$B108-1,CC$100-1)</f>
        <v>#N/A</v>
      </c>
      <c r="CD108" t="e">
        <f ca="1">OFFSET(data_oe_detail!$A$1,$D$89+$B108-1,CD$100-1)</f>
        <v>#N/A</v>
      </c>
      <c r="CE108" t="e">
        <f ca="1">OFFSET(data_oe_detail!$A$1,$D$89+$B108-1,CE$100-1)</f>
        <v>#N/A</v>
      </c>
      <c r="CF108" t="e">
        <f ca="1">OFFSET(data_oe_detail!$A$1,$D$89+$B108-1,CF$100-1)</f>
        <v>#N/A</v>
      </c>
      <c r="CG108" t="e">
        <f ca="1">OFFSET(data_oe_detail!$A$1,$D$89+$B108-1,CG$100-1)</f>
        <v>#N/A</v>
      </c>
      <c r="CH108" t="e">
        <f ca="1">OFFSET(data_oe_detail!$A$1,$D$89+$B108-1,CH$100-1)</f>
        <v>#N/A</v>
      </c>
      <c r="CI108" t="e">
        <f ca="1">OFFSET(data_oe_detail!$A$1,$D$89+$B108-1,CI$100-1)</f>
        <v>#N/A</v>
      </c>
      <c r="CJ108" t="e">
        <f ca="1">OFFSET(data_oe_detail!$A$1,$D$89+$B108-1,CJ$100-1)</f>
        <v>#N/A</v>
      </c>
      <c r="CK108" t="e">
        <f ca="1">OFFSET(data_oe_detail!$A$1,$D$89+$B108-1,CK$100-1)</f>
        <v>#N/A</v>
      </c>
      <c r="CL108" t="e">
        <f ca="1">OFFSET(data_oe_detail!$A$1,$D$89+$B108-1,CL$100-1)</f>
        <v>#N/A</v>
      </c>
      <c r="CM108" t="e">
        <f ca="1">OFFSET(data_oe_detail!$A$1,$D$89+$B108-1,CM$100-1)</f>
        <v>#N/A</v>
      </c>
      <c r="CN108" t="e">
        <f ca="1">OFFSET(data_oe_detail!$A$1,$D$89+$B108-1,CN$100-1)</f>
        <v>#N/A</v>
      </c>
      <c r="CO108" t="e">
        <f ca="1">OFFSET(data_oe_detail!$A$1,$D$89+$B108-1,CO$100-1)</f>
        <v>#N/A</v>
      </c>
      <c r="CP108" t="e">
        <f ca="1">OFFSET(data_oe_detail!$A$1,$D$89+$B108-1,CP$100-1)</f>
        <v>#N/A</v>
      </c>
      <c r="CQ108" t="e">
        <f ca="1">OFFSET(data_oe_detail!$A$1,$D$89+$B108-1,CQ$100-1)</f>
        <v>#N/A</v>
      </c>
      <c r="CR108" t="e">
        <f ca="1">OFFSET(data_oe_detail!$A$1,$D$89+$B108-1,CR$100-1)</f>
        <v>#N/A</v>
      </c>
      <c r="CS108" t="e">
        <f ca="1">OFFSET(data_oe_detail!$A$1,$D$89+$B108-1,CS$100-1)</f>
        <v>#N/A</v>
      </c>
      <c r="CT108" t="e">
        <f ca="1">OFFSET(data_oe_detail!$A$1,$D$89+$B108-1,CT$100-1)</f>
        <v>#N/A</v>
      </c>
      <c r="CU108" t="e">
        <f ca="1">OFFSET(data_oe_detail!$A$1,$D$89+$B108-1,CU$100-1)</f>
        <v>#N/A</v>
      </c>
      <c r="CV108" t="e">
        <f ca="1">OFFSET(data_oe_detail!$A$1,$D$89+$B108-1,CV$100-1)</f>
        <v>#N/A</v>
      </c>
      <c r="CW108" t="e">
        <f ca="1">OFFSET(data_oe_detail!$A$1,$D$89+$B108-1,CW$100-1)</f>
        <v>#N/A</v>
      </c>
      <c r="CX108" t="e">
        <f ca="1">OFFSET(data_oe_detail!$A$1,$D$89+$B108-1,CX$100-1)</f>
        <v>#N/A</v>
      </c>
      <c r="CY108" t="e">
        <f ca="1">OFFSET(data_oe_detail!$A$1,$D$89+$B108-1,CY$100-1)</f>
        <v>#N/A</v>
      </c>
      <c r="CZ108" t="e">
        <f ca="1">OFFSET(data_oe_detail!$A$1,$D$89+$B108-1,CZ$100-1)</f>
        <v>#N/A</v>
      </c>
      <c r="DA108" t="e">
        <f ca="1">OFFSET(data_oe_detail!$A$1,$D$89+$B108-1,DA$100-1)</f>
        <v>#N/A</v>
      </c>
      <c r="DB108" t="e">
        <f ca="1">OFFSET(data_oe_detail!$A$1,$D$89+$B108-1,DB$100-1)</f>
        <v>#N/A</v>
      </c>
      <c r="DC108" t="e">
        <f ca="1">OFFSET(data_oe_detail!$A$1,$D$89+$B108-1,DC$100-1)</f>
        <v>#N/A</v>
      </c>
      <c r="DD108" t="e">
        <f ca="1">OFFSET(data_oe_detail!$A$1,$D$89+$B108-1,DD$100-1)</f>
        <v>#N/A</v>
      </c>
      <c r="DE108" t="e">
        <f ca="1">OFFSET(data_oe_detail!$A$1,$D$89+$B108-1,DE$100-1)</f>
        <v>#N/A</v>
      </c>
      <c r="DF108" t="e">
        <f ca="1">OFFSET(data_oe_detail!$A$1,$D$89+$B108-1,DF$100-1)</f>
        <v>#N/A</v>
      </c>
      <c r="DG108" t="e">
        <f ca="1">OFFSET(data_oe_detail!$A$1,$D$89+$B108-1,DG$100-1)</f>
        <v>#N/A</v>
      </c>
      <c r="DH108" t="e">
        <f ca="1">OFFSET(data_oe_detail!$A$1,$D$89+$B108-1,DH$100-1)</f>
        <v>#N/A</v>
      </c>
    </row>
    <row r="109" spans="2:112" hidden="1" outlineLevel="1" x14ac:dyDescent="0.35">
      <c r="B109" s="128">
        <v>8</v>
      </c>
      <c r="C109" t="e">
        <f ca="1">OFFSET(data_oe_detail!$A$1,$D$89+$B109-1,C$100-1)</f>
        <v>#N/A</v>
      </c>
      <c r="D109" t="e">
        <f ca="1">OFFSET(data_oe_detail!$A$1,$D$89+$B109-1,D$100-1)</f>
        <v>#N/A</v>
      </c>
      <c r="E109" t="e">
        <f ca="1">OFFSET(data_oe_detail!$A$1,$D$89+$B109-1,E$100-1)</f>
        <v>#N/A</v>
      </c>
      <c r="F109" t="e">
        <f ca="1">OFFSET(data_oe_detail!$A$1,$D$89+$B109-1,F$100-1)</f>
        <v>#N/A</v>
      </c>
      <c r="G109" t="e">
        <f ca="1">OFFSET(data_oe_detail!$A$1,$D$89+$B109-1,G$100-1)</f>
        <v>#N/A</v>
      </c>
      <c r="H109" t="e">
        <f ca="1">OFFSET(data_oe_detail!$A$1,$D$89+$B109-1,H$100-1)</f>
        <v>#N/A</v>
      </c>
      <c r="I109" t="e">
        <f ca="1">OFFSET(data_oe_detail!$A$1,$D$89+$B109-1,I$100-1)</f>
        <v>#N/A</v>
      </c>
      <c r="J109" t="e">
        <f ca="1">OFFSET(data_oe_detail!$A$1,$D$89+$B109-1,J$100-1)</f>
        <v>#N/A</v>
      </c>
      <c r="K109" t="e">
        <f ca="1">OFFSET(data_oe_detail!$A$1,$D$89+$B109-1,K$100-1)</f>
        <v>#N/A</v>
      </c>
      <c r="L109" t="e">
        <f ca="1">OFFSET(data_oe_detail!$A$1,$D$89+$B109-1,L$100-1)</f>
        <v>#N/A</v>
      </c>
      <c r="M109" t="e">
        <f ca="1">OFFSET(data_oe_detail!$A$1,$D$89+$B109-1,M$100-1)</f>
        <v>#N/A</v>
      </c>
      <c r="N109" t="e">
        <f ca="1">OFFSET(data_oe_detail!$A$1,$D$89+$B109-1,N$100-1)</f>
        <v>#N/A</v>
      </c>
      <c r="O109" t="e">
        <f ca="1">OFFSET(data_oe_detail!$A$1,$D$89+$B109-1,O$100-1)</f>
        <v>#N/A</v>
      </c>
      <c r="P109" t="e">
        <f ca="1">OFFSET(data_oe_detail!$A$1,$D$89+$B109-1,P$100-1)</f>
        <v>#N/A</v>
      </c>
      <c r="Q109" t="e">
        <f ca="1">OFFSET(data_oe_detail!$A$1,$D$89+$B109-1,Q$100-1)</f>
        <v>#N/A</v>
      </c>
      <c r="R109" t="e">
        <f ca="1">OFFSET(data_oe_detail!$A$1,$D$89+$B109-1,R$100-1)</f>
        <v>#N/A</v>
      </c>
      <c r="S109" t="e">
        <f ca="1">OFFSET(data_oe_detail!$A$1,$D$89+$B109-1,S$100-1)</f>
        <v>#N/A</v>
      </c>
      <c r="T109" t="e">
        <f ca="1">OFFSET(data_oe_detail!$A$1,$D$89+$B109-1,T$100-1)</f>
        <v>#N/A</v>
      </c>
      <c r="U109" t="e">
        <f ca="1">OFFSET(data_oe_detail!$A$1,$D$89+$B109-1,U$100-1)</f>
        <v>#N/A</v>
      </c>
      <c r="V109" t="e">
        <f ca="1">OFFSET(data_oe_detail!$A$1,$D$89+$B109-1,V$100-1)</f>
        <v>#N/A</v>
      </c>
      <c r="W109" t="e">
        <f ca="1">OFFSET(data_oe_detail!$A$1,$D$89+$B109-1,W$100-1)</f>
        <v>#N/A</v>
      </c>
      <c r="X109" t="e">
        <f ca="1">OFFSET(data_oe_detail!$A$1,$D$89+$B109-1,X$100-1)</f>
        <v>#N/A</v>
      </c>
      <c r="Y109" t="e">
        <f ca="1">OFFSET(data_oe_detail!$A$1,$D$89+$B109-1,Y$100-1)</f>
        <v>#N/A</v>
      </c>
      <c r="Z109" t="e">
        <f ca="1">OFFSET(data_oe_detail!$A$1,$D$89+$B109-1,Z$100-1)</f>
        <v>#N/A</v>
      </c>
      <c r="AA109" t="e">
        <f ca="1">OFFSET(data_oe_detail!$A$1,$D$89+$B109-1,AA$100-1)</f>
        <v>#N/A</v>
      </c>
      <c r="AB109" t="e">
        <f ca="1">OFFSET(data_oe_detail!$A$1,$D$89+$B109-1,AB$100-1)</f>
        <v>#N/A</v>
      </c>
      <c r="AC109" t="e">
        <f ca="1">OFFSET(data_oe_detail!$A$1,$D$89+$B109-1,AC$100-1)</f>
        <v>#N/A</v>
      </c>
      <c r="AD109" t="e">
        <f ca="1">OFFSET(data_oe_detail!$A$1,$D$89+$B109-1,AD$100-1)</f>
        <v>#N/A</v>
      </c>
      <c r="AE109" t="e">
        <f ca="1">OFFSET(data_oe_detail!$A$1,$D$89+$B109-1,AE$100-1)</f>
        <v>#N/A</v>
      </c>
      <c r="AF109" t="e">
        <f ca="1">OFFSET(data_oe_detail!$A$1,$D$89+$B109-1,AF$100-1)</f>
        <v>#N/A</v>
      </c>
      <c r="AG109" t="e">
        <f ca="1">OFFSET(data_oe_detail!$A$1,$D$89+$B109-1,AG$100-1)</f>
        <v>#N/A</v>
      </c>
      <c r="AH109" t="e">
        <f ca="1">OFFSET(data_oe_detail!$A$1,$D$89+$B109-1,AH$100-1)</f>
        <v>#N/A</v>
      </c>
      <c r="AI109" t="e">
        <f ca="1">OFFSET(data_oe_detail!$A$1,$D$89+$B109-1,AI$100-1)</f>
        <v>#N/A</v>
      </c>
      <c r="AJ109" t="e">
        <f ca="1">OFFSET(data_oe_detail!$A$1,$D$89+$B109-1,AJ$100-1)</f>
        <v>#N/A</v>
      </c>
      <c r="AK109" t="e">
        <f ca="1">OFFSET(data_oe_detail!$A$1,$D$89+$B109-1,AK$100-1)</f>
        <v>#N/A</v>
      </c>
      <c r="AL109" t="e">
        <f ca="1">OFFSET(data_oe_detail!$A$1,$D$89+$B109-1,AL$100-1)</f>
        <v>#N/A</v>
      </c>
      <c r="AM109" t="e">
        <f ca="1">OFFSET(data_oe_detail!$A$1,$D$89+$B109-1,AM$100-1)</f>
        <v>#N/A</v>
      </c>
      <c r="AN109" t="e">
        <f ca="1">OFFSET(data_oe_detail!$A$1,$D$89+$B109-1,AN$100-1)</f>
        <v>#N/A</v>
      </c>
      <c r="AO109" t="e">
        <f ca="1">OFFSET(data_oe_detail!$A$1,$D$89+$B109-1,AO$100-1)</f>
        <v>#N/A</v>
      </c>
      <c r="AP109" t="e">
        <f ca="1">OFFSET(data_oe_detail!$A$1,$D$89+$B109-1,AP$100-1)</f>
        <v>#N/A</v>
      </c>
      <c r="AQ109" t="e">
        <f ca="1">OFFSET(data_oe_detail!$A$1,$D$89+$B109-1,AQ$100-1)</f>
        <v>#N/A</v>
      </c>
      <c r="AR109" t="e">
        <f ca="1">OFFSET(data_oe_detail!$A$1,$D$89+$B109-1,AR$100-1)</f>
        <v>#N/A</v>
      </c>
      <c r="AS109" t="e">
        <f ca="1">OFFSET(data_oe_detail!$A$1,$D$89+$B109-1,AS$100-1)</f>
        <v>#N/A</v>
      </c>
      <c r="AT109" t="e">
        <f ca="1">OFFSET(data_oe_detail!$A$1,$D$89+$B109-1,AT$100-1)</f>
        <v>#N/A</v>
      </c>
      <c r="AU109" t="e">
        <f ca="1">OFFSET(data_oe_detail!$A$1,$D$89+$B109-1,AU$100-1)</f>
        <v>#N/A</v>
      </c>
      <c r="AV109" t="e">
        <f ca="1">OFFSET(data_oe_detail!$A$1,$D$89+$B109-1,AV$100-1)</f>
        <v>#N/A</v>
      </c>
      <c r="AW109" t="e">
        <f ca="1">OFFSET(data_oe_detail!$A$1,$D$89+$B109-1,AW$100-1)</f>
        <v>#N/A</v>
      </c>
      <c r="AX109" t="e">
        <f ca="1">OFFSET(data_oe_detail!$A$1,$D$89+$B109-1,AX$100-1)</f>
        <v>#N/A</v>
      </c>
      <c r="AY109" t="e">
        <f ca="1">OFFSET(data_oe_detail!$A$1,$D$89+$B109-1,AY$100-1)</f>
        <v>#N/A</v>
      </c>
      <c r="AZ109" t="e">
        <f ca="1">OFFSET(data_oe_detail!$A$1,$D$89+$B109-1,AZ$100-1)</f>
        <v>#N/A</v>
      </c>
      <c r="BA109" t="e">
        <f ca="1">OFFSET(data_oe_detail!$A$1,$D$89+$B109-1,BA$100-1)</f>
        <v>#N/A</v>
      </c>
      <c r="BB109" t="e">
        <f ca="1">OFFSET(data_oe_detail!$A$1,$D$89+$B109-1,BB$100-1)</f>
        <v>#N/A</v>
      </c>
      <c r="BC109" t="e">
        <f ca="1">OFFSET(data_oe_detail!$A$1,$D$89+$B109-1,BC$100-1)</f>
        <v>#N/A</v>
      </c>
      <c r="BD109" t="e">
        <f ca="1">OFFSET(data_oe_detail!$A$1,$D$89+$B109-1,BD$100-1)</f>
        <v>#N/A</v>
      </c>
      <c r="BE109" t="e">
        <f ca="1">OFFSET(data_oe_detail!$A$1,$D$89+$B109-1,BE$100-1)</f>
        <v>#N/A</v>
      </c>
      <c r="BF109" t="e">
        <f ca="1">OFFSET(data_oe_detail!$A$1,$D$89+$B109-1,BF$100-1)</f>
        <v>#N/A</v>
      </c>
      <c r="BG109" t="e">
        <f ca="1">OFFSET(data_oe_detail!$A$1,$D$89+$B109-1,BG$100-1)</f>
        <v>#N/A</v>
      </c>
      <c r="BH109" t="e">
        <f ca="1">OFFSET(data_oe_detail!$A$1,$D$89+$B109-1,BH$100-1)</f>
        <v>#N/A</v>
      </c>
      <c r="BI109" t="e">
        <f ca="1">OFFSET(data_oe_detail!$A$1,$D$89+$B109-1,BI$100-1)</f>
        <v>#N/A</v>
      </c>
      <c r="BJ109" t="e">
        <f ca="1">OFFSET(data_oe_detail!$A$1,$D$89+$B109-1,BJ$100-1)</f>
        <v>#N/A</v>
      </c>
      <c r="BK109" t="e">
        <f ca="1">OFFSET(data_oe_detail!$A$1,$D$89+$B109-1,BK$100-1)</f>
        <v>#N/A</v>
      </c>
      <c r="BL109" t="e">
        <f ca="1">OFFSET(data_oe_detail!$A$1,$D$89+$B109-1,BL$100-1)</f>
        <v>#N/A</v>
      </c>
      <c r="BM109" t="e">
        <f ca="1">OFFSET(data_oe_detail!$A$1,$D$89+$B109-1,BM$100-1)</f>
        <v>#N/A</v>
      </c>
      <c r="BN109" t="e">
        <f ca="1">OFFSET(data_oe_detail!$A$1,$D$89+$B109-1,BN$100-1)</f>
        <v>#N/A</v>
      </c>
      <c r="BO109" t="e">
        <f ca="1">OFFSET(data_oe_detail!$A$1,$D$89+$B109-1,BO$100-1)</f>
        <v>#N/A</v>
      </c>
      <c r="BP109" t="e">
        <f ca="1">OFFSET(data_oe_detail!$A$1,$D$89+$B109-1,BP$100-1)</f>
        <v>#N/A</v>
      </c>
      <c r="BQ109" t="e">
        <f ca="1">OFFSET(data_oe_detail!$A$1,$D$89+$B109-1,BQ$100-1)</f>
        <v>#N/A</v>
      </c>
      <c r="BR109" t="e">
        <f ca="1">OFFSET(data_oe_detail!$A$1,$D$89+$B109-1,BR$100-1)</f>
        <v>#N/A</v>
      </c>
      <c r="BS109" t="e">
        <f ca="1">OFFSET(data_oe_detail!$A$1,$D$89+$B109-1,BS$100-1)</f>
        <v>#N/A</v>
      </c>
      <c r="BT109" t="e">
        <f ca="1">OFFSET(data_oe_detail!$A$1,$D$89+$B109-1,BT$100-1)</f>
        <v>#N/A</v>
      </c>
      <c r="BU109" t="e">
        <f ca="1">OFFSET(data_oe_detail!$A$1,$D$89+$B109-1,BU$100-1)</f>
        <v>#N/A</v>
      </c>
      <c r="BV109" t="e">
        <f ca="1">OFFSET(data_oe_detail!$A$1,$D$89+$B109-1,BV$100-1)</f>
        <v>#N/A</v>
      </c>
      <c r="BW109" t="e">
        <f ca="1">OFFSET(data_oe_detail!$A$1,$D$89+$B109-1,BW$100-1)</f>
        <v>#N/A</v>
      </c>
      <c r="BX109" t="e">
        <f ca="1">OFFSET(data_oe_detail!$A$1,$D$89+$B109-1,BX$100-1)</f>
        <v>#N/A</v>
      </c>
      <c r="BY109" t="e">
        <f ca="1">OFFSET(data_oe_detail!$A$1,$D$89+$B109-1,BY$100-1)</f>
        <v>#N/A</v>
      </c>
      <c r="BZ109" t="e">
        <f ca="1">OFFSET(data_oe_detail!$A$1,$D$89+$B109-1,BZ$100-1)</f>
        <v>#N/A</v>
      </c>
      <c r="CA109" t="e">
        <f ca="1">OFFSET(data_oe_detail!$A$1,$D$89+$B109-1,CA$100-1)</f>
        <v>#N/A</v>
      </c>
      <c r="CB109" t="e">
        <f ca="1">OFFSET(data_oe_detail!$A$1,$D$89+$B109-1,CB$100-1)</f>
        <v>#N/A</v>
      </c>
      <c r="CC109" t="e">
        <f ca="1">OFFSET(data_oe_detail!$A$1,$D$89+$B109-1,CC$100-1)</f>
        <v>#N/A</v>
      </c>
      <c r="CD109" t="e">
        <f ca="1">OFFSET(data_oe_detail!$A$1,$D$89+$B109-1,CD$100-1)</f>
        <v>#N/A</v>
      </c>
      <c r="CE109" t="e">
        <f ca="1">OFFSET(data_oe_detail!$A$1,$D$89+$B109-1,CE$100-1)</f>
        <v>#N/A</v>
      </c>
      <c r="CF109" t="e">
        <f ca="1">OFFSET(data_oe_detail!$A$1,$D$89+$B109-1,CF$100-1)</f>
        <v>#N/A</v>
      </c>
      <c r="CG109" t="e">
        <f ca="1">OFFSET(data_oe_detail!$A$1,$D$89+$B109-1,CG$100-1)</f>
        <v>#N/A</v>
      </c>
      <c r="CH109" t="e">
        <f ca="1">OFFSET(data_oe_detail!$A$1,$D$89+$B109-1,CH$100-1)</f>
        <v>#N/A</v>
      </c>
      <c r="CI109" t="e">
        <f ca="1">OFFSET(data_oe_detail!$A$1,$D$89+$B109-1,CI$100-1)</f>
        <v>#N/A</v>
      </c>
      <c r="CJ109" t="e">
        <f ca="1">OFFSET(data_oe_detail!$A$1,$D$89+$B109-1,CJ$100-1)</f>
        <v>#N/A</v>
      </c>
      <c r="CK109" t="e">
        <f ca="1">OFFSET(data_oe_detail!$A$1,$D$89+$B109-1,CK$100-1)</f>
        <v>#N/A</v>
      </c>
      <c r="CL109" t="e">
        <f ca="1">OFFSET(data_oe_detail!$A$1,$D$89+$B109-1,CL$100-1)</f>
        <v>#N/A</v>
      </c>
      <c r="CM109" t="e">
        <f ca="1">OFFSET(data_oe_detail!$A$1,$D$89+$B109-1,CM$100-1)</f>
        <v>#N/A</v>
      </c>
      <c r="CN109" t="e">
        <f ca="1">OFFSET(data_oe_detail!$A$1,$D$89+$B109-1,CN$100-1)</f>
        <v>#N/A</v>
      </c>
      <c r="CO109" t="e">
        <f ca="1">OFFSET(data_oe_detail!$A$1,$D$89+$B109-1,CO$100-1)</f>
        <v>#N/A</v>
      </c>
      <c r="CP109" t="e">
        <f ca="1">OFFSET(data_oe_detail!$A$1,$D$89+$B109-1,CP$100-1)</f>
        <v>#N/A</v>
      </c>
      <c r="CQ109" t="e">
        <f ca="1">OFFSET(data_oe_detail!$A$1,$D$89+$B109-1,CQ$100-1)</f>
        <v>#N/A</v>
      </c>
      <c r="CR109" t="e">
        <f ca="1">OFFSET(data_oe_detail!$A$1,$D$89+$B109-1,CR$100-1)</f>
        <v>#N/A</v>
      </c>
      <c r="CS109" t="e">
        <f ca="1">OFFSET(data_oe_detail!$A$1,$D$89+$B109-1,CS$100-1)</f>
        <v>#N/A</v>
      </c>
      <c r="CT109" t="e">
        <f ca="1">OFFSET(data_oe_detail!$A$1,$D$89+$B109-1,CT$100-1)</f>
        <v>#N/A</v>
      </c>
      <c r="CU109" t="e">
        <f ca="1">OFFSET(data_oe_detail!$A$1,$D$89+$B109-1,CU$100-1)</f>
        <v>#N/A</v>
      </c>
      <c r="CV109" t="e">
        <f ca="1">OFFSET(data_oe_detail!$A$1,$D$89+$B109-1,CV$100-1)</f>
        <v>#N/A</v>
      </c>
      <c r="CW109" t="e">
        <f ca="1">OFFSET(data_oe_detail!$A$1,$D$89+$B109-1,CW$100-1)</f>
        <v>#N/A</v>
      </c>
      <c r="CX109" t="e">
        <f ca="1">OFFSET(data_oe_detail!$A$1,$D$89+$B109-1,CX$100-1)</f>
        <v>#N/A</v>
      </c>
      <c r="CY109" t="e">
        <f ca="1">OFFSET(data_oe_detail!$A$1,$D$89+$B109-1,CY$100-1)</f>
        <v>#N/A</v>
      </c>
      <c r="CZ109" t="e">
        <f ca="1">OFFSET(data_oe_detail!$A$1,$D$89+$B109-1,CZ$100-1)</f>
        <v>#N/A</v>
      </c>
      <c r="DA109" t="e">
        <f ca="1">OFFSET(data_oe_detail!$A$1,$D$89+$B109-1,DA$100-1)</f>
        <v>#N/A</v>
      </c>
      <c r="DB109" t="e">
        <f ca="1">OFFSET(data_oe_detail!$A$1,$D$89+$B109-1,DB$100-1)</f>
        <v>#N/A</v>
      </c>
      <c r="DC109" t="e">
        <f ca="1">OFFSET(data_oe_detail!$A$1,$D$89+$B109-1,DC$100-1)</f>
        <v>#N/A</v>
      </c>
      <c r="DD109" t="e">
        <f ca="1">OFFSET(data_oe_detail!$A$1,$D$89+$B109-1,DD$100-1)</f>
        <v>#N/A</v>
      </c>
      <c r="DE109" t="e">
        <f ca="1">OFFSET(data_oe_detail!$A$1,$D$89+$B109-1,DE$100-1)</f>
        <v>#N/A</v>
      </c>
      <c r="DF109" t="e">
        <f ca="1">OFFSET(data_oe_detail!$A$1,$D$89+$B109-1,DF$100-1)</f>
        <v>#N/A</v>
      </c>
      <c r="DG109" t="e">
        <f ca="1">OFFSET(data_oe_detail!$A$1,$D$89+$B109-1,DG$100-1)</f>
        <v>#N/A</v>
      </c>
      <c r="DH109" t="e">
        <f ca="1">OFFSET(data_oe_detail!$A$1,$D$89+$B109-1,DH$100-1)</f>
        <v>#N/A</v>
      </c>
    </row>
    <row r="110" spans="2:112" hidden="1" outlineLevel="1" x14ac:dyDescent="0.35">
      <c r="B110" s="128">
        <v>9</v>
      </c>
      <c r="C110" t="e">
        <f ca="1">OFFSET(data_oe_detail!$A$1,$D$89+$B110-1,C$100-1)</f>
        <v>#N/A</v>
      </c>
      <c r="D110" t="e">
        <f ca="1">OFFSET(data_oe_detail!$A$1,$D$89+$B110-1,D$100-1)</f>
        <v>#N/A</v>
      </c>
      <c r="E110" t="e">
        <f ca="1">OFFSET(data_oe_detail!$A$1,$D$89+$B110-1,E$100-1)</f>
        <v>#N/A</v>
      </c>
      <c r="F110" t="e">
        <f ca="1">OFFSET(data_oe_detail!$A$1,$D$89+$B110-1,F$100-1)</f>
        <v>#N/A</v>
      </c>
      <c r="G110" t="e">
        <f ca="1">OFFSET(data_oe_detail!$A$1,$D$89+$B110-1,G$100-1)</f>
        <v>#N/A</v>
      </c>
      <c r="H110" t="e">
        <f ca="1">OFFSET(data_oe_detail!$A$1,$D$89+$B110-1,H$100-1)</f>
        <v>#N/A</v>
      </c>
      <c r="I110" t="e">
        <f ca="1">OFFSET(data_oe_detail!$A$1,$D$89+$B110-1,I$100-1)</f>
        <v>#N/A</v>
      </c>
      <c r="J110" t="e">
        <f ca="1">OFFSET(data_oe_detail!$A$1,$D$89+$B110-1,J$100-1)</f>
        <v>#N/A</v>
      </c>
      <c r="K110" t="e">
        <f ca="1">OFFSET(data_oe_detail!$A$1,$D$89+$B110-1,K$100-1)</f>
        <v>#N/A</v>
      </c>
      <c r="L110" t="e">
        <f ca="1">OFFSET(data_oe_detail!$A$1,$D$89+$B110-1,L$100-1)</f>
        <v>#N/A</v>
      </c>
      <c r="M110" t="e">
        <f ca="1">OFFSET(data_oe_detail!$A$1,$D$89+$B110-1,M$100-1)</f>
        <v>#N/A</v>
      </c>
      <c r="N110" t="e">
        <f ca="1">OFFSET(data_oe_detail!$A$1,$D$89+$B110-1,N$100-1)</f>
        <v>#N/A</v>
      </c>
      <c r="O110" t="e">
        <f ca="1">OFFSET(data_oe_detail!$A$1,$D$89+$B110-1,O$100-1)</f>
        <v>#N/A</v>
      </c>
      <c r="P110" t="e">
        <f ca="1">OFFSET(data_oe_detail!$A$1,$D$89+$B110-1,P$100-1)</f>
        <v>#N/A</v>
      </c>
      <c r="Q110" t="e">
        <f ca="1">OFFSET(data_oe_detail!$A$1,$D$89+$B110-1,Q$100-1)</f>
        <v>#N/A</v>
      </c>
      <c r="R110" t="e">
        <f ca="1">OFFSET(data_oe_detail!$A$1,$D$89+$B110-1,R$100-1)</f>
        <v>#N/A</v>
      </c>
      <c r="S110" t="e">
        <f ca="1">OFFSET(data_oe_detail!$A$1,$D$89+$B110-1,S$100-1)</f>
        <v>#N/A</v>
      </c>
      <c r="T110" t="e">
        <f ca="1">OFFSET(data_oe_detail!$A$1,$D$89+$B110-1,T$100-1)</f>
        <v>#N/A</v>
      </c>
      <c r="U110" t="e">
        <f ca="1">OFFSET(data_oe_detail!$A$1,$D$89+$B110-1,U$100-1)</f>
        <v>#N/A</v>
      </c>
      <c r="V110" t="e">
        <f ca="1">OFFSET(data_oe_detail!$A$1,$D$89+$B110-1,V$100-1)</f>
        <v>#N/A</v>
      </c>
      <c r="W110" t="e">
        <f ca="1">OFFSET(data_oe_detail!$A$1,$D$89+$B110-1,W$100-1)</f>
        <v>#N/A</v>
      </c>
      <c r="X110" t="e">
        <f ca="1">OFFSET(data_oe_detail!$A$1,$D$89+$B110-1,X$100-1)</f>
        <v>#N/A</v>
      </c>
      <c r="Y110" t="e">
        <f ca="1">OFFSET(data_oe_detail!$A$1,$D$89+$B110-1,Y$100-1)</f>
        <v>#N/A</v>
      </c>
      <c r="Z110" t="e">
        <f ca="1">OFFSET(data_oe_detail!$A$1,$D$89+$B110-1,Z$100-1)</f>
        <v>#N/A</v>
      </c>
      <c r="AA110" t="e">
        <f ca="1">OFFSET(data_oe_detail!$A$1,$D$89+$B110-1,AA$100-1)</f>
        <v>#N/A</v>
      </c>
      <c r="AB110" t="e">
        <f ca="1">OFFSET(data_oe_detail!$A$1,$D$89+$B110-1,AB$100-1)</f>
        <v>#N/A</v>
      </c>
      <c r="AC110" t="e">
        <f ca="1">OFFSET(data_oe_detail!$A$1,$D$89+$B110-1,AC$100-1)</f>
        <v>#N/A</v>
      </c>
      <c r="AD110" t="e">
        <f ca="1">OFFSET(data_oe_detail!$A$1,$D$89+$B110-1,AD$100-1)</f>
        <v>#N/A</v>
      </c>
      <c r="AE110" t="e">
        <f ca="1">OFFSET(data_oe_detail!$A$1,$D$89+$B110-1,AE$100-1)</f>
        <v>#N/A</v>
      </c>
      <c r="AF110" t="e">
        <f ca="1">OFFSET(data_oe_detail!$A$1,$D$89+$B110-1,AF$100-1)</f>
        <v>#N/A</v>
      </c>
      <c r="AG110" t="e">
        <f ca="1">OFFSET(data_oe_detail!$A$1,$D$89+$B110-1,AG$100-1)</f>
        <v>#N/A</v>
      </c>
      <c r="AH110" t="e">
        <f ca="1">OFFSET(data_oe_detail!$A$1,$D$89+$B110-1,AH$100-1)</f>
        <v>#N/A</v>
      </c>
      <c r="AI110" t="e">
        <f ca="1">OFFSET(data_oe_detail!$A$1,$D$89+$B110-1,AI$100-1)</f>
        <v>#N/A</v>
      </c>
      <c r="AJ110" t="e">
        <f ca="1">OFFSET(data_oe_detail!$A$1,$D$89+$B110-1,AJ$100-1)</f>
        <v>#N/A</v>
      </c>
      <c r="AK110" t="e">
        <f ca="1">OFFSET(data_oe_detail!$A$1,$D$89+$B110-1,AK$100-1)</f>
        <v>#N/A</v>
      </c>
      <c r="AL110" t="e">
        <f ca="1">OFFSET(data_oe_detail!$A$1,$D$89+$B110-1,AL$100-1)</f>
        <v>#N/A</v>
      </c>
      <c r="AM110" t="e">
        <f ca="1">OFFSET(data_oe_detail!$A$1,$D$89+$B110-1,AM$100-1)</f>
        <v>#N/A</v>
      </c>
      <c r="AN110" t="e">
        <f ca="1">OFFSET(data_oe_detail!$A$1,$D$89+$B110-1,AN$100-1)</f>
        <v>#N/A</v>
      </c>
      <c r="AO110" t="e">
        <f ca="1">OFFSET(data_oe_detail!$A$1,$D$89+$B110-1,AO$100-1)</f>
        <v>#N/A</v>
      </c>
      <c r="AP110" t="e">
        <f ca="1">OFFSET(data_oe_detail!$A$1,$D$89+$B110-1,AP$100-1)</f>
        <v>#N/A</v>
      </c>
      <c r="AQ110" t="e">
        <f ca="1">OFFSET(data_oe_detail!$A$1,$D$89+$B110-1,AQ$100-1)</f>
        <v>#N/A</v>
      </c>
      <c r="AR110" t="e">
        <f ca="1">OFFSET(data_oe_detail!$A$1,$D$89+$B110-1,AR$100-1)</f>
        <v>#N/A</v>
      </c>
      <c r="AS110" t="e">
        <f ca="1">OFFSET(data_oe_detail!$A$1,$D$89+$B110-1,AS$100-1)</f>
        <v>#N/A</v>
      </c>
      <c r="AT110" t="e">
        <f ca="1">OFFSET(data_oe_detail!$A$1,$D$89+$B110-1,AT$100-1)</f>
        <v>#N/A</v>
      </c>
      <c r="AU110" t="e">
        <f ca="1">OFFSET(data_oe_detail!$A$1,$D$89+$B110-1,AU$100-1)</f>
        <v>#N/A</v>
      </c>
      <c r="AV110" t="e">
        <f ca="1">OFFSET(data_oe_detail!$A$1,$D$89+$B110-1,AV$100-1)</f>
        <v>#N/A</v>
      </c>
      <c r="AW110" t="e">
        <f ca="1">OFFSET(data_oe_detail!$A$1,$D$89+$B110-1,AW$100-1)</f>
        <v>#N/A</v>
      </c>
      <c r="AX110" t="e">
        <f ca="1">OFFSET(data_oe_detail!$A$1,$D$89+$B110-1,AX$100-1)</f>
        <v>#N/A</v>
      </c>
      <c r="AY110" t="e">
        <f ca="1">OFFSET(data_oe_detail!$A$1,$D$89+$B110-1,AY$100-1)</f>
        <v>#N/A</v>
      </c>
      <c r="AZ110" t="e">
        <f ca="1">OFFSET(data_oe_detail!$A$1,$D$89+$B110-1,AZ$100-1)</f>
        <v>#N/A</v>
      </c>
      <c r="BA110" t="e">
        <f ca="1">OFFSET(data_oe_detail!$A$1,$D$89+$B110-1,BA$100-1)</f>
        <v>#N/A</v>
      </c>
      <c r="BB110" t="e">
        <f ca="1">OFFSET(data_oe_detail!$A$1,$D$89+$B110-1,BB$100-1)</f>
        <v>#N/A</v>
      </c>
      <c r="BC110" t="e">
        <f ca="1">OFFSET(data_oe_detail!$A$1,$D$89+$B110-1,BC$100-1)</f>
        <v>#N/A</v>
      </c>
      <c r="BD110" t="e">
        <f ca="1">OFFSET(data_oe_detail!$A$1,$D$89+$B110-1,BD$100-1)</f>
        <v>#N/A</v>
      </c>
      <c r="BE110" t="e">
        <f ca="1">OFFSET(data_oe_detail!$A$1,$D$89+$B110-1,BE$100-1)</f>
        <v>#N/A</v>
      </c>
      <c r="BF110" t="e">
        <f ca="1">OFFSET(data_oe_detail!$A$1,$D$89+$B110-1,BF$100-1)</f>
        <v>#N/A</v>
      </c>
      <c r="BG110" t="e">
        <f ca="1">OFFSET(data_oe_detail!$A$1,$D$89+$B110-1,BG$100-1)</f>
        <v>#N/A</v>
      </c>
      <c r="BH110" t="e">
        <f ca="1">OFFSET(data_oe_detail!$A$1,$D$89+$B110-1,BH$100-1)</f>
        <v>#N/A</v>
      </c>
      <c r="BI110" t="e">
        <f ca="1">OFFSET(data_oe_detail!$A$1,$D$89+$B110-1,BI$100-1)</f>
        <v>#N/A</v>
      </c>
      <c r="BJ110" t="e">
        <f ca="1">OFFSET(data_oe_detail!$A$1,$D$89+$B110-1,BJ$100-1)</f>
        <v>#N/A</v>
      </c>
      <c r="BK110" t="e">
        <f ca="1">OFFSET(data_oe_detail!$A$1,$D$89+$B110-1,BK$100-1)</f>
        <v>#N/A</v>
      </c>
      <c r="BL110" t="e">
        <f ca="1">OFFSET(data_oe_detail!$A$1,$D$89+$B110-1,BL$100-1)</f>
        <v>#N/A</v>
      </c>
      <c r="BM110" t="e">
        <f ca="1">OFFSET(data_oe_detail!$A$1,$D$89+$B110-1,BM$100-1)</f>
        <v>#N/A</v>
      </c>
      <c r="BN110" t="e">
        <f ca="1">OFFSET(data_oe_detail!$A$1,$D$89+$B110-1,BN$100-1)</f>
        <v>#N/A</v>
      </c>
      <c r="BO110" t="e">
        <f ca="1">OFFSET(data_oe_detail!$A$1,$D$89+$B110-1,BO$100-1)</f>
        <v>#N/A</v>
      </c>
      <c r="BP110" t="e">
        <f ca="1">OFFSET(data_oe_detail!$A$1,$D$89+$B110-1,BP$100-1)</f>
        <v>#N/A</v>
      </c>
      <c r="BQ110" t="e">
        <f ca="1">OFFSET(data_oe_detail!$A$1,$D$89+$B110-1,BQ$100-1)</f>
        <v>#N/A</v>
      </c>
      <c r="BR110" t="e">
        <f ca="1">OFFSET(data_oe_detail!$A$1,$D$89+$B110-1,BR$100-1)</f>
        <v>#N/A</v>
      </c>
      <c r="BS110" t="e">
        <f ca="1">OFFSET(data_oe_detail!$A$1,$D$89+$B110-1,BS$100-1)</f>
        <v>#N/A</v>
      </c>
      <c r="BT110" t="e">
        <f ca="1">OFFSET(data_oe_detail!$A$1,$D$89+$B110-1,BT$100-1)</f>
        <v>#N/A</v>
      </c>
      <c r="BU110" t="e">
        <f ca="1">OFFSET(data_oe_detail!$A$1,$D$89+$B110-1,BU$100-1)</f>
        <v>#N/A</v>
      </c>
      <c r="BV110" t="e">
        <f ca="1">OFFSET(data_oe_detail!$A$1,$D$89+$B110-1,BV$100-1)</f>
        <v>#N/A</v>
      </c>
      <c r="BW110" t="e">
        <f ca="1">OFFSET(data_oe_detail!$A$1,$D$89+$B110-1,BW$100-1)</f>
        <v>#N/A</v>
      </c>
      <c r="BX110" t="e">
        <f ca="1">OFFSET(data_oe_detail!$A$1,$D$89+$B110-1,BX$100-1)</f>
        <v>#N/A</v>
      </c>
      <c r="BY110" t="e">
        <f ca="1">OFFSET(data_oe_detail!$A$1,$D$89+$B110-1,BY$100-1)</f>
        <v>#N/A</v>
      </c>
      <c r="BZ110" t="e">
        <f ca="1">OFFSET(data_oe_detail!$A$1,$D$89+$B110-1,BZ$100-1)</f>
        <v>#N/A</v>
      </c>
      <c r="CA110" t="e">
        <f ca="1">OFFSET(data_oe_detail!$A$1,$D$89+$B110-1,CA$100-1)</f>
        <v>#N/A</v>
      </c>
      <c r="CB110" t="e">
        <f ca="1">OFFSET(data_oe_detail!$A$1,$D$89+$B110-1,CB$100-1)</f>
        <v>#N/A</v>
      </c>
      <c r="CC110" t="e">
        <f ca="1">OFFSET(data_oe_detail!$A$1,$D$89+$B110-1,CC$100-1)</f>
        <v>#N/A</v>
      </c>
      <c r="CD110" t="e">
        <f ca="1">OFFSET(data_oe_detail!$A$1,$D$89+$B110-1,CD$100-1)</f>
        <v>#N/A</v>
      </c>
      <c r="CE110" t="e">
        <f ca="1">OFFSET(data_oe_detail!$A$1,$D$89+$B110-1,CE$100-1)</f>
        <v>#N/A</v>
      </c>
      <c r="CF110" t="e">
        <f ca="1">OFFSET(data_oe_detail!$A$1,$D$89+$B110-1,CF$100-1)</f>
        <v>#N/A</v>
      </c>
      <c r="CG110" t="e">
        <f ca="1">OFFSET(data_oe_detail!$A$1,$D$89+$B110-1,CG$100-1)</f>
        <v>#N/A</v>
      </c>
      <c r="CH110" t="e">
        <f ca="1">OFFSET(data_oe_detail!$A$1,$D$89+$B110-1,CH$100-1)</f>
        <v>#N/A</v>
      </c>
      <c r="CI110" t="e">
        <f ca="1">OFFSET(data_oe_detail!$A$1,$D$89+$B110-1,CI$100-1)</f>
        <v>#N/A</v>
      </c>
      <c r="CJ110" t="e">
        <f ca="1">OFFSET(data_oe_detail!$A$1,$D$89+$B110-1,CJ$100-1)</f>
        <v>#N/A</v>
      </c>
      <c r="CK110" t="e">
        <f ca="1">OFFSET(data_oe_detail!$A$1,$D$89+$B110-1,CK$100-1)</f>
        <v>#N/A</v>
      </c>
      <c r="CL110" t="e">
        <f ca="1">OFFSET(data_oe_detail!$A$1,$D$89+$B110-1,CL$100-1)</f>
        <v>#N/A</v>
      </c>
      <c r="CM110" t="e">
        <f ca="1">OFFSET(data_oe_detail!$A$1,$D$89+$B110-1,CM$100-1)</f>
        <v>#N/A</v>
      </c>
      <c r="CN110" t="e">
        <f ca="1">OFFSET(data_oe_detail!$A$1,$D$89+$B110-1,CN$100-1)</f>
        <v>#N/A</v>
      </c>
      <c r="CO110" t="e">
        <f ca="1">OFFSET(data_oe_detail!$A$1,$D$89+$B110-1,CO$100-1)</f>
        <v>#N/A</v>
      </c>
      <c r="CP110" t="e">
        <f ca="1">OFFSET(data_oe_detail!$A$1,$D$89+$B110-1,CP$100-1)</f>
        <v>#N/A</v>
      </c>
      <c r="CQ110" t="e">
        <f ca="1">OFFSET(data_oe_detail!$A$1,$D$89+$B110-1,CQ$100-1)</f>
        <v>#N/A</v>
      </c>
      <c r="CR110" t="e">
        <f ca="1">OFFSET(data_oe_detail!$A$1,$D$89+$B110-1,CR$100-1)</f>
        <v>#N/A</v>
      </c>
      <c r="CS110" t="e">
        <f ca="1">OFFSET(data_oe_detail!$A$1,$D$89+$B110-1,CS$100-1)</f>
        <v>#N/A</v>
      </c>
      <c r="CT110" t="e">
        <f ca="1">OFFSET(data_oe_detail!$A$1,$D$89+$B110-1,CT$100-1)</f>
        <v>#N/A</v>
      </c>
      <c r="CU110" t="e">
        <f ca="1">OFFSET(data_oe_detail!$A$1,$D$89+$B110-1,CU$100-1)</f>
        <v>#N/A</v>
      </c>
      <c r="CV110" t="e">
        <f ca="1">OFFSET(data_oe_detail!$A$1,$D$89+$B110-1,CV$100-1)</f>
        <v>#N/A</v>
      </c>
      <c r="CW110" t="e">
        <f ca="1">OFFSET(data_oe_detail!$A$1,$D$89+$B110-1,CW$100-1)</f>
        <v>#N/A</v>
      </c>
      <c r="CX110" t="e">
        <f ca="1">OFFSET(data_oe_detail!$A$1,$D$89+$B110-1,CX$100-1)</f>
        <v>#N/A</v>
      </c>
      <c r="CY110" t="e">
        <f ca="1">OFFSET(data_oe_detail!$A$1,$D$89+$B110-1,CY$100-1)</f>
        <v>#N/A</v>
      </c>
      <c r="CZ110" t="e">
        <f ca="1">OFFSET(data_oe_detail!$A$1,$D$89+$B110-1,CZ$100-1)</f>
        <v>#N/A</v>
      </c>
      <c r="DA110" t="e">
        <f ca="1">OFFSET(data_oe_detail!$A$1,$D$89+$B110-1,DA$100-1)</f>
        <v>#N/A</v>
      </c>
      <c r="DB110" t="e">
        <f ca="1">OFFSET(data_oe_detail!$A$1,$D$89+$B110-1,DB$100-1)</f>
        <v>#N/A</v>
      </c>
      <c r="DC110" t="e">
        <f ca="1">OFFSET(data_oe_detail!$A$1,$D$89+$B110-1,DC$100-1)</f>
        <v>#N/A</v>
      </c>
      <c r="DD110" t="e">
        <f ca="1">OFFSET(data_oe_detail!$A$1,$D$89+$B110-1,DD$100-1)</f>
        <v>#N/A</v>
      </c>
      <c r="DE110" t="e">
        <f ca="1">OFFSET(data_oe_detail!$A$1,$D$89+$B110-1,DE$100-1)</f>
        <v>#N/A</v>
      </c>
      <c r="DF110" t="e">
        <f ca="1">OFFSET(data_oe_detail!$A$1,$D$89+$B110-1,DF$100-1)</f>
        <v>#N/A</v>
      </c>
      <c r="DG110" t="e">
        <f ca="1">OFFSET(data_oe_detail!$A$1,$D$89+$B110-1,DG$100-1)</f>
        <v>#N/A</v>
      </c>
      <c r="DH110" t="e">
        <f ca="1">OFFSET(data_oe_detail!$A$1,$D$89+$B110-1,DH$100-1)</f>
        <v>#N/A</v>
      </c>
    </row>
    <row r="111" spans="2:112" hidden="1" outlineLevel="1" x14ac:dyDescent="0.35">
      <c r="B111" s="128">
        <v>10</v>
      </c>
      <c r="C111" t="e">
        <f ca="1">OFFSET(data_oe_detail!$A$1,$D$89+$B111-1,C$100-1)</f>
        <v>#N/A</v>
      </c>
      <c r="D111" t="e">
        <f ca="1">OFFSET(data_oe_detail!$A$1,$D$89+$B111-1,D$100-1)</f>
        <v>#N/A</v>
      </c>
      <c r="E111" t="e">
        <f ca="1">OFFSET(data_oe_detail!$A$1,$D$89+$B111-1,E$100-1)</f>
        <v>#N/A</v>
      </c>
      <c r="F111" t="e">
        <f ca="1">OFFSET(data_oe_detail!$A$1,$D$89+$B111-1,F$100-1)</f>
        <v>#N/A</v>
      </c>
      <c r="G111" t="e">
        <f ca="1">OFFSET(data_oe_detail!$A$1,$D$89+$B111-1,G$100-1)</f>
        <v>#N/A</v>
      </c>
      <c r="H111" t="e">
        <f ca="1">OFFSET(data_oe_detail!$A$1,$D$89+$B111-1,H$100-1)</f>
        <v>#N/A</v>
      </c>
      <c r="I111" t="e">
        <f ca="1">OFFSET(data_oe_detail!$A$1,$D$89+$B111-1,I$100-1)</f>
        <v>#N/A</v>
      </c>
      <c r="J111" t="e">
        <f ca="1">OFFSET(data_oe_detail!$A$1,$D$89+$B111-1,J$100-1)</f>
        <v>#N/A</v>
      </c>
      <c r="K111" t="e">
        <f ca="1">OFFSET(data_oe_detail!$A$1,$D$89+$B111-1,K$100-1)</f>
        <v>#N/A</v>
      </c>
      <c r="L111" t="e">
        <f ca="1">OFFSET(data_oe_detail!$A$1,$D$89+$B111-1,L$100-1)</f>
        <v>#N/A</v>
      </c>
      <c r="M111" t="e">
        <f ca="1">OFFSET(data_oe_detail!$A$1,$D$89+$B111-1,M$100-1)</f>
        <v>#N/A</v>
      </c>
      <c r="N111" t="e">
        <f ca="1">OFFSET(data_oe_detail!$A$1,$D$89+$B111-1,N$100-1)</f>
        <v>#N/A</v>
      </c>
      <c r="O111" t="e">
        <f ca="1">OFFSET(data_oe_detail!$A$1,$D$89+$B111-1,O$100-1)</f>
        <v>#N/A</v>
      </c>
      <c r="P111" t="e">
        <f ca="1">OFFSET(data_oe_detail!$A$1,$D$89+$B111-1,P$100-1)</f>
        <v>#N/A</v>
      </c>
      <c r="Q111" t="e">
        <f ca="1">OFFSET(data_oe_detail!$A$1,$D$89+$B111-1,Q$100-1)</f>
        <v>#N/A</v>
      </c>
      <c r="R111" t="e">
        <f ca="1">OFFSET(data_oe_detail!$A$1,$D$89+$B111-1,R$100-1)</f>
        <v>#N/A</v>
      </c>
      <c r="S111" t="e">
        <f ca="1">OFFSET(data_oe_detail!$A$1,$D$89+$B111-1,S$100-1)</f>
        <v>#N/A</v>
      </c>
      <c r="T111" t="e">
        <f ca="1">OFFSET(data_oe_detail!$A$1,$D$89+$B111-1,T$100-1)</f>
        <v>#N/A</v>
      </c>
      <c r="U111" t="e">
        <f ca="1">OFFSET(data_oe_detail!$A$1,$D$89+$B111-1,U$100-1)</f>
        <v>#N/A</v>
      </c>
      <c r="V111" t="e">
        <f ca="1">OFFSET(data_oe_detail!$A$1,$D$89+$B111-1,V$100-1)</f>
        <v>#N/A</v>
      </c>
      <c r="W111" t="e">
        <f ca="1">OFFSET(data_oe_detail!$A$1,$D$89+$B111-1,W$100-1)</f>
        <v>#N/A</v>
      </c>
      <c r="X111" t="e">
        <f ca="1">OFFSET(data_oe_detail!$A$1,$D$89+$B111-1,X$100-1)</f>
        <v>#N/A</v>
      </c>
      <c r="Y111" t="e">
        <f ca="1">OFFSET(data_oe_detail!$A$1,$D$89+$B111-1,Y$100-1)</f>
        <v>#N/A</v>
      </c>
      <c r="Z111" t="e">
        <f ca="1">OFFSET(data_oe_detail!$A$1,$D$89+$B111-1,Z$100-1)</f>
        <v>#N/A</v>
      </c>
      <c r="AA111" t="e">
        <f ca="1">OFFSET(data_oe_detail!$A$1,$D$89+$B111-1,AA$100-1)</f>
        <v>#N/A</v>
      </c>
      <c r="AB111" t="e">
        <f ca="1">OFFSET(data_oe_detail!$A$1,$D$89+$B111-1,AB$100-1)</f>
        <v>#N/A</v>
      </c>
      <c r="AC111" t="e">
        <f ca="1">OFFSET(data_oe_detail!$A$1,$D$89+$B111-1,AC$100-1)</f>
        <v>#N/A</v>
      </c>
      <c r="AD111" t="e">
        <f ca="1">OFFSET(data_oe_detail!$A$1,$D$89+$B111-1,AD$100-1)</f>
        <v>#N/A</v>
      </c>
      <c r="AE111" t="e">
        <f ca="1">OFFSET(data_oe_detail!$A$1,$D$89+$B111-1,AE$100-1)</f>
        <v>#N/A</v>
      </c>
      <c r="AF111" t="e">
        <f ca="1">OFFSET(data_oe_detail!$A$1,$D$89+$B111-1,AF$100-1)</f>
        <v>#N/A</v>
      </c>
      <c r="AG111" t="e">
        <f ca="1">OFFSET(data_oe_detail!$A$1,$D$89+$B111-1,AG$100-1)</f>
        <v>#N/A</v>
      </c>
      <c r="AH111" t="e">
        <f ca="1">OFFSET(data_oe_detail!$A$1,$D$89+$B111-1,AH$100-1)</f>
        <v>#N/A</v>
      </c>
      <c r="AI111" t="e">
        <f ca="1">OFFSET(data_oe_detail!$A$1,$D$89+$B111-1,AI$100-1)</f>
        <v>#N/A</v>
      </c>
      <c r="AJ111" t="e">
        <f ca="1">OFFSET(data_oe_detail!$A$1,$D$89+$B111-1,AJ$100-1)</f>
        <v>#N/A</v>
      </c>
      <c r="AK111" t="e">
        <f ca="1">OFFSET(data_oe_detail!$A$1,$D$89+$B111-1,AK$100-1)</f>
        <v>#N/A</v>
      </c>
      <c r="AL111" t="e">
        <f ca="1">OFFSET(data_oe_detail!$A$1,$D$89+$B111-1,AL$100-1)</f>
        <v>#N/A</v>
      </c>
      <c r="AM111" t="e">
        <f ca="1">OFFSET(data_oe_detail!$A$1,$D$89+$B111-1,AM$100-1)</f>
        <v>#N/A</v>
      </c>
      <c r="AN111" t="e">
        <f ca="1">OFFSET(data_oe_detail!$A$1,$D$89+$B111-1,AN$100-1)</f>
        <v>#N/A</v>
      </c>
      <c r="AO111" t="e">
        <f ca="1">OFFSET(data_oe_detail!$A$1,$D$89+$B111-1,AO$100-1)</f>
        <v>#N/A</v>
      </c>
      <c r="AP111" t="e">
        <f ca="1">OFFSET(data_oe_detail!$A$1,$D$89+$B111-1,AP$100-1)</f>
        <v>#N/A</v>
      </c>
      <c r="AQ111" t="e">
        <f ca="1">OFFSET(data_oe_detail!$A$1,$D$89+$B111-1,AQ$100-1)</f>
        <v>#N/A</v>
      </c>
      <c r="AR111" t="e">
        <f ca="1">OFFSET(data_oe_detail!$A$1,$D$89+$B111-1,AR$100-1)</f>
        <v>#N/A</v>
      </c>
      <c r="AS111" t="e">
        <f ca="1">OFFSET(data_oe_detail!$A$1,$D$89+$B111-1,AS$100-1)</f>
        <v>#N/A</v>
      </c>
      <c r="AT111" t="e">
        <f ca="1">OFFSET(data_oe_detail!$A$1,$D$89+$B111-1,AT$100-1)</f>
        <v>#N/A</v>
      </c>
      <c r="AU111" t="e">
        <f ca="1">OFFSET(data_oe_detail!$A$1,$D$89+$B111-1,AU$100-1)</f>
        <v>#N/A</v>
      </c>
      <c r="AV111" t="e">
        <f ca="1">OFFSET(data_oe_detail!$A$1,$D$89+$B111-1,AV$100-1)</f>
        <v>#N/A</v>
      </c>
      <c r="AW111" t="e">
        <f ca="1">OFFSET(data_oe_detail!$A$1,$D$89+$B111-1,AW$100-1)</f>
        <v>#N/A</v>
      </c>
      <c r="AX111" t="e">
        <f ca="1">OFFSET(data_oe_detail!$A$1,$D$89+$B111-1,AX$100-1)</f>
        <v>#N/A</v>
      </c>
      <c r="AY111" t="e">
        <f ca="1">OFFSET(data_oe_detail!$A$1,$D$89+$B111-1,AY$100-1)</f>
        <v>#N/A</v>
      </c>
      <c r="AZ111" t="e">
        <f ca="1">OFFSET(data_oe_detail!$A$1,$D$89+$B111-1,AZ$100-1)</f>
        <v>#N/A</v>
      </c>
      <c r="BA111" t="e">
        <f ca="1">OFFSET(data_oe_detail!$A$1,$D$89+$B111-1,BA$100-1)</f>
        <v>#N/A</v>
      </c>
      <c r="BB111" t="e">
        <f ca="1">OFFSET(data_oe_detail!$A$1,$D$89+$B111-1,BB$100-1)</f>
        <v>#N/A</v>
      </c>
      <c r="BC111" t="e">
        <f ca="1">OFFSET(data_oe_detail!$A$1,$D$89+$B111-1,BC$100-1)</f>
        <v>#N/A</v>
      </c>
      <c r="BD111" t="e">
        <f ca="1">OFFSET(data_oe_detail!$A$1,$D$89+$B111-1,BD$100-1)</f>
        <v>#N/A</v>
      </c>
      <c r="BE111" t="e">
        <f ca="1">OFFSET(data_oe_detail!$A$1,$D$89+$B111-1,BE$100-1)</f>
        <v>#N/A</v>
      </c>
      <c r="BF111" t="e">
        <f ca="1">OFFSET(data_oe_detail!$A$1,$D$89+$B111-1,BF$100-1)</f>
        <v>#N/A</v>
      </c>
      <c r="BG111" t="e">
        <f ca="1">OFFSET(data_oe_detail!$A$1,$D$89+$B111-1,BG$100-1)</f>
        <v>#N/A</v>
      </c>
      <c r="BH111" t="e">
        <f ca="1">OFFSET(data_oe_detail!$A$1,$D$89+$B111-1,BH$100-1)</f>
        <v>#N/A</v>
      </c>
      <c r="BI111" t="e">
        <f ca="1">OFFSET(data_oe_detail!$A$1,$D$89+$B111-1,BI$100-1)</f>
        <v>#N/A</v>
      </c>
      <c r="BJ111" t="e">
        <f ca="1">OFFSET(data_oe_detail!$A$1,$D$89+$B111-1,BJ$100-1)</f>
        <v>#N/A</v>
      </c>
      <c r="BK111" t="e">
        <f ca="1">OFFSET(data_oe_detail!$A$1,$D$89+$B111-1,BK$100-1)</f>
        <v>#N/A</v>
      </c>
      <c r="BL111" t="e">
        <f ca="1">OFFSET(data_oe_detail!$A$1,$D$89+$B111-1,BL$100-1)</f>
        <v>#N/A</v>
      </c>
      <c r="BM111" t="e">
        <f ca="1">OFFSET(data_oe_detail!$A$1,$D$89+$B111-1,BM$100-1)</f>
        <v>#N/A</v>
      </c>
      <c r="BN111" t="e">
        <f ca="1">OFFSET(data_oe_detail!$A$1,$D$89+$B111-1,BN$100-1)</f>
        <v>#N/A</v>
      </c>
      <c r="BO111" t="e">
        <f ca="1">OFFSET(data_oe_detail!$A$1,$D$89+$B111-1,BO$100-1)</f>
        <v>#N/A</v>
      </c>
      <c r="BP111" t="e">
        <f ca="1">OFFSET(data_oe_detail!$A$1,$D$89+$B111-1,BP$100-1)</f>
        <v>#N/A</v>
      </c>
      <c r="BQ111" t="e">
        <f ca="1">OFFSET(data_oe_detail!$A$1,$D$89+$B111-1,BQ$100-1)</f>
        <v>#N/A</v>
      </c>
      <c r="BR111" t="e">
        <f ca="1">OFFSET(data_oe_detail!$A$1,$D$89+$B111-1,BR$100-1)</f>
        <v>#N/A</v>
      </c>
      <c r="BS111" t="e">
        <f ca="1">OFFSET(data_oe_detail!$A$1,$D$89+$B111-1,BS$100-1)</f>
        <v>#N/A</v>
      </c>
      <c r="BT111" t="e">
        <f ca="1">OFFSET(data_oe_detail!$A$1,$D$89+$B111-1,BT$100-1)</f>
        <v>#N/A</v>
      </c>
      <c r="BU111" t="e">
        <f ca="1">OFFSET(data_oe_detail!$A$1,$D$89+$B111-1,BU$100-1)</f>
        <v>#N/A</v>
      </c>
      <c r="BV111" t="e">
        <f ca="1">OFFSET(data_oe_detail!$A$1,$D$89+$B111-1,BV$100-1)</f>
        <v>#N/A</v>
      </c>
      <c r="BW111" t="e">
        <f ca="1">OFFSET(data_oe_detail!$A$1,$D$89+$B111-1,BW$100-1)</f>
        <v>#N/A</v>
      </c>
      <c r="BX111" t="e">
        <f ca="1">OFFSET(data_oe_detail!$A$1,$D$89+$B111-1,BX$100-1)</f>
        <v>#N/A</v>
      </c>
      <c r="BY111" t="e">
        <f ca="1">OFFSET(data_oe_detail!$A$1,$D$89+$B111-1,BY$100-1)</f>
        <v>#N/A</v>
      </c>
      <c r="BZ111" t="e">
        <f ca="1">OFFSET(data_oe_detail!$A$1,$D$89+$B111-1,BZ$100-1)</f>
        <v>#N/A</v>
      </c>
      <c r="CA111" t="e">
        <f ca="1">OFFSET(data_oe_detail!$A$1,$D$89+$B111-1,CA$100-1)</f>
        <v>#N/A</v>
      </c>
      <c r="CB111" t="e">
        <f ca="1">OFFSET(data_oe_detail!$A$1,$D$89+$B111-1,CB$100-1)</f>
        <v>#N/A</v>
      </c>
      <c r="CC111" t="e">
        <f ca="1">OFFSET(data_oe_detail!$A$1,$D$89+$B111-1,CC$100-1)</f>
        <v>#N/A</v>
      </c>
      <c r="CD111" t="e">
        <f ca="1">OFFSET(data_oe_detail!$A$1,$D$89+$B111-1,CD$100-1)</f>
        <v>#N/A</v>
      </c>
      <c r="CE111" t="e">
        <f ca="1">OFFSET(data_oe_detail!$A$1,$D$89+$B111-1,CE$100-1)</f>
        <v>#N/A</v>
      </c>
      <c r="CF111" t="e">
        <f ca="1">OFFSET(data_oe_detail!$A$1,$D$89+$B111-1,CF$100-1)</f>
        <v>#N/A</v>
      </c>
      <c r="CG111" t="e">
        <f ca="1">OFFSET(data_oe_detail!$A$1,$D$89+$B111-1,CG$100-1)</f>
        <v>#N/A</v>
      </c>
      <c r="CH111" t="e">
        <f ca="1">OFFSET(data_oe_detail!$A$1,$D$89+$B111-1,CH$100-1)</f>
        <v>#N/A</v>
      </c>
      <c r="CI111" t="e">
        <f ca="1">OFFSET(data_oe_detail!$A$1,$D$89+$B111-1,CI$100-1)</f>
        <v>#N/A</v>
      </c>
      <c r="CJ111" t="e">
        <f ca="1">OFFSET(data_oe_detail!$A$1,$D$89+$B111-1,CJ$100-1)</f>
        <v>#N/A</v>
      </c>
      <c r="CK111" t="e">
        <f ca="1">OFFSET(data_oe_detail!$A$1,$D$89+$B111-1,CK$100-1)</f>
        <v>#N/A</v>
      </c>
      <c r="CL111" t="e">
        <f ca="1">OFFSET(data_oe_detail!$A$1,$D$89+$B111-1,CL$100-1)</f>
        <v>#N/A</v>
      </c>
      <c r="CM111" t="e">
        <f ca="1">OFFSET(data_oe_detail!$A$1,$D$89+$B111-1,CM$100-1)</f>
        <v>#N/A</v>
      </c>
      <c r="CN111" t="e">
        <f ca="1">OFFSET(data_oe_detail!$A$1,$D$89+$B111-1,CN$100-1)</f>
        <v>#N/A</v>
      </c>
      <c r="CO111" t="e">
        <f ca="1">OFFSET(data_oe_detail!$A$1,$D$89+$B111-1,CO$100-1)</f>
        <v>#N/A</v>
      </c>
      <c r="CP111" t="e">
        <f ca="1">OFFSET(data_oe_detail!$A$1,$D$89+$B111-1,CP$100-1)</f>
        <v>#N/A</v>
      </c>
      <c r="CQ111" t="e">
        <f ca="1">OFFSET(data_oe_detail!$A$1,$D$89+$B111-1,CQ$100-1)</f>
        <v>#N/A</v>
      </c>
      <c r="CR111" t="e">
        <f ca="1">OFFSET(data_oe_detail!$A$1,$D$89+$B111-1,CR$100-1)</f>
        <v>#N/A</v>
      </c>
      <c r="CS111" t="e">
        <f ca="1">OFFSET(data_oe_detail!$A$1,$D$89+$B111-1,CS$100-1)</f>
        <v>#N/A</v>
      </c>
      <c r="CT111" t="e">
        <f ca="1">OFFSET(data_oe_detail!$A$1,$D$89+$B111-1,CT$100-1)</f>
        <v>#N/A</v>
      </c>
      <c r="CU111" t="e">
        <f ca="1">OFFSET(data_oe_detail!$A$1,$D$89+$B111-1,CU$100-1)</f>
        <v>#N/A</v>
      </c>
      <c r="CV111" t="e">
        <f ca="1">OFFSET(data_oe_detail!$A$1,$D$89+$B111-1,CV$100-1)</f>
        <v>#N/A</v>
      </c>
      <c r="CW111" t="e">
        <f ca="1">OFFSET(data_oe_detail!$A$1,$D$89+$B111-1,CW$100-1)</f>
        <v>#N/A</v>
      </c>
      <c r="CX111" t="e">
        <f ca="1">OFFSET(data_oe_detail!$A$1,$D$89+$B111-1,CX$100-1)</f>
        <v>#N/A</v>
      </c>
      <c r="CY111" t="e">
        <f ca="1">OFFSET(data_oe_detail!$A$1,$D$89+$B111-1,CY$100-1)</f>
        <v>#N/A</v>
      </c>
      <c r="CZ111" t="e">
        <f ca="1">OFFSET(data_oe_detail!$A$1,$D$89+$B111-1,CZ$100-1)</f>
        <v>#N/A</v>
      </c>
      <c r="DA111" t="e">
        <f ca="1">OFFSET(data_oe_detail!$A$1,$D$89+$B111-1,DA$100-1)</f>
        <v>#N/A</v>
      </c>
      <c r="DB111" t="e">
        <f ca="1">OFFSET(data_oe_detail!$A$1,$D$89+$B111-1,DB$100-1)</f>
        <v>#N/A</v>
      </c>
      <c r="DC111" t="e">
        <f ca="1">OFFSET(data_oe_detail!$A$1,$D$89+$B111-1,DC$100-1)</f>
        <v>#N/A</v>
      </c>
      <c r="DD111" t="e">
        <f ca="1">OFFSET(data_oe_detail!$A$1,$D$89+$B111-1,DD$100-1)</f>
        <v>#N/A</v>
      </c>
      <c r="DE111" t="e">
        <f ca="1">OFFSET(data_oe_detail!$A$1,$D$89+$B111-1,DE$100-1)</f>
        <v>#N/A</v>
      </c>
      <c r="DF111" t="e">
        <f ca="1">OFFSET(data_oe_detail!$A$1,$D$89+$B111-1,DF$100-1)</f>
        <v>#N/A</v>
      </c>
      <c r="DG111" t="e">
        <f ca="1">OFFSET(data_oe_detail!$A$1,$D$89+$B111-1,DG$100-1)</f>
        <v>#N/A</v>
      </c>
      <c r="DH111" t="e">
        <f ca="1">OFFSET(data_oe_detail!$A$1,$D$89+$B111-1,DH$100-1)</f>
        <v>#N/A</v>
      </c>
    </row>
    <row r="112" spans="2:112" hidden="1" outlineLevel="1" x14ac:dyDescent="0.35">
      <c r="B112" s="128">
        <v>11</v>
      </c>
      <c r="C112" t="e">
        <f ca="1">OFFSET(data_oe_detail!$A$1,$D$89+$B112-1,C$100-1)</f>
        <v>#N/A</v>
      </c>
      <c r="D112" t="e">
        <f ca="1">OFFSET(data_oe_detail!$A$1,$D$89+$B112-1,D$100-1)</f>
        <v>#N/A</v>
      </c>
      <c r="E112" t="e">
        <f ca="1">OFFSET(data_oe_detail!$A$1,$D$89+$B112-1,E$100-1)</f>
        <v>#N/A</v>
      </c>
      <c r="F112" t="e">
        <f ca="1">OFFSET(data_oe_detail!$A$1,$D$89+$B112-1,F$100-1)</f>
        <v>#N/A</v>
      </c>
      <c r="G112" t="e">
        <f ca="1">OFFSET(data_oe_detail!$A$1,$D$89+$B112-1,G$100-1)</f>
        <v>#N/A</v>
      </c>
      <c r="H112" t="e">
        <f ca="1">OFFSET(data_oe_detail!$A$1,$D$89+$B112-1,H$100-1)</f>
        <v>#N/A</v>
      </c>
      <c r="I112" t="e">
        <f ca="1">OFFSET(data_oe_detail!$A$1,$D$89+$B112-1,I$100-1)</f>
        <v>#N/A</v>
      </c>
      <c r="J112" t="e">
        <f ca="1">OFFSET(data_oe_detail!$A$1,$D$89+$B112-1,J$100-1)</f>
        <v>#N/A</v>
      </c>
      <c r="K112" t="e">
        <f ca="1">OFFSET(data_oe_detail!$A$1,$D$89+$B112-1,K$100-1)</f>
        <v>#N/A</v>
      </c>
      <c r="L112" t="e">
        <f ca="1">OFFSET(data_oe_detail!$A$1,$D$89+$B112-1,L$100-1)</f>
        <v>#N/A</v>
      </c>
      <c r="M112" t="e">
        <f ca="1">OFFSET(data_oe_detail!$A$1,$D$89+$B112-1,M$100-1)</f>
        <v>#N/A</v>
      </c>
      <c r="N112" t="e">
        <f ca="1">OFFSET(data_oe_detail!$A$1,$D$89+$B112-1,N$100-1)</f>
        <v>#N/A</v>
      </c>
      <c r="O112" t="e">
        <f ca="1">OFFSET(data_oe_detail!$A$1,$D$89+$B112-1,O$100-1)</f>
        <v>#N/A</v>
      </c>
      <c r="P112" t="e">
        <f ca="1">OFFSET(data_oe_detail!$A$1,$D$89+$B112-1,P$100-1)</f>
        <v>#N/A</v>
      </c>
      <c r="Q112" t="e">
        <f ca="1">OFFSET(data_oe_detail!$A$1,$D$89+$B112-1,Q$100-1)</f>
        <v>#N/A</v>
      </c>
      <c r="R112" t="e">
        <f ca="1">OFFSET(data_oe_detail!$A$1,$D$89+$B112-1,R$100-1)</f>
        <v>#N/A</v>
      </c>
      <c r="S112" t="e">
        <f ca="1">OFFSET(data_oe_detail!$A$1,$D$89+$B112-1,S$100-1)</f>
        <v>#N/A</v>
      </c>
      <c r="T112" t="e">
        <f ca="1">OFFSET(data_oe_detail!$A$1,$D$89+$B112-1,T$100-1)</f>
        <v>#N/A</v>
      </c>
      <c r="U112" t="e">
        <f ca="1">OFFSET(data_oe_detail!$A$1,$D$89+$B112-1,U$100-1)</f>
        <v>#N/A</v>
      </c>
      <c r="V112" t="e">
        <f ca="1">OFFSET(data_oe_detail!$A$1,$D$89+$B112-1,V$100-1)</f>
        <v>#N/A</v>
      </c>
      <c r="W112" t="e">
        <f ca="1">OFFSET(data_oe_detail!$A$1,$D$89+$B112-1,W$100-1)</f>
        <v>#N/A</v>
      </c>
      <c r="X112" t="e">
        <f ca="1">OFFSET(data_oe_detail!$A$1,$D$89+$B112-1,X$100-1)</f>
        <v>#N/A</v>
      </c>
      <c r="Y112" t="e">
        <f ca="1">OFFSET(data_oe_detail!$A$1,$D$89+$B112-1,Y$100-1)</f>
        <v>#N/A</v>
      </c>
      <c r="Z112" t="e">
        <f ca="1">OFFSET(data_oe_detail!$A$1,$D$89+$B112-1,Z$100-1)</f>
        <v>#N/A</v>
      </c>
      <c r="AA112" t="e">
        <f ca="1">OFFSET(data_oe_detail!$A$1,$D$89+$B112-1,AA$100-1)</f>
        <v>#N/A</v>
      </c>
      <c r="AB112" t="e">
        <f ca="1">OFFSET(data_oe_detail!$A$1,$D$89+$B112-1,AB$100-1)</f>
        <v>#N/A</v>
      </c>
      <c r="AC112" t="e">
        <f ca="1">OFFSET(data_oe_detail!$A$1,$D$89+$B112-1,AC$100-1)</f>
        <v>#N/A</v>
      </c>
      <c r="AD112" t="e">
        <f ca="1">OFFSET(data_oe_detail!$A$1,$D$89+$B112-1,AD$100-1)</f>
        <v>#N/A</v>
      </c>
      <c r="AE112" t="e">
        <f ca="1">OFFSET(data_oe_detail!$A$1,$D$89+$B112-1,AE$100-1)</f>
        <v>#N/A</v>
      </c>
      <c r="AF112" t="e">
        <f ca="1">OFFSET(data_oe_detail!$A$1,$D$89+$B112-1,AF$100-1)</f>
        <v>#N/A</v>
      </c>
      <c r="AG112" t="e">
        <f ca="1">OFFSET(data_oe_detail!$A$1,$D$89+$B112-1,AG$100-1)</f>
        <v>#N/A</v>
      </c>
      <c r="AH112" t="e">
        <f ca="1">OFFSET(data_oe_detail!$A$1,$D$89+$B112-1,AH$100-1)</f>
        <v>#N/A</v>
      </c>
      <c r="AI112" t="e">
        <f ca="1">OFFSET(data_oe_detail!$A$1,$D$89+$B112-1,AI$100-1)</f>
        <v>#N/A</v>
      </c>
      <c r="AJ112" t="e">
        <f ca="1">OFFSET(data_oe_detail!$A$1,$D$89+$B112-1,AJ$100-1)</f>
        <v>#N/A</v>
      </c>
      <c r="AK112" t="e">
        <f ca="1">OFFSET(data_oe_detail!$A$1,$D$89+$B112-1,AK$100-1)</f>
        <v>#N/A</v>
      </c>
      <c r="AL112" t="e">
        <f ca="1">OFFSET(data_oe_detail!$A$1,$D$89+$B112-1,AL$100-1)</f>
        <v>#N/A</v>
      </c>
      <c r="AM112" t="e">
        <f ca="1">OFFSET(data_oe_detail!$A$1,$D$89+$B112-1,AM$100-1)</f>
        <v>#N/A</v>
      </c>
      <c r="AN112" t="e">
        <f ca="1">OFFSET(data_oe_detail!$A$1,$D$89+$B112-1,AN$100-1)</f>
        <v>#N/A</v>
      </c>
      <c r="AO112" t="e">
        <f ca="1">OFFSET(data_oe_detail!$A$1,$D$89+$B112-1,AO$100-1)</f>
        <v>#N/A</v>
      </c>
      <c r="AP112" t="e">
        <f ca="1">OFFSET(data_oe_detail!$A$1,$D$89+$B112-1,AP$100-1)</f>
        <v>#N/A</v>
      </c>
      <c r="AQ112" t="e">
        <f ca="1">OFFSET(data_oe_detail!$A$1,$D$89+$B112-1,AQ$100-1)</f>
        <v>#N/A</v>
      </c>
      <c r="AR112" t="e">
        <f ca="1">OFFSET(data_oe_detail!$A$1,$D$89+$B112-1,AR$100-1)</f>
        <v>#N/A</v>
      </c>
      <c r="AS112" t="e">
        <f ca="1">OFFSET(data_oe_detail!$A$1,$D$89+$B112-1,AS$100-1)</f>
        <v>#N/A</v>
      </c>
      <c r="AT112" t="e">
        <f ca="1">OFFSET(data_oe_detail!$A$1,$D$89+$B112-1,AT$100-1)</f>
        <v>#N/A</v>
      </c>
      <c r="AU112" t="e">
        <f ca="1">OFFSET(data_oe_detail!$A$1,$D$89+$B112-1,AU$100-1)</f>
        <v>#N/A</v>
      </c>
      <c r="AV112" t="e">
        <f ca="1">OFFSET(data_oe_detail!$A$1,$D$89+$B112-1,AV$100-1)</f>
        <v>#N/A</v>
      </c>
      <c r="AW112" t="e">
        <f ca="1">OFFSET(data_oe_detail!$A$1,$D$89+$B112-1,AW$100-1)</f>
        <v>#N/A</v>
      </c>
      <c r="AX112" t="e">
        <f ca="1">OFFSET(data_oe_detail!$A$1,$D$89+$B112-1,AX$100-1)</f>
        <v>#N/A</v>
      </c>
      <c r="AY112" t="e">
        <f ca="1">OFFSET(data_oe_detail!$A$1,$D$89+$B112-1,AY$100-1)</f>
        <v>#N/A</v>
      </c>
      <c r="AZ112" t="e">
        <f ca="1">OFFSET(data_oe_detail!$A$1,$D$89+$B112-1,AZ$100-1)</f>
        <v>#N/A</v>
      </c>
      <c r="BA112" t="e">
        <f ca="1">OFFSET(data_oe_detail!$A$1,$D$89+$B112-1,BA$100-1)</f>
        <v>#N/A</v>
      </c>
      <c r="BB112" t="e">
        <f ca="1">OFFSET(data_oe_detail!$A$1,$D$89+$B112-1,BB$100-1)</f>
        <v>#N/A</v>
      </c>
      <c r="BC112" t="e">
        <f ca="1">OFFSET(data_oe_detail!$A$1,$D$89+$B112-1,BC$100-1)</f>
        <v>#N/A</v>
      </c>
      <c r="BD112" t="e">
        <f ca="1">OFFSET(data_oe_detail!$A$1,$D$89+$B112-1,BD$100-1)</f>
        <v>#N/A</v>
      </c>
      <c r="BE112" t="e">
        <f ca="1">OFFSET(data_oe_detail!$A$1,$D$89+$B112-1,BE$100-1)</f>
        <v>#N/A</v>
      </c>
      <c r="BF112" t="e">
        <f ca="1">OFFSET(data_oe_detail!$A$1,$D$89+$B112-1,BF$100-1)</f>
        <v>#N/A</v>
      </c>
      <c r="BG112" t="e">
        <f ca="1">OFFSET(data_oe_detail!$A$1,$D$89+$B112-1,BG$100-1)</f>
        <v>#N/A</v>
      </c>
      <c r="BH112" t="e">
        <f ca="1">OFFSET(data_oe_detail!$A$1,$D$89+$B112-1,BH$100-1)</f>
        <v>#N/A</v>
      </c>
      <c r="BI112" t="e">
        <f ca="1">OFFSET(data_oe_detail!$A$1,$D$89+$B112-1,BI$100-1)</f>
        <v>#N/A</v>
      </c>
      <c r="BJ112" t="e">
        <f ca="1">OFFSET(data_oe_detail!$A$1,$D$89+$B112-1,BJ$100-1)</f>
        <v>#N/A</v>
      </c>
      <c r="BK112" t="e">
        <f ca="1">OFFSET(data_oe_detail!$A$1,$D$89+$B112-1,BK$100-1)</f>
        <v>#N/A</v>
      </c>
      <c r="BL112" t="e">
        <f ca="1">OFFSET(data_oe_detail!$A$1,$D$89+$B112-1,BL$100-1)</f>
        <v>#N/A</v>
      </c>
      <c r="BM112" t="e">
        <f ca="1">OFFSET(data_oe_detail!$A$1,$D$89+$B112-1,BM$100-1)</f>
        <v>#N/A</v>
      </c>
      <c r="BN112" t="e">
        <f ca="1">OFFSET(data_oe_detail!$A$1,$D$89+$B112-1,BN$100-1)</f>
        <v>#N/A</v>
      </c>
      <c r="BO112" t="e">
        <f ca="1">OFFSET(data_oe_detail!$A$1,$D$89+$B112-1,BO$100-1)</f>
        <v>#N/A</v>
      </c>
      <c r="BP112" t="e">
        <f ca="1">OFFSET(data_oe_detail!$A$1,$D$89+$B112-1,BP$100-1)</f>
        <v>#N/A</v>
      </c>
      <c r="BQ112" t="e">
        <f ca="1">OFFSET(data_oe_detail!$A$1,$D$89+$B112-1,BQ$100-1)</f>
        <v>#N/A</v>
      </c>
      <c r="BR112" t="e">
        <f ca="1">OFFSET(data_oe_detail!$A$1,$D$89+$B112-1,BR$100-1)</f>
        <v>#N/A</v>
      </c>
      <c r="BS112" t="e">
        <f ca="1">OFFSET(data_oe_detail!$A$1,$D$89+$B112-1,BS$100-1)</f>
        <v>#N/A</v>
      </c>
      <c r="BT112" t="e">
        <f ca="1">OFFSET(data_oe_detail!$A$1,$D$89+$B112-1,BT$100-1)</f>
        <v>#N/A</v>
      </c>
      <c r="BU112" t="e">
        <f ca="1">OFFSET(data_oe_detail!$A$1,$D$89+$B112-1,BU$100-1)</f>
        <v>#N/A</v>
      </c>
      <c r="BV112" t="e">
        <f ca="1">OFFSET(data_oe_detail!$A$1,$D$89+$B112-1,BV$100-1)</f>
        <v>#N/A</v>
      </c>
      <c r="BW112" t="e">
        <f ca="1">OFFSET(data_oe_detail!$A$1,$D$89+$B112-1,BW$100-1)</f>
        <v>#N/A</v>
      </c>
      <c r="BX112" t="e">
        <f ca="1">OFFSET(data_oe_detail!$A$1,$D$89+$B112-1,BX$100-1)</f>
        <v>#N/A</v>
      </c>
      <c r="BY112" t="e">
        <f ca="1">OFFSET(data_oe_detail!$A$1,$D$89+$B112-1,BY$100-1)</f>
        <v>#N/A</v>
      </c>
      <c r="BZ112" t="e">
        <f ca="1">OFFSET(data_oe_detail!$A$1,$D$89+$B112-1,BZ$100-1)</f>
        <v>#N/A</v>
      </c>
      <c r="CA112" t="e">
        <f ca="1">OFFSET(data_oe_detail!$A$1,$D$89+$B112-1,CA$100-1)</f>
        <v>#N/A</v>
      </c>
      <c r="CB112" t="e">
        <f ca="1">OFFSET(data_oe_detail!$A$1,$D$89+$B112-1,CB$100-1)</f>
        <v>#N/A</v>
      </c>
      <c r="CC112" t="e">
        <f ca="1">OFFSET(data_oe_detail!$A$1,$D$89+$B112-1,CC$100-1)</f>
        <v>#N/A</v>
      </c>
      <c r="CD112" t="e">
        <f ca="1">OFFSET(data_oe_detail!$A$1,$D$89+$B112-1,CD$100-1)</f>
        <v>#N/A</v>
      </c>
      <c r="CE112" t="e">
        <f ca="1">OFFSET(data_oe_detail!$A$1,$D$89+$B112-1,CE$100-1)</f>
        <v>#N/A</v>
      </c>
      <c r="CF112" t="e">
        <f ca="1">OFFSET(data_oe_detail!$A$1,$D$89+$B112-1,CF$100-1)</f>
        <v>#N/A</v>
      </c>
      <c r="CG112" t="e">
        <f ca="1">OFFSET(data_oe_detail!$A$1,$D$89+$B112-1,CG$100-1)</f>
        <v>#N/A</v>
      </c>
      <c r="CH112" t="e">
        <f ca="1">OFFSET(data_oe_detail!$A$1,$D$89+$B112-1,CH$100-1)</f>
        <v>#N/A</v>
      </c>
      <c r="CI112" t="e">
        <f ca="1">OFFSET(data_oe_detail!$A$1,$D$89+$B112-1,CI$100-1)</f>
        <v>#N/A</v>
      </c>
      <c r="CJ112" t="e">
        <f ca="1">OFFSET(data_oe_detail!$A$1,$D$89+$B112-1,CJ$100-1)</f>
        <v>#N/A</v>
      </c>
      <c r="CK112" t="e">
        <f ca="1">OFFSET(data_oe_detail!$A$1,$D$89+$B112-1,CK$100-1)</f>
        <v>#N/A</v>
      </c>
      <c r="CL112" t="e">
        <f ca="1">OFFSET(data_oe_detail!$A$1,$D$89+$B112-1,CL$100-1)</f>
        <v>#N/A</v>
      </c>
      <c r="CM112" t="e">
        <f ca="1">OFFSET(data_oe_detail!$A$1,$D$89+$B112-1,CM$100-1)</f>
        <v>#N/A</v>
      </c>
      <c r="CN112" t="e">
        <f ca="1">OFFSET(data_oe_detail!$A$1,$D$89+$B112-1,CN$100-1)</f>
        <v>#N/A</v>
      </c>
      <c r="CO112" t="e">
        <f ca="1">OFFSET(data_oe_detail!$A$1,$D$89+$B112-1,CO$100-1)</f>
        <v>#N/A</v>
      </c>
      <c r="CP112" t="e">
        <f ca="1">OFFSET(data_oe_detail!$A$1,$D$89+$B112-1,CP$100-1)</f>
        <v>#N/A</v>
      </c>
      <c r="CQ112" t="e">
        <f ca="1">OFFSET(data_oe_detail!$A$1,$D$89+$B112-1,CQ$100-1)</f>
        <v>#N/A</v>
      </c>
      <c r="CR112" t="e">
        <f ca="1">OFFSET(data_oe_detail!$A$1,$D$89+$B112-1,CR$100-1)</f>
        <v>#N/A</v>
      </c>
      <c r="CS112" t="e">
        <f ca="1">OFFSET(data_oe_detail!$A$1,$D$89+$B112-1,CS$100-1)</f>
        <v>#N/A</v>
      </c>
      <c r="CT112" t="e">
        <f ca="1">OFFSET(data_oe_detail!$A$1,$D$89+$B112-1,CT$100-1)</f>
        <v>#N/A</v>
      </c>
      <c r="CU112" t="e">
        <f ca="1">OFFSET(data_oe_detail!$A$1,$D$89+$B112-1,CU$100-1)</f>
        <v>#N/A</v>
      </c>
      <c r="CV112" t="e">
        <f ca="1">OFFSET(data_oe_detail!$A$1,$D$89+$B112-1,CV$100-1)</f>
        <v>#N/A</v>
      </c>
      <c r="CW112" t="e">
        <f ca="1">OFFSET(data_oe_detail!$A$1,$D$89+$B112-1,CW$100-1)</f>
        <v>#N/A</v>
      </c>
      <c r="CX112" t="e">
        <f ca="1">OFFSET(data_oe_detail!$A$1,$D$89+$B112-1,CX$100-1)</f>
        <v>#N/A</v>
      </c>
      <c r="CY112" t="e">
        <f ca="1">OFFSET(data_oe_detail!$A$1,$D$89+$B112-1,CY$100-1)</f>
        <v>#N/A</v>
      </c>
      <c r="CZ112" t="e">
        <f ca="1">OFFSET(data_oe_detail!$A$1,$D$89+$B112-1,CZ$100-1)</f>
        <v>#N/A</v>
      </c>
      <c r="DA112" t="e">
        <f ca="1">OFFSET(data_oe_detail!$A$1,$D$89+$B112-1,DA$100-1)</f>
        <v>#N/A</v>
      </c>
      <c r="DB112" t="e">
        <f ca="1">OFFSET(data_oe_detail!$A$1,$D$89+$B112-1,DB$100-1)</f>
        <v>#N/A</v>
      </c>
      <c r="DC112" t="e">
        <f ca="1">OFFSET(data_oe_detail!$A$1,$D$89+$B112-1,DC$100-1)</f>
        <v>#N/A</v>
      </c>
      <c r="DD112" t="e">
        <f ca="1">OFFSET(data_oe_detail!$A$1,$D$89+$B112-1,DD$100-1)</f>
        <v>#N/A</v>
      </c>
      <c r="DE112" t="e">
        <f ca="1">OFFSET(data_oe_detail!$A$1,$D$89+$B112-1,DE$100-1)</f>
        <v>#N/A</v>
      </c>
      <c r="DF112" t="e">
        <f ca="1">OFFSET(data_oe_detail!$A$1,$D$89+$B112-1,DF$100-1)</f>
        <v>#N/A</v>
      </c>
      <c r="DG112" t="e">
        <f ca="1">OFFSET(data_oe_detail!$A$1,$D$89+$B112-1,DG$100-1)</f>
        <v>#N/A</v>
      </c>
      <c r="DH112" t="e">
        <f ca="1">OFFSET(data_oe_detail!$A$1,$D$89+$B112-1,DH$100-1)</f>
        <v>#N/A</v>
      </c>
    </row>
    <row r="113" spans="2:112" hidden="1" outlineLevel="1" x14ac:dyDescent="0.35">
      <c r="B113" s="128">
        <v>12</v>
      </c>
      <c r="C113" t="e">
        <f ca="1">OFFSET(data_oe_detail!$A$1,$D$89+$B113-1,C$100-1)</f>
        <v>#N/A</v>
      </c>
      <c r="D113" t="e">
        <f ca="1">OFFSET(data_oe_detail!$A$1,$D$89+$B113-1,D$100-1)</f>
        <v>#N/A</v>
      </c>
      <c r="E113" t="e">
        <f ca="1">OFFSET(data_oe_detail!$A$1,$D$89+$B113-1,E$100-1)</f>
        <v>#N/A</v>
      </c>
      <c r="F113" t="e">
        <f ca="1">OFFSET(data_oe_detail!$A$1,$D$89+$B113-1,F$100-1)</f>
        <v>#N/A</v>
      </c>
      <c r="G113" t="e">
        <f ca="1">OFFSET(data_oe_detail!$A$1,$D$89+$B113-1,G$100-1)</f>
        <v>#N/A</v>
      </c>
      <c r="H113" t="e">
        <f ca="1">OFFSET(data_oe_detail!$A$1,$D$89+$B113-1,H$100-1)</f>
        <v>#N/A</v>
      </c>
      <c r="I113" t="e">
        <f ca="1">OFFSET(data_oe_detail!$A$1,$D$89+$B113-1,I$100-1)</f>
        <v>#N/A</v>
      </c>
      <c r="J113" t="e">
        <f ca="1">OFFSET(data_oe_detail!$A$1,$D$89+$B113-1,J$100-1)</f>
        <v>#N/A</v>
      </c>
      <c r="K113" t="e">
        <f ca="1">OFFSET(data_oe_detail!$A$1,$D$89+$B113-1,K$100-1)</f>
        <v>#N/A</v>
      </c>
      <c r="L113" t="e">
        <f ca="1">OFFSET(data_oe_detail!$A$1,$D$89+$B113-1,L$100-1)</f>
        <v>#N/A</v>
      </c>
      <c r="M113" t="e">
        <f ca="1">OFFSET(data_oe_detail!$A$1,$D$89+$B113-1,M$100-1)</f>
        <v>#N/A</v>
      </c>
      <c r="N113" t="e">
        <f ca="1">OFFSET(data_oe_detail!$A$1,$D$89+$B113-1,N$100-1)</f>
        <v>#N/A</v>
      </c>
      <c r="O113" t="e">
        <f ca="1">OFFSET(data_oe_detail!$A$1,$D$89+$B113-1,O$100-1)</f>
        <v>#N/A</v>
      </c>
      <c r="P113" t="e">
        <f ca="1">OFFSET(data_oe_detail!$A$1,$D$89+$B113-1,P$100-1)</f>
        <v>#N/A</v>
      </c>
      <c r="Q113" t="e">
        <f ca="1">OFFSET(data_oe_detail!$A$1,$D$89+$B113-1,Q$100-1)</f>
        <v>#N/A</v>
      </c>
      <c r="R113" t="e">
        <f ca="1">OFFSET(data_oe_detail!$A$1,$D$89+$B113-1,R$100-1)</f>
        <v>#N/A</v>
      </c>
      <c r="S113" t="e">
        <f ca="1">OFFSET(data_oe_detail!$A$1,$D$89+$B113-1,S$100-1)</f>
        <v>#N/A</v>
      </c>
      <c r="T113" t="e">
        <f ca="1">OFFSET(data_oe_detail!$A$1,$D$89+$B113-1,T$100-1)</f>
        <v>#N/A</v>
      </c>
      <c r="U113" t="e">
        <f ca="1">OFFSET(data_oe_detail!$A$1,$D$89+$B113-1,U$100-1)</f>
        <v>#N/A</v>
      </c>
      <c r="V113" t="e">
        <f ca="1">OFFSET(data_oe_detail!$A$1,$D$89+$B113-1,V$100-1)</f>
        <v>#N/A</v>
      </c>
      <c r="W113" t="e">
        <f ca="1">OFFSET(data_oe_detail!$A$1,$D$89+$B113-1,W$100-1)</f>
        <v>#N/A</v>
      </c>
      <c r="X113" t="e">
        <f ca="1">OFFSET(data_oe_detail!$A$1,$D$89+$B113-1,X$100-1)</f>
        <v>#N/A</v>
      </c>
      <c r="Y113" t="e">
        <f ca="1">OFFSET(data_oe_detail!$A$1,$D$89+$B113-1,Y$100-1)</f>
        <v>#N/A</v>
      </c>
      <c r="Z113" t="e">
        <f ca="1">OFFSET(data_oe_detail!$A$1,$D$89+$B113-1,Z$100-1)</f>
        <v>#N/A</v>
      </c>
      <c r="AA113" t="e">
        <f ca="1">OFFSET(data_oe_detail!$A$1,$D$89+$B113-1,AA$100-1)</f>
        <v>#N/A</v>
      </c>
      <c r="AB113" t="e">
        <f ca="1">OFFSET(data_oe_detail!$A$1,$D$89+$B113-1,AB$100-1)</f>
        <v>#N/A</v>
      </c>
      <c r="AC113" t="e">
        <f ca="1">OFFSET(data_oe_detail!$A$1,$D$89+$B113-1,AC$100-1)</f>
        <v>#N/A</v>
      </c>
      <c r="AD113" t="e">
        <f ca="1">OFFSET(data_oe_detail!$A$1,$D$89+$B113-1,AD$100-1)</f>
        <v>#N/A</v>
      </c>
      <c r="AE113" t="e">
        <f ca="1">OFFSET(data_oe_detail!$A$1,$D$89+$B113-1,AE$100-1)</f>
        <v>#N/A</v>
      </c>
      <c r="AF113" t="e">
        <f ca="1">OFFSET(data_oe_detail!$A$1,$D$89+$B113-1,AF$100-1)</f>
        <v>#N/A</v>
      </c>
      <c r="AG113" t="e">
        <f ca="1">OFFSET(data_oe_detail!$A$1,$D$89+$B113-1,AG$100-1)</f>
        <v>#N/A</v>
      </c>
      <c r="AH113" t="e">
        <f ca="1">OFFSET(data_oe_detail!$A$1,$D$89+$B113-1,AH$100-1)</f>
        <v>#N/A</v>
      </c>
      <c r="AI113" t="e">
        <f ca="1">OFFSET(data_oe_detail!$A$1,$D$89+$B113-1,AI$100-1)</f>
        <v>#N/A</v>
      </c>
      <c r="AJ113" t="e">
        <f ca="1">OFFSET(data_oe_detail!$A$1,$D$89+$B113-1,AJ$100-1)</f>
        <v>#N/A</v>
      </c>
      <c r="AK113" t="e">
        <f ca="1">OFFSET(data_oe_detail!$A$1,$D$89+$B113-1,AK$100-1)</f>
        <v>#N/A</v>
      </c>
      <c r="AL113" t="e">
        <f ca="1">OFFSET(data_oe_detail!$A$1,$D$89+$B113-1,AL$100-1)</f>
        <v>#N/A</v>
      </c>
      <c r="AM113" t="e">
        <f ca="1">OFFSET(data_oe_detail!$A$1,$D$89+$B113-1,AM$100-1)</f>
        <v>#N/A</v>
      </c>
      <c r="AN113" t="e">
        <f ca="1">OFFSET(data_oe_detail!$A$1,$D$89+$B113-1,AN$100-1)</f>
        <v>#N/A</v>
      </c>
      <c r="AO113" t="e">
        <f ca="1">OFFSET(data_oe_detail!$A$1,$D$89+$B113-1,AO$100-1)</f>
        <v>#N/A</v>
      </c>
      <c r="AP113" t="e">
        <f ca="1">OFFSET(data_oe_detail!$A$1,$D$89+$B113-1,AP$100-1)</f>
        <v>#N/A</v>
      </c>
      <c r="AQ113" t="e">
        <f ca="1">OFFSET(data_oe_detail!$A$1,$D$89+$B113-1,AQ$100-1)</f>
        <v>#N/A</v>
      </c>
      <c r="AR113" t="e">
        <f ca="1">OFFSET(data_oe_detail!$A$1,$D$89+$B113-1,AR$100-1)</f>
        <v>#N/A</v>
      </c>
      <c r="AS113" t="e">
        <f ca="1">OFFSET(data_oe_detail!$A$1,$D$89+$B113-1,AS$100-1)</f>
        <v>#N/A</v>
      </c>
      <c r="AT113" t="e">
        <f ca="1">OFFSET(data_oe_detail!$A$1,$D$89+$B113-1,AT$100-1)</f>
        <v>#N/A</v>
      </c>
      <c r="AU113" t="e">
        <f ca="1">OFFSET(data_oe_detail!$A$1,$D$89+$B113-1,AU$100-1)</f>
        <v>#N/A</v>
      </c>
      <c r="AV113" t="e">
        <f ca="1">OFFSET(data_oe_detail!$A$1,$D$89+$B113-1,AV$100-1)</f>
        <v>#N/A</v>
      </c>
      <c r="AW113" t="e">
        <f ca="1">OFFSET(data_oe_detail!$A$1,$D$89+$B113-1,AW$100-1)</f>
        <v>#N/A</v>
      </c>
      <c r="AX113" t="e">
        <f ca="1">OFFSET(data_oe_detail!$A$1,$D$89+$B113-1,AX$100-1)</f>
        <v>#N/A</v>
      </c>
      <c r="AY113" t="e">
        <f ca="1">OFFSET(data_oe_detail!$A$1,$D$89+$B113-1,AY$100-1)</f>
        <v>#N/A</v>
      </c>
      <c r="AZ113" t="e">
        <f ca="1">OFFSET(data_oe_detail!$A$1,$D$89+$B113-1,AZ$100-1)</f>
        <v>#N/A</v>
      </c>
      <c r="BA113" t="e">
        <f ca="1">OFFSET(data_oe_detail!$A$1,$D$89+$B113-1,BA$100-1)</f>
        <v>#N/A</v>
      </c>
      <c r="BB113" t="e">
        <f ca="1">OFFSET(data_oe_detail!$A$1,$D$89+$B113-1,BB$100-1)</f>
        <v>#N/A</v>
      </c>
      <c r="BC113" t="e">
        <f ca="1">OFFSET(data_oe_detail!$A$1,$D$89+$B113-1,BC$100-1)</f>
        <v>#N/A</v>
      </c>
      <c r="BD113" t="e">
        <f ca="1">OFFSET(data_oe_detail!$A$1,$D$89+$B113-1,BD$100-1)</f>
        <v>#N/A</v>
      </c>
      <c r="BE113" t="e">
        <f ca="1">OFFSET(data_oe_detail!$A$1,$D$89+$B113-1,BE$100-1)</f>
        <v>#N/A</v>
      </c>
      <c r="BF113" t="e">
        <f ca="1">OFFSET(data_oe_detail!$A$1,$D$89+$B113-1,BF$100-1)</f>
        <v>#N/A</v>
      </c>
      <c r="BG113" t="e">
        <f ca="1">OFFSET(data_oe_detail!$A$1,$D$89+$B113-1,BG$100-1)</f>
        <v>#N/A</v>
      </c>
      <c r="BH113" t="e">
        <f ca="1">OFFSET(data_oe_detail!$A$1,$D$89+$B113-1,BH$100-1)</f>
        <v>#N/A</v>
      </c>
      <c r="BI113" t="e">
        <f ca="1">OFFSET(data_oe_detail!$A$1,$D$89+$B113-1,BI$100-1)</f>
        <v>#N/A</v>
      </c>
      <c r="BJ113" t="e">
        <f ca="1">OFFSET(data_oe_detail!$A$1,$D$89+$B113-1,BJ$100-1)</f>
        <v>#N/A</v>
      </c>
      <c r="BK113" t="e">
        <f ca="1">OFFSET(data_oe_detail!$A$1,$D$89+$B113-1,BK$100-1)</f>
        <v>#N/A</v>
      </c>
      <c r="BL113" t="e">
        <f ca="1">OFFSET(data_oe_detail!$A$1,$D$89+$B113-1,BL$100-1)</f>
        <v>#N/A</v>
      </c>
      <c r="BM113" t="e">
        <f ca="1">OFFSET(data_oe_detail!$A$1,$D$89+$B113-1,BM$100-1)</f>
        <v>#N/A</v>
      </c>
      <c r="BN113" t="e">
        <f ca="1">OFFSET(data_oe_detail!$A$1,$D$89+$B113-1,BN$100-1)</f>
        <v>#N/A</v>
      </c>
      <c r="BO113" t="e">
        <f ca="1">OFFSET(data_oe_detail!$A$1,$D$89+$B113-1,BO$100-1)</f>
        <v>#N/A</v>
      </c>
      <c r="BP113" t="e">
        <f ca="1">OFFSET(data_oe_detail!$A$1,$D$89+$B113-1,BP$100-1)</f>
        <v>#N/A</v>
      </c>
      <c r="BQ113" t="e">
        <f ca="1">OFFSET(data_oe_detail!$A$1,$D$89+$B113-1,BQ$100-1)</f>
        <v>#N/A</v>
      </c>
      <c r="BR113" t="e">
        <f ca="1">OFFSET(data_oe_detail!$A$1,$D$89+$B113-1,BR$100-1)</f>
        <v>#N/A</v>
      </c>
      <c r="BS113" t="e">
        <f ca="1">OFFSET(data_oe_detail!$A$1,$D$89+$B113-1,BS$100-1)</f>
        <v>#N/A</v>
      </c>
      <c r="BT113" t="e">
        <f ca="1">OFFSET(data_oe_detail!$A$1,$D$89+$B113-1,BT$100-1)</f>
        <v>#N/A</v>
      </c>
      <c r="BU113" t="e">
        <f ca="1">OFFSET(data_oe_detail!$A$1,$D$89+$B113-1,BU$100-1)</f>
        <v>#N/A</v>
      </c>
      <c r="BV113" t="e">
        <f ca="1">OFFSET(data_oe_detail!$A$1,$D$89+$B113-1,BV$100-1)</f>
        <v>#N/A</v>
      </c>
      <c r="BW113" t="e">
        <f ca="1">OFFSET(data_oe_detail!$A$1,$D$89+$B113-1,BW$100-1)</f>
        <v>#N/A</v>
      </c>
      <c r="BX113" t="e">
        <f ca="1">OFFSET(data_oe_detail!$A$1,$D$89+$B113-1,BX$100-1)</f>
        <v>#N/A</v>
      </c>
      <c r="BY113" t="e">
        <f ca="1">OFFSET(data_oe_detail!$A$1,$D$89+$B113-1,BY$100-1)</f>
        <v>#N/A</v>
      </c>
      <c r="BZ113" t="e">
        <f ca="1">OFFSET(data_oe_detail!$A$1,$D$89+$B113-1,BZ$100-1)</f>
        <v>#N/A</v>
      </c>
      <c r="CA113" t="e">
        <f ca="1">OFFSET(data_oe_detail!$A$1,$D$89+$B113-1,CA$100-1)</f>
        <v>#N/A</v>
      </c>
      <c r="CB113" t="e">
        <f ca="1">OFFSET(data_oe_detail!$A$1,$D$89+$B113-1,CB$100-1)</f>
        <v>#N/A</v>
      </c>
      <c r="CC113" t="e">
        <f ca="1">OFFSET(data_oe_detail!$A$1,$D$89+$B113-1,CC$100-1)</f>
        <v>#N/A</v>
      </c>
      <c r="CD113" t="e">
        <f ca="1">OFFSET(data_oe_detail!$A$1,$D$89+$B113-1,CD$100-1)</f>
        <v>#N/A</v>
      </c>
      <c r="CE113" t="e">
        <f ca="1">OFFSET(data_oe_detail!$A$1,$D$89+$B113-1,CE$100-1)</f>
        <v>#N/A</v>
      </c>
      <c r="CF113" t="e">
        <f ca="1">OFFSET(data_oe_detail!$A$1,$D$89+$B113-1,CF$100-1)</f>
        <v>#N/A</v>
      </c>
      <c r="CG113" t="e">
        <f ca="1">OFFSET(data_oe_detail!$A$1,$D$89+$B113-1,CG$100-1)</f>
        <v>#N/A</v>
      </c>
      <c r="CH113" t="e">
        <f ca="1">OFFSET(data_oe_detail!$A$1,$D$89+$B113-1,CH$100-1)</f>
        <v>#N/A</v>
      </c>
      <c r="CI113" t="e">
        <f ca="1">OFFSET(data_oe_detail!$A$1,$D$89+$B113-1,CI$100-1)</f>
        <v>#N/A</v>
      </c>
      <c r="CJ113" t="e">
        <f ca="1">OFFSET(data_oe_detail!$A$1,$D$89+$B113-1,CJ$100-1)</f>
        <v>#N/A</v>
      </c>
      <c r="CK113" t="e">
        <f ca="1">OFFSET(data_oe_detail!$A$1,$D$89+$B113-1,CK$100-1)</f>
        <v>#N/A</v>
      </c>
      <c r="CL113" t="e">
        <f ca="1">OFFSET(data_oe_detail!$A$1,$D$89+$B113-1,CL$100-1)</f>
        <v>#N/A</v>
      </c>
      <c r="CM113" t="e">
        <f ca="1">OFFSET(data_oe_detail!$A$1,$D$89+$B113-1,CM$100-1)</f>
        <v>#N/A</v>
      </c>
      <c r="CN113" t="e">
        <f ca="1">OFFSET(data_oe_detail!$A$1,$D$89+$B113-1,CN$100-1)</f>
        <v>#N/A</v>
      </c>
      <c r="CO113" t="e">
        <f ca="1">OFFSET(data_oe_detail!$A$1,$D$89+$B113-1,CO$100-1)</f>
        <v>#N/A</v>
      </c>
      <c r="CP113" t="e">
        <f ca="1">OFFSET(data_oe_detail!$A$1,$D$89+$B113-1,CP$100-1)</f>
        <v>#N/A</v>
      </c>
      <c r="CQ113" t="e">
        <f ca="1">OFFSET(data_oe_detail!$A$1,$D$89+$B113-1,CQ$100-1)</f>
        <v>#N/A</v>
      </c>
      <c r="CR113" t="e">
        <f ca="1">OFFSET(data_oe_detail!$A$1,$D$89+$B113-1,CR$100-1)</f>
        <v>#N/A</v>
      </c>
      <c r="CS113" t="e">
        <f ca="1">OFFSET(data_oe_detail!$A$1,$D$89+$B113-1,CS$100-1)</f>
        <v>#N/A</v>
      </c>
      <c r="CT113" t="e">
        <f ca="1">OFFSET(data_oe_detail!$A$1,$D$89+$B113-1,CT$100-1)</f>
        <v>#N/A</v>
      </c>
      <c r="CU113" t="e">
        <f ca="1">OFFSET(data_oe_detail!$A$1,$D$89+$B113-1,CU$100-1)</f>
        <v>#N/A</v>
      </c>
      <c r="CV113" t="e">
        <f ca="1">OFFSET(data_oe_detail!$A$1,$D$89+$B113-1,CV$100-1)</f>
        <v>#N/A</v>
      </c>
      <c r="CW113" t="e">
        <f ca="1">OFFSET(data_oe_detail!$A$1,$D$89+$B113-1,CW$100-1)</f>
        <v>#N/A</v>
      </c>
      <c r="CX113" t="e">
        <f ca="1">OFFSET(data_oe_detail!$A$1,$D$89+$B113-1,CX$100-1)</f>
        <v>#N/A</v>
      </c>
      <c r="CY113" t="e">
        <f ca="1">OFFSET(data_oe_detail!$A$1,$D$89+$B113-1,CY$100-1)</f>
        <v>#N/A</v>
      </c>
      <c r="CZ113" t="e">
        <f ca="1">OFFSET(data_oe_detail!$A$1,$D$89+$B113-1,CZ$100-1)</f>
        <v>#N/A</v>
      </c>
      <c r="DA113" t="e">
        <f ca="1">OFFSET(data_oe_detail!$A$1,$D$89+$B113-1,DA$100-1)</f>
        <v>#N/A</v>
      </c>
      <c r="DB113" t="e">
        <f ca="1">OFFSET(data_oe_detail!$A$1,$D$89+$B113-1,DB$100-1)</f>
        <v>#N/A</v>
      </c>
      <c r="DC113" t="e">
        <f ca="1">OFFSET(data_oe_detail!$A$1,$D$89+$B113-1,DC$100-1)</f>
        <v>#N/A</v>
      </c>
      <c r="DD113" t="e">
        <f ca="1">OFFSET(data_oe_detail!$A$1,$D$89+$B113-1,DD$100-1)</f>
        <v>#N/A</v>
      </c>
      <c r="DE113" t="e">
        <f ca="1">OFFSET(data_oe_detail!$A$1,$D$89+$B113-1,DE$100-1)</f>
        <v>#N/A</v>
      </c>
      <c r="DF113" t="e">
        <f ca="1">OFFSET(data_oe_detail!$A$1,$D$89+$B113-1,DF$100-1)</f>
        <v>#N/A</v>
      </c>
      <c r="DG113" t="e">
        <f ca="1">OFFSET(data_oe_detail!$A$1,$D$89+$B113-1,DG$100-1)</f>
        <v>#N/A</v>
      </c>
      <c r="DH113" t="e">
        <f ca="1">OFFSET(data_oe_detail!$A$1,$D$89+$B113-1,DH$100-1)</f>
        <v>#N/A</v>
      </c>
    </row>
    <row r="114" spans="2:112" hidden="1" outlineLevel="1" x14ac:dyDescent="0.35">
      <c r="B114" s="128">
        <v>13</v>
      </c>
      <c r="C114" t="e">
        <f ca="1">OFFSET(data_oe_detail!$A$1,$D$89+$B114-1,C$100-1)</f>
        <v>#N/A</v>
      </c>
      <c r="D114" t="e">
        <f ca="1">OFFSET(data_oe_detail!$A$1,$D$89+$B114-1,D$100-1)</f>
        <v>#N/A</v>
      </c>
      <c r="E114" t="e">
        <f ca="1">OFFSET(data_oe_detail!$A$1,$D$89+$B114-1,E$100-1)</f>
        <v>#N/A</v>
      </c>
      <c r="F114" t="e">
        <f ca="1">OFFSET(data_oe_detail!$A$1,$D$89+$B114-1,F$100-1)</f>
        <v>#N/A</v>
      </c>
      <c r="G114" t="e">
        <f ca="1">OFFSET(data_oe_detail!$A$1,$D$89+$B114-1,G$100-1)</f>
        <v>#N/A</v>
      </c>
      <c r="H114" t="e">
        <f ca="1">OFFSET(data_oe_detail!$A$1,$D$89+$B114-1,H$100-1)</f>
        <v>#N/A</v>
      </c>
      <c r="I114" t="e">
        <f ca="1">OFFSET(data_oe_detail!$A$1,$D$89+$B114-1,I$100-1)</f>
        <v>#N/A</v>
      </c>
      <c r="J114" t="e">
        <f ca="1">OFFSET(data_oe_detail!$A$1,$D$89+$B114-1,J$100-1)</f>
        <v>#N/A</v>
      </c>
      <c r="K114" t="e">
        <f ca="1">OFFSET(data_oe_detail!$A$1,$D$89+$B114-1,K$100-1)</f>
        <v>#N/A</v>
      </c>
      <c r="L114" t="e">
        <f ca="1">OFFSET(data_oe_detail!$A$1,$D$89+$B114-1,L$100-1)</f>
        <v>#N/A</v>
      </c>
      <c r="M114" t="e">
        <f ca="1">OFFSET(data_oe_detail!$A$1,$D$89+$B114-1,M$100-1)</f>
        <v>#N/A</v>
      </c>
      <c r="N114" t="e">
        <f ca="1">OFFSET(data_oe_detail!$A$1,$D$89+$B114-1,N$100-1)</f>
        <v>#N/A</v>
      </c>
      <c r="O114" t="e">
        <f ca="1">OFFSET(data_oe_detail!$A$1,$D$89+$B114-1,O$100-1)</f>
        <v>#N/A</v>
      </c>
      <c r="P114" t="e">
        <f ca="1">OFFSET(data_oe_detail!$A$1,$D$89+$B114-1,P$100-1)</f>
        <v>#N/A</v>
      </c>
      <c r="Q114" t="e">
        <f ca="1">OFFSET(data_oe_detail!$A$1,$D$89+$B114-1,Q$100-1)</f>
        <v>#N/A</v>
      </c>
      <c r="R114" t="e">
        <f ca="1">OFFSET(data_oe_detail!$A$1,$D$89+$B114-1,R$100-1)</f>
        <v>#N/A</v>
      </c>
      <c r="S114" t="e">
        <f ca="1">OFFSET(data_oe_detail!$A$1,$D$89+$B114-1,S$100-1)</f>
        <v>#N/A</v>
      </c>
      <c r="T114" t="e">
        <f ca="1">OFFSET(data_oe_detail!$A$1,$D$89+$B114-1,T$100-1)</f>
        <v>#N/A</v>
      </c>
      <c r="U114" t="e">
        <f ca="1">OFFSET(data_oe_detail!$A$1,$D$89+$B114-1,U$100-1)</f>
        <v>#N/A</v>
      </c>
      <c r="V114" t="e">
        <f ca="1">OFFSET(data_oe_detail!$A$1,$D$89+$B114-1,V$100-1)</f>
        <v>#N/A</v>
      </c>
      <c r="W114" t="e">
        <f ca="1">OFFSET(data_oe_detail!$A$1,$D$89+$B114-1,W$100-1)</f>
        <v>#N/A</v>
      </c>
      <c r="X114" t="e">
        <f ca="1">OFFSET(data_oe_detail!$A$1,$D$89+$B114-1,X$100-1)</f>
        <v>#N/A</v>
      </c>
      <c r="Y114" t="e">
        <f ca="1">OFFSET(data_oe_detail!$A$1,$D$89+$B114-1,Y$100-1)</f>
        <v>#N/A</v>
      </c>
      <c r="Z114" t="e">
        <f ca="1">OFFSET(data_oe_detail!$A$1,$D$89+$B114-1,Z$100-1)</f>
        <v>#N/A</v>
      </c>
      <c r="AA114" t="e">
        <f ca="1">OFFSET(data_oe_detail!$A$1,$D$89+$B114-1,AA$100-1)</f>
        <v>#N/A</v>
      </c>
      <c r="AB114" t="e">
        <f ca="1">OFFSET(data_oe_detail!$A$1,$D$89+$B114-1,AB$100-1)</f>
        <v>#N/A</v>
      </c>
      <c r="AC114" t="e">
        <f ca="1">OFFSET(data_oe_detail!$A$1,$D$89+$B114-1,AC$100-1)</f>
        <v>#N/A</v>
      </c>
      <c r="AD114" t="e">
        <f ca="1">OFFSET(data_oe_detail!$A$1,$D$89+$B114-1,AD$100-1)</f>
        <v>#N/A</v>
      </c>
      <c r="AE114" t="e">
        <f ca="1">OFFSET(data_oe_detail!$A$1,$D$89+$B114-1,AE$100-1)</f>
        <v>#N/A</v>
      </c>
      <c r="AF114" t="e">
        <f ca="1">OFFSET(data_oe_detail!$A$1,$D$89+$B114-1,AF$100-1)</f>
        <v>#N/A</v>
      </c>
      <c r="AG114" t="e">
        <f ca="1">OFFSET(data_oe_detail!$A$1,$D$89+$B114-1,AG$100-1)</f>
        <v>#N/A</v>
      </c>
      <c r="AH114" t="e">
        <f ca="1">OFFSET(data_oe_detail!$A$1,$D$89+$B114-1,AH$100-1)</f>
        <v>#N/A</v>
      </c>
      <c r="AI114" t="e">
        <f ca="1">OFFSET(data_oe_detail!$A$1,$D$89+$B114-1,AI$100-1)</f>
        <v>#N/A</v>
      </c>
      <c r="AJ114" t="e">
        <f ca="1">OFFSET(data_oe_detail!$A$1,$D$89+$B114-1,AJ$100-1)</f>
        <v>#N/A</v>
      </c>
      <c r="AK114" t="e">
        <f ca="1">OFFSET(data_oe_detail!$A$1,$D$89+$B114-1,AK$100-1)</f>
        <v>#N/A</v>
      </c>
      <c r="AL114" t="e">
        <f ca="1">OFFSET(data_oe_detail!$A$1,$D$89+$B114-1,AL$100-1)</f>
        <v>#N/A</v>
      </c>
      <c r="AM114" t="e">
        <f ca="1">OFFSET(data_oe_detail!$A$1,$D$89+$B114-1,AM$100-1)</f>
        <v>#N/A</v>
      </c>
      <c r="AN114" t="e">
        <f ca="1">OFFSET(data_oe_detail!$A$1,$D$89+$B114-1,AN$100-1)</f>
        <v>#N/A</v>
      </c>
      <c r="AO114" t="e">
        <f ca="1">OFFSET(data_oe_detail!$A$1,$D$89+$B114-1,AO$100-1)</f>
        <v>#N/A</v>
      </c>
      <c r="AP114" t="e">
        <f ca="1">OFFSET(data_oe_detail!$A$1,$D$89+$B114-1,AP$100-1)</f>
        <v>#N/A</v>
      </c>
      <c r="AQ114" t="e">
        <f ca="1">OFFSET(data_oe_detail!$A$1,$D$89+$B114-1,AQ$100-1)</f>
        <v>#N/A</v>
      </c>
      <c r="AR114" t="e">
        <f ca="1">OFFSET(data_oe_detail!$A$1,$D$89+$B114-1,AR$100-1)</f>
        <v>#N/A</v>
      </c>
      <c r="AS114" t="e">
        <f ca="1">OFFSET(data_oe_detail!$A$1,$D$89+$B114-1,AS$100-1)</f>
        <v>#N/A</v>
      </c>
      <c r="AT114" t="e">
        <f ca="1">OFFSET(data_oe_detail!$A$1,$D$89+$B114-1,AT$100-1)</f>
        <v>#N/A</v>
      </c>
      <c r="AU114" t="e">
        <f ca="1">OFFSET(data_oe_detail!$A$1,$D$89+$B114-1,AU$100-1)</f>
        <v>#N/A</v>
      </c>
      <c r="AV114" t="e">
        <f ca="1">OFFSET(data_oe_detail!$A$1,$D$89+$B114-1,AV$100-1)</f>
        <v>#N/A</v>
      </c>
      <c r="AW114" t="e">
        <f ca="1">OFFSET(data_oe_detail!$A$1,$D$89+$B114-1,AW$100-1)</f>
        <v>#N/A</v>
      </c>
      <c r="AX114" t="e">
        <f ca="1">OFFSET(data_oe_detail!$A$1,$D$89+$B114-1,AX$100-1)</f>
        <v>#N/A</v>
      </c>
      <c r="AY114" t="e">
        <f ca="1">OFFSET(data_oe_detail!$A$1,$D$89+$B114-1,AY$100-1)</f>
        <v>#N/A</v>
      </c>
      <c r="AZ114" t="e">
        <f ca="1">OFFSET(data_oe_detail!$A$1,$D$89+$B114-1,AZ$100-1)</f>
        <v>#N/A</v>
      </c>
      <c r="BA114" t="e">
        <f ca="1">OFFSET(data_oe_detail!$A$1,$D$89+$B114-1,BA$100-1)</f>
        <v>#N/A</v>
      </c>
      <c r="BB114" t="e">
        <f ca="1">OFFSET(data_oe_detail!$A$1,$D$89+$B114-1,BB$100-1)</f>
        <v>#N/A</v>
      </c>
      <c r="BC114" t="e">
        <f ca="1">OFFSET(data_oe_detail!$A$1,$D$89+$B114-1,BC$100-1)</f>
        <v>#N/A</v>
      </c>
      <c r="BD114" t="e">
        <f ca="1">OFFSET(data_oe_detail!$A$1,$D$89+$B114-1,BD$100-1)</f>
        <v>#N/A</v>
      </c>
      <c r="BE114" t="e">
        <f ca="1">OFFSET(data_oe_detail!$A$1,$D$89+$B114-1,BE$100-1)</f>
        <v>#N/A</v>
      </c>
      <c r="BF114" t="e">
        <f ca="1">OFFSET(data_oe_detail!$A$1,$D$89+$B114-1,BF$100-1)</f>
        <v>#N/A</v>
      </c>
      <c r="BG114" t="e">
        <f ca="1">OFFSET(data_oe_detail!$A$1,$D$89+$B114-1,BG$100-1)</f>
        <v>#N/A</v>
      </c>
      <c r="BH114" t="e">
        <f ca="1">OFFSET(data_oe_detail!$A$1,$D$89+$B114-1,BH$100-1)</f>
        <v>#N/A</v>
      </c>
      <c r="BI114" t="e">
        <f ca="1">OFFSET(data_oe_detail!$A$1,$D$89+$B114-1,BI$100-1)</f>
        <v>#N/A</v>
      </c>
      <c r="BJ114" t="e">
        <f ca="1">OFFSET(data_oe_detail!$A$1,$D$89+$B114-1,BJ$100-1)</f>
        <v>#N/A</v>
      </c>
      <c r="BK114" t="e">
        <f ca="1">OFFSET(data_oe_detail!$A$1,$D$89+$B114-1,BK$100-1)</f>
        <v>#N/A</v>
      </c>
      <c r="BL114" t="e">
        <f ca="1">OFFSET(data_oe_detail!$A$1,$D$89+$B114-1,BL$100-1)</f>
        <v>#N/A</v>
      </c>
      <c r="BM114" t="e">
        <f ca="1">OFFSET(data_oe_detail!$A$1,$D$89+$B114-1,BM$100-1)</f>
        <v>#N/A</v>
      </c>
      <c r="BN114" t="e">
        <f ca="1">OFFSET(data_oe_detail!$A$1,$D$89+$B114-1,BN$100-1)</f>
        <v>#N/A</v>
      </c>
      <c r="BO114" t="e">
        <f ca="1">OFFSET(data_oe_detail!$A$1,$D$89+$B114-1,BO$100-1)</f>
        <v>#N/A</v>
      </c>
      <c r="BP114" t="e">
        <f ca="1">OFFSET(data_oe_detail!$A$1,$D$89+$B114-1,BP$100-1)</f>
        <v>#N/A</v>
      </c>
      <c r="BQ114" t="e">
        <f ca="1">OFFSET(data_oe_detail!$A$1,$D$89+$B114-1,BQ$100-1)</f>
        <v>#N/A</v>
      </c>
      <c r="BR114" t="e">
        <f ca="1">OFFSET(data_oe_detail!$A$1,$D$89+$B114-1,BR$100-1)</f>
        <v>#N/A</v>
      </c>
      <c r="BS114" t="e">
        <f ca="1">OFFSET(data_oe_detail!$A$1,$D$89+$B114-1,BS$100-1)</f>
        <v>#N/A</v>
      </c>
      <c r="BT114" t="e">
        <f ca="1">OFFSET(data_oe_detail!$A$1,$D$89+$B114-1,BT$100-1)</f>
        <v>#N/A</v>
      </c>
      <c r="BU114" t="e">
        <f ca="1">OFFSET(data_oe_detail!$A$1,$D$89+$B114-1,BU$100-1)</f>
        <v>#N/A</v>
      </c>
      <c r="BV114" t="e">
        <f ca="1">OFFSET(data_oe_detail!$A$1,$D$89+$B114-1,BV$100-1)</f>
        <v>#N/A</v>
      </c>
      <c r="BW114" t="e">
        <f ca="1">OFFSET(data_oe_detail!$A$1,$D$89+$B114-1,BW$100-1)</f>
        <v>#N/A</v>
      </c>
      <c r="BX114" t="e">
        <f ca="1">OFFSET(data_oe_detail!$A$1,$D$89+$B114-1,BX$100-1)</f>
        <v>#N/A</v>
      </c>
      <c r="BY114" t="e">
        <f ca="1">OFFSET(data_oe_detail!$A$1,$D$89+$B114-1,BY$100-1)</f>
        <v>#N/A</v>
      </c>
      <c r="BZ114" t="e">
        <f ca="1">OFFSET(data_oe_detail!$A$1,$D$89+$B114-1,BZ$100-1)</f>
        <v>#N/A</v>
      </c>
      <c r="CA114" t="e">
        <f ca="1">OFFSET(data_oe_detail!$A$1,$D$89+$B114-1,CA$100-1)</f>
        <v>#N/A</v>
      </c>
      <c r="CB114" t="e">
        <f ca="1">OFFSET(data_oe_detail!$A$1,$D$89+$B114-1,CB$100-1)</f>
        <v>#N/A</v>
      </c>
      <c r="CC114" t="e">
        <f ca="1">OFFSET(data_oe_detail!$A$1,$D$89+$B114-1,CC$100-1)</f>
        <v>#N/A</v>
      </c>
      <c r="CD114" t="e">
        <f ca="1">OFFSET(data_oe_detail!$A$1,$D$89+$B114-1,CD$100-1)</f>
        <v>#N/A</v>
      </c>
      <c r="CE114" t="e">
        <f ca="1">OFFSET(data_oe_detail!$A$1,$D$89+$B114-1,CE$100-1)</f>
        <v>#N/A</v>
      </c>
      <c r="CF114" t="e">
        <f ca="1">OFFSET(data_oe_detail!$A$1,$D$89+$B114-1,CF$100-1)</f>
        <v>#N/A</v>
      </c>
      <c r="CG114" t="e">
        <f ca="1">OFFSET(data_oe_detail!$A$1,$D$89+$B114-1,CG$100-1)</f>
        <v>#N/A</v>
      </c>
      <c r="CH114" t="e">
        <f ca="1">OFFSET(data_oe_detail!$A$1,$D$89+$B114-1,CH$100-1)</f>
        <v>#N/A</v>
      </c>
      <c r="CI114" t="e">
        <f ca="1">OFFSET(data_oe_detail!$A$1,$D$89+$B114-1,CI$100-1)</f>
        <v>#N/A</v>
      </c>
      <c r="CJ114" t="e">
        <f ca="1">OFFSET(data_oe_detail!$A$1,$D$89+$B114-1,CJ$100-1)</f>
        <v>#N/A</v>
      </c>
      <c r="CK114" t="e">
        <f ca="1">OFFSET(data_oe_detail!$A$1,$D$89+$B114-1,CK$100-1)</f>
        <v>#N/A</v>
      </c>
      <c r="CL114" t="e">
        <f ca="1">OFFSET(data_oe_detail!$A$1,$D$89+$B114-1,CL$100-1)</f>
        <v>#N/A</v>
      </c>
      <c r="CM114" t="e">
        <f ca="1">OFFSET(data_oe_detail!$A$1,$D$89+$B114-1,CM$100-1)</f>
        <v>#N/A</v>
      </c>
      <c r="CN114" t="e">
        <f ca="1">OFFSET(data_oe_detail!$A$1,$D$89+$B114-1,CN$100-1)</f>
        <v>#N/A</v>
      </c>
      <c r="CO114" t="e">
        <f ca="1">OFFSET(data_oe_detail!$A$1,$D$89+$B114-1,CO$100-1)</f>
        <v>#N/A</v>
      </c>
      <c r="CP114" t="e">
        <f ca="1">OFFSET(data_oe_detail!$A$1,$D$89+$B114-1,CP$100-1)</f>
        <v>#N/A</v>
      </c>
      <c r="CQ114" t="e">
        <f ca="1">OFFSET(data_oe_detail!$A$1,$D$89+$B114-1,CQ$100-1)</f>
        <v>#N/A</v>
      </c>
      <c r="CR114" t="e">
        <f ca="1">OFFSET(data_oe_detail!$A$1,$D$89+$B114-1,CR$100-1)</f>
        <v>#N/A</v>
      </c>
      <c r="CS114" t="e">
        <f ca="1">OFFSET(data_oe_detail!$A$1,$D$89+$B114-1,CS$100-1)</f>
        <v>#N/A</v>
      </c>
      <c r="CT114" t="e">
        <f ca="1">OFFSET(data_oe_detail!$A$1,$D$89+$B114-1,CT$100-1)</f>
        <v>#N/A</v>
      </c>
      <c r="CU114" t="e">
        <f ca="1">OFFSET(data_oe_detail!$A$1,$D$89+$B114-1,CU$100-1)</f>
        <v>#N/A</v>
      </c>
      <c r="CV114" t="e">
        <f ca="1">OFFSET(data_oe_detail!$A$1,$D$89+$B114-1,CV$100-1)</f>
        <v>#N/A</v>
      </c>
      <c r="CW114" t="e">
        <f ca="1">OFFSET(data_oe_detail!$A$1,$D$89+$B114-1,CW$100-1)</f>
        <v>#N/A</v>
      </c>
      <c r="CX114" t="e">
        <f ca="1">OFFSET(data_oe_detail!$A$1,$D$89+$B114-1,CX$100-1)</f>
        <v>#N/A</v>
      </c>
      <c r="CY114" t="e">
        <f ca="1">OFFSET(data_oe_detail!$A$1,$D$89+$B114-1,CY$100-1)</f>
        <v>#N/A</v>
      </c>
      <c r="CZ114" t="e">
        <f ca="1">OFFSET(data_oe_detail!$A$1,$D$89+$B114-1,CZ$100-1)</f>
        <v>#N/A</v>
      </c>
      <c r="DA114" t="e">
        <f ca="1">OFFSET(data_oe_detail!$A$1,$D$89+$B114-1,DA$100-1)</f>
        <v>#N/A</v>
      </c>
      <c r="DB114" t="e">
        <f ca="1">OFFSET(data_oe_detail!$A$1,$D$89+$B114-1,DB$100-1)</f>
        <v>#N/A</v>
      </c>
      <c r="DC114" t="e">
        <f ca="1">OFFSET(data_oe_detail!$A$1,$D$89+$B114-1,DC$100-1)</f>
        <v>#N/A</v>
      </c>
      <c r="DD114" t="e">
        <f ca="1">OFFSET(data_oe_detail!$A$1,$D$89+$B114-1,DD$100-1)</f>
        <v>#N/A</v>
      </c>
      <c r="DE114" t="e">
        <f ca="1">OFFSET(data_oe_detail!$A$1,$D$89+$B114-1,DE$100-1)</f>
        <v>#N/A</v>
      </c>
      <c r="DF114" t="e">
        <f ca="1">OFFSET(data_oe_detail!$A$1,$D$89+$B114-1,DF$100-1)</f>
        <v>#N/A</v>
      </c>
      <c r="DG114" t="e">
        <f ca="1">OFFSET(data_oe_detail!$A$1,$D$89+$B114-1,DG$100-1)</f>
        <v>#N/A</v>
      </c>
      <c r="DH114" t="e">
        <f ca="1">OFFSET(data_oe_detail!$A$1,$D$89+$B114-1,DH$100-1)</f>
        <v>#N/A</v>
      </c>
    </row>
    <row r="115" spans="2:112" hidden="1" outlineLevel="1" x14ac:dyDescent="0.35">
      <c r="B115" s="128">
        <v>14</v>
      </c>
      <c r="C115" t="e">
        <f ca="1">OFFSET(data_oe_detail!$A$1,$D$89+$B115-1,C$100-1)</f>
        <v>#N/A</v>
      </c>
      <c r="D115" t="e">
        <f ca="1">OFFSET(data_oe_detail!$A$1,$D$89+$B115-1,D$100-1)</f>
        <v>#N/A</v>
      </c>
      <c r="E115" t="e">
        <f ca="1">OFFSET(data_oe_detail!$A$1,$D$89+$B115-1,E$100-1)</f>
        <v>#N/A</v>
      </c>
      <c r="F115" t="e">
        <f ca="1">OFFSET(data_oe_detail!$A$1,$D$89+$B115-1,F$100-1)</f>
        <v>#N/A</v>
      </c>
      <c r="G115" t="e">
        <f ca="1">OFFSET(data_oe_detail!$A$1,$D$89+$B115-1,G$100-1)</f>
        <v>#N/A</v>
      </c>
      <c r="H115" t="e">
        <f ca="1">OFFSET(data_oe_detail!$A$1,$D$89+$B115-1,H$100-1)</f>
        <v>#N/A</v>
      </c>
      <c r="I115" t="e">
        <f ca="1">OFFSET(data_oe_detail!$A$1,$D$89+$B115-1,I$100-1)</f>
        <v>#N/A</v>
      </c>
      <c r="J115" t="e">
        <f ca="1">OFFSET(data_oe_detail!$A$1,$D$89+$B115-1,J$100-1)</f>
        <v>#N/A</v>
      </c>
      <c r="K115" t="e">
        <f ca="1">OFFSET(data_oe_detail!$A$1,$D$89+$B115-1,K$100-1)</f>
        <v>#N/A</v>
      </c>
      <c r="L115" t="e">
        <f ca="1">OFFSET(data_oe_detail!$A$1,$D$89+$B115-1,L$100-1)</f>
        <v>#N/A</v>
      </c>
      <c r="M115" t="e">
        <f ca="1">OFFSET(data_oe_detail!$A$1,$D$89+$B115-1,M$100-1)</f>
        <v>#N/A</v>
      </c>
      <c r="N115" t="e">
        <f ca="1">OFFSET(data_oe_detail!$A$1,$D$89+$B115-1,N$100-1)</f>
        <v>#N/A</v>
      </c>
      <c r="O115" t="e">
        <f ca="1">OFFSET(data_oe_detail!$A$1,$D$89+$B115-1,O$100-1)</f>
        <v>#N/A</v>
      </c>
      <c r="P115" t="e">
        <f ca="1">OFFSET(data_oe_detail!$A$1,$D$89+$B115-1,P$100-1)</f>
        <v>#N/A</v>
      </c>
      <c r="Q115" t="e">
        <f ca="1">OFFSET(data_oe_detail!$A$1,$D$89+$B115-1,Q$100-1)</f>
        <v>#N/A</v>
      </c>
      <c r="R115" t="e">
        <f ca="1">OFFSET(data_oe_detail!$A$1,$D$89+$B115-1,R$100-1)</f>
        <v>#N/A</v>
      </c>
      <c r="S115" t="e">
        <f ca="1">OFFSET(data_oe_detail!$A$1,$D$89+$B115-1,S$100-1)</f>
        <v>#N/A</v>
      </c>
      <c r="T115" t="e">
        <f ca="1">OFFSET(data_oe_detail!$A$1,$D$89+$B115-1,T$100-1)</f>
        <v>#N/A</v>
      </c>
      <c r="U115" t="e">
        <f ca="1">OFFSET(data_oe_detail!$A$1,$D$89+$B115-1,U$100-1)</f>
        <v>#N/A</v>
      </c>
      <c r="V115" t="e">
        <f ca="1">OFFSET(data_oe_detail!$A$1,$D$89+$B115-1,V$100-1)</f>
        <v>#N/A</v>
      </c>
      <c r="W115" t="e">
        <f ca="1">OFFSET(data_oe_detail!$A$1,$D$89+$B115-1,W$100-1)</f>
        <v>#N/A</v>
      </c>
      <c r="X115" t="e">
        <f ca="1">OFFSET(data_oe_detail!$A$1,$D$89+$B115-1,X$100-1)</f>
        <v>#N/A</v>
      </c>
      <c r="Y115" t="e">
        <f ca="1">OFFSET(data_oe_detail!$A$1,$D$89+$B115-1,Y$100-1)</f>
        <v>#N/A</v>
      </c>
      <c r="Z115" t="e">
        <f ca="1">OFFSET(data_oe_detail!$A$1,$D$89+$B115-1,Z$100-1)</f>
        <v>#N/A</v>
      </c>
      <c r="AA115" t="e">
        <f ca="1">OFFSET(data_oe_detail!$A$1,$D$89+$B115-1,AA$100-1)</f>
        <v>#N/A</v>
      </c>
      <c r="AB115" t="e">
        <f ca="1">OFFSET(data_oe_detail!$A$1,$D$89+$B115-1,AB$100-1)</f>
        <v>#N/A</v>
      </c>
      <c r="AC115" t="e">
        <f ca="1">OFFSET(data_oe_detail!$A$1,$D$89+$B115-1,AC$100-1)</f>
        <v>#N/A</v>
      </c>
      <c r="AD115" t="e">
        <f ca="1">OFFSET(data_oe_detail!$A$1,$D$89+$B115-1,AD$100-1)</f>
        <v>#N/A</v>
      </c>
      <c r="AE115" t="e">
        <f ca="1">OFFSET(data_oe_detail!$A$1,$D$89+$B115-1,AE$100-1)</f>
        <v>#N/A</v>
      </c>
      <c r="AF115" t="e">
        <f ca="1">OFFSET(data_oe_detail!$A$1,$D$89+$B115-1,AF$100-1)</f>
        <v>#N/A</v>
      </c>
      <c r="AG115" t="e">
        <f ca="1">OFFSET(data_oe_detail!$A$1,$D$89+$B115-1,AG$100-1)</f>
        <v>#N/A</v>
      </c>
      <c r="AH115" t="e">
        <f ca="1">OFFSET(data_oe_detail!$A$1,$D$89+$B115-1,AH$100-1)</f>
        <v>#N/A</v>
      </c>
      <c r="AI115" t="e">
        <f ca="1">OFFSET(data_oe_detail!$A$1,$D$89+$B115-1,AI$100-1)</f>
        <v>#N/A</v>
      </c>
      <c r="AJ115" t="e">
        <f ca="1">OFFSET(data_oe_detail!$A$1,$D$89+$B115-1,AJ$100-1)</f>
        <v>#N/A</v>
      </c>
      <c r="AK115" t="e">
        <f ca="1">OFFSET(data_oe_detail!$A$1,$D$89+$B115-1,AK$100-1)</f>
        <v>#N/A</v>
      </c>
      <c r="AL115" t="e">
        <f ca="1">OFFSET(data_oe_detail!$A$1,$D$89+$B115-1,AL$100-1)</f>
        <v>#N/A</v>
      </c>
      <c r="AM115" t="e">
        <f ca="1">OFFSET(data_oe_detail!$A$1,$D$89+$B115-1,AM$100-1)</f>
        <v>#N/A</v>
      </c>
      <c r="AN115" t="e">
        <f ca="1">OFFSET(data_oe_detail!$A$1,$D$89+$B115-1,AN$100-1)</f>
        <v>#N/A</v>
      </c>
      <c r="AO115" t="e">
        <f ca="1">OFFSET(data_oe_detail!$A$1,$D$89+$B115-1,AO$100-1)</f>
        <v>#N/A</v>
      </c>
      <c r="AP115" t="e">
        <f ca="1">OFFSET(data_oe_detail!$A$1,$D$89+$B115-1,AP$100-1)</f>
        <v>#N/A</v>
      </c>
      <c r="AQ115" t="e">
        <f ca="1">OFFSET(data_oe_detail!$A$1,$D$89+$B115-1,AQ$100-1)</f>
        <v>#N/A</v>
      </c>
      <c r="AR115" t="e">
        <f ca="1">OFFSET(data_oe_detail!$A$1,$D$89+$B115-1,AR$100-1)</f>
        <v>#N/A</v>
      </c>
      <c r="AS115" t="e">
        <f ca="1">OFFSET(data_oe_detail!$A$1,$D$89+$B115-1,AS$100-1)</f>
        <v>#N/A</v>
      </c>
      <c r="AT115" t="e">
        <f ca="1">OFFSET(data_oe_detail!$A$1,$D$89+$B115-1,AT$100-1)</f>
        <v>#N/A</v>
      </c>
      <c r="AU115" t="e">
        <f ca="1">OFFSET(data_oe_detail!$A$1,$D$89+$B115-1,AU$100-1)</f>
        <v>#N/A</v>
      </c>
      <c r="AV115" t="e">
        <f ca="1">OFFSET(data_oe_detail!$A$1,$D$89+$B115-1,AV$100-1)</f>
        <v>#N/A</v>
      </c>
      <c r="AW115" t="e">
        <f ca="1">OFFSET(data_oe_detail!$A$1,$D$89+$B115-1,AW$100-1)</f>
        <v>#N/A</v>
      </c>
      <c r="AX115" t="e">
        <f ca="1">OFFSET(data_oe_detail!$A$1,$D$89+$B115-1,AX$100-1)</f>
        <v>#N/A</v>
      </c>
      <c r="AY115" t="e">
        <f ca="1">OFFSET(data_oe_detail!$A$1,$D$89+$B115-1,AY$100-1)</f>
        <v>#N/A</v>
      </c>
      <c r="AZ115" t="e">
        <f ca="1">OFFSET(data_oe_detail!$A$1,$D$89+$B115-1,AZ$100-1)</f>
        <v>#N/A</v>
      </c>
      <c r="BA115" t="e">
        <f ca="1">OFFSET(data_oe_detail!$A$1,$D$89+$B115-1,BA$100-1)</f>
        <v>#N/A</v>
      </c>
      <c r="BB115" t="e">
        <f ca="1">OFFSET(data_oe_detail!$A$1,$D$89+$B115-1,BB$100-1)</f>
        <v>#N/A</v>
      </c>
      <c r="BC115" t="e">
        <f ca="1">OFFSET(data_oe_detail!$A$1,$D$89+$B115-1,BC$100-1)</f>
        <v>#N/A</v>
      </c>
      <c r="BD115" t="e">
        <f ca="1">OFFSET(data_oe_detail!$A$1,$D$89+$B115-1,BD$100-1)</f>
        <v>#N/A</v>
      </c>
      <c r="BE115" t="e">
        <f ca="1">OFFSET(data_oe_detail!$A$1,$D$89+$B115-1,BE$100-1)</f>
        <v>#N/A</v>
      </c>
      <c r="BF115" t="e">
        <f ca="1">OFFSET(data_oe_detail!$A$1,$D$89+$B115-1,BF$100-1)</f>
        <v>#N/A</v>
      </c>
      <c r="BG115" t="e">
        <f ca="1">OFFSET(data_oe_detail!$A$1,$D$89+$B115-1,BG$100-1)</f>
        <v>#N/A</v>
      </c>
      <c r="BH115" t="e">
        <f ca="1">OFFSET(data_oe_detail!$A$1,$D$89+$B115-1,BH$100-1)</f>
        <v>#N/A</v>
      </c>
      <c r="BI115" t="e">
        <f ca="1">OFFSET(data_oe_detail!$A$1,$D$89+$B115-1,BI$100-1)</f>
        <v>#N/A</v>
      </c>
      <c r="BJ115" t="e">
        <f ca="1">OFFSET(data_oe_detail!$A$1,$D$89+$B115-1,BJ$100-1)</f>
        <v>#N/A</v>
      </c>
      <c r="BK115" t="e">
        <f ca="1">OFFSET(data_oe_detail!$A$1,$D$89+$B115-1,BK$100-1)</f>
        <v>#N/A</v>
      </c>
      <c r="BL115" t="e">
        <f ca="1">OFFSET(data_oe_detail!$A$1,$D$89+$B115-1,BL$100-1)</f>
        <v>#N/A</v>
      </c>
      <c r="BM115" t="e">
        <f ca="1">OFFSET(data_oe_detail!$A$1,$D$89+$B115-1,BM$100-1)</f>
        <v>#N/A</v>
      </c>
      <c r="BN115" t="e">
        <f ca="1">OFFSET(data_oe_detail!$A$1,$D$89+$B115-1,BN$100-1)</f>
        <v>#N/A</v>
      </c>
      <c r="BO115" t="e">
        <f ca="1">OFFSET(data_oe_detail!$A$1,$D$89+$B115-1,BO$100-1)</f>
        <v>#N/A</v>
      </c>
      <c r="BP115" t="e">
        <f ca="1">OFFSET(data_oe_detail!$A$1,$D$89+$B115-1,BP$100-1)</f>
        <v>#N/A</v>
      </c>
      <c r="BQ115" t="e">
        <f ca="1">OFFSET(data_oe_detail!$A$1,$D$89+$B115-1,BQ$100-1)</f>
        <v>#N/A</v>
      </c>
      <c r="BR115" t="e">
        <f ca="1">OFFSET(data_oe_detail!$A$1,$D$89+$B115-1,BR$100-1)</f>
        <v>#N/A</v>
      </c>
      <c r="BS115" t="e">
        <f ca="1">OFFSET(data_oe_detail!$A$1,$D$89+$B115-1,BS$100-1)</f>
        <v>#N/A</v>
      </c>
      <c r="BT115" t="e">
        <f ca="1">OFFSET(data_oe_detail!$A$1,$D$89+$B115-1,BT$100-1)</f>
        <v>#N/A</v>
      </c>
      <c r="BU115" t="e">
        <f ca="1">OFFSET(data_oe_detail!$A$1,$D$89+$B115-1,BU$100-1)</f>
        <v>#N/A</v>
      </c>
      <c r="BV115" t="e">
        <f ca="1">OFFSET(data_oe_detail!$A$1,$D$89+$B115-1,BV$100-1)</f>
        <v>#N/A</v>
      </c>
      <c r="BW115" t="e">
        <f ca="1">OFFSET(data_oe_detail!$A$1,$D$89+$B115-1,BW$100-1)</f>
        <v>#N/A</v>
      </c>
      <c r="BX115" t="e">
        <f ca="1">OFFSET(data_oe_detail!$A$1,$D$89+$B115-1,BX$100-1)</f>
        <v>#N/A</v>
      </c>
      <c r="BY115" t="e">
        <f ca="1">OFFSET(data_oe_detail!$A$1,$D$89+$B115-1,BY$100-1)</f>
        <v>#N/A</v>
      </c>
      <c r="BZ115" t="e">
        <f ca="1">OFFSET(data_oe_detail!$A$1,$D$89+$B115-1,BZ$100-1)</f>
        <v>#N/A</v>
      </c>
      <c r="CA115" t="e">
        <f ca="1">OFFSET(data_oe_detail!$A$1,$D$89+$B115-1,CA$100-1)</f>
        <v>#N/A</v>
      </c>
      <c r="CB115" t="e">
        <f ca="1">OFFSET(data_oe_detail!$A$1,$D$89+$B115-1,CB$100-1)</f>
        <v>#N/A</v>
      </c>
      <c r="CC115" t="e">
        <f ca="1">OFFSET(data_oe_detail!$A$1,$D$89+$B115-1,CC$100-1)</f>
        <v>#N/A</v>
      </c>
      <c r="CD115" t="e">
        <f ca="1">OFFSET(data_oe_detail!$A$1,$D$89+$B115-1,CD$100-1)</f>
        <v>#N/A</v>
      </c>
      <c r="CE115" t="e">
        <f ca="1">OFFSET(data_oe_detail!$A$1,$D$89+$B115-1,CE$100-1)</f>
        <v>#N/A</v>
      </c>
      <c r="CF115" t="e">
        <f ca="1">OFFSET(data_oe_detail!$A$1,$D$89+$B115-1,CF$100-1)</f>
        <v>#N/A</v>
      </c>
      <c r="CG115" t="e">
        <f ca="1">OFFSET(data_oe_detail!$A$1,$D$89+$B115-1,CG$100-1)</f>
        <v>#N/A</v>
      </c>
      <c r="CH115" t="e">
        <f ca="1">OFFSET(data_oe_detail!$A$1,$D$89+$B115-1,CH$100-1)</f>
        <v>#N/A</v>
      </c>
      <c r="CI115" t="e">
        <f ca="1">OFFSET(data_oe_detail!$A$1,$D$89+$B115-1,CI$100-1)</f>
        <v>#N/A</v>
      </c>
      <c r="CJ115" t="e">
        <f ca="1">OFFSET(data_oe_detail!$A$1,$D$89+$B115-1,CJ$100-1)</f>
        <v>#N/A</v>
      </c>
      <c r="CK115" t="e">
        <f ca="1">OFFSET(data_oe_detail!$A$1,$D$89+$B115-1,CK$100-1)</f>
        <v>#N/A</v>
      </c>
      <c r="CL115" t="e">
        <f ca="1">OFFSET(data_oe_detail!$A$1,$D$89+$B115-1,CL$100-1)</f>
        <v>#N/A</v>
      </c>
      <c r="CM115" t="e">
        <f ca="1">OFFSET(data_oe_detail!$A$1,$D$89+$B115-1,CM$100-1)</f>
        <v>#N/A</v>
      </c>
      <c r="CN115" t="e">
        <f ca="1">OFFSET(data_oe_detail!$A$1,$D$89+$B115-1,CN$100-1)</f>
        <v>#N/A</v>
      </c>
      <c r="CO115" t="e">
        <f ca="1">OFFSET(data_oe_detail!$A$1,$D$89+$B115-1,CO$100-1)</f>
        <v>#N/A</v>
      </c>
      <c r="CP115" t="e">
        <f ca="1">OFFSET(data_oe_detail!$A$1,$D$89+$B115-1,CP$100-1)</f>
        <v>#N/A</v>
      </c>
      <c r="CQ115" t="e">
        <f ca="1">OFFSET(data_oe_detail!$A$1,$D$89+$B115-1,CQ$100-1)</f>
        <v>#N/A</v>
      </c>
      <c r="CR115" t="e">
        <f ca="1">OFFSET(data_oe_detail!$A$1,$D$89+$B115-1,CR$100-1)</f>
        <v>#N/A</v>
      </c>
      <c r="CS115" t="e">
        <f ca="1">OFFSET(data_oe_detail!$A$1,$D$89+$B115-1,CS$100-1)</f>
        <v>#N/A</v>
      </c>
      <c r="CT115" t="e">
        <f ca="1">OFFSET(data_oe_detail!$A$1,$D$89+$B115-1,CT$100-1)</f>
        <v>#N/A</v>
      </c>
      <c r="CU115" t="e">
        <f ca="1">OFFSET(data_oe_detail!$A$1,$D$89+$B115-1,CU$100-1)</f>
        <v>#N/A</v>
      </c>
      <c r="CV115" t="e">
        <f ca="1">OFFSET(data_oe_detail!$A$1,$D$89+$B115-1,CV$100-1)</f>
        <v>#N/A</v>
      </c>
      <c r="CW115" t="e">
        <f ca="1">OFFSET(data_oe_detail!$A$1,$D$89+$B115-1,CW$100-1)</f>
        <v>#N/A</v>
      </c>
      <c r="CX115" t="e">
        <f ca="1">OFFSET(data_oe_detail!$A$1,$D$89+$B115-1,CX$100-1)</f>
        <v>#N/A</v>
      </c>
      <c r="CY115" t="e">
        <f ca="1">OFFSET(data_oe_detail!$A$1,$D$89+$B115-1,CY$100-1)</f>
        <v>#N/A</v>
      </c>
      <c r="CZ115" t="e">
        <f ca="1">OFFSET(data_oe_detail!$A$1,$D$89+$B115-1,CZ$100-1)</f>
        <v>#N/A</v>
      </c>
      <c r="DA115" t="e">
        <f ca="1">OFFSET(data_oe_detail!$A$1,$D$89+$B115-1,DA$100-1)</f>
        <v>#N/A</v>
      </c>
      <c r="DB115" t="e">
        <f ca="1">OFFSET(data_oe_detail!$A$1,$D$89+$B115-1,DB$100-1)</f>
        <v>#N/A</v>
      </c>
      <c r="DC115" t="e">
        <f ca="1">OFFSET(data_oe_detail!$A$1,$D$89+$B115-1,DC$100-1)</f>
        <v>#N/A</v>
      </c>
      <c r="DD115" t="e">
        <f ca="1">OFFSET(data_oe_detail!$A$1,$D$89+$B115-1,DD$100-1)</f>
        <v>#N/A</v>
      </c>
      <c r="DE115" t="e">
        <f ca="1">OFFSET(data_oe_detail!$A$1,$D$89+$B115-1,DE$100-1)</f>
        <v>#N/A</v>
      </c>
      <c r="DF115" t="e">
        <f ca="1">OFFSET(data_oe_detail!$A$1,$D$89+$B115-1,DF$100-1)</f>
        <v>#N/A</v>
      </c>
      <c r="DG115" t="e">
        <f ca="1">OFFSET(data_oe_detail!$A$1,$D$89+$B115-1,DG$100-1)</f>
        <v>#N/A</v>
      </c>
      <c r="DH115" t="e">
        <f ca="1">OFFSET(data_oe_detail!$A$1,$D$89+$B115-1,DH$100-1)</f>
        <v>#N/A</v>
      </c>
    </row>
    <row r="116" spans="2:112" hidden="1" outlineLevel="1" x14ac:dyDescent="0.35">
      <c r="B116" s="128">
        <v>15</v>
      </c>
      <c r="C116" t="e">
        <f ca="1">OFFSET(data_oe_detail!$A$1,$D$89+$B116-1,C$100-1)</f>
        <v>#N/A</v>
      </c>
      <c r="D116" t="e">
        <f ca="1">OFFSET(data_oe_detail!$A$1,$D$89+$B116-1,D$100-1)</f>
        <v>#N/A</v>
      </c>
      <c r="E116" t="e">
        <f ca="1">OFFSET(data_oe_detail!$A$1,$D$89+$B116-1,E$100-1)</f>
        <v>#N/A</v>
      </c>
      <c r="F116" t="e">
        <f ca="1">OFFSET(data_oe_detail!$A$1,$D$89+$B116-1,F$100-1)</f>
        <v>#N/A</v>
      </c>
      <c r="G116" t="e">
        <f ca="1">OFFSET(data_oe_detail!$A$1,$D$89+$B116-1,G$100-1)</f>
        <v>#N/A</v>
      </c>
      <c r="H116" t="e">
        <f ca="1">OFFSET(data_oe_detail!$A$1,$D$89+$B116-1,H$100-1)</f>
        <v>#N/A</v>
      </c>
      <c r="I116" t="e">
        <f ca="1">OFFSET(data_oe_detail!$A$1,$D$89+$B116-1,I$100-1)</f>
        <v>#N/A</v>
      </c>
      <c r="J116" t="e">
        <f ca="1">OFFSET(data_oe_detail!$A$1,$D$89+$B116-1,J$100-1)</f>
        <v>#N/A</v>
      </c>
      <c r="K116" t="e">
        <f ca="1">OFFSET(data_oe_detail!$A$1,$D$89+$B116-1,K$100-1)</f>
        <v>#N/A</v>
      </c>
      <c r="L116" t="e">
        <f ca="1">OFFSET(data_oe_detail!$A$1,$D$89+$B116-1,L$100-1)</f>
        <v>#N/A</v>
      </c>
      <c r="M116" t="e">
        <f ca="1">OFFSET(data_oe_detail!$A$1,$D$89+$B116-1,M$100-1)</f>
        <v>#N/A</v>
      </c>
      <c r="N116" t="e">
        <f ca="1">OFFSET(data_oe_detail!$A$1,$D$89+$B116-1,N$100-1)</f>
        <v>#N/A</v>
      </c>
      <c r="O116" t="e">
        <f ca="1">OFFSET(data_oe_detail!$A$1,$D$89+$B116-1,O$100-1)</f>
        <v>#N/A</v>
      </c>
      <c r="P116" t="e">
        <f ca="1">OFFSET(data_oe_detail!$A$1,$D$89+$B116-1,P$100-1)</f>
        <v>#N/A</v>
      </c>
      <c r="Q116" t="e">
        <f ca="1">OFFSET(data_oe_detail!$A$1,$D$89+$B116-1,Q$100-1)</f>
        <v>#N/A</v>
      </c>
      <c r="R116" t="e">
        <f ca="1">OFFSET(data_oe_detail!$A$1,$D$89+$B116-1,R$100-1)</f>
        <v>#N/A</v>
      </c>
      <c r="S116" t="e">
        <f ca="1">OFFSET(data_oe_detail!$A$1,$D$89+$B116-1,S$100-1)</f>
        <v>#N/A</v>
      </c>
      <c r="T116" t="e">
        <f ca="1">OFFSET(data_oe_detail!$A$1,$D$89+$B116-1,T$100-1)</f>
        <v>#N/A</v>
      </c>
      <c r="U116" t="e">
        <f ca="1">OFFSET(data_oe_detail!$A$1,$D$89+$B116-1,U$100-1)</f>
        <v>#N/A</v>
      </c>
      <c r="V116" t="e">
        <f ca="1">OFFSET(data_oe_detail!$A$1,$D$89+$B116-1,V$100-1)</f>
        <v>#N/A</v>
      </c>
      <c r="W116" t="e">
        <f ca="1">OFFSET(data_oe_detail!$A$1,$D$89+$B116-1,W$100-1)</f>
        <v>#N/A</v>
      </c>
      <c r="X116" t="e">
        <f ca="1">OFFSET(data_oe_detail!$A$1,$D$89+$B116-1,X$100-1)</f>
        <v>#N/A</v>
      </c>
      <c r="Y116" t="e">
        <f ca="1">OFFSET(data_oe_detail!$A$1,$D$89+$B116-1,Y$100-1)</f>
        <v>#N/A</v>
      </c>
      <c r="Z116" t="e">
        <f ca="1">OFFSET(data_oe_detail!$A$1,$D$89+$B116-1,Z$100-1)</f>
        <v>#N/A</v>
      </c>
      <c r="AA116" t="e">
        <f ca="1">OFFSET(data_oe_detail!$A$1,$D$89+$B116-1,AA$100-1)</f>
        <v>#N/A</v>
      </c>
      <c r="AB116" t="e">
        <f ca="1">OFFSET(data_oe_detail!$A$1,$D$89+$B116-1,AB$100-1)</f>
        <v>#N/A</v>
      </c>
      <c r="AC116" t="e">
        <f ca="1">OFFSET(data_oe_detail!$A$1,$D$89+$B116-1,AC$100-1)</f>
        <v>#N/A</v>
      </c>
      <c r="AD116" t="e">
        <f ca="1">OFFSET(data_oe_detail!$A$1,$D$89+$B116-1,AD$100-1)</f>
        <v>#N/A</v>
      </c>
      <c r="AE116" t="e">
        <f ca="1">OFFSET(data_oe_detail!$A$1,$D$89+$B116-1,AE$100-1)</f>
        <v>#N/A</v>
      </c>
      <c r="AF116" t="e">
        <f ca="1">OFFSET(data_oe_detail!$A$1,$D$89+$B116-1,AF$100-1)</f>
        <v>#N/A</v>
      </c>
      <c r="AG116" t="e">
        <f ca="1">OFFSET(data_oe_detail!$A$1,$D$89+$B116-1,AG$100-1)</f>
        <v>#N/A</v>
      </c>
      <c r="AH116" t="e">
        <f ca="1">OFFSET(data_oe_detail!$A$1,$D$89+$B116-1,AH$100-1)</f>
        <v>#N/A</v>
      </c>
      <c r="AI116" t="e">
        <f ca="1">OFFSET(data_oe_detail!$A$1,$D$89+$B116-1,AI$100-1)</f>
        <v>#N/A</v>
      </c>
      <c r="AJ116" t="e">
        <f ca="1">OFFSET(data_oe_detail!$A$1,$D$89+$B116-1,AJ$100-1)</f>
        <v>#N/A</v>
      </c>
      <c r="AK116" t="e">
        <f ca="1">OFFSET(data_oe_detail!$A$1,$D$89+$B116-1,AK$100-1)</f>
        <v>#N/A</v>
      </c>
      <c r="AL116" t="e">
        <f ca="1">OFFSET(data_oe_detail!$A$1,$D$89+$B116-1,AL$100-1)</f>
        <v>#N/A</v>
      </c>
      <c r="AM116" t="e">
        <f ca="1">OFFSET(data_oe_detail!$A$1,$D$89+$B116-1,AM$100-1)</f>
        <v>#N/A</v>
      </c>
      <c r="AN116" t="e">
        <f ca="1">OFFSET(data_oe_detail!$A$1,$D$89+$B116-1,AN$100-1)</f>
        <v>#N/A</v>
      </c>
      <c r="AO116" t="e">
        <f ca="1">OFFSET(data_oe_detail!$A$1,$D$89+$B116-1,AO$100-1)</f>
        <v>#N/A</v>
      </c>
      <c r="AP116" t="e">
        <f ca="1">OFFSET(data_oe_detail!$A$1,$D$89+$B116-1,AP$100-1)</f>
        <v>#N/A</v>
      </c>
      <c r="AQ116" t="e">
        <f ca="1">OFFSET(data_oe_detail!$A$1,$D$89+$B116-1,AQ$100-1)</f>
        <v>#N/A</v>
      </c>
      <c r="AR116" t="e">
        <f ca="1">OFFSET(data_oe_detail!$A$1,$D$89+$B116-1,AR$100-1)</f>
        <v>#N/A</v>
      </c>
      <c r="AS116" t="e">
        <f ca="1">OFFSET(data_oe_detail!$A$1,$D$89+$B116-1,AS$100-1)</f>
        <v>#N/A</v>
      </c>
      <c r="AT116" t="e">
        <f ca="1">OFFSET(data_oe_detail!$A$1,$D$89+$B116-1,AT$100-1)</f>
        <v>#N/A</v>
      </c>
      <c r="AU116" t="e">
        <f ca="1">OFFSET(data_oe_detail!$A$1,$D$89+$B116-1,AU$100-1)</f>
        <v>#N/A</v>
      </c>
      <c r="AV116" t="e">
        <f ca="1">OFFSET(data_oe_detail!$A$1,$D$89+$B116-1,AV$100-1)</f>
        <v>#N/A</v>
      </c>
      <c r="AW116" t="e">
        <f ca="1">OFFSET(data_oe_detail!$A$1,$D$89+$B116-1,AW$100-1)</f>
        <v>#N/A</v>
      </c>
      <c r="AX116" t="e">
        <f ca="1">OFFSET(data_oe_detail!$A$1,$D$89+$B116-1,AX$100-1)</f>
        <v>#N/A</v>
      </c>
      <c r="AY116" t="e">
        <f ca="1">OFFSET(data_oe_detail!$A$1,$D$89+$B116-1,AY$100-1)</f>
        <v>#N/A</v>
      </c>
      <c r="AZ116" t="e">
        <f ca="1">OFFSET(data_oe_detail!$A$1,$D$89+$B116-1,AZ$100-1)</f>
        <v>#N/A</v>
      </c>
      <c r="BA116" t="e">
        <f ca="1">OFFSET(data_oe_detail!$A$1,$D$89+$B116-1,BA$100-1)</f>
        <v>#N/A</v>
      </c>
      <c r="BB116" t="e">
        <f ca="1">OFFSET(data_oe_detail!$A$1,$D$89+$B116-1,BB$100-1)</f>
        <v>#N/A</v>
      </c>
      <c r="BC116" t="e">
        <f ca="1">OFFSET(data_oe_detail!$A$1,$D$89+$B116-1,BC$100-1)</f>
        <v>#N/A</v>
      </c>
      <c r="BD116" t="e">
        <f ca="1">OFFSET(data_oe_detail!$A$1,$D$89+$B116-1,BD$100-1)</f>
        <v>#N/A</v>
      </c>
      <c r="BE116" t="e">
        <f ca="1">OFFSET(data_oe_detail!$A$1,$D$89+$B116-1,BE$100-1)</f>
        <v>#N/A</v>
      </c>
      <c r="BF116" t="e">
        <f ca="1">OFFSET(data_oe_detail!$A$1,$D$89+$B116-1,BF$100-1)</f>
        <v>#N/A</v>
      </c>
      <c r="BG116" t="e">
        <f ca="1">OFFSET(data_oe_detail!$A$1,$D$89+$B116-1,BG$100-1)</f>
        <v>#N/A</v>
      </c>
      <c r="BH116" t="e">
        <f ca="1">OFFSET(data_oe_detail!$A$1,$D$89+$B116-1,BH$100-1)</f>
        <v>#N/A</v>
      </c>
      <c r="BI116" t="e">
        <f ca="1">OFFSET(data_oe_detail!$A$1,$D$89+$B116-1,BI$100-1)</f>
        <v>#N/A</v>
      </c>
      <c r="BJ116" t="e">
        <f ca="1">OFFSET(data_oe_detail!$A$1,$D$89+$B116-1,BJ$100-1)</f>
        <v>#N/A</v>
      </c>
      <c r="BK116" t="e">
        <f ca="1">OFFSET(data_oe_detail!$A$1,$D$89+$B116-1,BK$100-1)</f>
        <v>#N/A</v>
      </c>
      <c r="BL116" t="e">
        <f ca="1">OFFSET(data_oe_detail!$A$1,$D$89+$B116-1,BL$100-1)</f>
        <v>#N/A</v>
      </c>
      <c r="BM116" t="e">
        <f ca="1">OFFSET(data_oe_detail!$A$1,$D$89+$B116-1,BM$100-1)</f>
        <v>#N/A</v>
      </c>
      <c r="BN116" t="e">
        <f ca="1">OFFSET(data_oe_detail!$A$1,$D$89+$B116-1,BN$100-1)</f>
        <v>#N/A</v>
      </c>
      <c r="BO116" t="e">
        <f ca="1">OFFSET(data_oe_detail!$A$1,$D$89+$B116-1,BO$100-1)</f>
        <v>#N/A</v>
      </c>
      <c r="BP116" t="e">
        <f ca="1">OFFSET(data_oe_detail!$A$1,$D$89+$B116-1,BP$100-1)</f>
        <v>#N/A</v>
      </c>
      <c r="BQ116" t="e">
        <f ca="1">OFFSET(data_oe_detail!$A$1,$D$89+$B116-1,BQ$100-1)</f>
        <v>#N/A</v>
      </c>
      <c r="BR116" t="e">
        <f ca="1">OFFSET(data_oe_detail!$A$1,$D$89+$B116-1,BR$100-1)</f>
        <v>#N/A</v>
      </c>
      <c r="BS116" t="e">
        <f ca="1">OFFSET(data_oe_detail!$A$1,$D$89+$B116-1,BS$100-1)</f>
        <v>#N/A</v>
      </c>
      <c r="BT116" t="e">
        <f ca="1">OFFSET(data_oe_detail!$A$1,$D$89+$B116-1,BT$100-1)</f>
        <v>#N/A</v>
      </c>
      <c r="BU116" t="e">
        <f ca="1">OFFSET(data_oe_detail!$A$1,$D$89+$B116-1,BU$100-1)</f>
        <v>#N/A</v>
      </c>
      <c r="BV116" t="e">
        <f ca="1">OFFSET(data_oe_detail!$A$1,$D$89+$B116-1,BV$100-1)</f>
        <v>#N/A</v>
      </c>
      <c r="BW116" t="e">
        <f ca="1">OFFSET(data_oe_detail!$A$1,$D$89+$B116-1,BW$100-1)</f>
        <v>#N/A</v>
      </c>
      <c r="BX116" t="e">
        <f ca="1">OFFSET(data_oe_detail!$A$1,$D$89+$B116-1,BX$100-1)</f>
        <v>#N/A</v>
      </c>
      <c r="BY116" t="e">
        <f ca="1">OFFSET(data_oe_detail!$A$1,$D$89+$B116-1,BY$100-1)</f>
        <v>#N/A</v>
      </c>
      <c r="BZ116" t="e">
        <f ca="1">OFFSET(data_oe_detail!$A$1,$D$89+$B116-1,BZ$100-1)</f>
        <v>#N/A</v>
      </c>
      <c r="CA116" t="e">
        <f ca="1">OFFSET(data_oe_detail!$A$1,$D$89+$B116-1,CA$100-1)</f>
        <v>#N/A</v>
      </c>
      <c r="CB116" t="e">
        <f ca="1">OFFSET(data_oe_detail!$A$1,$D$89+$B116-1,CB$100-1)</f>
        <v>#N/A</v>
      </c>
      <c r="CC116" t="e">
        <f ca="1">OFFSET(data_oe_detail!$A$1,$D$89+$B116-1,CC$100-1)</f>
        <v>#N/A</v>
      </c>
      <c r="CD116" t="e">
        <f ca="1">OFFSET(data_oe_detail!$A$1,$D$89+$B116-1,CD$100-1)</f>
        <v>#N/A</v>
      </c>
      <c r="CE116" t="e">
        <f ca="1">OFFSET(data_oe_detail!$A$1,$D$89+$B116-1,CE$100-1)</f>
        <v>#N/A</v>
      </c>
      <c r="CF116" t="e">
        <f ca="1">OFFSET(data_oe_detail!$A$1,$D$89+$B116-1,CF$100-1)</f>
        <v>#N/A</v>
      </c>
      <c r="CG116" t="e">
        <f ca="1">OFFSET(data_oe_detail!$A$1,$D$89+$B116-1,CG$100-1)</f>
        <v>#N/A</v>
      </c>
      <c r="CH116" t="e">
        <f ca="1">OFFSET(data_oe_detail!$A$1,$D$89+$B116-1,CH$100-1)</f>
        <v>#N/A</v>
      </c>
      <c r="CI116" t="e">
        <f ca="1">OFFSET(data_oe_detail!$A$1,$D$89+$B116-1,CI$100-1)</f>
        <v>#N/A</v>
      </c>
      <c r="CJ116" t="e">
        <f ca="1">OFFSET(data_oe_detail!$A$1,$D$89+$B116-1,CJ$100-1)</f>
        <v>#N/A</v>
      </c>
      <c r="CK116" t="e">
        <f ca="1">OFFSET(data_oe_detail!$A$1,$D$89+$B116-1,CK$100-1)</f>
        <v>#N/A</v>
      </c>
      <c r="CL116" t="e">
        <f ca="1">OFFSET(data_oe_detail!$A$1,$D$89+$B116-1,CL$100-1)</f>
        <v>#N/A</v>
      </c>
      <c r="CM116" t="e">
        <f ca="1">OFFSET(data_oe_detail!$A$1,$D$89+$B116-1,CM$100-1)</f>
        <v>#N/A</v>
      </c>
      <c r="CN116" t="e">
        <f ca="1">OFFSET(data_oe_detail!$A$1,$D$89+$B116-1,CN$100-1)</f>
        <v>#N/A</v>
      </c>
      <c r="CO116" t="e">
        <f ca="1">OFFSET(data_oe_detail!$A$1,$D$89+$B116-1,CO$100-1)</f>
        <v>#N/A</v>
      </c>
      <c r="CP116" t="e">
        <f ca="1">OFFSET(data_oe_detail!$A$1,$D$89+$B116-1,CP$100-1)</f>
        <v>#N/A</v>
      </c>
      <c r="CQ116" t="e">
        <f ca="1">OFFSET(data_oe_detail!$A$1,$D$89+$B116-1,CQ$100-1)</f>
        <v>#N/A</v>
      </c>
      <c r="CR116" t="e">
        <f ca="1">OFFSET(data_oe_detail!$A$1,$D$89+$B116-1,CR$100-1)</f>
        <v>#N/A</v>
      </c>
      <c r="CS116" t="e">
        <f ca="1">OFFSET(data_oe_detail!$A$1,$D$89+$B116-1,CS$100-1)</f>
        <v>#N/A</v>
      </c>
      <c r="CT116" t="e">
        <f ca="1">OFFSET(data_oe_detail!$A$1,$D$89+$B116-1,CT$100-1)</f>
        <v>#N/A</v>
      </c>
      <c r="CU116" t="e">
        <f ca="1">OFFSET(data_oe_detail!$A$1,$D$89+$B116-1,CU$100-1)</f>
        <v>#N/A</v>
      </c>
      <c r="CV116" t="e">
        <f ca="1">OFFSET(data_oe_detail!$A$1,$D$89+$B116-1,CV$100-1)</f>
        <v>#N/A</v>
      </c>
      <c r="CW116" t="e">
        <f ca="1">OFFSET(data_oe_detail!$A$1,$D$89+$B116-1,CW$100-1)</f>
        <v>#N/A</v>
      </c>
      <c r="CX116" t="e">
        <f ca="1">OFFSET(data_oe_detail!$A$1,$D$89+$B116-1,CX$100-1)</f>
        <v>#N/A</v>
      </c>
      <c r="CY116" t="e">
        <f ca="1">OFFSET(data_oe_detail!$A$1,$D$89+$B116-1,CY$100-1)</f>
        <v>#N/A</v>
      </c>
      <c r="CZ116" t="e">
        <f ca="1">OFFSET(data_oe_detail!$A$1,$D$89+$B116-1,CZ$100-1)</f>
        <v>#N/A</v>
      </c>
      <c r="DA116" t="e">
        <f ca="1">OFFSET(data_oe_detail!$A$1,$D$89+$B116-1,DA$100-1)</f>
        <v>#N/A</v>
      </c>
      <c r="DB116" t="e">
        <f ca="1">OFFSET(data_oe_detail!$A$1,$D$89+$B116-1,DB$100-1)</f>
        <v>#N/A</v>
      </c>
      <c r="DC116" t="e">
        <f ca="1">OFFSET(data_oe_detail!$A$1,$D$89+$B116-1,DC$100-1)</f>
        <v>#N/A</v>
      </c>
      <c r="DD116" t="e">
        <f ca="1">OFFSET(data_oe_detail!$A$1,$D$89+$B116-1,DD$100-1)</f>
        <v>#N/A</v>
      </c>
      <c r="DE116" t="e">
        <f ca="1">OFFSET(data_oe_detail!$A$1,$D$89+$B116-1,DE$100-1)</f>
        <v>#N/A</v>
      </c>
      <c r="DF116" t="e">
        <f ca="1">OFFSET(data_oe_detail!$A$1,$D$89+$B116-1,DF$100-1)</f>
        <v>#N/A</v>
      </c>
      <c r="DG116" t="e">
        <f ca="1">OFFSET(data_oe_detail!$A$1,$D$89+$B116-1,DG$100-1)</f>
        <v>#N/A</v>
      </c>
      <c r="DH116" t="e">
        <f ca="1">OFFSET(data_oe_detail!$A$1,$D$89+$B116-1,DH$100-1)</f>
        <v>#N/A</v>
      </c>
    </row>
    <row r="117" spans="2:112" hidden="1" outlineLevel="1" x14ac:dyDescent="0.35"/>
    <row r="118" spans="2:112" hidden="1" outlineLevel="1" x14ac:dyDescent="0.35"/>
    <row r="119" spans="2:112" hidden="1" outlineLevel="1" x14ac:dyDescent="0.35"/>
    <row r="120" spans="2:112" hidden="1" outlineLevel="1" x14ac:dyDescent="0.35"/>
    <row r="121" spans="2:112" hidden="1" outlineLevel="1" x14ac:dyDescent="0.35"/>
    <row r="122" spans="2:112" hidden="1" outlineLevel="1" x14ac:dyDescent="0.35"/>
    <row r="123" spans="2:112" hidden="1" outlineLevel="1" x14ac:dyDescent="0.35"/>
    <row r="124" spans="2:112" hidden="1" outlineLevel="1" x14ac:dyDescent="0.35"/>
    <row r="125" spans="2:112" hidden="1" outlineLevel="1" x14ac:dyDescent="0.35"/>
    <row r="126" spans="2:112" hidden="1" outlineLevel="1" x14ac:dyDescent="0.35"/>
    <row r="127" spans="2:112" hidden="1" outlineLevel="1" x14ac:dyDescent="0.35"/>
    <row r="128" spans="2:112" hidden="1" outlineLevel="1" x14ac:dyDescent="0.35"/>
    <row r="129" hidden="1" outlineLevel="1" x14ac:dyDescent="0.35"/>
    <row r="130" hidden="1" outlineLevel="1" x14ac:dyDescent="0.35"/>
    <row r="131" hidden="1" outlineLevel="1" x14ac:dyDescent="0.35"/>
    <row r="132" hidden="1" outlineLevel="1" x14ac:dyDescent="0.35"/>
    <row r="133" hidden="1" outlineLevel="1" x14ac:dyDescent="0.35"/>
    <row r="134" hidden="1" outlineLevel="1" x14ac:dyDescent="0.35"/>
    <row r="135" hidden="1" outlineLevel="1" x14ac:dyDescent="0.35"/>
    <row r="136" hidden="1" outlineLevel="1" x14ac:dyDescent="0.35"/>
    <row r="137" hidden="1" outlineLevel="1" x14ac:dyDescent="0.35"/>
    <row r="138" hidden="1" outlineLevel="1" x14ac:dyDescent="0.35"/>
    <row r="139" hidden="1" outlineLevel="1" x14ac:dyDescent="0.35"/>
    <row r="140" hidden="1" outlineLevel="1" x14ac:dyDescent="0.35"/>
    <row r="141" collapsed="1" x14ac:dyDescent="0.35"/>
  </sheetData>
  <mergeCells count="2">
    <mergeCell ref="E20:G20"/>
    <mergeCell ref="L70:R74"/>
  </mergeCells>
  <conditionalFormatting sqref="B1 A2:B1048576 C4:XFD5 H23:I28 T23:AB28 I56:K70 S57:T66 C83:XFD119">
    <cfRule type="expression" dxfId="0" priority="1">
      <formula>$A$1&lt;&gt;""</formula>
    </cfRule>
  </conditionalFormatting>
  <dataValidations disablePrompts="1" count="2">
    <dataValidation type="list" allowBlank="1" showInputMessage="1" showErrorMessage="1" sqref="C31:AA31 AV31 AF31:AJ31 AL31:AT31" xr:uid="{00000000-0002-0000-0200-000001000000}">
      <formula1>lst_own_detail__name</formula1>
    </dataValidation>
    <dataValidation type="list" allowBlank="1" showInputMessage="1" showErrorMessage="1" sqref="E20:G20" xr:uid="{00000000-0002-0000-0200-000000000000}">
      <formula1>lookup_own_lob2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0F7C-FC23-4FA9-8E4C-AE0D5735FF13}">
  <dimension ref="A1:BM138"/>
  <sheetViews>
    <sheetView topLeftCell="A3" zoomScale="70" zoomScaleNormal="70" workbookViewId="0">
      <selection activeCell="A2" sqref="A2"/>
    </sheetView>
  </sheetViews>
  <sheetFormatPr defaultRowHeight="13.5" x14ac:dyDescent="0.35"/>
  <cols>
    <col min="1" max="1" width="13.125" customWidth="1"/>
    <col min="2" max="2" width="44.25" bestFit="1" customWidth="1"/>
    <col min="5" max="5" width="11.5" customWidth="1"/>
    <col min="7" max="7" width="13.375" customWidth="1"/>
    <col min="8" max="9" width="11.875" customWidth="1"/>
    <col min="10" max="10" width="18.875" customWidth="1"/>
    <col min="13" max="13" width="15.5" customWidth="1"/>
    <col min="16" max="16" width="11.5" customWidth="1"/>
    <col min="18" max="18" width="13.375" customWidth="1"/>
    <col min="19" max="19" width="11.875" customWidth="1"/>
    <col min="20" max="20" width="13.25" customWidth="1"/>
    <col min="21" max="21" width="27.625" customWidth="1"/>
    <col min="27" max="27" width="11.5" customWidth="1"/>
    <col min="29" max="29" width="13.375" customWidth="1"/>
    <col min="30" max="30" width="11.875" customWidth="1"/>
    <col min="31" max="31" width="13.25" customWidth="1"/>
    <col min="38" max="38" width="11.5" customWidth="1"/>
    <col min="40" max="40" width="13.375" customWidth="1"/>
    <col min="41" max="41" width="11.875" customWidth="1"/>
    <col min="42" max="48" width="13.25" customWidth="1"/>
    <col min="49" max="49" width="13.75" customWidth="1"/>
    <col min="50" max="50" width="13.25" customWidth="1"/>
    <col min="51" max="51" width="16.375" customWidth="1"/>
    <col min="52" max="52" width="14.625" customWidth="1"/>
    <col min="53" max="53" width="16.375" customWidth="1"/>
    <col min="57" max="57" width="8.625" customWidth="1"/>
    <col min="59" max="59" width="8.375" customWidth="1"/>
    <col min="60" max="60" width="13.75" customWidth="1"/>
    <col min="61" max="61" width="8.625" customWidth="1"/>
    <col min="62" max="62" width="16.375" customWidth="1"/>
    <col min="63" max="63" width="14.625" customWidth="1"/>
    <col min="64" max="64" width="16.375" customWidth="1"/>
  </cols>
  <sheetData>
    <row r="1" spans="1:65" s="122" customFormat="1" ht="15" customHeight="1" x14ac:dyDescent="0.4">
      <c r="A1" s="122" t="s">
        <v>354</v>
      </c>
      <c r="B1" s="122" t="s">
        <v>1053</v>
      </c>
      <c r="L1" s="122" t="s">
        <v>355</v>
      </c>
      <c r="W1" s="122" t="s">
        <v>356</v>
      </c>
      <c r="AH1" s="122" t="s">
        <v>357</v>
      </c>
      <c r="AS1" s="122" t="s">
        <v>358</v>
      </c>
      <c r="BD1" s="122" t="s">
        <v>359</v>
      </c>
    </row>
    <row r="2" spans="1:65" x14ac:dyDescent="0.35">
      <c r="A2" t="s">
        <v>360</v>
      </c>
      <c r="B2" t="s">
        <v>361</v>
      </c>
      <c r="C2" t="s">
        <v>362</v>
      </c>
      <c r="D2" t="s">
        <v>363</v>
      </c>
      <c r="E2" t="s">
        <v>364</v>
      </c>
      <c r="F2" t="s">
        <v>365</v>
      </c>
      <c r="G2" t="s">
        <v>366</v>
      </c>
      <c r="H2" t="s">
        <v>367</v>
      </c>
      <c r="I2" t="s">
        <v>369</v>
      </c>
      <c r="J2" s="123" t="s">
        <v>368</v>
      </c>
      <c r="L2" t="s">
        <v>360</v>
      </c>
      <c r="M2" t="s">
        <v>361</v>
      </c>
      <c r="N2" t="s">
        <v>362</v>
      </c>
      <c r="O2" t="s">
        <v>363</v>
      </c>
      <c r="P2" t="s">
        <v>364</v>
      </c>
      <c r="Q2" t="s">
        <v>365</v>
      </c>
      <c r="R2" t="s">
        <v>366</v>
      </c>
      <c r="S2" t="s">
        <v>367</v>
      </c>
      <c r="T2" t="s">
        <v>369</v>
      </c>
      <c r="U2" s="123" t="s">
        <v>368</v>
      </c>
      <c r="W2" t="s">
        <v>360</v>
      </c>
      <c r="X2" t="s">
        <v>361</v>
      </c>
      <c r="Y2" t="s">
        <v>362</v>
      </c>
      <c r="Z2" t="s">
        <v>363</v>
      </c>
      <c r="AA2" t="s">
        <v>364</v>
      </c>
      <c r="AB2" t="s">
        <v>365</v>
      </c>
      <c r="AC2" t="s">
        <v>366</v>
      </c>
      <c r="AD2" t="s">
        <v>367</v>
      </c>
      <c r="AE2" t="s">
        <v>369</v>
      </c>
      <c r="AF2" s="123" t="s">
        <v>368</v>
      </c>
      <c r="AH2" t="s">
        <v>360</v>
      </c>
      <c r="AI2" t="s">
        <v>361</v>
      </c>
      <c r="AJ2" t="s">
        <v>362</v>
      </c>
      <c r="AK2" t="s">
        <v>363</v>
      </c>
      <c r="AL2" t="s">
        <v>364</v>
      </c>
      <c r="AM2" t="s">
        <v>365</v>
      </c>
      <c r="AN2" t="s">
        <v>366</v>
      </c>
      <c r="AO2" t="s">
        <v>367</v>
      </c>
      <c r="AP2" t="s">
        <v>369</v>
      </c>
      <c r="AQ2" s="123" t="s">
        <v>368</v>
      </c>
      <c r="AS2" t="s">
        <v>360</v>
      </c>
      <c r="AT2" t="s">
        <v>361</v>
      </c>
      <c r="AU2" t="s">
        <v>362</v>
      </c>
      <c r="AV2" t="s">
        <v>363</v>
      </c>
      <c r="AW2" t="s">
        <v>364</v>
      </c>
      <c r="AX2" t="s">
        <v>365</v>
      </c>
      <c r="AY2" t="s">
        <v>366</v>
      </c>
      <c r="AZ2" t="s">
        <v>367</v>
      </c>
      <c r="BA2" t="s">
        <v>369</v>
      </c>
      <c r="BB2" s="123" t="s">
        <v>368</v>
      </c>
      <c r="BD2" t="s">
        <v>360</v>
      </c>
      <c r="BE2" t="s">
        <v>361</v>
      </c>
      <c r="BF2" t="s">
        <v>362</v>
      </c>
      <c r="BG2" t="s">
        <v>363</v>
      </c>
      <c r="BH2" t="s">
        <v>364</v>
      </c>
      <c r="BI2" t="s">
        <v>365</v>
      </c>
      <c r="BJ2" t="s">
        <v>366</v>
      </c>
      <c r="BK2" t="s">
        <v>367</v>
      </c>
      <c r="BL2" t="s">
        <v>369</v>
      </c>
      <c r="BM2" s="123" t="s">
        <v>368</v>
      </c>
    </row>
    <row r="3" spans="1:65" x14ac:dyDescent="0.35">
      <c r="A3" t="s">
        <v>370</v>
      </c>
      <c r="B3" t="s">
        <v>102</v>
      </c>
      <c r="C3" t="s">
        <v>371</v>
      </c>
      <c r="D3" t="s">
        <v>372</v>
      </c>
      <c r="E3" t="s">
        <v>373</v>
      </c>
      <c r="F3" t="s">
        <v>374</v>
      </c>
      <c r="G3" t="s">
        <v>373</v>
      </c>
      <c r="H3" t="s">
        <v>375</v>
      </c>
      <c r="I3" t="s">
        <v>373</v>
      </c>
      <c r="J3" s="124" t="str">
        <f>",'"&amp;own_detail[[#This Row],[Name]]&amp;"'"</f>
        <v>,'lob_number'</v>
      </c>
      <c r="L3" t="s">
        <v>376</v>
      </c>
      <c r="M3" t="s">
        <v>205</v>
      </c>
      <c r="N3" t="s">
        <v>377</v>
      </c>
      <c r="O3" t="s">
        <v>378</v>
      </c>
      <c r="P3" t="s">
        <v>379</v>
      </c>
      <c r="Q3" t="s">
        <v>380</v>
      </c>
      <c r="R3" t="s">
        <v>381</v>
      </c>
      <c r="S3" t="s">
        <v>382</v>
      </c>
      <c r="T3" t="s">
        <v>373</v>
      </c>
      <c r="U3" s="124" t="str">
        <f>",'"&amp;own_summary[[#This Row],[Name]]&amp;"'"</f>
        <v>,'claim_source'</v>
      </c>
      <c r="W3" t="s">
        <v>383</v>
      </c>
      <c r="X3" t="s">
        <v>104</v>
      </c>
      <c r="Y3" t="s">
        <v>377</v>
      </c>
      <c r="Z3" t="s">
        <v>372</v>
      </c>
      <c r="AA3" t="s">
        <v>373</v>
      </c>
      <c r="AB3" t="s">
        <v>384</v>
      </c>
      <c r="AC3" t="s">
        <v>373</v>
      </c>
      <c r="AD3" t="s">
        <v>373</v>
      </c>
      <c r="AE3" t="s">
        <v>385</v>
      </c>
      <c r="AF3" s="124" t="str">
        <f>",'"&amp;lloyds_detail[[#This Row],[Name]]&amp;"'"</f>
        <v>,'yoa'</v>
      </c>
      <c r="AH3" t="s">
        <v>386</v>
      </c>
      <c r="AI3" t="s">
        <v>102</v>
      </c>
      <c r="AJ3" t="s">
        <v>371</v>
      </c>
      <c r="AK3" t="s">
        <v>372</v>
      </c>
      <c r="AL3" t="s">
        <v>373</v>
      </c>
      <c r="AM3" t="s">
        <v>374</v>
      </c>
      <c r="AN3" t="s">
        <v>373</v>
      </c>
      <c r="AO3" t="s">
        <v>373</v>
      </c>
      <c r="AP3" t="s">
        <v>385</v>
      </c>
      <c r="AQ3" s="124" t="str">
        <f>",'"&amp;lloyds_summary[[#This Row],[Name]]&amp;"'"</f>
        <v>,'lob_number'</v>
      </c>
      <c r="AS3" t="s">
        <v>387</v>
      </c>
      <c r="AT3" t="s">
        <v>104</v>
      </c>
      <c r="AU3" t="s">
        <v>377</v>
      </c>
      <c r="AV3" t="s">
        <v>372</v>
      </c>
      <c r="AW3" t="s">
        <v>373</v>
      </c>
      <c r="AX3" t="s">
        <v>384</v>
      </c>
      <c r="AY3" t="s">
        <v>373</v>
      </c>
      <c r="AZ3" t="s">
        <v>373</v>
      </c>
      <c r="BA3" t="s">
        <v>385</v>
      </c>
      <c r="BB3" s="124" t="str">
        <f>",'"&amp;beazley_detail[[#This Row],[Name]]&amp;"'"</f>
        <v>,'yoa'</v>
      </c>
      <c r="BD3" t="s">
        <v>388</v>
      </c>
      <c r="BE3" t="s">
        <v>102</v>
      </c>
      <c r="BF3" t="s">
        <v>371</v>
      </c>
      <c r="BG3" t="s">
        <v>372</v>
      </c>
      <c r="BH3" t="s">
        <v>373</v>
      </c>
      <c r="BI3" t="s">
        <v>374</v>
      </c>
      <c r="BJ3" t="s">
        <v>373</v>
      </c>
      <c r="BK3" t="s">
        <v>373</v>
      </c>
      <c r="BL3" t="s">
        <v>385</v>
      </c>
      <c r="BM3" s="124" t="str">
        <f>",'"&amp;beazley_summary[[#This Row],[Name]]&amp;"'"</f>
        <v>,'lob_number'</v>
      </c>
    </row>
    <row r="4" spans="1:65" x14ac:dyDescent="0.35">
      <c r="A4" t="s">
        <v>389</v>
      </c>
      <c r="B4" t="s">
        <v>103</v>
      </c>
      <c r="C4" t="s">
        <v>377</v>
      </c>
      <c r="D4" t="s">
        <v>372</v>
      </c>
      <c r="E4" t="s">
        <v>373</v>
      </c>
      <c r="F4" t="s">
        <v>390</v>
      </c>
      <c r="G4" t="s">
        <v>373</v>
      </c>
      <c r="H4" t="s">
        <v>375</v>
      </c>
      <c r="I4" t="s">
        <v>373</v>
      </c>
      <c r="J4" s="124" t="str">
        <f>",'"&amp;own_detail[[#This Row],[Name]]&amp;"'"</f>
        <v>,'selected_lob'</v>
      </c>
      <c r="L4" t="s">
        <v>391</v>
      </c>
      <c r="M4" t="s">
        <v>206</v>
      </c>
      <c r="N4" t="s">
        <v>377</v>
      </c>
      <c r="O4" t="s">
        <v>378</v>
      </c>
      <c r="P4" t="s">
        <v>379</v>
      </c>
      <c r="Q4" t="s">
        <v>392</v>
      </c>
      <c r="R4" t="s">
        <v>381</v>
      </c>
      <c r="S4" t="s">
        <v>382</v>
      </c>
      <c r="T4" t="s">
        <v>373</v>
      </c>
      <c r="U4" s="124" t="str">
        <f>",'"&amp;own_summary[[#This Row],[Name]]&amp;"'"</f>
        <v>,'claim_basis'</v>
      </c>
      <c r="W4" t="s">
        <v>393</v>
      </c>
      <c r="X4" t="s">
        <v>105</v>
      </c>
      <c r="Y4" t="s">
        <v>394</v>
      </c>
      <c r="Z4" t="s">
        <v>372</v>
      </c>
      <c r="AA4" t="s">
        <v>373</v>
      </c>
      <c r="AB4" t="s">
        <v>395</v>
      </c>
      <c r="AC4" t="s">
        <v>373</v>
      </c>
      <c r="AD4" t="s">
        <v>373</v>
      </c>
      <c r="AE4" t="s">
        <v>385</v>
      </c>
      <c r="AF4" s="124" t="str">
        <f>",'"&amp;lloyds_detail[[#This Row],[Name]]&amp;"'"</f>
        <v>,'latest_gpi'</v>
      </c>
      <c r="AH4" t="s">
        <v>396</v>
      </c>
      <c r="AI4" t="s">
        <v>304</v>
      </c>
      <c r="AJ4" t="s">
        <v>377</v>
      </c>
      <c r="AK4" t="s">
        <v>372</v>
      </c>
      <c r="AL4" t="s">
        <v>373</v>
      </c>
      <c r="AM4" t="s">
        <v>397</v>
      </c>
      <c r="AN4" t="s">
        <v>373</v>
      </c>
      <c r="AO4" t="s">
        <v>373</v>
      </c>
      <c r="AP4" t="s">
        <v>385</v>
      </c>
      <c r="AQ4" s="124" t="str">
        <f>",'"&amp;lloyds_summary[[#This Row],[Name]]&amp;"'"</f>
        <v>,'risk_code'</v>
      </c>
      <c r="AS4" t="s">
        <v>398</v>
      </c>
      <c r="AT4" t="s">
        <v>105</v>
      </c>
      <c r="AU4" t="s">
        <v>394</v>
      </c>
      <c r="AV4" t="s">
        <v>372</v>
      </c>
      <c r="AW4" t="s">
        <v>373</v>
      </c>
      <c r="AX4" t="s">
        <v>395</v>
      </c>
      <c r="AY4" t="s">
        <v>373</v>
      </c>
      <c r="AZ4" t="s">
        <v>373</v>
      </c>
      <c r="BA4" t="s">
        <v>385</v>
      </c>
      <c r="BB4" s="124" t="str">
        <f>",'"&amp;beazley_detail[[#This Row],[Name]]&amp;"'"</f>
        <v>,'latest_gpi'</v>
      </c>
      <c r="BD4" t="s">
        <v>399</v>
      </c>
      <c r="BE4" t="s">
        <v>304</v>
      </c>
      <c r="BF4" t="s">
        <v>377</v>
      </c>
      <c r="BG4" t="s">
        <v>372</v>
      </c>
      <c r="BH4" t="s">
        <v>373</v>
      </c>
      <c r="BI4" t="s">
        <v>397</v>
      </c>
      <c r="BJ4" t="s">
        <v>373</v>
      </c>
      <c r="BK4" t="s">
        <v>373</v>
      </c>
      <c r="BL4" t="s">
        <v>385</v>
      </c>
      <c r="BM4" s="124" t="str">
        <f>",'"&amp;beazley_summary[[#This Row],[Name]]&amp;"'"</f>
        <v>,'risk_code'</v>
      </c>
    </row>
    <row r="5" spans="1:65" x14ac:dyDescent="0.35">
      <c r="A5" t="s">
        <v>400</v>
      </c>
      <c r="B5" t="s">
        <v>104</v>
      </c>
      <c r="C5" t="s">
        <v>377</v>
      </c>
      <c r="D5" t="s">
        <v>372</v>
      </c>
      <c r="E5" t="s">
        <v>373</v>
      </c>
      <c r="F5" t="s">
        <v>384</v>
      </c>
      <c r="G5" t="s">
        <v>373</v>
      </c>
      <c r="H5" t="s">
        <v>375</v>
      </c>
      <c r="I5" t="s">
        <v>373</v>
      </c>
      <c r="J5" s="124" t="str">
        <f>",'"&amp;own_detail[[#This Row],[Name]]&amp;"'"</f>
        <v>,'yoa'</v>
      </c>
      <c r="L5" t="s">
        <v>401</v>
      </c>
      <c r="M5" t="s">
        <v>207</v>
      </c>
      <c r="N5" t="s">
        <v>377</v>
      </c>
      <c r="O5" t="s">
        <v>378</v>
      </c>
      <c r="P5" t="s">
        <v>379</v>
      </c>
      <c r="Q5" t="s">
        <v>402</v>
      </c>
      <c r="R5" t="s">
        <v>381</v>
      </c>
      <c r="S5" t="s">
        <v>382</v>
      </c>
      <c r="T5" t="s">
        <v>373</v>
      </c>
      <c r="U5" s="124" t="str">
        <f>",'"&amp;own_summary[[#This Row],[Name]]&amp;"'"</f>
        <v>,'claim_to_develop_to_ultimate'</v>
      </c>
      <c r="W5" t="s">
        <v>403</v>
      </c>
      <c r="X5" t="s">
        <v>106</v>
      </c>
      <c r="Y5" t="s">
        <v>394</v>
      </c>
      <c r="Z5" t="s">
        <v>372</v>
      </c>
      <c r="AA5" t="s">
        <v>373</v>
      </c>
      <c r="AB5" t="s">
        <v>404</v>
      </c>
      <c r="AC5" t="s">
        <v>373</v>
      </c>
      <c r="AD5" t="s">
        <v>373</v>
      </c>
      <c r="AE5" t="s">
        <v>385</v>
      </c>
      <c r="AF5" s="124" t="str">
        <f>",'"&amp;lloyds_detail[[#This Row],[Name]]&amp;"'"</f>
        <v>,'latest_gnpi'</v>
      </c>
      <c r="AH5" t="s">
        <v>405</v>
      </c>
      <c r="AI5" t="s">
        <v>103</v>
      </c>
      <c r="AJ5" t="s">
        <v>377</v>
      </c>
      <c r="AK5" t="s">
        <v>372</v>
      </c>
      <c r="AL5" t="s">
        <v>373</v>
      </c>
      <c r="AM5" t="s">
        <v>406</v>
      </c>
      <c r="AN5" t="s">
        <v>373</v>
      </c>
      <c r="AO5" t="s">
        <v>373</v>
      </c>
      <c r="AP5" t="s">
        <v>385</v>
      </c>
      <c r="AQ5" s="124" t="str">
        <f>",'"&amp;lloyds_summary[[#This Row],[Name]]&amp;"'"</f>
        <v>,'selected_lob'</v>
      </c>
      <c r="AS5" t="s">
        <v>407</v>
      </c>
      <c r="AT5" t="s">
        <v>106</v>
      </c>
      <c r="AU5" t="s">
        <v>394</v>
      </c>
      <c r="AV5" t="s">
        <v>372</v>
      </c>
      <c r="AW5" t="s">
        <v>373</v>
      </c>
      <c r="AX5" t="s">
        <v>404</v>
      </c>
      <c r="AY5" t="s">
        <v>373</v>
      </c>
      <c r="AZ5" t="s">
        <v>373</v>
      </c>
      <c r="BA5" t="s">
        <v>385</v>
      </c>
      <c r="BB5" s="124" t="str">
        <f>",'"&amp;beazley_detail[[#This Row],[Name]]&amp;"'"</f>
        <v>,'latest_gnpi'</v>
      </c>
      <c r="BD5" t="s">
        <v>408</v>
      </c>
      <c r="BE5" t="s">
        <v>103</v>
      </c>
      <c r="BF5" t="s">
        <v>377</v>
      </c>
      <c r="BG5" t="s">
        <v>372</v>
      </c>
      <c r="BH5" t="s">
        <v>373</v>
      </c>
      <c r="BI5" t="s">
        <v>406</v>
      </c>
      <c r="BJ5" t="s">
        <v>373</v>
      </c>
      <c r="BK5" t="s">
        <v>373</v>
      </c>
      <c r="BL5" t="s">
        <v>385</v>
      </c>
      <c r="BM5" s="124" t="str">
        <f>",'"&amp;beazley_summary[[#This Row],[Name]]&amp;"'"</f>
        <v>,'selected_lob'</v>
      </c>
    </row>
    <row r="6" spans="1:65" x14ac:dyDescent="0.35">
      <c r="A6" t="s">
        <v>409</v>
      </c>
      <c r="B6" t="s">
        <v>105</v>
      </c>
      <c r="C6" t="s">
        <v>394</v>
      </c>
      <c r="D6" t="s">
        <v>372</v>
      </c>
      <c r="E6" t="s">
        <v>373</v>
      </c>
      <c r="F6" t="s">
        <v>395</v>
      </c>
      <c r="G6" t="s">
        <v>373</v>
      </c>
      <c r="H6" t="s">
        <v>375</v>
      </c>
      <c r="I6" t="s">
        <v>373</v>
      </c>
      <c r="J6" s="124" t="str">
        <f>",'"&amp;own_detail[[#This Row],[Name]]&amp;"'"</f>
        <v>,'latest_gpi'</v>
      </c>
      <c r="L6" t="s">
        <v>410</v>
      </c>
      <c r="M6" t="s">
        <v>208</v>
      </c>
      <c r="N6" t="s">
        <v>377</v>
      </c>
      <c r="O6" t="s">
        <v>378</v>
      </c>
      <c r="P6" t="s">
        <v>379</v>
      </c>
      <c r="Q6" t="s">
        <v>411</v>
      </c>
      <c r="R6" t="s">
        <v>381</v>
      </c>
      <c r="S6" t="s">
        <v>382</v>
      </c>
      <c r="T6" t="s">
        <v>373</v>
      </c>
      <c r="U6" s="124" t="str">
        <f>",'"&amp;own_summary[[#This Row],[Name]]&amp;"'"</f>
        <v>,'cat_basis'</v>
      </c>
      <c r="W6" t="s">
        <v>412</v>
      </c>
      <c r="X6" t="s">
        <v>279</v>
      </c>
      <c r="Y6" t="s">
        <v>394</v>
      </c>
      <c r="Z6" t="s">
        <v>372</v>
      </c>
      <c r="AA6" t="s">
        <v>373</v>
      </c>
      <c r="AB6" t="s">
        <v>413</v>
      </c>
      <c r="AC6" t="s">
        <v>373</v>
      </c>
      <c r="AD6" t="s">
        <v>373</v>
      </c>
      <c r="AE6" t="s">
        <v>385</v>
      </c>
      <c r="AF6" s="124" t="str">
        <f>",'"&amp;lloyds_detail[[#This Row],[Name]]&amp;"'"</f>
        <v>,'latest_paid'</v>
      </c>
      <c r="AH6" t="s">
        <v>414</v>
      </c>
      <c r="AI6" t="s">
        <v>305</v>
      </c>
      <c r="AJ6" t="s">
        <v>377</v>
      </c>
      <c r="AK6" t="s">
        <v>372</v>
      </c>
      <c r="AL6" t="s">
        <v>373</v>
      </c>
      <c r="AM6" t="s">
        <v>415</v>
      </c>
      <c r="AN6" t="s">
        <v>373</v>
      </c>
      <c r="AO6" t="s">
        <v>373</v>
      </c>
      <c r="AP6" t="s">
        <v>385</v>
      </c>
      <c r="AQ6" s="124" t="str">
        <f>",'"&amp;lloyds_summary[[#This Row],[Name]]&amp;"'"</f>
        <v>,'lookup_lob'</v>
      </c>
      <c r="AS6" t="s">
        <v>416</v>
      </c>
      <c r="AT6" t="s">
        <v>279</v>
      </c>
      <c r="AU6" t="s">
        <v>394</v>
      </c>
      <c r="AV6" t="s">
        <v>372</v>
      </c>
      <c r="AW6" t="s">
        <v>373</v>
      </c>
      <c r="AX6" t="s">
        <v>413</v>
      </c>
      <c r="AY6" t="s">
        <v>373</v>
      </c>
      <c r="AZ6" t="s">
        <v>373</v>
      </c>
      <c r="BA6" t="s">
        <v>385</v>
      </c>
      <c r="BB6" s="124" t="str">
        <f>",'"&amp;beazley_detail[[#This Row],[Name]]&amp;"'"</f>
        <v>,'latest_paid'</v>
      </c>
      <c r="BD6" t="s">
        <v>417</v>
      </c>
      <c r="BE6" t="s">
        <v>305</v>
      </c>
      <c r="BF6" t="s">
        <v>377</v>
      </c>
      <c r="BG6" t="s">
        <v>372</v>
      </c>
      <c r="BH6" t="s">
        <v>373</v>
      </c>
      <c r="BI6" t="s">
        <v>415</v>
      </c>
      <c r="BJ6" t="s">
        <v>373</v>
      </c>
      <c r="BK6" t="s">
        <v>373</v>
      </c>
      <c r="BL6" t="s">
        <v>385</v>
      </c>
      <c r="BM6" s="124" t="str">
        <f>",'"&amp;beazley_summary[[#This Row],[Name]]&amp;"'"</f>
        <v>,'lookup_lob'</v>
      </c>
    </row>
    <row r="7" spans="1:65" x14ac:dyDescent="0.35">
      <c r="A7" t="s">
        <v>418</v>
      </c>
      <c r="B7" t="s">
        <v>106</v>
      </c>
      <c r="C7" t="s">
        <v>394</v>
      </c>
      <c r="D7" t="s">
        <v>372</v>
      </c>
      <c r="E7" t="s">
        <v>373</v>
      </c>
      <c r="F7" t="s">
        <v>404</v>
      </c>
      <c r="G7" t="s">
        <v>373</v>
      </c>
      <c r="H7" t="s">
        <v>375</v>
      </c>
      <c r="I7" t="s">
        <v>373</v>
      </c>
      <c r="J7" s="124" t="str">
        <f>",'"&amp;own_detail[[#This Row],[Name]]&amp;"'"</f>
        <v>,'latest_gnpi'</v>
      </c>
      <c r="L7" t="s">
        <v>419</v>
      </c>
      <c r="M7" t="s">
        <v>209</v>
      </c>
      <c r="N7" t="s">
        <v>377</v>
      </c>
      <c r="O7" t="s">
        <v>378</v>
      </c>
      <c r="P7" t="s">
        <v>379</v>
      </c>
      <c r="Q7" t="s">
        <v>420</v>
      </c>
      <c r="R7" t="s">
        <v>421</v>
      </c>
      <c r="S7" t="s">
        <v>382</v>
      </c>
      <c r="T7" t="s">
        <v>373</v>
      </c>
      <c r="U7" s="124" t="str">
        <f>",'"&amp;own_summary[[#This Row],[Name]]&amp;"'"</f>
        <v>,'ielr_approach'</v>
      </c>
      <c r="W7" t="s">
        <v>422</v>
      </c>
      <c r="X7" t="s">
        <v>280</v>
      </c>
      <c r="Y7" t="s">
        <v>394</v>
      </c>
      <c r="Z7" t="s">
        <v>372</v>
      </c>
      <c r="AA7" t="s">
        <v>373</v>
      </c>
      <c r="AB7" t="s">
        <v>423</v>
      </c>
      <c r="AC7" t="s">
        <v>373</v>
      </c>
      <c r="AD7" t="s">
        <v>373</v>
      </c>
      <c r="AE7" t="s">
        <v>385</v>
      </c>
      <c r="AF7" s="124" t="str">
        <f>",'"&amp;lloyds_detail[[#This Row],[Name]]&amp;"'"</f>
        <v>,'latest_incurred'</v>
      </c>
      <c r="AH7" t="s">
        <v>424</v>
      </c>
      <c r="AI7" t="s">
        <v>327</v>
      </c>
      <c r="AJ7" t="s">
        <v>377</v>
      </c>
      <c r="AK7" t="s">
        <v>372</v>
      </c>
      <c r="AL7" t="s">
        <v>373</v>
      </c>
      <c r="AM7" t="s">
        <v>425</v>
      </c>
      <c r="AN7" t="s">
        <v>373</v>
      </c>
      <c r="AO7" t="s">
        <v>373</v>
      </c>
      <c r="AP7" t="s">
        <v>385</v>
      </c>
      <c r="AQ7" s="124" t="str">
        <f>",'"&amp;lloyds_summary[[#This Row],[Name]]&amp;"'"</f>
        <v>,'bp_class'</v>
      </c>
      <c r="AS7" t="s">
        <v>426</v>
      </c>
      <c r="AT7" t="s">
        <v>280</v>
      </c>
      <c r="AU7" t="s">
        <v>394</v>
      </c>
      <c r="AV7" t="s">
        <v>372</v>
      </c>
      <c r="AW7" t="s">
        <v>373</v>
      </c>
      <c r="AX7" t="s">
        <v>423</v>
      </c>
      <c r="AY7" t="s">
        <v>373</v>
      </c>
      <c r="AZ7" t="s">
        <v>373</v>
      </c>
      <c r="BA7" t="s">
        <v>385</v>
      </c>
      <c r="BB7" s="124" t="str">
        <f>",'"&amp;beazley_detail[[#This Row],[Name]]&amp;"'"</f>
        <v>,'latest_incurred'</v>
      </c>
      <c r="BD7" t="s">
        <v>427</v>
      </c>
      <c r="BE7" t="s">
        <v>327</v>
      </c>
      <c r="BF7" t="s">
        <v>377</v>
      </c>
      <c r="BG7" t="s">
        <v>372</v>
      </c>
      <c r="BH7" t="s">
        <v>373</v>
      </c>
      <c r="BI7" t="s">
        <v>425</v>
      </c>
      <c r="BJ7" t="s">
        <v>373</v>
      </c>
      <c r="BK7" t="s">
        <v>373</v>
      </c>
      <c r="BL7" t="s">
        <v>385</v>
      </c>
      <c r="BM7" s="124" t="str">
        <f>",'"&amp;beazley_summary[[#This Row],[Name]]&amp;"'"</f>
        <v>,'bp_class'</v>
      </c>
    </row>
    <row r="8" spans="1:65" x14ac:dyDescent="0.35">
      <c r="A8" t="s">
        <v>428</v>
      </c>
      <c r="B8" t="s">
        <v>107</v>
      </c>
      <c r="C8" t="s">
        <v>394</v>
      </c>
      <c r="D8" t="s">
        <v>372</v>
      </c>
      <c r="E8" t="s">
        <v>373</v>
      </c>
      <c r="F8" t="s">
        <v>429</v>
      </c>
      <c r="G8" t="s">
        <v>373</v>
      </c>
      <c r="H8" t="s">
        <v>375</v>
      </c>
      <c r="I8" t="s">
        <v>373</v>
      </c>
      <c r="J8" s="124" t="str">
        <f>",'"&amp;own_detail[[#This Row],[Name]]&amp;"'"</f>
        <v>,'acquisition_costs'</v>
      </c>
      <c r="L8" t="s">
        <v>430</v>
      </c>
      <c r="M8" t="s">
        <v>210</v>
      </c>
      <c r="N8" t="s">
        <v>394</v>
      </c>
      <c r="O8" t="s">
        <v>431</v>
      </c>
      <c r="P8" t="s">
        <v>373</v>
      </c>
      <c r="Q8" t="s">
        <v>432</v>
      </c>
      <c r="R8" t="s">
        <v>373</v>
      </c>
      <c r="S8" t="s">
        <v>382</v>
      </c>
      <c r="T8" t="s">
        <v>373</v>
      </c>
      <c r="U8" s="124" t="str">
        <f>",'"&amp;own_summary[[#This Row],[Name]]&amp;"'"</f>
        <v>,'ielr_attr'</v>
      </c>
      <c r="W8" t="s">
        <v>433</v>
      </c>
      <c r="X8" t="s">
        <v>281</v>
      </c>
      <c r="Y8" t="s">
        <v>394</v>
      </c>
      <c r="Z8" t="s">
        <v>372</v>
      </c>
      <c r="AA8" t="s">
        <v>373</v>
      </c>
      <c r="AB8" t="s">
        <v>434</v>
      </c>
      <c r="AC8" t="s">
        <v>373</v>
      </c>
      <c r="AD8" t="s">
        <v>373</v>
      </c>
      <c r="AE8" t="s">
        <v>385</v>
      </c>
      <c r="AF8" s="124" t="str">
        <f>",'"&amp;lloyds_detail[[#This Row],[Name]]&amp;"'"</f>
        <v>,'acquisition_ratio'</v>
      </c>
      <c r="AH8" t="s">
        <v>435</v>
      </c>
      <c r="AI8" t="s">
        <v>328</v>
      </c>
      <c r="AJ8" t="s">
        <v>377</v>
      </c>
      <c r="AK8" t="s">
        <v>372</v>
      </c>
      <c r="AL8" t="s">
        <v>373</v>
      </c>
      <c r="AM8" t="s">
        <v>436</v>
      </c>
      <c r="AN8" t="s">
        <v>373</v>
      </c>
      <c r="AO8" t="s">
        <v>373</v>
      </c>
      <c r="AP8" t="s">
        <v>385</v>
      </c>
      <c r="AQ8" s="124" t="str">
        <f>",'"&amp;lloyds_summary[[#This Row],[Name]]&amp;"'"</f>
        <v>,'tracker_class'</v>
      </c>
      <c r="AS8" t="s">
        <v>437</v>
      </c>
      <c r="AT8" t="s">
        <v>281</v>
      </c>
      <c r="AU8" t="s">
        <v>394</v>
      </c>
      <c r="AV8" t="s">
        <v>372</v>
      </c>
      <c r="AW8" t="s">
        <v>373</v>
      </c>
      <c r="AX8" t="s">
        <v>434</v>
      </c>
      <c r="AY8" t="s">
        <v>373</v>
      </c>
      <c r="AZ8" t="s">
        <v>373</v>
      </c>
      <c r="BA8" t="s">
        <v>385</v>
      </c>
      <c r="BB8" s="124" t="str">
        <f>",'"&amp;beazley_detail[[#This Row],[Name]]&amp;"'"</f>
        <v>,'acquisition_ratio'</v>
      </c>
      <c r="BD8" t="s">
        <v>438</v>
      </c>
      <c r="BE8" t="s">
        <v>328</v>
      </c>
      <c r="BF8" t="s">
        <v>377</v>
      </c>
      <c r="BG8" t="s">
        <v>372</v>
      </c>
      <c r="BH8" t="s">
        <v>373</v>
      </c>
      <c r="BI8" t="s">
        <v>436</v>
      </c>
      <c r="BJ8" t="s">
        <v>373</v>
      </c>
      <c r="BK8" t="s">
        <v>373</v>
      </c>
      <c r="BL8" t="s">
        <v>385</v>
      </c>
      <c r="BM8" s="124" t="str">
        <f>",'"&amp;beazley_summary[[#This Row],[Name]]&amp;"'"</f>
        <v>,'tracker_class'</v>
      </c>
    </row>
    <row r="9" spans="1:65" x14ac:dyDescent="0.35">
      <c r="A9" t="s">
        <v>439</v>
      </c>
      <c r="B9" t="s">
        <v>108</v>
      </c>
      <c r="C9" t="s">
        <v>394</v>
      </c>
      <c r="D9" t="s">
        <v>372</v>
      </c>
      <c r="E9" t="s">
        <v>373</v>
      </c>
      <c r="F9" t="s">
        <v>440</v>
      </c>
      <c r="G9" t="s">
        <v>373</v>
      </c>
      <c r="H9" t="s">
        <v>375</v>
      </c>
      <c r="I9" t="s">
        <v>373</v>
      </c>
      <c r="J9" s="124" t="str">
        <f>",'"&amp;own_detail[[#This Row],[Name]]&amp;"'"</f>
        <v>,'ultimate_premium_selected_gnpi_cl'</v>
      </c>
      <c r="L9" t="s">
        <v>441</v>
      </c>
      <c r="M9" t="s">
        <v>211</v>
      </c>
      <c r="N9" t="s">
        <v>394</v>
      </c>
      <c r="O9" t="s">
        <v>431</v>
      </c>
      <c r="P9" t="s">
        <v>373</v>
      </c>
      <c r="Q9" t="s">
        <v>442</v>
      </c>
      <c r="R9" t="s">
        <v>373</v>
      </c>
      <c r="S9" t="s">
        <v>382</v>
      </c>
      <c r="T9" t="s">
        <v>373</v>
      </c>
      <c r="U9" s="124" t="str">
        <f>",'"&amp;own_summary[[#This Row],[Name]]&amp;"'"</f>
        <v>,'ielr_large'</v>
      </c>
      <c r="W9" t="s">
        <v>443</v>
      </c>
      <c r="X9" t="s">
        <v>282</v>
      </c>
      <c r="Y9" t="s">
        <v>394</v>
      </c>
      <c r="Z9" t="s">
        <v>372</v>
      </c>
      <c r="AA9" t="s">
        <v>373</v>
      </c>
      <c r="AB9" t="s">
        <v>444</v>
      </c>
      <c r="AC9" t="s">
        <v>373</v>
      </c>
      <c r="AD9" t="s">
        <v>373</v>
      </c>
      <c r="AE9" t="s">
        <v>385</v>
      </c>
      <c r="AF9" s="124" t="str">
        <f>",'"&amp;lloyds_detail[[#This Row],[Name]]&amp;"'"</f>
        <v>,'incurred_loss_ratio'</v>
      </c>
      <c r="AH9" t="s">
        <v>445</v>
      </c>
      <c r="AI9" t="s">
        <v>329</v>
      </c>
      <c r="AJ9" t="s">
        <v>377</v>
      </c>
      <c r="AK9" t="s">
        <v>378</v>
      </c>
      <c r="AL9" t="s">
        <v>379</v>
      </c>
      <c r="AM9" t="s">
        <v>446</v>
      </c>
      <c r="AN9" t="s">
        <v>381</v>
      </c>
      <c r="AO9" t="s">
        <v>447</v>
      </c>
      <c r="AP9" t="s">
        <v>385</v>
      </c>
      <c r="AQ9" s="124" t="str">
        <f>",'"&amp;lloyds_summary[[#This Row],[Name]]&amp;"'"</f>
        <v>,'projection_type'</v>
      </c>
      <c r="AS9" t="s">
        <v>448</v>
      </c>
      <c r="AT9" t="s">
        <v>282</v>
      </c>
      <c r="AU9" t="s">
        <v>394</v>
      </c>
      <c r="AV9" t="s">
        <v>372</v>
      </c>
      <c r="AW9" t="s">
        <v>373</v>
      </c>
      <c r="AX9" t="s">
        <v>444</v>
      </c>
      <c r="AY9" t="s">
        <v>373</v>
      </c>
      <c r="AZ9" t="s">
        <v>373</v>
      </c>
      <c r="BA9" t="s">
        <v>385</v>
      </c>
      <c r="BB9" s="124" t="str">
        <f>",'"&amp;beazley_detail[[#This Row],[Name]]&amp;"'"</f>
        <v>,'incurred_loss_ratio'</v>
      </c>
      <c r="BD9" t="s">
        <v>449</v>
      </c>
      <c r="BE9" t="s">
        <v>329</v>
      </c>
      <c r="BF9" t="s">
        <v>377</v>
      </c>
      <c r="BG9" t="s">
        <v>378</v>
      </c>
      <c r="BH9" t="s">
        <v>379</v>
      </c>
      <c r="BI9" t="s">
        <v>446</v>
      </c>
      <c r="BJ9" t="s">
        <v>381</v>
      </c>
      <c r="BK9" t="s">
        <v>447</v>
      </c>
      <c r="BL9" t="s">
        <v>385</v>
      </c>
      <c r="BM9" s="124" t="str">
        <f>",'"&amp;beazley_summary[[#This Row],[Name]]&amp;"'"</f>
        <v>,'projection_type'</v>
      </c>
    </row>
    <row r="10" spans="1:65" x14ac:dyDescent="0.35">
      <c r="A10" t="s">
        <v>450</v>
      </c>
      <c r="B10" t="s">
        <v>109</v>
      </c>
      <c r="C10" t="s">
        <v>394</v>
      </c>
      <c r="D10" t="s">
        <v>378</v>
      </c>
      <c r="E10" t="s">
        <v>451</v>
      </c>
      <c r="F10" t="s">
        <v>452</v>
      </c>
      <c r="G10" t="s">
        <v>453</v>
      </c>
      <c r="H10" t="s">
        <v>375</v>
      </c>
      <c r="I10" t="s">
        <v>373</v>
      </c>
      <c r="J10" s="124" t="str">
        <f>",'"&amp;own_detail[[#This Row],[Name]]&amp;"'"</f>
        <v>,'ultimate_premium_selected_gnpi_override'</v>
      </c>
      <c r="L10" t="s">
        <v>454</v>
      </c>
      <c r="M10" t="s">
        <v>212</v>
      </c>
      <c r="N10" t="s">
        <v>394</v>
      </c>
      <c r="O10" t="s">
        <v>431</v>
      </c>
      <c r="P10" t="s">
        <v>373</v>
      </c>
      <c r="Q10" t="s">
        <v>455</v>
      </c>
      <c r="R10" t="s">
        <v>373</v>
      </c>
      <c r="S10" t="s">
        <v>382</v>
      </c>
      <c r="T10" t="s">
        <v>373</v>
      </c>
      <c r="U10" s="124" t="str">
        <f>",'"&amp;own_summary[[#This Row],[Name]]&amp;"'"</f>
        <v>,'ielr_cat'</v>
      </c>
      <c r="W10" t="s">
        <v>456</v>
      </c>
      <c r="X10" t="s">
        <v>283</v>
      </c>
      <c r="Y10" t="s">
        <v>394</v>
      </c>
      <c r="Z10" t="s">
        <v>372</v>
      </c>
      <c r="AA10" t="s">
        <v>373</v>
      </c>
      <c r="AB10" t="s">
        <v>457</v>
      </c>
      <c r="AC10" t="s">
        <v>373</v>
      </c>
      <c r="AD10" t="s">
        <v>373</v>
      </c>
      <c r="AE10" t="s">
        <v>385</v>
      </c>
      <c r="AF10" s="124" t="str">
        <f>",'"&amp;lloyds_detail[[#This Row],[Name]]&amp;"'"</f>
        <v>,'ultimate_gnpi'</v>
      </c>
      <c r="AH10" t="s">
        <v>458</v>
      </c>
      <c r="AI10" t="s">
        <v>209</v>
      </c>
      <c r="AJ10" t="s">
        <v>377</v>
      </c>
      <c r="AK10" t="s">
        <v>378</v>
      </c>
      <c r="AL10" t="s">
        <v>379</v>
      </c>
      <c r="AM10" t="s">
        <v>420</v>
      </c>
      <c r="AN10" t="s">
        <v>381</v>
      </c>
      <c r="AO10" t="s">
        <v>447</v>
      </c>
      <c r="AP10" t="s">
        <v>385</v>
      </c>
      <c r="AQ10" s="124" t="str">
        <f>",'"&amp;lloyds_summary[[#This Row],[Name]]&amp;"'"</f>
        <v>,'ielr_approach'</v>
      </c>
      <c r="AS10" t="s">
        <v>459</v>
      </c>
      <c r="AT10" t="s">
        <v>283</v>
      </c>
      <c r="AU10" t="s">
        <v>394</v>
      </c>
      <c r="AV10" t="s">
        <v>372</v>
      </c>
      <c r="AW10" t="s">
        <v>373</v>
      </c>
      <c r="AX10" t="s">
        <v>457</v>
      </c>
      <c r="AY10" t="s">
        <v>373</v>
      </c>
      <c r="AZ10" t="s">
        <v>373</v>
      </c>
      <c r="BA10" t="s">
        <v>385</v>
      </c>
      <c r="BB10" s="124" t="str">
        <f>",'"&amp;beazley_detail[[#This Row],[Name]]&amp;"'"</f>
        <v>,'ultimate_gnpi'</v>
      </c>
      <c r="BD10" t="s">
        <v>460</v>
      </c>
      <c r="BE10" t="s">
        <v>209</v>
      </c>
      <c r="BF10" t="s">
        <v>377</v>
      </c>
      <c r="BG10" t="s">
        <v>378</v>
      </c>
      <c r="BH10" t="s">
        <v>379</v>
      </c>
      <c r="BI10" t="s">
        <v>420</v>
      </c>
      <c r="BJ10" t="s">
        <v>381</v>
      </c>
      <c r="BK10" t="s">
        <v>447</v>
      </c>
      <c r="BL10" t="s">
        <v>385</v>
      </c>
      <c r="BM10" s="124" t="str">
        <f>",'"&amp;beazley_summary[[#This Row],[Name]]&amp;"'"</f>
        <v>,'ielr_approach'</v>
      </c>
    </row>
    <row r="11" spans="1:65" x14ac:dyDescent="0.35">
      <c r="A11" t="s">
        <v>461</v>
      </c>
      <c r="B11" t="s">
        <v>110</v>
      </c>
      <c r="C11" t="s">
        <v>394</v>
      </c>
      <c r="D11" t="s">
        <v>372</v>
      </c>
      <c r="E11" t="s">
        <v>373</v>
      </c>
      <c r="F11" t="s">
        <v>462</v>
      </c>
      <c r="G11" t="s">
        <v>373</v>
      </c>
      <c r="H11" t="s">
        <v>375</v>
      </c>
      <c r="I11" t="s">
        <v>373</v>
      </c>
      <c r="J11" s="124" t="str">
        <f>",'"&amp;own_detail[[#This Row],[Name]]&amp;"'"</f>
        <v>,'ultimate_premium_selected_gnpi_selected'</v>
      </c>
      <c r="L11" t="s">
        <v>463</v>
      </c>
      <c r="M11" t="s">
        <v>213</v>
      </c>
      <c r="N11" t="s">
        <v>394</v>
      </c>
      <c r="O11" t="s">
        <v>431</v>
      </c>
      <c r="P11" t="s">
        <v>373</v>
      </c>
      <c r="Q11" t="s">
        <v>464</v>
      </c>
      <c r="R11" t="s">
        <v>373</v>
      </c>
      <c r="S11" t="s">
        <v>382</v>
      </c>
      <c r="T11" t="s">
        <v>373</v>
      </c>
      <c r="U11" s="124" t="str">
        <f>",'"&amp;own_summary[[#This Row],[Name]]&amp;"'"</f>
        <v>,'ielr_total'</v>
      </c>
      <c r="W11" t="s">
        <v>465</v>
      </c>
      <c r="X11" t="s">
        <v>284</v>
      </c>
      <c r="Y11" t="s">
        <v>394</v>
      </c>
      <c r="Z11" t="s">
        <v>372</v>
      </c>
      <c r="AA11" t="s">
        <v>373</v>
      </c>
      <c r="AB11" t="s">
        <v>466</v>
      </c>
      <c r="AC11" t="s">
        <v>373</v>
      </c>
      <c r="AD11" t="s">
        <v>373</v>
      </c>
      <c r="AE11" t="s">
        <v>385</v>
      </c>
      <c r="AF11" s="124" t="str">
        <f>",'"&amp;lloyds_detail[[#This Row],[Name]]&amp;"'"</f>
        <v>,'ultimate_gnpi_ol_model'</v>
      </c>
      <c r="AH11" t="s">
        <v>467</v>
      </c>
      <c r="AI11" t="s">
        <v>330</v>
      </c>
      <c r="AJ11" t="s">
        <v>377</v>
      </c>
      <c r="AK11" t="s">
        <v>378</v>
      </c>
      <c r="AL11" t="s">
        <v>379</v>
      </c>
      <c r="AM11" t="s">
        <v>468</v>
      </c>
      <c r="AN11" t="s">
        <v>381</v>
      </c>
      <c r="AO11" t="s">
        <v>447</v>
      </c>
      <c r="AP11" t="s">
        <v>385</v>
      </c>
      <c r="AQ11" s="124" t="str">
        <f>",'"&amp;lloyds_summary[[#This Row],[Name]]&amp;"'"</f>
        <v>,'ielr_source'</v>
      </c>
      <c r="AS11" t="s">
        <v>469</v>
      </c>
      <c r="AT11" t="s">
        <v>284</v>
      </c>
      <c r="AU11" t="s">
        <v>394</v>
      </c>
      <c r="AV11" t="s">
        <v>372</v>
      </c>
      <c r="AW11" t="s">
        <v>373</v>
      </c>
      <c r="AX11" t="s">
        <v>466</v>
      </c>
      <c r="AY11" t="s">
        <v>373</v>
      </c>
      <c r="AZ11" t="s">
        <v>373</v>
      </c>
      <c r="BA11" t="s">
        <v>385</v>
      </c>
      <c r="BB11" s="124" t="str">
        <f>",'"&amp;beazley_detail[[#This Row],[Name]]&amp;"'"</f>
        <v>,'ultimate_gnpi_ol_model'</v>
      </c>
      <c r="BD11" t="s">
        <v>470</v>
      </c>
      <c r="BE11" t="s">
        <v>330</v>
      </c>
      <c r="BF11" t="s">
        <v>377</v>
      </c>
      <c r="BG11" t="s">
        <v>378</v>
      </c>
      <c r="BH11" t="s">
        <v>379</v>
      </c>
      <c r="BI11" t="s">
        <v>468</v>
      </c>
      <c r="BJ11" t="s">
        <v>381</v>
      </c>
      <c r="BK11" t="s">
        <v>447</v>
      </c>
      <c r="BL11" t="s">
        <v>385</v>
      </c>
      <c r="BM11" s="124" t="str">
        <f>",'"&amp;beazley_summary[[#This Row],[Name]]&amp;"'"</f>
        <v>,'ielr_source'</v>
      </c>
    </row>
    <row r="12" spans="1:65" x14ac:dyDescent="0.35">
      <c r="A12" t="s">
        <v>471</v>
      </c>
      <c r="B12" t="s">
        <v>111</v>
      </c>
      <c r="C12" t="s">
        <v>394</v>
      </c>
      <c r="D12" t="s">
        <v>372</v>
      </c>
      <c r="E12" t="s">
        <v>373</v>
      </c>
      <c r="F12" t="s">
        <v>472</v>
      </c>
      <c r="G12" t="s">
        <v>373</v>
      </c>
      <c r="H12" t="s">
        <v>375</v>
      </c>
      <c r="I12" t="s">
        <v>373</v>
      </c>
      <c r="J12" s="124" t="str">
        <f>",'"&amp;own_detail[[#This Row],[Name]]&amp;"'"</f>
        <v>,'ultimate_premium_selected_gnpi_selected_ol'</v>
      </c>
      <c r="L12" t="s">
        <v>473</v>
      </c>
      <c r="M12" t="s">
        <v>214</v>
      </c>
      <c r="N12" t="s">
        <v>394</v>
      </c>
      <c r="O12" t="s">
        <v>372</v>
      </c>
      <c r="P12" t="s">
        <v>373</v>
      </c>
      <c r="Q12" t="s">
        <v>474</v>
      </c>
      <c r="R12" t="s">
        <v>373</v>
      </c>
      <c r="S12" t="s">
        <v>375</v>
      </c>
      <c r="T12" t="s">
        <v>373</v>
      </c>
      <c r="U12" s="124" t="str">
        <f>",'"&amp;own_summary[[#This Row],[Name]]&amp;"'"</f>
        <v>,'ielr_total_excl_cat'</v>
      </c>
      <c r="W12" t="s">
        <v>475</v>
      </c>
      <c r="X12" t="s">
        <v>285</v>
      </c>
      <c r="Y12" t="s">
        <v>394</v>
      </c>
      <c r="Z12" t="s">
        <v>372</v>
      </c>
      <c r="AA12" t="s">
        <v>373</v>
      </c>
      <c r="AB12" t="s">
        <v>472</v>
      </c>
      <c r="AC12" t="s">
        <v>373</v>
      </c>
      <c r="AD12" t="s">
        <v>373</v>
      </c>
      <c r="AE12" t="s">
        <v>385</v>
      </c>
      <c r="AF12" s="124" t="str">
        <f>",'"&amp;lloyds_detail[[#This Row],[Name]]&amp;"'"</f>
        <v>,'ultimate_gnpi_ol_selected'</v>
      </c>
      <c r="AH12" t="s">
        <v>476</v>
      </c>
      <c r="AI12" t="s">
        <v>331</v>
      </c>
      <c r="AJ12" t="s">
        <v>377</v>
      </c>
      <c r="AK12" t="s">
        <v>378</v>
      </c>
      <c r="AL12" t="s">
        <v>379</v>
      </c>
      <c r="AM12" t="s">
        <v>477</v>
      </c>
      <c r="AN12" t="s">
        <v>381</v>
      </c>
      <c r="AO12" t="s">
        <v>447</v>
      </c>
      <c r="AP12" t="s">
        <v>385</v>
      </c>
      <c r="AQ12" s="124" t="str">
        <f>",'"&amp;lloyds_summary[[#This Row],[Name]]&amp;"'"</f>
        <v>,'cat_lr_source'</v>
      </c>
      <c r="AS12" t="s">
        <v>478</v>
      </c>
      <c r="AT12" t="s">
        <v>285</v>
      </c>
      <c r="AU12" t="s">
        <v>394</v>
      </c>
      <c r="AV12" t="s">
        <v>372</v>
      </c>
      <c r="AW12" t="s">
        <v>373</v>
      </c>
      <c r="AX12" t="s">
        <v>472</v>
      </c>
      <c r="AY12" t="s">
        <v>373</v>
      </c>
      <c r="AZ12" t="s">
        <v>373</v>
      </c>
      <c r="BA12" t="s">
        <v>385</v>
      </c>
      <c r="BB12" s="124" t="str">
        <f>",'"&amp;beazley_detail[[#This Row],[Name]]&amp;"'"</f>
        <v>,'ultimate_gnpi_ol_selected'</v>
      </c>
      <c r="BD12" t="s">
        <v>479</v>
      </c>
      <c r="BE12" t="s">
        <v>331</v>
      </c>
      <c r="BF12" t="s">
        <v>377</v>
      </c>
      <c r="BG12" t="s">
        <v>378</v>
      </c>
      <c r="BH12" t="s">
        <v>379</v>
      </c>
      <c r="BI12" t="s">
        <v>477</v>
      </c>
      <c r="BJ12" t="s">
        <v>381</v>
      </c>
      <c r="BK12" t="s">
        <v>447</v>
      </c>
      <c r="BL12" t="s">
        <v>385</v>
      </c>
      <c r="BM12" s="124" t="str">
        <f>",'"&amp;beazley_summary[[#This Row],[Name]]&amp;"'"</f>
        <v>,'cat_lr_source'</v>
      </c>
    </row>
    <row r="13" spans="1:65" x14ac:dyDescent="0.35">
      <c r="A13" t="s">
        <v>480</v>
      </c>
      <c r="B13" t="s">
        <v>112</v>
      </c>
      <c r="C13" t="s">
        <v>394</v>
      </c>
      <c r="D13" t="s">
        <v>372</v>
      </c>
      <c r="E13" t="s">
        <v>373</v>
      </c>
      <c r="F13" t="s">
        <v>481</v>
      </c>
      <c r="G13" t="s">
        <v>373</v>
      </c>
      <c r="H13" t="s">
        <v>375</v>
      </c>
      <c r="I13" t="s">
        <v>373</v>
      </c>
      <c r="J13" s="124" t="str">
        <f>",'"&amp;own_detail[[#This Row],[Name]]&amp;"'"</f>
        <v>,'ultimate_incurred_cl_ielr'</v>
      </c>
      <c r="L13" t="s">
        <v>482</v>
      </c>
      <c r="M13" t="s">
        <v>215</v>
      </c>
      <c r="N13" t="s">
        <v>394</v>
      </c>
      <c r="O13" t="s">
        <v>372</v>
      </c>
      <c r="P13" t="s">
        <v>373</v>
      </c>
      <c r="Q13" t="s">
        <v>483</v>
      </c>
      <c r="R13" t="s">
        <v>373</v>
      </c>
      <c r="S13" t="s">
        <v>375</v>
      </c>
      <c r="T13" t="s">
        <v>373</v>
      </c>
      <c r="U13" s="124" t="str">
        <f>",'"&amp;own_summary[[#This Row],[Name]]&amp;"'"</f>
        <v>,'lloyds_model_ielr'</v>
      </c>
      <c r="W13" t="s">
        <v>484</v>
      </c>
      <c r="X13" t="s">
        <v>286</v>
      </c>
      <c r="Y13" t="s">
        <v>394</v>
      </c>
      <c r="Z13" t="s">
        <v>372</v>
      </c>
      <c r="AA13" t="s">
        <v>373</v>
      </c>
      <c r="AB13" t="s">
        <v>485</v>
      </c>
      <c r="AC13" t="s">
        <v>373</v>
      </c>
      <c r="AD13" t="s">
        <v>373</v>
      </c>
      <c r="AE13" t="s">
        <v>385</v>
      </c>
      <c r="AF13" s="124" t="str">
        <f>",'"&amp;lloyds_detail[[#This Row],[Name]]&amp;"'"</f>
        <v>,'ultimate_cl_paid'</v>
      </c>
      <c r="AH13" t="s">
        <v>486</v>
      </c>
      <c r="AI13" t="s">
        <v>332</v>
      </c>
      <c r="AJ13" t="s">
        <v>394</v>
      </c>
      <c r="AK13" t="s">
        <v>372</v>
      </c>
      <c r="AL13" t="s">
        <v>373</v>
      </c>
      <c r="AM13" t="s">
        <v>487</v>
      </c>
      <c r="AN13" t="s">
        <v>373</v>
      </c>
      <c r="AO13" t="s">
        <v>373</v>
      </c>
      <c r="AP13" t="s">
        <v>385</v>
      </c>
      <c r="AQ13" s="124" t="str">
        <f>",'"&amp;lloyds_summary[[#This Row],[Name]]&amp;"'"</f>
        <v>,'lloyds_ielr'</v>
      </c>
      <c r="AS13" t="s">
        <v>488</v>
      </c>
      <c r="AT13" t="s">
        <v>286</v>
      </c>
      <c r="AU13" t="s">
        <v>394</v>
      </c>
      <c r="AV13" t="s">
        <v>372</v>
      </c>
      <c r="AW13" t="s">
        <v>373</v>
      </c>
      <c r="AX13" t="s">
        <v>485</v>
      </c>
      <c r="AY13" t="s">
        <v>373</v>
      </c>
      <c r="AZ13" t="s">
        <v>373</v>
      </c>
      <c r="BA13" t="s">
        <v>385</v>
      </c>
      <c r="BB13" s="124" t="str">
        <f>",'"&amp;beazley_detail[[#This Row],[Name]]&amp;"'"</f>
        <v>,'ultimate_cl_paid'</v>
      </c>
      <c r="BD13" t="s">
        <v>489</v>
      </c>
      <c r="BE13" t="s">
        <v>332</v>
      </c>
      <c r="BF13" t="s">
        <v>394</v>
      </c>
      <c r="BG13" t="s">
        <v>372</v>
      </c>
      <c r="BH13" t="s">
        <v>373</v>
      </c>
      <c r="BI13" t="s">
        <v>487</v>
      </c>
      <c r="BJ13" t="s">
        <v>373</v>
      </c>
      <c r="BK13" t="s">
        <v>373</v>
      </c>
      <c r="BL13" t="s">
        <v>385</v>
      </c>
      <c r="BM13" s="124" t="str">
        <f>",'"&amp;beazley_summary[[#This Row],[Name]]&amp;"'"</f>
        <v>,'lloyds_ielr'</v>
      </c>
    </row>
    <row r="14" spans="1:65" x14ac:dyDescent="0.35">
      <c r="A14" t="s">
        <v>490</v>
      </c>
      <c r="B14" t="s">
        <v>113</v>
      </c>
      <c r="C14" t="s">
        <v>394</v>
      </c>
      <c r="D14" t="s">
        <v>378</v>
      </c>
      <c r="E14" t="s">
        <v>451</v>
      </c>
      <c r="F14" t="s">
        <v>89</v>
      </c>
      <c r="G14">
        <v>0</v>
      </c>
      <c r="H14" t="s">
        <v>375</v>
      </c>
      <c r="I14" t="s">
        <v>373</v>
      </c>
      <c r="J14" s="124" t="str">
        <f>",'"&amp;own_detail[[#This Row],[Name]]&amp;"'"</f>
        <v>,'additional_ibnr_attr'</v>
      </c>
      <c r="L14" t="s">
        <v>491</v>
      </c>
      <c r="M14" t="s">
        <v>216</v>
      </c>
      <c r="N14" t="s">
        <v>394</v>
      </c>
      <c r="O14" t="s">
        <v>372</v>
      </c>
      <c r="P14" t="s">
        <v>373</v>
      </c>
      <c r="Q14" t="s">
        <v>492</v>
      </c>
      <c r="R14" t="s">
        <v>373</v>
      </c>
      <c r="S14" t="s">
        <v>375</v>
      </c>
      <c r="T14" t="s">
        <v>373</v>
      </c>
      <c r="U14" s="124" t="str">
        <f>",'"&amp;own_summary[[#This Row],[Name]]&amp;"'"</f>
        <v>,'lloyds_model_final_gn_ulr'</v>
      </c>
      <c r="W14" t="s">
        <v>493</v>
      </c>
      <c r="X14" t="s">
        <v>287</v>
      </c>
      <c r="Y14" t="s">
        <v>394</v>
      </c>
      <c r="Z14" t="s">
        <v>372</v>
      </c>
      <c r="AA14" t="s">
        <v>373</v>
      </c>
      <c r="AB14" t="s">
        <v>494</v>
      </c>
      <c r="AC14" t="s">
        <v>373</v>
      </c>
      <c r="AD14" t="s">
        <v>373</v>
      </c>
      <c r="AE14" t="s">
        <v>385</v>
      </c>
      <c r="AF14" s="124" t="str">
        <f>",'"&amp;lloyds_detail[[#This Row],[Name]]&amp;"'"</f>
        <v>,'ultimate_cl_paid_ulr'</v>
      </c>
      <c r="AH14" t="s">
        <v>495</v>
      </c>
      <c r="AI14" t="s">
        <v>333</v>
      </c>
      <c r="AJ14" t="s">
        <v>394</v>
      </c>
      <c r="AK14" t="s">
        <v>372</v>
      </c>
      <c r="AL14" t="s">
        <v>373</v>
      </c>
      <c r="AM14" t="s">
        <v>496</v>
      </c>
      <c r="AN14" t="s">
        <v>373</v>
      </c>
      <c r="AO14" t="s">
        <v>373</v>
      </c>
      <c r="AP14" t="s">
        <v>385</v>
      </c>
      <c r="AQ14" s="124" t="str">
        <f>",'"&amp;lloyds_summary[[#This Row],[Name]]&amp;"'"</f>
        <v>,'composition'</v>
      </c>
      <c r="AS14" t="s">
        <v>497</v>
      </c>
      <c r="AT14" t="s">
        <v>287</v>
      </c>
      <c r="AU14" t="s">
        <v>394</v>
      </c>
      <c r="AV14" t="s">
        <v>372</v>
      </c>
      <c r="AW14" t="s">
        <v>373</v>
      </c>
      <c r="AX14" t="s">
        <v>494</v>
      </c>
      <c r="AY14" t="s">
        <v>373</v>
      </c>
      <c r="AZ14" t="s">
        <v>373</v>
      </c>
      <c r="BA14" t="s">
        <v>385</v>
      </c>
      <c r="BB14" s="124" t="str">
        <f>",'"&amp;beazley_detail[[#This Row],[Name]]&amp;"'"</f>
        <v>,'ultimate_cl_paid_ulr'</v>
      </c>
      <c r="BD14" t="s">
        <v>498</v>
      </c>
      <c r="BE14" t="s">
        <v>333</v>
      </c>
      <c r="BF14" t="s">
        <v>394</v>
      </c>
      <c r="BG14" t="s">
        <v>372</v>
      </c>
      <c r="BH14" t="s">
        <v>373</v>
      </c>
      <c r="BI14" t="s">
        <v>496</v>
      </c>
      <c r="BJ14" t="s">
        <v>373</v>
      </c>
      <c r="BK14" t="s">
        <v>373</v>
      </c>
      <c r="BL14" t="s">
        <v>385</v>
      </c>
      <c r="BM14" s="124" t="str">
        <f>",'"&amp;beazley_summary[[#This Row],[Name]]&amp;"'"</f>
        <v>,'composition'</v>
      </c>
    </row>
    <row r="15" spans="1:65" x14ac:dyDescent="0.35">
      <c r="A15" t="s">
        <v>499</v>
      </c>
      <c r="B15" t="s">
        <v>114</v>
      </c>
      <c r="C15" t="s">
        <v>394</v>
      </c>
      <c r="D15" t="s">
        <v>378</v>
      </c>
      <c r="E15" t="s">
        <v>451</v>
      </c>
      <c r="F15" t="s">
        <v>90</v>
      </c>
      <c r="G15">
        <v>0</v>
      </c>
      <c r="H15" t="s">
        <v>375</v>
      </c>
      <c r="I15" t="s">
        <v>373</v>
      </c>
      <c r="J15" s="124" t="str">
        <f>",'"&amp;own_detail[[#This Row],[Name]]&amp;"'"</f>
        <v>,'additional_ibnr_large'</v>
      </c>
      <c r="L15" t="s">
        <v>500</v>
      </c>
      <c r="M15" t="s">
        <v>217</v>
      </c>
      <c r="N15" t="s">
        <v>394</v>
      </c>
      <c r="O15" t="s">
        <v>372</v>
      </c>
      <c r="P15" t="s">
        <v>373</v>
      </c>
      <c r="Q15" t="s">
        <v>501</v>
      </c>
      <c r="R15" t="s">
        <v>373</v>
      </c>
      <c r="S15" t="s">
        <v>375</v>
      </c>
      <c r="T15" t="s">
        <v>373</v>
      </c>
      <c r="U15" s="124" t="str">
        <f>",'"&amp;own_summary[[#This Row],[Name]]&amp;"'"</f>
        <v>,'lloyds_selected_ielr'</v>
      </c>
      <c r="W15" t="s">
        <v>502</v>
      </c>
      <c r="X15" t="s">
        <v>288</v>
      </c>
      <c r="Y15" t="s">
        <v>394</v>
      </c>
      <c r="Z15" t="s">
        <v>372</v>
      </c>
      <c r="AA15" t="s">
        <v>373</v>
      </c>
      <c r="AB15" t="s">
        <v>503</v>
      </c>
      <c r="AC15" t="s">
        <v>373</v>
      </c>
      <c r="AD15" t="s">
        <v>373</v>
      </c>
      <c r="AE15" t="s">
        <v>385</v>
      </c>
      <c r="AF15" s="124" t="str">
        <f>",'"&amp;lloyds_detail[[#This Row],[Name]]&amp;"'"</f>
        <v>,'ultimate_cl_incurred'</v>
      </c>
      <c r="AH15" t="s">
        <v>504</v>
      </c>
      <c r="AI15" t="s">
        <v>334</v>
      </c>
      <c r="AJ15" t="s">
        <v>394</v>
      </c>
      <c r="AK15" t="s">
        <v>372</v>
      </c>
      <c r="AL15" t="s">
        <v>373</v>
      </c>
      <c r="AM15" t="s">
        <v>505</v>
      </c>
      <c r="AN15" t="s">
        <v>373</v>
      </c>
      <c r="AO15" t="s">
        <v>373</v>
      </c>
      <c r="AP15" t="s">
        <v>385</v>
      </c>
      <c r="AQ15" s="124" t="str">
        <f>",'"&amp;lloyds_summary[[#This Row],[Name]]&amp;"'"</f>
        <v>,'model_ielr_nominal'</v>
      </c>
      <c r="AS15" t="s">
        <v>506</v>
      </c>
      <c r="AT15" t="s">
        <v>288</v>
      </c>
      <c r="AU15" t="s">
        <v>394</v>
      </c>
      <c r="AV15" t="s">
        <v>372</v>
      </c>
      <c r="AW15" t="s">
        <v>373</v>
      </c>
      <c r="AX15" t="s">
        <v>503</v>
      </c>
      <c r="AY15" t="s">
        <v>373</v>
      </c>
      <c r="AZ15" t="s">
        <v>373</v>
      </c>
      <c r="BA15" t="s">
        <v>385</v>
      </c>
      <c r="BB15" s="124" t="str">
        <f>",'"&amp;beazley_detail[[#This Row],[Name]]&amp;"'"</f>
        <v>,'ultimate_cl_incurred'</v>
      </c>
      <c r="BD15" t="s">
        <v>507</v>
      </c>
      <c r="BE15" t="s">
        <v>334</v>
      </c>
      <c r="BF15" t="s">
        <v>394</v>
      </c>
      <c r="BG15" t="s">
        <v>372</v>
      </c>
      <c r="BH15" t="s">
        <v>373</v>
      </c>
      <c r="BI15" t="s">
        <v>505</v>
      </c>
      <c r="BJ15" t="s">
        <v>373</v>
      </c>
      <c r="BK15" t="s">
        <v>373</v>
      </c>
      <c r="BL15" t="s">
        <v>385</v>
      </c>
      <c r="BM15" s="124" t="str">
        <f>",'"&amp;beazley_summary[[#This Row],[Name]]&amp;"'"</f>
        <v>,'model_ielr_nominal'</v>
      </c>
    </row>
    <row r="16" spans="1:65" x14ac:dyDescent="0.35">
      <c r="A16" t="s">
        <v>508</v>
      </c>
      <c r="B16" t="s">
        <v>115</v>
      </c>
      <c r="C16" t="s">
        <v>394</v>
      </c>
      <c r="D16" t="s">
        <v>378</v>
      </c>
      <c r="E16" t="s">
        <v>451</v>
      </c>
      <c r="F16" t="s">
        <v>509</v>
      </c>
      <c r="G16">
        <v>0</v>
      </c>
      <c r="H16" t="s">
        <v>375</v>
      </c>
      <c r="I16" t="s">
        <v>373</v>
      </c>
      <c r="J16" s="124" t="str">
        <f>",'"&amp;own_detail[[#This Row],[Name]]&amp;"'"</f>
        <v>,'additional_ibnr_cat'</v>
      </c>
      <c r="L16" t="s">
        <v>510</v>
      </c>
      <c r="M16" t="s">
        <v>218</v>
      </c>
      <c r="N16" t="s">
        <v>394</v>
      </c>
      <c r="O16" t="s">
        <v>372</v>
      </c>
      <c r="P16" t="s">
        <v>373</v>
      </c>
      <c r="Q16" t="s">
        <v>511</v>
      </c>
      <c r="R16" t="s">
        <v>373</v>
      </c>
      <c r="S16" t="s">
        <v>375</v>
      </c>
      <c r="T16" t="s">
        <v>373</v>
      </c>
      <c r="U16" s="124" t="str">
        <f>",'"&amp;own_summary[[#This Row],[Name]]&amp;"'"</f>
        <v>,'lloyds_selected_final_gn_ulr'</v>
      </c>
      <c r="W16" t="s">
        <v>512</v>
      </c>
      <c r="X16" t="s">
        <v>289</v>
      </c>
      <c r="Y16" t="s">
        <v>394</v>
      </c>
      <c r="Z16" t="s">
        <v>372</v>
      </c>
      <c r="AA16" t="s">
        <v>373</v>
      </c>
      <c r="AB16" t="s">
        <v>513</v>
      </c>
      <c r="AC16" t="s">
        <v>373</v>
      </c>
      <c r="AD16" t="s">
        <v>373</v>
      </c>
      <c r="AE16" t="s">
        <v>385</v>
      </c>
      <c r="AF16" s="124" t="str">
        <f>",'"&amp;lloyds_detail[[#This Row],[Name]]&amp;"'"</f>
        <v>,'ultimate_cl_incurred_ulr'</v>
      </c>
      <c r="AH16" t="s">
        <v>514</v>
      </c>
      <c r="AI16" t="s">
        <v>335</v>
      </c>
      <c r="AJ16" t="s">
        <v>394</v>
      </c>
      <c r="AK16" t="s">
        <v>372</v>
      </c>
      <c r="AL16" t="s">
        <v>373</v>
      </c>
      <c r="AM16" t="s">
        <v>515</v>
      </c>
      <c r="AN16" t="s">
        <v>373</v>
      </c>
      <c r="AO16" t="s">
        <v>373</v>
      </c>
      <c r="AP16" t="s">
        <v>385</v>
      </c>
      <c r="AQ16" s="124" t="str">
        <f>",'"&amp;lloyds_summary[[#This Row],[Name]]&amp;"'"</f>
        <v>,'model_ielr_onlevel'</v>
      </c>
      <c r="AS16" t="s">
        <v>516</v>
      </c>
      <c r="AT16" t="s">
        <v>289</v>
      </c>
      <c r="AU16" t="s">
        <v>394</v>
      </c>
      <c r="AV16" t="s">
        <v>372</v>
      </c>
      <c r="AW16" t="s">
        <v>373</v>
      </c>
      <c r="AX16" t="s">
        <v>513</v>
      </c>
      <c r="AY16" t="s">
        <v>373</v>
      </c>
      <c r="AZ16" t="s">
        <v>373</v>
      </c>
      <c r="BA16" t="s">
        <v>385</v>
      </c>
      <c r="BB16" s="124" t="str">
        <f>",'"&amp;beazley_detail[[#This Row],[Name]]&amp;"'"</f>
        <v>,'ultimate_cl_incurred_ulr'</v>
      </c>
      <c r="BD16" t="s">
        <v>517</v>
      </c>
      <c r="BE16" t="s">
        <v>335</v>
      </c>
      <c r="BF16" t="s">
        <v>394</v>
      </c>
      <c r="BG16" t="s">
        <v>372</v>
      </c>
      <c r="BH16" t="s">
        <v>373</v>
      </c>
      <c r="BI16" t="s">
        <v>515</v>
      </c>
      <c r="BJ16" t="s">
        <v>373</v>
      </c>
      <c r="BK16" t="s">
        <v>373</v>
      </c>
      <c r="BL16" t="s">
        <v>385</v>
      </c>
      <c r="BM16" s="124" t="str">
        <f>",'"&amp;beazley_summary[[#This Row],[Name]]&amp;"'"</f>
        <v>,'model_ielr_onlevel'</v>
      </c>
    </row>
    <row r="17" spans="1:65" x14ac:dyDescent="0.35">
      <c r="A17" t="s">
        <v>518</v>
      </c>
      <c r="B17" t="s">
        <v>116</v>
      </c>
      <c r="C17" t="s">
        <v>394</v>
      </c>
      <c r="D17" t="s">
        <v>372</v>
      </c>
      <c r="E17" t="s">
        <v>373</v>
      </c>
      <c r="F17" t="s">
        <v>43</v>
      </c>
      <c r="G17" t="s">
        <v>373</v>
      </c>
      <c r="H17" t="s">
        <v>375</v>
      </c>
      <c r="I17" t="s">
        <v>373</v>
      </c>
      <c r="J17" s="124" t="str">
        <f>",'"&amp;own_detail[[#This Row],[Name]]&amp;"'"</f>
        <v>,'additional_ibnr_total'</v>
      </c>
      <c r="L17" t="s">
        <v>519</v>
      </c>
      <c r="M17" t="s">
        <v>219</v>
      </c>
      <c r="N17" t="s">
        <v>394</v>
      </c>
      <c r="O17" t="s">
        <v>372</v>
      </c>
      <c r="P17" t="s">
        <v>373</v>
      </c>
      <c r="Q17" t="s">
        <v>520</v>
      </c>
      <c r="R17" t="s">
        <v>373</v>
      </c>
      <c r="S17" t="s">
        <v>375</v>
      </c>
      <c r="T17" t="s">
        <v>373</v>
      </c>
      <c r="U17" s="124" t="str">
        <f>",'"&amp;own_summary[[#This Row],[Name]]&amp;"'"</f>
        <v>,'beazley_model_ielr'</v>
      </c>
      <c r="W17" t="s">
        <v>521</v>
      </c>
      <c r="X17" t="s">
        <v>290</v>
      </c>
      <c r="Y17" t="s">
        <v>394</v>
      </c>
      <c r="Z17" t="s">
        <v>372</v>
      </c>
      <c r="AA17" t="s">
        <v>373</v>
      </c>
      <c r="AB17" t="s">
        <v>522</v>
      </c>
      <c r="AC17" t="s">
        <v>373</v>
      </c>
      <c r="AD17" t="s">
        <v>373</v>
      </c>
      <c r="AE17" t="s">
        <v>385</v>
      </c>
      <c r="AF17" s="124" t="str">
        <f>",'"&amp;lloyds_detail[[#This Row],[Name]]&amp;"'"</f>
        <v>,'ultimate_ielr_model'</v>
      </c>
      <c r="AH17" t="s">
        <v>523</v>
      </c>
      <c r="AI17" t="s">
        <v>336</v>
      </c>
      <c r="AJ17" t="s">
        <v>394</v>
      </c>
      <c r="AK17" t="s">
        <v>372</v>
      </c>
      <c r="AL17" t="s">
        <v>373</v>
      </c>
      <c r="AM17" t="s">
        <v>524</v>
      </c>
      <c r="AN17" t="s">
        <v>373</v>
      </c>
      <c r="AO17" t="s">
        <v>373</v>
      </c>
      <c r="AP17" t="s">
        <v>385</v>
      </c>
      <c r="AQ17" s="124" t="str">
        <f>",'"&amp;lloyds_summary[[#This Row],[Name]]&amp;"'"</f>
        <v>,'model_ielr_ol_allyr'</v>
      </c>
      <c r="AS17" t="s">
        <v>525</v>
      </c>
      <c r="AT17" t="s">
        <v>290</v>
      </c>
      <c r="AU17" t="s">
        <v>394</v>
      </c>
      <c r="AV17" t="s">
        <v>372</v>
      </c>
      <c r="AW17" t="s">
        <v>373</v>
      </c>
      <c r="AX17" t="s">
        <v>522</v>
      </c>
      <c r="AY17" t="s">
        <v>373</v>
      </c>
      <c r="AZ17" t="s">
        <v>373</v>
      </c>
      <c r="BA17" t="s">
        <v>385</v>
      </c>
      <c r="BB17" s="124" t="str">
        <f>",'"&amp;beazley_detail[[#This Row],[Name]]&amp;"'"</f>
        <v>,'ultimate_ielr_model'</v>
      </c>
      <c r="BD17" t="s">
        <v>526</v>
      </c>
      <c r="BE17" t="s">
        <v>336</v>
      </c>
      <c r="BF17" t="s">
        <v>394</v>
      </c>
      <c r="BG17" t="s">
        <v>372</v>
      </c>
      <c r="BH17" t="s">
        <v>373</v>
      </c>
      <c r="BI17" t="s">
        <v>524</v>
      </c>
      <c r="BJ17" t="s">
        <v>373</v>
      </c>
      <c r="BK17" t="s">
        <v>373</v>
      </c>
      <c r="BL17" t="s">
        <v>385</v>
      </c>
      <c r="BM17" s="124" t="str">
        <f>",'"&amp;beazley_summary[[#This Row],[Name]]&amp;"'"</f>
        <v>,'model_ielr_ol_allyr'</v>
      </c>
    </row>
    <row r="18" spans="1:65" x14ac:dyDescent="0.35">
      <c r="A18" t="s">
        <v>527</v>
      </c>
      <c r="B18" t="s">
        <v>117</v>
      </c>
      <c r="C18" t="s">
        <v>528</v>
      </c>
      <c r="D18" t="s">
        <v>372</v>
      </c>
      <c r="E18" t="s">
        <v>373</v>
      </c>
      <c r="F18" t="s">
        <v>117</v>
      </c>
      <c r="G18" t="s">
        <v>373</v>
      </c>
      <c r="H18" t="s">
        <v>375</v>
      </c>
      <c r="I18" t="s">
        <v>373</v>
      </c>
      <c r="J18" s="124" t="str">
        <f>",'"&amp;own_detail[[#This Row],[Name]]&amp;"'"</f>
        <v>,'is_row_visible'</v>
      </c>
      <c r="L18" t="s">
        <v>529</v>
      </c>
      <c r="M18" t="s">
        <v>220</v>
      </c>
      <c r="N18" t="s">
        <v>394</v>
      </c>
      <c r="O18" t="s">
        <v>372</v>
      </c>
      <c r="P18" t="s">
        <v>373</v>
      </c>
      <c r="Q18" t="s">
        <v>530</v>
      </c>
      <c r="R18" t="s">
        <v>373</v>
      </c>
      <c r="S18" t="s">
        <v>375</v>
      </c>
      <c r="T18" t="s">
        <v>373</v>
      </c>
      <c r="U18" s="124" t="str">
        <f>",'"&amp;own_summary[[#This Row],[Name]]&amp;"'"</f>
        <v>,'beazley_model_final_gn_ulr'</v>
      </c>
      <c r="W18" t="s">
        <v>531</v>
      </c>
      <c r="X18" t="s">
        <v>291</v>
      </c>
      <c r="Y18" t="s">
        <v>394</v>
      </c>
      <c r="Z18" t="s">
        <v>372</v>
      </c>
      <c r="AA18" t="s">
        <v>373</v>
      </c>
      <c r="AB18" t="s">
        <v>532</v>
      </c>
      <c r="AC18" t="s">
        <v>373</v>
      </c>
      <c r="AD18" t="s">
        <v>373</v>
      </c>
      <c r="AE18" t="s">
        <v>385</v>
      </c>
      <c r="AF18" s="124" t="str">
        <f>",'"&amp;lloyds_detail[[#This Row],[Name]]&amp;"'"</f>
        <v>,'ultimate_ielr_model_ulr'</v>
      </c>
      <c r="AH18" t="s">
        <v>533</v>
      </c>
      <c r="AI18" t="s">
        <v>337</v>
      </c>
      <c r="AJ18" t="s">
        <v>394</v>
      </c>
      <c r="AK18" t="s">
        <v>372</v>
      </c>
      <c r="AL18" t="s">
        <v>373</v>
      </c>
      <c r="AM18" t="s">
        <v>534</v>
      </c>
      <c r="AN18" t="s">
        <v>373</v>
      </c>
      <c r="AO18" t="s">
        <v>373</v>
      </c>
      <c r="AP18" t="s">
        <v>385</v>
      </c>
      <c r="AQ18" s="124" t="str">
        <f>",'"&amp;lloyds_summary[[#This Row],[Name]]&amp;"'"</f>
        <v>,'model_ielr'</v>
      </c>
      <c r="AS18" t="s">
        <v>535</v>
      </c>
      <c r="AT18" t="s">
        <v>291</v>
      </c>
      <c r="AU18" t="s">
        <v>394</v>
      </c>
      <c r="AV18" t="s">
        <v>372</v>
      </c>
      <c r="AW18" t="s">
        <v>373</v>
      </c>
      <c r="AX18" t="s">
        <v>532</v>
      </c>
      <c r="AY18" t="s">
        <v>373</v>
      </c>
      <c r="AZ18" t="s">
        <v>373</v>
      </c>
      <c r="BA18" t="s">
        <v>385</v>
      </c>
      <c r="BB18" s="124" t="str">
        <f>",'"&amp;beazley_detail[[#This Row],[Name]]&amp;"'"</f>
        <v>,'ultimate_ielr_model_ulr'</v>
      </c>
      <c r="BD18" t="s">
        <v>536</v>
      </c>
      <c r="BE18" t="s">
        <v>337</v>
      </c>
      <c r="BF18" t="s">
        <v>394</v>
      </c>
      <c r="BG18" t="s">
        <v>372</v>
      </c>
      <c r="BH18" t="s">
        <v>373</v>
      </c>
      <c r="BI18" t="s">
        <v>534</v>
      </c>
      <c r="BJ18" t="s">
        <v>373</v>
      </c>
      <c r="BK18" t="s">
        <v>373</v>
      </c>
      <c r="BL18" t="s">
        <v>385</v>
      </c>
      <c r="BM18" s="124" t="str">
        <f>",'"&amp;beazley_summary[[#This Row],[Name]]&amp;"'"</f>
        <v>,'model_ielr'</v>
      </c>
    </row>
    <row r="19" spans="1:65" x14ac:dyDescent="0.35">
      <c r="A19" t="s">
        <v>537</v>
      </c>
      <c r="B19" t="s">
        <v>118</v>
      </c>
      <c r="C19" t="s">
        <v>528</v>
      </c>
      <c r="D19" t="s">
        <v>372</v>
      </c>
      <c r="E19" t="s">
        <v>373</v>
      </c>
      <c r="F19" t="s">
        <v>118</v>
      </c>
      <c r="G19" t="s">
        <v>373</v>
      </c>
      <c r="H19" t="s">
        <v>375</v>
      </c>
      <c r="I19" t="s">
        <v>373</v>
      </c>
      <c r="J19" s="124" t="str">
        <f>",'"&amp;own_detail[[#This Row],[Name]]&amp;"'"</f>
        <v>,'lob_visible_1'</v>
      </c>
      <c r="L19" t="s">
        <v>538</v>
      </c>
      <c r="M19" t="s">
        <v>221</v>
      </c>
      <c r="N19" t="s">
        <v>394</v>
      </c>
      <c r="O19" t="s">
        <v>372</v>
      </c>
      <c r="P19" t="s">
        <v>373</v>
      </c>
      <c r="Q19" t="s">
        <v>539</v>
      </c>
      <c r="R19" t="s">
        <v>373</v>
      </c>
      <c r="S19" t="s">
        <v>375</v>
      </c>
      <c r="T19" t="s">
        <v>373</v>
      </c>
      <c r="U19" s="124" t="str">
        <f>",'"&amp;own_summary[[#This Row],[Name]]&amp;"'"</f>
        <v>,'beazley_selected_ielr'</v>
      </c>
      <c r="W19" t="s">
        <v>540</v>
      </c>
      <c r="X19" t="s">
        <v>292</v>
      </c>
      <c r="Y19" t="s">
        <v>394</v>
      </c>
      <c r="Z19" t="s">
        <v>372</v>
      </c>
      <c r="AA19" t="s">
        <v>373</v>
      </c>
      <c r="AB19" t="s">
        <v>541</v>
      </c>
      <c r="AC19" t="s">
        <v>373</v>
      </c>
      <c r="AD19" t="s">
        <v>373</v>
      </c>
      <c r="AE19" t="s">
        <v>385</v>
      </c>
      <c r="AF19" s="124" t="str">
        <f>",'"&amp;lloyds_detail[[#This Row],[Name]]&amp;"'"</f>
        <v>,'ultimate_ielr_selected'</v>
      </c>
      <c r="AH19" t="s">
        <v>542</v>
      </c>
      <c r="AI19" t="s">
        <v>338</v>
      </c>
      <c r="AJ19" t="s">
        <v>394</v>
      </c>
      <c r="AK19" t="s">
        <v>372</v>
      </c>
      <c r="AL19" t="s">
        <v>373</v>
      </c>
      <c r="AM19" t="s">
        <v>543</v>
      </c>
      <c r="AN19" t="s">
        <v>373</v>
      </c>
      <c r="AO19" t="s">
        <v>373</v>
      </c>
      <c r="AP19" t="s">
        <v>385</v>
      </c>
      <c r="AQ19" s="124" t="str">
        <f>",'"&amp;lloyds_summary[[#This Row],[Name]]&amp;"'"</f>
        <v>,'model_gn_ulr'</v>
      </c>
      <c r="AS19" t="s">
        <v>544</v>
      </c>
      <c r="AT19" t="s">
        <v>292</v>
      </c>
      <c r="AU19" t="s">
        <v>394</v>
      </c>
      <c r="AV19" t="s">
        <v>372</v>
      </c>
      <c r="AW19" t="s">
        <v>373</v>
      </c>
      <c r="AX19" t="s">
        <v>541</v>
      </c>
      <c r="AY19" t="s">
        <v>373</v>
      </c>
      <c r="AZ19" t="s">
        <v>373</v>
      </c>
      <c r="BA19" t="s">
        <v>385</v>
      </c>
      <c r="BB19" s="124" t="str">
        <f>",'"&amp;beazley_detail[[#This Row],[Name]]&amp;"'"</f>
        <v>,'ultimate_ielr_selected'</v>
      </c>
      <c r="BD19" t="s">
        <v>545</v>
      </c>
      <c r="BE19" t="s">
        <v>338</v>
      </c>
      <c r="BF19" t="s">
        <v>394</v>
      </c>
      <c r="BG19" t="s">
        <v>372</v>
      </c>
      <c r="BH19" t="s">
        <v>373</v>
      </c>
      <c r="BI19" t="s">
        <v>543</v>
      </c>
      <c r="BJ19" t="s">
        <v>373</v>
      </c>
      <c r="BK19" t="s">
        <v>373</v>
      </c>
      <c r="BL19" t="s">
        <v>385</v>
      </c>
      <c r="BM19" s="124" t="str">
        <f>",'"&amp;beazley_summary[[#This Row],[Name]]&amp;"'"</f>
        <v>,'model_gn_ulr'</v>
      </c>
    </row>
    <row r="20" spans="1:65" x14ac:dyDescent="0.35">
      <c r="A20" t="s">
        <v>546</v>
      </c>
      <c r="B20" t="s">
        <v>119</v>
      </c>
      <c r="C20" t="s">
        <v>528</v>
      </c>
      <c r="D20" t="s">
        <v>372</v>
      </c>
      <c r="E20" t="s">
        <v>373</v>
      </c>
      <c r="F20" t="s">
        <v>119</v>
      </c>
      <c r="G20" t="s">
        <v>373</v>
      </c>
      <c r="H20" t="s">
        <v>375</v>
      </c>
      <c r="I20" t="s">
        <v>373</v>
      </c>
      <c r="J20" s="124" t="str">
        <f>",'"&amp;own_detail[[#This Row],[Name]]&amp;"'"</f>
        <v>,'lob_visible_2'</v>
      </c>
      <c r="L20" t="s">
        <v>547</v>
      </c>
      <c r="M20" t="s">
        <v>222</v>
      </c>
      <c r="N20" t="s">
        <v>394</v>
      </c>
      <c r="O20" t="s">
        <v>372</v>
      </c>
      <c r="P20" t="s">
        <v>373</v>
      </c>
      <c r="Q20" t="s">
        <v>548</v>
      </c>
      <c r="R20" t="s">
        <v>373</v>
      </c>
      <c r="S20" t="s">
        <v>375</v>
      </c>
      <c r="T20" t="s">
        <v>373</v>
      </c>
      <c r="U20" s="124" t="str">
        <f>",'"&amp;own_summary[[#This Row],[Name]]&amp;"'"</f>
        <v>,'beazley_selected_final_gn_ulr'</v>
      </c>
      <c r="W20" t="s">
        <v>549</v>
      </c>
      <c r="X20" t="s">
        <v>293</v>
      </c>
      <c r="Y20" t="s">
        <v>394</v>
      </c>
      <c r="Z20" t="s">
        <v>372</v>
      </c>
      <c r="AA20" t="s">
        <v>373</v>
      </c>
      <c r="AB20" t="s">
        <v>550</v>
      </c>
      <c r="AC20" t="s">
        <v>373</v>
      </c>
      <c r="AD20" t="s">
        <v>373</v>
      </c>
      <c r="AE20" t="s">
        <v>385</v>
      </c>
      <c r="AF20" s="124" t="str">
        <f>",'"&amp;lloyds_detail[[#This Row],[Name]]&amp;"'"</f>
        <v>,'ultimate_ielr_selected_ulr'</v>
      </c>
      <c r="AH20" t="s">
        <v>551</v>
      </c>
      <c r="AI20" t="s">
        <v>339</v>
      </c>
      <c r="AJ20" t="s">
        <v>394</v>
      </c>
      <c r="AK20" t="s">
        <v>372</v>
      </c>
      <c r="AL20" t="s">
        <v>373</v>
      </c>
      <c r="AM20" t="s">
        <v>552</v>
      </c>
      <c r="AN20" t="s">
        <v>373</v>
      </c>
      <c r="AO20" t="s">
        <v>373</v>
      </c>
      <c r="AP20" t="s">
        <v>385</v>
      </c>
      <c r="AQ20" s="124" t="str">
        <f>",'"&amp;lloyds_summary[[#This Row],[Name]]&amp;"'"</f>
        <v>,'model_base_aqn'</v>
      </c>
      <c r="AS20" t="s">
        <v>553</v>
      </c>
      <c r="AT20" t="s">
        <v>293</v>
      </c>
      <c r="AU20" t="s">
        <v>394</v>
      </c>
      <c r="AV20" t="s">
        <v>372</v>
      </c>
      <c r="AW20" t="s">
        <v>373</v>
      </c>
      <c r="AX20" t="s">
        <v>550</v>
      </c>
      <c r="AY20" t="s">
        <v>373</v>
      </c>
      <c r="AZ20" t="s">
        <v>373</v>
      </c>
      <c r="BA20" t="s">
        <v>385</v>
      </c>
      <c r="BB20" s="124" t="str">
        <f>",'"&amp;beazley_detail[[#This Row],[Name]]&amp;"'"</f>
        <v>,'ultimate_ielr_selected_ulr'</v>
      </c>
      <c r="BD20" t="s">
        <v>554</v>
      </c>
      <c r="BE20" t="s">
        <v>339</v>
      </c>
      <c r="BF20" t="s">
        <v>394</v>
      </c>
      <c r="BG20" t="s">
        <v>372</v>
      </c>
      <c r="BH20" t="s">
        <v>373</v>
      </c>
      <c r="BI20" t="s">
        <v>552</v>
      </c>
      <c r="BJ20" t="s">
        <v>373</v>
      </c>
      <c r="BK20" t="s">
        <v>373</v>
      </c>
      <c r="BL20" t="s">
        <v>385</v>
      </c>
      <c r="BM20" s="124" t="str">
        <f>",'"&amp;beazley_summary[[#This Row],[Name]]&amp;"'"</f>
        <v>,'model_base_aqn'</v>
      </c>
    </row>
    <row r="21" spans="1:65" x14ac:dyDescent="0.35">
      <c r="A21" t="s">
        <v>555</v>
      </c>
      <c r="B21" t="s">
        <v>120</v>
      </c>
      <c r="C21" t="s">
        <v>528</v>
      </c>
      <c r="D21" t="s">
        <v>372</v>
      </c>
      <c r="E21" t="s">
        <v>373</v>
      </c>
      <c r="F21" t="s">
        <v>120</v>
      </c>
      <c r="G21" t="s">
        <v>373</v>
      </c>
      <c r="H21" t="s">
        <v>375</v>
      </c>
      <c r="I21" t="s">
        <v>373</v>
      </c>
      <c r="J21" s="124" t="str">
        <f>",'"&amp;own_detail[[#This Row],[Name]]&amp;"'"</f>
        <v>,'lob_visible_3'</v>
      </c>
      <c r="L21" t="s">
        <v>556</v>
      </c>
      <c r="M21" t="s">
        <v>223</v>
      </c>
      <c r="N21" t="s">
        <v>394</v>
      </c>
      <c r="O21" t="s">
        <v>372</v>
      </c>
      <c r="P21" t="s">
        <v>373</v>
      </c>
      <c r="Q21" t="s">
        <v>432</v>
      </c>
      <c r="R21" t="s">
        <v>373</v>
      </c>
      <c r="S21" t="s">
        <v>375</v>
      </c>
      <c r="T21" t="s">
        <v>373</v>
      </c>
      <c r="U21" s="124" t="str">
        <f>",'"&amp;own_summary[[#This Row],[Name]]&amp;"'"</f>
        <v>,'ielr_nominal_attr'</v>
      </c>
      <c r="W21" t="s">
        <v>557</v>
      </c>
      <c r="X21" t="s">
        <v>294</v>
      </c>
      <c r="Y21" t="s">
        <v>394</v>
      </c>
      <c r="Z21" t="s">
        <v>372</v>
      </c>
      <c r="AA21" t="s">
        <v>373</v>
      </c>
      <c r="AB21" t="s">
        <v>558</v>
      </c>
      <c r="AC21" t="s">
        <v>373</v>
      </c>
      <c r="AD21" t="s">
        <v>373</v>
      </c>
      <c r="AE21" t="s">
        <v>385</v>
      </c>
      <c r="AF21" s="124" t="str">
        <f>",'"&amp;lloyds_detail[[#This Row],[Name]]&amp;"'"</f>
        <v>,'ultimate_bf_model_paid'</v>
      </c>
      <c r="AH21" t="s">
        <v>559</v>
      </c>
      <c r="AI21" t="s">
        <v>340</v>
      </c>
      <c r="AJ21" t="s">
        <v>394</v>
      </c>
      <c r="AK21" t="s">
        <v>372</v>
      </c>
      <c r="AL21" t="s">
        <v>373</v>
      </c>
      <c r="AM21" t="s">
        <v>560</v>
      </c>
      <c r="AN21" t="s">
        <v>373</v>
      </c>
      <c r="AO21" t="s">
        <v>373</v>
      </c>
      <c r="AP21" t="s">
        <v>385</v>
      </c>
      <c r="AQ21" s="124" t="str">
        <f>",'"&amp;lloyds_summary[[#This Row],[Name]]&amp;"'"</f>
        <v>,'model_acc_aqn'</v>
      </c>
      <c r="AS21" t="s">
        <v>561</v>
      </c>
      <c r="AT21" t="s">
        <v>294</v>
      </c>
      <c r="AU21" t="s">
        <v>394</v>
      </c>
      <c r="AV21" t="s">
        <v>372</v>
      </c>
      <c r="AW21" t="s">
        <v>373</v>
      </c>
      <c r="AX21" t="s">
        <v>558</v>
      </c>
      <c r="AY21" t="s">
        <v>373</v>
      </c>
      <c r="AZ21" t="s">
        <v>373</v>
      </c>
      <c r="BA21" t="s">
        <v>385</v>
      </c>
      <c r="BB21" s="124" t="str">
        <f>",'"&amp;beazley_detail[[#This Row],[Name]]&amp;"'"</f>
        <v>,'ultimate_bf_model_paid'</v>
      </c>
      <c r="BD21" t="s">
        <v>562</v>
      </c>
      <c r="BE21" t="s">
        <v>340</v>
      </c>
      <c r="BF21" t="s">
        <v>394</v>
      </c>
      <c r="BG21" t="s">
        <v>372</v>
      </c>
      <c r="BH21" t="s">
        <v>373</v>
      </c>
      <c r="BI21" t="s">
        <v>560</v>
      </c>
      <c r="BJ21" t="s">
        <v>373</v>
      </c>
      <c r="BK21" t="s">
        <v>373</v>
      </c>
      <c r="BL21" t="s">
        <v>385</v>
      </c>
      <c r="BM21" s="124" t="str">
        <f>",'"&amp;beazley_summary[[#This Row],[Name]]&amp;"'"</f>
        <v>,'model_acc_aqn'</v>
      </c>
    </row>
    <row r="22" spans="1:65" x14ac:dyDescent="0.35">
      <c r="A22" t="s">
        <v>563</v>
      </c>
      <c r="B22" t="s">
        <v>121</v>
      </c>
      <c r="C22" t="s">
        <v>394</v>
      </c>
      <c r="D22" t="s">
        <v>372</v>
      </c>
      <c r="E22" t="s">
        <v>373</v>
      </c>
      <c r="F22" t="s">
        <v>89</v>
      </c>
      <c r="G22" t="s">
        <v>373</v>
      </c>
      <c r="H22" t="s">
        <v>375</v>
      </c>
      <c r="I22" t="s">
        <v>373</v>
      </c>
      <c r="J22" s="124" t="str">
        <f>",'"&amp;own_detail[[#This Row],[Name]]&amp;"'"</f>
        <v>,'latest_incurred_open_claims_attr'</v>
      </c>
      <c r="L22" t="s">
        <v>564</v>
      </c>
      <c r="M22" t="s">
        <v>224</v>
      </c>
      <c r="N22" t="s">
        <v>394</v>
      </c>
      <c r="O22" t="s">
        <v>372</v>
      </c>
      <c r="P22" t="s">
        <v>373</v>
      </c>
      <c r="Q22" t="s">
        <v>442</v>
      </c>
      <c r="R22" t="s">
        <v>373</v>
      </c>
      <c r="S22" t="s">
        <v>375</v>
      </c>
      <c r="T22" t="s">
        <v>373</v>
      </c>
      <c r="U22" s="124" t="str">
        <f>",'"&amp;own_summary[[#This Row],[Name]]&amp;"'"</f>
        <v>,'ielr_nominal_large'</v>
      </c>
      <c r="W22" t="s">
        <v>565</v>
      </c>
      <c r="X22" t="s">
        <v>295</v>
      </c>
      <c r="Y22" t="s">
        <v>394</v>
      </c>
      <c r="Z22" t="s">
        <v>372</v>
      </c>
      <c r="AA22" t="s">
        <v>373</v>
      </c>
      <c r="AB22" t="s">
        <v>522</v>
      </c>
      <c r="AC22" t="s">
        <v>373</v>
      </c>
      <c r="AD22" t="s">
        <v>373</v>
      </c>
      <c r="AE22" t="s">
        <v>385</v>
      </c>
      <c r="AF22" s="124" t="str">
        <f>",'"&amp;lloyds_detail[[#This Row],[Name]]&amp;"'"</f>
        <v>,'ultimate_bf_model_incurred'</v>
      </c>
      <c r="AH22" t="s">
        <v>566</v>
      </c>
      <c r="AI22" t="s">
        <v>341</v>
      </c>
      <c r="AJ22" t="s">
        <v>394</v>
      </c>
      <c r="AK22" t="s">
        <v>372</v>
      </c>
      <c r="AL22" t="s">
        <v>373</v>
      </c>
      <c r="AM22" t="s">
        <v>567</v>
      </c>
      <c r="AN22" t="s">
        <v>373</v>
      </c>
      <c r="AO22" t="s">
        <v>373</v>
      </c>
      <c r="AP22" t="s">
        <v>385</v>
      </c>
      <c r="AQ22" s="124" t="str">
        <f>",'"&amp;lloyds_summary[[#This Row],[Name]]&amp;"'"</f>
        <v>,'model_adj_gn_ulr'</v>
      </c>
      <c r="AS22" t="s">
        <v>568</v>
      </c>
      <c r="AT22" t="s">
        <v>295</v>
      </c>
      <c r="AU22" t="s">
        <v>394</v>
      </c>
      <c r="AV22" t="s">
        <v>372</v>
      </c>
      <c r="AW22" t="s">
        <v>373</v>
      </c>
      <c r="AX22" t="s">
        <v>522</v>
      </c>
      <c r="AY22" t="s">
        <v>373</v>
      </c>
      <c r="AZ22" t="s">
        <v>373</v>
      </c>
      <c r="BA22" t="s">
        <v>385</v>
      </c>
      <c r="BB22" s="124" t="str">
        <f>",'"&amp;beazley_detail[[#This Row],[Name]]&amp;"'"</f>
        <v>,'ultimate_bf_model_incurred'</v>
      </c>
      <c r="BD22" t="s">
        <v>569</v>
      </c>
      <c r="BE22" t="s">
        <v>341</v>
      </c>
      <c r="BF22" t="s">
        <v>394</v>
      </c>
      <c r="BG22" t="s">
        <v>372</v>
      </c>
      <c r="BH22" t="s">
        <v>373</v>
      </c>
      <c r="BI22" t="s">
        <v>567</v>
      </c>
      <c r="BJ22" t="s">
        <v>373</v>
      </c>
      <c r="BK22" t="s">
        <v>373</v>
      </c>
      <c r="BL22" t="s">
        <v>385</v>
      </c>
      <c r="BM22" s="124" t="str">
        <f>",'"&amp;beazley_summary[[#This Row],[Name]]&amp;"'"</f>
        <v>,'model_adj_gn_ulr'</v>
      </c>
    </row>
    <row r="23" spans="1:65" x14ac:dyDescent="0.35">
      <c r="A23" t="s">
        <v>570</v>
      </c>
      <c r="B23" t="s">
        <v>122</v>
      </c>
      <c r="C23" t="s">
        <v>394</v>
      </c>
      <c r="D23" t="s">
        <v>372</v>
      </c>
      <c r="E23" t="s">
        <v>373</v>
      </c>
      <c r="F23" t="s">
        <v>89</v>
      </c>
      <c r="G23" t="s">
        <v>373</v>
      </c>
      <c r="H23" t="s">
        <v>375</v>
      </c>
      <c r="I23" t="s">
        <v>373</v>
      </c>
      <c r="J23" s="124" t="str">
        <f>",'"&amp;own_detail[[#This Row],[Name]]&amp;"'"</f>
        <v>,'latest_incurred_closed_claims_attr'</v>
      </c>
      <c r="L23" t="s">
        <v>571</v>
      </c>
      <c r="M23" t="s">
        <v>225</v>
      </c>
      <c r="N23" t="s">
        <v>394</v>
      </c>
      <c r="O23" t="s">
        <v>372</v>
      </c>
      <c r="P23" t="s">
        <v>373</v>
      </c>
      <c r="Q23" t="s">
        <v>455</v>
      </c>
      <c r="R23" t="s">
        <v>373</v>
      </c>
      <c r="S23" t="s">
        <v>375</v>
      </c>
      <c r="T23" t="s">
        <v>373</v>
      </c>
      <c r="U23" s="124" t="str">
        <f>",'"&amp;own_summary[[#This Row],[Name]]&amp;"'"</f>
        <v>,'ielr_nominal_cat'</v>
      </c>
      <c r="W23" t="s">
        <v>572</v>
      </c>
      <c r="X23" t="s">
        <v>296</v>
      </c>
      <c r="Y23" t="s">
        <v>394</v>
      </c>
      <c r="Z23" t="s">
        <v>372</v>
      </c>
      <c r="AA23" t="s">
        <v>373</v>
      </c>
      <c r="AB23" t="s">
        <v>573</v>
      </c>
      <c r="AC23" t="s">
        <v>373</v>
      </c>
      <c r="AD23" t="s">
        <v>373</v>
      </c>
      <c r="AE23" t="s">
        <v>385</v>
      </c>
      <c r="AF23" s="124" t="str">
        <f>",'"&amp;lloyds_detail[[#This Row],[Name]]&amp;"'"</f>
        <v>,'ultimate_bf_selected_paid'</v>
      </c>
      <c r="AH23" t="s">
        <v>574</v>
      </c>
      <c r="AI23" t="s">
        <v>342</v>
      </c>
      <c r="AJ23" t="s">
        <v>394</v>
      </c>
      <c r="AK23" t="s">
        <v>372</v>
      </c>
      <c r="AL23" t="s">
        <v>373</v>
      </c>
      <c r="AM23" t="s">
        <v>575</v>
      </c>
      <c r="AN23" t="s">
        <v>373</v>
      </c>
      <c r="AO23" t="s">
        <v>373</v>
      </c>
      <c r="AP23" t="s">
        <v>385</v>
      </c>
      <c r="AQ23" s="124" t="str">
        <f>",'"&amp;lloyds_summary[[#This Row],[Name]]&amp;"'"</f>
        <v>,'model_final_gn_ulr'</v>
      </c>
      <c r="AS23" t="s">
        <v>576</v>
      </c>
      <c r="AT23" t="s">
        <v>296</v>
      </c>
      <c r="AU23" t="s">
        <v>394</v>
      </c>
      <c r="AV23" t="s">
        <v>372</v>
      </c>
      <c r="AW23" t="s">
        <v>373</v>
      </c>
      <c r="AX23" t="s">
        <v>573</v>
      </c>
      <c r="AY23" t="s">
        <v>373</v>
      </c>
      <c r="AZ23" t="s">
        <v>373</v>
      </c>
      <c r="BA23" t="s">
        <v>385</v>
      </c>
      <c r="BB23" s="124" t="str">
        <f>",'"&amp;beazley_detail[[#This Row],[Name]]&amp;"'"</f>
        <v>,'ultimate_bf_selected_paid'</v>
      </c>
      <c r="BD23" t="s">
        <v>577</v>
      </c>
      <c r="BE23" t="s">
        <v>342</v>
      </c>
      <c r="BF23" t="s">
        <v>394</v>
      </c>
      <c r="BG23" t="s">
        <v>372</v>
      </c>
      <c r="BH23" t="s">
        <v>373</v>
      </c>
      <c r="BI23" t="s">
        <v>575</v>
      </c>
      <c r="BJ23" t="s">
        <v>373</v>
      </c>
      <c r="BK23" t="s">
        <v>373</v>
      </c>
      <c r="BL23" t="s">
        <v>385</v>
      </c>
      <c r="BM23" s="124" t="str">
        <f>",'"&amp;beazley_summary[[#This Row],[Name]]&amp;"'"</f>
        <v>,'model_final_gn_ulr'</v>
      </c>
    </row>
    <row r="24" spans="1:65" x14ac:dyDescent="0.35">
      <c r="A24" t="s">
        <v>578</v>
      </c>
      <c r="B24" t="s">
        <v>123</v>
      </c>
      <c r="C24" t="s">
        <v>394</v>
      </c>
      <c r="D24" t="s">
        <v>372</v>
      </c>
      <c r="E24" t="s">
        <v>373</v>
      </c>
      <c r="F24" t="s">
        <v>89</v>
      </c>
      <c r="G24" t="s">
        <v>373</v>
      </c>
      <c r="H24" t="s">
        <v>375</v>
      </c>
      <c r="I24" t="s">
        <v>373</v>
      </c>
      <c r="J24" s="124" t="str">
        <f>",'"&amp;own_detail[[#This Row],[Name]]&amp;"'"</f>
        <v>,'latest_incurred_total_claims_attr'</v>
      </c>
      <c r="L24" t="s">
        <v>579</v>
      </c>
      <c r="M24" t="s">
        <v>226</v>
      </c>
      <c r="N24" t="s">
        <v>394</v>
      </c>
      <c r="O24" t="s">
        <v>372</v>
      </c>
      <c r="P24" t="s">
        <v>373</v>
      </c>
      <c r="Q24" t="s">
        <v>464</v>
      </c>
      <c r="R24" t="s">
        <v>373</v>
      </c>
      <c r="S24" t="s">
        <v>375</v>
      </c>
      <c r="T24" t="s">
        <v>373</v>
      </c>
      <c r="U24" s="124" t="str">
        <f>",'"&amp;own_summary[[#This Row],[Name]]&amp;"'"</f>
        <v>,'ielr_nominal_total'</v>
      </c>
      <c r="W24" t="s">
        <v>580</v>
      </c>
      <c r="X24" t="s">
        <v>297</v>
      </c>
      <c r="Y24" t="s">
        <v>394</v>
      </c>
      <c r="Z24" t="s">
        <v>372</v>
      </c>
      <c r="AA24" t="s">
        <v>373</v>
      </c>
      <c r="AB24" t="s">
        <v>541</v>
      </c>
      <c r="AC24" t="s">
        <v>373</v>
      </c>
      <c r="AD24" t="s">
        <v>373</v>
      </c>
      <c r="AE24" t="s">
        <v>385</v>
      </c>
      <c r="AF24" s="124" t="str">
        <f>",'"&amp;lloyds_detail[[#This Row],[Name]]&amp;"'"</f>
        <v>,'ultimate_bf_selected_incurred'</v>
      </c>
      <c r="AH24" t="s">
        <v>581</v>
      </c>
      <c r="AI24" t="s">
        <v>343</v>
      </c>
      <c r="AJ24" t="s">
        <v>394</v>
      </c>
      <c r="AK24" t="s">
        <v>431</v>
      </c>
      <c r="AL24" t="s">
        <v>373</v>
      </c>
      <c r="AM24" t="s">
        <v>582</v>
      </c>
      <c r="AN24" t="s">
        <v>373</v>
      </c>
      <c r="AO24" t="s">
        <v>447</v>
      </c>
      <c r="AP24" t="s">
        <v>385</v>
      </c>
      <c r="AQ24" s="124" t="str">
        <f>",'"&amp;lloyds_summary[[#This Row],[Name]]&amp;"'"</f>
        <v>,'selected_ielr'</v>
      </c>
      <c r="AS24" t="s">
        <v>583</v>
      </c>
      <c r="AT24" t="s">
        <v>297</v>
      </c>
      <c r="AU24" t="s">
        <v>394</v>
      </c>
      <c r="AV24" t="s">
        <v>372</v>
      </c>
      <c r="AW24" t="s">
        <v>373</v>
      </c>
      <c r="AX24" t="s">
        <v>541</v>
      </c>
      <c r="AY24" t="s">
        <v>373</v>
      </c>
      <c r="AZ24" t="s">
        <v>373</v>
      </c>
      <c r="BA24" t="s">
        <v>385</v>
      </c>
      <c r="BB24" s="124" t="str">
        <f>",'"&amp;beazley_detail[[#This Row],[Name]]&amp;"'"</f>
        <v>,'ultimate_bf_selected_incurred'</v>
      </c>
      <c r="BD24" t="s">
        <v>584</v>
      </c>
      <c r="BE24" t="s">
        <v>343</v>
      </c>
      <c r="BF24" t="s">
        <v>394</v>
      </c>
      <c r="BG24" t="s">
        <v>431</v>
      </c>
      <c r="BH24" t="s">
        <v>373</v>
      </c>
      <c r="BI24" t="s">
        <v>582</v>
      </c>
      <c r="BJ24" t="s">
        <v>373</v>
      </c>
      <c r="BK24" t="s">
        <v>447</v>
      </c>
      <c r="BL24" t="s">
        <v>385</v>
      </c>
      <c r="BM24" s="124" t="str">
        <f>",'"&amp;beazley_summary[[#This Row],[Name]]&amp;"'"</f>
        <v>,'selected_ielr'</v>
      </c>
    </row>
    <row r="25" spans="1:65" x14ac:dyDescent="0.35">
      <c r="A25" t="s">
        <v>585</v>
      </c>
      <c r="B25" t="s">
        <v>124</v>
      </c>
      <c r="C25" t="s">
        <v>394</v>
      </c>
      <c r="D25" t="s">
        <v>378</v>
      </c>
      <c r="E25" t="s">
        <v>451</v>
      </c>
      <c r="F25" t="s">
        <v>89</v>
      </c>
      <c r="G25">
        <v>0</v>
      </c>
      <c r="H25" t="s">
        <v>375</v>
      </c>
      <c r="I25" t="s">
        <v>373</v>
      </c>
      <c r="J25" s="124" t="str">
        <f>",'"&amp;own_detail[[#This Row],[Name]]&amp;"'"</f>
        <v>,'last_year_position_attr'</v>
      </c>
      <c r="L25" t="s">
        <v>586</v>
      </c>
      <c r="M25" t="s">
        <v>227</v>
      </c>
      <c r="N25" t="s">
        <v>394</v>
      </c>
      <c r="O25" t="s">
        <v>372</v>
      </c>
      <c r="P25" t="s">
        <v>373</v>
      </c>
      <c r="Q25" t="s">
        <v>474</v>
      </c>
      <c r="R25" t="s">
        <v>373</v>
      </c>
      <c r="S25" t="s">
        <v>375</v>
      </c>
      <c r="T25" t="s">
        <v>373</v>
      </c>
      <c r="U25" s="124" t="str">
        <f>",'"&amp;own_summary[[#This Row],[Name]]&amp;"'"</f>
        <v>,'ielr_nominal_total_excl_cat'</v>
      </c>
      <c r="W25" t="s">
        <v>587</v>
      </c>
      <c r="X25" t="s">
        <v>298</v>
      </c>
      <c r="Y25" t="s">
        <v>394</v>
      </c>
      <c r="Z25" t="s">
        <v>372</v>
      </c>
      <c r="AA25" t="s">
        <v>373</v>
      </c>
      <c r="AB25" t="s">
        <v>588</v>
      </c>
      <c r="AC25" t="s">
        <v>373</v>
      </c>
      <c r="AD25" t="s">
        <v>373</v>
      </c>
      <c r="AE25" t="s">
        <v>385</v>
      </c>
      <c r="AF25" s="124" t="str">
        <f>",'"&amp;lloyds_detail[[#This Row],[Name]]&amp;"'"</f>
        <v>,'ultimate_model'</v>
      </c>
      <c r="AH25" t="s">
        <v>589</v>
      </c>
      <c r="AI25" t="s">
        <v>344</v>
      </c>
      <c r="AJ25" t="s">
        <v>394</v>
      </c>
      <c r="AK25" t="s">
        <v>372</v>
      </c>
      <c r="AL25" t="s">
        <v>373</v>
      </c>
      <c r="AM25" t="s">
        <v>543</v>
      </c>
      <c r="AN25" t="s">
        <v>373</v>
      </c>
      <c r="AO25" t="s">
        <v>373</v>
      </c>
      <c r="AP25" t="s">
        <v>385</v>
      </c>
      <c r="AQ25" s="124" t="str">
        <f>",'"&amp;lloyds_summary[[#This Row],[Name]]&amp;"'"</f>
        <v>,'selected_gn_ulr'</v>
      </c>
      <c r="AS25" t="s">
        <v>590</v>
      </c>
      <c r="AT25" t="s">
        <v>298</v>
      </c>
      <c r="AU25" t="s">
        <v>394</v>
      </c>
      <c r="AV25" t="s">
        <v>372</v>
      </c>
      <c r="AW25" t="s">
        <v>373</v>
      </c>
      <c r="AX25" t="s">
        <v>588</v>
      </c>
      <c r="AY25" t="s">
        <v>373</v>
      </c>
      <c r="AZ25" t="s">
        <v>373</v>
      </c>
      <c r="BA25" t="s">
        <v>385</v>
      </c>
      <c r="BB25" s="124" t="str">
        <f>",'"&amp;beazley_detail[[#This Row],[Name]]&amp;"'"</f>
        <v>,'ultimate_model'</v>
      </c>
      <c r="BD25" t="s">
        <v>591</v>
      </c>
      <c r="BE25" t="s">
        <v>344</v>
      </c>
      <c r="BF25" t="s">
        <v>394</v>
      </c>
      <c r="BG25" t="s">
        <v>372</v>
      </c>
      <c r="BH25" t="s">
        <v>373</v>
      </c>
      <c r="BI25" t="s">
        <v>543</v>
      </c>
      <c r="BJ25" t="s">
        <v>373</v>
      </c>
      <c r="BK25" t="s">
        <v>373</v>
      </c>
      <c r="BL25" t="s">
        <v>385</v>
      </c>
      <c r="BM25" s="124" t="str">
        <f>",'"&amp;beazley_summary[[#This Row],[Name]]&amp;"'"</f>
        <v>,'selected_gn_ulr'</v>
      </c>
    </row>
    <row r="26" spans="1:65" x14ac:dyDescent="0.35">
      <c r="A26" t="s">
        <v>592</v>
      </c>
      <c r="B26" t="s">
        <v>125</v>
      </c>
      <c r="C26" t="s">
        <v>394</v>
      </c>
      <c r="D26" t="s">
        <v>372</v>
      </c>
      <c r="E26" t="s">
        <v>373</v>
      </c>
      <c r="F26" t="s">
        <v>89</v>
      </c>
      <c r="G26" t="s">
        <v>373</v>
      </c>
      <c r="H26" t="s">
        <v>375</v>
      </c>
      <c r="I26" t="s">
        <v>373</v>
      </c>
      <c r="J26" s="124" t="str">
        <f>",'"&amp;own_detail[[#This Row],[Name]]&amp;"'"</f>
        <v>,'movement_attr'</v>
      </c>
      <c r="L26" t="s">
        <v>593</v>
      </c>
      <c r="M26" t="s">
        <v>228</v>
      </c>
      <c r="N26" t="s">
        <v>394</v>
      </c>
      <c r="O26" t="s">
        <v>372</v>
      </c>
      <c r="P26" t="s">
        <v>373</v>
      </c>
      <c r="Q26" t="s">
        <v>432</v>
      </c>
      <c r="R26" t="s">
        <v>373</v>
      </c>
      <c r="S26" t="s">
        <v>375</v>
      </c>
      <c r="T26" t="s">
        <v>373</v>
      </c>
      <c r="U26" s="124" t="str">
        <f>",'"&amp;own_summary[[#This Row],[Name]]&amp;"'"</f>
        <v>,'ielr_ol_all_yr_attr'</v>
      </c>
      <c r="W26" t="s">
        <v>594</v>
      </c>
      <c r="X26" t="s">
        <v>299</v>
      </c>
      <c r="Y26" t="s">
        <v>394</v>
      </c>
      <c r="Z26" t="s">
        <v>372</v>
      </c>
      <c r="AA26" t="s">
        <v>373</v>
      </c>
      <c r="AB26" t="s">
        <v>595</v>
      </c>
      <c r="AC26" t="s">
        <v>373</v>
      </c>
      <c r="AD26" t="s">
        <v>373</v>
      </c>
      <c r="AE26" t="s">
        <v>385</v>
      </c>
      <c r="AF26" s="124" t="str">
        <f>",'"&amp;lloyds_detail[[#This Row],[Name]]&amp;"'"</f>
        <v>,'ultimate_model_ulr'</v>
      </c>
      <c r="AH26" t="s">
        <v>596</v>
      </c>
      <c r="AI26" t="s">
        <v>345</v>
      </c>
      <c r="AJ26" t="s">
        <v>394</v>
      </c>
      <c r="AK26" t="s">
        <v>372</v>
      </c>
      <c r="AL26" t="s">
        <v>373</v>
      </c>
      <c r="AM26" t="s">
        <v>552</v>
      </c>
      <c r="AN26" t="s">
        <v>373</v>
      </c>
      <c r="AO26" t="s">
        <v>373</v>
      </c>
      <c r="AP26" t="s">
        <v>385</v>
      </c>
      <c r="AQ26" s="124" t="str">
        <f>",'"&amp;lloyds_summary[[#This Row],[Name]]&amp;"'"</f>
        <v>,'selected_base_aqn'</v>
      </c>
      <c r="AS26" t="s">
        <v>597</v>
      </c>
      <c r="AT26" t="s">
        <v>299</v>
      </c>
      <c r="AU26" t="s">
        <v>394</v>
      </c>
      <c r="AV26" t="s">
        <v>372</v>
      </c>
      <c r="AW26" t="s">
        <v>373</v>
      </c>
      <c r="AX26" t="s">
        <v>595</v>
      </c>
      <c r="AY26" t="s">
        <v>373</v>
      </c>
      <c r="AZ26" t="s">
        <v>373</v>
      </c>
      <c r="BA26" t="s">
        <v>385</v>
      </c>
      <c r="BB26" s="124" t="str">
        <f>",'"&amp;beazley_detail[[#This Row],[Name]]&amp;"'"</f>
        <v>,'ultimate_model_ulr'</v>
      </c>
      <c r="BD26" t="s">
        <v>598</v>
      </c>
      <c r="BE26" t="s">
        <v>345</v>
      </c>
      <c r="BF26" t="s">
        <v>394</v>
      </c>
      <c r="BG26" t="s">
        <v>372</v>
      </c>
      <c r="BH26" t="s">
        <v>373</v>
      </c>
      <c r="BI26" t="s">
        <v>552</v>
      </c>
      <c r="BJ26" t="s">
        <v>373</v>
      </c>
      <c r="BK26" t="s">
        <v>373</v>
      </c>
      <c r="BL26" t="s">
        <v>385</v>
      </c>
      <c r="BM26" s="124" t="str">
        <f>",'"&amp;beazley_summary[[#This Row],[Name]]&amp;"'"</f>
        <v>,'selected_base_aqn'</v>
      </c>
    </row>
    <row r="27" spans="1:65" x14ac:dyDescent="0.35">
      <c r="A27" t="s">
        <v>599</v>
      </c>
      <c r="B27" t="s">
        <v>126</v>
      </c>
      <c r="C27" t="s">
        <v>394</v>
      </c>
      <c r="D27" t="s">
        <v>372</v>
      </c>
      <c r="E27" t="s">
        <v>373</v>
      </c>
      <c r="F27" t="s">
        <v>89</v>
      </c>
      <c r="G27" t="s">
        <v>373</v>
      </c>
      <c r="H27" t="s">
        <v>375</v>
      </c>
      <c r="I27" t="s">
        <v>373</v>
      </c>
      <c r="J27" s="124" t="str">
        <f>",'"&amp;own_detail[[#This Row],[Name]]&amp;"'"</f>
        <v>,'gn_ilr_attr'</v>
      </c>
      <c r="L27" t="s">
        <v>600</v>
      </c>
      <c r="M27" t="s">
        <v>229</v>
      </c>
      <c r="N27" t="s">
        <v>394</v>
      </c>
      <c r="O27" t="s">
        <v>372</v>
      </c>
      <c r="P27" t="s">
        <v>373</v>
      </c>
      <c r="Q27" t="s">
        <v>442</v>
      </c>
      <c r="R27" t="s">
        <v>373</v>
      </c>
      <c r="S27" t="s">
        <v>375</v>
      </c>
      <c r="T27" t="s">
        <v>373</v>
      </c>
      <c r="U27" s="124" t="str">
        <f>",'"&amp;own_summary[[#This Row],[Name]]&amp;"'"</f>
        <v>,'ielr_ol_all_yr_large'</v>
      </c>
      <c r="W27" t="s">
        <v>601</v>
      </c>
      <c r="X27" t="s">
        <v>300</v>
      </c>
      <c r="Y27" t="s">
        <v>394</v>
      </c>
      <c r="Z27" t="s">
        <v>372</v>
      </c>
      <c r="AA27" t="s">
        <v>373</v>
      </c>
      <c r="AB27" t="s">
        <v>602</v>
      </c>
      <c r="AC27" t="s">
        <v>373</v>
      </c>
      <c r="AD27" t="s">
        <v>373</v>
      </c>
      <c r="AE27" t="s">
        <v>385</v>
      </c>
      <c r="AF27" s="124" t="str">
        <f>",'"&amp;lloyds_detail[[#This Row],[Name]]&amp;"'"</f>
        <v>,'ultimate_selected'</v>
      </c>
      <c r="AH27" t="s">
        <v>603</v>
      </c>
      <c r="AI27" t="s">
        <v>346</v>
      </c>
      <c r="AJ27" t="s">
        <v>394</v>
      </c>
      <c r="AK27" t="s">
        <v>372</v>
      </c>
      <c r="AL27" t="s">
        <v>373</v>
      </c>
      <c r="AM27" t="s">
        <v>560</v>
      </c>
      <c r="AN27" t="s">
        <v>373</v>
      </c>
      <c r="AO27" t="s">
        <v>373</v>
      </c>
      <c r="AP27" t="s">
        <v>385</v>
      </c>
      <c r="AQ27" s="124" t="str">
        <f>",'"&amp;lloyds_summary[[#This Row],[Name]]&amp;"'"</f>
        <v>,'selected_acc_aqn'</v>
      </c>
      <c r="AS27" t="s">
        <v>604</v>
      </c>
      <c r="AT27" t="s">
        <v>300</v>
      </c>
      <c r="AU27" t="s">
        <v>394</v>
      </c>
      <c r="AV27" t="s">
        <v>372</v>
      </c>
      <c r="AW27" t="s">
        <v>373</v>
      </c>
      <c r="AX27" t="s">
        <v>602</v>
      </c>
      <c r="AY27" t="s">
        <v>373</v>
      </c>
      <c r="AZ27" t="s">
        <v>373</v>
      </c>
      <c r="BA27" t="s">
        <v>385</v>
      </c>
      <c r="BB27" s="124" t="str">
        <f>",'"&amp;beazley_detail[[#This Row],[Name]]&amp;"'"</f>
        <v>,'ultimate_selected'</v>
      </c>
      <c r="BD27" t="s">
        <v>605</v>
      </c>
      <c r="BE27" t="s">
        <v>346</v>
      </c>
      <c r="BF27" t="s">
        <v>394</v>
      </c>
      <c r="BG27" t="s">
        <v>372</v>
      </c>
      <c r="BH27" t="s">
        <v>373</v>
      </c>
      <c r="BI27" t="s">
        <v>560</v>
      </c>
      <c r="BJ27" t="s">
        <v>373</v>
      </c>
      <c r="BK27" t="s">
        <v>373</v>
      </c>
      <c r="BL27" t="s">
        <v>385</v>
      </c>
      <c r="BM27" s="124" t="str">
        <f>",'"&amp;beazley_summary[[#This Row],[Name]]&amp;"'"</f>
        <v>,'selected_acc_aqn'</v>
      </c>
    </row>
    <row r="28" spans="1:65" x14ac:dyDescent="0.35">
      <c r="A28" t="s">
        <v>606</v>
      </c>
      <c r="B28" t="s">
        <v>127</v>
      </c>
      <c r="C28" t="s">
        <v>394</v>
      </c>
      <c r="D28" t="s">
        <v>372</v>
      </c>
      <c r="E28" t="s">
        <v>373</v>
      </c>
      <c r="F28" t="s">
        <v>89</v>
      </c>
      <c r="G28" t="s">
        <v>373</v>
      </c>
      <c r="H28" t="s">
        <v>375</v>
      </c>
      <c r="I28" t="s">
        <v>373</v>
      </c>
      <c r="J28" s="124" t="str">
        <f>",'"&amp;own_detail[[#This Row],[Name]]&amp;"'"</f>
        <v>,'ultimate_incurred_ielr_attr'</v>
      </c>
      <c r="L28" t="s">
        <v>607</v>
      </c>
      <c r="M28" t="s">
        <v>230</v>
      </c>
      <c r="N28" t="s">
        <v>394</v>
      </c>
      <c r="O28" t="s">
        <v>372</v>
      </c>
      <c r="P28" t="s">
        <v>373</v>
      </c>
      <c r="Q28" t="s">
        <v>455</v>
      </c>
      <c r="R28" t="s">
        <v>373</v>
      </c>
      <c r="S28" t="s">
        <v>375</v>
      </c>
      <c r="T28" t="s">
        <v>373</v>
      </c>
      <c r="U28" s="124" t="str">
        <f>",'"&amp;own_summary[[#This Row],[Name]]&amp;"'"</f>
        <v>,'ielr_ol_all_yr_cat'</v>
      </c>
      <c r="W28" t="s">
        <v>608</v>
      </c>
      <c r="X28" t="s">
        <v>301</v>
      </c>
      <c r="Y28" t="s">
        <v>394</v>
      </c>
      <c r="Z28" t="s">
        <v>372</v>
      </c>
      <c r="AA28" t="s">
        <v>373</v>
      </c>
      <c r="AB28" t="s">
        <v>609</v>
      </c>
      <c r="AC28" t="s">
        <v>373</v>
      </c>
      <c r="AD28" t="s">
        <v>373</v>
      </c>
      <c r="AE28" t="s">
        <v>385</v>
      </c>
      <c r="AF28" s="124" t="str">
        <f>",'"&amp;lloyds_detail[[#This Row],[Name]]&amp;"'"</f>
        <v>,'ultimate_selected_ulr'</v>
      </c>
      <c r="AH28" t="s">
        <v>610</v>
      </c>
      <c r="AI28" t="s">
        <v>347</v>
      </c>
      <c r="AJ28" t="s">
        <v>394</v>
      </c>
      <c r="AK28" t="s">
        <v>372</v>
      </c>
      <c r="AL28" t="s">
        <v>373</v>
      </c>
      <c r="AM28" t="s">
        <v>567</v>
      </c>
      <c r="AN28" t="s">
        <v>373</v>
      </c>
      <c r="AO28" t="s">
        <v>373</v>
      </c>
      <c r="AP28" t="s">
        <v>385</v>
      </c>
      <c r="AQ28" s="124" t="str">
        <f>",'"&amp;lloyds_summary[[#This Row],[Name]]&amp;"'"</f>
        <v>,'selected_adj_gn_ulr'</v>
      </c>
      <c r="AS28" t="s">
        <v>611</v>
      </c>
      <c r="AT28" t="s">
        <v>301</v>
      </c>
      <c r="AU28" t="s">
        <v>394</v>
      </c>
      <c r="AV28" t="s">
        <v>372</v>
      </c>
      <c r="AW28" t="s">
        <v>373</v>
      </c>
      <c r="AX28" t="s">
        <v>609</v>
      </c>
      <c r="AY28" t="s">
        <v>373</v>
      </c>
      <c r="AZ28" t="s">
        <v>373</v>
      </c>
      <c r="BA28" t="s">
        <v>385</v>
      </c>
      <c r="BB28" s="124" t="str">
        <f>",'"&amp;beazley_detail[[#This Row],[Name]]&amp;"'"</f>
        <v>,'ultimate_selected_ulr'</v>
      </c>
      <c r="BD28" t="s">
        <v>612</v>
      </c>
      <c r="BE28" t="s">
        <v>347</v>
      </c>
      <c r="BF28" t="s">
        <v>394</v>
      </c>
      <c r="BG28" t="s">
        <v>372</v>
      </c>
      <c r="BH28" t="s">
        <v>373</v>
      </c>
      <c r="BI28" t="s">
        <v>567</v>
      </c>
      <c r="BJ28" t="s">
        <v>373</v>
      </c>
      <c r="BK28" t="s">
        <v>373</v>
      </c>
      <c r="BL28" t="s">
        <v>385</v>
      </c>
      <c r="BM28" s="124" t="str">
        <f>",'"&amp;beazley_summary[[#This Row],[Name]]&amp;"'"</f>
        <v>,'selected_adj_gn_ulr'</v>
      </c>
    </row>
    <row r="29" spans="1:65" x14ac:dyDescent="0.35">
      <c r="A29" t="s">
        <v>613</v>
      </c>
      <c r="B29" t="s">
        <v>128</v>
      </c>
      <c r="C29" t="s">
        <v>394</v>
      </c>
      <c r="D29" t="s">
        <v>372</v>
      </c>
      <c r="E29" t="s">
        <v>373</v>
      </c>
      <c r="F29" t="s">
        <v>89</v>
      </c>
      <c r="G29" t="s">
        <v>373</v>
      </c>
      <c r="H29" t="s">
        <v>375</v>
      </c>
      <c r="I29" t="s">
        <v>373</v>
      </c>
      <c r="J29" s="124" t="str">
        <f>",'"&amp;own_detail[[#This Row],[Name]]&amp;"'"</f>
        <v>,'ultimate_incurred_bf_attr'</v>
      </c>
      <c r="L29" t="s">
        <v>614</v>
      </c>
      <c r="M29" t="s">
        <v>231</v>
      </c>
      <c r="N29" t="s">
        <v>394</v>
      </c>
      <c r="O29" t="s">
        <v>372</v>
      </c>
      <c r="P29" t="s">
        <v>373</v>
      </c>
      <c r="Q29" t="s">
        <v>464</v>
      </c>
      <c r="R29" t="s">
        <v>373</v>
      </c>
      <c r="S29" t="s">
        <v>375</v>
      </c>
      <c r="T29" t="s">
        <v>373</v>
      </c>
      <c r="U29" s="124" t="str">
        <f>",'"&amp;own_summary[[#This Row],[Name]]&amp;"'"</f>
        <v>,'ielr_ol_all_yr_total'</v>
      </c>
      <c r="W29" t="s">
        <v>615</v>
      </c>
      <c r="X29" t="s">
        <v>302</v>
      </c>
      <c r="Y29" t="s">
        <v>394</v>
      </c>
      <c r="Z29" t="s">
        <v>372</v>
      </c>
      <c r="AA29" t="s">
        <v>373</v>
      </c>
      <c r="AB29" t="s">
        <v>616</v>
      </c>
      <c r="AC29" t="s">
        <v>373</v>
      </c>
      <c r="AD29" t="s">
        <v>373</v>
      </c>
      <c r="AE29" t="s">
        <v>385</v>
      </c>
      <c r="AF29" s="124" t="str">
        <f>",'"&amp;lloyds_detail[[#This Row],[Name]]&amp;"'"</f>
        <v>,'on_levelled_model_ulr'</v>
      </c>
      <c r="AH29" t="s">
        <v>617</v>
      </c>
      <c r="AI29" t="s">
        <v>348</v>
      </c>
      <c r="AJ29" t="s">
        <v>394</v>
      </c>
      <c r="AK29" t="s">
        <v>372</v>
      </c>
      <c r="AL29" t="s">
        <v>373</v>
      </c>
      <c r="AM29" t="s">
        <v>575</v>
      </c>
      <c r="AN29" t="s">
        <v>373</v>
      </c>
      <c r="AO29" t="s">
        <v>373</v>
      </c>
      <c r="AP29" t="s">
        <v>385</v>
      </c>
      <c r="AQ29" s="124" t="str">
        <f>",'"&amp;lloyds_summary[[#This Row],[Name]]&amp;"'"</f>
        <v>,'selected_final_gn_ulr'</v>
      </c>
      <c r="AS29" t="s">
        <v>618</v>
      </c>
      <c r="AT29" t="s">
        <v>302</v>
      </c>
      <c r="AU29" t="s">
        <v>394</v>
      </c>
      <c r="AV29" t="s">
        <v>372</v>
      </c>
      <c r="AW29" t="s">
        <v>373</v>
      </c>
      <c r="AX29" t="s">
        <v>616</v>
      </c>
      <c r="AY29" t="s">
        <v>373</v>
      </c>
      <c r="AZ29" t="s">
        <v>373</v>
      </c>
      <c r="BA29" t="s">
        <v>385</v>
      </c>
      <c r="BB29" s="124" t="str">
        <f>",'"&amp;beazley_detail[[#This Row],[Name]]&amp;"'"</f>
        <v>,'on_levelled_model_ulr'</v>
      </c>
      <c r="BD29" t="s">
        <v>619</v>
      </c>
      <c r="BE29" t="s">
        <v>348</v>
      </c>
      <c r="BF29" t="s">
        <v>394</v>
      </c>
      <c r="BG29" t="s">
        <v>372</v>
      </c>
      <c r="BH29" t="s">
        <v>373</v>
      </c>
      <c r="BI29" t="s">
        <v>575</v>
      </c>
      <c r="BJ29" t="s">
        <v>373</v>
      </c>
      <c r="BK29" t="s">
        <v>373</v>
      </c>
      <c r="BL29" t="s">
        <v>385</v>
      </c>
      <c r="BM29" s="124" t="str">
        <f>",'"&amp;beazley_summary[[#This Row],[Name]]&amp;"'"</f>
        <v>,'selected_final_gn_ulr'</v>
      </c>
    </row>
    <row r="30" spans="1:65" x14ac:dyDescent="0.35">
      <c r="A30" t="s">
        <v>620</v>
      </c>
      <c r="B30" t="s">
        <v>129</v>
      </c>
      <c r="C30" t="s">
        <v>394</v>
      </c>
      <c r="D30" t="s">
        <v>372</v>
      </c>
      <c r="E30" t="s">
        <v>373</v>
      </c>
      <c r="F30" t="s">
        <v>89</v>
      </c>
      <c r="G30" t="s">
        <v>373</v>
      </c>
      <c r="H30" t="s">
        <v>375</v>
      </c>
      <c r="I30" t="s">
        <v>373</v>
      </c>
      <c r="J30" s="124" t="str">
        <f>",'"&amp;own_detail[[#This Row],[Name]]&amp;"'"</f>
        <v>,'ultimate_incurred_cl_attr'</v>
      </c>
      <c r="L30" t="s">
        <v>621</v>
      </c>
      <c r="M30" t="s">
        <v>232</v>
      </c>
      <c r="N30" t="s">
        <v>394</v>
      </c>
      <c r="O30" t="s">
        <v>372</v>
      </c>
      <c r="P30" t="s">
        <v>373</v>
      </c>
      <c r="Q30" t="s">
        <v>474</v>
      </c>
      <c r="R30" t="s">
        <v>373</v>
      </c>
      <c r="S30" t="s">
        <v>375</v>
      </c>
      <c r="T30" t="s">
        <v>373</v>
      </c>
      <c r="U30" s="124" t="str">
        <f>",'"&amp;own_summary[[#This Row],[Name]]&amp;"'"</f>
        <v>,'ielr_ol_all_yr_total_excl_cat'</v>
      </c>
      <c r="W30" t="s">
        <v>622</v>
      </c>
      <c r="X30" t="s">
        <v>303</v>
      </c>
      <c r="Y30" t="s">
        <v>394</v>
      </c>
      <c r="Z30" t="s">
        <v>372</v>
      </c>
      <c r="AA30" t="s">
        <v>373</v>
      </c>
      <c r="AB30" t="s">
        <v>623</v>
      </c>
      <c r="AC30" t="s">
        <v>373</v>
      </c>
      <c r="AD30" t="s">
        <v>373</v>
      </c>
      <c r="AE30" t="s">
        <v>385</v>
      </c>
      <c r="AF30" s="124" t="str">
        <f>",'"&amp;lloyds_detail[[#This Row],[Name]]&amp;"'"</f>
        <v>,'on_levelled_selected_ulr'</v>
      </c>
      <c r="AH30" t="s">
        <v>624</v>
      </c>
      <c r="AI30" t="s">
        <v>349</v>
      </c>
      <c r="AJ30" t="s">
        <v>528</v>
      </c>
      <c r="AK30" t="s">
        <v>378</v>
      </c>
      <c r="AL30" t="s">
        <v>379</v>
      </c>
      <c r="AM30" t="s">
        <v>625</v>
      </c>
      <c r="AN30" t="b">
        <v>0</v>
      </c>
      <c r="AO30" t="s">
        <v>447</v>
      </c>
      <c r="AP30" t="s">
        <v>385</v>
      </c>
      <c r="AQ30" s="124" t="str">
        <f>",'"&amp;lloyds_summary[[#This Row],[Name]]&amp;"'"</f>
        <v>,'bp_cat'</v>
      </c>
      <c r="AS30" t="s">
        <v>626</v>
      </c>
      <c r="AT30" t="s">
        <v>303</v>
      </c>
      <c r="AU30" t="s">
        <v>394</v>
      </c>
      <c r="AV30" t="s">
        <v>372</v>
      </c>
      <c r="AW30" t="s">
        <v>373</v>
      </c>
      <c r="AX30" t="s">
        <v>623</v>
      </c>
      <c r="AY30" t="s">
        <v>373</v>
      </c>
      <c r="AZ30" t="s">
        <v>373</v>
      </c>
      <c r="BA30" t="s">
        <v>385</v>
      </c>
      <c r="BB30" s="124" t="str">
        <f>",'"&amp;beazley_detail[[#This Row],[Name]]&amp;"'"</f>
        <v>,'on_levelled_selected_ulr'</v>
      </c>
      <c r="BD30" t="s">
        <v>627</v>
      </c>
      <c r="BE30" t="s">
        <v>349</v>
      </c>
      <c r="BF30" t="s">
        <v>528</v>
      </c>
      <c r="BG30" t="s">
        <v>378</v>
      </c>
      <c r="BH30" t="s">
        <v>379</v>
      </c>
      <c r="BI30" t="s">
        <v>625</v>
      </c>
      <c r="BJ30" t="b">
        <v>0</v>
      </c>
      <c r="BK30" t="s">
        <v>447</v>
      </c>
      <c r="BL30" t="s">
        <v>385</v>
      </c>
      <c r="BM30" s="124" t="str">
        <f>",'"&amp;beazley_summary[[#This Row],[Name]]&amp;"'"</f>
        <v>,'bp_cat'</v>
      </c>
    </row>
    <row r="31" spans="1:65" x14ac:dyDescent="0.35">
      <c r="A31" t="s">
        <v>1044</v>
      </c>
      <c r="B31" t="s">
        <v>271</v>
      </c>
      <c r="C31" t="s">
        <v>394</v>
      </c>
      <c r="D31" t="s">
        <v>431</v>
      </c>
      <c r="E31" t="s">
        <v>373</v>
      </c>
      <c r="F31" t="s">
        <v>89</v>
      </c>
      <c r="G31" t="s">
        <v>373</v>
      </c>
      <c r="H31" t="s">
        <v>375</v>
      </c>
      <c r="I31" t="s">
        <v>373</v>
      </c>
      <c r="J31" s="124" t="str">
        <f>",'"&amp;own_detail[[#This Row],[Name]]&amp;"'"</f>
        <v>,'ielr_weighting_cl_attr'</v>
      </c>
      <c r="L31" t="s">
        <v>629</v>
      </c>
      <c r="M31" t="s">
        <v>233</v>
      </c>
      <c r="N31" t="s">
        <v>394</v>
      </c>
      <c r="O31" t="s">
        <v>372</v>
      </c>
      <c r="P31" t="s">
        <v>373</v>
      </c>
      <c r="Q31" t="s">
        <v>432</v>
      </c>
      <c r="R31" t="s">
        <v>373</v>
      </c>
      <c r="S31" t="s">
        <v>375</v>
      </c>
      <c r="T31" t="s">
        <v>373</v>
      </c>
      <c r="U31" s="124" t="str">
        <f>",'"&amp;own_summary[[#This Row],[Name]]&amp;"'"</f>
        <v>,'ielr_ol_cl_yr_attr'</v>
      </c>
      <c r="W31" t="s">
        <v>630</v>
      </c>
      <c r="X31" t="s">
        <v>102</v>
      </c>
      <c r="Y31" t="s">
        <v>371</v>
      </c>
      <c r="Z31" t="s">
        <v>372</v>
      </c>
      <c r="AA31" t="s">
        <v>373</v>
      </c>
      <c r="AB31" t="s">
        <v>374</v>
      </c>
      <c r="AC31" t="s">
        <v>373</v>
      </c>
      <c r="AD31" t="s">
        <v>373</v>
      </c>
      <c r="AE31" t="s">
        <v>385</v>
      </c>
      <c r="AF31" s="124" t="str">
        <f>",'"&amp;lloyds_detail[[#This Row],[Name]]&amp;"'"</f>
        <v>,'lob_number'</v>
      </c>
      <c r="AH31" t="s">
        <v>631</v>
      </c>
      <c r="AI31" t="s">
        <v>350</v>
      </c>
      <c r="AJ31" t="s">
        <v>394</v>
      </c>
      <c r="AK31" t="s">
        <v>431</v>
      </c>
      <c r="AL31" t="s">
        <v>373</v>
      </c>
      <c r="AM31" t="s">
        <v>632</v>
      </c>
      <c r="AN31" t="s">
        <v>373</v>
      </c>
      <c r="AO31" t="s">
        <v>447</v>
      </c>
      <c r="AP31" t="s">
        <v>385</v>
      </c>
      <c r="AQ31" s="124" t="str">
        <f>",'"&amp;lloyds_summary[[#This Row],[Name]]&amp;"'"</f>
        <v>,'bp_cat_load'</v>
      </c>
      <c r="AS31" t="s">
        <v>633</v>
      </c>
      <c r="AT31" t="s">
        <v>102</v>
      </c>
      <c r="AU31" t="s">
        <v>371</v>
      </c>
      <c r="AV31" t="s">
        <v>372</v>
      </c>
      <c r="AW31" t="s">
        <v>373</v>
      </c>
      <c r="AX31" t="s">
        <v>374</v>
      </c>
      <c r="AY31" t="s">
        <v>373</v>
      </c>
      <c r="AZ31" t="s">
        <v>373</v>
      </c>
      <c r="BA31" t="s">
        <v>385</v>
      </c>
      <c r="BB31" s="124" t="str">
        <f>",'"&amp;beazley_detail[[#This Row],[Name]]&amp;"'"</f>
        <v>,'lob_number'</v>
      </c>
      <c r="BD31" t="s">
        <v>634</v>
      </c>
      <c r="BE31" t="s">
        <v>350</v>
      </c>
      <c r="BF31" t="s">
        <v>394</v>
      </c>
      <c r="BG31" t="s">
        <v>431</v>
      </c>
      <c r="BH31" t="s">
        <v>373</v>
      </c>
      <c r="BI31" t="s">
        <v>632</v>
      </c>
      <c r="BJ31" t="s">
        <v>373</v>
      </c>
      <c r="BK31" t="s">
        <v>447</v>
      </c>
      <c r="BL31" t="s">
        <v>385</v>
      </c>
      <c r="BM31" s="124" t="str">
        <f>",'"&amp;beazley_summary[[#This Row],[Name]]&amp;"'"</f>
        <v>,'bp_cat_load'</v>
      </c>
    </row>
    <row r="32" spans="1:65" x14ac:dyDescent="0.35">
      <c r="A32" t="s">
        <v>628</v>
      </c>
      <c r="B32" t="s">
        <v>130</v>
      </c>
      <c r="C32" t="s">
        <v>394</v>
      </c>
      <c r="D32" t="s">
        <v>431</v>
      </c>
      <c r="E32" t="s">
        <v>373</v>
      </c>
      <c r="F32" t="s">
        <v>89</v>
      </c>
      <c r="G32" t="s">
        <v>373</v>
      </c>
      <c r="H32" t="s">
        <v>375</v>
      </c>
      <c r="I32" t="s">
        <v>373</v>
      </c>
      <c r="J32" s="124" t="str">
        <f>",'"&amp;own_detail[[#This Row],[Name]]&amp;"'"</f>
        <v>,'ultimate_incurred_selected_attr'</v>
      </c>
      <c r="L32" t="s">
        <v>636</v>
      </c>
      <c r="M32" t="s">
        <v>234</v>
      </c>
      <c r="N32" t="s">
        <v>394</v>
      </c>
      <c r="O32" t="s">
        <v>372</v>
      </c>
      <c r="P32" t="s">
        <v>373</v>
      </c>
      <c r="Q32" t="s">
        <v>442</v>
      </c>
      <c r="R32" t="s">
        <v>373</v>
      </c>
      <c r="S32" t="s">
        <v>375</v>
      </c>
      <c r="T32" t="s">
        <v>373</v>
      </c>
      <c r="U32" s="124" t="str">
        <f>",'"&amp;own_summary[[#This Row],[Name]]&amp;"'"</f>
        <v>,'ielr_ol_cl_yr_large'</v>
      </c>
      <c r="W32" t="s">
        <v>637</v>
      </c>
      <c r="X32" t="s">
        <v>304</v>
      </c>
      <c r="Y32" t="s">
        <v>377</v>
      </c>
      <c r="Z32" t="s">
        <v>372</v>
      </c>
      <c r="AA32" t="s">
        <v>373</v>
      </c>
      <c r="AB32" t="s">
        <v>397</v>
      </c>
      <c r="AC32" t="s">
        <v>373</v>
      </c>
      <c r="AD32" t="s">
        <v>373</v>
      </c>
      <c r="AE32" t="s">
        <v>385</v>
      </c>
      <c r="AF32" s="124" t="str">
        <f>",'"&amp;lloyds_detail[[#This Row],[Name]]&amp;"'"</f>
        <v>,'risk_code'</v>
      </c>
      <c r="AH32" t="s">
        <v>638</v>
      </c>
      <c r="AI32" t="s">
        <v>270</v>
      </c>
      <c r="AJ32" t="s">
        <v>377</v>
      </c>
      <c r="AK32" t="s">
        <v>378</v>
      </c>
      <c r="AL32" t="s">
        <v>451</v>
      </c>
      <c r="AM32" t="s">
        <v>639</v>
      </c>
      <c r="AN32" t="s">
        <v>453</v>
      </c>
      <c r="AO32" t="s">
        <v>447</v>
      </c>
      <c r="AP32" t="s">
        <v>385</v>
      </c>
      <c r="AQ32" s="124" t="str">
        <f>",'"&amp;lloyds_summary[[#This Row],[Name]]&amp;"'"</f>
        <v>,'actuarial_notes'</v>
      </c>
      <c r="AS32" t="s">
        <v>640</v>
      </c>
      <c r="AT32" t="s">
        <v>304</v>
      </c>
      <c r="AU32" t="s">
        <v>377</v>
      </c>
      <c r="AV32" t="s">
        <v>372</v>
      </c>
      <c r="AW32" t="s">
        <v>373</v>
      </c>
      <c r="AX32" t="s">
        <v>397</v>
      </c>
      <c r="AY32" t="s">
        <v>373</v>
      </c>
      <c r="AZ32" t="s">
        <v>373</v>
      </c>
      <c r="BA32" t="s">
        <v>385</v>
      </c>
      <c r="BB32" s="124" t="str">
        <f>",'"&amp;beazley_detail[[#This Row],[Name]]&amp;"'"</f>
        <v>,'risk_code'</v>
      </c>
      <c r="BD32" t="s">
        <v>641</v>
      </c>
      <c r="BE32" t="s">
        <v>270</v>
      </c>
      <c r="BF32" t="s">
        <v>377</v>
      </c>
      <c r="BG32" t="s">
        <v>378</v>
      </c>
      <c r="BH32" t="s">
        <v>451</v>
      </c>
      <c r="BI32" t="s">
        <v>639</v>
      </c>
      <c r="BJ32" t="s">
        <v>453</v>
      </c>
      <c r="BK32" t="s">
        <v>447</v>
      </c>
      <c r="BL32" t="s">
        <v>385</v>
      </c>
      <c r="BM32" s="124" t="str">
        <f>",'"&amp;beazley_summary[[#This Row],[Name]]&amp;"'"</f>
        <v>,'actuarial_notes'</v>
      </c>
    </row>
    <row r="33" spans="1:65" x14ac:dyDescent="0.35">
      <c r="A33" t="s">
        <v>635</v>
      </c>
      <c r="B33" t="s">
        <v>131</v>
      </c>
      <c r="C33" t="s">
        <v>394</v>
      </c>
      <c r="D33" t="s">
        <v>372</v>
      </c>
      <c r="E33" t="s">
        <v>373</v>
      </c>
      <c r="F33" t="s">
        <v>89</v>
      </c>
      <c r="G33" t="s">
        <v>373</v>
      </c>
      <c r="H33" t="s">
        <v>375</v>
      </c>
      <c r="I33" t="s">
        <v>373</v>
      </c>
      <c r="J33" s="124" t="str">
        <f>",'"&amp;own_detail[[#This Row],[Name]]&amp;"'"</f>
        <v>,'ultimate_ulr_selected_attr'</v>
      </c>
      <c r="L33" t="s">
        <v>643</v>
      </c>
      <c r="M33" t="s">
        <v>235</v>
      </c>
      <c r="N33" t="s">
        <v>394</v>
      </c>
      <c r="O33" t="s">
        <v>372</v>
      </c>
      <c r="P33" t="s">
        <v>373</v>
      </c>
      <c r="Q33" t="s">
        <v>455</v>
      </c>
      <c r="R33" t="s">
        <v>373</v>
      </c>
      <c r="S33" t="s">
        <v>375</v>
      </c>
      <c r="T33" t="s">
        <v>373</v>
      </c>
      <c r="U33" s="124" t="str">
        <f>",'"&amp;own_summary[[#This Row],[Name]]&amp;"'"</f>
        <v>,'ielr_ol_cl_yr_cat'</v>
      </c>
      <c r="W33" t="s">
        <v>644</v>
      </c>
      <c r="X33" t="s">
        <v>103</v>
      </c>
      <c r="Y33" t="s">
        <v>377</v>
      </c>
      <c r="Z33" t="s">
        <v>372</v>
      </c>
      <c r="AA33" t="s">
        <v>373</v>
      </c>
      <c r="AB33" t="s">
        <v>406</v>
      </c>
      <c r="AC33" t="s">
        <v>373</v>
      </c>
      <c r="AD33" t="s">
        <v>373</v>
      </c>
      <c r="AE33" t="s">
        <v>385</v>
      </c>
      <c r="AF33" s="124" t="str">
        <f>",'"&amp;lloyds_detail[[#This Row],[Name]]&amp;"'"</f>
        <v>,'selected_lob'</v>
      </c>
      <c r="AH33" t="s">
        <v>645</v>
      </c>
      <c r="AI33" t="s">
        <v>117</v>
      </c>
      <c r="AJ33" t="s">
        <v>528</v>
      </c>
      <c r="AK33" t="s">
        <v>372</v>
      </c>
      <c r="AL33" t="s">
        <v>373</v>
      </c>
      <c r="AM33" t="s">
        <v>117</v>
      </c>
      <c r="AN33" t="s">
        <v>373</v>
      </c>
      <c r="AO33" t="s">
        <v>373</v>
      </c>
      <c r="AP33" t="s">
        <v>385</v>
      </c>
      <c r="AQ33" s="124" t="str">
        <f>",'"&amp;lloyds_summary[[#This Row],[Name]]&amp;"'"</f>
        <v>,'is_row_visible'</v>
      </c>
      <c r="AS33" t="s">
        <v>646</v>
      </c>
      <c r="AT33" t="s">
        <v>103</v>
      </c>
      <c r="AU33" t="s">
        <v>377</v>
      </c>
      <c r="AV33" t="s">
        <v>372</v>
      </c>
      <c r="AW33" t="s">
        <v>373</v>
      </c>
      <c r="AX33" t="s">
        <v>406</v>
      </c>
      <c r="AY33" t="s">
        <v>373</v>
      </c>
      <c r="AZ33" t="s">
        <v>373</v>
      </c>
      <c r="BA33" t="s">
        <v>385</v>
      </c>
      <c r="BB33" s="124" t="str">
        <f>",'"&amp;beazley_detail[[#This Row],[Name]]&amp;"'"</f>
        <v>,'selected_lob'</v>
      </c>
      <c r="BD33" t="s">
        <v>647</v>
      </c>
      <c r="BE33" t="s">
        <v>117</v>
      </c>
      <c r="BF33" t="s">
        <v>528</v>
      </c>
      <c r="BG33" t="s">
        <v>372</v>
      </c>
      <c r="BH33" t="s">
        <v>373</v>
      </c>
      <c r="BI33" t="s">
        <v>117</v>
      </c>
      <c r="BJ33" t="s">
        <v>373</v>
      </c>
      <c r="BK33" t="s">
        <v>373</v>
      </c>
      <c r="BL33" t="s">
        <v>385</v>
      </c>
      <c r="BM33" s="124" t="str">
        <f>",'"&amp;beazley_summary[[#This Row],[Name]]&amp;"'"</f>
        <v>,'is_row_visible'</v>
      </c>
    </row>
    <row r="34" spans="1:65" x14ac:dyDescent="0.35">
      <c r="A34" t="s">
        <v>642</v>
      </c>
      <c r="B34" t="s">
        <v>132</v>
      </c>
      <c r="C34" t="s">
        <v>394</v>
      </c>
      <c r="D34" t="s">
        <v>372</v>
      </c>
      <c r="E34" t="s">
        <v>373</v>
      </c>
      <c r="F34" t="s">
        <v>89</v>
      </c>
      <c r="G34" t="s">
        <v>373</v>
      </c>
      <c r="H34" t="s">
        <v>375</v>
      </c>
      <c r="I34" t="s">
        <v>373</v>
      </c>
      <c r="J34" s="124" t="str">
        <f>",'"&amp;own_detail[[#This Row],[Name]]&amp;"'"</f>
        <v>,'ultimate_ulr_on_levelled_attr'</v>
      </c>
      <c r="L34" t="s">
        <v>649</v>
      </c>
      <c r="M34" t="s">
        <v>236</v>
      </c>
      <c r="N34" t="s">
        <v>394</v>
      </c>
      <c r="O34" t="s">
        <v>372</v>
      </c>
      <c r="P34" t="s">
        <v>373</v>
      </c>
      <c r="Q34" t="s">
        <v>464</v>
      </c>
      <c r="R34" t="s">
        <v>373</v>
      </c>
      <c r="S34" t="s">
        <v>375</v>
      </c>
      <c r="T34" t="s">
        <v>373</v>
      </c>
      <c r="U34" s="124" t="str">
        <f>",'"&amp;own_summary[[#This Row],[Name]]&amp;"'"</f>
        <v>,'ielr_ol_cl_yr_total'</v>
      </c>
      <c r="W34" t="s">
        <v>650</v>
      </c>
      <c r="X34" t="s">
        <v>305</v>
      </c>
      <c r="Y34" t="s">
        <v>377</v>
      </c>
      <c r="Z34" t="s">
        <v>372</v>
      </c>
      <c r="AA34" t="s">
        <v>373</v>
      </c>
      <c r="AB34" t="s">
        <v>415</v>
      </c>
      <c r="AC34" t="s">
        <v>373</v>
      </c>
      <c r="AD34" t="s">
        <v>373</v>
      </c>
      <c r="AE34" t="s">
        <v>385</v>
      </c>
      <c r="AF34" s="124" t="str">
        <f>",'"&amp;lloyds_detail[[#This Row],[Name]]&amp;"'"</f>
        <v>,'lookup_lob'</v>
      </c>
      <c r="AH34" t="s">
        <v>651</v>
      </c>
      <c r="AI34" t="s">
        <v>118</v>
      </c>
      <c r="AJ34" t="s">
        <v>528</v>
      </c>
      <c r="AK34" t="s">
        <v>372</v>
      </c>
      <c r="AL34" t="s">
        <v>373</v>
      </c>
      <c r="AM34" t="s">
        <v>118</v>
      </c>
      <c r="AN34" t="s">
        <v>373</v>
      </c>
      <c r="AO34" t="s">
        <v>373</v>
      </c>
      <c r="AP34" t="s">
        <v>385</v>
      </c>
      <c r="AQ34" s="124" t="str">
        <f>",'"&amp;lloyds_summary[[#This Row],[Name]]&amp;"'"</f>
        <v>,'lob_visible_1'</v>
      </c>
      <c r="AS34" t="s">
        <v>652</v>
      </c>
      <c r="AT34" t="s">
        <v>305</v>
      </c>
      <c r="AU34" t="s">
        <v>377</v>
      </c>
      <c r="AV34" t="s">
        <v>372</v>
      </c>
      <c r="AW34" t="s">
        <v>373</v>
      </c>
      <c r="AX34" t="s">
        <v>415</v>
      </c>
      <c r="AY34" t="s">
        <v>373</v>
      </c>
      <c r="AZ34" t="s">
        <v>373</v>
      </c>
      <c r="BA34" t="s">
        <v>385</v>
      </c>
      <c r="BB34" s="124" t="str">
        <f>",'"&amp;beazley_detail[[#This Row],[Name]]&amp;"'"</f>
        <v>,'lookup_lob'</v>
      </c>
      <c r="BD34" t="s">
        <v>653</v>
      </c>
      <c r="BE34" t="s">
        <v>118</v>
      </c>
      <c r="BF34" t="s">
        <v>528</v>
      </c>
      <c r="BG34" t="s">
        <v>372</v>
      </c>
      <c r="BH34" t="s">
        <v>373</v>
      </c>
      <c r="BI34" t="s">
        <v>118</v>
      </c>
      <c r="BJ34" t="s">
        <v>373</v>
      </c>
      <c r="BK34" t="s">
        <v>373</v>
      </c>
      <c r="BL34" t="s">
        <v>385</v>
      </c>
      <c r="BM34" s="124" t="str">
        <f>",'"&amp;beazley_summary[[#This Row],[Name]]&amp;"'"</f>
        <v>,'lob_visible_1'</v>
      </c>
    </row>
    <row r="35" spans="1:65" x14ac:dyDescent="0.35">
      <c r="A35" t="s">
        <v>1045</v>
      </c>
      <c r="B35" t="s">
        <v>272</v>
      </c>
      <c r="C35" t="s">
        <v>394</v>
      </c>
      <c r="D35" t="s">
        <v>431</v>
      </c>
      <c r="E35" t="s">
        <v>373</v>
      </c>
      <c r="F35" t="s">
        <v>89</v>
      </c>
      <c r="G35" t="s">
        <v>373</v>
      </c>
      <c r="H35" t="s">
        <v>375</v>
      </c>
      <c r="I35" t="s">
        <v>373</v>
      </c>
      <c r="J35" s="124" t="str">
        <f>",'"&amp;own_detail[[#This Row],[Name]]&amp;"'"</f>
        <v>,'ielr_weighting_sel_attr'</v>
      </c>
      <c r="L35" t="s">
        <v>655</v>
      </c>
      <c r="M35" t="s">
        <v>237</v>
      </c>
      <c r="N35" t="s">
        <v>394</v>
      </c>
      <c r="O35" t="s">
        <v>372</v>
      </c>
      <c r="P35" t="s">
        <v>373</v>
      </c>
      <c r="Q35" t="s">
        <v>474</v>
      </c>
      <c r="R35" t="s">
        <v>373</v>
      </c>
      <c r="S35" t="s">
        <v>375</v>
      </c>
      <c r="T35" t="s">
        <v>373</v>
      </c>
      <c r="U35" s="124" t="str">
        <f>",'"&amp;own_summary[[#This Row],[Name]]&amp;"'"</f>
        <v>,'ielr_ol_cl_yr_total_excl_cat'</v>
      </c>
      <c r="W35" t="s">
        <v>656</v>
      </c>
      <c r="X35" t="s">
        <v>306</v>
      </c>
      <c r="Y35" t="s">
        <v>394</v>
      </c>
      <c r="Z35" t="s">
        <v>431</v>
      </c>
      <c r="AA35" t="s">
        <v>373</v>
      </c>
      <c r="AB35" t="s">
        <v>657</v>
      </c>
      <c r="AC35" t="s">
        <v>373</v>
      </c>
      <c r="AD35" t="s">
        <v>373</v>
      </c>
      <c r="AE35" t="s">
        <v>385</v>
      </c>
      <c r="AF35" s="124" t="str">
        <f>",'"&amp;lloyds_detail[[#This Row],[Name]]&amp;"'"</f>
        <v>,'dev_patterns_gnpi'</v>
      </c>
      <c r="AH35" t="s">
        <v>658</v>
      </c>
      <c r="AI35" t="s">
        <v>119</v>
      </c>
      <c r="AJ35" t="s">
        <v>528</v>
      </c>
      <c r="AK35" t="s">
        <v>372</v>
      </c>
      <c r="AL35" t="s">
        <v>373</v>
      </c>
      <c r="AM35" t="s">
        <v>119</v>
      </c>
      <c r="AN35" t="s">
        <v>373</v>
      </c>
      <c r="AO35" t="s">
        <v>373</v>
      </c>
      <c r="AP35" t="s">
        <v>385</v>
      </c>
      <c r="AQ35" s="124" t="str">
        <f>",'"&amp;lloyds_summary[[#This Row],[Name]]&amp;"'"</f>
        <v>,'lob_visible_2'</v>
      </c>
      <c r="AS35" t="s">
        <v>659</v>
      </c>
      <c r="AT35" t="s">
        <v>306</v>
      </c>
      <c r="AU35" t="s">
        <v>394</v>
      </c>
      <c r="AV35" t="s">
        <v>431</v>
      </c>
      <c r="AW35" t="s">
        <v>373</v>
      </c>
      <c r="AX35" t="s">
        <v>657</v>
      </c>
      <c r="AY35" t="s">
        <v>373</v>
      </c>
      <c r="AZ35" t="s">
        <v>373</v>
      </c>
      <c r="BA35" t="s">
        <v>385</v>
      </c>
      <c r="BB35" s="124" t="str">
        <f>",'"&amp;beazley_detail[[#This Row],[Name]]&amp;"'"</f>
        <v>,'dev_patterns_gnpi'</v>
      </c>
      <c r="BD35" t="s">
        <v>660</v>
      </c>
      <c r="BE35" t="s">
        <v>119</v>
      </c>
      <c r="BF35" t="s">
        <v>528</v>
      </c>
      <c r="BG35" t="s">
        <v>372</v>
      </c>
      <c r="BH35" t="s">
        <v>373</v>
      </c>
      <c r="BI35" t="s">
        <v>119</v>
      </c>
      <c r="BJ35" t="s">
        <v>373</v>
      </c>
      <c r="BK35" t="s">
        <v>373</v>
      </c>
      <c r="BL35" t="s">
        <v>385</v>
      </c>
      <c r="BM35" s="124" t="str">
        <f>",'"&amp;beazley_summary[[#This Row],[Name]]&amp;"'"</f>
        <v>,'lob_visible_2'</v>
      </c>
    </row>
    <row r="36" spans="1:65" x14ac:dyDescent="0.35">
      <c r="A36" t="s">
        <v>648</v>
      </c>
      <c r="B36" t="s">
        <v>133</v>
      </c>
      <c r="C36" t="s">
        <v>394</v>
      </c>
      <c r="D36" t="s">
        <v>372</v>
      </c>
      <c r="E36" t="s">
        <v>373</v>
      </c>
      <c r="F36" t="s">
        <v>90</v>
      </c>
      <c r="G36" t="s">
        <v>373</v>
      </c>
      <c r="H36" t="s">
        <v>375</v>
      </c>
      <c r="I36" t="s">
        <v>373</v>
      </c>
      <c r="J36" s="124" t="str">
        <f>",'"&amp;own_detail[[#This Row],[Name]]&amp;"'"</f>
        <v>,'latest_incurred_open_claims_large'</v>
      </c>
      <c r="L36" t="s">
        <v>662</v>
      </c>
      <c r="M36" t="s">
        <v>238</v>
      </c>
      <c r="N36" t="s">
        <v>394</v>
      </c>
      <c r="O36" t="s">
        <v>431</v>
      </c>
      <c r="P36" t="s">
        <v>373</v>
      </c>
      <c r="Q36" t="s">
        <v>89</v>
      </c>
      <c r="R36" t="s">
        <v>373</v>
      </c>
      <c r="S36" t="s">
        <v>382</v>
      </c>
      <c r="T36" t="s">
        <v>373</v>
      </c>
      <c r="U36" s="124" t="str">
        <f>",'"&amp;own_summary[[#This Row],[Name]]&amp;"'"</f>
        <v>,'selected_attr'</v>
      </c>
      <c r="W36" t="s">
        <v>663</v>
      </c>
      <c r="X36" t="s">
        <v>307</v>
      </c>
      <c r="Y36" t="s">
        <v>394</v>
      </c>
      <c r="Z36" t="s">
        <v>431</v>
      </c>
      <c r="AA36" t="s">
        <v>373</v>
      </c>
      <c r="AB36" t="s">
        <v>664</v>
      </c>
      <c r="AC36" t="s">
        <v>373</v>
      </c>
      <c r="AD36" t="s">
        <v>373</v>
      </c>
      <c r="AE36" t="s">
        <v>385</v>
      </c>
      <c r="AF36" s="124" t="str">
        <f>",'"&amp;lloyds_detail[[#This Row],[Name]]&amp;"'"</f>
        <v>,'dev_patterns_paid'</v>
      </c>
      <c r="AH36" t="s">
        <v>665</v>
      </c>
      <c r="AI36" t="s">
        <v>120</v>
      </c>
      <c r="AJ36" t="s">
        <v>528</v>
      </c>
      <c r="AK36" t="s">
        <v>372</v>
      </c>
      <c r="AL36" t="s">
        <v>373</v>
      </c>
      <c r="AM36" t="s">
        <v>120</v>
      </c>
      <c r="AN36" t="s">
        <v>373</v>
      </c>
      <c r="AO36" t="s">
        <v>373</v>
      </c>
      <c r="AP36" t="s">
        <v>385</v>
      </c>
      <c r="AQ36" s="124" t="str">
        <f>",'"&amp;lloyds_summary[[#This Row],[Name]]&amp;"'"</f>
        <v>,'lob_visible_3'</v>
      </c>
      <c r="AS36" t="s">
        <v>666</v>
      </c>
      <c r="AT36" t="s">
        <v>307</v>
      </c>
      <c r="AU36" t="s">
        <v>394</v>
      </c>
      <c r="AV36" t="s">
        <v>431</v>
      </c>
      <c r="AW36" t="s">
        <v>373</v>
      </c>
      <c r="AX36" t="s">
        <v>664</v>
      </c>
      <c r="AY36" t="s">
        <v>373</v>
      </c>
      <c r="AZ36" t="s">
        <v>373</v>
      </c>
      <c r="BA36" t="s">
        <v>385</v>
      </c>
      <c r="BB36" s="124" t="str">
        <f>",'"&amp;beazley_detail[[#This Row],[Name]]&amp;"'"</f>
        <v>,'dev_patterns_paid'</v>
      </c>
      <c r="BD36" t="s">
        <v>667</v>
      </c>
      <c r="BE36" t="s">
        <v>120</v>
      </c>
      <c r="BF36" t="s">
        <v>528</v>
      </c>
      <c r="BG36" t="s">
        <v>372</v>
      </c>
      <c r="BH36" t="s">
        <v>373</v>
      </c>
      <c r="BI36" t="s">
        <v>120</v>
      </c>
      <c r="BJ36" t="s">
        <v>373</v>
      </c>
      <c r="BK36" t="s">
        <v>373</v>
      </c>
      <c r="BL36" t="s">
        <v>385</v>
      </c>
      <c r="BM36" s="124" t="str">
        <f>",'"&amp;beazley_summary[[#This Row],[Name]]&amp;"'"</f>
        <v>,'lob_visible_3'</v>
      </c>
    </row>
    <row r="37" spans="1:65" x14ac:dyDescent="0.35">
      <c r="A37" t="s">
        <v>654</v>
      </c>
      <c r="B37" t="s">
        <v>134</v>
      </c>
      <c r="C37" t="s">
        <v>394</v>
      </c>
      <c r="D37" t="s">
        <v>372</v>
      </c>
      <c r="E37" t="s">
        <v>373</v>
      </c>
      <c r="F37" t="s">
        <v>90</v>
      </c>
      <c r="G37" t="s">
        <v>373</v>
      </c>
      <c r="H37" t="s">
        <v>375</v>
      </c>
      <c r="I37" t="s">
        <v>373</v>
      </c>
      <c r="J37" s="124" t="str">
        <f>",'"&amp;own_detail[[#This Row],[Name]]&amp;"'"</f>
        <v>,'latest_incurred_closed_claims_large'</v>
      </c>
      <c r="L37" t="s">
        <v>669</v>
      </c>
      <c r="M37" t="s">
        <v>239</v>
      </c>
      <c r="N37" t="s">
        <v>394</v>
      </c>
      <c r="O37" t="s">
        <v>431</v>
      </c>
      <c r="P37" t="s">
        <v>373</v>
      </c>
      <c r="Q37" t="s">
        <v>90</v>
      </c>
      <c r="R37" t="s">
        <v>373</v>
      </c>
      <c r="S37" t="s">
        <v>382</v>
      </c>
      <c r="T37" t="s">
        <v>373</v>
      </c>
      <c r="U37" s="124" t="str">
        <f>",'"&amp;own_summary[[#This Row],[Name]]&amp;"'"</f>
        <v>,'selected_large'</v>
      </c>
      <c r="W37" t="s">
        <v>670</v>
      </c>
      <c r="X37" t="s">
        <v>308</v>
      </c>
      <c r="Y37" t="s">
        <v>394</v>
      </c>
      <c r="Z37" t="s">
        <v>431</v>
      </c>
      <c r="AA37" t="s">
        <v>373</v>
      </c>
      <c r="AB37" t="s">
        <v>353</v>
      </c>
      <c r="AC37" t="s">
        <v>373</v>
      </c>
      <c r="AD37" t="s">
        <v>373</v>
      </c>
      <c r="AE37" t="s">
        <v>385</v>
      </c>
      <c r="AF37" s="124" t="str">
        <f>",'"&amp;lloyds_detail[[#This Row],[Name]]&amp;"'"</f>
        <v>,'dev_patterns_incurred'</v>
      </c>
      <c r="AH37" t="s">
        <v>671</v>
      </c>
      <c r="AI37" t="s">
        <v>351</v>
      </c>
      <c r="AJ37" t="s">
        <v>377</v>
      </c>
      <c r="AK37" t="s">
        <v>378</v>
      </c>
      <c r="AL37" t="s">
        <v>451</v>
      </c>
      <c r="AM37" t="s">
        <v>2</v>
      </c>
      <c r="AN37" t="s">
        <v>453</v>
      </c>
      <c r="AO37" t="s">
        <v>373</v>
      </c>
      <c r="AP37" t="s">
        <v>385</v>
      </c>
      <c r="AQ37" s="124" t="str">
        <f>",'"&amp;lloyds_summary[[#This Row],[Name]]&amp;"'"</f>
        <v>,'comments'</v>
      </c>
      <c r="AS37" t="s">
        <v>672</v>
      </c>
      <c r="AT37" t="s">
        <v>308</v>
      </c>
      <c r="AU37" t="s">
        <v>394</v>
      </c>
      <c r="AV37" t="s">
        <v>431</v>
      </c>
      <c r="AW37" t="s">
        <v>373</v>
      </c>
      <c r="AX37" t="s">
        <v>353</v>
      </c>
      <c r="AY37" t="s">
        <v>373</v>
      </c>
      <c r="AZ37" t="s">
        <v>373</v>
      </c>
      <c r="BA37" t="s">
        <v>385</v>
      </c>
      <c r="BB37" s="124" t="str">
        <f>",'"&amp;beazley_detail[[#This Row],[Name]]&amp;"'"</f>
        <v>,'dev_patterns_incurred'</v>
      </c>
      <c r="BD37" t="s">
        <v>673</v>
      </c>
      <c r="BE37" t="s">
        <v>351</v>
      </c>
      <c r="BF37" t="s">
        <v>377</v>
      </c>
      <c r="BG37" t="s">
        <v>378</v>
      </c>
      <c r="BH37" t="s">
        <v>451</v>
      </c>
      <c r="BI37" t="s">
        <v>2</v>
      </c>
      <c r="BJ37" t="s">
        <v>453</v>
      </c>
      <c r="BK37" t="s">
        <v>373</v>
      </c>
      <c r="BL37" t="s">
        <v>385</v>
      </c>
      <c r="BM37" s="124" t="str">
        <f>",'"&amp;beazley_summary[[#This Row],[Name]]&amp;"'"</f>
        <v>,'comments'</v>
      </c>
    </row>
    <row r="38" spans="1:65" x14ac:dyDescent="0.35">
      <c r="A38" t="s">
        <v>661</v>
      </c>
      <c r="B38" t="s">
        <v>135</v>
      </c>
      <c r="C38" t="s">
        <v>394</v>
      </c>
      <c r="D38" t="s">
        <v>372</v>
      </c>
      <c r="E38" t="s">
        <v>373</v>
      </c>
      <c r="F38" t="s">
        <v>90</v>
      </c>
      <c r="G38" t="s">
        <v>373</v>
      </c>
      <c r="H38" t="s">
        <v>375</v>
      </c>
      <c r="I38" t="s">
        <v>373</v>
      </c>
      <c r="J38" s="124" t="str">
        <f>",'"&amp;own_detail[[#This Row],[Name]]&amp;"'"</f>
        <v>,'latest_incurred_total_claims_large'</v>
      </c>
      <c r="L38" t="s">
        <v>675</v>
      </c>
      <c r="M38" t="s">
        <v>240</v>
      </c>
      <c r="N38" t="s">
        <v>394</v>
      </c>
      <c r="O38" t="s">
        <v>431</v>
      </c>
      <c r="P38" t="s">
        <v>373</v>
      </c>
      <c r="Q38" t="s">
        <v>676</v>
      </c>
      <c r="R38" t="s">
        <v>373</v>
      </c>
      <c r="S38" t="s">
        <v>382</v>
      </c>
      <c r="T38" t="s">
        <v>373</v>
      </c>
      <c r="U38" s="124" t="str">
        <f>",'"&amp;own_summary[[#This Row],[Name]]&amp;"'"</f>
        <v>,'selected_cat'</v>
      </c>
      <c r="W38" t="s">
        <v>677</v>
      </c>
      <c r="X38" t="s">
        <v>309</v>
      </c>
      <c r="Y38" t="s">
        <v>394</v>
      </c>
      <c r="Z38" t="s">
        <v>431</v>
      </c>
      <c r="AA38" t="s">
        <v>373</v>
      </c>
      <c r="AB38" t="s">
        <v>678</v>
      </c>
      <c r="AC38" t="s">
        <v>373</v>
      </c>
      <c r="AD38" t="s">
        <v>373</v>
      </c>
      <c r="AE38" t="s">
        <v>385</v>
      </c>
      <c r="AF38" s="124" t="str">
        <f>",'"&amp;lloyds_detail[[#This Row],[Name]]&amp;"'"</f>
        <v>,'weighting_ielr'</v>
      </c>
      <c r="AH38" t="s">
        <v>679</v>
      </c>
      <c r="AI38" t="s">
        <v>352</v>
      </c>
      <c r="AJ38" t="s">
        <v>528</v>
      </c>
      <c r="AK38" t="s">
        <v>378</v>
      </c>
      <c r="AL38" t="s">
        <v>379</v>
      </c>
      <c r="AM38" t="s">
        <v>680</v>
      </c>
      <c r="AN38" t="b">
        <v>0</v>
      </c>
      <c r="AO38" t="s">
        <v>373</v>
      </c>
      <c r="AP38" t="s">
        <v>385</v>
      </c>
      <c r="AQ38" s="124" t="str">
        <f>",'"&amp;lloyds_summary[[#This Row],[Name]]&amp;"'"</f>
        <v>,'checked'</v>
      </c>
      <c r="AS38" t="s">
        <v>681</v>
      </c>
      <c r="AT38" t="s">
        <v>309</v>
      </c>
      <c r="AU38" t="s">
        <v>394</v>
      </c>
      <c r="AV38" t="s">
        <v>431</v>
      </c>
      <c r="AW38" t="s">
        <v>373</v>
      </c>
      <c r="AX38" t="s">
        <v>678</v>
      </c>
      <c r="AY38" t="s">
        <v>373</v>
      </c>
      <c r="AZ38" t="s">
        <v>373</v>
      </c>
      <c r="BA38" t="s">
        <v>385</v>
      </c>
      <c r="BB38" s="124" t="str">
        <f>",'"&amp;beazley_detail[[#This Row],[Name]]&amp;"'"</f>
        <v>,'weighting_ielr'</v>
      </c>
      <c r="BD38" t="s">
        <v>682</v>
      </c>
      <c r="BE38" t="s">
        <v>352</v>
      </c>
      <c r="BF38" t="s">
        <v>528</v>
      </c>
      <c r="BG38" t="s">
        <v>378</v>
      </c>
      <c r="BH38" t="s">
        <v>379</v>
      </c>
      <c r="BI38" t="s">
        <v>680</v>
      </c>
      <c r="BJ38" t="b">
        <v>0</v>
      </c>
      <c r="BK38" t="s">
        <v>373</v>
      </c>
      <c r="BL38" t="s">
        <v>385</v>
      </c>
      <c r="BM38" s="124" t="str">
        <f>",'"&amp;beazley_summary[[#This Row],[Name]]&amp;"'"</f>
        <v>,'checked'</v>
      </c>
    </row>
    <row r="39" spans="1:65" x14ac:dyDescent="0.35">
      <c r="A39" t="s">
        <v>668</v>
      </c>
      <c r="B39" t="s">
        <v>136</v>
      </c>
      <c r="C39" t="s">
        <v>394</v>
      </c>
      <c r="D39" t="s">
        <v>378</v>
      </c>
      <c r="E39" t="s">
        <v>451</v>
      </c>
      <c r="F39" t="s">
        <v>90</v>
      </c>
      <c r="G39">
        <v>0</v>
      </c>
      <c r="H39" t="s">
        <v>375</v>
      </c>
      <c r="I39" t="s">
        <v>373</v>
      </c>
      <c r="J39" s="124" t="str">
        <f>",'"&amp;own_detail[[#This Row],[Name]]&amp;"'"</f>
        <v>,'last_year_position_large'</v>
      </c>
      <c r="L39" t="s">
        <v>684</v>
      </c>
      <c r="M39" t="s">
        <v>241</v>
      </c>
      <c r="N39" t="s">
        <v>394</v>
      </c>
      <c r="O39" t="s">
        <v>372</v>
      </c>
      <c r="P39" t="s">
        <v>373</v>
      </c>
      <c r="Q39" t="s">
        <v>43</v>
      </c>
      <c r="R39" t="s">
        <v>373</v>
      </c>
      <c r="S39" t="s">
        <v>375</v>
      </c>
      <c r="T39" t="s">
        <v>373</v>
      </c>
      <c r="U39" s="124" t="str">
        <f>",'"&amp;own_summary[[#This Row],[Name]]&amp;"'"</f>
        <v>,'selected_total'</v>
      </c>
      <c r="W39" t="s">
        <v>685</v>
      </c>
      <c r="X39" t="s">
        <v>310</v>
      </c>
      <c r="Y39" t="s">
        <v>377</v>
      </c>
      <c r="Z39" t="s">
        <v>431</v>
      </c>
      <c r="AA39" t="s">
        <v>373</v>
      </c>
      <c r="AB39" t="s">
        <v>686</v>
      </c>
      <c r="AC39" t="s">
        <v>373</v>
      </c>
      <c r="AD39" t="s">
        <v>373</v>
      </c>
      <c r="AE39" t="s">
        <v>385</v>
      </c>
      <c r="AF39" s="124" t="str">
        <f>",'"&amp;lloyds_detail[[#This Row],[Name]]&amp;"'"</f>
        <v>,'method_paid'</v>
      </c>
      <c r="AH39" t="s">
        <v>687</v>
      </c>
      <c r="AI39" t="s">
        <v>104</v>
      </c>
      <c r="AJ39" t="s">
        <v>377</v>
      </c>
      <c r="AK39" t="s">
        <v>372</v>
      </c>
      <c r="AL39" t="s">
        <v>373</v>
      </c>
      <c r="AM39" t="s">
        <v>384</v>
      </c>
      <c r="AN39" t="s">
        <v>373</v>
      </c>
      <c r="AO39" t="s">
        <v>373</v>
      </c>
      <c r="AP39" t="s">
        <v>385</v>
      </c>
      <c r="AQ39" s="124" t="str">
        <f>",'"&amp;lloyds_summary[[#This Row],[Name]]&amp;"'"</f>
        <v>,'yoa'</v>
      </c>
      <c r="AS39" t="s">
        <v>688</v>
      </c>
      <c r="AT39" t="s">
        <v>310</v>
      </c>
      <c r="AU39" t="s">
        <v>377</v>
      </c>
      <c r="AV39" t="s">
        <v>431</v>
      </c>
      <c r="AW39" t="s">
        <v>373</v>
      </c>
      <c r="AX39" t="s">
        <v>686</v>
      </c>
      <c r="AY39" t="s">
        <v>373</v>
      </c>
      <c r="AZ39" t="s">
        <v>373</v>
      </c>
      <c r="BA39" t="s">
        <v>385</v>
      </c>
      <c r="BB39" s="124" t="str">
        <f>",'"&amp;beazley_detail[[#This Row],[Name]]&amp;"'"</f>
        <v>,'method_paid'</v>
      </c>
      <c r="BD39" t="s">
        <v>689</v>
      </c>
      <c r="BE39" t="s">
        <v>104</v>
      </c>
      <c r="BF39" t="s">
        <v>377</v>
      </c>
      <c r="BG39" t="s">
        <v>372</v>
      </c>
      <c r="BH39" t="s">
        <v>373</v>
      </c>
      <c r="BI39" t="s">
        <v>384</v>
      </c>
      <c r="BJ39" t="s">
        <v>373</v>
      </c>
      <c r="BK39" t="s">
        <v>373</v>
      </c>
      <c r="BL39" t="s">
        <v>385</v>
      </c>
      <c r="BM39" s="124" t="str">
        <f>",'"&amp;beazley_summary[[#This Row],[Name]]&amp;"'"</f>
        <v>,'yoa'</v>
      </c>
    </row>
    <row r="40" spans="1:65" x14ac:dyDescent="0.35">
      <c r="A40" t="s">
        <v>674</v>
      </c>
      <c r="B40" t="s">
        <v>137</v>
      </c>
      <c r="C40" t="s">
        <v>394</v>
      </c>
      <c r="D40" t="s">
        <v>372</v>
      </c>
      <c r="E40" t="s">
        <v>373</v>
      </c>
      <c r="F40" t="s">
        <v>90</v>
      </c>
      <c r="G40" t="s">
        <v>373</v>
      </c>
      <c r="H40" t="s">
        <v>375</v>
      </c>
      <c r="I40" t="s">
        <v>373</v>
      </c>
      <c r="J40" s="124" t="str">
        <f>",'"&amp;own_detail[[#This Row],[Name]]&amp;"'"</f>
        <v>,'movement_large'</v>
      </c>
      <c r="L40" t="s">
        <v>691</v>
      </c>
      <c r="M40" t="s">
        <v>242</v>
      </c>
      <c r="N40" t="s">
        <v>394</v>
      </c>
      <c r="O40" t="s">
        <v>372</v>
      </c>
      <c r="P40" t="s">
        <v>373</v>
      </c>
      <c r="Q40" t="s">
        <v>692</v>
      </c>
      <c r="R40" t="s">
        <v>373</v>
      </c>
      <c r="S40" t="s">
        <v>375</v>
      </c>
      <c r="T40" t="s">
        <v>373</v>
      </c>
      <c r="U40" s="124" t="str">
        <f>",'"&amp;own_summary[[#This Row],[Name]]&amp;"'"</f>
        <v>,'selected_total_excl_cat'</v>
      </c>
      <c r="W40" t="s">
        <v>693</v>
      </c>
      <c r="X40" t="s">
        <v>182</v>
      </c>
      <c r="Y40" t="s">
        <v>377</v>
      </c>
      <c r="Z40" t="s">
        <v>431</v>
      </c>
      <c r="AA40" t="s">
        <v>373</v>
      </c>
      <c r="AB40" t="s">
        <v>694</v>
      </c>
      <c r="AC40" t="s">
        <v>373</v>
      </c>
      <c r="AD40" t="s">
        <v>373</v>
      </c>
      <c r="AE40" t="s">
        <v>385</v>
      </c>
      <c r="AF40" s="124" t="str">
        <f>",'"&amp;lloyds_detail[[#This Row],[Name]]&amp;"'"</f>
        <v>,'method_incurred'</v>
      </c>
      <c r="AH40" t="s">
        <v>695</v>
      </c>
      <c r="AI40" t="s">
        <v>105</v>
      </c>
      <c r="AJ40" t="s">
        <v>394</v>
      </c>
      <c r="AK40" t="s">
        <v>372</v>
      </c>
      <c r="AL40" t="s">
        <v>373</v>
      </c>
      <c r="AM40" t="s">
        <v>395</v>
      </c>
      <c r="AN40" t="s">
        <v>373</v>
      </c>
      <c r="AO40" t="s">
        <v>373</v>
      </c>
      <c r="AP40" t="s">
        <v>385</v>
      </c>
      <c r="AQ40" s="124" t="str">
        <f>",'"&amp;lloyds_summary[[#This Row],[Name]]&amp;"'"</f>
        <v>,'latest_gpi'</v>
      </c>
      <c r="AS40" t="s">
        <v>696</v>
      </c>
      <c r="AT40" t="s">
        <v>182</v>
      </c>
      <c r="AU40" t="s">
        <v>377</v>
      </c>
      <c r="AV40" t="s">
        <v>431</v>
      </c>
      <c r="AW40" t="s">
        <v>373</v>
      </c>
      <c r="AX40" t="s">
        <v>694</v>
      </c>
      <c r="AY40" t="s">
        <v>373</v>
      </c>
      <c r="AZ40" t="s">
        <v>373</v>
      </c>
      <c r="BA40" t="s">
        <v>385</v>
      </c>
      <c r="BB40" s="124" t="str">
        <f>",'"&amp;beazley_detail[[#This Row],[Name]]&amp;"'"</f>
        <v>,'method_incurred'</v>
      </c>
      <c r="BD40" t="s">
        <v>697</v>
      </c>
      <c r="BE40" t="s">
        <v>105</v>
      </c>
      <c r="BF40" t="s">
        <v>394</v>
      </c>
      <c r="BG40" t="s">
        <v>372</v>
      </c>
      <c r="BH40" t="s">
        <v>373</v>
      </c>
      <c r="BI40" t="s">
        <v>395</v>
      </c>
      <c r="BJ40" t="s">
        <v>373</v>
      </c>
      <c r="BK40" t="s">
        <v>373</v>
      </c>
      <c r="BL40" t="s">
        <v>385</v>
      </c>
      <c r="BM40" s="124" t="str">
        <f>",'"&amp;beazley_summary[[#This Row],[Name]]&amp;"'"</f>
        <v>,'latest_gpi'</v>
      </c>
    </row>
    <row r="41" spans="1:65" x14ac:dyDescent="0.35">
      <c r="A41" t="s">
        <v>683</v>
      </c>
      <c r="B41" t="s">
        <v>138</v>
      </c>
      <c r="C41" t="s">
        <v>394</v>
      </c>
      <c r="D41" t="s">
        <v>372</v>
      </c>
      <c r="E41" t="s">
        <v>373</v>
      </c>
      <c r="F41" t="s">
        <v>90</v>
      </c>
      <c r="G41" t="s">
        <v>373</v>
      </c>
      <c r="H41" t="s">
        <v>375</v>
      </c>
      <c r="I41" t="s">
        <v>373</v>
      </c>
      <c r="J41" s="124" t="str">
        <f>",'"&amp;own_detail[[#This Row],[Name]]&amp;"'"</f>
        <v>,'gn_ilr_large'</v>
      </c>
      <c r="L41" t="s">
        <v>699</v>
      </c>
      <c r="M41" t="s">
        <v>243</v>
      </c>
      <c r="N41" t="s">
        <v>394</v>
      </c>
      <c r="O41" t="s">
        <v>372</v>
      </c>
      <c r="P41" t="s">
        <v>373</v>
      </c>
      <c r="Q41" t="s">
        <v>700</v>
      </c>
      <c r="R41" t="s">
        <v>373</v>
      </c>
      <c r="S41" t="s">
        <v>375</v>
      </c>
      <c r="T41" t="s">
        <v>373</v>
      </c>
      <c r="U41" s="124" t="str">
        <f>",'"&amp;own_summary[[#This Row],[Name]]&amp;"'"</f>
        <v>,'selected_cat_exp'</v>
      </c>
      <c r="W41" t="s">
        <v>701</v>
      </c>
      <c r="X41" t="s">
        <v>311</v>
      </c>
      <c r="Y41" t="s">
        <v>394</v>
      </c>
      <c r="Z41" t="s">
        <v>372</v>
      </c>
      <c r="AA41" t="s">
        <v>373</v>
      </c>
      <c r="AB41" t="s">
        <v>702</v>
      </c>
      <c r="AC41" t="s">
        <v>373</v>
      </c>
      <c r="AD41" t="s">
        <v>373</v>
      </c>
      <c r="AE41" t="s">
        <v>385</v>
      </c>
      <c r="AF41" s="124" t="str">
        <f>",'"&amp;lloyds_detail[[#This Row],[Name]]&amp;"'"</f>
        <v>,'inflation_model'</v>
      </c>
      <c r="AH41" t="s">
        <v>703</v>
      </c>
      <c r="AI41" t="s">
        <v>106</v>
      </c>
      <c r="AJ41" t="s">
        <v>394</v>
      </c>
      <c r="AK41" t="s">
        <v>372</v>
      </c>
      <c r="AL41" t="s">
        <v>373</v>
      </c>
      <c r="AM41" t="s">
        <v>404</v>
      </c>
      <c r="AN41" t="s">
        <v>373</v>
      </c>
      <c r="AO41" t="s">
        <v>373</v>
      </c>
      <c r="AP41" t="s">
        <v>385</v>
      </c>
      <c r="AQ41" s="124" t="str">
        <f>",'"&amp;lloyds_summary[[#This Row],[Name]]&amp;"'"</f>
        <v>,'latest_gnpi'</v>
      </c>
      <c r="AS41" t="s">
        <v>704</v>
      </c>
      <c r="AT41" t="s">
        <v>311</v>
      </c>
      <c r="AU41" t="s">
        <v>394</v>
      </c>
      <c r="AV41" t="s">
        <v>372</v>
      </c>
      <c r="AW41" t="s">
        <v>373</v>
      </c>
      <c r="AX41" t="s">
        <v>702</v>
      </c>
      <c r="AY41" t="s">
        <v>373</v>
      </c>
      <c r="AZ41" t="s">
        <v>373</v>
      </c>
      <c r="BA41" t="s">
        <v>385</v>
      </c>
      <c r="BB41" s="124" t="str">
        <f>",'"&amp;beazley_detail[[#This Row],[Name]]&amp;"'"</f>
        <v>,'inflation_model'</v>
      </c>
      <c r="BD41" t="s">
        <v>705</v>
      </c>
      <c r="BE41" t="s">
        <v>106</v>
      </c>
      <c r="BF41" t="s">
        <v>394</v>
      </c>
      <c r="BG41" t="s">
        <v>372</v>
      </c>
      <c r="BH41" t="s">
        <v>373</v>
      </c>
      <c r="BI41" t="s">
        <v>404</v>
      </c>
      <c r="BJ41" t="s">
        <v>373</v>
      </c>
      <c r="BK41" t="s">
        <v>373</v>
      </c>
      <c r="BL41" t="s">
        <v>385</v>
      </c>
      <c r="BM41" s="124" t="str">
        <f>",'"&amp;beazley_summary[[#This Row],[Name]]&amp;"'"</f>
        <v>,'latest_gnpi'</v>
      </c>
    </row>
    <row r="42" spans="1:65" x14ac:dyDescent="0.35">
      <c r="A42" t="s">
        <v>690</v>
      </c>
      <c r="B42" t="s">
        <v>139</v>
      </c>
      <c r="C42" t="s">
        <v>394</v>
      </c>
      <c r="D42" t="s">
        <v>372</v>
      </c>
      <c r="E42" t="s">
        <v>373</v>
      </c>
      <c r="F42" t="s">
        <v>90</v>
      </c>
      <c r="G42" t="s">
        <v>373</v>
      </c>
      <c r="H42" t="s">
        <v>375</v>
      </c>
      <c r="I42" t="s">
        <v>373</v>
      </c>
      <c r="J42" s="124" t="str">
        <f>",'"&amp;own_detail[[#This Row],[Name]]&amp;"'"</f>
        <v>,'ultimate_incurred_ielr_large'</v>
      </c>
      <c r="L42" t="s">
        <v>707</v>
      </c>
      <c r="M42" t="s">
        <v>244</v>
      </c>
      <c r="N42" t="s">
        <v>394</v>
      </c>
      <c r="O42" t="s">
        <v>372</v>
      </c>
      <c r="P42" t="s">
        <v>373</v>
      </c>
      <c r="Q42" t="s">
        <v>708</v>
      </c>
      <c r="R42" t="s">
        <v>373</v>
      </c>
      <c r="S42" t="s">
        <v>375</v>
      </c>
      <c r="T42" t="s">
        <v>373</v>
      </c>
      <c r="U42" s="124" t="str">
        <f>",'"&amp;own_summary[[#This Row],[Name]]&amp;"'"</f>
        <v>,'selected_cat_bp'</v>
      </c>
      <c r="W42" t="s">
        <v>709</v>
      </c>
      <c r="X42" t="s">
        <v>312</v>
      </c>
      <c r="Y42" t="s">
        <v>394</v>
      </c>
      <c r="Z42" t="s">
        <v>372</v>
      </c>
      <c r="AA42" t="s">
        <v>373</v>
      </c>
      <c r="AB42" t="s">
        <v>710</v>
      </c>
      <c r="AC42" t="s">
        <v>373</v>
      </c>
      <c r="AD42" t="s">
        <v>373</v>
      </c>
      <c r="AE42" t="s">
        <v>385</v>
      </c>
      <c r="AF42" s="124" t="str">
        <f>",'"&amp;lloyds_detail[[#This Row],[Name]]&amp;"'"</f>
        <v>,'rate_change_model'</v>
      </c>
      <c r="AH42" t="s">
        <v>711</v>
      </c>
      <c r="AI42" t="s">
        <v>279</v>
      </c>
      <c r="AJ42" t="s">
        <v>394</v>
      </c>
      <c r="AK42" t="s">
        <v>372</v>
      </c>
      <c r="AL42" t="s">
        <v>373</v>
      </c>
      <c r="AM42" t="s">
        <v>413</v>
      </c>
      <c r="AN42" t="s">
        <v>373</v>
      </c>
      <c r="AO42" t="s">
        <v>373</v>
      </c>
      <c r="AP42" t="s">
        <v>385</v>
      </c>
      <c r="AQ42" s="124" t="str">
        <f>",'"&amp;lloyds_summary[[#This Row],[Name]]&amp;"'"</f>
        <v>,'latest_paid'</v>
      </c>
      <c r="AS42" t="s">
        <v>712</v>
      </c>
      <c r="AT42" t="s">
        <v>312</v>
      </c>
      <c r="AU42" t="s">
        <v>394</v>
      </c>
      <c r="AV42" t="s">
        <v>372</v>
      </c>
      <c r="AW42" t="s">
        <v>373</v>
      </c>
      <c r="AX42" t="s">
        <v>710</v>
      </c>
      <c r="AY42" t="s">
        <v>373</v>
      </c>
      <c r="AZ42" t="s">
        <v>373</v>
      </c>
      <c r="BA42" t="s">
        <v>385</v>
      </c>
      <c r="BB42" s="124" t="str">
        <f>",'"&amp;beazley_detail[[#This Row],[Name]]&amp;"'"</f>
        <v>,'rate_change_model'</v>
      </c>
      <c r="BD42" t="s">
        <v>713</v>
      </c>
      <c r="BE42" t="s">
        <v>279</v>
      </c>
      <c r="BF42" t="s">
        <v>394</v>
      </c>
      <c r="BG42" t="s">
        <v>372</v>
      </c>
      <c r="BH42" t="s">
        <v>373</v>
      </c>
      <c r="BI42" t="s">
        <v>413</v>
      </c>
      <c r="BJ42" t="s">
        <v>373</v>
      </c>
      <c r="BK42" t="s">
        <v>373</v>
      </c>
      <c r="BL42" t="s">
        <v>385</v>
      </c>
      <c r="BM42" s="124" t="str">
        <f>",'"&amp;beazley_summary[[#This Row],[Name]]&amp;"'"</f>
        <v>,'latest_paid'</v>
      </c>
    </row>
    <row r="43" spans="1:65" x14ac:dyDescent="0.35">
      <c r="A43" t="s">
        <v>698</v>
      </c>
      <c r="B43" t="s">
        <v>140</v>
      </c>
      <c r="C43" t="s">
        <v>394</v>
      </c>
      <c r="D43" t="s">
        <v>372</v>
      </c>
      <c r="E43" t="s">
        <v>373</v>
      </c>
      <c r="F43" t="s">
        <v>90</v>
      </c>
      <c r="G43" t="s">
        <v>373</v>
      </c>
      <c r="H43" t="s">
        <v>375</v>
      </c>
      <c r="I43" t="s">
        <v>373</v>
      </c>
      <c r="J43" s="124" t="str">
        <f>",'"&amp;own_detail[[#This Row],[Name]]&amp;"'"</f>
        <v>,'ultimate_incurred_bf_large'</v>
      </c>
      <c r="L43" t="s">
        <v>715</v>
      </c>
      <c r="M43" t="s">
        <v>245</v>
      </c>
      <c r="N43" t="s">
        <v>394</v>
      </c>
      <c r="O43" t="s">
        <v>372</v>
      </c>
      <c r="P43" t="s">
        <v>373</v>
      </c>
      <c r="Q43" t="s">
        <v>716</v>
      </c>
      <c r="R43" t="s">
        <v>373</v>
      </c>
      <c r="S43" t="s">
        <v>375</v>
      </c>
      <c r="T43" t="s">
        <v>373</v>
      </c>
      <c r="U43" s="124" t="str">
        <f>",'"&amp;own_summary[[#This Row],[Name]]&amp;"'"</f>
        <v>,'selected_cat_rms'</v>
      </c>
      <c r="W43" t="s">
        <v>717</v>
      </c>
      <c r="X43" t="s">
        <v>313</v>
      </c>
      <c r="Y43" t="s">
        <v>394</v>
      </c>
      <c r="Z43" t="s">
        <v>431</v>
      </c>
      <c r="AA43" t="s">
        <v>373</v>
      </c>
      <c r="AB43" t="s">
        <v>718</v>
      </c>
      <c r="AC43" t="s">
        <v>373</v>
      </c>
      <c r="AD43" t="s">
        <v>373</v>
      </c>
      <c r="AE43" t="s">
        <v>385</v>
      </c>
      <c r="AF43" s="124" t="str">
        <f>",'"&amp;lloyds_detail[[#This Row],[Name]]&amp;"'"</f>
        <v>,'rate_change_selected'</v>
      </c>
      <c r="AH43" t="s">
        <v>719</v>
      </c>
      <c r="AI43" t="s">
        <v>280</v>
      </c>
      <c r="AJ43" t="s">
        <v>394</v>
      </c>
      <c r="AK43" t="s">
        <v>372</v>
      </c>
      <c r="AL43" t="s">
        <v>373</v>
      </c>
      <c r="AM43" t="s">
        <v>423</v>
      </c>
      <c r="AN43" t="s">
        <v>373</v>
      </c>
      <c r="AO43" t="s">
        <v>373</v>
      </c>
      <c r="AP43" t="s">
        <v>385</v>
      </c>
      <c r="AQ43" s="124" t="str">
        <f>",'"&amp;lloyds_summary[[#This Row],[Name]]&amp;"'"</f>
        <v>,'latest_incurred'</v>
      </c>
      <c r="AS43" t="s">
        <v>720</v>
      </c>
      <c r="AT43" t="s">
        <v>313</v>
      </c>
      <c r="AU43" t="s">
        <v>394</v>
      </c>
      <c r="AV43" t="s">
        <v>431</v>
      </c>
      <c r="AW43" t="s">
        <v>373</v>
      </c>
      <c r="AX43" t="s">
        <v>718</v>
      </c>
      <c r="AY43" t="s">
        <v>373</v>
      </c>
      <c r="AZ43" t="s">
        <v>373</v>
      </c>
      <c r="BA43" t="s">
        <v>385</v>
      </c>
      <c r="BB43" s="124" t="str">
        <f>",'"&amp;beazley_detail[[#This Row],[Name]]&amp;"'"</f>
        <v>,'rate_change_selected'</v>
      </c>
      <c r="BD43" t="s">
        <v>721</v>
      </c>
      <c r="BE43" t="s">
        <v>280</v>
      </c>
      <c r="BF43" t="s">
        <v>394</v>
      </c>
      <c r="BG43" t="s">
        <v>372</v>
      </c>
      <c r="BH43" t="s">
        <v>373</v>
      </c>
      <c r="BI43" t="s">
        <v>423</v>
      </c>
      <c r="BJ43" t="s">
        <v>373</v>
      </c>
      <c r="BK43" t="s">
        <v>373</v>
      </c>
      <c r="BL43" t="s">
        <v>385</v>
      </c>
      <c r="BM43" s="124" t="str">
        <f>",'"&amp;beazley_summary[[#This Row],[Name]]&amp;"'"</f>
        <v>,'latest_incurred'</v>
      </c>
    </row>
    <row r="44" spans="1:65" x14ac:dyDescent="0.35">
      <c r="A44" t="s">
        <v>706</v>
      </c>
      <c r="B44" t="s">
        <v>141</v>
      </c>
      <c r="C44" t="s">
        <v>394</v>
      </c>
      <c r="D44" t="s">
        <v>372</v>
      </c>
      <c r="E44" t="s">
        <v>373</v>
      </c>
      <c r="F44" t="s">
        <v>90</v>
      </c>
      <c r="G44" t="s">
        <v>373</v>
      </c>
      <c r="H44" t="s">
        <v>375</v>
      </c>
      <c r="I44" t="s">
        <v>373</v>
      </c>
      <c r="J44" s="124" t="str">
        <f>",'"&amp;own_detail[[#This Row],[Name]]&amp;"'"</f>
        <v>,'ultimate_incurred_cl_large'</v>
      </c>
      <c r="L44" t="s">
        <v>723</v>
      </c>
      <c r="M44" t="s">
        <v>246</v>
      </c>
      <c r="N44" t="s">
        <v>377</v>
      </c>
      <c r="O44" t="s">
        <v>372</v>
      </c>
      <c r="P44" t="s">
        <v>373</v>
      </c>
      <c r="Q44" t="s">
        <v>411</v>
      </c>
      <c r="R44" t="s">
        <v>373</v>
      </c>
      <c r="S44" t="s">
        <v>375</v>
      </c>
      <c r="T44" t="s">
        <v>373</v>
      </c>
      <c r="U44" s="124" t="str">
        <f>",'"&amp;own_summary[[#This Row],[Name]]&amp;"'"</f>
        <v>,'selected_cat_basis'</v>
      </c>
      <c r="W44" t="s">
        <v>724</v>
      </c>
      <c r="X44" t="s">
        <v>314</v>
      </c>
      <c r="Y44" t="s">
        <v>394</v>
      </c>
      <c r="Z44" t="s">
        <v>372</v>
      </c>
      <c r="AA44" t="s">
        <v>373</v>
      </c>
      <c r="AB44" t="s">
        <v>725</v>
      </c>
      <c r="AC44" t="s">
        <v>373</v>
      </c>
      <c r="AD44" t="s">
        <v>373</v>
      </c>
      <c r="AE44" t="s">
        <v>385</v>
      </c>
      <c r="AF44" s="124" t="str">
        <f>",'"&amp;lloyds_detail[[#This Row],[Name]]&amp;"'"</f>
        <v>,'inflation_model_index'</v>
      </c>
      <c r="AH44" t="s">
        <v>726</v>
      </c>
      <c r="AI44" t="s">
        <v>281</v>
      </c>
      <c r="AJ44" t="s">
        <v>394</v>
      </c>
      <c r="AK44" t="s">
        <v>372</v>
      </c>
      <c r="AL44" t="s">
        <v>373</v>
      </c>
      <c r="AM44" t="s">
        <v>434</v>
      </c>
      <c r="AN44" t="s">
        <v>373</v>
      </c>
      <c r="AO44" t="s">
        <v>373</v>
      </c>
      <c r="AP44" t="s">
        <v>385</v>
      </c>
      <c r="AQ44" s="124" t="str">
        <f>",'"&amp;lloyds_summary[[#This Row],[Name]]&amp;"'"</f>
        <v>,'acquisition_ratio'</v>
      </c>
      <c r="AS44" t="s">
        <v>727</v>
      </c>
      <c r="AT44" t="s">
        <v>314</v>
      </c>
      <c r="AU44" t="s">
        <v>394</v>
      </c>
      <c r="AV44" t="s">
        <v>372</v>
      </c>
      <c r="AW44" t="s">
        <v>373</v>
      </c>
      <c r="AX44" t="s">
        <v>725</v>
      </c>
      <c r="AY44" t="s">
        <v>373</v>
      </c>
      <c r="AZ44" t="s">
        <v>373</v>
      </c>
      <c r="BA44" t="s">
        <v>385</v>
      </c>
      <c r="BB44" s="124" t="str">
        <f>",'"&amp;beazley_detail[[#This Row],[Name]]&amp;"'"</f>
        <v>,'inflation_model_index'</v>
      </c>
      <c r="BD44" t="s">
        <v>728</v>
      </c>
      <c r="BE44" t="s">
        <v>281</v>
      </c>
      <c r="BF44" t="s">
        <v>394</v>
      </c>
      <c r="BG44" t="s">
        <v>372</v>
      </c>
      <c r="BH44" t="s">
        <v>373</v>
      </c>
      <c r="BI44" t="s">
        <v>434</v>
      </c>
      <c r="BJ44" t="s">
        <v>373</v>
      </c>
      <c r="BK44" t="s">
        <v>373</v>
      </c>
      <c r="BL44" t="s">
        <v>385</v>
      </c>
      <c r="BM44" s="124" t="str">
        <f>",'"&amp;beazley_summary[[#This Row],[Name]]&amp;"'"</f>
        <v>,'acquisition_ratio'</v>
      </c>
    </row>
    <row r="45" spans="1:65" x14ac:dyDescent="0.35">
      <c r="A45" t="s">
        <v>1046</v>
      </c>
      <c r="B45" t="s">
        <v>273</v>
      </c>
      <c r="C45" t="s">
        <v>394</v>
      </c>
      <c r="D45" t="s">
        <v>431</v>
      </c>
      <c r="E45" t="s">
        <v>373</v>
      </c>
      <c r="F45" t="s">
        <v>90</v>
      </c>
      <c r="G45" t="s">
        <v>373</v>
      </c>
      <c r="H45" t="s">
        <v>375</v>
      </c>
      <c r="I45" t="s">
        <v>373</v>
      </c>
      <c r="J45" s="124" t="str">
        <f>",'"&amp;own_detail[[#This Row],[Name]]&amp;"'"</f>
        <v>,'ielr_weighting_cl_large'</v>
      </c>
      <c r="L45" t="s">
        <v>730</v>
      </c>
      <c r="M45" t="s">
        <v>247</v>
      </c>
      <c r="N45" t="s">
        <v>394</v>
      </c>
      <c r="O45" t="s">
        <v>431</v>
      </c>
      <c r="P45" t="s">
        <v>373</v>
      </c>
      <c r="Q45" t="s">
        <v>89</v>
      </c>
      <c r="R45" t="s">
        <v>373</v>
      </c>
      <c r="S45" t="s">
        <v>382</v>
      </c>
      <c r="T45" t="s">
        <v>373</v>
      </c>
      <c r="U45" s="124" t="str">
        <f>",'"&amp;own_summary[[#This Row],[Name]]&amp;"'"</f>
        <v>,'model_default_attr'</v>
      </c>
      <c r="W45" t="s">
        <v>731</v>
      </c>
      <c r="X45" t="s">
        <v>315</v>
      </c>
      <c r="Y45" t="s">
        <v>394</v>
      </c>
      <c r="Z45" t="s">
        <v>372</v>
      </c>
      <c r="AA45" t="s">
        <v>373</v>
      </c>
      <c r="AB45" t="s">
        <v>732</v>
      </c>
      <c r="AC45" t="s">
        <v>373</v>
      </c>
      <c r="AD45" t="s">
        <v>373</v>
      </c>
      <c r="AE45" t="s">
        <v>385</v>
      </c>
      <c r="AF45" s="124" t="str">
        <f>",'"&amp;lloyds_detail[[#This Row],[Name]]&amp;"'"</f>
        <v>,'rate_change_model_index'</v>
      </c>
      <c r="AH45" t="s">
        <v>733</v>
      </c>
      <c r="AI45" t="s">
        <v>282</v>
      </c>
      <c r="AJ45" t="s">
        <v>394</v>
      </c>
      <c r="AK45" t="s">
        <v>372</v>
      </c>
      <c r="AL45" t="s">
        <v>373</v>
      </c>
      <c r="AM45" t="s">
        <v>444</v>
      </c>
      <c r="AN45" t="s">
        <v>373</v>
      </c>
      <c r="AO45" t="s">
        <v>373</v>
      </c>
      <c r="AP45" t="s">
        <v>385</v>
      </c>
      <c r="AQ45" s="124" t="str">
        <f>",'"&amp;lloyds_summary[[#This Row],[Name]]&amp;"'"</f>
        <v>,'incurred_loss_ratio'</v>
      </c>
      <c r="AS45" t="s">
        <v>734</v>
      </c>
      <c r="AT45" t="s">
        <v>315</v>
      </c>
      <c r="AU45" t="s">
        <v>394</v>
      </c>
      <c r="AV45" t="s">
        <v>372</v>
      </c>
      <c r="AW45" t="s">
        <v>373</v>
      </c>
      <c r="AX45" t="s">
        <v>732</v>
      </c>
      <c r="AY45" t="s">
        <v>373</v>
      </c>
      <c r="AZ45" t="s">
        <v>373</v>
      </c>
      <c r="BA45" t="s">
        <v>385</v>
      </c>
      <c r="BB45" s="124" t="str">
        <f>",'"&amp;beazley_detail[[#This Row],[Name]]&amp;"'"</f>
        <v>,'rate_change_model_index'</v>
      </c>
      <c r="BD45" t="s">
        <v>735</v>
      </c>
      <c r="BE45" t="s">
        <v>282</v>
      </c>
      <c r="BF45" t="s">
        <v>394</v>
      </c>
      <c r="BG45" t="s">
        <v>372</v>
      </c>
      <c r="BH45" t="s">
        <v>373</v>
      </c>
      <c r="BI45" t="s">
        <v>444</v>
      </c>
      <c r="BJ45" t="s">
        <v>373</v>
      </c>
      <c r="BK45" t="s">
        <v>373</v>
      </c>
      <c r="BL45" t="s">
        <v>385</v>
      </c>
      <c r="BM45" s="124" t="str">
        <f>",'"&amp;beazley_summary[[#This Row],[Name]]&amp;"'"</f>
        <v>,'incurred_loss_ratio'</v>
      </c>
    </row>
    <row r="46" spans="1:65" x14ac:dyDescent="0.35">
      <c r="A46" t="s">
        <v>714</v>
      </c>
      <c r="B46" t="s">
        <v>142</v>
      </c>
      <c r="C46" t="s">
        <v>394</v>
      </c>
      <c r="D46" t="s">
        <v>431</v>
      </c>
      <c r="E46" t="s">
        <v>373</v>
      </c>
      <c r="F46" t="s">
        <v>90</v>
      </c>
      <c r="G46" t="s">
        <v>373</v>
      </c>
      <c r="H46" t="s">
        <v>375</v>
      </c>
      <c r="I46" t="s">
        <v>373</v>
      </c>
      <c r="J46" s="124" t="str">
        <f>",'"&amp;own_detail[[#This Row],[Name]]&amp;"'"</f>
        <v>,'ultimate_incurred_selected_large'</v>
      </c>
      <c r="L46" t="s">
        <v>737</v>
      </c>
      <c r="M46" t="s">
        <v>248</v>
      </c>
      <c r="N46" t="s">
        <v>394</v>
      </c>
      <c r="O46" t="s">
        <v>431</v>
      </c>
      <c r="P46" t="s">
        <v>373</v>
      </c>
      <c r="Q46" t="s">
        <v>90</v>
      </c>
      <c r="R46" t="s">
        <v>373</v>
      </c>
      <c r="S46" t="s">
        <v>382</v>
      </c>
      <c r="T46" t="s">
        <v>373</v>
      </c>
      <c r="U46" s="124" t="str">
        <f>",'"&amp;own_summary[[#This Row],[Name]]&amp;"'"</f>
        <v>,'model_default_large'</v>
      </c>
      <c r="W46" t="s">
        <v>738</v>
      </c>
      <c r="X46" t="s">
        <v>316</v>
      </c>
      <c r="Y46" t="s">
        <v>394</v>
      </c>
      <c r="Z46" t="s">
        <v>372</v>
      </c>
      <c r="AA46" t="s">
        <v>373</v>
      </c>
      <c r="AB46" t="s">
        <v>739</v>
      </c>
      <c r="AC46" t="s">
        <v>373</v>
      </c>
      <c r="AD46" t="s">
        <v>373</v>
      </c>
      <c r="AE46" t="s">
        <v>385</v>
      </c>
      <c r="AF46" s="124" t="str">
        <f>",'"&amp;lloyds_detail[[#This Row],[Name]]&amp;"'"</f>
        <v>,'rate_change_selected_index'</v>
      </c>
      <c r="AH46" t="s">
        <v>740</v>
      </c>
      <c r="AI46" t="s">
        <v>283</v>
      </c>
      <c r="AJ46" t="s">
        <v>394</v>
      </c>
      <c r="AK46" t="s">
        <v>372</v>
      </c>
      <c r="AL46" t="s">
        <v>373</v>
      </c>
      <c r="AM46" t="s">
        <v>457</v>
      </c>
      <c r="AN46" t="s">
        <v>373</v>
      </c>
      <c r="AO46" t="s">
        <v>373</v>
      </c>
      <c r="AP46" t="s">
        <v>385</v>
      </c>
      <c r="AQ46" s="124" t="str">
        <f>",'"&amp;lloyds_summary[[#This Row],[Name]]&amp;"'"</f>
        <v>,'ultimate_gnpi'</v>
      </c>
      <c r="AS46" t="s">
        <v>741</v>
      </c>
      <c r="AT46" t="s">
        <v>316</v>
      </c>
      <c r="AU46" t="s">
        <v>394</v>
      </c>
      <c r="AV46" t="s">
        <v>372</v>
      </c>
      <c r="AW46" t="s">
        <v>373</v>
      </c>
      <c r="AX46" t="s">
        <v>739</v>
      </c>
      <c r="AY46" t="s">
        <v>373</v>
      </c>
      <c r="AZ46" t="s">
        <v>373</v>
      </c>
      <c r="BA46" t="s">
        <v>385</v>
      </c>
      <c r="BB46" s="124" t="str">
        <f>",'"&amp;beazley_detail[[#This Row],[Name]]&amp;"'"</f>
        <v>,'rate_change_selected_index'</v>
      </c>
      <c r="BD46" t="s">
        <v>742</v>
      </c>
      <c r="BE46" t="s">
        <v>283</v>
      </c>
      <c r="BF46" t="s">
        <v>394</v>
      </c>
      <c r="BG46" t="s">
        <v>372</v>
      </c>
      <c r="BH46" t="s">
        <v>373</v>
      </c>
      <c r="BI46" t="s">
        <v>457</v>
      </c>
      <c r="BJ46" t="s">
        <v>373</v>
      </c>
      <c r="BK46" t="s">
        <v>373</v>
      </c>
      <c r="BL46" t="s">
        <v>385</v>
      </c>
      <c r="BM46" s="124" t="str">
        <f>",'"&amp;beazley_summary[[#This Row],[Name]]&amp;"'"</f>
        <v>,'ultimate_gnpi'</v>
      </c>
    </row>
    <row r="47" spans="1:65" x14ac:dyDescent="0.35">
      <c r="A47" t="s">
        <v>722</v>
      </c>
      <c r="B47" t="s">
        <v>143</v>
      </c>
      <c r="C47" t="s">
        <v>394</v>
      </c>
      <c r="D47" t="s">
        <v>372</v>
      </c>
      <c r="E47" t="s">
        <v>373</v>
      </c>
      <c r="F47" t="s">
        <v>90</v>
      </c>
      <c r="G47" t="s">
        <v>373</v>
      </c>
      <c r="H47" t="s">
        <v>375</v>
      </c>
      <c r="I47" t="s">
        <v>373</v>
      </c>
      <c r="J47" s="124" t="str">
        <f>",'"&amp;own_detail[[#This Row],[Name]]&amp;"'"</f>
        <v>,'ultimate_ulr_selected_large'</v>
      </c>
      <c r="L47" t="s">
        <v>744</v>
      </c>
      <c r="M47" t="s">
        <v>249</v>
      </c>
      <c r="N47" t="s">
        <v>394</v>
      </c>
      <c r="O47" t="s">
        <v>431</v>
      </c>
      <c r="P47" t="s">
        <v>373</v>
      </c>
      <c r="Q47" t="s">
        <v>676</v>
      </c>
      <c r="R47" t="s">
        <v>373</v>
      </c>
      <c r="S47" t="s">
        <v>382</v>
      </c>
      <c r="T47" t="s">
        <v>373</v>
      </c>
      <c r="U47" s="124" t="str">
        <f>",'"&amp;own_summary[[#This Row],[Name]]&amp;"'"</f>
        <v>,'model_default_cat'</v>
      </c>
      <c r="W47" t="s">
        <v>745</v>
      </c>
      <c r="X47" t="s">
        <v>317</v>
      </c>
      <c r="Y47" t="s">
        <v>394</v>
      </c>
      <c r="Z47" t="s">
        <v>372</v>
      </c>
      <c r="AA47" t="s">
        <v>373</v>
      </c>
      <c r="AB47" t="s">
        <v>746</v>
      </c>
      <c r="AC47" t="s">
        <v>373</v>
      </c>
      <c r="AD47" t="s">
        <v>373</v>
      </c>
      <c r="AE47" t="s">
        <v>385</v>
      </c>
      <c r="AF47" s="124" t="str">
        <f>",'"&amp;lloyds_detail[[#This Row],[Name]]&amp;"'"</f>
        <v>,'loss_ratio_model_index'</v>
      </c>
      <c r="AH47" t="s">
        <v>747</v>
      </c>
      <c r="AI47" t="s">
        <v>284</v>
      </c>
      <c r="AJ47" t="s">
        <v>394</v>
      </c>
      <c r="AK47" t="s">
        <v>372</v>
      </c>
      <c r="AL47" t="s">
        <v>373</v>
      </c>
      <c r="AM47" t="s">
        <v>466</v>
      </c>
      <c r="AN47" t="s">
        <v>373</v>
      </c>
      <c r="AO47" t="s">
        <v>373</v>
      </c>
      <c r="AP47" t="s">
        <v>385</v>
      </c>
      <c r="AQ47" s="124" t="str">
        <f>",'"&amp;lloyds_summary[[#This Row],[Name]]&amp;"'"</f>
        <v>,'ultimate_gnpi_ol_model'</v>
      </c>
      <c r="AS47" t="s">
        <v>748</v>
      </c>
      <c r="AT47" t="s">
        <v>317</v>
      </c>
      <c r="AU47" t="s">
        <v>394</v>
      </c>
      <c r="AV47" t="s">
        <v>372</v>
      </c>
      <c r="AW47" t="s">
        <v>373</v>
      </c>
      <c r="AX47" t="s">
        <v>746</v>
      </c>
      <c r="AY47" t="s">
        <v>373</v>
      </c>
      <c r="AZ47" t="s">
        <v>373</v>
      </c>
      <c r="BA47" t="s">
        <v>385</v>
      </c>
      <c r="BB47" s="124" t="str">
        <f>",'"&amp;beazley_detail[[#This Row],[Name]]&amp;"'"</f>
        <v>,'loss_ratio_model_index'</v>
      </c>
      <c r="BD47" t="s">
        <v>749</v>
      </c>
      <c r="BE47" t="s">
        <v>284</v>
      </c>
      <c r="BF47" t="s">
        <v>394</v>
      </c>
      <c r="BG47" t="s">
        <v>372</v>
      </c>
      <c r="BH47" t="s">
        <v>373</v>
      </c>
      <c r="BI47" t="s">
        <v>466</v>
      </c>
      <c r="BJ47" t="s">
        <v>373</v>
      </c>
      <c r="BK47" t="s">
        <v>373</v>
      </c>
      <c r="BL47" t="s">
        <v>385</v>
      </c>
      <c r="BM47" s="124" t="str">
        <f>",'"&amp;beazley_summary[[#This Row],[Name]]&amp;"'"</f>
        <v>,'ultimate_gnpi_ol_model'</v>
      </c>
    </row>
    <row r="48" spans="1:65" x14ac:dyDescent="0.35">
      <c r="A48" t="s">
        <v>729</v>
      </c>
      <c r="B48" t="s">
        <v>144</v>
      </c>
      <c r="C48" t="s">
        <v>394</v>
      </c>
      <c r="D48" t="s">
        <v>372</v>
      </c>
      <c r="E48" t="s">
        <v>373</v>
      </c>
      <c r="F48" t="s">
        <v>90</v>
      </c>
      <c r="G48" t="s">
        <v>373</v>
      </c>
      <c r="H48" t="s">
        <v>375</v>
      </c>
      <c r="I48" t="s">
        <v>373</v>
      </c>
      <c r="J48" s="124" t="str">
        <f>",'"&amp;own_detail[[#This Row],[Name]]&amp;"'"</f>
        <v>,'ultimate_ulr_on_levelled_large'</v>
      </c>
      <c r="L48" t="s">
        <v>751</v>
      </c>
      <c r="M48" t="s">
        <v>250</v>
      </c>
      <c r="N48" t="s">
        <v>394</v>
      </c>
      <c r="O48" t="s">
        <v>372</v>
      </c>
      <c r="P48" t="s">
        <v>373</v>
      </c>
      <c r="Q48" t="s">
        <v>43</v>
      </c>
      <c r="R48" t="s">
        <v>373</v>
      </c>
      <c r="S48" t="s">
        <v>375</v>
      </c>
      <c r="T48" t="s">
        <v>373</v>
      </c>
      <c r="U48" s="124" t="str">
        <f>",'"&amp;own_summary[[#This Row],[Name]]&amp;"'"</f>
        <v>,'model_default_total'</v>
      </c>
      <c r="W48" t="s">
        <v>752</v>
      </c>
      <c r="X48" t="s">
        <v>318</v>
      </c>
      <c r="Y48" t="s">
        <v>394</v>
      </c>
      <c r="Z48" t="s">
        <v>372</v>
      </c>
      <c r="AA48" t="s">
        <v>373</v>
      </c>
      <c r="AB48" t="s">
        <v>753</v>
      </c>
      <c r="AC48" t="s">
        <v>373</v>
      </c>
      <c r="AD48" t="s">
        <v>373</v>
      </c>
      <c r="AE48" t="s">
        <v>385</v>
      </c>
      <c r="AF48" s="124" t="str">
        <f>",'"&amp;lloyds_detail[[#This Row],[Name]]&amp;"'"</f>
        <v>,'loss_ratio_selected_index'</v>
      </c>
      <c r="AH48" t="s">
        <v>754</v>
      </c>
      <c r="AI48" t="s">
        <v>285</v>
      </c>
      <c r="AJ48" t="s">
        <v>394</v>
      </c>
      <c r="AK48" t="s">
        <v>372</v>
      </c>
      <c r="AL48" t="s">
        <v>373</v>
      </c>
      <c r="AM48" t="s">
        <v>472</v>
      </c>
      <c r="AN48" t="s">
        <v>373</v>
      </c>
      <c r="AO48" t="s">
        <v>373</v>
      </c>
      <c r="AP48" t="s">
        <v>385</v>
      </c>
      <c r="AQ48" s="124" t="str">
        <f>",'"&amp;lloyds_summary[[#This Row],[Name]]&amp;"'"</f>
        <v>,'ultimate_gnpi_ol_selected'</v>
      </c>
      <c r="AS48" t="s">
        <v>755</v>
      </c>
      <c r="AT48" t="s">
        <v>318</v>
      </c>
      <c r="AU48" t="s">
        <v>394</v>
      </c>
      <c r="AV48" t="s">
        <v>372</v>
      </c>
      <c r="AW48" t="s">
        <v>373</v>
      </c>
      <c r="AX48" t="s">
        <v>753</v>
      </c>
      <c r="AY48" t="s">
        <v>373</v>
      </c>
      <c r="AZ48" t="s">
        <v>373</v>
      </c>
      <c r="BA48" t="s">
        <v>385</v>
      </c>
      <c r="BB48" s="124" t="str">
        <f>",'"&amp;beazley_detail[[#This Row],[Name]]&amp;"'"</f>
        <v>,'loss_ratio_selected_index'</v>
      </c>
      <c r="BD48" t="s">
        <v>756</v>
      </c>
      <c r="BE48" t="s">
        <v>285</v>
      </c>
      <c r="BF48" t="s">
        <v>394</v>
      </c>
      <c r="BG48" t="s">
        <v>372</v>
      </c>
      <c r="BH48" t="s">
        <v>373</v>
      </c>
      <c r="BI48" t="s">
        <v>472</v>
      </c>
      <c r="BJ48" t="s">
        <v>373</v>
      </c>
      <c r="BK48" t="s">
        <v>373</v>
      </c>
      <c r="BL48" t="s">
        <v>385</v>
      </c>
      <c r="BM48" s="124" t="str">
        <f>",'"&amp;beazley_summary[[#This Row],[Name]]&amp;"'"</f>
        <v>,'ultimate_gnpi_ol_selected'</v>
      </c>
    </row>
    <row r="49" spans="1:65" x14ac:dyDescent="0.35">
      <c r="A49" t="s">
        <v>1047</v>
      </c>
      <c r="B49" t="s">
        <v>274</v>
      </c>
      <c r="C49" t="s">
        <v>394</v>
      </c>
      <c r="D49" t="s">
        <v>431</v>
      </c>
      <c r="E49" t="s">
        <v>373</v>
      </c>
      <c r="F49" t="s">
        <v>90</v>
      </c>
      <c r="G49" t="s">
        <v>373</v>
      </c>
      <c r="H49" t="s">
        <v>375</v>
      </c>
      <c r="I49" t="s">
        <v>373</v>
      </c>
      <c r="J49" s="124" t="str">
        <f>",'"&amp;own_detail[[#This Row],[Name]]&amp;"'"</f>
        <v>,'ielr_weighting_sel_large'</v>
      </c>
      <c r="L49" t="s">
        <v>758</v>
      </c>
      <c r="M49" t="s">
        <v>251</v>
      </c>
      <c r="N49" t="s">
        <v>394</v>
      </c>
      <c r="O49" t="s">
        <v>372</v>
      </c>
      <c r="P49" t="s">
        <v>373</v>
      </c>
      <c r="Q49" t="s">
        <v>692</v>
      </c>
      <c r="R49" t="s">
        <v>373</v>
      </c>
      <c r="S49" t="s">
        <v>375</v>
      </c>
      <c r="T49" t="s">
        <v>373</v>
      </c>
      <c r="U49" s="124" t="str">
        <f>",'"&amp;own_summary[[#This Row],[Name]]&amp;"'"</f>
        <v>,'model_default_total_excl_cat'</v>
      </c>
      <c r="W49" t="s">
        <v>759</v>
      </c>
      <c r="X49" t="s">
        <v>319</v>
      </c>
      <c r="Y49" t="s">
        <v>394</v>
      </c>
      <c r="Z49" t="s">
        <v>372</v>
      </c>
      <c r="AA49" t="s">
        <v>373</v>
      </c>
      <c r="AB49" t="s">
        <v>760</v>
      </c>
      <c r="AC49" t="s">
        <v>373</v>
      </c>
      <c r="AD49" t="s">
        <v>373</v>
      </c>
      <c r="AE49" t="s">
        <v>385</v>
      </c>
      <c r="AF49" s="124" t="str">
        <f>",'"&amp;lloyds_detail[[#This Row],[Name]]&amp;"'"</f>
        <v>,'weighting_model'</v>
      </c>
      <c r="AH49" t="s">
        <v>761</v>
      </c>
      <c r="AI49" t="s">
        <v>286</v>
      </c>
      <c r="AJ49" t="s">
        <v>394</v>
      </c>
      <c r="AK49" t="s">
        <v>372</v>
      </c>
      <c r="AL49" t="s">
        <v>373</v>
      </c>
      <c r="AM49" t="s">
        <v>485</v>
      </c>
      <c r="AN49" t="s">
        <v>373</v>
      </c>
      <c r="AO49" t="s">
        <v>373</v>
      </c>
      <c r="AP49" t="s">
        <v>385</v>
      </c>
      <c r="AQ49" s="124" t="str">
        <f>",'"&amp;lloyds_summary[[#This Row],[Name]]&amp;"'"</f>
        <v>,'ultimate_cl_paid'</v>
      </c>
      <c r="AS49" t="s">
        <v>762</v>
      </c>
      <c r="AT49" t="s">
        <v>319</v>
      </c>
      <c r="AU49" t="s">
        <v>394</v>
      </c>
      <c r="AV49" t="s">
        <v>372</v>
      </c>
      <c r="AW49" t="s">
        <v>373</v>
      </c>
      <c r="AX49" t="s">
        <v>760</v>
      </c>
      <c r="AY49" t="s">
        <v>373</v>
      </c>
      <c r="AZ49" t="s">
        <v>373</v>
      </c>
      <c r="BA49" t="s">
        <v>385</v>
      </c>
      <c r="BB49" s="124" t="str">
        <f>",'"&amp;beazley_detail[[#This Row],[Name]]&amp;"'"</f>
        <v>,'weighting_model'</v>
      </c>
      <c r="BD49" t="s">
        <v>763</v>
      </c>
      <c r="BE49" t="s">
        <v>286</v>
      </c>
      <c r="BF49" t="s">
        <v>394</v>
      </c>
      <c r="BG49" t="s">
        <v>372</v>
      </c>
      <c r="BH49" t="s">
        <v>373</v>
      </c>
      <c r="BI49" t="s">
        <v>485</v>
      </c>
      <c r="BJ49" t="s">
        <v>373</v>
      </c>
      <c r="BK49" t="s">
        <v>373</v>
      </c>
      <c r="BL49" t="s">
        <v>385</v>
      </c>
      <c r="BM49" s="124" t="str">
        <f>",'"&amp;beazley_summary[[#This Row],[Name]]&amp;"'"</f>
        <v>,'ultimate_cl_paid'</v>
      </c>
    </row>
    <row r="50" spans="1:65" x14ac:dyDescent="0.35">
      <c r="A50" t="s">
        <v>736</v>
      </c>
      <c r="B50" t="s">
        <v>145</v>
      </c>
      <c r="C50" t="s">
        <v>394</v>
      </c>
      <c r="D50" t="s">
        <v>372</v>
      </c>
      <c r="E50" t="s">
        <v>373</v>
      </c>
      <c r="F50" t="s">
        <v>509</v>
      </c>
      <c r="G50" t="s">
        <v>373</v>
      </c>
      <c r="H50" t="s">
        <v>375</v>
      </c>
      <c r="I50" t="s">
        <v>373</v>
      </c>
      <c r="J50" s="124" t="str">
        <f>",'"&amp;own_detail[[#This Row],[Name]]&amp;"'"</f>
        <v>,'latest_incurred_open_claims_cat'</v>
      </c>
      <c r="L50" t="s">
        <v>765</v>
      </c>
      <c r="M50" t="s">
        <v>252</v>
      </c>
      <c r="N50" t="s">
        <v>394</v>
      </c>
      <c r="O50" t="s">
        <v>372</v>
      </c>
      <c r="P50" t="s">
        <v>373</v>
      </c>
      <c r="Q50" t="s">
        <v>700</v>
      </c>
      <c r="R50" t="s">
        <v>373</v>
      </c>
      <c r="S50" t="s">
        <v>375</v>
      </c>
      <c r="T50" t="s">
        <v>373</v>
      </c>
      <c r="U50" s="124" t="str">
        <f>",'"&amp;own_summary[[#This Row],[Name]]&amp;"'"</f>
        <v>,'model_default_cat_exp'</v>
      </c>
      <c r="W50" t="s">
        <v>766</v>
      </c>
      <c r="X50" t="s">
        <v>320</v>
      </c>
      <c r="Y50" t="s">
        <v>394</v>
      </c>
      <c r="Z50" t="s">
        <v>431</v>
      </c>
      <c r="AA50" t="s">
        <v>373</v>
      </c>
      <c r="AB50" t="s">
        <v>767</v>
      </c>
      <c r="AC50" t="s">
        <v>373</v>
      </c>
      <c r="AD50" t="s">
        <v>373</v>
      </c>
      <c r="AE50" t="s">
        <v>385</v>
      </c>
      <c r="AF50" s="124" t="str">
        <f>",'"&amp;lloyds_detail[[#This Row],[Name]]&amp;"'"</f>
        <v>,'weighting_selected'</v>
      </c>
      <c r="AH50" t="s">
        <v>768</v>
      </c>
      <c r="AI50" t="s">
        <v>287</v>
      </c>
      <c r="AJ50" t="s">
        <v>394</v>
      </c>
      <c r="AK50" t="s">
        <v>372</v>
      </c>
      <c r="AL50" t="s">
        <v>373</v>
      </c>
      <c r="AM50" t="s">
        <v>494</v>
      </c>
      <c r="AN50" t="s">
        <v>373</v>
      </c>
      <c r="AO50" t="s">
        <v>373</v>
      </c>
      <c r="AP50" t="s">
        <v>385</v>
      </c>
      <c r="AQ50" s="124" t="str">
        <f>",'"&amp;lloyds_summary[[#This Row],[Name]]&amp;"'"</f>
        <v>,'ultimate_cl_paid_ulr'</v>
      </c>
      <c r="AS50" t="s">
        <v>769</v>
      </c>
      <c r="AT50" t="s">
        <v>320</v>
      </c>
      <c r="AU50" t="s">
        <v>394</v>
      </c>
      <c r="AV50" t="s">
        <v>431</v>
      </c>
      <c r="AW50" t="s">
        <v>373</v>
      </c>
      <c r="AX50" t="s">
        <v>767</v>
      </c>
      <c r="AY50" t="s">
        <v>373</v>
      </c>
      <c r="AZ50" t="s">
        <v>373</v>
      </c>
      <c r="BA50" t="s">
        <v>385</v>
      </c>
      <c r="BB50" s="124" t="str">
        <f>",'"&amp;beazley_detail[[#This Row],[Name]]&amp;"'"</f>
        <v>,'weighting_selected'</v>
      </c>
      <c r="BD50" t="s">
        <v>770</v>
      </c>
      <c r="BE50" t="s">
        <v>287</v>
      </c>
      <c r="BF50" t="s">
        <v>394</v>
      </c>
      <c r="BG50" t="s">
        <v>372</v>
      </c>
      <c r="BH50" t="s">
        <v>373</v>
      </c>
      <c r="BI50" t="s">
        <v>494</v>
      </c>
      <c r="BJ50" t="s">
        <v>373</v>
      </c>
      <c r="BK50" t="s">
        <v>373</v>
      </c>
      <c r="BL50" t="s">
        <v>385</v>
      </c>
      <c r="BM50" s="124" t="str">
        <f>",'"&amp;beazley_summary[[#This Row],[Name]]&amp;"'"</f>
        <v>,'ultimate_cl_paid_ulr'</v>
      </c>
    </row>
    <row r="51" spans="1:65" x14ac:dyDescent="0.35">
      <c r="A51" t="s">
        <v>743</v>
      </c>
      <c r="B51" t="s">
        <v>146</v>
      </c>
      <c r="C51" t="s">
        <v>394</v>
      </c>
      <c r="D51" t="s">
        <v>372</v>
      </c>
      <c r="E51" t="s">
        <v>373</v>
      </c>
      <c r="F51" t="s">
        <v>509</v>
      </c>
      <c r="G51" t="s">
        <v>373</v>
      </c>
      <c r="H51" t="s">
        <v>375</v>
      </c>
      <c r="I51" t="s">
        <v>373</v>
      </c>
      <c r="J51" s="124" t="str">
        <f>",'"&amp;own_detail[[#This Row],[Name]]&amp;"'"</f>
        <v>,'latest_incurred_closed_claims_cat'</v>
      </c>
      <c r="L51" t="s">
        <v>772</v>
      </c>
      <c r="M51" t="s">
        <v>253</v>
      </c>
      <c r="N51" t="s">
        <v>394</v>
      </c>
      <c r="O51" t="s">
        <v>372</v>
      </c>
      <c r="P51" t="s">
        <v>373</v>
      </c>
      <c r="Q51" t="s">
        <v>708</v>
      </c>
      <c r="R51" t="s">
        <v>373</v>
      </c>
      <c r="S51" t="s">
        <v>375</v>
      </c>
      <c r="T51" t="s">
        <v>373</v>
      </c>
      <c r="U51" s="124" t="str">
        <f>",'"&amp;own_summary[[#This Row],[Name]]&amp;"'"</f>
        <v>,'model_default_cat_bp'</v>
      </c>
      <c r="W51" t="s">
        <v>773</v>
      </c>
      <c r="X51" t="s">
        <v>321</v>
      </c>
      <c r="Y51" t="s">
        <v>394</v>
      </c>
      <c r="Z51" t="s">
        <v>372</v>
      </c>
      <c r="AA51" t="s">
        <v>373</v>
      </c>
      <c r="AB51" t="s">
        <v>774</v>
      </c>
      <c r="AC51" t="s">
        <v>373</v>
      </c>
      <c r="AD51" t="s">
        <v>373</v>
      </c>
      <c r="AE51" t="s">
        <v>385</v>
      </c>
      <c r="AF51" s="124" t="str">
        <f>",'"&amp;lloyds_detail[[#This Row],[Name]]&amp;"'"</f>
        <v>,'weighting_1_exposure_onlevel'</v>
      </c>
      <c r="AH51" t="s">
        <v>775</v>
      </c>
      <c r="AI51" t="s">
        <v>288</v>
      </c>
      <c r="AJ51" t="s">
        <v>394</v>
      </c>
      <c r="AK51" t="s">
        <v>372</v>
      </c>
      <c r="AL51" t="s">
        <v>373</v>
      </c>
      <c r="AM51" t="s">
        <v>503</v>
      </c>
      <c r="AN51" t="s">
        <v>373</v>
      </c>
      <c r="AO51" t="s">
        <v>373</v>
      </c>
      <c r="AP51" t="s">
        <v>385</v>
      </c>
      <c r="AQ51" s="124" t="str">
        <f>",'"&amp;lloyds_summary[[#This Row],[Name]]&amp;"'"</f>
        <v>,'ultimate_cl_incurred'</v>
      </c>
      <c r="AS51" t="s">
        <v>776</v>
      </c>
      <c r="AT51" t="s">
        <v>321</v>
      </c>
      <c r="AU51" t="s">
        <v>394</v>
      </c>
      <c r="AV51" t="s">
        <v>372</v>
      </c>
      <c r="AW51" t="s">
        <v>373</v>
      </c>
      <c r="AX51" t="s">
        <v>774</v>
      </c>
      <c r="AY51" t="s">
        <v>373</v>
      </c>
      <c r="AZ51" t="s">
        <v>373</v>
      </c>
      <c r="BA51" t="s">
        <v>385</v>
      </c>
      <c r="BB51" s="124" t="str">
        <f>",'"&amp;beazley_detail[[#This Row],[Name]]&amp;"'"</f>
        <v>,'weighting_1_exposure_onlevel'</v>
      </c>
      <c r="BD51" t="s">
        <v>777</v>
      </c>
      <c r="BE51" t="s">
        <v>288</v>
      </c>
      <c r="BF51" t="s">
        <v>394</v>
      </c>
      <c r="BG51" t="s">
        <v>372</v>
      </c>
      <c r="BH51" t="s">
        <v>373</v>
      </c>
      <c r="BI51" t="s">
        <v>503</v>
      </c>
      <c r="BJ51" t="s">
        <v>373</v>
      </c>
      <c r="BK51" t="s">
        <v>373</v>
      </c>
      <c r="BL51" t="s">
        <v>385</v>
      </c>
      <c r="BM51" s="124" t="str">
        <f>",'"&amp;beazley_summary[[#This Row],[Name]]&amp;"'"</f>
        <v>,'ultimate_cl_incurred'</v>
      </c>
    </row>
    <row r="52" spans="1:65" x14ac:dyDescent="0.35">
      <c r="A52" t="s">
        <v>750</v>
      </c>
      <c r="B52" t="s">
        <v>147</v>
      </c>
      <c r="C52" t="s">
        <v>394</v>
      </c>
      <c r="D52" t="s">
        <v>372</v>
      </c>
      <c r="E52" t="s">
        <v>373</v>
      </c>
      <c r="F52" t="s">
        <v>509</v>
      </c>
      <c r="G52" t="s">
        <v>373</v>
      </c>
      <c r="H52" t="s">
        <v>375</v>
      </c>
      <c r="I52" t="s">
        <v>373</v>
      </c>
      <c r="J52" s="124" t="str">
        <f>",'"&amp;own_detail[[#This Row],[Name]]&amp;"'"</f>
        <v>,'latest_incurred_total_claims_cat'</v>
      </c>
      <c r="L52" t="s">
        <v>779</v>
      </c>
      <c r="M52" t="s">
        <v>254</v>
      </c>
      <c r="N52" t="s">
        <v>394</v>
      </c>
      <c r="O52" t="s">
        <v>372</v>
      </c>
      <c r="P52" t="s">
        <v>373</v>
      </c>
      <c r="Q52" t="s">
        <v>716</v>
      </c>
      <c r="R52" t="s">
        <v>373</v>
      </c>
      <c r="S52" t="s">
        <v>375</v>
      </c>
      <c r="T52" t="s">
        <v>373</v>
      </c>
      <c r="U52" s="124" t="str">
        <f>",'"&amp;own_summary[[#This Row],[Name]]&amp;"'"</f>
        <v>,'model_default_cat_rms'</v>
      </c>
      <c r="W52" t="s">
        <v>780</v>
      </c>
      <c r="X52" t="s">
        <v>322</v>
      </c>
      <c r="Y52" t="s">
        <v>394</v>
      </c>
      <c r="Z52" t="s">
        <v>372</v>
      </c>
      <c r="AA52" t="s">
        <v>373</v>
      </c>
      <c r="AB52" t="s">
        <v>781</v>
      </c>
      <c r="AC52" t="s">
        <v>373</v>
      </c>
      <c r="AD52" t="s">
        <v>373</v>
      </c>
      <c r="AE52" t="s">
        <v>385</v>
      </c>
      <c r="AF52" s="124" t="str">
        <f>",'"&amp;lloyds_detail[[#This Row],[Name]]&amp;"'"</f>
        <v>,'weighting_2_decay_ratio'</v>
      </c>
      <c r="AH52" t="s">
        <v>782</v>
      </c>
      <c r="AI52" t="s">
        <v>289</v>
      </c>
      <c r="AJ52" t="s">
        <v>394</v>
      </c>
      <c r="AK52" t="s">
        <v>372</v>
      </c>
      <c r="AL52" t="s">
        <v>373</v>
      </c>
      <c r="AM52" t="s">
        <v>513</v>
      </c>
      <c r="AN52" t="s">
        <v>373</v>
      </c>
      <c r="AO52" t="s">
        <v>373</v>
      </c>
      <c r="AP52" t="s">
        <v>385</v>
      </c>
      <c r="AQ52" s="124" t="str">
        <f>",'"&amp;lloyds_summary[[#This Row],[Name]]&amp;"'"</f>
        <v>,'ultimate_cl_incurred_ulr'</v>
      </c>
      <c r="AS52" t="s">
        <v>783</v>
      </c>
      <c r="AT52" t="s">
        <v>322</v>
      </c>
      <c r="AU52" t="s">
        <v>394</v>
      </c>
      <c r="AV52" t="s">
        <v>372</v>
      </c>
      <c r="AW52" t="s">
        <v>373</v>
      </c>
      <c r="AX52" t="s">
        <v>781</v>
      </c>
      <c r="AY52" t="s">
        <v>373</v>
      </c>
      <c r="AZ52" t="s">
        <v>373</v>
      </c>
      <c r="BA52" t="s">
        <v>385</v>
      </c>
      <c r="BB52" s="124" t="str">
        <f>",'"&amp;beazley_detail[[#This Row],[Name]]&amp;"'"</f>
        <v>,'weighting_2_decay_ratio'</v>
      </c>
      <c r="BD52" t="s">
        <v>784</v>
      </c>
      <c r="BE52" t="s">
        <v>289</v>
      </c>
      <c r="BF52" t="s">
        <v>394</v>
      </c>
      <c r="BG52" t="s">
        <v>372</v>
      </c>
      <c r="BH52" t="s">
        <v>373</v>
      </c>
      <c r="BI52" t="s">
        <v>513</v>
      </c>
      <c r="BJ52" t="s">
        <v>373</v>
      </c>
      <c r="BK52" t="s">
        <v>373</v>
      </c>
      <c r="BL52" t="s">
        <v>385</v>
      </c>
      <c r="BM52" s="124" t="str">
        <f>",'"&amp;beazley_summary[[#This Row],[Name]]&amp;"'"</f>
        <v>,'ultimate_cl_incurred_ulr'</v>
      </c>
    </row>
    <row r="53" spans="1:65" x14ac:dyDescent="0.35">
      <c r="A53" t="s">
        <v>757</v>
      </c>
      <c r="B53" t="s">
        <v>148</v>
      </c>
      <c r="C53" t="s">
        <v>394</v>
      </c>
      <c r="D53" t="s">
        <v>378</v>
      </c>
      <c r="E53" t="s">
        <v>451</v>
      </c>
      <c r="F53" t="s">
        <v>509</v>
      </c>
      <c r="G53">
        <v>0</v>
      </c>
      <c r="H53" t="s">
        <v>375</v>
      </c>
      <c r="I53" t="s">
        <v>373</v>
      </c>
      <c r="J53" s="124" t="str">
        <f>",'"&amp;own_detail[[#This Row],[Name]]&amp;"'"</f>
        <v>,'last_year_position_cat'</v>
      </c>
      <c r="L53" t="s">
        <v>786</v>
      </c>
      <c r="M53" t="s">
        <v>255</v>
      </c>
      <c r="N53" t="s">
        <v>377</v>
      </c>
      <c r="O53" t="s">
        <v>372</v>
      </c>
      <c r="P53" t="s">
        <v>373</v>
      </c>
      <c r="Q53" t="s">
        <v>411</v>
      </c>
      <c r="R53" t="s">
        <v>373</v>
      </c>
      <c r="S53" t="s">
        <v>375</v>
      </c>
      <c r="T53" t="s">
        <v>373</v>
      </c>
      <c r="U53" s="124" t="str">
        <f>",'"&amp;own_summary[[#This Row],[Name]]&amp;"'"</f>
        <v>,'model_default_cat_basis'</v>
      </c>
      <c r="W53" t="s">
        <v>787</v>
      </c>
      <c r="X53" t="s">
        <v>323</v>
      </c>
      <c r="Y53" t="s">
        <v>394</v>
      </c>
      <c r="Z53" t="s">
        <v>372</v>
      </c>
      <c r="AA53" t="s">
        <v>373</v>
      </c>
      <c r="AB53" t="s">
        <v>788</v>
      </c>
      <c r="AC53" t="s">
        <v>373</v>
      </c>
      <c r="AD53" t="s">
        <v>373</v>
      </c>
      <c r="AE53" t="s">
        <v>385</v>
      </c>
      <c r="AF53" s="124" t="str">
        <f>",'"&amp;lloyds_detail[[#This Row],[Name]]&amp;"'"</f>
        <v>,'weighting_3_developed'</v>
      </c>
      <c r="AH53" t="s">
        <v>789</v>
      </c>
      <c r="AI53" t="s">
        <v>290</v>
      </c>
      <c r="AJ53" t="s">
        <v>394</v>
      </c>
      <c r="AK53" t="s">
        <v>372</v>
      </c>
      <c r="AL53" t="s">
        <v>373</v>
      </c>
      <c r="AM53" t="s">
        <v>522</v>
      </c>
      <c r="AN53" t="s">
        <v>373</v>
      </c>
      <c r="AO53" t="s">
        <v>373</v>
      </c>
      <c r="AP53" t="s">
        <v>385</v>
      </c>
      <c r="AQ53" s="124" t="str">
        <f>",'"&amp;lloyds_summary[[#This Row],[Name]]&amp;"'"</f>
        <v>,'ultimate_ielr_model'</v>
      </c>
      <c r="AS53" t="s">
        <v>790</v>
      </c>
      <c r="AT53" t="s">
        <v>323</v>
      </c>
      <c r="AU53" t="s">
        <v>394</v>
      </c>
      <c r="AV53" t="s">
        <v>372</v>
      </c>
      <c r="AW53" t="s">
        <v>373</v>
      </c>
      <c r="AX53" t="s">
        <v>788</v>
      </c>
      <c r="AY53" t="s">
        <v>373</v>
      </c>
      <c r="AZ53" t="s">
        <v>373</v>
      </c>
      <c r="BA53" t="s">
        <v>385</v>
      </c>
      <c r="BB53" s="124" t="str">
        <f>",'"&amp;beazley_detail[[#This Row],[Name]]&amp;"'"</f>
        <v>,'weighting_3_developed'</v>
      </c>
      <c r="BD53" t="s">
        <v>791</v>
      </c>
      <c r="BE53" t="s">
        <v>290</v>
      </c>
      <c r="BF53" t="s">
        <v>394</v>
      </c>
      <c r="BG53" t="s">
        <v>372</v>
      </c>
      <c r="BH53" t="s">
        <v>373</v>
      </c>
      <c r="BI53" t="s">
        <v>522</v>
      </c>
      <c r="BJ53" t="s">
        <v>373</v>
      </c>
      <c r="BK53" t="s">
        <v>373</v>
      </c>
      <c r="BL53" t="s">
        <v>385</v>
      </c>
      <c r="BM53" s="124" t="str">
        <f>",'"&amp;beazley_summary[[#This Row],[Name]]&amp;"'"</f>
        <v>,'ultimate_ielr_model'</v>
      </c>
    </row>
    <row r="54" spans="1:65" x14ac:dyDescent="0.35">
      <c r="A54" t="s">
        <v>764</v>
      </c>
      <c r="B54" t="s">
        <v>149</v>
      </c>
      <c r="C54" t="s">
        <v>394</v>
      </c>
      <c r="D54" t="s">
        <v>372</v>
      </c>
      <c r="E54" t="s">
        <v>373</v>
      </c>
      <c r="F54" t="s">
        <v>509</v>
      </c>
      <c r="G54" t="s">
        <v>373</v>
      </c>
      <c r="H54" t="s">
        <v>375</v>
      </c>
      <c r="I54" t="s">
        <v>373</v>
      </c>
      <c r="J54" s="124" t="str">
        <f>",'"&amp;own_detail[[#This Row],[Name]]&amp;"'"</f>
        <v>,'movement_cat'</v>
      </c>
      <c r="L54" t="s">
        <v>793</v>
      </c>
      <c r="M54" t="s">
        <v>256</v>
      </c>
      <c r="N54" t="s">
        <v>377</v>
      </c>
      <c r="O54" t="s">
        <v>372</v>
      </c>
      <c r="P54" t="s">
        <v>373</v>
      </c>
      <c r="Q54" t="s">
        <v>794</v>
      </c>
      <c r="R54" t="s">
        <v>373</v>
      </c>
      <c r="S54" t="s">
        <v>375</v>
      </c>
      <c r="T54" t="s">
        <v>373</v>
      </c>
      <c r="U54" s="124" t="str">
        <f>",'"&amp;own_summary[[#This Row],[Name]]&amp;"'"</f>
        <v>,'ovd_dev'</v>
      </c>
      <c r="W54" t="s">
        <v>795</v>
      </c>
      <c r="X54" t="s">
        <v>324</v>
      </c>
      <c r="Y54" t="s">
        <v>394</v>
      </c>
      <c r="Z54" t="s">
        <v>372</v>
      </c>
      <c r="AA54" t="s">
        <v>373</v>
      </c>
      <c r="AB54" t="s">
        <v>796</v>
      </c>
      <c r="AC54" t="s">
        <v>373</v>
      </c>
      <c r="AD54" t="s">
        <v>373</v>
      </c>
      <c r="AE54" t="s">
        <v>385</v>
      </c>
      <c r="AF54" s="124" t="str">
        <f>",'"&amp;lloyds_detail[[#This Row],[Name]]&amp;"'"</f>
        <v>,'weighting_onlevel'</v>
      </c>
      <c r="AH54" t="s">
        <v>797</v>
      </c>
      <c r="AI54" t="s">
        <v>291</v>
      </c>
      <c r="AJ54" t="s">
        <v>394</v>
      </c>
      <c r="AK54" t="s">
        <v>372</v>
      </c>
      <c r="AL54" t="s">
        <v>373</v>
      </c>
      <c r="AM54" t="s">
        <v>532</v>
      </c>
      <c r="AN54" t="s">
        <v>373</v>
      </c>
      <c r="AO54" t="s">
        <v>373</v>
      </c>
      <c r="AP54" t="s">
        <v>385</v>
      </c>
      <c r="AQ54" s="124" t="str">
        <f>",'"&amp;lloyds_summary[[#This Row],[Name]]&amp;"'"</f>
        <v>,'ultimate_ielr_model_ulr'</v>
      </c>
      <c r="AS54" t="s">
        <v>798</v>
      </c>
      <c r="AT54" t="s">
        <v>324</v>
      </c>
      <c r="AU54" t="s">
        <v>394</v>
      </c>
      <c r="AV54" t="s">
        <v>372</v>
      </c>
      <c r="AW54" t="s">
        <v>373</v>
      </c>
      <c r="AX54" t="s">
        <v>796</v>
      </c>
      <c r="AY54" t="s">
        <v>373</v>
      </c>
      <c r="AZ54" t="s">
        <v>373</v>
      </c>
      <c r="BA54" t="s">
        <v>385</v>
      </c>
      <c r="BB54" s="124" t="str">
        <f>",'"&amp;beazley_detail[[#This Row],[Name]]&amp;"'"</f>
        <v>,'weighting_onlevel'</v>
      </c>
      <c r="BD54" t="s">
        <v>799</v>
      </c>
      <c r="BE54" t="s">
        <v>291</v>
      </c>
      <c r="BF54" t="s">
        <v>394</v>
      </c>
      <c r="BG54" t="s">
        <v>372</v>
      </c>
      <c r="BH54" t="s">
        <v>373</v>
      </c>
      <c r="BI54" t="s">
        <v>532</v>
      </c>
      <c r="BJ54" t="s">
        <v>373</v>
      </c>
      <c r="BK54" t="s">
        <v>373</v>
      </c>
      <c r="BL54" t="s">
        <v>385</v>
      </c>
      <c r="BM54" s="124" t="str">
        <f>",'"&amp;beazley_summary[[#This Row],[Name]]&amp;"'"</f>
        <v>,'ultimate_ielr_model_ulr'</v>
      </c>
    </row>
    <row r="55" spans="1:65" x14ac:dyDescent="0.35">
      <c r="A55" t="s">
        <v>771</v>
      </c>
      <c r="B55" t="s">
        <v>150</v>
      </c>
      <c r="C55" t="s">
        <v>394</v>
      </c>
      <c r="D55" t="s">
        <v>372</v>
      </c>
      <c r="E55" t="s">
        <v>373</v>
      </c>
      <c r="F55" t="s">
        <v>509</v>
      </c>
      <c r="G55" t="s">
        <v>373</v>
      </c>
      <c r="H55" t="s">
        <v>375</v>
      </c>
      <c r="I55" t="s">
        <v>373</v>
      </c>
      <c r="J55" s="124" t="str">
        <f>",'"&amp;own_detail[[#This Row],[Name]]&amp;"'"</f>
        <v>,'gn_ilr_cat'</v>
      </c>
      <c r="L55" t="s">
        <v>801</v>
      </c>
      <c r="M55" t="s">
        <v>257</v>
      </c>
      <c r="N55" t="s">
        <v>377</v>
      </c>
      <c r="O55" t="s">
        <v>372</v>
      </c>
      <c r="P55" t="s">
        <v>373</v>
      </c>
      <c r="Q55" t="s">
        <v>802</v>
      </c>
      <c r="R55" t="s">
        <v>373</v>
      </c>
      <c r="S55" t="s">
        <v>375</v>
      </c>
      <c r="T55" t="s">
        <v>373</v>
      </c>
      <c r="U55" s="124" t="str">
        <f>",'"&amp;own_summary[[#This Row],[Name]]&amp;"'"</f>
        <v>,'ovd_index'</v>
      </c>
      <c r="W55" t="s">
        <v>803</v>
      </c>
      <c r="X55" t="s">
        <v>325</v>
      </c>
      <c r="Y55" t="s">
        <v>394</v>
      </c>
      <c r="Z55" t="s">
        <v>372</v>
      </c>
      <c r="AA55" t="s">
        <v>373</v>
      </c>
      <c r="AB55" t="s">
        <v>774</v>
      </c>
      <c r="AC55" t="s">
        <v>373</v>
      </c>
      <c r="AD55" t="s">
        <v>373</v>
      </c>
      <c r="AE55" t="s">
        <v>385</v>
      </c>
      <c r="AF55" s="124" t="str">
        <f>",'"&amp;lloyds_detail[[#This Row],[Name]]&amp;"'"</f>
        <v>,'weighting_1_exposure_nominal'</v>
      </c>
      <c r="AH55" t="s">
        <v>804</v>
      </c>
      <c r="AI55" t="s">
        <v>292</v>
      </c>
      <c r="AJ55" t="s">
        <v>394</v>
      </c>
      <c r="AK55" t="s">
        <v>372</v>
      </c>
      <c r="AL55" t="s">
        <v>373</v>
      </c>
      <c r="AM55" t="s">
        <v>541</v>
      </c>
      <c r="AN55" t="s">
        <v>373</v>
      </c>
      <c r="AO55" t="s">
        <v>373</v>
      </c>
      <c r="AP55" t="s">
        <v>385</v>
      </c>
      <c r="AQ55" s="124" t="str">
        <f>",'"&amp;lloyds_summary[[#This Row],[Name]]&amp;"'"</f>
        <v>,'ultimate_ielr_selected'</v>
      </c>
      <c r="AS55" t="s">
        <v>805</v>
      </c>
      <c r="AT55" t="s">
        <v>325</v>
      </c>
      <c r="AU55" t="s">
        <v>394</v>
      </c>
      <c r="AV55" t="s">
        <v>372</v>
      </c>
      <c r="AW55" t="s">
        <v>373</v>
      </c>
      <c r="AX55" t="s">
        <v>774</v>
      </c>
      <c r="AY55" t="s">
        <v>373</v>
      </c>
      <c r="AZ55" t="s">
        <v>373</v>
      </c>
      <c r="BA55" t="s">
        <v>385</v>
      </c>
      <c r="BB55" s="124" t="str">
        <f>",'"&amp;beazley_detail[[#This Row],[Name]]&amp;"'"</f>
        <v>,'weighting_1_exposure_nominal'</v>
      </c>
      <c r="BD55" t="s">
        <v>806</v>
      </c>
      <c r="BE55" t="s">
        <v>292</v>
      </c>
      <c r="BF55" t="s">
        <v>394</v>
      </c>
      <c r="BG55" t="s">
        <v>372</v>
      </c>
      <c r="BH55" t="s">
        <v>373</v>
      </c>
      <c r="BI55" t="s">
        <v>541</v>
      </c>
      <c r="BJ55" t="s">
        <v>373</v>
      </c>
      <c r="BK55" t="s">
        <v>373</v>
      </c>
      <c r="BL55" t="s">
        <v>385</v>
      </c>
      <c r="BM55" s="124" t="str">
        <f>",'"&amp;beazley_summary[[#This Row],[Name]]&amp;"'"</f>
        <v>,'ultimate_ielr_selected'</v>
      </c>
    </row>
    <row r="56" spans="1:65" x14ac:dyDescent="0.35">
      <c r="A56" t="s">
        <v>778</v>
      </c>
      <c r="B56" t="s">
        <v>151</v>
      </c>
      <c r="C56" t="s">
        <v>394</v>
      </c>
      <c r="D56" t="s">
        <v>372</v>
      </c>
      <c r="E56" t="s">
        <v>373</v>
      </c>
      <c r="F56" t="s">
        <v>509</v>
      </c>
      <c r="G56" t="s">
        <v>373</v>
      </c>
      <c r="H56" t="s">
        <v>375</v>
      </c>
      <c r="I56" t="s">
        <v>373</v>
      </c>
      <c r="J56" s="124" t="str">
        <f>",'"&amp;own_detail[[#This Row],[Name]]&amp;"'"</f>
        <v>,'ultimate_incurred_ielr_cat'</v>
      </c>
      <c r="L56" t="s">
        <v>808</v>
      </c>
      <c r="M56" t="s">
        <v>258</v>
      </c>
      <c r="N56" t="s">
        <v>377</v>
      </c>
      <c r="O56" t="s">
        <v>372</v>
      </c>
      <c r="P56" t="s">
        <v>373</v>
      </c>
      <c r="Q56" t="s">
        <v>809</v>
      </c>
      <c r="R56" t="s">
        <v>373</v>
      </c>
      <c r="S56" t="s">
        <v>375</v>
      </c>
      <c r="T56" t="s">
        <v>373</v>
      </c>
      <c r="U56" s="124" t="str">
        <f>",'"&amp;own_summary[[#This Row],[Name]]&amp;"'"</f>
        <v>,'ovd_premium'</v>
      </c>
      <c r="W56" t="s">
        <v>810</v>
      </c>
      <c r="X56" t="s">
        <v>326</v>
      </c>
      <c r="Y56" t="s">
        <v>394</v>
      </c>
      <c r="Z56" t="s">
        <v>372</v>
      </c>
      <c r="AA56" t="s">
        <v>373</v>
      </c>
      <c r="AB56" t="s">
        <v>811</v>
      </c>
      <c r="AC56" t="s">
        <v>373</v>
      </c>
      <c r="AD56" t="s">
        <v>373</v>
      </c>
      <c r="AE56" t="s">
        <v>385</v>
      </c>
      <c r="AF56" s="124" t="str">
        <f>",'"&amp;lloyds_detail[[#This Row],[Name]]&amp;"'"</f>
        <v>,'weighting_nominal'</v>
      </c>
      <c r="AH56" t="s">
        <v>812</v>
      </c>
      <c r="AI56" t="s">
        <v>293</v>
      </c>
      <c r="AJ56" t="s">
        <v>394</v>
      </c>
      <c r="AK56" t="s">
        <v>372</v>
      </c>
      <c r="AL56" t="s">
        <v>373</v>
      </c>
      <c r="AM56" t="s">
        <v>550</v>
      </c>
      <c r="AN56" t="s">
        <v>373</v>
      </c>
      <c r="AO56" t="s">
        <v>373</v>
      </c>
      <c r="AP56" t="s">
        <v>385</v>
      </c>
      <c r="AQ56" s="124" t="str">
        <f>",'"&amp;lloyds_summary[[#This Row],[Name]]&amp;"'"</f>
        <v>,'ultimate_ielr_selected_ulr'</v>
      </c>
      <c r="AS56" t="s">
        <v>813</v>
      </c>
      <c r="AT56" t="s">
        <v>326</v>
      </c>
      <c r="AU56" t="s">
        <v>394</v>
      </c>
      <c r="AV56" t="s">
        <v>372</v>
      </c>
      <c r="AW56" t="s">
        <v>373</v>
      </c>
      <c r="AX56" t="s">
        <v>811</v>
      </c>
      <c r="AY56" t="s">
        <v>373</v>
      </c>
      <c r="AZ56" t="s">
        <v>373</v>
      </c>
      <c r="BA56" t="s">
        <v>385</v>
      </c>
      <c r="BB56" s="124" t="str">
        <f>",'"&amp;beazley_detail[[#This Row],[Name]]&amp;"'"</f>
        <v>,'weighting_nominal'</v>
      </c>
      <c r="BD56" t="s">
        <v>814</v>
      </c>
      <c r="BE56" t="s">
        <v>293</v>
      </c>
      <c r="BF56" t="s">
        <v>394</v>
      </c>
      <c r="BG56" t="s">
        <v>372</v>
      </c>
      <c r="BH56" t="s">
        <v>373</v>
      </c>
      <c r="BI56" t="s">
        <v>550</v>
      </c>
      <c r="BJ56" t="s">
        <v>373</v>
      </c>
      <c r="BK56" t="s">
        <v>373</v>
      </c>
      <c r="BL56" t="s">
        <v>385</v>
      </c>
      <c r="BM56" s="124" t="str">
        <f>",'"&amp;beazley_summary[[#This Row],[Name]]&amp;"'"</f>
        <v>,'ultimate_ielr_selected_ulr'</v>
      </c>
    </row>
    <row r="57" spans="1:65" x14ac:dyDescent="0.35">
      <c r="A57" t="s">
        <v>785</v>
      </c>
      <c r="B57" t="s">
        <v>152</v>
      </c>
      <c r="C57" t="s">
        <v>394</v>
      </c>
      <c r="D57" t="s">
        <v>372</v>
      </c>
      <c r="E57" t="s">
        <v>373</v>
      </c>
      <c r="F57" t="s">
        <v>509</v>
      </c>
      <c r="G57" t="s">
        <v>373</v>
      </c>
      <c r="H57" t="s">
        <v>375</v>
      </c>
      <c r="I57" t="s">
        <v>373</v>
      </c>
      <c r="J57" s="124" t="str">
        <f>",'"&amp;own_detail[[#This Row],[Name]]&amp;"'"</f>
        <v>,'ultimate_incurred_bf_cat'</v>
      </c>
      <c r="L57" t="s">
        <v>816</v>
      </c>
      <c r="M57" t="s">
        <v>259</v>
      </c>
      <c r="N57" t="s">
        <v>377</v>
      </c>
      <c r="O57" t="s">
        <v>372</v>
      </c>
      <c r="P57" t="s">
        <v>373</v>
      </c>
      <c r="Q57" t="s">
        <v>817</v>
      </c>
      <c r="R57" t="s">
        <v>373</v>
      </c>
      <c r="S57" t="s">
        <v>375</v>
      </c>
      <c r="T57" t="s">
        <v>373</v>
      </c>
      <c r="U57" s="124" t="str">
        <f>",'"&amp;own_summary[[#This Row],[Name]]&amp;"'"</f>
        <v>,'ovd_ielr_weights'</v>
      </c>
      <c r="W57" t="s">
        <v>818</v>
      </c>
      <c r="X57" t="s">
        <v>117</v>
      </c>
      <c r="Y57" t="s">
        <v>528</v>
      </c>
      <c r="Z57" t="s">
        <v>372</v>
      </c>
      <c r="AA57" t="s">
        <v>373</v>
      </c>
      <c r="AB57" t="s">
        <v>117</v>
      </c>
      <c r="AC57" t="s">
        <v>373</v>
      </c>
      <c r="AD57" t="s">
        <v>373</v>
      </c>
      <c r="AE57" t="s">
        <v>385</v>
      </c>
      <c r="AF57" s="124" t="str">
        <f>",'"&amp;lloyds_detail[[#This Row],[Name]]&amp;"'"</f>
        <v>,'is_row_visible'</v>
      </c>
      <c r="AH57" t="s">
        <v>819</v>
      </c>
      <c r="AI57" t="s">
        <v>294</v>
      </c>
      <c r="AJ57" t="s">
        <v>394</v>
      </c>
      <c r="AK57" t="s">
        <v>372</v>
      </c>
      <c r="AL57" t="s">
        <v>373</v>
      </c>
      <c r="AM57" t="s">
        <v>558</v>
      </c>
      <c r="AN57" t="s">
        <v>373</v>
      </c>
      <c r="AO57" t="s">
        <v>373</v>
      </c>
      <c r="AP57" t="s">
        <v>385</v>
      </c>
      <c r="AQ57" s="124" t="str">
        <f>",'"&amp;lloyds_summary[[#This Row],[Name]]&amp;"'"</f>
        <v>,'ultimate_bf_model_paid'</v>
      </c>
      <c r="AS57" t="s">
        <v>820</v>
      </c>
      <c r="AT57" t="s">
        <v>117</v>
      </c>
      <c r="AU57" t="s">
        <v>528</v>
      </c>
      <c r="AV57" t="s">
        <v>372</v>
      </c>
      <c r="AW57" t="s">
        <v>373</v>
      </c>
      <c r="AX57" t="s">
        <v>117</v>
      </c>
      <c r="AY57" t="s">
        <v>373</v>
      </c>
      <c r="AZ57" t="s">
        <v>373</v>
      </c>
      <c r="BA57" t="s">
        <v>385</v>
      </c>
      <c r="BB57" s="124" t="str">
        <f>",'"&amp;beazley_detail[[#This Row],[Name]]&amp;"'"</f>
        <v>,'is_row_visible'</v>
      </c>
      <c r="BD57" t="s">
        <v>821</v>
      </c>
      <c r="BE57" t="s">
        <v>294</v>
      </c>
      <c r="BF57" t="s">
        <v>394</v>
      </c>
      <c r="BG57" t="s">
        <v>372</v>
      </c>
      <c r="BH57" t="s">
        <v>373</v>
      </c>
      <c r="BI57" t="s">
        <v>558</v>
      </c>
      <c r="BJ57" t="s">
        <v>373</v>
      </c>
      <c r="BK57" t="s">
        <v>373</v>
      </c>
      <c r="BL57" t="s">
        <v>385</v>
      </c>
      <c r="BM57" s="124" t="str">
        <f>",'"&amp;beazley_summary[[#This Row],[Name]]&amp;"'"</f>
        <v>,'ultimate_bf_model_paid'</v>
      </c>
    </row>
    <row r="58" spans="1:65" x14ac:dyDescent="0.35">
      <c r="A58" t="s">
        <v>792</v>
      </c>
      <c r="B58" t="s">
        <v>153</v>
      </c>
      <c r="C58" t="s">
        <v>394</v>
      </c>
      <c r="D58" t="s">
        <v>372</v>
      </c>
      <c r="E58" t="s">
        <v>373</v>
      </c>
      <c r="F58" t="s">
        <v>509</v>
      </c>
      <c r="G58" t="s">
        <v>373</v>
      </c>
      <c r="H58" t="s">
        <v>375</v>
      </c>
      <c r="I58" t="s">
        <v>373</v>
      </c>
      <c r="J58" s="124" t="str">
        <f>",'"&amp;own_detail[[#This Row],[Name]]&amp;"'"</f>
        <v>,'ultimate_incurred_cl_cat'</v>
      </c>
      <c r="L58" t="s">
        <v>823</v>
      </c>
      <c r="M58" t="s">
        <v>260</v>
      </c>
      <c r="N58" t="s">
        <v>377</v>
      </c>
      <c r="O58" t="s">
        <v>372</v>
      </c>
      <c r="P58" t="s">
        <v>373</v>
      </c>
      <c r="Q58" t="s">
        <v>204</v>
      </c>
      <c r="R58" t="s">
        <v>373</v>
      </c>
      <c r="S58" t="s">
        <v>375</v>
      </c>
      <c r="T58" t="s">
        <v>373</v>
      </c>
      <c r="U58" s="124" t="str">
        <f>",'"&amp;own_summary[[#This Row],[Name]]&amp;"'"</f>
        <v>,'ovd_ielr'</v>
      </c>
      <c r="W58" t="s">
        <v>824</v>
      </c>
      <c r="X58" t="s">
        <v>118</v>
      </c>
      <c r="Y58" t="s">
        <v>528</v>
      </c>
      <c r="Z58" t="s">
        <v>372</v>
      </c>
      <c r="AA58" t="s">
        <v>373</v>
      </c>
      <c r="AB58" t="s">
        <v>118</v>
      </c>
      <c r="AC58" t="s">
        <v>373</v>
      </c>
      <c r="AD58" t="s">
        <v>373</v>
      </c>
      <c r="AE58" t="s">
        <v>385</v>
      </c>
      <c r="AF58" s="124" t="str">
        <f>",'"&amp;lloyds_detail[[#This Row],[Name]]&amp;"'"</f>
        <v>,'lob_visible_1'</v>
      </c>
      <c r="AH58" t="s">
        <v>825</v>
      </c>
      <c r="AI58" t="s">
        <v>295</v>
      </c>
      <c r="AJ58" t="s">
        <v>394</v>
      </c>
      <c r="AK58" t="s">
        <v>372</v>
      </c>
      <c r="AL58" t="s">
        <v>373</v>
      </c>
      <c r="AM58" t="s">
        <v>522</v>
      </c>
      <c r="AN58" t="s">
        <v>373</v>
      </c>
      <c r="AO58" t="s">
        <v>373</v>
      </c>
      <c r="AP58" t="s">
        <v>385</v>
      </c>
      <c r="AQ58" s="124" t="str">
        <f>",'"&amp;lloyds_summary[[#This Row],[Name]]&amp;"'"</f>
        <v>,'ultimate_bf_model_incurred'</v>
      </c>
      <c r="AS58" t="s">
        <v>826</v>
      </c>
      <c r="AT58" t="s">
        <v>118</v>
      </c>
      <c r="AU58" t="s">
        <v>528</v>
      </c>
      <c r="AV58" t="s">
        <v>372</v>
      </c>
      <c r="AW58" t="s">
        <v>373</v>
      </c>
      <c r="AX58" t="s">
        <v>118</v>
      </c>
      <c r="AY58" t="s">
        <v>373</v>
      </c>
      <c r="AZ58" t="s">
        <v>373</v>
      </c>
      <c r="BA58" t="s">
        <v>385</v>
      </c>
      <c r="BB58" s="124" t="str">
        <f>",'"&amp;beazley_detail[[#This Row],[Name]]&amp;"'"</f>
        <v>,'lob_visible_1'</v>
      </c>
      <c r="BD58" t="s">
        <v>827</v>
      </c>
      <c r="BE58" t="s">
        <v>295</v>
      </c>
      <c r="BF58" t="s">
        <v>394</v>
      </c>
      <c r="BG58" t="s">
        <v>372</v>
      </c>
      <c r="BH58" t="s">
        <v>373</v>
      </c>
      <c r="BI58" t="s">
        <v>522</v>
      </c>
      <c r="BJ58" t="s">
        <v>373</v>
      </c>
      <c r="BK58" t="s">
        <v>373</v>
      </c>
      <c r="BL58" t="s">
        <v>385</v>
      </c>
      <c r="BM58" s="124" t="str">
        <f>",'"&amp;beazley_summary[[#This Row],[Name]]&amp;"'"</f>
        <v>,'ultimate_bf_model_incurred'</v>
      </c>
    </row>
    <row r="59" spans="1:65" x14ac:dyDescent="0.35">
      <c r="A59" t="s">
        <v>1048</v>
      </c>
      <c r="B59" t="s">
        <v>275</v>
      </c>
      <c r="C59" t="s">
        <v>394</v>
      </c>
      <c r="D59" t="s">
        <v>431</v>
      </c>
      <c r="E59" t="s">
        <v>373</v>
      </c>
      <c r="F59" t="s">
        <v>509</v>
      </c>
      <c r="G59" t="s">
        <v>373</v>
      </c>
      <c r="H59" t="s">
        <v>375</v>
      </c>
      <c r="I59" t="s">
        <v>373</v>
      </c>
      <c r="J59" s="124" t="str">
        <f>",'"&amp;own_detail[[#This Row],[Name]]&amp;"'"</f>
        <v>,'ielr_weighting_cl_cat'</v>
      </c>
      <c r="L59" t="s">
        <v>829</v>
      </c>
      <c r="M59" t="s">
        <v>261</v>
      </c>
      <c r="N59" t="s">
        <v>377</v>
      </c>
      <c r="O59" t="s">
        <v>372</v>
      </c>
      <c r="P59" t="s">
        <v>373</v>
      </c>
      <c r="Q59" t="s">
        <v>830</v>
      </c>
      <c r="R59" t="s">
        <v>373</v>
      </c>
      <c r="S59" t="s">
        <v>375</v>
      </c>
      <c r="T59" t="s">
        <v>373</v>
      </c>
      <c r="U59" s="124" t="str">
        <f>",'"&amp;own_summary[[#This Row],[Name]]&amp;"'"</f>
        <v>,'ovd_ibnr'</v>
      </c>
      <c r="W59" t="s">
        <v>831</v>
      </c>
      <c r="X59" t="s">
        <v>119</v>
      </c>
      <c r="Y59" t="s">
        <v>528</v>
      </c>
      <c r="Z59" t="s">
        <v>372</v>
      </c>
      <c r="AA59" t="s">
        <v>373</v>
      </c>
      <c r="AB59" t="s">
        <v>119</v>
      </c>
      <c r="AC59" t="s">
        <v>373</v>
      </c>
      <c r="AD59" t="s">
        <v>373</v>
      </c>
      <c r="AE59" t="s">
        <v>385</v>
      </c>
      <c r="AF59" s="124" t="str">
        <f>",'"&amp;lloyds_detail[[#This Row],[Name]]&amp;"'"</f>
        <v>,'lob_visible_2'</v>
      </c>
      <c r="AH59" t="s">
        <v>832</v>
      </c>
      <c r="AI59" t="s">
        <v>296</v>
      </c>
      <c r="AJ59" t="s">
        <v>394</v>
      </c>
      <c r="AK59" t="s">
        <v>372</v>
      </c>
      <c r="AL59" t="s">
        <v>373</v>
      </c>
      <c r="AM59" t="s">
        <v>573</v>
      </c>
      <c r="AN59" t="s">
        <v>373</v>
      </c>
      <c r="AO59" t="s">
        <v>373</v>
      </c>
      <c r="AP59" t="s">
        <v>385</v>
      </c>
      <c r="AQ59" s="124" t="str">
        <f>",'"&amp;lloyds_summary[[#This Row],[Name]]&amp;"'"</f>
        <v>,'ultimate_bf_selected_paid'</v>
      </c>
      <c r="AS59" t="s">
        <v>833</v>
      </c>
      <c r="AT59" t="s">
        <v>119</v>
      </c>
      <c r="AU59" t="s">
        <v>528</v>
      </c>
      <c r="AV59" t="s">
        <v>372</v>
      </c>
      <c r="AW59" t="s">
        <v>373</v>
      </c>
      <c r="AX59" t="s">
        <v>119</v>
      </c>
      <c r="AY59" t="s">
        <v>373</v>
      </c>
      <c r="AZ59" t="s">
        <v>373</v>
      </c>
      <c r="BA59" t="s">
        <v>385</v>
      </c>
      <c r="BB59" s="124" t="str">
        <f>",'"&amp;beazley_detail[[#This Row],[Name]]&amp;"'"</f>
        <v>,'lob_visible_2'</v>
      </c>
      <c r="BD59" t="s">
        <v>834</v>
      </c>
      <c r="BE59" t="s">
        <v>296</v>
      </c>
      <c r="BF59" t="s">
        <v>394</v>
      </c>
      <c r="BG59" t="s">
        <v>372</v>
      </c>
      <c r="BH59" t="s">
        <v>373</v>
      </c>
      <c r="BI59" t="s">
        <v>573</v>
      </c>
      <c r="BJ59" t="s">
        <v>373</v>
      </c>
      <c r="BK59" t="s">
        <v>373</v>
      </c>
      <c r="BL59" t="s">
        <v>385</v>
      </c>
      <c r="BM59" s="124" t="str">
        <f>",'"&amp;beazley_summary[[#This Row],[Name]]&amp;"'"</f>
        <v>,'ultimate_bf_selected_paid'</v>
      </c>
    </row>
    <row r="60" spans="1:65" x14ac:dyDescent="0.35">
      <c r="A60" t="s">
        <v>800</v>
      </c>
      <c r="B60" t="s">
        <v>154</v>
      </c>
      <c r="C60" t="s">
        <v>394</v>
      </c>
      <c r="D60" t="s">
        <v>431</v>
      </c>
      <c r="E60" t="s">
        <v>373</v>
      </c>
      <c r="F60" t="s">
        <v>509</v>
      </c>
      <c r="G60" t="s">
        <v>373</v>
      </c>
      <c r="H60" t="s">
        <v>375</v>
      </c>
      <c r="I60" t="s">
        <v>373</v>
      </c>
      <c r="J60" s="124" t="str">
        <f>",'"&amp;own_detail[[#This Row],[Name]]&amp;"'"</f>
        <v>,'ultimate_incurred_selected_cat'</v>
      </c>
      <c r="L60" t="s">
        <v>836</v>
      </c>
      <c r="M60" t="s">
        <v>262</v>
      </c>
      <c r="N60" t="s">
        <v>377</v>
      </c>
      <c r="O60" t="s">
        <v>372</v>
      </c>
      <c r="P60" t="s">
        <v>373</v>
      </c>
      <c r="Q60" t="s">
        <v>837</v>
      </c>
      <c r="R60" t="s">
        <v>373</v>
      </c>
      <c r="S60" t="s">
        <v>375</v>
      </c>
      <c r="T60" t="s">
        <v>373</v>
      </c>
      <c r="U60" s="124" t="str">
        <f>",'"&amp;own_summary[[#This Row],[Name]]&amp;"'"</f>
        <v>,'ovd_ultimate_method'</v>
      </c>
      <c r="W60" t="s">
        <v>838</v>
      </c>
      <c r="X60" t="s">
        <v>120</v>
      </c>
      <c r="Y60" t="s">
        <v>528</v>
      </c>
      <c r="Z60" t="s">
        <v>372</v>
      </c>
      <c r="AA60" t="s">
        <v>373</v>
      </c>
      <c r="AB60" t="s">
        <v>120</v>
      </c>
      <c r="AC60" t="s">
        <v>373</v>
      </c>
      <c r="AD60" t="s">
        <v>373</v>
      </c>
      <c r="AE60" t="s">
        <v>385</v>
      </c>
      <c r="AF60" s="124" t="str">
        <f>",'"&amp;lloyds_detail[[#This Row],[Name]]&amp;"'"</f>
        <v>,'lob_visible_3'</v>
      </c>
      <c r="AH60" t="s">
        <v>839</v>
      </c>
      <c r="AI60" t="s">
        <v>297</v>
      </c>
      <c r="AJ60" t="s">
        <v>394</v>
      </c>
      <c r="AK60" t="s">
        <v>372</v>
      </c>
      <c r="AL60" t="s">
        <v>373</v>
      </c>
      <c r="AM60" t="s">
        <v>541</v>
      </c>
      <c r="AN60" t="s">
        <v>373</v>
      </c>
      <c r="AO60" t="s">
        <v>373</v>
      </c>
      <c r="AP60" t="s">
        <v>385</v>
      </c>
      <c r="AQ60" s="124" t="str">
        <f>",'"&amp;lloyds_summary[[#This Row],[Name]]&amp;"'"</f>
        <v>,'ultimate_bf_selected_incurred'</v>
      </c>
      <c r="AS60" t="s">
        <v>840</v>
      </c>
      <c r="AT60" t="s">
        <v>120</v>
      </c>
      <c r="AU60" t="s">
        <v>528</v>
      </c>
      <c r="AV60" t="s">
        <v>372</v>
      </c>
      <c r="AW60" t="s">
        <v>373</v>
      </c>
      <c r="AX60" t="s">
        <v>120</v>
      </c>
      <c r="AY60" t="s">
        <v>373</v>
      </c>
      <c r="AZ60" t="s">
        <v>373</v>
      </c>
      <c r="BA60" t="s">
        <v>385</v>
      </c>
      <c r="BB60" s="124" t="str">
        <f>",'"&amp;beazley_detail[[#This Row],[Name]]&amp;"'"</f>
        <v>,'lob_visible_3'</v>
      </c>
      <c r="BD60" t="s">
        <v>841</v>
      </c>
      <c r="BE60" t="s">
        <v>297</v>
      </c>
      <c r="BF60" t="s">
        <v>394</v>
      </c>
      <c r="BG60" t="s">
        <v>372</v>
      </c>
      <c r="BH60" t="s">
        <v>373</v>
      </c>
      <c r="BI60" t="s">
        <v>541</v>
      </c>
      <c r="BJ60" t="s">
        <v>373</v>
      </c>
      <c r="BK60" t="s">
        <v>373</v>
      </c>
      <c r="BL60" t="s">
        <v>385</v>
      </c>
      <c r="BM60" s="124" t="str">
        <f>",'"&amp;beazley_summary[[#This Row],[Name]]&amp;"'"</f>
        <v>,'ultimate_bf_selected_incurred'</v>
      </c>
    </row>
    <row r="61" spans="1:65" x14ac:dyDescent="0.35">
      <c r="A61" t="s">
        <v>807</v>
      </c>
      <c r="B61" t="s">
        <v>155</v>
      </c>
      <c r="C61" t="s">
        <v>394</v>
      </c>
      <c r="D61" t="s">
        <v>372</v>
      </c>
      <c r="E61" t="s">
        <v>373</v>
      </c>
      <c r="F61" t="s">
        <v>509</v>
      </c>
      <c r="G61" t="s">
        <v>373</v>
      </c>
      <c r="H61" t="s">
        <v>375</v>
      </c>
      <c r="I61" t="s">
        <v>373</v>
      </c>
      <c r="J61" s="124" t="str">
        <f>",'"&amp;own_detail[[#This Row],[Name]]&amp;"'"</f>
        <v>,'ultimate_ulr_selected_cat'</v>
      </c>
      <c r="L61" t="s">
        <v>843</v>
      </c>
      <c r="M61" t="s">
        <v>263</v>
      </c>
      <c r="N61" t="s">
        <v>377</v>
      </c>
      <c r="O61" t="s">
        <v>372</v>
      </c>
      <c r="P61" t="s">
        <v>373</v>
      </c>
      <c r="Q61" t="s">
        <v>844</v>
      </c>
      <c r="R61" t="s">
        <v>373</v>
      </c>
      <c r="S61" t="s">
        <v>375</v>
      </c>
      <c r="T61" t="s">
        <v>373</v>
      </c>
      <c r="U61" s="124" t="str">
        <f>",'"&amp;own_summary[[#This Row],[Name]]&amp;"'"</f>
        <v>,'ovd_ultimate'</v>
      </c>
      <c r="AH61" t="s">
        <v>845</v>
      </c>
      <c r="AI61" t="s">
        <v>298</v>
      </c>
      <c r="AJ61" t="s">
        <v>394</v>
      </c>
      <c r="AK61" t="s">
        <v>372</v>
      </c>
      <c r="AL61" t="s">
        <v>373</v>
      </c>
      <c r="AM61" t="s">
        <v>588</v>
      </c>
      <c r="AN61" t="s">
        <v>373</v>
      </c>
      <c r="AO61" t="s">
        <v>373</v>
      </c>
      <c r="AP61" t="s">
        <v>385</v>
      </c>
      <c r="AQ61" s="124" t="str">
        <f>",'"&amp;lloyds_summary[[#This Row],[Name]]&amp;"'"</f>
        <v>,'ultimate_model'</v>
      </c>
      <c r="BD61" t="s">
        <v>846</v>
      </c>
      <c r="BE61" t="s">
        <v>298</v>
      </c>
      <c r="BF61" t="s">
        <v>394</v>
      </c>
      <c r="BG61" t="s">
        <v>372</v>
      </c>
      <c r="BH61" t="s">
        <v>373</v>
      </c>
      <c r="BI61" t="s">
        <v>588</v>
      </c>
      <c r="BJ61" t="s">
        <v>373</v>
      </c>
      <c r="BK61" t="s">
        <v>373</v>
      </c>
      <c r="BL61" t="s">
        <v>385</v>
      </c>
      <c r="BM61" s="124" t="str">
        <f>",'"&amp;beazley_summary[[#This Row],[Name]]&amp;"'"</f>
        <v>,'ultimate_model'</v>
      </c>
    </row>
    <row r="62" spans="1:65" x14ac:dyDescent="0.35">
      <c r="A62" t="s">
        <v>815</v>
      </c>
      <c r="B62" t="s">
        <v>156</v>
      </c>
      <c r="C62" t="s">
        <v>394</v>
      </c>
      <c r="D62" t="s">
        <v>372</v>
      </c>
      <c r="E62" t="s">
        <v>373</v>
      </c>
      <c r="F62" t="s">
        <v>509</v>
      </c>
      <c r="G62" t="s">
        <v>373</v>
      </c>
      <c r="H62" t="s">
        <v>375</v>
      </c>
      <c r="I62" t="s">
        <v>373</v>
      </c>
      <c r="J62" s="124" t="str">
        <f>",'"&amp;own_detail[[#This Row],[Name]]&amp;"'"</f>
        <v>,'ultimate_ulr_on_levelled_cat'</v>
      </c>
      <c r="L62" t="s">
        <v>848</v>
      </c>
      <c r="M62" t="s">
        <v>264</v>
      </c>
      <c r="N62" t="s">
        <v>377</v>
      </c>
      <c r="O62" t="s">
        <v>372</v>
      </c>
      <c r="P62" t="s">
        <v>373</v>
      </c>
      <c r="Q62" t="s">
        <v>849</v>
      </c>
      <c r="R62" t="s">
        <v>373</v>
      </c>
      <c r="S62" t="s">
        <v>375</v>
      </c>
      <c r="T62" t="s">
        <v>373</v>
      </c>
      <c r="U62" s="124" t="str">
        <f>",'"&amp;own_summary[[#This Row],[Name]]&amp;"'"</f>
        <v>,'ovd_ulr_weights'</v>
      </c>
      <c r="AH62" t="s">
        <v>850</v>
      </c>
      <c r="AI62" t="s">
        <v>299</v>
      </c>
      <c r="AJ62" t="s">
        <v>394</v>
      </c>
      <c r="AK62" t="s">
        <v>372</v>
      </c>
      <c r="AL62" t="s">
        <v>373</v>
      </c>
      <c r="AM62" t="s">
        <v>595</v>
      </c>
      <c r="AN62" t="s">
        <v>373</v>
      </c>
      <c r="AO62" t="s">
        <v>373</v>
      </c>
      <c r="AP62" t="s">
        <v>385</v>
      </c>
      <c r="AQ62" s="124" t="str">
        <f>",'"&amp;lloyds_summary[[#This Row],[Name]]&amp;"'"</f>
        <v>,'ultimate_model_ulr'</v>
      </c>
      <c r="BD62" t="s">
        <v>851</v>
      </c>
      <c r="BE62" t="s">
        <v>299</v>
      </c>
      <c r="BF62" t="s">
        <v>394</v>
      </c>
      <c r="BG62" t="s">
        <v>372</v>
      </c>
      <c r="BH62" t="s">
        <v>373</v>
      </c>
      <c r="BI62" t="s">
        <v>595</v>
      </c>
      <c r="BJ62" t="s">
        <v>373</v>
      </c>
      <c r="BK62" t="s">
        <v>373</v>
      </c>
      <c r="BL62" t="s">
        <v>385</v>
      </c>
      <c r="BM62" s="124" t="str">
        <f>",'"&amp;beazley_summary[[#This Row],[Name]]&amp;"'"</f>
        <v>,'ultimate_model_ulr'</v>
      </c>
    </row>
    <row r="63" spans="1:65" x14ac:dyDescent="0.35">
      <c r="A63" t="s">
        <v>1049</v>
      </c>
      <c r="B63" t="s">
        <v>276</v>
      </c>
      <c r="C63" t="s">
        <v>394</v>
      </c>
      <c r="D63" t="s">
        <v>431</v>
      </c>
      <c r="E63" t="s">
        <v>373</v>
      </c>
      <c r="F63" t="s">
        <v>509</v>
      </c>
      <c r="G63" t="s">
        <v>373</v>
      </c>
      <c r="H63" t="s">
        <v>375</v>
      </c>
      <c r="I63" t="s">
        <v>373</v>
      </c>
      <c r="J63" s="124" t="str">
        <f>",'"&amp;own_detail[[#This Row],[Name]]&amp;"'"</f>
        <v>,'ielr_weighting_sel_cat'</v>
      </c>
      <c r="L63" t="s">
        <v>853</v>
      </c>
      <c r="M63" t="s">
        <v>265</v>
      </c>
      <c r="N63" t="s">
        <v>377</v>
      </c>
      <c r="O63" t="s">
        <v>372</v>
      </c>
      <c r="P63" t="s">
        <v>373</v>
      </c>
      <c r="Q63" t="s">
        <v>854</v>
      </c>
      <c r="R63" t="s">
        <v>373</v>
      </c>
      <c r="S63" t="s">
        <v>375</v>
      </c>
      <c r="T63" t="s">
        <v>373</v>
      </c>
      <c r="U63" s="124" t="str">
        <f>",'"&amp;own_summary[[#This Row],[Name]]&amp;"'"</f>
        <v>,'ovd_ulr'</v>
      </c>
      <c r="AH63" t="s">
        <v>855</v>
      </c>
      <c r="AI63" t="s">
        <v>300</v>
      </c>
      <c r="AJ63" t="s">
        <v>394</v>
      </c>
      <c r="AK63" t="s">
        <v>372</v>
      </c>
      <c r="AL63" t="s">
        <v>373</v>
      </c>
      <c r="AM63" t="s">
        <v>602</v>
      </c>
      <c r="AN63" t="s">
        <v>373</v>
      </c>
      <c r="AO63" t="s">
        <v>373</v>
      </c>
      <c r="AP63" t="s">
        <v>385</v>
      </c>
      <c r="AQ63" s="124" t="str">
        <f>",'"&amp;lloyds_summary[[#This Row],[Name]]&amp;"'"</f>
        <v>,'ultimate_selected'</v>
      </c>
      <c r="BD63" t="s">
        <v>856</v>
      </c>
      <c r="BE63" t="s">
        <v>300</v>
      </c>
      <c r="BF63" t="s">
        <v>394</v>
      </c>
      <c r="BG63" t="s">
        <v>372</v>
      </c>
      <c r="BH63" t="s">
        <v>373</v>
      </c>
      <c r="BI63" t="s">
        <v>602</v>
      </c>
      <c r="BJ63" t="s">
        <v>373</v>
      </c>
      <c r="BK63" t="s">
        <v>373</v>
      </c>
      <c r="BL63" t="s">
        <v>385</v>
      </c>
      <c r="BM63" s="124" t="str">
        <f>",'"&amp;beazley_summary[[#This Row],[Name]]&amp;"'"</f>
        <v>,'ultimate_selected'</v>
      </c>
    </row>
    <row r="64" spans="1:65" x14ac:dyDescent="0.35">
      <c r="A64" t="s">
        <v>822</v>
      </c>
      <c r="B64" t="s">
        <v>157</v>
      </c>
      <c r="C64" t="s">
        <v>394</v>
      </c>
      <c r="D64" t="s">
        <v>372</v>
      </c>
      <c r="E64" t="s">
        <v>373</v>
      </c>
      <c r="F64" t="s">
        <v>43</v>
      </c>
      <c r="G64" t="s">
        <v>373</v>
      </c>
      <c r="H64" t="s">
        <v>375</v>
      </c>
      <c r="I64" t="s">
        <v>373</v>
      </c>
      <c r="J64" s="124" t="str">
        <f>",'"&amp;own_detail[[#This Row],[Name]]&amp;"'"</f>
        <v>,'latest_incurred_open_claims_total'</v>
      </c>
      <c r="L64" t="s">
        <v>858</v>
      </c>
      <c r="M64" t="s">
        <v>266</v>
      </c>
      <c r="N64" t="s">
        <v>394</v>
      </c>
      <c r="O64" t="s">
        <v>372</v>
      </c>
      <c r="P64" t="s">
        <v>373</v>
      </c>
      <c r="Q64" t="s">
        <v>859</v>
      </c>
      <c r="R64" t="s">
        <v>373</v>
      </c>
      <c r="S64" t="s">
        <v>375</v>
      </c>
      <c r="T64" t="s">
        <v>373</v>
      </c>
      <c r="U64" s="124" t="str">
        <f>",'"&amp;own_summary[[#This Row],[Name]]&amp;"'"</f>
        <v>,'cov_attr'</v>
      </c>
      <c r="AH64" t="s">
        <v>860</v>
      </c>
      <c r="AI64" t="s">
        <v>301</v>
      </c>
      <c r="AJ64" t="s">
        <v>394</v>
      </c>
      <c r="AK64" t="s">
        <v>372</v>
      </c>
      <c r="AL64" t="s">
        <v>373</v>
      </c>
      <c r="AM64" t="s">
        <v>609</v>
      </c>
      <c r="AN64" t="s">
        <v>373</v>
      </c>
      <c r="AO64" t="s">
        <v>373</v>
      </c>
      <c r="AP64" t="s">
        <v>385</v>
      </c>
      <c r="AQ64" s="124" t="str">
        <f>",'"&amp;lloyds_summary[[#This Row],[Name]]&amp;"'"</f>
        <v>,'ultimate_selected_ulr'</v>
      </c>
      <c r="BD64" t="s">
        <v>861</v>
      </c>
      <c r="BE64" t="s">
        <v>301</v>
      </c>
      <c r="BF64" t="s">
        <v>394</v>
      </c>
      <c r="BG64" t="s">
        <v>372</v>
      </c>
      <c r="BH64" t="s">
        <v>373</v>
      </c>
      <c r="BI64" t="s">
        <v>609</v>
      </c>
      <c r="BJ64" t="s">
        <v>373</v>
      </c>
      <c r="BK64" t="s">
        <v>373</v>
      </c>
      <c r="BL64" t="s">
        <v>385</v>
      </c>
      <c r="BM64" s="124" t="str">
        <f>",'"&amp;beazley_summary[[#This Row],[Name]]&amp;"'"</f>
        <v>,'ultimate_selected_ulr'</v>
      </c>
    </row>
    <row r="65" spans="1:65" x14ac:dyDescent="0.35">
      <c r="A65" t="s">
        <v>828</v>
      </c>
      <c r="B65" t="s">
        <v>158</v>
      </c>
      <c r="C65" t="s">
        <v>394</v>
      </c>
      <c r="D65" t="s">
        <v>372</v>
      </c>
      <c r="E65" t="s">
        <v>373</v>
      </c>
      <c r="F65" t="s">
        <v>43</v>
      </c>
      <c r="G65" t="s">
        <v>373</v>
      </c>
      <c r="H65" t="s">
        <v>375</v>
      </c>
      <c r="I65" t="s">
        <v>373</v>
      </c>
      <c r="J65" s="124" t="str">
        <f>",'"&amp;own_detail[[#This Row],[Name]]&amp;"'"</f>
        <v>,'latest_incurred_closed_claims_total'</v>
      </c>
      <c r="L65" t="s">
        <v>863</v>
      </c>
      <c r="M65" t="s">
        <v>267</v>
      </c>
      <c r="N65" t="s">
        <v>394</v>
      </c>
      <c r="O65" t="s">
        <v>372</v>
      </c>
      <c r="P65" t="s">
        <v>373</v>
      </c>
      <c r="Q65" t="s">
        <v>864</v>
      </c>
      <c r="R65" t="s">
        <v>373</v>
      </c>
      <c r="S65" t="s">
        <v>375</v>
      </c>
      <c r="T65" t="s">
        <v>373</v>
      </c>
      <c r="U65" s="124" t="str">
        <f>",'"&amp;own_summary[[#This Row],[Name]]&amp;"'"</f>
        <v>,'cov_large'</v>
      </c>
      <c r="AH65" t="s">
        <v>865</v>
      </c>
      <c r="AI65" t="s">
        <v>302</v>
      </c>
      <c r="AJ65" t="s">
        <v>394</v>
      </c>
      <c r="AK65" t="s">
        <v>372</v>
      </c>
      <c r="AL65" t="s">
        <v>373</v>
      </c>
      <c r="AM65" t="s">
        <v>616</v>
      </c>
      <c r="AN65" t="s">
        <v>373</v>
      </c>
      <c r="AO65" t="s">
        <v>373</v>
      </c>
      <c r="AP65" t="s">
        <v>385</v>
      </c>
      <c r="AQ65" s="124" t="str">
        <f>",'"&amp;lloyds_summary[[#This Row],[Name]]&amp;"'"</f>
        <v>,'on_levelled_model_ulr'</v>
      </c>
      <c r="BD65" t="s">
        <v>866</v>
      </c>
      <c r="BE65" t="s">
        <v>302</v>
      </c>
      <c r="BF65" t="s">
        <v>394</v>
      </c>
      <c r="BG65" t="s">
        <v>372</v>
      </c>
      <c r="BH65" t="s">
        <v>373</v>
      </c>
      <c r="BI65" t="s">
        <v>616</v>
      </c>
      <c r="BJ65" t="s">
        <v>373</v>
      </c>
      <c r="BK65" t="s">
        <v>373</v>
      </c>
      <c r="BL65" t="s">
        <v>385</v>
      </c>
      <c r="BM65" s="124" t="str">
        <f>",'"&amp;beazley_summary[[#This Row],[Name]]&amp;"'"</f>
        <v>,'on_levelled_model_ulr'</v>
      </c>
    </row>
    <row r="66" spans="1:65" x14ac:dyDescent="0.35">
      <c r="A66" t="s">
        <v>835</v>
      </c>
      <c r="B66" t="s">
        <v>159</v>
      </c>
      <c r="C66" t="s">
        <v>394</v>
      </c>
      <c r="D66" t="s">
        <v>372</v>
      </c>
      <c r="E66" t="s">
        <v>373</v>
      </c>
      <c r="F66" t="s">
        <v>43</v>
      </c>
      <c r="G66" t="s">
        <v>373</v>
      </c>
      <c r="H66" t="s">
        <v>375</v>
      </c>
      <c r="I66" t="s">
        <v>373</v>
      </c>
      <c r="J66" s="124" t="str">
        <f>",'"&amp;own_detail[[#This Row],[Name]]&amp;"'"</f>
        <v>,'latest_incurred_total_claims_total'</v>
      </c>
      <c r="L66" t="s">
        <v>868</v>
      </c>
      <c r="M66" t="s">
        <v>268</v>
      </c>
      <c r="N66" t="s">
        <v>394</v>
      </c>
      <c r="O66" t="s">
        <v>372</v>
      </c>
      <c r="P66" t="s">
        <v>373</v>
      </c>
      <c r="Q66" t="s">
        <v>869</v>
      </c>
      <c r="R66" t="s">
        <v>373</v>
      </c>
      <c r="S66" t="s">
        <v>375</v>
      </c>
      <c r="T66" t="s">
        <v>373</v>
      </c>
      <c r="U66" s="124" t="str">
        <f>",'"&amp;own_summary[[#This Row],[Name]]&amp;"'"</f>
        <v>,'cov_cat'</v>
      </c>
      <c r="AH66" t="s">
        <v>870</v>
      </c>
      <c r="AI66" t="s">
        <v>303</v>
      </c>
      <c r="AJ66" t="s">
        <v>394</v>
      </c>
      <c r="AK66" t="s">
        <v>372</v>
      </c>
      <c r="AL66" t="s">
        <v>373</v>
      </c>
      <c r="AM66" t="s">
        <v>623</v>
      </c>
      <c r="AN66" t="s">
        <v>373</v>
      </c>
      <c r="AO66" t="s">
        <v>373</v>
      </c>
      <c r="AP66" t="s">
        <v>385</v>
      </c>
      <c r="AQ66" s="124" t="str">
        <f>",'"&amp;lloyds_summary[[#This Row],[Name]]&amp;"'"</f>
        <v>,'on_levelled_selected_ulr'</v>
      </c>
      <c r="BD66" t="s">
        <v>871</v>
      </c>
      <c r="BE66" t="s">
        <v>303</v>
      </c>
      <c r="BF66" t="s">
        <v>394</v>
      </c>
      <c r="BG66" t="s">
        <v>372</v>
      </c>
      <c r="BH66" t="s">
        <v>373</v>
      </c>
      <c r="BI66" t="s">
        <v>623</v>
      </c>
      <c r="BJ66" t="s">
        <v>373</v>
      </c>
      <c r="BK66" t="s">
        <v>373</v>
      </c>
      <c r="BL66" t="s">
        <v>385</v>
      </c>
      <c r="BM66" s="124" t="str">
        <f>",'"&amp;beazley_summary[[#This Row],[Name]]&amp;"'"</f>
        <v>,'on_levelled_selected_ulr'</v>
      </c>
    </row>
    <row r="67" spans="1:65" x14ac:dyDescent="0.35">
      <c r="A67" t="s">
        <v>842</v>
      </c>
      <c r="B67" t="s">
        <v>160</v>
      </c>
      <c r="C67" t="s">
        <v>394</v>
      </c>
      <c r="D67" t="s">
        <v>378</v>
      </c>
      <c r="E67" t="s">
        <v>451</v>
      </c>
      <c r="F67" t="s">
        <v>43</v>
      </c>
      <c r="G67">
        <v>0</v>
      </c>
      <c r="H67" t="s">
        <v>375</v>
      </c>
      <c r="I67" t="s">
        <v>373</v>
      </c>
      <c r="J67" s="124" t="str">
        <f>",'"&amp;own_detail[[#This Row],[Name]]&amp;"'"</f>
        <v>,'last_year_position_total'</v>
      </c>
      <c r="L67" t="s">
        <v>873</v>
      </c>
      <c r="M67" t="s">
        <v>269</v>
      </c>
      <c r="N67" t="s">
        <v>394</v>
      </c>
      <c r="O67" t="s">
        <v>372</v>
      </c>
      <c r="P67" t="s">
        <v>373</v>
      </c>
      <c r="Q67" t="s">
        <v>874</v>
      </c>
      <c r="R67" t="s">
        <v>373</v>
      </c>
      <c r="S67" t="s">
        <v>375</v>
      </c>
      <c r="T67" t="s">
        <v>373</v>
      </c>
      <c r="U67" s="124" t="str">
        <f>",'"&amp;own_summary[[#This Row],[Name]]&amp;"'"</f>
        <v>,'cov_total'</v>
      </c>
    </row>
    <row r="68" spans="1:65" x14ac:dyDescent="0.35">
      <c r="A68" t="s">
        <v>847</v>
      </c>
      <c r="B68" t="s">
        <v>161</v>
      </c>
      <c r="C68" t="s">
        <v>394</v>
      </c>
      <c r="D68" t="s">
        <v>372</v>
      </c>
      <c r="E68" t="s">
        <v>373</v>
      </c>
      <c r="F68" t="s">
        <v>43</v>
      </c>
      <c r="G68" t="s">
        <v>373</v>
      </c>
      <c r="H68" t="s">
        <v>375</v>
      </c>
      <c r="I68" t="s">
        <v>373</v>
      </c>
      <c r="J68" s="124" t="str">
        <f>",'"&amp;own_detail[[#This Row],[Name]]&amp;"'"</f>
        <v>,'movement_total'</v>
      </c>
      <c r="L68" t="s">
        <v>876</v>
      </c>
      <c r="M68" t="s">
        <v>270</v>
      </c>
      <c r="N68" t="s">
        <v>377</v>
      </c>
      <c r="O68" t="s">
        <v>378</v>
      </c>
      <c r="P68" t="s">
        <v>451</v>
      </c>
      <c r="Q68" t="s">
        <v>639</v>
      </c>
      <c r="R68" t="s">
        <v>453</v>
      </c>
      <c r="S68" t="s">
        <v>382</v>
      </c>
      <c r="T68" t="s">
        <v>373</v>
      </c>
      <c r="U68" s="124" t="str">
        <f>",'"&amp;own_summary[[#This Row],[Name]]&amp;"'"</f>
        <v>,'actuarial_notes'</v>
      </c>
    </row>
    <row r="69" spans="1:65" x14ac:dyDescent="0.35">
      <c r="A69" t="s">
        <v>852</v>
      </c>
      <c r="B69" t="s">
        <v>162</v>
      </c>
      <c r="C69" t="s">
        <v>394</v>
      </c>
      <c r="D69" t="s">
        <v>372</v>
      </c>
      <c r="E69" t="s">
        <v>373</v>
      </c>
      <c r="F69" t="s">
        <v>43</v>
      </c>
      <c r="G69" t="s">
        <v>373</v>
      </c>
      <c r="H69" t="s">
        <v>375</v>
      </c>
      <c r="I69" t="s">
        <v>373</v>
      </c>
      <c r="J69" s="124" t="str">
        <f>",'"&amp;own_detail[[#This Row],[Name]]&amp;"'"</f>
        <v>,'gn_ilr_total'</v>
      </c>
      <c r="L69" t="s">
        <v>878</v>
      </c>
      <c r="M69" t="s">
        <v>102</v>
      </c>
      <c r="N69" t="s">
        <v>371</v>
      </c>
      <c r="O69" t="s">
        <v>372</v>
      </c>
      <c r="P69" t="s">
        <v>373</v>
      </c>
      <c r="Q69" t="s">
        <v>374</v>
      </c>
      <c r="R69" t="s">
        <v>373</v>
      </c>
      <c r="S69" t="s">
        <v>375</v>
      </c>
      <c r="T69" t="s">
        <v>373</v>
      </c>
      <c r="U69" s="124" t="str">
        <f>",'"&amp;own_summary[[#This Row],[Name]]&amp;"'"</f>
        <v>,'lob_number'</v>
      </c>
    </row>
    <row r="70" spans="1:65" x14ac:dyDescent="0.35">
      <c r="A70" t="s">
        <v>857</v>
      </c>
      <c r="B70" t="s">
        <v>163</v>
      </c>
      <c r="C70" t="s">
        <v>394</v>
      </c>
      <c r="D70" t="s">
        <v>372</v>
      </c>
      <c r="E70" t="s">
        <v>373</v>
      </c>
      <c r="F70" t="s">
        <v>43</v>
      </c>
      <c r="G70" t="s">
        <v>373</v>
      </c>
      <c r="H70" t="s">
        <v>375</v>
      </c>
      <c r="I70" t="s">
        <v>373</v>
      </c>
      <c r="J70" s="124" t="str">
        <f>",'"&amp;own_detail[[#This Row],[Name]]&amp;"'"</f>
        <v>,'ultimate_incurred_ielr_total'</v>
      </c>
      <c r="L70" t="s">
        <v>881</v>
      </c>
      <c r="M70" t="s">
        <v>103</v>
      </c>
      <c r="N70" t="s">
        <v>377</v>
      </c>
      <c r="O70" t="s">
        <v>372</v>
      </c>
      <c r="P70" t="s">
        <v>373</v>
      </c>
      <c r="Q70" t="s">
        <v>390</v>
      </c>
      <c r="R70" t="s">
        <v>373</v>
      </c>
      <c r="S70" t="s">
        <v>375</v>
      </c>
      <c r="T70" t="s">
        <v>373</v>
      </c>
      <c r="U70" s="124" t="str">
        <f>",'"&amp;own_summary[[#This Row],[Name]]&amp;"'"</f>
        <v>,'selected_lob'</v>
      </c>
    </row>
    <row r="71" spans="1:65" x14ac:dyDescent="0.35">
      <c r="A71" t="s">
        <v>862</v>
      </c>
      <c r="B71" t="s">
        <v>164</v>
      </c>
      <c r="C71" t="s">
        <v>394</v>
      </c>
      <c r="D71" t="s">
        <v>372</v>
      </c>
      <c r="E71" t="s">
        <v>373</v>
      </c>
      <c r="F71" t="s">
        <v>43</v>
      </c>
      <c r="G71" t="s">
        <v>373</v>
      </c>
      <c r="H71" t="s">
        <v>375</v>
      </c>
      <c r="I71" t="s">
        <v>373</v>
      </c>
      <c r="J71" s="124" t="str">
        <f>",'"&amp;own_detail[[#This Row],[Name]]&amp;"'"</f>
        <v>,'ultimate_incurred_bf_total'</v>
      </c>
      <c r="L71" t="s">
        <v>883</v>
      </c>
      <c r="M71" t="s">
        <v>104</v>
      </c>
      <c r="N71" t="s">
        <v>377</v>
      </c>
      <c r="O71" t="s">
        <v>372</v>
      </c>
      <c r="P71" t="s">
        <v>373</v>
      </c>
      <c r="Q71" t="s">
        <v>384</v>
      </c>
      <c r="R71" t="s">
        <v>373</v>
      </c>
      <c r="S71" t="s">
        <v>375</v>
      </c>
      <c r="T71" t="s">
        <v>373</v>
      </c>
      <c r="U71" s="124" t="str">
        <f>",'"&amp;own_summary[[#This Row],[Name]]&amp;"'"</f>
        <v>,'yoa'</v>
      </c>
    </row>
    <row r="72" spans="1:65" x14ac:dyDescent="0.35">
      <c r="A72" t="s">
        <v>867</v>
      </c>
      <c r="B72" t="s">
        <v>165</v>
      </c>
      <c r="C72" t="s">
        <v>394</v>
      </c>
      <c r="D72" t="s">
        <v>372</v>
      </c>
      <c r="E72" t="s">
        <v>373</v>
      </c>
      <c r="F72" t="s">
        <v>43</v>
      </c>
      <c r="G72" t="s">
        <v>373</v>
      </c>
      <c r="H72" t="s">
        <v>375</v>
      </c>
      <c r="I72" t="s">
        <v>373</v>
      </c>
      <c r="J72" s="124" t="str">
        <f>",'"&amp;own_detail[[#This Row],[Name]]&amp;"'"</f>
        <v>,'ultimate_incurred_cl_total'</v>
      </c>
      <c r="L72" t="s">
        <v>885</v>
      </c>
      <c r="M72" t="s">
        <v>105</v>
      </c>
      <c r="N72" t="s">
        <v>394</v>
      </c>
      <c r="O72" t="s">
        <v>372</v>
      </c>
      <c r="P72" t="s">
        <v>373</v>
      </c>
      <c r="Q72" t="s">
        <v>395</v>
      </c>
      <c r="R72" t="s">
        <v>373</v>
      </c>
      <c r="S72" t="s">
        <v>375</v>
      </c>
      <c r="T72" t="s">
        <v>373</v>
      </c>
      <c r="U72" s="124" t="str">
        <f>",'"&amp;own_summary[[#This Row],[Name]]&amp;"'"</f>
        <v>,'latest_gpi'</v>
      </c>
    </row>
    <row r="73" spans="1:65" x14ac:dyDescent="0.35">
      <c r="A73" t="s">
        <v>1050</v>
      </c>
      <c r="B73" t="s">
        <v>277</v>
      </c>
      <c r="C73" t="s">
        <v>394</v>
      </c>
      <c r="D73" t="s">
        <v>431</v>
      </c>
      <c r="E73" t="s">
        <v>373</v>
      </c>
      <c r="F73" t="s">
        <v>43</v>
      </c>
      <c r="G73" t="s">
        <v>373</v>
      </c>
      <c r="H73" t="s">
        <v>375</v>
      </c>
      <c r="I73" t="s">
        <v>373</v>
      </c>
      <c r="J73" s="124" t="str">
        <f>",'"&amp;own_detail[[#This Row],[Name]]&amp;"'"</f>
        <v>,'ielr_weighting_cl_total'</v>
      </c>
      <c r="L73" t="s">
        <v>888</v>
      </c>
      <c r="M73" t="s">
        <v>106</v>
      </c>
      <c r="N73" t="s">
        <v>394</v>
      </c>
      <c r="O73" t="s">
        <v>372</v>
      </c>
      <c r="P73" t="s">
        <v>373</v>
      </c>
      <c r="Q73" t="s">
        <v>404</v>
      </c>
      <c r="R73" t="s">
        <v>373</v>
      </c>
      <c r="S73" t="s">
        <v>375</v>
      </c>
      <c r="T73" t="s">
        <v>373</v>
      </c>
      <c r="U73" s="124" t="str">
        <f>",'"&amp;own_summary[[#This Row],[Name]]&amp;"'"</f>
        <v>,'latest_gnpi'</v>
      </c>
    </row>
    <row r="74" spans="1:65" x14ac:dyDescent="0.35">
      <c r="A74" t="s">
        <v>872</v>
      </c>
      <c r="B74" t="s">
        <v>166</v>
      </c>
      <c r="C74" t="s">
        <v>394</v>
      </c>
      <c r="D74" t="s">
        <v>431</v>
      </c>
      <c r="E74" t="s">
        <v>373</v>
      </c>
      <c r="F74" t="s">
        <v>43</v>
      </c>
      <c r="G74" t="s">
        <v>373</v>
      </c>
      <c r="H74" t="s">
        <v>375</v>
      </c>
      <c r="I74" t="s">
        <v>373</v>
      </c>
      <c r="J74" s="124" t="str">
        <f>",'"&amp;own_detail[[#This Row],[Name]]&amp;"'"</f>
        <v>,'ultimate_incurred_selected_total'</v>
      </c>
      <c r="L74" t="s">
        <v>891</v>
      </c>
      <c r="M74" t="s">
        <v>107</v>
      </c>
      <c r="N74" t="s">
        <v>394</v>
      </c>
      <c r="O74" t="s">
        <v>372</v>
      </c>
      <c r="P74" t="s">
        <v>373</v>
      </c>
      <c r="Q74" t="s">
        <v>429</v>
      </c>
      <c r="R74" t="s">
        <v>373</v>
      </c>
      <c r="S74" t="s">
        <v>375</v>
      </c>
      <c r="T74" t="s">
        <v>373</v>
      </c>
      <c r="U74" s="124" t="str">
        <f>",'"&amp;own_summary[[#This Row],[Name]]&amp;"'"</f>
        <v>,'acquisition_costs'</v>
      </c>
    </row>
    <row r="75" spans="1:65" x14ac:dyDescent="0.35">
      <c r="A75" t="s">
        <v>875</v>
      </c>
      <c r="B75" t="s">
        <v>167</v>
      </c>
      <c r="C75" t="s">
        <v>394</v>
      </c>
      <c r="D75" t="s">
        <v>372</v>
      </c>
      <c r="E75" t="s">
        <v>373</v>
      </c>
      <c r="F75" t="s">
        <v>43</v>
      </c>
      <c r="G75" t="s">
        <v>373</v>
      </c>
      <c r="H75" t="s">
        <v>375</v>
      </c>
      <c r="I75" t="s">
        <v>373</v>
      </c>
      <c r="J75" s="124" t="str">
        <f>",'"&amp;own_detail[[#This Row],[Name]]&amp;"'"</f>
        <v>,'ultimate_ulr_selected_total'</v>
      </c>
      <c r="L75" t="s">
        <v>894</v>
      </c>
      <c r="M75" t="s">
        <v>108</v>
      </c>
      <c r="N75" t="s">
        <v>394</v>
      </c>
      <c r="O75" t="s">
        <v>372</v>
      </c>
      <c r="P75" t="s">
        <v>373</v>
      </c>
      <c r="Q75" t="s">
        <v>440</v>
      </c>
      <c r="R75" t="s">
        <v>373</v>
      </c>
      <c r="S75" t="s">
        <v>375</v>
      </c>
      <c r="T75" t="s">
        <v>373</v>
      </c>
      <c r="U75" s="124" t="str">
        <f>",'"&amp;own_summary[[#This Row],[Name]]&amp;"'"</f>
        <v>,'ultimate_premium_selected_gnpi_cl'</v>
      </c>
    </row>
    <row r="76" spans="1:65" x14ac:dyDescent="0.35">
      <c r="A76" t="s">
        <v>877</v>
      </c>
      <c r="B76" t="s">
        <v>168</v>
      </c>
      <c r="C76" t="s">
        <v>394</v>
      </c>
      <c r="D76" t="s">
        <v>372</v>
      </c>
      <c r="E76" t="s">
        <v>373</v>
      </c>
      <c r="F76" t="s">
        <v>43</v>
      </c>
      <c r="G76" t="s">
        <v>373</v>
      </c>
      <c r="H76" t="s">
        <v>375</v>
      </c>
      <c r="I76" t="s">
        <v>373</v>
      </c>
      <c r="J76" s="124" t="str">
        <f>",'"&amp;own_detail[[#This Row],[Name]]&amp;"'"</f>
        <v>,'ultimate_ulr_on_levelled_total'</v>
      </c>
      <c r="L76" t="s">
        <v>897</v>
      </c>
      <c r="M76" t="s">
        <v>109</v>
      </c>
      <c r="N76" t="s">
        <v>394</v>
      </c>
      <c r="O76" t="s">
        <v>372</v>
      </c>
      <c r="P76" t="s">
        <v>373</v>
      </c>
      <c r="Q76" t="s">
        <v>452</v>
      </c>
      <c r="R76" t="s">
        <v>373</v>
      </c>
      <c r="S76" t="s">
        <v>375</v>
      </c>
      <c r="T76" t="s">
        <v>373</v>
      </c>
      <c r="U76" s="124" t="str">
        <f>",'"&amp;own_summary[[#This Row],[Name]]&amp;"'"</f>
        <v>,'ultimate_premium_selected_gnpi_override'</v>
      </c>
    </row>
    <row r="77" spans="1:65" x14ac:dyDescent="0.35">
      <c r="A77" t="s">
        <v>1051</v>
      </c>
      <c r="B77" t="s">
        <v>278</v>
      </c>
      <c r="C77" t="s">
        <v>394</v>
      </c>
      <c r="D77" t="s">
        <v>431</v>
      </c>
      <c r="E77" t="s">
        <v>373</v>
      </c>
      <c r="F77" t="s">
        <v>43</v>
      </c>
      <c r="G77" t="s">
        <v>373</v>
      </c>
      <c r="H77" t="s">
        <v>375</v>
      </c>
      <c r="I77" t="s">
        <v>373</v>
      </c>
      <c r="J77" s="124" t="str">
        <f>",'"&amp;own_detail[[#This Row],[Name]]&amp;"'"</f>
        <v>,'ielr_weighting_sel_total'</v>
      </c>
      <c r="L77" t="s">
        <v>900</v>
      </c>
      <c r="M77" t="s">
        <v>110</v>
      </c>
      <c r="N77" t="s">
        <v>394</v>
      </c>
      <c r="O77" t="s">
        <v>372</v>
      </c>
      <c r="P77" t="s">
        <v>373</v>
      </c>
      <c r="Q77" t="s">
        <v>462</v>
      </c>
      <c r="R77" t="s">
        <v>373</v>
      </c>
      <c r="S77" t="s">
        <v>375</v>
      </c>
      <c r="T77" t="s">
        <v>373</v>
      </c>
      <c r="U77" s="124" t="str">
        <f>",'"&amp;own_summary[[#This Row],[Name]]&amp;"'"</f>
        <v>,'ultimate_premium_selected_gnpi_selected'</v>
      </c>
    </row>
    <row r="78" spans="1:65" x14ac:dyDescent="0.35">
      <c r="A78" t="s">
        <v>879</v>
      </c>
      <c r="B78" t="s">
        <v>169</v>
      </c>
      <c r="C78" t="s">
        <v>394</v>
      </c>
      <c r="D78" t="s">
        <v>372</v>
      </c>
      <c r="E78" t="s">
        <v>373</v>
      </c>
      <c r="F78" t="s">
        <v>880</v>
      </c>
      <c r="G78" t="s">
        <v>373</v>
      </c>
      <c r="H78" t="s">
        <v>375</v>
      </c>
      <c r="I78" t="s">
        <v>373</v>
      </c>
      <c r="J78" s="124" t="str">
        <f>",'"&amp;own_detail[[#This Row],[Name]]&amp;"'"</f>
        <v>,'ultimate_incurred_selected_total_x_cat'</v>
      </c>
      <c r="L78" t="s">
        <v>903</v>
      </c>
      <c r="M78" t="s">
        <v>111</v>
      </c>
      <c r="N78" t="s">
        <v>394</v>
      </c>
      <c r="O78" t="s">
        <v>372</v>
      </c>
      <c r="P78" t="s">
        <v>373</v>
      </c>
      <c r="Q78" t="s">
        <v>472</v>
      </c>
      <c r="R78" t="s">
        <v>373</v>
      </c>
      <c r="S78" t="s">
        <v>375</v>
      </c>
      <c r="T78" t="s">
        <v>373</v>
      </c>
      <c r="U78" s="124" t="str">
        <f>",'"&amp;own_summary[[#This Row],[Name]]&amp;"'"</f>
        <v>,'ultimate_premium_selected_gnpi_selected_ol'</v>
      </c>
    </row>
    <row r="79" spans="1:65" x14ac:dyDescent="0.35">
      <c r="A79" t="s">
        <v>882</v>
      </c>
      <c r="B79" t="s">
        <v>170</v>
      </c>
      <c r="C79" t="s">
        <v>394</v>
      </c>
      <c r="D79" t="s">
        <v>372</v>
      </c>
      <c r="E79" t="s">
        <v>373</v>
      </c>
      <c r="F79" t="s">
        <v>880</v>
      </c>
      <c r="G79" t="s">
        <v>373</v>
      </c>
      <c r="H79" t="s">
        <v>375</v>
      </c>
      <c r="I79" t="s">
        <v>373</v>
      </c>
      <c r="J79" s="124" t="str">
        <f>",'"&amp;own_detail[[#This Row],[Name]]&amp;"'"</f>
        <v>,'ultimate_ulr_selected_total_x_cat'</v>
      </c>
      <c r="L79" t="s">
        <v>906</v>
      </c>
      <c r="M79" t="s">
        <v>112</v>
      </c>
      <c r="N79" t="s">
        <v>394</v>
      </c>
      <c r="O79" t="s">
        <v>372</v>
      </c>
      <c r="P79" t="s">
        <v>373</v>
      </c>
      <c r="Q79" t="s">
        <v>481</v>
      </c>
      <c r="R79" t="s">
        <v>373</v>
      </c>
      <c r="S79" t="s">
        <v>375</v>
      </c>
      <c r="T79" t="s">
        <v>373</v>
      </c>
      <c r="U79" s="124" t="str">
        <f>",'"&amp;own_summary[[#This Row],[Name]]&amp;"'"</f>
        <v>,'ultimate_incurred_cl_ielr'</v>
      </c>
    </row>
    <row r="80" spans="1:65" x14ac:dyDescent="0.35">
      <c r="A80" t="s">
        <v>884</v>
      </c>
      <c r="B80" t="s">
        <v>171</v>
      </c>
      <c r="C80" t="s">
        <v>394</v>
      </c>
      <c r="D80" t="s">
        <v>372</v>
      </c>
      <c r="E80" t="s">
        <v>373</v>
      </c>
      <c r="F80" t="s">
        <v>880</v>
      </c>
      <c r="G80" t="s">
        <v>373</v>
      </c>
      <c r="H80" t="s">
        <v>375</v>
      </c>
      <c r="I80" t="s">
        <v>373</v>
      </c>
      <c r="J80" s="124" t="str">
        <f>",'"&amp;own_detail[[#This Row],[Name]]&amp;"'"</f>
        <v>,'ultimate_ulr_on_levelled_total_x_cat'</v>
      </c>
      <c r="L80" t="s">
        <v>909</v>
      </c>
      <c r="M80" t="s">
        <v>113</v>
      </c>
      <c r="N80" t="s">
        <v>394</v>
      </c>
      <c r="O80" t="s">
        <v>372</v>
      </c>
      <c r="P80" t="s">
        <v>373</v>
      </c>
      <c r="Q80" t="s">
        <v>89</v>
      </c>
      <c r="R80" t="s">
        <v>373</v>
      </c>
      <c r="S80" t="s">
        <v>375</v>
      </c>
      <c r="T80" t="s">
        <v>373</v>
      </c>
      <c r="U80" s="124" t="str">
        <f>",'"&amp;own_summary[[#This Row],[Name]]&amp;"'"</f>
        <v>,'additional_ibnr_attr'</v>
      </c>
    </row>
    <row r="81" spans="1:21" x14ac:dyDescent="0.35">
      <c r="A81" t="s">
        <v>886</v>
      </c>
      <c r="B81" t="s">
        <v>172</v>
      </c>
      <c r="C81" t="s">
        <v>394</v>
      </c>
      <c r="D81" t="s">
        <v>372</v>
      </c>
      <c r="E81" t="s">
        <v>373</v>
      </c>
      <c r="F81" t="s">
        <v>887</v>
      </c>
      <c r="G81" t="s">
        <v>373</v>
      </c>
      <c r="H81" t="s">
        <v>375</v>
      </c>
      <c r="I81" t="s">
        <v>373</v>
      </c>
      <c r="J81" s="124" t="str">
        <f>",'"&amp;own_detail[[#This Row],[Name]]&amp;"'"</f>
        <v>,'development_pattern_premium_lloyds_unadjusted'</v>
      </c>
      <c r="L81" t="s">
        <v>912</v>
      </c>
      <c r="M81" t="s">
        <v>114</v>
      </c>
      <c r="N81" t="s">
        <v>394</v>
      </c>
      <c r="O81" t="s">
        <v>372</v>
      </c>
      <c r="P81" t="s">
        <v>373</v>
      </c>
      <c r="Q81" t="s">
        <v>90</v>
      </c>
      <c r="R81" t="s">
        <v>373</v>
      </c>
      <c r="S81" t="s">
        <v>375</v>
      </c>
      <c r="T81" t="s">
        <v>373</v>
      </c>
      <c r="U81" s="124" t="str">
        <f>",'"&amp;own_summary[[#This Row],[Name]]&amp;"'"</f>
        <v>,'additional_ibnr_large'</v>
      </c>
    </row>
    <row r="82" spans="1:21" x14ac:dyDescent="0.35">
      <c r="A82" t="s">
        <v>889</v>
      </c>
      <c r="B82" t="s">
        <v>173</v>
      </c>
      <c r="C82" t="s">
        <v>394</v>
      </c>
      <c r="D82" t="s">
        <v>372</v>
      </c>
      <c r="E82" t="s">
        <v>373</v>
      </c>
      <c r="F82" t="s">
        <v>890</v>
      </c>
      <c r="G82" t="s">
        <v>373</v>
      </c>
      <c r="H82" t="s">
        <v>375</v>
      </c>
      <c r="I82" t="s">
        <v>373</v>
      </c>
      <c r="J82" s="124" t="str">
        <f>",'"&amp;own_detail[[#This Row],[Name]]&amp;"'"</f>
        <v>,'development_pattern_paid_lloyds_unadjusted'</v>
      </c>
      <c r="L82" t="s">
        <v>915</v>
      </c>
      <c r="M82" t="s">
        <v>115</v>
      </c>
      <c r="N82" t="s">
        <v>394</v>
      </c>
      <c r="O82" t="s">
        <v>372</v>
      </c>
      <c r="P82" t="s">
        <v>373</v>
      </c>
      <c r="Q82" t="s">
        <v>509</v>
      </c>
      <c r="R82" t="s">
        <v>373</v>
      </c>
      <c r="S82" t="s">
        <v>375</v>
      </c>
      <c r="T82" t="s">
        <v>373</v>
      </c>
      <c r="U82" s="124" t="str">
        <f>",'"&amp;own_summary[[#This Row],[Name]]&amp;"'"</f>
        <v>,'additional_ibnr_cat'</v>
      </c>
    </row>
    <row r="83" spans="1:21" x14ac:dyDescent="0.35">
      <c r="A83" t="s">
        <v>892</v>
      </c>
      <c r="B83" t="s">
        <v>174</v>
      </c>
      <c r="C83" t="s">
        <v>394</v>
      </c>
      <c r="D83" t="s">
        <v>372</v>
      </c>
      <c r="E83" t="s">
        <v>373</v>
      </c>
      <c r="F83" t="s">
        <v>893</v>
      </c>
      <c r="G83" t="s">
        <v>373</v>
      </c>
      <c r="H83" t="s">
        <v>375</v>
      </c>
      <c r="I83" t="s">
        <v>373</v>
      </c>
      <c r="J83" s="124" t="str">
        <f>",'"&amp;own_detail[[#This Row],[Name]]&amp;"'"</f>
        <v>,'development_pattern_incurred_lloyds_unadjusted'</v>
      </c>
      <c r="L83" t="s">
        <v>917</v>
      </c>
      <c r="M83" t="s">
        <v>116</v>
      </c>
      <c r="N83" t="s">
        <v>394</v>
      </c>
      <c r="O83" t="s">
        <v>372</v>
      </c>
      <c r="P83" t="s">
        <v>373</v>
      </c>
      <c r="Q83" t="s">
        <v>43</v>
      </c>
      <c r="R83" t="s">
        <v>373</v>
      </c>
      <c r="S83" t="s">
        <v>375</v>
      </c>
      <c r="T83" t="s">
        <v>373</v>
      </c>
      <c r="U83" s="124" t="str">
        <f>",'"&amp;own_summary[[#This Row],[Name]]&amp;"'"</f>
        <v>,'additional_ibnr_total'</v>
      </c>
    </row>
    <row r="84" spans="1:21" x14ac:dyDescent="0.35">
      <c r="A84" t="s">
        <v>895</v>
      </c>
      <c r="B84" t="s">
        <v>175</v>
      </c>
      <c r="C84" t="s">
        <v>394</v>
      </c>
      <c r="D84" t="s">
        <v>372</v>
      </c>
      <c r="E84" t="s">
        <v>373</v>
      </c>
      <c r="F84" t="s">
        <v>896</v>
      </c>
      <c r="G84" t="s">
        <v>373</v>
      </c>
      <c r="H84" t="s">
        <v>375</v>
      </c>
      <c r="I84" t="s">
        <v>373</v>
      </c>
      <c r="J84" s="124" t="str">
        <f>",'"&amp;own_detail[[#This Row],[Name]]&amp;"'"</f>
        <v>,'development_pattern_premium_lloyds'</v>
      </c>
      <c r="L84" t="s">
        <v>920</v>
      </c>
      <c r="M84" t="s">
        <v>117</v>
      </c>
      <c r="N84" t="s">
        <v>528</v>
      </c>
      <c r="O84" t="s">
        <v>372</v>
      </c>
      <c r="P84" t="s">
        <v>373</v>
      </c>
      <c r="Q84" t="s">
        <v>117</v>
      </c>
      <c r="R84" t="s">
        <v>373</v>
      </c>
      <c r="S84" t="s">
        <v>375</v>
      </c>
      <c r="T84" t="s">
        <v>373</v>
      </c>
      <c r="U84" s="124" t="str">
        <f>",'"&amp;own_summary[[#This Row],[Name]]&amp;"'"</f>
        <v>,'is_row_visible'</v>
      </c>
    </row>
    <row r="85" spans="1:21" x14ac:dyDescent="0.35">
      <c r="A85" t="s">
        <v>898</v>
      </c>
      <c r="B85" t="s">
        <v>176</v>
      </c>
      <c r="C85" t="s">
        <v>394</v>
      </c>
      <c r="D85" t="s">
        <v>372</v>
      </c>
      <c r="E85" t="s">
        <v>373</v>
      </c>
      <c r="F85" t="s">
        <v>899</v>
      </c>
      <c r="G85" t="s">
        <v>373</v>
      </c>
      <c r="H85" t="s">
        <v>375</v>
      </c>
      <c r="I85" t="s">
        <v>373</v>
      </c>
      <c r="J85" s="124" t="str">
        <f>",'"&amp;own_detail[[#This Row],[Name]]&amp;"'"</f>
        <v>,'development_pattern_paid_lloyds'</v>
      </c>
      <c r="L85" t="s">
        <v>923</v>
      </c>
      <c r="M85" t="s">
        <v>118</v>
      </c>
      <c r="N85" t="s">
        <v>528</v>
      </c>
      <c r="O85" t="s">
        <v>372</v>
      </c>
      <c r="P85" t="s">
        <v>373</v>
      </c>
      <c r="Q85" t="s">
        <v>118</v>
      </c>
      <c r="R85" t="s">
        <v>373</v>
      </c>
      <c r="S85" t="s">
        <v>375</v>
      </c>
      <c r="T85" t="s">
        <v>373</v>
      </c>
      <c r="U85" s="124" t="str">
        <f>",'"&amp;own_summary[[#This Row],[Name]]&amp;"'"</f>
        <v>,'lob_visible_1'</v>
      </c>
    </row>
    <row r="86" spans="1:21" x14ac:dyDescent="0.35">
      <c r="A86" t="s">
        <v>901</v>
      </c>
      <c r="B86" t="s">
        <v>177</v>
      </c>
      <c r="C86" t="s">
        <v>394</v>
      </c>
      <c r="D86" t="s">
        <v>372</v>
      </c>
      <c r="E86" t="s">
        <v>373</v>
      </c>
      <c r="F86" t="s">
        <v>902</v>
      </c>
      <c r="G86" t="s">
        <v>373</v>
      </c>
      <c r="H86" t="s">
        <v>375</v>
      </c>
      <c r="I86" t="s">
        <v>373</v>
      </c>
      <c r="J86" s="124" t="str">
        <f>",'"&amp;own_detail[[#This Row],[Name]]&amp;"'"</f>
        <v>,'development_pattern_incurred_lloyds'</v>
      </c>
      <c r="L86" t="s">
        <v>926</v>
      </c>
      <c r="M86" t="s">
        <v>119</v>
      </c>
      <c r="N86" t="s">
        <v>528</v>
      </c>
      <c r="O86" t="s">
        <v>372</v>
      </c>
      <c r="P86" t="s">
        <v>373</v>
      </c>
      <c r="Q86" t="s">
        <v>119</v>
      </c>
      <c r="R86" t="s">
        <v>373</v>
      </c>
      <c r="S86" t="s">
        <v>375</v>
      </c>
      <c r="T86" t="s">
        <v>373</v>
      </c>
      <c r="U86" s="124" t="str">
        <f>",'"&amp;own_summary[[#This Row],[Name]]&amp;"'"</f>
        <v>,'lob_visible_2'</v>
      </c>
    </row>
    <row r="87" spans="1:21" x14ac:dyDescent="0.35">
      <c r="A87" t="s">
        <v>904</v>
      </c>
      <c r="B87" t="s">
        <v>178</v>
      </c>
      <c r="C87" t="s">
        <v>394</v>
      </c>
      <c r="D87" t="s">
        <v>378</v>
      </c>
      <c r="E87" t="s">
        <v>451</v>
      </c>
      <c r="F87" t="s">
        <v>905</v>
      </c>
      <c r="G87" t="s">
        <v>453</v>
      </c>
      <c r="H87" t="s">
        <v>375</v>
      </c>
      <c r="I87" t="s">
        <v>373</v>
      </c>
      <c r="J87" s="124" t="str">
        <f>",'"&amp;own_detail[[#This Row],[Name]]&amp;"'"</f>
        <v>,'development_pattern_premium_override'</v>
      </c>
      <c r="L87" t="s">
        <v>929</v>
      </c>
      <c r="M87" t="s">
        <v>120</v>
      </c>
      <c r="N87" t="s">
        <v>528</v>
      </c>
      <c r="O87" t="s">
        <v>372</v>
      </c>
      <c r="P87" t="s">
        <v>373</v>
      </c>
      <c r="Q87" t="s">
        <v>120</v>
      </c>
      <c r="R87" t="s">
        <v>373</v>
      </c>
      <c r="S87" t="s">
        <v>375</v>
      </c>
      <c r="T87" t="s">
        <v>373</v>
      </c>
      <c r="U87" s="124" t="str">
        <f>",'"&amp;own_summary[[#This Row],[Name]]&amp;"'"</f>
        <v>,'lob_visible_3'</v>
      </c>
    </row>
    <row r="88" spans="1:21" x14ac:dyDescent="0.35">
      <c r="A88" t="s">
        <v>907</v>
      </c>
      <c r="B88" t="s">
        <v>179</v>
      </c>
      <c r="C88" t="s">
        <v>394</v>
      </c>
      <c r="D88" t="s">
        <v>378</v>
      </c>
      <c r="E88" t="s">
        <v>451</v>
      </c>
      <c r="F88" t="s">
        <v>908</v>
      </c>
      <c r="G88" t="s">
        <v>453</v>
      </c>
      <c r="H88" t="s">
        <v>375</v>
      </c>
      <c r="I88" t="s">
        <v>373</v>
      </c>
      <c r="J88" s="124" t="str">
        <f>",'"&amp;own_detail[[#This Row],[Name]]&amp;"'"</f>
        <v>,'development_pattern_incurred_override'</v>
      </c>
      <c r="L88" t="s">
        <v>932</v>
      </c>
      <c r="M88" t="s">
        <v>121</v>
      </c>
      <c r="N88" t="s">
        <v>394</v>
      </c>
      <c r="O88" t="s">
        <v>372</v>
      </c>
      <c r="P88" t="s">
        <v>373</v>
      </c>
      <c r="Q88" t="s">
        <v>89</v>
      </c>
      <c r="R88" t="s">
        <v>373</v>
      </c>
      <c r="S88" t="s">
        <v>375</v>
      </c>
      <c r="T88" t="s">
        <v>373</v>
      </c>
      <c r="U88" s="124" t="str">
        <f>",'"&amp;own_summary[[#This Row],[Name]]&amp;"'"</f>
        <v>,'latest_incurred_open_claims_attr'</v>
      </c>
    </row>
    <row r="89" spans="1:21" x14ac:dyDescent="0.35">
      <c r="A89" t="s">
        <v>910</v>
      </c>
      <c r="B89" t="s">
        <v>180</v>
      </c>
      <c r="C89" t="s">
        <v>394</v>
      </c>
      <c r="D89" t="s">
        <v>372</v>
      </c>
      <c r="E89" t="s">
        <v>373</v>
      </c>
      <c r="F89" t="s">
        <v>911</v>
      </c>
      <c r="G89" t="s">
        <v>373</v>
      </c>
      <c r="H89" t="s">
        <v>375</v>
      </c>
      <c r="I89" t="s">
        <v>373</v>
      </c>
      <c r="J89" s="124" t="str">
        <f>",'"&amp;own_detail[[#This Row],[Name]]&amp;"'"</f>
        <v>,'development_pattern_premium_selected'</v>
      </c>
      <c r="L89" t="s">
        <v>935</v>
      </c>
      <c r="M89" t="s">
        <v>122</v>
      </c>
      <c r="N89" t="s">
        <v>394</v>
      </c>
      <c r="O89" t="s">
        <v>372</v>
      </c>
      <c r="P89" t="s">
        <v>373</v>
      </c>
      <c r="Q89" t="s">
        <v>89</v>
      </c>
      <c r="R89" t="s">
        <v>373</v>
      </c>
      <c r="S89" t="s">
        <v>375</v>
      </c>
      <c r="T89" t="s">
        <v>373</v>
      </c>
      <c r="U89" s="124" t="str">
        <f>",'"&amp;own_summary[[#This Row],[Name]]&amp;"'"</f>
        <v>,'latest_incurred_closed_claims_attr'</v>
      </c>
    </row>
    <row r="90" spans="1:21" x14ac:dyDescent="0.35">
      <c r="A90" t="s">
        <v>913</v>
      </c>
      <c r="B90" t="s">
        <v>181</v>
      </c>
      <c r="C90" t="s">
        <v>394</v>
      </c>
      <c r="D90" t="s">
        <v>372</v>
      </c>
      <c r="E90" t="s">
        <v>373</v>
      </c>
      <c r="F90" t="s">
        <v>914</v>
      </c>
      <c r="G90" t="s">
        <v>373</v>
      </c>
      <c r="H90" t="s">
        <v>375</v>
      </c>
      <c r="I90" t="s">
        <v>373</v>
      </c>
      <c r="J90" s="124" t="str">
        <f>",'"&amp;own_detail[[#This Row],[Name]]&amp;"'"</f>
        <v>,'development_pattern_incurred_selected'</v>
      </c>
      <c r="L90" t="s">
        <v>937</v>
      </c>
      <c r="M90" t="s">
        <v>123</v>
      </c>
      <c r="N90" t="s">
        <v>394</v>
      </c>
      <c r="O90" t="s">
        <v>372</v>
      </c>
      <c r="P90" t="s">
        <v>373</v>
      </c>
      <c r="Q90" t="s">
        <v>89</v>
      </c>
      <c r="R90" t="s">
        <v>373</v>
      </c>
      <c r="S90" t="s">
        <v>375</v>
      </c>
      <c r="T90" t="s">
        <v>373</v>
      </c>
      <c r="U90" s="124" t="str">
        <f>",'"&amp;own_summary[[#This Row],[Name]]&amp;"'"</f>
        <v>,'latest_incurred_total_claims_attr'</v>
      </c>
    </row>
    <row r="91" spans="1:21" x14ac:dyDescent="0.35">
      <c r="A91" t="s">
        <v>916</v>
      </c>
      <c r="B91" t="s">
        <v>182</v>
      </c>
      <c r="C91" t="s">
        <v>377</v>
      </c>
      <c r="D91" t="s">
        <v>431</v>
      </c>
      <c r="E91" t="s">
        <v>373</v>
      </c>
      <c r="F91" t="s">
        <v>694</v>
      </c>
      <c r="G91" t="s">
        <v>373</v>
      </c>
      <c r="H91" t="s">
        <v>375</v>
      </c>
      <c r="I91" t="s">
        <v>373</v>
      </c>
      <c r="J91" s="124" t="str">
        <f>",'"&amp;own_detail[[#This Row],[Name]]&amp;"'"</f>
        <v>,'method_incurred'</v>
      </c>
      <c r="L91" t="s">
        <v>939</v>
      </c>
      <c r="M91" t="s">
        <v>124</v>
      </c>
      <c r="N91" t="s">
        <v>394</v>
      </c>
      <c r="O91" t="s">
        <v>372</v>
      </c>
      <c r="P91" t="s">
        <v>373</v>
      </c>
      <c r="Q91" t="s">
        <v>89</v>
      </c>
      <c r="R91" t="s">
        <v>373</v>
      </c>
      <c r="S91" t="s">
        <v>375</v>
      </c>
      <c r="T91" t="s">
        <v>373</v>
      </c>
      <c r="U91" s="124" t="str">
        <f>",'"&amp;own_summary[[#This Row],[Name]]&amp;"'"</f>
        <v>,'last_year_position_attr'</v>
      </c>
    </row>
    <row r="92" spans="1:21" x14ac:dyDescent="0.35">
      <c r="A92" t="s">
        <v>918</v>
      </c>
      <c r="B92" t="s">
        <v>183</v>
      </c>
      <c r="C92" t="s">
        <v>394</v>
      </c>
      <c r="D92" t="s">
        <v>431</v>
      </c>
      <c r="E92" t="s">
        <v>373</v>
      </c>
      <c r="F92" t="s">
        <v>919</v>
      </c>
      <c r="G92" t="s">
        <v>373</v>
      </c>
      <c r="H92" t="s">
        <v>375</v>
      </c>
      <c r="I92" t="s">
        <v>373</v>
      </c>
      <c r="J92" s="124" t="str">
        <f>",'"&amp;own_detail[[#This Row],[Name]]&amp;"'"</f>
        <v>,'applied_rate_change'</v>
      </c>
      <c r="L92" t="s">
        <v>942</v>
      </c>
      <c r="M92" t="s">
        <v>125</v>
      </c>
      <c r="N92" t="s">
        <v>394</v>
      </c>
      <c r="O92" t="s">
        <v>372</v>
      </c>
      <c r="P92" t="s">
        <v>373</v>
      </c>
      <c r="Q92" t="s">
        <v>89</v>
      </c>
      <c r="R92" t="s">
        <v>373</v>
      </c>
      <c r="S92" t="s">
        <v>375</v>
      </c>
      <c r="T92" t="s">
        <v>373</v>
      </c>
      <c r="U92" s="124" t="str">
        <f>",'"&amp;own_summary[[#This Row],[Name]]&amp;"'"</f>
        <v>,'movement_attr'</v>
      </c>
    </row>
    <row r="93" spans="1:21" x14ac:dyDescent="0.35">
      <c r="A93" t="s">
        <v>921</v>
      </c>
      <c r="B93" t="s">
        <v>184</v>
      </c>
      <c r="C93" t="s">
        <v>394</v>
      </c>
      <c r="D93" t="s">
        <v>431</v>
      </c>
      <c r="E93" t="s">
        <v>373</v>
      </c>
      <c r="F93" t="s">
        <v>922</v>
      </c>
      <c r="G93" t="s">
        <v>373</v>
      </c>
      <c r="H93" t="s">
        <v>375</v>
      </c>
      <c r="I93" t="s">
        <v>373</v>
      </c>
      <c r="J93" s="124" t="str">
        <f>",'"&amp;own_detail[[#This Row],[Name]]&amp;"'"</f>
        <v>,'applied_inflation'</v>
      </c>
      <c r="L93" t="s">
        <v>944</v>
      </c>
      <c r="M93" t="s">
        <v>126</v>
      </c>
      <c r="N93" t="s">
        <v>394</v>
      </c>
      <c r="O93" t="s">
        <v>372</v>
      </c>
      <c r="P93" t="s">
        <v>373</v>
      </c>
      <c r="Q93" t="s">
        <v>89</v>
      </c>
      <c r="R93" t="s">
        <v>373</v>
      </c>
      <c r="S93" t="s">
        <v>375</v>
      </c>
      <c r="T93" t="s">
        <v>373</v>
      </c>
      <c r="U93" s="124" t="str">
        <f>",'"&amp;own_summary[[#This Row],[Name]]&amp;"'"</f>
        <v>,'gn_ilr_attr'</v>
      </c>
    </row>
    <row r="94" spans="1:21" x14ac:dyDescent="0.35">
      <c r="A94" t="s">
        <v>924</v>
      </c>
      <c r="B94" t="s">
        <v>185</v>
      </c>
      <c r="C94" t="s">
        <v>394</v>
      </c>
      <c r="D94" t="s">
        <v>372</v>
      </c>
      <c r="E94" t="s">
        <v>373</v>
      </c>
      <c r="F94" t="s">
        <v>925</v>
      </c>
      <c r="G94" t="s">
        <v>373</v>
      </c>
      <c r="H94" t="s">
        <v>375</v>
      </c>
      <c r="I94" t="s">
        <v>373</v>
      </c>
      <c r="J94" s="124" t="str">
        <f>",'"&amp;own_detail[[#This Row],[Name]]&amp;"'"</f>
        <v>,'modelled_weighting'</v>
      </c>
      <c r="L94" t="s">
        <v>947</v>
      </c>
      <c r="M94" t="s">
        <v>127</v>
      </c>
      <c r="N94" t="s">
        <v>394</v>
      </c>
      <c r="O94" t="s">
        <v>372</v>
      </c>
      <c r="P94" t="s">
        <v>373</v>
      </c>
      <c r="Q94" t="s">
        <v>89</v>
      </c>
      <c r="R94" t="s">
        <v>373</v>
      </c>
      <c r="S94" t="s">
        <v>375</v>
      </c>
      <c r="T94" t="s">
        <v>373</v>
      </c>
      <c r="U94" s="124" t="str">
        <f>",'"&amp;own_summary[[#This Row],[Name]]&amp;"'"</f>
        <v>,'ultimate_incurred_ielr_attr'</v>
      </c>
    </row>
    <row r="95" spans="1:21" x14ac:dyDescent="0.35">
      <c r="A95" t="s">
        <v>927</v>
      </c>
      <c r="B95" t="s">
        <v>186</v>
      </c>
      <c r="C95" t="s">
        <v>394</v>
      </c>
      <c r="D95" t="s">
        <v>372</v>
      </c>
      <c r="E95" t="s">
        <v>373</v>
      </c>
      <c r="F95" t="s">
        <v>928</v>
      </c>
      <c r="G95" t="s">
        <v>373</v>
      </c>
      <c r="H95" t="s">
        <v>375</v>
      </c>
      <c r="I95" t="s">
        <v>373</v>
      </c>
      <c r="J95" s="124" t="str">
        <f>",'"&amp;own_detail[[#This Row],[Name]]&amp;"'"</f>
        <v>,'applied_rate_change_cumulative'</v>
      </c>
      <c r="L95" t="s">
        <v>950</v>
      </c>
      <c r="M95" t="s">
        <v>128</v>
      </c>
      <c r="N95" t="s">
        <v>394</v>
      </c>
      <c r="O95" t="s">
        <v>372</v>
      </c>
      <c r="P95" t="s">
        <v>373</v>
      </c>
      <c r="Q95" t="s">
        <v>89</v>
      </c>
      <c r="R95" t="s">
        <v>373</v>
      </c>
      <c r="S95" t="s">
        <v>375</v>
      </c>
      <c r="T95" t="s">
        <v>373</v>
      </c>
      <c r="U95" s="124" t="str">
        <f>",'"&amp;own_summary[[#This Row],[Name]]&amp;"'"</f>
        <v>,'ultimate_incurred_bf_attr'</v>
      </c>
    </row>
    <row r="96" spans="1:21" x14ac:dyDescent="0.35">
      <c r="A96" t="s">
        <v>930</v>
      </c>
      <c r="B96" t="s">
        <v>187</v>
      </c>
      <c r="C96" t="s">
        <v>394</v>
      </c>
      <c r="D96" t="s">
        <v>372</v>
      </c>
      <c r="E96" t="s">
        <v>373</v>
      </c>
      <c r="F96" t="s">
        <v>931</v>
      </c>
      <c r="G96" t="s">
        <v>373</v>
      </c>
      <c r="H96" t="s">
        <v>375</v>
      </c>
      <c r="I96" t="s">
        <v>373</v>
      </c>
      <c r="J96" s="124" t="str">
        <f>",'"&amp;own_detail[[#This Row],[Name]]&amp;"'"</f>
        <v>,'applied_inflation_cumulative'</v>
      </c>
      <c r="L96" t="s">
        <v>953</v>
      </c>
      <c r="M96" t="s">
        <v>129</v>
      </c>
      <c r="N96" t="s">
        <v>394</v>
      </c>
      <c r="O96" t="s">
        <v>372</v>
      </c>
      <c r="P96" t="s">
        <v>373</v>
      </c>
      <c r="Q96" t="s">
        <v>89</v>
      </c>
      <c r="R96" t="s">
        <v>373</v>
      </c>
      <c r="S96" t="s">
        <v>375</v>
      </c>
      <c r="T96" t="s">
        <v>373</v>
      </c>
      <c r="U96" s="124" t="str">
        <f>",'"&amp;own_summary[[#This Row],[Name]]&amp;"'"</f>
        <v>,'ultimate_incurred_cl_attr'</v>
      </c>
    </row>
    <row r="97" spans="1:21" x14ac:dyDescent="0.35">
      <c r="A97" t="s">
        <v>933</v>
      </c>
      <c r="B97" t="s">
        <v>188</v>
      </c>
      <c r="C97" t="s">
        <v>394</v>
      </c>
      <c r="D97" t="s">
        <v>372</v>
      </c>
      <c r="E97" t="s">
        <v>373</v>
      </c>
      <c r="F97" t="s">
        <v>934</v>
      </c>
      <c r="G97" t="s">
        <v>373</v>
      </c>
      <c r="H97" t="s">
        <v>375</v>
      </c>
      <c r="I97" t="s">
        <v>373</v>
      </c>
      <c r="J97" s="124" t="str">
        <f>",'"&amp;own_detail[[#This Row],[Name]]&amp;"'"</f>
        <v>,'onlevel_factor_cumulative'</v>
      </c>
      <c r="L97" t="s">
        <v>958</v>
      </c>
      <c r="M97" t="s">
        <v>130</v>
      </c>
      <c r="N97" t="s">
        <v>394</v>
      </c>
      <c r="O97" t="s">
        <v>372</v>
      </c>
      <c r="P97" t="s">
        <v>373</v>
      </c>
      <c r="Q97" t="s">
        <v>89</v>
      </c>
      <c r="R97" t="s">
        <v>373</v>
      </c>
      <c r="S97" t="s">
        <v>375</v>
      </c>
      <c r="T97" t="s">
        <v>373</v>
      </c>
      <c r="U97" s="124" t="str">
        <f>",'"&amp;own_summary[[#This Row],[Name]]&amp;"'"</f>
        <v>,'ultimate_incurred_selected_attr'</v>
      </c>
    </row>
    <row r="98" spans="1:21" x14ac:dyDescent="0.35">
      <c r="A98" t="s">
        <v>936</v>
      </c>
      <c r="B98" t="s">
        <v>189</v>
      </c>
      <c r="C98" t="s">
        <v>394</v>
      </c>
      <c r="D98" t="s">
        <v>372</v>
      </c>
      <c r="E98" t="s">
        <v>373</v>
      </c>
      <c r="F98" t="s">
        <v>774</v>
      </c>
      <c r="G98" t="s">
        <v>373</v>
      </c>
      <c r="H98" t="s">
        <v>375</v>
      </c>
      <c r="I98" t="s">
        <v>373</v>
      </c>
      <c r="J98" s="124" t="str">
        <f>",'"&amp;own_detail[[#This Row],[Name]]&amp;"'"</f>
        <v>,'exposure_weighting_onlevel_1'</v>
      </c>
      <c r="L98" t="s">
        <v>961</v>
      </c>
      <c r="M98" t="s">
        <v>131</v>
      </c>
      <c r="N98" t="s">
        <v>394</v>
      </c>
      <c r="O98" t="s">
        <v>372</v>
      </c>
      <c r="P98" t="s">
        <v>373</v>
      </c>
      <c r="Q98" t="s">
        <v>89</v>
      </c>
      <c r="R98" t="s">
        <v>373</v>
      </c>
      <c r="S98" t="s">
        <v>375</v>
      </c>
      <c r="T98" t="s">
        <v>373</v>
      </c>
      <c r="U98" s="124" t="str">
        <f>",'"&amp;own_summary[[#This Row],[Name]]&amp;"'"</f>
        <v>,'ultimate_ulr_selected_attr'</v>
      </c>
    </row>
    <row r="99" spans="1:21" x14ac:dyDescent="0.35">
      <c r="A99" t="s">
        <v>938</v>
      </c>
      <c r="B99" t="s">
        <v>190</v>
      </c>
      <c r="C99" t="s">
        <v>394</v>
      </c>
      <c r="D99" t="s">
        <v>372</v>
      </c>
      <c r="E99" t="s">
        <v>373</v>
      </c>
      <c r="F99" t="s">
        <v>781</v>
      </c>
      <c r="G99" t="s">
        <v>373</v>
      </c>
      <c r="H99" t="s">
        <v>375</v>
      </c>
      <c r="I99" t="s">
        <v>373</v>
      </c>
      <c r="J99" s="124" t="str">
        <f>",'"&amp;own_detail[[#This Row],[Name]]&amp;"'"</f>
        <v>,'decay_ratio_weighting_2'</v>
      </c>
      <c r="L99" t="s">
        <v>964</v>
      </c>
      <c r="M99" t="s">
        <v>132</v>
      </c>
      <c r="N99" t="s">
        <v>394</v>
      </c>
      <c r="O99" t="s">
        <v>372</v>
      </c>
      <c r="P99" t="s">
        <v>373</v>
      </c>
      <c r="Q99" t="s">
        <v>89</v>
      </c>
      <c r="R99" t="s">
        <v>373</v>
      </c>
      <c r="S99" t="s">
        <v>375</v>
      </c>
      <c r="T99" t="s">
        <v>373</v>
      </c>
      <c r="U99" s="124" t="str">
        <f>",'"&amp;own_summary[[#This Row],[Name]]&amp;"'"</f>
        <v>,'ultimate_ulr_on_levelled_attr'</v>
      </c>
    </row>
    <row r="100" spans="1:21" x14ac:dyDescent="0.35">
      <c r="A100" t="s">
        <v>940</v>
      </c>
      <c r="B100" t="s">
        <v>191</v>
      </c>
      <c r="C100" t="s">
        <v>394</v>
      </c>
      <c r="D100" t="s">
        <v>372</v>
      </c>
      <c r="E100" t="s">
        <v>373</v>
      </c>
      <c r="F100" t="s">
        <v>941</v>
      </c>
      <c r="G100" t="s">
        <v>373</v>
      </c>
      <c r="H100" t="s">
        <v>375</v>
      </c>
      <c r="I100" t="s">
        <v>373</v>
      </c>
      <c r="J100" s="124" t="str">
        <f>",'"&amp;own_detail[[#This Row],[Name]]&amp;"'"</f>
        <v>,'developed_weighting_3'</v>
      </c>
      <c r="L100" t="s">
        <v>969</v>
      </c>
      <c r="M100" t="s">
        <v>133</v>
      </c>
      <c r="N100" t="s">
        <v>394</v>
      </c>
      <c r="O100" t="s">
        <v>372</v>
      </c>
      <c r="P100" t="s">
        <v>373</v>
      </c>
      <c r="Q100" t="s">
        <v>90</v>
      </c>
      <c r="R100" t="s">
        <v>373</v>
      </c>
      <c r="S100" t="s">
        <v>375</v>
      </c>
      <c r="T100" t="s">
        <v>373</v>
      </c>
      <c r="U100" s="124" t="str">
        <f>",'"&amp;own_summary[[#This Row],[Name]]&amp;"'"</f>
        <v>,'latest_incurred_open_claims_large'</v>
      </c>
    </row>
    <row r="101" spans="1:21" x14ac:dyDescent="0.35">
      <c r="A101" t="s">
        <v>943</v>
      </c>
      <c r="B101" t="s">
        <v>192</v>
      </c>
      <c r="C101" t="s">
        <v>394</v>
      </c>
      <c r="D101" t="s">
        <v>372</v>
      </c>
      <c r="E101" t="s">
        <v>373</v>
      </c>
      <c r="F101" t="s">
        <v>925</v>
      </c>
      <c r="G101" t="s">
        <v>373</v>
      </c>
      <c r="H101" t="s">
        <v>375</v>
      </c>
      <c r="I101" t="s">
        <v>373</v>
      </c>
      <c r="J101" s="124" t="str">
        <f>",'"&amp;own_detail[[#This Row],[Name]]&amp;"'"</f>
        <v>,'overall_weighting_onlevel'</v>
      </c>
      <c r="L101" t="s">
        <v>972</v>
      </c>
      <c r="M101" t="s">
        <v>134</v>
      </c>
      <c r="N101" t="s">
        <v>394</v>
      </c>
      <c r="O101" t="s">
        <v>372</v>
      </c>
      <c r="P101" t="s">
        <v>373</v>
      </c>
      <c r="Q101" t="s">
        <v>90</v>
      </c>
      <c r="R101" t="s">
        <v>373</v>
      </c>
      <c r="S101" t="s">
        <v>375</v>
      </c>
      <c r="T101" t="s">
        <v>373</v>
      </c>
      <c r="U101" s="124" t="str">
        <f>",'"&amp;own_summary[[#This Row],[Name]]&amp;"'"</f>
        <v>,'latest_incurred_closed_claims_large'</v>
      </c>
    </row>
    <row r="102" spans="1:21" x14ac:dyDescent="0.35">
      <c r="A102" t="s">
        <v>945</v>
      </c>
      <c r="B102" t="s">
        <v>193</v>
      </c>
      <c r="C102" t="s">
        <v>394</v>
      </c>
      <c r="D102" t="s">
        <v>372</v>
      </c>
      <c r="E102" t="s">
        <v>373</v>
      </c>
      <c r="F102" t="s">
        <v>946</v>
      </c>
      <c r="G102" t="s">
        <v>373</v>
      </c>
      <c r="H102" t="s">
        <v>375</v>
      </c>
      <c r="I102" t="s">
        <v>373</v>
      </c>
      <c r="J102" s="124" t="str">
        <f>",'"&amp;own_detail[[#This Row],[Name]]&amp;"'"</f>
        <v>,'exposure_weighting_nominal_1'</v>
      </c>
      <c r="L102" t="s">
        <v>975</v>
      </c>
      <c r="M102" t="s">
        <v>135</v>
      </c>
      <c r="N102" t="s">
        <v>394</v>
      </c>
      <c r="O102" t="s">
        <v>372</v>
      </c>
      <c r="P102" t="s">
        <v>373</v>
      </c>
      <c r="Q102" t="s">
        <v>90</v>
      </c>
      <c r="R102" t="s">
        <v>373</v>
      </c>
      <c r="S102" t="s">
        <v>375</v>
      </c>
      <c r="T102" t="s">
        <v>373</v>
      </c>
      <c r="U102" s="124" t="str">
        <f>",'"&amp;own_summary[[#This Row],[Name]]&amp;"'"</f>
        <v>,'latest_incurred_total_claims_large'</v>
      </c>
    </row>
    <row r="103" spans="1:21" x14ac:dyDescent="0.35">
      <c r="A103" t="s">
        <v>948</v>
      </c>
      <c r="B103" t="s">
        <v>194</v>
      </c>
      <c r="C103" t="s">
        <v>394</v>
      </c>
      <c r="D103" t="s">
        <v>372</v>
      </c>
      <c r="E103" t="s">
        <v>373</v>
      </c>
      <c r="F103" t="s">
        <v>949</v>
      </c>
      <c r="G103" t="s">
        <v>373</v>
      </c>
      <c r="H103" t="s">
        <v>375</v>
      </c>
      <c r="I103" t="s">
        <v>373</v>
      </c>
      <c r="J103" s="124" t="str">
        <f>",'"&amp;own_detail[[#This Row],[Name]]&amp;"'"</f>
        <v>,'overall_weighting_nominal'</v>
      </c>
      <c r="L103" t="s">
        <v>976</v>
      </c>
      <c r="M103" t="s">
        <v>136</v>
      </c>
      <c r="N103" t="s">
        <v>394</v>
      </c>
      <c r="O103" t="s">
        <v>372</v>
      </c>
      <c r="P103" t="s">
        <v>373</v>
      </c>
      <c r="Q103" t="s">
        <v>90</v>
      </c>
      <c r="R103" t="s">
        <v>373</v>
      </c>
      <c r="S103" t="s">
        <v>375</v>
      </c>
      <c r="T103" t="s">
        <v>373</v>
      </c>
      <c r="U103" s="124" t="str">
        <f>",'"&amp;own_summary[[#This Row],[Name]]&amp;"'"</f>
        <v>,'last_year_position_large'</v>
      </c>
    </row>
    <row r="104" spans="1:21" x14ac:dyDescent="0.35">
      <c r="A104" t="s">
        <v>951</v>
      </c>
      <c r="B104" t="s">
        <v>195</v>
      </c>
      <c r="C104" t="s">
        <v>394</v>
      </c>
      <c r="D104" t="s">
        <v>372</v>
      </c>
      <c r="E104" t="s">
        <v>373</v>
      </c>
      <c r="F104" t="s">
        <v>952</v>
      </c>
      <c r="G104" t="s">
        <v>373</v>
      </c>
      <c r="H104" t="s">
        <v>375</v>
      </c>
      <c r="I104" t="s">
        <v>373</v>
      </c>
      <c r="J104" s="124" t="str">
        <f>",'"&amp;own_detail[[#This Row],[Name]]&amp;"'"</f>
        <v>,'adjustments_actual'</v>
      </c>
      <c r="L104" t="s">
        <v>977</v>
      </c>
      <c r="M104" t="s">
        <v>137</v>
      </c>
      <c r="N104" t="s">
        <v>394</v>
      </c>
      <c r="O104" t="s">
        <v>372</v>
      </c>
      <c r="P104" t="s">
        <v>373</v>
      </c>
      <c r="Q104" t="s">
        <v>90</v>
      </c>
      <c r="R104" t="s">
        <v>373</v>
      </c>
      <c r="S104" t="s">
        <v>375</v>
      </c>
      <c r="T104" t="s">
        <v>373</v>
      </c>
      <c r="U104" s="124" t="str">
        <f>",'"&amp;own_summary[[#This Row],[Name]]&amp;"'"</f>
        <v>,'movement_large'</v>
      </c>
    </row>
    <row r="105" spans="1:21" x14ac:dyDescent="0.35">
      <c r="A105" t="s">
        <v>954</v>
      </c>
      <c r="B105" t="s">
        <v>196</v>
      </c>
      <c r="C105" t="s">
        <v>394</v>
      </c>
      <c r="D105" t="s">
        <v>372</v>
      </c>
      <c r="E105" t="s">
        <v>373</v>
      </c>
      <c r="F105" t="s">
        <v>955</v>
      </c>
      <c r="G105" t="s">
        <v>373</v>
      </c>
      <c r="H105" t="s">
        <v>375</v>
      </c>
      <c r="I105" t="s">
        <v>373</v>
      </c>
      <c r="J105" s="124" t="str">
        <f>",'"&amp;own_detail[[#This Row],[Name]]&amp;"'"</f>
        <v>,'adjustments_lower'</v>
      </c>
      <c r="L105" t="s">
        <v>978</v>
      </c>
      <c r="M105" t="s">
        <v>138</v>
      </c>
      <c r="N105" t="s">
        <v>394</v>
      </c>
      <c r="O105" t="s">
        <v>372</v>
      </c>
      <c r="P105" t="s">
        <v>373</v>
      </c>
      <c r="Q105" t="s">
        <v>90</v>
      </c>
      <c r="R105" t="s">
        <v>373</v>
      </c>
      <c r="S105" t="s">
        <v>375</v>
      </c>
      <c r="T105" t="s">
        <v>373</v>
      </c>
      <c r="U105" s="124" t="str">
        <f>",'"&amp;own_summary[[#This Row],[Name]]&amp;"'"</f>
        <v>,'gn_ilr_large'</v>
      </c>
    </row>
    <row r="106" spans="1:21" x14ac:dyDescent="0.35">
      <c r="A106" t="s">
        <v>956</v>
      </c>
      <c r="B106" t="s">
        <v>197</v>
      </c>
      <c r="C106" t="s">
        <v>394</v>
      </c>
      <c r="D106" t="s">
        <v>372</v>
      </c>
      <c r="E106" t="s">
        <v>373</v>
      </c>
      <c r="F106" t="s">
        <v>957</v>
      </c>
      <c r="G106" t="s">
        <v>373</v>
      </c>
      <c r="H106" t="s">
        <v>375</v>
      </c>
      <c r="I106" t="s">
        <v>373</v>
      </c>
      <c r="J106" s="124" t="str">
        <f>",'"&amp;own_detail[[#This Row],[Name]]&amp;"'"</f>
        <v>,'adjustments_upper'</v>
      </c>
      <c r="L106" t="s">
        <v>979</v>
      </c>
      <c r="M106" t="s">
        <v>139</v>
      </c>
      <c r="N106" t="s">
        <v>394</v>
      </c>
      <c r="O106" t="s">
        <v>372</v>
      </c>
      <c r="P106" t="s">
        <v>373</v>
      </c>
      <c r="Q106" t="s">
        <v>90</v>
      </c>
      <c r="R106" t="s">
        <v>373</v>
      </c>
      <c r="S106" t="s">
        <v>375</v>
      </c>
      <c r="T106" t="s">
        <v>373</v>
      </c>
      <c r="U106" s="124" t="str">
        <f>",'"&amp;own_summary[[#This Row],[Name]]&amp;"'"</f>
        <v>,'ultimate_incurred_ielr_large'</v>
      </c>
    </row>
    <row r="107" spans="1:21" x14ac:dyDescent="0.35">
      <c r="A107" t="s">
        <v>959</v>
      </c>
      <c r="B107" t="s">
        <v>198</v>
      </c>
      <c r="C107" t="s">
        <v>394</v>
      </c>
      <c r="D107" t="s">
        <v>372</v>
      </c>
      <c r="E107" t="s">
        <v>373</v>
      </c>
      <c r="F107" t="s">
        <v>960</v>
      </c>
      <c r="G107" t="s">
        <v>373</v>
      </c>
      <c r="H107" t="s">
        <v>375</v>
      </c>
      <c r="I107" t="s">
        <v>373</v>
      </c>
      <c r="J107" s="124" t="str">
        <f>",'"&amp;own_detail[[#This Row],[Name]]&amp;"'"</f>
        <v>,'adjustments_prem_lloyds_lower'</v>
      </c>
      <c r="L107" t="s">
        <v>980</v>
      </c>
      <c r="M107" t="s">
        <v>140</v>
      </c>
      <c r="N107" t="s">
        <v>394</v>
      </c>
      <c r="O107" t="s">
        <v>372</v>
      </c>
      <c r="P107" t="s">
        <v>373</v>
      </c>
      <c r="Q107" t="s">
        <v>90</v>
      </c>
      <c r="R107" t="s">
        <v>373</v>
      </c>
      <c r="S107" t="s">
        <v>375</v>
      </c>
      <c r="T107" t="s">
        <v>373</v>
      </c>
      <c r="U107" s="124" t="str">
        <f>",'"&amp;own_summary[[#This Row],[Name]]&amp;"'"</f>
        <v>,'ultimate_incurred_bf_large'</v>
      </c>
    </row>
    <row r="108" spans="1:21" x14ac:dyDescent="0.35">
      <c r="A108" t="s">
        <v>962</v>
      </c>
      <c r="B108" t="s">
        <v>199</v>
      </c>
      <c r="C108" t="s">
        <v>394</v>
      </c>
      <c r="D108" t="s">
        <v>372</v>
      </c>
      <c r="E108" t="s">
        <v>373</v>
      </c>
      <c r="F108" t="s">
        <v>963</v>
      </c>
      <c r="G108" t="s">
        <v>373</v>
      </c>
      <c r="H108" t="s">
        <v>375</v>
      </c>
      <c r="I108" t="s">
        <v>373</v>
      </c>
      <c r="J108" s="124" t="str">
        <f>",'"&amp;own_detail[[#This Row],[Name]]&amp;"'"</f>
        <v>,'adjustments_prem_lloyds_upper'</v>
      </c>
      <c r="L108" t="s">
        <v>981</v>
      </c>
      <c r="M108" t="s">
        <v>141</v>
      </c>
      <c r="N108" t="s">
        <v>394</v>
      </c>
      <c r="O108" t="s">
        <v>372</v>
      </c>
      <c r="P108" t="s">
        <v>373</v>
      </c>
      <c r="Q108" t="s">
        <v>90</v>
      </c>
      <c r="R108" t="s">
        <v>373</v>
      </c>
      <c r="S108" t="s">
        <v>375</v>
      </c>
      <c r="T108" t="s">
        <v>373</v>
      </c>
      <c r="U108" s="124" t="str">
        <f>",'"&amp;own_summary[[#This Row],[Name]]&amp;"'"</f>
        <v>,'ultimate_incurred_cl_large'</v>
      </c>
    </row>
    <row r="109" spans="1:21" x14ac:dyDescent="0.35">
      <c r="A109" t="s">
        <v>965</v>
      </c>
      <c r="B109" t="s">
        <v>200</v>
      </c>
      <c r="C109" t="s">
        <v>394</v>
      </c>
      <c r="D109" t="s">
        <v>372</v>
      </c>
      <c r="E109" t="s">
        <v>373</v>
      </c>
      <c r="F109" t="s">
        <v>966</v>
      </c>
      <c r="G109" t="s">
        <v>373</v>
      </c>
      <c r="H109" t="s">
        <v>375</v>
      </c>
      <c r="I109" t="s">
        <v>373</v>
      </c>
      <c r="J109" s="124" t="str">
        <f>",'"&amp;own_detail[[#This Row],[Name]]&amp;"'"</f>
        <v>,'adjustments_prem_lloyds_actual'</v>
      </c>
      <c r="L109" t="s">
        <v>982</v>
      </c>
      <c r="M109" t="s">
        <v>142</v>
      </c>
      <c r="N109" t="s">
        <v>394</v>
      </c>
      <c r="O109" t="s">
        <v>372</v>
      </c>
      <c r="P109" t="s">
        <v>373</v>
      </c>
      <c r="Q109" t="s">
        <v>90</v>
      </c>
      <c r="R109" t="s">
        <v>373</v>
      </c>
      <c r="S109" t="s">
        <v>375</v>
      </c>
      <c r="T109" t="s">
        <v>373</v>
      </c>
      <c r="U109" s="124" t="str">
        <f>",'"&amp;own_summary[[#This Row],[Name]]&amp;"'"</f>
        <v>,'ultimate_incurred_selected_large'</v>
      </c>
    </row>
    <row r="110" spans="1:21" x14ac:dyDescent="0.35">
      <c r="A110" t="s">
        <v>967</v>
      </c>
      <c r="B110" t="s">
        <v>201</v>
      </c>
      <c r="C110" t="s">
        <v>394</v>
      </c>
      <c r="D110" t="s">
        <v>372</v>
      </c>
      <c r="E110" t="s">
        <v>373</v>
      </c>
      <c r="F110" t="s">
        <v>968</v>
      </c>
      <c r="G110" t="s">
        <v>373</v>
      </c>
      <c r="H110" t="s">
        <v>375</v>
      </c>
      <c r="I110" t="s">
        <v>373</v>
      </c>
      <c r="J110" s="124" t="str">
        <f>",'"&amp;own_detail[[#This Row],[Name]]&amp;"'"</f>
        <v>,'adjustments_incurred_lloyds_lower'</v>
      </c>
      <c r="L110" t="s">
        <v>983</v>
      </c>
      <c r="M110" t="s">
        <v>143</v>
      </c>
      <c r="N110" t="s">
        <v>394</v>
      </c>
      <c r="O110" t="s">
        <v>372</v>
      </c>
      <c r="P110" t="s">
        <v>373</v>
      </c>
      <c r="Q110" t="s">
        <v>90</v>
      </c>
      <c r="R110" t="s">
        <v>373</v>
      </c>
      <c r="S110" t="s">
        <v>375</v>
      </c>
      <c r="T110" t="s">
        <v>373</v>
      </c>
      <c r="U110" s="124" t="str">
        <f>",'"&amp;own_summary[[#This Row],[Name]]&amp;"'"</f>
        <v>,'ultimate_ulr_selected_large'</v>
      </c>
    </row>
    <row r="111" spans="1:21" x14ac:dyDescent="0.35">
      <c r="A111" t="s">
        <v>970</v>
      </c>
      <c r="B111" t="s">
        <v>202</v>
      </c>
      <c r="C111" t="s">
        <v>394</v>
      </c>
      <c r="D111" t="s">
        <v>372</v>
      </c>
      <c r="E111" t="s">
        <v>373</v>
      </c>
      <c r="F111" t="s">
        <v>971</v>
      </c>
      <c r="G111" t="s">
        <v>373</v>
      </c>
      <c r="H111" t="s">
        <v>375</v>
      </c>
      <c r="I111" t="s">
        <v>373</v>
      </c>
      <c r="J111" s="124" t="str">
        <f>",'"&amp;own_detail[[#This Row],[Name]]&amp;"'"</f>
        <v>,'adjustments_incurred_lloyds_upper'</v>
      </c>
      <c r="L111" t="s">
        <v>984</v>
      </c>
      <c r="M111" t="s">
        <v>144</v>
      </c>
      <c r="N111" t="s">
        <v>394</v>
      </c>
      <c r="O111" t="s">
        <v>372</v>
      </c>
      <c r="P111" t="s">
        <v>373</v>
      </c>
      <c r="Q111" t="s">
        <v>90</v>
      </c>
      <c r="R111" t="s">
        <v>373</v>
      </c>
      <c r="S111" t="s">
        <v>375</v>
      </c>
      <c r="T111" t="s">
        <v>373</v>
      </c>
      <c r="U111" s="124" t="str">
        <f>",'"&amp;own_summary[[#This Row],[Name]]&amp;"'"</f>
        <v>,'ultimate_ulr_on_levelled_large'</v>
      </c>
    </row>
    <row r="112" spans="1:21" x14ac:dyDescent="0.35">
      <c r="A112" t="s">
        <v>973</v>
      </c>
      <c r="B112" t="s">
        <v>203</v>
      </c>
      <c r="C112" t="s">
        <v>394</v>
      </c>
      <c r="D112" t="s">
        <v>372</v>
      </c>
      <c r="E112" t="s">
        <v>373</v>
      </c>
      <c r="F112" t="s">
        <v>974</v>
      </c>
      <c r="G112" t="s">
        <v>373</v>
      </c>
      <c r="H112" t="s">
        <v>375</v>
      </c>
      <c r="I112" t="s">
        <v>373</v>
      </c>
      <c r="J112" s="124" t="str">
        <f>",'"&amp;own_detail[[#This Row],[Name]]&amp;"'"</f>
        <v>,'adjustments_incurred_lloyds_actual'</v>
      </c>
      <c r="L112" t="s">
        <v>985</v>
      </c>
      <c r="M112" t="s">
        <v>145</v>
      </c>
      <c r="N112" t="s">
        <v>394</v>
      </c>
      <c r="O112" t="s">
        <v>372</v>
      </c>
      <c r="P112" t="s">
        <v>373</v>
      </c>
      <c r="Q112" t="s">
        <v>509</v>
      </c>
      <c r="R112" t="s">
        <v>373</v>
      </c>
      <c r="S112" t="s">
        <v>375</v>
      </c>
      <c r="T112" t="s">
        <v>373</v>
      </c>
      <c r="U112" s="124" t="str">
        <f>",'"&amp;own_summary[[#This Row],[Name]]&amp;"'"</f>
        <v>,'latest_incurred_open_claims_cat'</v>
      </c>
    </row>
    <row r="113" spans="12:21" x14ac:dyDescent="0.35">
      <c r="L113" t="s">
        <v>986</v>
      </c>
      <c r="M113" t="s">
        <v>146</v>
      </c>
      <c r="N113" t="s">
        <v>394</v>
      </c>
      <c r="O113" t="s">
        <v>372</v>
      </c>
      <c r="P113" t="s">
        <v>373</v>
      </c>
      <c r="Q113" t="s">
        <v>509</v>
      </c>
      <c r="R113" t="s">
        <v>373</v>
      </c>
      <c r="S113" t="s">
        <v>375</v>
      </c>
      <c r="T113" t="s">
        <v>373</v>
      </c>
      <c r="U113" s="124" t="str">
        <f>",'"&amp;own_summary[[#This Row],[Name]]&amp;"'"</f>
        <v>,'latest_incurred_closed_claims_cat'</v>
      </c>
    </row>
    <row r="114" spans="12:21" x14ac:dyDescent="0.35">
      <c r="L114" t="s">
        <v>987</v>
      </c>
      <c r="M114" t="s">
        <v>147</v>
      </c>
      <c r="N114" t="s">
        <v>394</v>
      </c>
      <c r="O114" t="s">
        <v>372</v>
      </c>
      <c r="P114" t="s">
        <v>373</v>
      </c>
      <c r="Q114" t="s">
        <v>509</v>
      </c>
      <c r="R114" t="s">
        <v>373</v>
      </c>
      <c r="S114" t="s">
        <v>375</v>
      </c>
      <c r="T114" t="s">
        <v>373</v>
      </c>
      <c r="U114" s="124" t="str">
        <f>",'"&amp;own_summary[[#This Row],[Name]]&amp;"'"</f>
        <v>,'latest_incurred_total_claims_cat'</v>
      </c>
    </row>
    <row r="115" spans="12:21" x14ac:dyDescent="0.35">
      <c r="L115" t="s">
        <v>988</v>
      </c>
      <c r="M115" t="s">
        <v>148</v>
      </c>
      <c r="N115" t="s">
        <v>394</v>
      </c>
      <c r="O115" t="s">
        <v>372</v>
      </c>
      <c r="P115" t="s">
        <v>373</v>
      </c>
      <c r="Q115" t="s">
        <v>509</v>
      </c>
      <c r="R115" t="s">
        <v>373</v>
      </c>
      <c r="S115" t="s">
        <v>375</v>
      </c>
      <c r="T115" t="s">
        <v>373</v>
      </c>
      <c r="U115" s="124" t="str">
        <f>",'"&amp;own_summary[[#This Row],[Name]]&amp;"'"</f>
        <v>,'last_year_position_cat'</v>
      </c>
    </row>
    <row r="116" spans="12:21" x14ac:dyDescent="0.35">
      <c r="L116" t="s">
        <v>989</v>
      </c>
      <c r="M116" t="s">
        <v>149</v>
      </c>
      <c r="N116" t="s">
        <v>394</v>
      </c>
      <c r="O116" t="s">
        <v>372</v>
      </c>
      <c r="P116" t="s">
        <v>373</v>
      </c>
      <c r="Q116" t="s">
        <v>509</v>
      </c>
      <c r="R116" t="s">
        <v>373</v>
      </c>
      <c r="S116" t="s">
        <v>375</v>
      </c>
      <c r="T116" t="s">
        <v>373</v>
      </c>
      <c r="U116" s="124" t="str">
        <f>",'"&amp;own_summary[[#This Row],[Name]]&amp;"'"</f>
        <v>,'movement_cat'</v>
      </c>
    </row>
    <row r="117" spans="12:21" x14ac:dyDescent="0.35">
      <c r="L117" t="s">
        <v>990</v>
      </c>
      <c r="M117" t="s">
        <v>150</v>
      </c>
      <c r="N117" t="s">
        <v>394</v>
      </c>
      <c r="O117" t="s">
        <v>372</v>
      </c>
      <c r="P117" t="s">
        <v>373</v>
      </c>
      <c r="Q117" t="s">
        <v>509</v>
      </c>
      <c r="R117" t="s">
        <v>373</v>
      </c>
      <c r="S117" t="s">
        <v>375</v>
      </c>
      <c r="T117" t="s">
        <v>373</v>
      </c>
      <c r="U117" s="124" t="str">
        <f>",'"&amp;own_summary[[#This Row],[Name]]&amp;"'"</f>
        <v>,'gn_ilr_cat'</v>
      </c>
    </row>
    <row r="118" spans="12:21" x14ac:dyDescent="0.35">
      <c r="L118" t="s">
        <v>991</v>
      </c>
      <c r="M118" t="s">
        <v>151</v>
      </c>
      <c r="N118" t="s">
        <v>394</v>
      </c>
      <c r="O118" t="s">
        <v>372</v>
      </c>
      <c r="P118" t="s">
        <v>373</v>
      </c>
      <c r="Q118" t="s">
        <v>509</v>
      </c>
      <c r="R118" t="s">
        <v>373</v>
      </c>
      <c r="S118" t="s">
        <v>375</v>
      </c>
      <c r="T118" t="s">
        <v>373</v>
      </c>
      <c r="U118" s="124" t="str">
        <f>",'"&amp;own_summary[[#This Row],[Name]]&amp;"'"</f>
        <v>,'ultimate_incurred_ielr_cat'</v>
      </c>
    </row>
    <row r="119" spans="12:21" x14ac:dyDescent="0.35">
      <c r="L119" t="s">
        <v>992</v>
      </c>
      <c r="M119" t="s">
        <v>152</v>
      </c>
      <c r="N119" t="s">
        <v>394</v>
      </c>
      <c r="O119" t="s">
        <v>372</v>
      </c>
      <c r="P119" t="s">
        <v>373</v>
      </c>
      <c r="Q119" t="s">
        <v>509</v>
      </c>
      <c r="R119" t="s">
        <v>373</v>
      </c>
      <c r="S119" t="s">
        <v>375</v>
      </c>
      <c r="T119" t="s">
        <v>373</v>
      </c>
      <c r="U119" s="124" t="str">
        <f>",'"&amp;own_summary[[#This Row],[Name]]&amp;"'"</f>
        <v>,'ultimate_incurred_bf_cat'</v>
      </c>
    </row>
    <row r="120" spans="12:21" x14ac:dyDescent="0.35">
      <c r="L120" t="s">
        <v>993</v>
      </c>
      <c r="M120" t="s">
        <v>153</v>
      </c>
      <c r="N120" t="s">
        <v>394</v>
      </c>
      <c r="O120" t="s">
        <v>372</v>
      </c>
      <c r="P120" t="s">
        <v>373</v>
      </c>
      <c r="Q120" t="s">
        <v>509</v>
      </c>
      <c r="R120" t="s">
        <v>373</v>
      </c>
      <c r="S120" t="s">
        <v>375</v>
      </c>
      <c r="T120" t="s">
        <v>373</v>
      </c>
      <c r="U120" s="124" t="str">
        <f>",'"&amp;own_summary[[#This Row],[Name]]&amp;"'"</f>
        <v>,'ultimate_incurred_cl_cat'</v>
      </c>
    </row>
    <row r="121" spans="12:21" x14ac:dyDescent="0.35">
      <c r="L121" t="s">
        <v>994</v>
      </c>
      <c r="M121" t="s">
        <v>154</v>
      </c>
      <c r="N121" t="s">
        <v>394</v>
      </c>
      <c r="O121" t="s">
        <v>372</v>
      </c>
      <c r="P121" t="s">
        <v>373</v>
      </c>
      <c r="Q121" t="s">
        <v>509</v>
      </c>
      <c r="R121" t="s">
        <v>373</v>
      </c>
      <c r="S121" t="s">
        <v>375</v>
      </c>
      <c r="T121" t="s">
        <v>373</v>
      </c>
      <c r="U121" s="124" t="str">
        <f>",'"&amp;own_summary[[#This Row],[Name]]&amp;"'"</f>
        <v>,'ultimate_incurred_selected_cat'</v>
      </c>
    </row>
    <row r="122" spans="12:21" x14ac:dyDescent="0.35">
      <c r="L122" t="s">
        <v>995</v>
      </c>
      <c r="M122" t="s">
        <v>155</v>
      </c>
      <c r="N122" t="s">
        <v>394</v>
      </c>
      <c r="O122" t="s">
        <v>372</v>
      </c>
      <c r="P122" t="s">
        <v>373</v>
      </c>
      <c r="Q122" t="s">
        <v>509</v>
      </c>
      <c r="R122" t="s">
        <v>373</v>
      </c>
      <c r="S122" t="s">
        <v>375</v>
      </c>
      <c r="T122" t="s">
        <v>373</v>
      </c>
      <c r="U122" s="124" t="str">
        <f>",'"&amp;own_summary[[#This Row],[Name]]&amp;"'"</f>
        <v>,'ultimate_ulr_selected_cat'</v>
      </c>
    </row>
    <row r="123" spans="12:21" x14ac:dyDescent="0.35">
      <c r="L123" t="s">
        <v>996</v>
      </c>
      <c r="M123" t="s">
        <v>156</v>
      </c>
      <c r="N123" t="s">
        <v>394</v>
      </c>
      <c r="O123" t="s">
        <v>372</v>
      </c>
      <c r="P123" t="s">
        <v>373</v>
      </c>
      <c r="Q123" t="s">
        <v>509</v>
      </c>
      <c r="R123" t="s">
        <v>373</v>
      </c>
      <c r="S123" t="s">
        <v>375</v>
      </c>
      <c r="T123" t="s">
        <v>373</v>
      </c>
      <c r="U123" s="124" t="str">
        <f>",'"&amp;own_summary[[#This Row],[Name]]&amp;"'"</f>
        <v>,'ultimate_ulr_on_levelled_cat'</v>
      </c>
    </row>
    <row r="124" spans="12:21" x14ac:dyDescent="0.35">
      <c r="L124" t="s">
        <v>997</v>
      </c>
      <c r="M124" t="s">
        <v>157</v>
      </c>
      <c r="N124" t="s">
        <v>394</v>
      </c>
      <c r="O124" t="s">
        <v>372</v>
      </c>
      <c r="P124" t="s">
        <v>373</v>
      </c>
      <c r="Q124" t="s">
        <v>43</v>
      </c>
      <c r="R124" t="s">
        <v>373</v>
      </c>
      <c r="S124" t="s">
        <v>375</v>
      </c>
      <c r="T124" t="s">
        <v>373</v>
      </c>
      <c r="U124" s="124" t="str">
        <f>",'"&amp;own_summary[[#This Row],[Name]]&amp;"'"</f>
        <v>,'latest_incurred_open_claims_total'</v>
      </c>
    </row>
    <row r="125" spans="12:21" x14ac:dyDescent="0.35">
      <c r="L125" t="s">
        <v>998</v>
      </c>
      <c r="M125" t="s">
        <v>158</v>
      </c>
      <c r="N125" t="s">
        <v>394</v>
      </c>
      <c r="O125" t="s">
        <v>372</v>
      </c>
      <c r="P125" t="s">
        <v>373</v>
      </c>
      <c r="Q125" t="s">
        <v>43</v>
      </c>
      <c r="R125" t="s">
        <v>373</v>
      </c>
      <c r="S125" t="s">
        <v>375</v>
      </c>
      <c r="T125" t="s">
        <v>373</v>
      </c>
      <c r="U125" s="124" t="str">
        <f>",'"&amp;own_summary[[#This Row],[Name]]&amp;"'"</f>
        <v>,'latest_incurred_closed_claims_total'</v>
      </c>
    </row>
    <row r="126" spans="12:21" x14ac:dyDescent="0.35">
      <c r="L126" t="s">
        <v>999</v>
      </c>
      <c r="M126" t="s">
        <v>159</v>
      </c>
      <c r="N126" t="s">
        <v>394</v>
      </c>
      <c r="O126" t="s">
        <v>372</v>
      </c>
      <c r="P126" t="s">
        <v>373</v>
      </c>
      <c r="Q126" t="s">
        <v>43</v>
      </c>
      <c r="R126" t="s">
        <v>373</v>
      </c>
      <c r="S126" t="s">
        <v>375</v>
      </c>
      <c r="T126" t="s">
        <v>373</v>
      </c>
      <c r="U126" s="124" t="str">
        <f>",'"&amp;own_summary[[#This Row],[Name]]&amp;"'"</f>
        <v>,'latest_incurred_total_claims_total'</v>
      </c>
    </row>
    <row r="127" spans="12:21" x14ac:dyDescent="0.35">
      <c r="L127" t="s">
        <v>1000</v>
      </c>
      <c r="M127" t="s">
        <v>160</v>
      </c>
      <c r="N127" t="s">
        <v>394</v>
      </c>
      <c r="O127" t="s">
        <v>372</v>
      </c>
      <c r="P127" t="s">
        <v>373</v>
      </c>
      <c r="Q127" t="s">
        <v>43</v>
      </c>
      <c r="R127" t="s">
        <v>373</v>
      </c>
      <c r="S127" t="s">
        <v>375</v>
      </c>
      <c r="T127" t="s">
        <v>373</v>
      </c>
      <c r="U127" s="124" t="str">
        <f>",'"&amp;own_summary[[#This Row],[Name]]&amp;"'"</f>
        <v>,'last_year_position_total'</v>
      </c>
    </row>
    <row r="128" spans="12:21" x14ac:dyDescent="0.35">
      <c r="L128" t="s">
        <v>1001</v>
      </c>
      <c r="M128" t="s">
        <v>161</v>
      </c>
      <c r="N128" t="s">
        <v>394</v>
      </c>
      <c r="O128" t="s">
        <v>372</v>
      </c>
      <c r="P128" t="s">
        <v>373</v>
      </c>
      <c r="Q128" t="s">
        <v>43</v>
      </c>
      <c r="R128" t="s">
        <v>373</v>
      </c>
      <c r="S128" t="s">
        <v>375</v>
      </c>
      <c r="T128" t="s">
        <v>373</v>
      </c>
      <c r="U128" s="124" t="str">
        <f>",'"&amp;own_summary[[#This Row],[Name]]&amp;"'"</f>
        <v>,'movement_total'</v>
      </c>
    </row>
    <row r="129" spans="12:21" x14ac:dyDescent="0.35">
      <c r="L129" t="s">
        <v>1002</v>
      </c>
      <c r="M129" t="s">
        <v>162</v>
      </c>
      <c r="N129" t="s">
        <v>394</v>
      </c>
      <c r="O129" t="s">
        <v>372</v>
      </c>
      <c r="P129" t="s">
        <v>373</v>
      </c>
      <c r="Q129" t="s">
        <v>43</v>
      </c>
      <c r="R129" t="s">
        <v>373</v>
      </c>
      <c r="S129" t="s">
        <v>375</v>
      </c>
      <c r="T129" t="s">
        <v>373</v>
      </c>
      <c r="U129" s="124" t="str">
        <f>",'"&amp;own_summary[[#This Row],[Name]]&amp;"'"</f>
        <v>,'gn_ilr_total'</v>
      </c>
    </row>
    <row r="130" spans="12:21" x14ac:dyDescent="0.35">
      <c r="L130" t="s">
        <v>1003</v>
      </c>
      <c r="M130" t="s">
        <v>163</v>
      </c>
      <c r="N130" t="s">
        <v>394</v>
      </c>
      <c r="O130" t="s">
        <v>372</v>
      </c>
      <c r="P130" t="s">
        <v>373</v>
      </c>
      <c r="Q130" t="s">
        <v>43</v>
      </c>
      <c r="R130" t="s">
        <v>373</v>
      </c>
      <c r="S130" t="s">
        <v>375</v>
      </c>
      <c r="T130" t="s">
        <v>373</v>
      </c>
      <c r="U130" s="124" t="str">
        <f>",'"&amp;own_summary[[#This Row],[Name]]&amp;"'"</f>
        <v>,'ultimate_incurred_ielr_total'</v>
      </c>
    </row>
    <row r="131" spans="12:21" x14ac:dyDescent="0.35">
      <c r="L131" t="s">
        <v>1004</v>
      </c>
      <c r="M131" t="s">
        <v>164</v>
      </c>
      <c r="N131" t="s">
        <v>394</v>
      </c>
      <c r="O131" t="s">
        <v>372</v>
      </c>
      <c r="P131" t="s">
        <v>373</v>
      </c>
      <c r="Q131" t="s">
        <v>43</v>
      </c>
      <c r="R131" t="s">
        <v>373</v>
      </c>
      <c r="S131" t="s">
        <v>375</v>
      </c>
      <c r="T131" t="s">
        <v>373</v>
      </c>
      <c r="U131" s="124" t="str">
        <f>",'"&amp;own_summary[[#This Row],[Name]]&amp;"'"</f>
        <v>,'ultimate_incurred_bf_total'</v>
      </c>
    </row>
    <row r="132" spans="12:21" x14ac:dyDescent="0.35">
      <c r="L132" t="s">
        <v>1005</v>
      </c>
      <c r="M132" t="s">
        <v>165</v>
      </c>
      <c r="N132" t="s">
        <v>394</v>
      </c>
      <c r="O132" t="s">
        <v>372</v>
      </c>
      <c r="P132" t="s">
        <v>373</v>
      </c>
      <c r="Q132" t="s">
        <v>43</v>
      </c>
      <c r="R132" t="s">
        <v>373</v>
      </c>
      <c r="S132" t="s">
        <v>375</v>
      </c>
      <c r="T132" t="s">
        <v>373</v>
      </c>
      <c r="U132" s="124" t="str">
        <f>",'"&amp;own_summary[[#This Row],[Name]]&amp;"'"</f>
        <v>,'ultimate_incurred_cl_total'</v>
      </c>
    </row>
    <row r="133" spans="12:21" x14ac:dyDescent="0.35">
      <c r="L133" t="s">
        <v>1006</v>
      </c>
      <c r="M133" t="s">
        <v>166</v>
      </c>
      <c r="N133" t="s">
        <v>394</v>
      </c>
      <c r="O133" t="s">
        <v>372</v>
      </c>
      <c r="P133" t="s">
        <v>373</v>
      </c>
      <c r="Q133" t="s">
        <v>43</v>
      </c>
      <c r="R133" t="s">
        <v>373</v>
      </c>
      <c r="S133" t="s">
        <v>375</v>
      </c>
      <c r="T133" t="s">
        <v>373</v>
      </c>
      <c r="U133" s="124" t="str">
        <f>",'"&amp;own_summary[[#This Row],[Name]]&amp;"'"</f>
        <v>,'ultimate_incurred_selected_total'</v>
      </c>
    </row>
    <row r="134" spans="12:21" x14ac:dyDescent="0.35">
      <c r="L134" t="s">
        <v>1007</v>
      </c>
      <c r="M134" t="s">
        <v>167</v>
      </c>
      <c r="N134" t="s">
        <v>394</v>
      </c>
      <c r="O134" t="s">
        <v>372</v>
      </c>
      <c r="P134" t="s">
        <v>373</v>
      </c>
      <c r="Q134" t="s">
        <v>43</v>
      </c>
      <c r="R134" t="s">
        <v>373</v>
      </c>
      <c r="S134" t="s">
        <v>375</v>
      </c>
      <c r="T134" t="s">
        <v>373</v>
      </c>
      <c r="U134" s="124" t="str">
        <f>",'"&amp;own_summary[[#This Row],[Name]]&amp;"'"</f>
        <v>,'ultimate_ulr_selected_total'</v>
      </c>
    </row>
    <row r="135" spans="12:21" x14ac:dyDescent="0.35">
      <c r="L135" t="s">
        <v>1008</v>
      </c>
      <c r="M135" t="s">
        <v>168</v>
      </c>
      <c r="N135" t="s">
        <v>394</v>
      </c>
      <c r="O135" t="s">
        <v>372</v>
      </c>
      <c r="P135" t="s">
        <v>373</v>
      </c>
      <c r="Q135" t="s">
        <v>43</v>
      </c>
      <c r="R135" t="s">
        <v>373</v>
      </c>
      <c r="S135" t="s">
        <v>375</v>
      </c>
      <c r="T135" t="s">
        <v>373</v>
      </c>
      <c r="U135" s="124" t="str">
        <f>",'"&amp;own_summary[[#This Row],[Name]]&amp;"'"</f>
        <v>,'ultimate_ulr_on_levelled_total'</v>
      </c>
    </row>
    <row r="136" spans="12:21" x14ac:dyDescent="0.35">
      <c r="L136" t="s">
        <v>1009</v>
      </c>
      <c r="M136" t="s">
        <v>169</v>
      </c>
      <c r="N136" t="s">
        <v>394</v>
      </c>
      <c r="O136" t="s">
        <v>372</v>
      </c>
      <c r="P136" t="s">
        <v>373</v>
      </c>
      <c r="Q136" t="s">
        <v>880</v>
      </c>
      <c r="R136" t="s">
        <v>373</v>
      </c>
      <c r="S136" t="s">
        <v>375</v>
      </c>
      <c r="T136" t="s">
        <v>373</v>
      </c>
      <c r="U136" s="124" t="str">
        <f>",'"&amp;own_summary[[#This Row],[Name]]&amp;"'"</f>
        <v>,'ultimate_incurred_selected_total_x_cat'</v>
      </c>
    </row>
    <row r="137" spans="12:21" x14ac:dyDescent="0.35">
      <c r="L137" t="s">
        <v>1010</v>
      </c>
      <c r="M137" t="s">
        <v>170</v>
      </c>
      <c r="N137" t="s">
        <v>394</v>
      </c>
      <c r="O137" t="s">
        <v>372</v>
      </c>
      <c r="P137" t="s">
        <v>373</v>
      </c>
      <c r="Q137" t="s">
        <v>880</v>
      </c>
      <c r="R137" t="s">
        <v>373</v>
      </c>
      <c r="S137" t="s">
        <v>375</v>
      </c>
      <c r="T137" t="s">
        <v>373</v>
      </c>
      <c r="U137" s="124" t="str">
        <f>",'"&amp;own_summary[[#This Row],[Name]]&amp;"'"</f>
        <v>,'ultimate_ulr_selected_total_x_cat'</v>
      </c>
    </row>
    <row r="138" spans="12:21" x14ac:dyDescent="0.35">
      <c r="L138" t="s">
        <v>1011</v>
      </c>
      <c r="M138" t="s">
        <v>171</v>
      </c>
      <c r="N138" t="s">
        <v>394</v>
      </c>
      <c r="O138" t="s">
        <v>372</v>
      </c>
      <c r="P138" t="s">
        <v>373</v>
      </c>
      <c r="Q138" t="s">
        <v>880</v>
      </c>
      <c r="R138" t="s">
        <v>373</v>
      </c>
      <c r="S138" t="s">
        <v>375</v>
      </c>
      <c r="T138" t="s">
        <v>373</v>
      </c>
      <c r="U138" s="124" t="str">
        <f>",'"&amp;own_summary[[#This Row],[Name]]&amp;"'"</f>
        <v>,'ultimate_ulr_on_levelled_total_x_cat'</v>
      </c>
    </row>
  </sheetData>
  <pageMargins left="0.7" right="0.7" top="0.75" bottom="0.75" header="0.3" footer="0.3"/>
  <pageSetup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52A4-9AA3-4BDC-B05B-5C7C03C07710}">
  <sheetPr>
    <tabColor theme="1"/>
  </sheetPr>
  <dimension ref="A1:DF113"/>
  <sheetViews>
    <sheetView zoomScale="85" zoomScaleNormal="85" workbookViewId="0">
      <selection activeCell="A2" sqref="A2"/>
    </sheetView>
  </sheetViews>
  <sheetFormatPr defaultRowHeight="13.5" x14ac:dyDescent="0.35"/>
  <sheetData>
    <row r="1" spans="1:110" x14ac:dyDescent="0.3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271</v>
      </c>
      <c r="AD1" t="s">
        <v>130</v>
      </c>
      <c r="AE1" t="s">
        <v>131</v>
      </c>
      <c r="AF1" t="s">
        <v>132</v>
      </c>
      <c r="AG1" t="s">
        <v>272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273</v>
      </c>
      <c r="AR1" t="s">
        <v>142</v>
      </c>
      <c r="AS1" t="s">
        <v>143</v>
      </c>
      <c r="AT1" t="s">
        <v>144</v>
      </c>
      <c r="AU1" t="s">
        <v>274</v>
      </c>
      <c r="AV1" t="s">
        <v>145</v>
      </c>
      <c r="AW1" t="s">
        <v>146</v>
      </c>
      <c r="AX1" t="s">
        <v>147</v>
      </c>
      <c r="AY1" t="s">
        <v>148</v>
      </c>
      <c r="AZ1" t="s">
        <v>149</v>
      </c>
      <c r="BA1" t="s">
        <v>150</v>
      </c>
      <c r="BB1" t="s">
        <v>151</v>
      </c>
      <c r="BC1" t="s">
        <v>152</v>
      </c>
      <c r="BD1" t="s">
        <v>153</v>
      </c>
      <c r="BE1" t="s">
        <v>275</v>
      </c>
      <c r="BF1" t="s">
        <v>154</v>
      </c>
      <c r="BG1" t="s">
        <v>155</v>
      </c>
      <c r="BH1" t="s">
        <v>156</v>
      </c>
      <c r="BI1" t="s">
        <v>276</v>
      </c>
      <c r="BJ1" t="s">
        <v>157</v>
      </c>
      <c r="BK1" t="s">
        <v>158</v>
      </c>
      <c r="BL1" t="s">
        <v>159</v>
      </c>
      <c r="BM1" t="s">
        <v>160</v>
      </c>
      <c r="BN1" t="s">
        <v>161</v>
      </c>
      <c r="BO1" t="s">
        <v>162</v>
      </c>
      <c r="BP1" t="s">
        <v>163</v>
      </c>
      <c r="BQ1" t="s">
        <v>164</v>
      </c>
      <c r="BR1" t="s">
        <v>165</v>
      </c>
      <c r="BS1" t="s">
        <v>277</v>
      </c>
      <c r="BT1" t="s">
        <v>166</v>
      </c>
      <c r="BU1" t="s">
        <v>167</v>
      </c>
      <c r="BV1" t="s">
        <v>168</v>
      </c>
      <c r="BW1" t="s">
        <v>278</v>
      </c>
      <c r="BX1" t="s">
        <v>169</v>
      </c>
      <c r="BY1" t="s">
        <v>170</v>
      </c>
      <c r="BZ1" t="s">
        <v>171</v>
      </c>
      <c r="CA1" t="s">
        <v>172</v>
      </c>
      <c r="CB1" t="s">
        <v>173</v>
      </c>
      <c r="CC1" t="s">
        <v>174</v>
      </c>
      <c r="CD1" t="s">
        <v>175</v>
      </c>
      <c r="CE1" t="s">
        <v>176</v>
      </c>
      <c r="CF1" t="s">
        <v>177</v>
      </c>
      <c r="CG1" t="s">
        <v>178</v>
      </c>
      <c r="CH1" t="s">
        <v>179</v>
      </c>
      <c r="CI1" t="s">
        <v>180</v>
      </c>
      <c r="CJ1" t="s">
        <v>181</v>
      </c>
      <c r="CK1" t="s">
        <v>182</v>
      </c>
      <c r="CL1" t="s">
        <v>183</v>
      </c>
      <c r="CM1" t="s">
        <v>184</v>
      </c>
      <c r="CN1" t="s">
        <v>185</v>
      </c>
      <c r="CO1" t="s">
        <v>186</v>
      </c>
      <c r="CP1" t="s">
        <v>187</v>
      </c>
      <c r="CQ1" t="s">
        <v>188</v>
      </c>
      <c r="CR1" t="s">
        <v>189</v>
      </c>
      <c r="CS1" t="s">
        <v>190</v>
      </c>
      <c r="CT1" t="s">
        <v>191</v>
      </c>
      <c r="CU1" t="s">
        <v>192</v>
      </c>
      <c r="CV1" t="s">
        <v>193</v>
      </c>
      <c r="CW1" t="s">
        <v>194</v>
      </c>
      <c r="CX1" t="s">
        <v>195</v>
      </c>
      <c r="CY1" t="s">
        <v>196</v>
      </c>
      <c r="CZ1" t="s">
        <v>197</v>
      </c>
      <c r="DA1" t="s">
        <v>198</v>
      </c>
      <c r="DB1" t="s">
        <v>199</v>
      </c>
      <c r="DC1" t="s">
        <v>200</v>
      </c>
      <c r="DD1" t="s">
        <v>201</v>
      </c>
      <c r="DE1" t="s">
        <v>202</v>
      </c>
      <c r="DF1" t="s">
        <v>203</v>
      </c>
    </row>
    <row r="2" spans="1:110" x14ac:dyDescent="0.3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25"/>
      <c r="DC2" s="125"/>
      <c r="DD2" s="125"/>
      <c r="DE2" s="125"/>
      <c r="DF2" s="125"/>
    </row>
    <row r="3" spans="1:110" x14ac:dyDescent="0.35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  <c r="DB3" s="125"/>
      <c r="DC3" s="125"/>
      <c r="DD3" s="125"/>
      <c r="DE3" s="125"/>
      <c r="DF3" s="125"/>
    </row>
    <row r="4" spans="1:110" x14ac:dyDescent="0.35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  <c r="CK4" s="125"/>
      <c r="CL4" s="125"/>
      <c r="CM4" s="125"/>
      <c r="CN4" s="125"/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125"/>
      <c r="DA4" s="125"/>
      <c r="DB4" s="125"/>
      <c r="DC4" s="125"/>
      <c r="DD4" s="125"/>
      <c r="DE4" s="125"/>
      <c r="DF4" s="125"/>
    </row>
    <row r="5" spans="1:110" x14ac:dyDescent="0.35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/>
      <c r="CS5" s="125"/>
      <c r="CT5" s="125"/>
      <c r="CU5" s="125"/>
      <c r="CV5" s="125"/>
      <c r="CW5" s="125"/>
      <c r="CX5" s="125"/>
      <c r="CY5" s="125"/>
      <c r="CZ5" s="125"/>
      <c r="DA5" s="125"/>
      <c r="DB5" s="125"/>
      <c r="DC5" s="125"/>
      <c r="DD5" s="125"/>
      <c r="DE5" s="125"/>
      <c r="DF5" s="125"/>
    </row>
    <row r="6" spans="1:110" x14ac:dyDescent="0.35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125"/>
      <c r="DA6" s="125"/>
      <c r="DB6" s="125"/>
      <c r="DC6" s="125"/>
      <c r="DD6" s="125"/>
      <c r="DE6" s="125"/>
      <c r="DF6" s="125"/>
    </row>
    <row r="7" spans="1:110" x14ac:dyDescent="0.35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</row>
    <row r="8" spans="1:110" x14ac:dyDescent="0.35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</row>
    <row r="9" spans="1:110" x14ac:dyDescent="0.35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  <c r="CV9" s="125"/>
      <c r="CW9" s="125"/>
      <c r="CX9" s="125"/>
      <c r="CY9" s="125"/>
      <c r="CZ9" s="125"/>
      <c r="DA9" s="125"/>
      <c r="DB9" s="125"/>
      <c r="DC9" s="125"/>
      <c r="DD9" s="125"/>
      <c r="DE9" s="125"/>
      <c r="DF9" s="125"/>
    </row>
    <row r="10" spans="1:110" x14ac:dyDescent="0.35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</row>
    <row r="11" spans="1:110" x14ac:dyDescent="0.35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  <c r="CK11" s="125"/>
      <c r="CL11" s="125"/>
      <c r="CM11" s="125"/>
      <c r="CN11" s="125"/>
      <c r="CO11" s="125"/>
      <c r="CP11" s="125"/>
      <c r="CQ11" s="125"/>
      <c r="CR11" s="125"/>
      <c r="CS11" s="125"/>
      <c r="CT11" s="125"/>
      <c r="CU11" s="125"/>
      <c r="CV11" s="125"/>
      <c r="CW11" s="125"/>
      <c r="CX11" s="125"/>
      <c r="CY11" s="125"/>
      <c r="CZ11" s="125"/>
      <c r="DA11" s="125"/>
      <c r="DB11" s="125"/>
      <c r="DC11" s="125"/>
      <c r="DD11" s="125"/>
      <c r="DE11" s="125"/>
      <c r="DF11" s="125"/>
    </row>
    <row r="12" spans="1:110" x14ac:dyDescent="0.35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  <c r="CK12" s="125"/>
      <c r="CL12" s="125"/>
      <c r="CM12" s="125"/>
      <c r="CN12" s="125"/>
      <c r="CO12" s="125"/>
      <c r="CP12" s="125"/>
      <c r="CQ12" s="125"/>
      <c r="CR12" s="125"/>
      <c r="CS12" s="125"/>
      <c r="CT12" s="125"/>
      <c r="CU12" s="125"/>
      <c r="CV12" s="125"/>
      <c r="CW12" s="125"/>
      <c r="CX12" s="125"/>
      <c r="CY12" s="125"/>
      <c r="CZ12" s="125"/>
      <c r="DA12" s="125"/>
      <c r="DB12" s="125"/>
      <c r="DC12" s="125"/>
      <c r="DD12" s="125"/>
      <c r="DE12" s="125"/>
      <c r="DF12" s="125"/>
    </row>
    <row r="13" spans="1:110" x14ac:dyDescent="0.35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  <c r="CK13" s="125"/>
      <c r="CL13" s="125"/>
      <c r="CM13" s="125"/>
      <c r="CN13" s="125"/>
      <c r="CO13" s="125"/>
      <c r="CP13" s="125"/>
      <c r="CQ13" s="125"/>
      <c r="CR13" s="125"/>
      <c r="CS13" s="125"/>
      <c r="CT13" s="125"/>
      <c r="CU13" s="125"/>
      <c r="CV13" s="125"/>
      <c r="CW13" s="125"/>
      <c r="CX13" s="125"/>
      <c r="CY13" s="125"/>
      <c r="CZ13" s="125"/>
      <c r="DA13" s="125"/>
      <c r="DB13" s="125"/>
      <c r="DC13" s="125"/>
      <c r="DD13" s="125"/>
      <c r="DE13" s="125"/>
      <c r="DF13" s="125"/>
    </row>
    <row r="14" spans="1:110" x14ac:dyDescent="0.35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  <c r="CK14" s="125"/>
      <c r="CL14" s="125"/>
      <c r="CM14" s="125"/>
      <c r="CN14" s="125"/>
      <c r="CO14" s="125"/>
      <c r="CP14" s="125"/>
      <c r="CQ14" s="125"/>
      <c r="CR14" s="125"/>
      <c r="CS14" s="125"/>
      <c r="CT14" s="125"/>
      <c r="CU14" s="125"/>
      <c r="CV14" s="125"/>
      <c r="CW14" s="125"/>
      <c r="CX14" s="125"/>
      <c r="CY14" s="125"/>
      <c r="CZ14" s="125"/>
      <c r="DA14" s="125"/>
      <c r="DB14" s="125"/>
      <c r="DC14" s="125"/>
      <c r="DD14" s="125"/>
      <c r="DE14" s="125"/>
      <c r="DF14" s="125"/>
    </row>
    <row r="15" spans="1:110" x14ac:dyDescent="0.35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  <c r="CK15" s="125"/>
      <c r="CL15" s="125"/>
      <c r="CM15" s="125"/>
      <c r="CN15" s="125"/>
      <c r="CO15" s="125"/>
      <c r="CP15" s="125"/>
      <c r="CQ15" s="125"/>
      <c r="CR15" s="125"/>
      <c r="CS15" s="125"/>
      <c r="CT15" s="125"/>
      <c r="CU15" s="125"/>
      <c r="CV15" s="125"/>
      <c r="CW15" s="125"/>
      <c r="CX15" s="125"/>
      <c r="CY15" s="125"/>
      <c r="CZ15" s="125"/>
      <c r="DA15" s="125"/>
      <c r="DB15" s="125"/>
      <c r="DC15" s="125"/>
      <c r="DD15" s="125"/>
      <c r="DE15" s="125"/>
      <c r="DF15" s="125"/>
    </row>
    <row r="16" spans="1:110" x14ac:dyDescent="0.35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</row>
    <row r="17" spans="1:110" x14ac:dyDescent="0.35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5"/>
      <c r="CR17" s="125"/>
      <c r="CS17" s="125"/>
      <c r="CT17" s="125"/>
      <c r="CU17" s="125"/>
      <c r="CV17" s="125"/>
      <c r="CW17" s="125"/>
      <c r="CX17" s="125"/>
      <c r="CY17" s="125"/>
      <c r="CZ17" s="125"/>
      <c r="DA17" s="125"/>
      <c r="DB17" s="125"/>
      <c r="DC17" s="125"/>
      <c r="DD17" s="125"/>
      <c r="DE17" s="125"/>
      <c r="DF17" s="125"/>
    </row>
    <row r="18" spans="1:110" x14ac:dyDescent="0.35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  <c r="CY18" s="125"/>
      <c r="CZ18" s="125"/>
      <c r="DA18" s="125"/>
      <c r="DB18" s="125"/>
      <c r="DC18" s="125"/>
      <c r="DD18" s="125"/>
      <c r="DE18" s="125"/>
      <c r="DF18" s="125"/>
    </row>
    <row r="19" spans="1:110" x14ac:dyDescent="0.35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  <c r="CV19" s="125"/>
      <c r="CW19" s="125"/>
      <c r="CX19" s="125"/>
      <c r="CY19" s="125"/>
      <c r="CZ19" s="125"/>
      <c r="DA19" s="125"/>
      <c r="DB19" s="125"/>
      <c r="DC19" s="125"/>
      <c r="DD19" s="125"/>
      <c r="DE19" s="125"/>
      <c r="DF19" s="125"/>
    </row>
    <row r="20" spans="1:110" x14ac:dyDescent="0.35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5"/>
      <c r="CR20" s="125"/>
      <c r="CS20" s="125"/>
      <c r="CT20" s="125"/>
      <c r="CU20" s="125"/>
      <c r="CV20" s="125"/>
      <c r="CW20" s="125"/>
      <c r="CX20" s="125"/>
      <c r="CY20" s="125"/>
      <c r="CZ20" s="125"/>
      <c r="DA20" s="125"/>
      <c r="DB20" s="125"/>
      <c r="DC20" s="125"/>
      <c r="DD20" s="125"/>
      <c r="DE20" s="125"/>
      <c r="DF20" s="125"/>
    </row>
    <row r="21" spans="1:110" x14ac:dyDescent="0.35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5"/>
      <c r="CR21" s="125"/>
      <c r="CS21" s="125"/>
      <c r="CT21" s="125"/>
      <c r="CU21" s="125"/>
      <c r="CV21" s="125"/>
      <c r="CW21" s="125"/>
      <c r="CX21" s="125"/>
      <c r="CY21" s="125"/>
      <c r="CZ21" s="125"/>
      <c r="DA21" s="125"/>
      <c r="DB21" s="125"/>
      <c r="DC21" s="125"/>
      <c r="DD21" s="125"/>
      <c r="DE21" s="125"/>
      <c r="DF21" s="125"/>
    </row>
    <row r="22" spans="1:110" x14ac:dyDescent="0.35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</row>
    <row r="23" spans="1:110" x14ac:dyDescent="0.35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5"/>
      <c r="CR23" s="125"/>
      <c r="CS23" s="125"/>
      <c r="CT23" s="125"/>
      <c r="CU23" s="125"/>
      <c r="CV23" s="125"/>
      <c r="CW23" s="125"/>
      <c r="CX23" s="125"/>
      <c r="CY23" s="125"/>
      <c r="CZ23" s="125"/>
      <c r="DA23" s="125"/>
      <c r="DB23" s="125"/>
      <c r="DC23" s="125"/>
      <c r="DD23" s="125"/>
      <c r="DE23" s="125"/>
      <c r="DF23" s="125"/>
    </row>
    <row r="24" spans="1:110" x14ac:dyDescent="0.35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5"/>
      <c r="CR24" s="125"/>
      <c r="CS24" s="125"/>
      <c r="CT24" s="125"/>
      <c r="CU24" s="125"/>
      <c r="CV24" s="125"/>
      <c r="CW24" s="125"/>
      <c r="CX24" s="125"/>
      <c r="CY24" s="125"/>
      <c r="CZ24" s="125"/>
      <c r="DA24" s="125"/>
      <c r="DB24" s="125"/>
      <c r="DC24" s="125"/>
      <c r="DD24" s="125"/>
      <c r="DE24" s="125"/>
      <c r="DF24" s="125"/>
    </row>
    <row r="25" spans="1:110" x14ac:dyDescent="0.3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5"/>
      <c r="CR25" s="125"/>
      <c r="CS25" s="125"/>
      <c r="CT25" s="125"/>
      <c r="CU25" s="125"/>
      <c r="CV25" s="125"/>
      <c r="CW25" s="125"/>
      <c r="CX25" s="125"/>
      <c r="CY25" s="125"/>
      <c r="CZ25" s="125"/>
      <c r="DA25" s="125"/>
      <c r="DB25" s="125"/>
      <c r="DC25" s="125"/>
      <c r="DD25" s="125"/>
      <c r="DE25" s="125"/>
      <c r="DF25" s="125"/>
    </row>
    <row r="26" spans="1:110" x14ac:dyDescent="0.35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  <c r="CK26" s="125"/>
      <c r="CL26" s="125"/>
      <c r="CM26" s="125"/>
      <c r="CN26" s="125"/>
      <c r="CO26" s="125"/>
      <c r="CP26" s="125"/>
      <c r="CQ26" s="125"/>
      <c r="CR26" s="125"/>
      <c r="CS26" s="125"/>
      <c r="CT26" s="125"/>
      <c r="CU26" s="125"/>
      <c r="CV26" s="125"/>
      <c r="CW26" s="125"/>
      <c r="CX26" s="125"/>
      <c r="CY26" s="125"/>
      <c r="CZ26" s="125"/>
      <c r="DA26" s="125"/>
      <c r="DB26" s="125"/>
      <c r="DC26" s="125"/>
      <c r="DD26" s="125"/>
      <c r="DE26" s="125"/>
      <c r="DF26" s="125"/>
    </row>
    <row r="27" spans="1:110" x14ac:dyDescent="0.35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  <c r="CK27" s="125"/>
      <c r="CL27" s="125"/>
      <c r="CM27" s="125"/>
      <c r="CN27" s="125"/>
      <c r="CO27" s="125"/>
      <c r="CP27" s="125"/>
      <c r="CQ27" s="125"/>
      <c r="CR27" s="125"/>
      <c r="CS27" s="125"/>
      <c r="CT27" s="125"/>
      <c r="CU27" s="125"/>
      <c r="CV27" s="125"/>
      <c r="CW27" s="125"/>
      <c r="CX27" s="125"/>
      <c r="CY27" s="125"/>
      <c r="CZ27" s="125"/>
      <c r="DA27" s="125"/>
      <c r="DB27" s="125"/>
      <c r="DC27" s="125"/>
      <c r="DD27" s="125"/>
      <c r="DE27" s="125"/>
      <c r="DF27" s="125"/>
    </row>
    <row r="28" spans="1:110" x14ac:dyDescent="0.35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5"/>
      <c r="CR28" s="125"/>
      <c r="CS28" s="125"/>
      <c r="CT28" s="125"/>
      <c r="CU28" s="125"/>
      <c r="CV28" s="125"/>
      <c r="CW28" s="125"/>
      <c r="CX28" s="125"/>
      <c r="CY28" s="125"/>
      <c r="CZ28" s="125"/>
      <c r="DA28" s="125"/>
      <c r="DB28" s="125"/>
      <c r="DC28" s="125"/>
      <c r="DD28" s="125"/>
      <c r="DE28" s="125"/>
      <c r="DF28" s="125"/>
    </row>
    <row r="29" spans="1:110" x14ac:dyDescent="0.35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</row>
    <row r="30" spans="1:110" x14ac:dyDescent="0.35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  <c r="CK30" s="125"/>
      <c r="CL30" s="125"/>
      <c r="CM30" s="125"/>
      <c r="CN30" s="125"/>
      <c r="CO30" s="125"/>
      <c r="CP30" s="125"/>
      <c r="CQ30" s="125"/>
      <c r="CR30" s="125"/>
      <c r="CS30" s="125"/>
      <c r="CT30" s="125"/>
      <c r="CU30" s="125"/>
      <c r="CV30" s="125"/>
      <c r="CW30" s="125"/>
      <c r="CX30" s="125"/>
      <c r="CY30" s="125"/>
      <c r="CZ30" s="125"/>
      <c r="DA30" s="125"/>
      <c r="DB30" s="125"/>
      <c r="DC30" s="125"/>
      <c r="DD30" s="125"/>
      <c r="DE30" s="125"/>
      <c r="DF30" s="125"/>
    </row>
    <row r="31" spans="1:110" x14ac:dyDescent="0.35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5"/>
      <c r="CR31" s="125"/>
      <c r="CS31" s="125"/>
      <c r="CT31" s="125"/>
      <c r="CU31" s="125"/>
      <c r="CV31" s="125"/>
      <c r="CW31" s="125"/>
      <c r="CX31" s="125"/>
      <c r="CY31" s="125"/>
      <c r="CZ31" s="125"/>
      <c r="DA31" s="125"/>
      <c r="DB31" s="125"/>
      <c r="DC31" s="125"/>
      <c r="DD31" s="125"/>
      <c r="DE31" s="125"/>
      <c r="DF31" s="125"/>
    </row>
    <row r="32" spans="1:110" x14ac:dyDescent="0.35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5"/>
      <c r="CT32" s="125"/>
      <c r="CU32" s="125"/>
      <c r="CV32" s="125"/>
      <c r="CW32" s="125"/>
      <c r="CX32" s="125"/>
      <c r="CY32" s="125"/>
      <c r="CZ32" s="125"/>
      <c r="DA32" s="125"/>
      <c r="DB32" s="125"/>
      <c r="DC32" s="125"/>
      <c r="DD32" s="125"/>
      <c r="DE32" s="125"/>
      <c r="DF32" s="125"/>
    </row>
    <row r="33" spans="1:110" x14ac:dyDescent="0.35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  <c r="CK33" s="125"/>
      <c r="CL33" s="125"/>
      <c r="CM33" s="125"/>
      <c r="CN33" s="125"/>
      <c r="CO33" s="125"/>
      <c r="CP33" s="125"/>
      <c r="CQ33" s="125"/>
      <c r="CR33" s="125"/>
      <c r="CS33" s="125"/>
      <c r="CT33" s="125"/>
      <c r="CU33" s="125"/>
      <c r="CV33" s="125"/>
      <c r="CW33" s="125"/>
      <c r="CX33" s="125"/>
      <c r="CY33" s="125"/>
      <c r="CZ33" s="125"/>
      <c r="DA33" s="125"/>
      <c r="DB33" s="125"/>
      <c r="DC33" s="125"/>
      <c r="DD33" s="125"/>
      <c r="DE33" s="125"/>
      <c r="DF33" s="125"/>
    </row>
    <row r="34" spans="1:110" x14ac:dyDescent="0.35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  <c r="CK34" s="125"/>
      <c r="CL34" s="125"/>
      <c r="CM34" s="125"/>
      <c r="CN34" s="125"/>
      <c r="CO34" s="125"/>
      <c r="CP34" s="125"/>
      <c r="CQ34" s="125"/>
      <c r="CR34" s="125"/>
      <c r="CS34" s="125"/>
      <c r="CT34" s="125"/>
      <c r="CU34" s="125"/>
      <c r="CV34" s="125"/>
      <c r="CW34" s="125"/>
      <c r="CX34" s="125"/>
      <c r="CY34" s="125"/>
      <c r="CZ34" s="125"/>
      <c r="DA34" s="125"/>
      <c r="DB34" s="125"/>
      <c r="DC34" s="125"/>
      <c r="DD34" s="125"/>
      <c r="DE34" s="125"/>
      <c r="DF34" s="125"/>
    </row>
    <row r="35" spans="1:110" x14ac:dyDescent="0.35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</row>
    <row r="36" spans="1:110" x14ac:dyDescent="0.35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  <c r="CK36" s="125"/>
      <c r="CL36" s="125"/>
      <c r="CM36" s="125"/>
      <c r="CN36" s="125"/>
      <c r="CO36" s="125"/>
      <c r="CP36" s="125"/>
      <c r="CQ36" s="125"/>
      <c r="CR36" s="125"/>
      <c r="CS36" s="125"/>
      <c r="CT36" s="125"/>
      <c r="CU36" s="125"/>
      <c r="CV36" s="125"/>
      <c r="CW36" s="125"/>
      <c r="CX36" s="125"/>
      <c r="CY36" s="125"/>
      <c r="CZ36" s="125"/>
      <c r="DA36" s="125"/>
      <c r="DB36" s="125"/>
      <c r="DC36" s="125"/>
      <c r="DD36" s="125"/>
      <c r="DE36" s="125"/>
      <c r="DF36" s="125"/>
    </row>
    <row r="37" spans="1:110" x14ac:dyDescent="0.35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/>
      <c r="CX37" s="125"/>
      <c r="CY37" s="125"/>
      <c r="CZ37" s="125"/>
      <c r="DA37" s="125"/>
      <c r="DB37" s="125"/>
      <c r="DC37" s="125"/>
      <c r="DD37" s="125"/>
      <c r="DE37" s="125"/>
      <c r="DF37" s="125"/>
    </row>
    <row r="38" spans="1:110" x14ac:dyDescent="0.35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  <c r="CK38" s="125"/>
      <c r="CL38" s="125"/>
      <c r="CM38" s="125"/>
      <c r="CN38" s="125"/>
      <c r="CO38" s="125"/>
      <c r="CP38" s="125"/>
      <c r="CQ38" s="125"/>
      <c r="CR38" s="125"/>
      <c r="CS38" s="125"/>
      <c r="CT38" s="125"/>
      <c r="CU38" s="125"/>
      <c r="CV38" s="125"/>
      <c r="CW38" s="125"/>
      <c r="CX38" s="125"/>
      <c r="CY38" s="125"/>
      <c r="CZ38" s="125"/>
      <c r="DA38" s="125"/>
      <c r="DB38" s="125"/>
      <c r="DC38" s="125"/>
      <c r="DD38" s="125"/>
      <c r="DE38" s="125"/>
      <c r="DF38" s="125"/>
    </row>
    <row r="39" spans="1:110" x14ac:dyDescent="0.35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  <c r="CK39" s="125"/>
      <c r="CL39" s="125"/>
      <c r="CM39" s="125"/>
      <c r="CN39" s="125"/>
      <c r="CO39" s="125"/>
      <c r="CP39" s="125"/>
      <c r="CQ39" s="125"/>
      <c r="CR39" s="125"/>
      <c r="CS39" s="125"/>
      <c r="CT39" s="125"/>
      <c r="CU39" s="125"/>
      <c r="CV39" s="125"/>
      <c r="CW39" s="125"/>
      <c r="CX39" s="125"/>
      <c r="CY39" s="125"/>
      <c r="CZ39" s="125"/>
      <c r="DA39" s="125"/>
      <c r="DB39" s="125"/>
      <c r="DC39" s="125"/>
      <c r="DD39" s="125"/>
      <c r="DE39" s="125"/>
      <c r="DF39" s="125"/>
    </row>
    <row r="40" spans="1:110" x14ac:dyDescent="0.35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  <c r="CK40" s="125"/>
      <c r="CL40" s="125"/>
      <c r="CM40" s="125"/>
      <c r="CN40" s="125"/>
      <c r="CO40" s="125"/>
      <c r="CP40" s="125"/>
      <c r="CQ40" s="125"/>
      <c r="CR40" s="125"/>
      <c r="CS40" s="125"/>
      <c r="CT40" s="125"/>
      <c r="CU40" s="125"/>
      <c r="CV40" s="125"/>
      <c r="CW40" s="125"/>
      <c r="CX40" s="125"/>
      <c r="CY40" s="125"/>
      <c r="CZ40" s="125"/>
      <c r="DA40" s="125"/>
      <c r="DB40" s="125"/>
      <c r="DC40" s="125"/>
      <c r="DD40" s="125"/>
      <c r="DE40" s="125"/>
      <c r="DF40" s="125"/>
    </row>
    <row r="41" spans="1:110" x14ac:dyDescent="0.35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  <c r="CK41" s="125"/>
      <c r="CL41" s="125"/>
      <c r="CM41" s="125"/>
      <c r="CN41" s="125"/>
      <c r="CO41" s="125"/>
      <c r="CP41" s="125"/>
      <c r="CQ41" s="125"/>
      <c r="CR41" s="125"/>
      <c r="CS41" s="125"/>
      <c r="CT41" s="125"/>
      <c r="CU41" s="125"/>
      <c r="CV41" s="125"/>
      <c r="CW41" s="125"/>
      <c r="CX41" s="125"/>
      <c r="CY41" s="125"/>
      <c r="CZ41" s="125"/>
      <c r="DA41" s="125"/>
      <c r="DB41" s="125"/>
      <c r="DC41" s="125"/>
      <c r="DD41" s="125"/>
      <c r="DE41" s="125"/>
      <c r="DF41" s="125"/>
    </row>
    <row r="42" spans="1:110" x14ac:dyDescent="0.35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</row>
    <row r="43" spans="1:110" x14ac:dyDescent="0.35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125"/>
      <c r="CN43" s="125"/>
      <c r="CO43" s="125"/>
      <c r="CP43" s="125"/>
      <c r="CQ43" s="125"/>
      <c r="CR43" s="125"/>
      <c r="CS43" s="125"/>
      <c r="CT43" s="125"/>
      <c r="CU43" s="125"/>
      <c r="CV43" s="125"/>
      <c r="CW43" s="125"/>
      <c r="CX43" s="125"/>
      <c r="CY43" s="125"/>
      <c r="CZ43" s="125"/>
      <c r="DA43" s="125"/>
      <c r="DB43" s="125"/>
      <c r="DC43" s="125"/>
      <c r="DD43" s="125"/>
      <c r="DE43" s="125"/>
      <c r="DF43" s="125"/>
    </row>
    <row r="44" spans="1:110" x14ac:dyDescent="0.35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  <c r="CW44" s="125"/>
      <c r="CX44" s="125"/>
      <c r="CY44" s="125"/>
      <c r="CZ44" s="125"/>
      <c r="DA44" s="125"/>
      <c r="DB44" s="125"/>
      <c r="DC44" s="125"/>
      <c r="DD44" s="125"/>
      <c r="DE44" s="125"/>
      <c r="DF44" s="125"/>
    </row>
    <row r="45" spans="1:110" x14ac:dyDescent="0.35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125"/>
      <c r="CN45" s="125"/>
      <c r="CO45" s="125"/>
      <c r="CP45" s="125"/>
      <c r="CQ45" s="125"/>
      <c r="CR45" s="125"/>
      <c r="CS45" s="125"/>
      <c r="CT45" s="125"/>
      <c r="CU45" s="125"/>
      <c r="CV45" s="125"/>
      <c r="CW45" s="125"/>
      <c r="CX45" s="125"/>
      <c r="CY45" s="125"/>
      <c r="CZ45" s="125"/>
      <c r="DA45" s="125"/>
      <c r="DB45" s="125"/>
      <c r="DC45" s="125"/>
      <c r="DD45" s="125"/>
      <c r="DE45" s="125"/>
      <c r="DF45" s="125"/>
    </row>
    <row r="46" spans="1:110" x14ac:dyDescent="0.35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</row>
    <row r="47" spans="1:110" x14ac:dyDescent="0.35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  <c r="CK47" s="125"/>
      <c r="CL47" s="125"/>
      <c r="CM47" s="125"/>
      <c r="CN47" s="125"/>
      <c r="CO47" s="125"/>
      <c r="CP47" s="125"/>
      <c r="CQ47" s="125"/>
      <c r="CR47" s="125"/>
      <c r="CS47" s="125"/>
      <c r="CT47" s="125"/>
      <c r="CU47" s="125"/>
      <c r="CV47" s="125"/>
      <c r="CW47" s="125"/>
      <c r="CX47" s="125"/>
      <c r="CY47" s="125"/>
      <c r="CZ47" s="125"/>
      <c r="DA47" s="125"/>
      <c r="DB47" s="125"/>
      <c r="DC47" s="125"/>
      <c r="DD47" s="125"/>
      <c r="DE47" s="125"/>
      <c r="DF47" s="125"/>
    </row>
    <row r="48" spans="1:110" x14ac:dyDescent="0.35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  <c r="CK48" s="125"/>
      <c r="CL48" s="125"/>
      <c r="CM48" s="125"/>
      <c r="CN48" s="125"/>
      <c r="CO48" s="125"/>
      <c r="CP48" s="125"/>
      <c r="CQ48" s="125"/>
      <c r="CR48" s="125"/>
      <c r="CS48" s="125"/>
      <c r="CT48" s="125"/>
      <c r="CU48" s="125"/>
      <c r="CV48" s="125"/>
      <c r="CW48" s="125"/>
      <c r="CX48" s="125"/>
      <c r="CY48" s="125"/>
      <c r="CZ48" s="125"/>
      <c r="DA48" s="125"/>
      <c r="DB48" s="125"/>
      <c r="DC48" s="125"/>
      <c r="DD48" s="125"/>
      <c r="DE48" s="125"/>
      <c r="DF48" s="125"/>
    </row>
    <row r="49" spans="1:110" x14ac:dyDescent="0.35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  <c r="CK49" s="125"/>
      <c r="CL49" s="125"/>
      <c r="CM49" s="125"/>
      <c r="CN49" s="125"/>
      <c r="CO49" s="125"/>
      <c r="CP49" s="125"/>
      <c r="CQ49" s="125"/>
      <c r="CR49" s="125"/>
      <c r="CS49" s="125"/>
      <c r="CT49" s="125"/>
      <c r="CU49" s="125"/>
      <c r="CV49" s="125"/>
      <c r="CW49" s="125"/>
      <c r="CX49" s="125"/>
      <c r="CY49" s="125"/>
      <c r="CZ49" s="125"/>
      <c r="DA49" s="125"/>
      <c r="DB49" s="125"/>
      <c r="DC49" s="125"/>
      <c r="DD49" s="125"/>
      <c r="DE49" s="125"/>
      <c r="DF49" s="125"/>
    </row>
    <row r="50" spans="1:110" x14ac:dyDescent="0.35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  <c r="CK50" s="125"/>
      <c r="CL50" s="125"/>
      <c r="CM50" s="125"/>
      <c r="CN50" s="125"/>
      <c r="CO50" s="125"/>
      <c r="CP50" s="125"/>
      <c r="CQ50" s="125"/>
      <c r="CR50" s="125"/>
      <c r="CS50" s="125"/>
      <c r="CT50" s="125"/>
      <c r="CU50" s="125"/>
      <c r="CV50" s="125"/>
      <c r="CW50" s="125"/>
      <c r="CX50" s="125"/>
      <c r="CY50" s="125"/>
      <c r="CZ50" s="125"/>
      <c r="DA50" s="125"/>
      <c r="DB50" s="125"/>
      <c r="DC50" s="125"/>
      <c r="DD50" s="125"/>
      <c r="DE50" s="125"/>
      <c r="DF50" s="125"/>
    </row>
    <row r="51" spans="1:110" x14ac:dyDescent="0.35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  <c r="CK51" s="125"/>
      <c r="CL51" s="125"/>
      <c r="CM51" s="125"/>
      <c r="CN51" s="125"/>
      <c r="CO51" s="125"/>
      <c r="CP51" s="125"/>
      <c r="CQ51" s="125"/>
      <c r="CR51" s="125"/>
      <c r="CS51" s="125"/>
      <c r="CT51" s="125"/>
      <c r="CU51" s="125"/>
      <c r="CV51" s="125"/>
      <c r="CW51" s="125"/>
      <c r="CX51" s="125"/>
      <c r="CY51" s="125"/>
      <c r="CZ51" s="125"/>
      <c r="DA51" s="125"/>
      <c r="DB51" s="125"/>
      <c r="DC51" s="125"/>
      <c r="DD51" s="125"/>
      <c r="DE51" s="125"/>
      <c r="DF51" s="125"/>
    </row>
    <row r="52" spans="1:110" x14ac:dyDescent="0.35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125"/>
      <c r="CN52" s="125"/>
      <c r="CO52" s="125"/>
      <c r="CP52" s="125"/>
      <c r="CQ52" s="125"/>
      <c r="CR52" s="125"/>
      <c r="CS52" s="125"/>
      <c r="CT52" s="125"/>
      <c r="CU52" s="125"/>
      <c r="CV52" s="125"/>
      <c r="CW52" s="125"/>
      <c r="CX52" s="125"/>
      <c r="CY52" s="125"/>
      <c r="CZ52" s="125"/>
      <c r="DA52" s="125"/>
      <c r="DB52" s="125"/>
      <c r="DC52" s="125"/>
      <c r="DD52" s="125"/>
      <c r="DE52" s="125"/>
      <c r="DF52" s="125"/>
    </row>
    <row r="53" spans="1:110" x14ac:dyDescent="0.35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  <c r="CK53" s="125"/>
      <c r="CL53" s="125"/>
      <c r="CM53" s="125"/>
      <c r="CN53" s="125"/>
      <c r="CO53" s="125"/>
      <c r="CP53" s="125"/>
      <c r="CQ53" s="125"/>
      <c r="CR53" s="125"/>
      <c r="CS53" s="125"/>
      <c r="CT53" s="125"/>
      <c r="CU53" s="125"/>
      <c r="CV53" s="125"/>
      <c r="CW53" s="125"/>
      <c r="CX53" s="125"/>
      <c r="CY53" s="125"/>
      <c r="CZ53" s="125"/>
      <c r="DA53" s="125"/>
      <c r="DB53" s="125"/>
      <c r="DC53" s="125"/>
      <c r="DD53" s="125"/>
      <c r="DE53" s="125"/>
      <c r="DF53" s="125"/>
    </row>
    <row r="54" spans="1:110" x14ac:dyDescent="0.35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  <c r="CK54" s="125"/>
      <c r="CL54" s="125"/>
      <c r="CM54" s="125"/>
      <c r="CN54" s="125"/>
      <c r="CO54" s="125"/>
      <c r="CP54" s="125"/>
      <c r="CQ54" s="125"/>
      <c r="CR54" s="125"/>
      <c r="CS54" s="125"/>
      <c r="CT54" s="125"/>
      <c r="CU54" s="125"/>
      <c r="CV54" s="125"/>
      <c r="CW54" s="125"/>
      <c r="CX54" s="125"/>
      <c r="CY54" s="125"/>
      <c r="CZ54" s="125"/>
      <c r="DA54" s="125"/>
      <c r="DB54" s="125"/>
      <c r="DC54" s="125"/>
      <c r="DD54" s="125"/>
      <c r="DE54" s="125"/>
      <c r="DF54" s="125"/>
    </row>
    <row r="55" spans="1:110" x14ac:dyDescent="0.3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  <c r="DE55" s="125"/>
      <c r="DF55" s="125"/>
    </row>
    <row r="56" spans="1:110" x14ac:dyDescent="0.35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125"/>
      <c r="BN56" s="125"/>
      <c r="BO56" s="125"/>
      <c r="BP56" s="125"/>
      <c r="BQ56" s="125"/>
      <c r="BR56" s="125"/>
      <c r="BS56" s="125"/>
      <c r="BT56" s="125"/>
      <c r="BU56" s="125"/>
      <c r="BV56" s="125"/>
      <c r="BW56" s="125"/>
      <c r="BX56" s="125"/>
      <c r="BY56" s="125"/>
      <c r="BZ56" s="125"/>
      <c r="CA56" s="125"/>
      <c r="CB56" s="125"/>
      <c r="CC56" s="125"/>
      <c r="CD56" s="125"/>
      <c r="CE56" s="125"/>
      <c r="CF56" s="125"/>
      <c r="CG56" s="125"/>
      <c r="CH56" s="125"/>
      <c r="CI56" s="125"/>
      <c r="CJ56" s="125"/>
      <c r="CK56" s="125"/>
      <c r="CL56" s="125"/>
      <c r="CM56" s="125"/>
      <c r="CN56" s="125"/>
      <c r="CO56" s="125"/>
      <c r="CP56" s="125"/>
      <c r="CQ56" s="125"/>
      <c r="CR56" s="125"/>
      <c r="CS56" s="125"/>
      <c r="CT56" s="125"/>
      <c r="CU56" s="125"/>
      <c r="CV56" s="125"/>
      <c r="CW56" s="125"/>
      <c r="CX56" s="125"/>
      <c r="CY56" s="125"/>
      <c r="CZ56" s="125"/>
      <c r="DA56" s="125"/>
      <c r="DB56" s="125"/>
      <c r="DC56" s="125"/>
      <c r="DD56" s="125"/>
      <c r="DE56" s="125"/>
      <c r="DF56" s="125"/>
    </row>
    <row r="57" spans="1:110" x14ac:dyDescent="0.35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125"/>
      <c r="BN57" s="125"/>
      <c r="BO57" s="125"/>
      <c r="BP57" s="125"/>
      <c r="BQ57" s="125"/>
      <c r="BR57" s="125"/>
      <c r="BS57" s="125"/>
      <c r="BT57" s="125"/>
      <c r="BU57" s="125"/>
      <c r="BV57" s="125"/>
      <c r="BW57" s="125"/>
      <c r="BX57" s="125"/>
      <c r="BY57" s="125"/>
      <c r="BZ57" s="125"/>
      <c r="CA57" s="125"/>
      <c r="CB57" s="125"/>
      <c r="CC57" s="125"/>
      <c r="CD57" s="125"/>
      <c r="CE57" s="125"/>
      <c r="CF57" s="125"/>
      <c r="CG57" s="125"/>
      <c r="CH57" s="125"/>
      <c r="CI57" s="125"/>
      <c r="CJ57" s="125"/>
      <c r="CK57" s="125"/>
      <c r="CL57" s="125"/>
      <c r="CM57" s="125"/>
      <c r="CN57" s="125"/>
      <c r="CO57" s="125"/>
      <c r="CP57" s="125"/>
      <c r="CQ57" s="125"/>
      <c r="CR57" s="125"/>
      <c r="CS57" s="125"/>
      <c r="CT57" s="125"/>
      <c r="CU57" s="125"/>
      <c r="CV57" s="125"/>
      <c r="CW57" s="125"/>
      <c r="CX57" s="125"/>
      <c r="CY57" s="125"/>
      <c r="CZ57" s="125"/>
      <c r="DA57" s="125"/>
      <c r="DB57" s="125"/>
      <c r="DC57" s="125"/>
      <c r="DD57" s="125"/>
      <c r="DE57" s="125"/>
      <c r="DF57" s="125"/>
    </row>
    <row r="58" spans="1:110" x14ac:dyDescent="0.35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</row>
    <row r="59" spans="1:110" x14ac:dyDescent="0.35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  <c r="CW59" s="125"/>
      <c r="CX59" s="125"/>
      <c r="CY59" s="125"/>
      <c r="CZ59" s="125"/>
      <c r="DA59" s="125"/>
      <c r="DB59" s="125"/>
      <c r="DC59" s="125"/>
      <c r="DD59" s="125"/>
      <c r="DE59" s="125"/>
      <c r="DF59" s="125"/>
    </row>
    <row r="60" spans="1:110" x14ac:dyDescent="0.35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</row>
    <row r="61" spans="1:110" x14ac:dyDescent="0.35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125"/>
      <c r="CN61" s="125"/>
      <c r="CO61" s="125"/>
      <c r="CP61" s="125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  <c r="DB61" s="125"/>
      <c r="DC61" s="125"/>
      <c r="DD61" s="125"/>
      <c r="DE61" s="125"/>
      <c r="DF61" s="125"/>
    </row>
    <row r="62" spans="1:110" x14ac:dyDescent="0.35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BQ62" s="125"/>
      <c r="BR62" s="125"/>
      <c r="BS62" s="125"/>
      <c r="BT62" s="125"/>
      <c r="BU62" s="125"/>
      <c r="BV62" s="125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  <c r="DE62" s="125"/>
      <c r="DF62" s="125"/>
    </row>
    <row r="63" spans="1:110" x14ac:dyDescent="0.35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  <c r="BQ63" s="125"/>
      <c r="BR63" s="125"/>
      <c r="BS63" s="125"/>
      <c r="BT63" s="125"/>
      <c r="BU63" s="125"/>
      <c r="BV63" s="125"/>
      <c r="BW63" s="125"/>
      <c r="BX63" s="125"/>
      <c r="BY63" s="125"/>
      <c r="BZ63" s="125"/>
      <c r="CA63" s="125"/>
      <c r="CB63" s="125"/>
      <c r="CC63" s="125"/>
      <c r="CD63" s="125"/>
      <c r="CE63" s="125"/>
      <c r="CF63" s="125"/>
      <c r="CG63" s="125"/>
      <c r="CH63" s="125"/>
      <c r="CI63" s="125"/>
      <c r="CJ63" s="125"/>
      <c r="CK63" s="125"/>
      <c r="CL63" s="125"/>
      <c r="CM63" s="125"/>
      <c r="CN63" s="125"/>
      <c r="CO63" s="125"/>
      <c r="CP63" s="125"/>
      <c r="CQ63" s="125"/>
      <c r="CR63" s="125"/>
      <c r="CS63" s="125"/>
      <c r="CT63" s="125"/>
      <c r="CU63" s="125"/>
      <c r="CV63" s="125"/>
      <c r="CW63" s="125"/>
      <c r="CX63" s="125"/>
      <c r="CY63" s="125"/>
      <c r="CZ63" s="125"/>
      <c r="DA63" s="125"/>
      <c r="DB63" s="125"/>
      <c r="DC63" s="125"/>
      <c r="DD63" s="125"/>
      <c r="DE63" s="125"/>
      <c r="DF63" s="125"/>
    </row>
    <row r="64" spans="1:110" x14ac:dyDescent="0.35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  <c r="BS64" s="125"/>
      <c r="BT64" s="125"/>
      <c r="BU64" s="125"/>
      <c r="BV64" s="125"/>
      <c r="BW64" s="125"/>
      <c r="BX64" s="125"/>
      <c r="BY64" s="125"/>
      <c r="BZ64" s="125"/>
      <c r="CA64" s="125"/>
      <c r="CB64" s="125"/>
      <c r="CC64" s="125"/>
      <c r="CD64" s="125"/>
      <c r="CE64" s="125"/>
      <c r="CF64" s="125"/>
      <c r="CG64" s="125"/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  <c r="CW64" s="125"/>
      <c r="CX64" s="125"/>
      <c r="CY64" s="125"/>
      <c r="CZ64" s="125"/>
      <c r="DA64" s="125"/>
      <c r="DB64" s="125"/>
      <c r="DC64" s="125"/>
      <c r="DD64" s="125"/>
      <c r="DE64" s="125"/>
      <c r="DF64" s="125"/>
    </row>
    <row r="65" spans="1:110" x14ac:dyDescent="0.3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/>
      <c r="BR65" s="125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/>
      <c r="CE65" s="125"/>
      <c r="CF65" s="125"/>
      <c r="CG65" s="125"/>
      <c r="CH65" s="125"/>
      <c r="CI65" s="125"/>
      <c r="CJ65" s="125"/>
      <c r="CK65" s="125"/>
      <c r="CL65" s="125"/>
      <c r="CM65" s="125"/>
      <c r="CN65" s="125"/>
      <c r="CO65" s="125"/>
      <c r="CP65" s="125"/>
      <c r="CQ65" s="125"/>
      <c r="CR65" s="125"/>
      <c r="CS65" s="125"/>
      <c r="CT65" s="125"/>
      <c r="CU65" s="125"/>
      <c r="CV65" s="125"/>
      <c r="CW65" s="125"/>
      <c r="CX65" s="125"/>
      <c r="CY65" s="125"/>
      <c r="CZ65" s="125"/>
      <c r="DA65" s="125"/>
      <c r="DB65" s="125"/>
      <c r="DC65" s="125"/>
      <c r="DD65" s="125"/>
      <c r="DE65" s="125"/>
      <c r="DF65" s="125"/>
    </row>
    <row r="66" spans="1:110" x14ac:dyDescent="0.35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5"/>
      <c r="CZ66" s="125"/>
      <c r="DA66" s="125"/>
      <c r="DB66" s="125"/>
      <c r="DC66" s="125"/>
      <c r="DD66" s="125"/>
      <c r="DE66" s="125"/>
      <c r="DF66" s="125"/>
    </row>
    <row r="67" spans="1:110" x14ac:dyDescent="0.35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125"/>
      <c r="BN67" s="125"/>
      <c r="BO67" s="125"/>
      <c r="BP67" s="125"/>
      <c r="BQ67" s="125"/>
      <c r="BR67" s="125"/>
      <c r="BS67" s="125"/>
      <c r="BT67" s="125"/>
      <c r="BU67" s="125"/>
      <c r="BV67" s="125"/>
      <c r="BW67" s="125"/>
      <c r="BX67" s="125"/>
      <c r="BY67" s="125"/>
      <c r="BZ67" s="125"/>
      <c r="CA67" s="125"/>
      <c r="CB67" s="125"/>
      <c r="CC67" s="125"/>
      <c r="CD67" s="125"/>
      <c r="CE67" s="125"/>
      <c r="CF67" s="125"/>
      <c r="CG67" s="125"/>
      <c r="CH67" s="125"/>
      <c r="CI67" s="125"/>
      <c r="CJ67" s="125"/>
      <c r="CK67" s="125"/>
      <c r="CL67" s="125"/>
      <c r="CM67" s="125"/>
      <c r="CN67" s="125"/>
      <c r="CO67" s="125"/>
      <c r="CP67" s="125"/>
      <c r="CQ67" s="125"/>
      <c r="CR67" s="125"/>
      <c r="CS67" s="125"/>
      <c r="CT67" s="125"/>
      <c r="CU67" s="125"/>
      <c r="CV67" s="125"/>
      <c r="CW67" s="125"/>
      <c r="CX67" s="125"/>
      <c r="CY67" s="125"/>
      <c r="CZ67" s="125"/>
      <c r="DA67" s="125"/>
      <c r="DB67" s="125"/>
      <c r="DC67" s="125"/>
      <c r="DD67" s="125"/>
      <c r="DE67" s="125"/>
      <c r="DF67" s="125"/>
    </row>
    <row r="68" spans="1:110" x14ac:dyDescent="0.35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25"/>
      <c r="BS68" s="125"/>
      <c r="BT68" s="125"/>
      <c r="BU68" s="125"/>
      <c r="BV68" s="125"/>
      <c r="BW68" s="125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</row>
    <row r="69" spans="1:110" x14ac:dyDescent="0.35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/>
      <c r="CX69" s="125"/>
      <c r="CY69" s="125"/>
      <c r="CZ69" s="125"/>
      <c r="DA69" s="125"/>
      <c r="DB69" s="125"/>
      <c r="DC69" s="125"/>
      <c r="DD69" s="125"/>
      <c r="DE69" s="125"/>
      <c r="DF69" s="125"/>
    </row>
    <row r="70" spans="1:110" x14ac:dyDescent="0.35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5"/>
      <c r="BV70" s="125"/>
      <c r="BW70" s="125"/>
      <c r="BX70" s="125"/>
      <c r="BY70" s="125"/>
      <c r="BZ70" s="125"/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/>
      <c r="CL70" s="125"/>
      <c r="CM70" s="125"/>
      <c r="CN70" s="125"/>
      <c r="CO70" s="125"/>
      <c r="CP70" s="125"/>
      <c r="CQ70" s="125"/>
      <c r="CR70" s="125"/>
      <c r="CS70" s="125"/>
      <c r="CT70" s="125"/>
      <c r="CU70" s="125"/>
      <c r="CV70" s="125"/>
      <c r="CW70" s="125"/>
      <c r="CX70" s="125"/>
      <c r="CY70" s="125"/>
      <c r="CZ70" s="125"/>
      <c r="DA70" s="125"/>
      <c r="DB70" s="125"/>
      <c r="DC70" s="125"/>
      <c r="DD70" s="125"/>
      <c r="DE70" s="125"/>
      <c r="DF70" s="125"/>
    </row>
    <row r="71" spans="1:110" x14ac:dyDescent="0.35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5"/>
      <c r="DD71" s="125"/>
      <c r="DE71" s="125"/>
      <c r="DF71" s="125"/>
    </row>
    <row r="72" spans="1:110" x14ac:dyDescent="0.35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5"/>
      <c r="BT72" s="125"/>
      <c r="BU72" s="125"/>
      <c r="BV72" s="125"/>
      <c r="BW72" s="125"/>
      <c r="BX72" s="125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5"/>
      <c r="CR72" s="125"/>
      <c r="CS72" s="125"/>
      <c r="CT72" s="125"/>
      <c r="CU72" s="125"/>
      <c r="CV72" s="125"/>
      <c r="CW72" s="125"/>
      <c r="CX72" s="125"/>
      <c r="CY72" s="125"/>
      <c r="CZ72" s="125"/>
      <c r="DA72" s="125"/>
      <c r="DB72" s="125"/>
      <c r="DC72" s="125"/>
      <c r="DD72" s="125"/>
      <c r="DE72" s="125"/>
      <c r="DF72" s="125"/>
    </row>
    <row r="73" spans="1:110" x14ac:dyDescent="0.35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5"/>
      <c r="BT73" s="125"/>
      <c r="BU73" s="125"/>
      <c r="BV73" s="125"/>
      <c r="BW73" s="125"/>
      <c r="BX73" s="125"/>
      <c r="BY73" s="125"/>
      <c r="BZ73" s="125"/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5"/>
      <c r="CR73" s="125"/>
      <c r="CS73" s="125"/>
      <c r="CT73" s="125"/>
      <c r="CU73" s="125"/>
      <c r="CV73" s="125"/>
      <c r="CW73" s="125"/>
      <c r="CX73" s="125"/>
      <c r="CY73" s="125"/>
      <c r="CZ73" s="125"/>
      <c r="DA73" s="125"/>
      <c r="DB73" s="125"/>
      <c r="DC73" s="125"/>
      <c r="DD73" s="125"/>
      <c r="DE73" s="125"/>
      <c r="DF73" s="125"/>
    </row>
    <row r="74" spans="1:110" x14ac:dyDescent="0.35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5"/>
      <c r="BT74" s="125"/>
      <c r="BU74" s="125"/>
      <c r="BV74" s="125"/>
      <c r="BW74" s="125"/>
      <c r="BX74" s="125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125"/>
      <c r="CX74" s="125"/>
      <c r="CY74" s="125"/>
      <c r="CZ74" s="125"/>
      <c r="DA74" s="125"/>
      <c r="DB74" s="125"/>
      <c r="DC74" s="125"/>
      <c r="DD74" s="125"/>
      <c r="DE74" s="125"/>
      <c r="DF74" s="125"/>
    </row>
    <row r="75" spans="1:110" x14ac:dyDescent="0.3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5"/>
      <c r="BT75" s="125"/>
      <c r="BU75" s="125"/>
      <c r="BV75" s="125"/>
      <c r="BW75" s="125"/>
      <c r="BX75" s="125"/>
      <c r="BY75" s="125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  <c r="DE75" s="125"/>
      <c r="DF75" s="125"/>
    </row>
    <row r="76" spans="1:110" x14ac:dyDescent="0.35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5"/>
      <c r="BT76" s="125"/>
      <c r="BU76" s="125"/>
      <c r="BV76" s="125"/>
      <c r="BW76" s="125"/>
      <c r="BX76" s="125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5"/>
      <c r="CR76" s="125"/>
      <c r="CS76" s="125"/>
      <c r="CT76" s="125"/>
      <c r="CU76" s="125"/>
      <c r="CV76" s="125"/>
      <c r="CW76" s="125"/>
      <c r="CX76" s="125"/>
      <c r="CY76" s="125"/>
      <c r="CZ76" s="125"/>
      <c r="DA76" s="125"/>
      <c r="DB76" s="125"/>
      <c r="DC76" s="125"/>
      <c r="DD76" s="125"/>
      <c r="DE76" s="125"/>
      <c r="DF76" s="125"/>
    </row>
    <row r="77" spans="1:110" x14ac:dyDescent="0.35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5"/>
      <c r="BT77" s="125"/>
      <c r="BU77" s="125"/>
      <c r="BV77" s="125"/>
      <c r="BW77" s="125"/>
      <c r="BX77" s="125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5"/>
      <c r="CR77" s="125"/>
      <c r="CS77" s="125"/>
      <c r="CT77" s="125"/>
      <c r="CU77" s="125"/>
      <c r="CV77" s="125"/>
      <c r="CW77" s="125"/>
      <c r="CX77" s="125"/>
      <c r="CY77" s="125"/>
      <c r="CZ77" s="125"/>
      <c r="DA77" s="125"/>
      <c r="DB77" s="125"/>
      <c r="DC77" s="125"/>
      <c r="DD77" s="125"/>
      <c r="DE77" s="125"/>
      <c r="DF77" s="125"/>
    </row>
    <row r="78" spans="1:110" x14ac:dyDescent="0.35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  <c r="BM78" s="125"/>
      <c r="BN78" s="125"/>
      <c r="BO78" s="125"/>
      <c r="BP78" s="125"/>
      <c r="BQ78" s="125"/>
      <c r="BR78" s="125"/>
      <c r="BS78" s="125"/>
      <c r="BT78" s="125"/>
      <c r="BU78" s="125"/>
      <c r="BV78" s="125"/>
      <c r="BW78" s="125"/>
      <c r="BX78" s="125"/>
      <c r="BY78" s="125"/>
      <c r="BZ78" s="125"/>
      <c r="CA78" s="125"/>
      <c r="CB78" s="125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5"/>
      <c r="CR78" s="125"/>
      <c r="CS78" s="125"/>
      <c r="CT78" s="125"/>
      <c r="CU78" s="125"/>
      <c r="CV78" s="125"/>
      <c r="CW78" s="125"/>
      <c r="CX78" s="125"/>
      <c r="CY78" s="125"/>
      <c r="CZ78" s="125"/>
      <c r="DA78" s="125"/>
      <c r="DB78" s="125"/>
      <c r="DC78" s="125"/>
      <c r="DD78" s="125"/>
      <c r="DE78" s="125"/>
      <c r="DF78" s="125"/>
    </row>
    <row r="79" spans="1:110" x14ac:dyDescent="0.35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5"/>
      <c r="BT79" s="125"/>
      <c r="BU79" s="125"/>
      <c r="BV79" s="125"/>
      <c r="BW79" s="125"/>
      <c r="BX79" s="125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5"/>
      <c r="CR79" s="125"/>
      <c r="CS79" s="125"/>
      <c r="CT79" s="125"/>
      <c r="CU79" s="125"/>
      <c r="CV79" s="125"/>
      <c r="CW79" s="125"/>
      <c r="CX79" s="125"/>
      <c r="CY79" s="125"/>
      <c r="CZ79" s="125"/>
      <c r="DA79" s="125"/>
      <c r="DB79" s="125"/>
      <c r="DC79" s="125"/>
      <c r="DD79" s="125"/>
      <c r="DE79" s="125"/>
      <c r="DF79" s="125"/>
    </row>
    <row r="80" spans="1:110" x14ac:dyDescent="0.35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5"/>
      <c r="BT80" s="125"/>
      <c r="BU80" s="125"/>
      <c r="BV80" s="125"/>
      <c r="BW80" s="125"/>
      <c r="BX80" s="125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5"/>
      <c r="CR80" s="125"/>
      <c r="CS80" s="125"/>
      <c r="CT80" s="125"/>
      <c r="CU80" s="125"/>
      <c r="CV80" s="125"/>
      <c r="CW80" s="125"/>
      <c r="CX80" s="125"/>
      <c r="CY80" s="125"/>
      <c r="CZ80" s="125"/>
      <c r="DA80" s="125"/>
      <c r="DB80" s="125"/>
      <c r="DC80" s="125"/>
      <c r="DD80" s="125"/>
      <c r="DE80" s="125"/>
      <c r="DF80" s="125"/>
    </row>
    <row r="81" spans="1:110" x14ac:dyDescent="0.35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</row>
    <row r="82" spans="1:110" x14ac:dyDescent="0.35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5"/>
      <c r="BT82" s="125"/>
      <c r="BU82" s="125"/>
      <c r="BV82" s="125"/>
      <c r="BW82" s="125"/>
      <c r="BX82" s="125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5"/>
      <c r="CR82" s="125"/>
      <c r="CS82" s="125"/>
      <c r="CT82" s="125"/>
      <c r="CU82" s="125"/>
      <c r="CV82" s="125"/>
      <c r="CW82" s="125"/>
      <c r="CX82" s="125"/>
      <c r="CY82" s="125"/>
      <c r="CZ82" s="125"/>
      <c r="DA82" s="125"/>
      <c r="DB82" s="125"/>
      <c r="DC82" s="125"/>
      <c r="DD82" s="125"/>
      <c r="DE82" s="125"/>
      <c r="DF82" s="125"/>
    </row>
    <row r="83" spans="1:110" x14ac:dyDescent="0.35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5"/>
      <c r="BT83" s="125"/>
      <c r="BU83" s="125"/>
      <c r="BV83" s="125"/>
      <c r="BW83" s="125"/>
      <c r="BX83" s="125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5"/>
      <c r="CR83" s="125"/>
      <c r="CS83" s="125"/>
      <c r="CT83" s="125"/>
      <c r="CU83" s="125"/>
      <c r="CV83" s="125"/>
      <c r="CW83" s="125"/>
      <c r="CX83" s="125"/>
      <c r="CY83" s="125"/>
      <c r="CZ83" s="125"/>
      <c r="DA83" s="125"/>
      <c r="DB83" s="125"/>
      <c r="DC83" s="125"/>
      <c r="DD83" s="125"/>
      <c r="DE83" s="125"/>
      <c r="DF83" s="125"/>
    </row>
    <row r="84" spans="1:110" x14ac:dyDescent="0.35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5"/>
      <c r="BT84" s="125"/>
      <c r="BU84" s="125"/>
      <c r="BV84" s="125"/>
      <c r="BW84" s="125"/>
      <c r="BX84" s="125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5"/>
      <c r="CR84" s="125"/>
      <c r="CS84" s="125"/>
      <c r="CT84" s="125"/>
      <c r="CU84" s="125"/>
      <c r="CV84" s="125"/>
      <c r="CW84" s="125"/>
      <c r="CX84" s="125"/>
      <c r="CY84" s="125"/>
      <c r="CZ84" s="125"/>
      <c r="DA84" s="125"/>
      <c r="DB84" s="125"/>
      <c r="DC84" s="125"/>
      <c r="DD84" s="125"/>
      <c r="DE84" s="125"/>
      <c r="DF84" s="125"/>
    </row>
    <row r="85" spans="1:110" x14ac:dyDescent="0.3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5"/>
      <c r="BT85" s="125"/>
      <c r="BU85" s="125"/>
      <c r="BV85" s="125"/>
      <c r="BW85" s="125"/>
      <c r="BX85" s="125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5"/>
      <c r="CR85" s="125"/>
      <c r="CS85" s="125"/>
      <c r="CT85" s="125"/>
      <c r="CU85" s="125"/>
      <c r="CV85" s="125"/>
      <c r="CW85" s="125"/>
      <c r="CX85" s="125"/>
      <c r="CY85" s="125"/>
      <c r="CZ85" s="125"/>
      <c r="DA85" s="125"/>
      <c r="DB85" s="125"/>
      <c r="DC85" s="125"/>
      <c r="DD85" s="125"/>
      <c r="DE85" s="125"/>
      <c r="DF85" s="125"/>
    </row>
    <row r="86" spans="1:110" x14ac:dyDescent="0.35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125"/>
      <c r="BQ86" s="125"/>
      <c r="BR86" s="125"/>
      <c r="BS86" s="125"/>
      <c r="BT86" s="125"/>
      <c r="BU86" s="125"/>
      <c r="BV86" s="125"/>
      <c r="BW86" s="125"/>
      <c r="BX86" s="125"/>
      <c r="BY86" s="125"/>
      <c r="BZ86" s="125"/>
      <c r="CA86" s="125"/>
      <c r="CB86" s="125"/>
      <c r="CC86" s="125"/>
      <c r="CD86" s="125"/>
      <c r="CE86" s="125"/>
      <c r="CF86" s="125"/>
      <c r="CG86" s="125"/>
      <c r="CH86" s="125"/>
      <c r="CI86" s="125"/>
      <c r="CJ86" s="125"/>
      <c r="CK86" s="125"/>
      <c r="CL86" s="125"/>
      <c r="CM86" s="125"/>
      <c r="CN86" s="125"/>
      <c r="CO86" s="125"/>
      <c r="CP86" s="125"/>
      <c r="CQ86" s="125"/>
      <c r="CR86" s="125"/>
      <c r="CS86" s="125"/>
      <c r="CT86" s="125"/>
      <c r="CU86" s="125"/>
      <c r="CV86" s="125"/>
      <c r="CW86" s="125"/>
      <c r="CX86" s="125"/>
      <c r="CY86" s="125"/>
      <c r="CZ86" s="125"/>
      <c r="DA86" s="125"/>
      <c r="DB86" s="125"/>
      <c r="DC86" s="125"/>
      <c r="DD86" s="125"/>
      <c r="DE86" s="125"/>
      <c r="DF86" s="125"/>
    </row>
    <row r="87" spans="1:110" x14ac:dyDescent="0.35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25"/>
      <c r="BQ87" s="125"/>
      <c r="BR87" s="125"/>
      <c r="BS87" s="125"/>
      <c r="BT87" s="125"/>
      <c r="BU87" s="125"/>
      <c r="BV87" s="125"/>
      <c r="BW87" s="125"/>
      <c r="BX87" s="125"/>
      <c r="BY87" s="125"/>
      <c r="BZ87" s="125"/>
      <c r="CA87" s="125"/>
      <c r="CB87" s="125"/>
      <c r="CC87" s="125"/>
      <c r="CD87" s="125"/>
      <c r="CE87" s="125"/>
      <c r="CF87" s="125"/>
      <c r="CG87" s="125"/>
      <c r="CH87" s="125"/>
      <c r="CI87" s="125"/>
      <c r="CJ87" s="125"/>
      <c r="CK87" s="125"/>
      <c r="CL87" s="125"/>
      <c r="CM87" s="125"/>
      <c r="CN87" s="125"/>
      <c r="CO87" s="125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</row>
    <row r="88" spans="1:110" x14ac:dyDescent="0.35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25"/>
      <c r="BQ88" s="125"/>
      <c r="BR88" s="125"/>
      <c r="BS88" s="125"/>
      <c r="BT88" s="125"/>
      <c r="BU88" s="125"/>
      <c r="BV88" s="125"/>
      <c r="BW88" s="125"/>
      <c r="BX88" s="125"/>
      <c r="BY88" s="125"/>
      <c r="BZ88" s="125"/>
      <c r="CA88" s="125"/>
      <c r="CB88" s="125"/>
      <c r="CC88" s="125"/>
      <c r="CD88" s="125"/>
      <c r="CE88" s="125"/>
      <c r="CF88" s="125"/>
      <c r="CG88" s="125"/>
      <c r="CH88" s="125"/>
      <c r="CI88" s="125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</row>
    <row r="89" spans="1:110" x14ac:dyDescent="0.35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</row>
    <row r="90" spans="1:110" x14ac:dyDescent="0.35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</row>
    <row r="91" spans="1:110" x14ac:dyDescent="0.35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</row>
    <row r="92" spans="1:110" x14ac:dyDescent="0.35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</row>
    <row r="93" spans="1:110" x14ac:dyDescent="0.35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/>
      <c r="CX93" s="125"/>
      <c r="CY93" s="125"/>
      <c r="CZ93" s="125"/>
      <c r="DA93" s="125"/>
      <c r="DB93" s="125"/>
      <c r="DC93" s="125"/>
      <c r="DD93" s="125"/>
      <c r="DE93" s="125"/>
      <c r="DF93" s="125"/>
    </row>
    <row r="94" spans="1:110" x14ac:dyDescent="0.35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</row>
    <row r="95" spans="1:110" x14ac:dyDescent="0.3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</row>
    <row r="96" spans="1:110" x14ac:dyDescent="0.35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</row>
    <row r="97" spans="1:110" x14ac:dyDescent="0.35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</row>
    <row r="98" spans="1:110" x14ac:dyDescent="0.35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/>
      <c r="CX98" s="125"/>
      <c r="CY98" s="125"/>
      <c r="CZ98" s="125"/>
      <c r="DA98" s="125"/>
      <c r="DB98" s="125"/>
      <c r="DC98" s="125"/>
      <c r="DD98" s="125"/>
      <c r="DE98" s="125"/>
      <c r="DF98" s="125"/>
    </row>
    <row r="99" spans="1:110" x14ac:dyDescent="0.35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125"/>
      <c r="BY99" s="125"/>
      <c r="BZ99" s="125"/>
      <c r="CA99" s="125"/>
      <c r="CB99" s="125"/>
      <c r="CC99" s="125"/>
      <c r="CD99" s="125"/>
      <c r="CE99" s="125"/>
      <c r="CF99" s="125"/>
      <c r="CG99" s="125"/>
      <c r="CH99" s="125"/>
      <c r="CI99" s="125"/>
      <c r="CJ99" s="125"/>
      <c r="CK99" s="125"/>
      <c r="CL99" s="125"/>
      <c r="CM99" s="125"/>
      <c r="CN99" s="125"/>
      <c r="CO99" s="125"/>
      <c r="CP99" s="125"/>
      <c r="CQ99" s="125"/>
      <c r="CR99" s="125"/>
      <c r="CS99" s="125"/>
      <c r="CT99" s="125"/>
      <c r="CU99" s="125"/>
      <c r="CV99" s="125"/>
      <c r="CW99" s="125"/>
      <c r="CX99" s="125"/>
      <c r="CY99" s="125"/>
      <c r="CZ99" s="125"/>
      <c r="DA99" s="125"/>
      <c r="DB99" s="125"/>
      <c r="DC99" s="125"/>
      <c r="DD99" s="125"/>
      <c r="DE99" s="125"/>
      <c r="DF99" s="125"/>
    </row>
    <row r="100" spans="1:110" x14ac:dyDescent="0.35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125"/>
      <c r="BY100" s="125"/>
      <c r="BZ100" s="125"/>
      <c r="CA100" s="125"/>
      <c r="CB100" s="125"/>
      <c r="CC100" s="125"/>
      <c r="CD100" s="125"/>
      <c r="CE100" s="125"/>
      <c r="CF100" s="125"/>
      <c r="CG100" s="125"/>
      <c r="CH100" s="125"/>
      <c r="CI100" s="125"/>
      <c r="CJ100" s="125"/>
      <c r="CK100" s="125"/>
      <c r="CL100" s="125"/>
      <c r="CM100" s="125"/>
      <c r="CN100" s="125"/>
      <c r="CO100" s="125"/>
      <c r="CP100" s="125"/>
      <c r="CQ100" s="125"/>
      <c r="CR100" s="125"/>
      <c r="CS100" s="125"/>
      <c r="CT100" s="125"/>
      <c r="CU100" s="125"/>
      <c r="CV100" s="125"/>
      <c r="CW100" s="125"/>
      <c r="CX100" s="125"/>
      <c r="CY100" s="125"/>
      <c r="CZ100" s="125"/>
      <c r="DA100" s="125"/>
      <c r="DB100" s="125"/>
      <c r="DC100" s="125"/>
      <c r="DD100" s="125"/>
      <c r="DE100" s="125"/>
      <c r="DF100" s="125"/>
    </row>
    <row r="101" spans="1:110" x14ac:dyDescent="0.35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25"/>
      <c r="CA101" s="125"/>
      <c r="CB101" s="125"/>
      <c r="CC101" s="125"/>
      <c r="CD101" s="125"/>
      <c r="CE101" s="125"/>
      <c r="CF101" s="125"/>
      <c r="CG101" s="125"/>
      <c r="CH101" s="125"/>
      <c r="CI101" s="125"/>
      <c r="CJ101" s="125"/>
      <c r="CK101" s="125"/>
      <c r="CL101" s="125"/>
      <c r="CM101" s="125"/>
      <c r="CN101" s="125"/>
      <c r="CO101" s="125"/>
      <c r="CP101" s="125"/>
      <c r="CQ101" s="125"/>
      <c r="CR101" s="125"/>
      <c r="CS101" s="125"/>
      <c r="CT101" s="125"/>
      <c r="CU101" s="125"/>
      <c r="CV101" s="125"/>
      <c r="CW101" s="125"/>
      <c r="CX101" s="125"/>
      <c r="CY101" s="125"/>
      <c r="CZ101" s="125"/>
      <c r="DA101" s="125"/>
      <c r="DB101" s="125"/>
      <c r="DC101" s="125"/>
      <c r="DD101" s="125"/>
      <c r="DE101" s="125"/>
      <c r="DF101" s="125"/>
    </row>
    <row r="102" spans="1:110" x14ac:dyDescent="0.35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5"/>
      <c r="AT102" s="125"/>
      <c r="AU102" s="125"/>
      <c r="AV102" s="125"/>
      <c r="AW102" s="125"/>
      <c r="AX102" s="125"/>
      <c r="AY102" s="125"/>
      <c r="AZ102" s="125"/>
      <c r="BA102" s="125"/>
      <c r="BB102" s="125"/>
      <c r="BC102" s="125"/>
      <c r="BD102" s="125"/>
      <c r="BE102" s="125"/>
      <c r="BF102" s="125"/>
      <c r="BG102" s="125"/>
      <c r="BH102" s="125"/>
      <c r="BI102" s="125"/>
      <c r="BJ102" s="125"/>
      <c r="BK102" s="125"/>
      <c r="BL102" s="125"/>
      <c r="BM102" s="125"/>
      <c r="BN102" s="125"/>
      <c r="BO102" s="125"/>
      <c r="BP102" s="125"/>
      <c r="BQ102" s="125"/>
      <c r="BR102" s="125"/>
      <c r="BS102" s="125"/>
      <c r="BT102" s="125"/>
      <c r="BU102" s="125"/>
      <c r="BV102" s="125"/>
      <c r="BW102" s="125"/>
      <c r="BX102" s="125"/>
      <c r="BY102" s="125"/>
      <c r="BZ102" s="125"/>
      <c r="CA102" s="125"/>
      <c r="CB102" s="125"/>
      <c r="CC102" s="125"/>
      <c r="CD102" s="125"/>
      <c r="CE102" s="125"/>
      <c r="CF102" s="125"/>
      <c r="CG102" s="125"/>
      <c r="CH102" s="125"/>
      <c r="CI102" s="125"/>
      <c r="CJ102" s="125"/>
      <c r="CK102" s="125"/>
      <c r="CL102" s="125"/>
      <c r="CM102" s="125"/>
      <c r="CN102" s="125"/>
      <c r="CO102" s="125"/>
      <c r="CP102" s="125"/>
      <c r="CQ102" s="125"/>
      <c r="CR102" s="125"/>
      <c r="CS102" s="125"/>
      <c r="CT102" s="125"/>
      <c r="CU102" s="125"/>
      <c r="CV102" s="125"/>
      <c r="CW102" s="125"/>
      <c r="CX102" s="125"/>
      <c r="CY102" s="125"/>
      <c r="CZ102" s="125"/>
      <c r="DA102" s="125"/>
      <c r="DB102" s="125"/>
      <c r="DC102" s="125"/>
      <c r="DD102" s="125"/>
      <c r="DE102" s="125"/>
      <c r="DF102" s="125"/>
    </row>
    <row r="103" spans="1:110" x14ac:dyDescent="0.35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  <c r="AM103" s="125"/>
      <c r="AN103" s="125"/>
      <c r="AO103" s="125"/>
      <c r="AP103" s="125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  <c r="BE103" s="125"/>
      <c r="BF103" s="125"/>
      <c r="BG103" s="125"/>
      <c r="BH103" s="125"/>
      <c r="BI103" s="125"/>
      <c r="BJ103" s="125"/>
      <c r="BK103" s="125"/>
      <c r="BL103" s="125"/>
      <c r="BM103" s="125"/>
      <c r="BN103" s="125"/>
      <c r="BO103" s="125"/>
      <c r="BP103" s="125"/>
      <c r="BQ103" s="125"/>
      <c r="BR103" s="125"/>
      <c r="BS103" s="125"/>
      <c r="BT103" s="125"/>
      <c r="BU103" s="125"/>
      <c r="BV103" s="125"/>
      <c r="BW103" s="125"/>
      <c r="BX103" s="125"/>
      <c r="BY103" s="125"/>
      <c r="BZ103" s="125"/>
      <c r="CA103" s="125"/>
      <c r="CB103" s="125"/>
      <c r="CC103" s="125"/>
      <c r="CD103" s="125"/>
      <c r="CE103" s="125"/>
      <c r="CF103" s="125"/>
      <c r="CG103" s="125"/>
      <c r="CH103" s="125"/>
      <c r="CI103" s="125"/>
      <c r="CJ103" s="125"/>
      <c r="CK103" s="125"/>
      <c r="CL103" s="125"/>
      <c r="CM103" s="125"/>
      <c r="CN103" s="125"/>
      <c r="CO103" s="125"/>
      <c r="CP103" s="125"/>
      <c r="CQ103" s="125"/>
      <c r="CR103" s="125"/>
      <c r="CS103" s="125"/>
      <c r="CT103" s="125"/>
      <c r="CU103" s="125"/>
      <c r="CV103" s="125"/>
      <c r="CW103" s="125"/>
      <c r="CX103" s="125"/>
      <c r="CY103" s="125"/>
      <c r="CZ103" s="125"/>
      <c r="DA103" s="125"/>
      <c r="DB103" s="125"/>
      <c r="DC103" s="125"/>
      <c r="DD103" s="125"/>
      <c r="DE103" s="125"/>
      <c r="DF103" s="125"/>
    </row>
    <row r="104" spans="1:110" x14ac:dyDescent="0.35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/>
      <c r="BF104" s="125"/>
      <c r="BG104" s="125"/>
      <c r="BH104" s="125"/>
      <c r="BI104" s="125"/>
      <c r="BJ104" s="125"/>
      <c r="BK104" s="125"/>
      <c r="BL104" s="125"/>
      <c r="BM104" s="125"/>
      <c r="BN104" s="125"/>
      <c r="BO104" s="125"/>
      <c r="BP104" s="125"/>
      <c r="BQ104" s="125"/>
      <c r="BR104" s="125"/>
      <c r="BS104" s="125"/>
      <c r="BT104" s="125"/>
      <c r="BU104" s="125"/>
      <c r="BV104" s="125"/>
      <c r="BW104" s="125"/>
      <c r="BX104" s="125"/>
      <c r="BY104" s="125"/>
      <c r="BZ104" s="125"/>
      <c r="CA104" s="125"/>
      <c r="CB104" s="125"/>
      <c r="CC104" s="125"/>
      <c r="CD104" s="125"/>
      <c r="CE104" s="125"/>
      <c r="CF104" s="125"/>
      <c r="CG104" s="125"/>
      <c r="CH104" s="125"/>
      <c r="CI104" s="125"/>
      <c r="CJ104" s="125"/>
      <c r="CK104" s="125"/>
      <c r="CL104" s="125"/>
      <c r="CM104" s="125"/>
      <c r="CN104" s="125"/>
      <c r="CO104" s="125"/>
      <c r="CP104" s="125"/>
      <c r="CQ104" s="125"/>
      <c r="CR104" s="125"/>
      <c r="CS104" s="125"/>
      <c r="CT104" s="125"/>
      <c r="CU104" s="125"/>
      <c r="CV104" s="125"/>
      <c r="CW104" s="125"/>
      <c r="CX104" s="125"/>
      <c r="CY104" s="125"/>
      <c r="CZ104" s="125"/>
      <c r="DA104" s="125"/>
      <c r="DB104" s="125"/>
      <c r="DC104" s="125"/>
      <c r="DD104" s="125"/>
      <c r="DE104" s="125"/>
      <c r="DF104" s="125"/>
    </row>
    <row r="105" spans="1:110" x14ac:dyDescent="0.3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  <c r="BJ105" s="125"/>
      <c r="BK105" s="125"/>
      <c r="BL105" s="125"/>
      <c r="BM105" s="125"/>
      <c r="BN105" s="125"/>
      <c r="BO105" s="125"/>
      <c r="BP105" s="125"/>
      <c r="BQ105" s="125"/>
      <c r="BR105" s="125"/>
      <c r="BS105" s="125"/>
      <c r="BT105" s="125"/>
      <c r="BU105" s="125"/>
      <c r="BV105" s="125"/>
      <c r="BW105" s="125"/>
      <c r="BX105" s="125"/>
      <c r="BY105" s="125"/>
      <c r="BZ105" s="125"/>
      <c r="CA105" s="125"/>
      <c r="CB105" s="125"/>
      <c r="CC105" s="125"/>
      <c r="CD105" s="125"/>
      <c r="CE105" s="125"/>
      <c r="CF105" s="125"/>
      <c r="CG105" s="125"/>
      <c r="CH105" s="125"/>
      <c r="CI105" s="125"/>
      <c r="CJ105" s="125"/>
      <c r="CK105" s="125"/>
      <c r="CL105" s="125"/>
      <c r="CM105" s="125"/>
      <c r="CN105" s="125"/>
      <c r="CO105" s="125"/>
      <c r="CP105" s="125"/>
      <c r="CQ105" s="125"/>
      <c r="CR105" s="125"/>
      <c r="CS105" s="125"/>
      <c r="CT105" s="125"/>
      <c r="CU105" s="125"/>
      <c r="CV105" s="125"/>
      <c r="CW105" s="125"/>
      <c r="CX105" s="125"/>
      <c r="CY105" s="125"/>
      <c r="CZ105" s="125"/>
      <c r="DA105" s="125"/>
      <c r="DB105" s="125"/>
      <c r="DC105" s="125"/>
      <c r="DD105" s="125"/>
      <c r="DE105" s="125"/>
      <c r="DF105" s="125"/>
    </row>
    <row r="106" spans="1:110" x14ac:dyDescent="0.35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  <c r="BI106" s="125"/>
      <c r="BJ106" s="125"/>
      <c r="BK106" s="125"/>
      <c r="BL106" s="125"/>
      <c r="BM106" s="125"/>
      <c r="BN106" s="125"/>
      <c r="BO106" s="125"/>
      <c r="BP106" s="125"/>
      <c r="BQ106" s="125"/>
      <c r="BR106" s="125"/>
      <c r="BS106" s="125"/>
      <c r="BT106" s="125"/>
      <c r="BU106" s="125"/>
      <c r="BV106" s="125"/>
      <c r="BW106" s="125"/>
      <c r="BX106" s="125"/>
      <c r="BY106" s="125"/>
      <c r="BZ106" s="125"/>
      <c r="CA106" s="125"/>
      <c r="CB106" s="125"/>
      <c r="CC106" s="125"/>
      <c r="CD106" s="125"/>
      <c r="CE106" s="125"/>
      <c r="CF106" s="125"/>
      <c r="CG106" s="125"/>
      <c r="CH106" s="125"/>
      <c r="CI106" s="125"/>
      <c r="CJ106" s="125"/>
      <c r="CK106" s="125"/>
      <c r="CL106" s="125"/>
      <c r="CM106" s="125"/>
      <c r="CN106" s="125"/>
      <c r="CO106" s="125"/>
      <c r="CP106" s="125"/>
      <c r="CQ106" s="125"/>
      <c r="CR106" s="125"/>
      <c r="CS106" s="125"/>
      <c r="CT106" s="125"/>
      <c r="CU106" s="125"/>
      <c r="CV106" s="125"/>
      <c r="CW106" s="125"/>
      <c r="CX106" s="125"/>
      <c r="CY106" s="125"/>
      <c r="CZ106" s="125"/>
      <c r="DA106" s="125"/>
      <c r="DB106" s="125"/>
      <c r="DC106" s="125"/>
      <c r="DD106" s="125"/>
      <c r="DE106" s="125"/>
      <c r="DF106" s="125"/>
    </row>
    <row r="107" spans="1:110" x14ac:dyDescent="0.35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  <c r="BI107" s="125"/>
      <c r="BJ107" s="125"/>
      <c r="BK107" s="125"/>
      <c r="BL107" s="125"/>
      <c r="BM107" s="125"/>
      <c r="BN107" s="125"/>
      <c r="BO107" s="125"/>
      <c r="BP107" s="125"/>
      <c r="BQ107" s="125"/>
      <c r="BR107" s="125"/>
      <c r="BS107" s="125"/>
      <c r="BT107" s="125"/>
      <c r="BU107" s="125"/>
      <c r="BV107" s="125"/>
      <c r="BW107" s="125"/>
      <c r="BX107" s="125"/>
      <c r="BY107" s="125"/>
      <c r="BZ107" s="125"/>
      <c r="CA107" s="125"/>
      <c r="CB107" s="125"/>
      <c r="CC107" s="125"/>
      <c r="CD107" s="125"/>
      <c r="CE107" s="125"/>
      <c r="CF107" s="125"/>
      <c r="CG107" s="125"/>
      <c r="CH107" s="125"/>
      <c r="CI107" s="125"/>
      <c r="CJ107" s="125"/>
      <c r="CK107" s="125"/>
      <c r="CL107" s="125"/>
      <c r="CM107" s="125"/>
      <c r="CN107" s="125"/>
      <c r="CO107" s="125"/>
      <c r="CP107" s="125"/>
      <c r="CQ107" s="125"/>
      <c r="CR107" s="125"/>
      <c r="CS107" s="125"/>
      <c r="CT107" s="125"/>
      <c r="CU107" s="125"/>
      <c r="CV107" s="125"/>
      <c r="CW107" s="125"/>
      <c r="CX107" s="125"/>
      <c r="CY107" s="125"/>
      <c r="CZ107" s="125"/>
      <c r="DA107" s="125"/>
      <c r="DB107" s="125"/>
      <c r="DC107" s="125"/>
      <c r="DD107" s="125"/>
      <c r="DE107" s="125"/>
      <c r="DF107" s="125"/>
    </row>
    <row r="108" spans="1:110" x14ac:dyDescent="0.35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  <c r="BI108" s="125"/>
      <c r="BJ108" s="125"/>
      <c r="BK108" s="125"/>
      <c r="BL108" s="125"/>
      <c r="BM108" s="125"/>
      <c r="BN108" s="125"/>
      <c r="BO108" s="125"/>
      <c r="BP108" s="125"/>
      <c r="BQ108" s="125"/>
      <c r="BR108" s="125"/>
      <c r="BS108" s="125"/>
      <c r="BT108" s="125"/>
      <c r="BU108" s="125"/>
      <c r="BV108" s="125"/>
      <c r="BW108" s="125"/>
      <c r="BX108" s="125"/>
      <c r="BY108" s="125"/>
      <c r="BZ108" s="125"/>
      <c r="CA108" s="125"/>
      <c r="CB108" s="125"/>
      <c r="CC108" s="125"/>
      <c r="CD108" s="125"/>
      <c r="CE108" s="125"/>
      <c r="CF108" s="125"/>
      <c r="CG108" s="125"/>
      <c r="CH108" s="125"/>
      <c r="CI108" s="125"/>
      <c r="CJ108" s="125"/>
      <c r="CK108" s="125"/>
      <c r="CL108" s="125"/>
      <c r="CM108" s="125"/>
      <c r="CN108" s="125"/>
      <c r="CO108" s="125"/>
      <c r="CP108" s="125"/>
      <c r="CQ108" s="125"/>
      <c r="CR108" s="125"/>
      <c r="CS108" s="125"/>
      <c r="CT108" s="125"/>
      <c r="CU108" s="125"/>
      <c r="CV108" s="125"/>
      <c r="CW108" s="125"/>
      <c r="CX108" s="125"/>
      <c r="CY108" s="125"/>
      <c r="CZ108" s="125"/>
      <c r="DA108" s="125"/>
      <c r="DB108" s="125"/>
      <c r="DC108" s="125"/>
      <c r="DD108" s="125"/>
      <c r="DE108" s="125"/>
      <c r="DF108" s="125"/>
    </row>
    <row r="109" spans="1:110" x14ac:dyDescent="0.35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  <c r="BI109" s="125"/>
      <c r="BJ109" s="125"/>
      <c r="BK109" s="125"/>
      <c r="BL109" s="125"/>
      <c r="BM109" s="125"/>
      <c r="BN109" s="125"/>
      <c r="BO109" s="125"/>
      <c r="BP109" s="125"/>
      <c r="BQ109" s="125"/>
      <c r="BR109" s="125"/>
      <c r="BS109" s="125"/>
      <c r="BT109" s="125"/>
      <c r="BU109" s="125"/>
      <c r="BV109" s="125"/>
      <c r="BW109" s="125"/>
      <c r="BX109" s="125"/>
      <c r="BY109" s="125"/>
      <c r="BZ109" s="125"/>
      <c r="CA109" s="125"/>
      <c r="CB109" s="125"/>
      <c r="CC109" s="125"/>
      <c r="CD109" s="125"/>
      <c r="CE109" s="125"/>
      <c r="CF109" s="125"/>
      <c r="CG109" s="125"/>
      <c r="CH109" s="125"/>
      <c r="CI109" s="125"/>
      <c r="CJ109" s="125"/>
      <c r="CK109" s="125"/>
      <c r="CL109" s="125"/>
      <c r="CM109" s="125"/>
      <c r="CN109" s="125"/>
      <c r="CO109" s="125"/>
      <c r="CP109" s="125"/>
      <c r="CQ109" s="125"/>
      <c r="CR109" s="125"/>
      <c r="CS109" s="125"/>
      <c r="CT109" s="125"/>
      <c r="CU109" s="125"/>
      <c r="CV109" s="125"/>
      <c r="CW109" s="125"/>
      <c r="CX109" s="125"/>
      <c r="CY109" s="125"/>
      <c r="CZ109" s="125"/>
      <c r="DA109" s="125"/>
      <c r="DB109" s="125"/>
      <c r="DC109" s="125"/>
      <c r="DD109" s="125"/>
      <c r="DE109" s="125"/>
      <c r="DF109" s="125"/>
    </row>
    <row r="110" spans="1:110" x14ac:dyDescent="0.35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/>
      <c r="AN110" s="125"/>
      <c r="AO110" s="125"/>
      <c r="AP110" s="125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  <c r="BG110" s="125"/>
      <c r="BH110" s="125"/>
      <c r="BI110" s="125"/>
      <c r="BJ110" s="125"/>
      <c r="BK110" s="125"/>
      <c r="BL110" s="125"/>
      <c r="BM110" s="125"/>
      <c r="BN110" s="125"/>
      <c r="BO110" s="125"/>
      <c r="BP110" s="125"/>
      <c r="BQ110" s="125"/>
      <c r="BR110" s="125"/>
      <c r="BS110" s="125"/>
      <c r="BT110" s="125"/>
      <c r="BU110" s="125"/>
      <c r="BV110" s="125"/>
      <c r="BW110" s="125"/>
      <c r="BX110" s="125"/>
      <c r="BY110" s="125"/>
      <c r="BZ110" s="125"/>
      <c r="CA110" s="125"/>
      <c r="CB110" s="125"/>
      <c r="CC110" s="125"/>
      <c r="CD110" s="125"/>
      <c r="CE110" s="125"/>
      <c r="CF110" s="125"/>
      <c r="CG110" s="125"/>
      <c r="CH110" s="125"/>
      <c r="CI110" s="125"/>
      <c r="CJ110" s="125"/>
      <c r="CK110" s="125"/>
      <c r="CL110" s="125"/>
      <c r="CM110" s="125"/>
      <c r="CN110" s="125"/>
      <c r="CO110" s="125"/>
      <c r="CP110" s="125"/>
      <c r="CQ110" s="125"/>
      <c r="CR110" s="125"/>
      <c r="CS110" s="125"/>
      <c r="CT110" s="125"/>
      <c r="CU110" s="125"/>
      <c r="CV110" s="125"/>
      <c r="CW110" s="125"/>
      <c r="CX110" s="125"/>
      <c r="CY110" s="125"/>
      <c r="CZ110" s="125"/>
      <c r="DA110" s="125"/>
      <c r="DB110" s="125"/>
      <c r="DC110" s="125"/>
      <c r="DD110" s="125"/>
      <c r="DE110" s="125"/>
      <c r="DF110" s="125"/>
    </row>
    <row r="111" spans="1:110" x14ac:dyDescent="0.35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5"/>
      <c r="BD111" s="125"/>
      <c r="BE111" s="125"/>
      <c r="BF111" s="125"/>
      <c r="BG111" s="125"/>
      <c r="BH111" s="125"/>
      <c r="BI111" s="125"/>
      <c r="BJ111" s="125"/>
      <c r="BK111" s="125"/>
      <c r="BL111" s="125"/>
      <c r="BM111" s="125"/>
      <c r="BN111" s="125"/>
      <c r="BO111" s="125"/>
      <c r="BP111" s="125"/>
      <c r="BQ111" s="125"/>
      <c r="BR111" s="125"/>
      <c r="BS111" s="125"/>
      <c r="BT111" s="125"/>
      <c r="BU111" s="125"/>
      <c r="BV111" s="125"/>
      <c r="BW111" s="125"/>
      <c r="BX111" s="125"/>
      <c r="BY111" s="125"/>
      <c r="BZ111" s="125"/>
      <c r="CA111" s="125"/>
      <c r="CB111" s="125"/>
      <c r="CC111" s="125"/>
      <c r="CD111" s="125"/>
      <c r="CE111" s="125"/>
      <c r="CF111" s="125"/>
      <c r="CG111" s="125"/>
      <c r="CH111" s="125"/>
      <c r="CI111" s="125"/>
      <c r="CJ111" s="125"/>
      <c r="CK111" s="125"/>
      <c r="CL111" s="125"/>
      <c r="CM111" s="125"/>
      <c r="CN111" s="125"/>
      <c r="CO111" s="125"/>
      <c r="CP111" s="125"/>
      <c r="CQ111" s="125"/>
      <c r="CR111" s="125"/>
      <c r="CS111" s="125"/>
      <c r="CT111" s="125"/>
      <c r="CU111" s="125"/>
      <c r="CV111" s="125"/>
      <c r="CW111" s="125"/>
      <c r="CX111" s="125"/>
      <c r="CY111" s="125"/>
      <c r="CZ111" s="125"/>
      <c r="DA111" s="125"/>
      <c r="DB111" s="125"/>
      <c r="DC111" s="125"/>
      <c r="DD111" s="125"/>
      <c r="DE111" s="125"/>
      <c r="DF111" s="125"/>
    </row>
    <row r="112" spans="1:110" x14ac:dyDescent="0.35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5"/>
      <c r="BC112" s="125"/>
      <c r="BD112" s="125"/>
      <c r="BE112" s="125"/>
      <c r="BF112" s="125"/>
      <c r="BG112" s="125"/>
      <c r="BH112" s="125"/>
      <c r="BI112" s="125"/>
      <c r="BJ112" s="125"/>
      <c r="BK112" s="125"/>
      <c r="BL112" s="125"/>
      <c r="BM112" s="125"/>
      <c r="BN112" s="125"/>
      <c r="BO112" s="125"/>
      <c r="BP112" s="125"/>
      <c r="BQ112" s="125"/>
      <c r="BR112" s="125"/>
      <c r="BS112" s="125"/>
      <c r="BT112" s="125"/>
      <c r="BU112" s="125"/>
      <c r="BV112" s="125"/>
      <c r="BW112" s="125"/>
      <c r="BX112" s="125"/>
      <c r="BY112" s="125"/>
      <c r="BZ112" s="125"/>
      <c r="CA112" s="125"/>
      <c r="CB112" s="125"/>
      <c r="CC112" s="125"/>
      <c r="CD112" s="125"/>
      <c r="CE112" s="125"/>
      <c r="CF112" s="125"/>
      <c r="CG112" s="125"/>
      <c r="CH112" s="125"/>
      <c r="CI112" s="125"/>
      <c r="CJ112" s="125"/>
      <c r="CK112" s="125"/>
      <c r="CL112" s="125"/>
      <c r="CM112" s="125"/>
      <c r="CN112" s="125"/>
      <c r="CO112" s="125"/>
      <c r="CP112" s="125"/>
      <c r="CQ112" s="125"/>
      <c r="CR112" s="125"/>
      <c r="CS112" s="125"/>
      <c r="CT112" s="125"/>
      <c r="CU112" s="125"/>
      <c r="CV112" s="125"/>
      <c r="CW112" s="125"/>
      <c r="CX112" s="125"/>
      <c r="CY112" s="125"/>
      <c r="CZ112" s="125"/>
      <c r="DA112" s="125"/>
      <c r="DB112" s="125"/>
      <c r="DC112" s="125"/>
      <c r="DD112" s="125"/>
      <c r="DE112" s="125"/>
      <c r="DF112" s="125"/>
    </row>
    <row r="113" spans="1:110" x14ac:dyDescent="0.35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D8A8-5E58-4CEC-922F-7B8840431123}">
  <sheetPr>
    <tabColor theme="1"/>
  </sheetPr>
  <dimension ref="A1:EF8"/>
  <sheetViews>
    <sheetView workbookViewId="0">
      <selection activeCell="A2" sqref="A2"/>
    </sheetView>
  </sheetViews>
  <sheetFormatPr defaultRowHeight="13.5" x14ac:dyDescent="0.35"/>
  <sheetData>
    <row r="1" spans="1:136" x14ac:dyDescent="0.35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229</v>
      </c>
      <c r="Z1" t="s">
        <v>230</v>
      </c>
      <c r="AA1" t="s">
        <v>231</v>
      </c>
      <c r="AB1" t="s">
        <v>232</v>
      </c>
      <c r="AC1" t="s">
        <v>233</v>
      </c>
      <c r="AD1" t="s">
        <v>234</v>
      </c>
      <c r="AE1" t="s">
        <v>235</v>
      </c>
      <c r="AF1" t="s">
        <v>236</v>
      </c>
      <c r="AG1" t="s">
        <v>237</v>
      </c>
      <c r="AH1" t="s">
        <v>238</v>
      </c>
      <c r="AI1" t="s">
        <v>239</v>
      </c>
      <c r="AJ1" t="s">
        <v>240</v>
      </c>
      <c r="AK1" t="s">
        <v>241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  <c r="AZ1" t="s">
        <v>256</v>
      </c>
      <c r="BA1" t="s">
        <v>257</v>
      </c>
      <c r="BB1" t="s">
        <v>258</v>
      </c>
      <c r="BC1" t="s">
        <v>259</v>
      </c>
      <c r="BD1" t="s">
        <v>260</v>
      </c>
      <c r="BE1" t="s">
        <v>261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  <c r="BX1" t="s">
        <v>111</v>
      </c>
      <c r="BY1" t="s">
        <v>112</v>
      </c>
      <c r="BZ1" t="s">
        <v>113</v>
      </c>
      <c r="CA1" t="s">
        <v>114</v>
      </c>
      <c r="CB1" t="s">
        <v>115</v>
      </c>
      <c r="CC1" t="s">
        <v>116</v>
      </c>
      <c r="CD1" t="s">
        <v>117</v>
      </c>
      <c r="CE1" t="s">
        <v>118</v>
      </c>
      <c r="CF1" t="s">
        <v>119</v>
      </c>
      <c r="CG1" t="s">
        <v>120</v>
      </c>
      <c r="CH1" t="s">
        <v>121</v>
      </c>
      <c r="CI1" t="s">
        <v>122</v>
      </c>
      <c r="CJ1" t="s">
        <v>123</v>
      </c>
      <c r="CK1" t="s">
        <v>124</v>
      </c>
      <c r="CL1" t="s">
        <v>125</v>
      </c>
      <c r="CM1" t="s">
        <v>126</v>
      </c>
      <c r="CN1" t="s">
        <v>127</v>
      </c>
      <c r="CO1" t="s">
        <v>128</v>
      </c>
      <c r="CP1" t="s">
        <v>129</v>
      </c>
      <c r="CQ1" t="s">
        <v>130</v>
      </c>
      <c r="CR1" t="s">
        <v>131</v>
      </c>
      <c r="CS1" t="s">
        <v>132</v>
      </c>
      <c r="CT1" t="s">
        <v>133</v>
      </c>
      <c r="CU1" t="s">
        <v>134</v>
      </c>
      <c r="CV1" t="s">
        <v>135</v>
      </c>
      <c r="CW1" t="s">
        <v>136</v>
      </c>
      <c r="CX1" t="s">
        <v>137</v>
      </c>
      <c r="CY1" t="s">
        <v>138</v>
      </c>
      <c r="CZ1" t="s">
        <v>139</v>
      </c>
      <c r="DA1" t="s">
        <v>140</v>
      </c>
      <c r="DB1" t="s">
        <v>141</v>
      </c>
      <c r="DC1" t="s">
        <v>142</v>
      </c>
      <c r="DD1" t="s">
        <v>143</v>
      </c>
      <c r="DE1" t="s">
        <v>144</v>
      </c>
      <c r="DF1" t="s">
        <v>145</v>
      </c>
      <c r="DG1" t="s">
        <v>146</v>
      </c>
      <c r="DH1" t="s">
        <v>147</v>
      </c>
      <c r="DI1" t="s">
        <v>148</v>
      </c>
      <c r="DJ1" t="s">
        <v>149</v>
      </c>
      <c r="DK1" t="s">
        <v>150</v>
      </c>
      <c r="DL1" t="s">
        <v>151</v>
      </c>
      <c r="DM1" t="s">
        <v>152</v>
      </c>
      <c r="DN1" t="s">
        <v>153</v>
      </c>
      <c r="DO1" t="s">
        <v>154</v>
      </c>
      <c r="DP1" t="s">
        <v>155</v>
      </c>
      <c r="DQ1" t="s">
        <v>156</v>
      </c>
      <c r="DR1" t="s">
        <v>157</v>
      </c>
      <c r="DS1" t="s">
        <v>158</v>
      </c>
      <c r="DT1" t="s">
        <v>159</v>
      </c>
      <c r="DU1" t="s">
        <v>160</v>
      </c>
      <c r="DV1" t="s">
        <v>161</v>
      </c>
      <c r="DW1" t="s">
        <v>162</v>
      </c>
      <c r="DX1" t="s">
        <v>163</v>
      </c>
      <c r="DY1" t="s">
        <v>164</v>
      </c>
      <c r="DZ1" t="s">
        <v>165</v>
      </c>
      <c r="EA1" t="s">
        <v>166</v>
      </c>
      <c r="EB1" t="s">
        <v>167</v>
      </c>
      <c r="EC1" t="s">
        <v>168</v>
      </c>
      <c r="ED1" t="s">
        <v>169</v>
      </c>
      <c r="EE1" t="s">
        <v>170</v>
      </c>
      <c r="EF1" t="s">
        <v>171</v>
      </c>
    </row>
    <row r="2" spans="1:136" x14ac:dyDescent="0.3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25"/>
      <c r="DC2" s="125"/>
      <c r="DD2" s="125"/>
      <c r="DE2" s="125"/>
      <c r="DF2" s="125"/>
      <c r="DG2" s="125"/>
      <c r="DH2" s="125"/>
      <c r="DI2" s="125"/>
      <c r="DJ2" s="125"/>
      <c r="DK2" s="125"/>
      <c r="DL2" s="125"/>
      <c r="DM2" s="125"/>
      <c r="DN2" s="125"/>
      <c r="DO2" s="125"/>
      <c r="DP2" s="125"/>
      <c r="DQ2" s="125"/>
      <c r="DR2" s="125"/>
      <c r="DS2" s="125"/>
      <c r="DT2" s="125"/>
      <c r="DU2" s="125"/>
      <c r="DV2" s="125"/>
      <c r="DW2" s="125"/>
      <c r="DX2" s="125"/>
      <c r="DY2" s="125"/>
      <c r="DZ2" s="125"/>
      <c r="EA2" s="125"/>
      <c r="EB2" s="125"/>
      <c r="EC2" s="125"/>
      <c r="ED2" s="125"/>
      <c r="EE2" s="125"/>
      <c r="EF2" s="125"/>
    </row>
    <row r="3" spans="1:136" x14ac:dyDescent="0.35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  <c r="DB3" s="125"/>
      <c r="DC3" s="125"/>
      <c r="DD3" s="125"/>
      <c r="DE3" s="125"/>
      <c r="DF3" s="125"/>
      <c r="DG3" s="125"/>
      <c r="DH3" s="125"/>
      <c r="DI3" s="125"/>
      <c r="DJ3" s="125"/>
      <c r="DK3" s="125"/>
      <c r="DL3" s="125"/>
      <c r="DM3" s="125"/>
      <c r="DN3" s="125"/>
      <c r="DO3" s="125"/>
      <c r="DP3" s="125"/>
      <c r="DQ3" s="125"/>
      <c r="DR3" s="125"/>
      <c r="DS3" s="125"/>
      <c r="DT3" s="125"/>
      <c r="DU3" s="125"/>
      <c r="DV3" s="125"/>
      <c r="DW3" s="125"/>
      <c r="DX3" s="125"/>
      <c r="DY3" s="125"/>
      <c r="DZ3" s="125"/>
      <c r="EA3" s="125"/>
      <c r="EB3" s="125"/>
      <c r="EC3" s="125"/>
      <c r="ED3" s="125"/>
      <c r="EE3" s="125"/>
      <c r="EF3" s="125"/>
    </row>
    <row r="4" spans="1:136" x14ac:dyDescent="0.35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  <c r="CK4" s="125"/>
      <c r="CL4" s="125"/>
      <c r="CM4" s="125"/>
      <c r="CN4" s="125"/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125"/>
      <c r="DA4" s="125"/>
      <c r="DB4" s="125"/>
      <c r="DC4" s="125"/>
      <c r="DD4" s="125"/>
      <c r="DE4" s="125"/>
      <c r="DF4" s="125"/>
      <c r="DG4" s="125"/>
      <c r="DH4" s="125"/>
      <c r="DI4" s="125"/>
      <c r="DJ4" s="125"/>
      <c r="DK4" s="125"/>
      <c r="DL4" s="125"/>
      <c r="DM4" s="125"/>
      <c r="DN4" s="125"/>
      <c r="DO4" s="125"/>
      <c r="DP4" s="125"/>
      <c r="DQ4" s="125"/>
      <c r="DR4" s="125"/>
      <c r="DS4" s="125"/>
      <c r="DT4" s="125"/>
      <c r="DU4" s="125"/>
      <c r="DV4" s="125"/>
      <c r="DW4" s="125"/>
      <c r="DX4" s="125"/>
      <c r="DY4" s="125"/>
      <c r="DZ4" s="125"/>
      <c r="EA4" s="125"/>
      <c r="EB4" s="125"/>
      <c r="EC4" s="125"/>
      <c r="ED4" s="125"/>
      <c r="EE4" s="125"/>
      <c r="EF4" s="125"/>
    </row>
    <row r="5" spans="1:136" x14ac:dyDescent="0.35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/>
      <c r="CS5" s="125"/>
      <c r="CT5" s="125"/>
      <c r="CU5" s="125"/>
      <c r="CV5" s="125"/>
      <c r="CW5" s="125"/>
      <c r="CX5" s="125"/>
      <c r="CY5" s="125"/>
      <c r="CZ5" s="125"/>
      <c r="DA5" s="125"/>
      <c r="DB5" s="125"/>
      <c r="DC5" s="125"/>
      <c r="DD5" s="125"/>
      <c r="DE5" s="125"/>
      <c r="DF5" s="125"/>
      <c r="DG5" s="125"/>
      <c r="DH5" s="125"/>
      <c r="DI5" s="125"/>
      <c r="DJ5" s="125"/>
      <c r="DK5" s="125"/>
      <c r="DL5" s="125"/>
      <c r="DM5" s="125"/>
      <c r="DN5" s="125"/>
      <c r="DO5" s="125"/>
      <c r="DP5" s="125"/>
      <c r="DQ5" s="125"/>
      <c r="DR5" s="125"/>
      <c r="DS5" s="125"/>
      <c r="DT5" s="125"/>
      <c r="DU5" s="125"/>
      <c r="DV5" s="125"/>
      <c r="DW5" s="125"/>
      <c r="DX5" s="125"/>
      <c r="DY5" s="125"/>
      <c r="DZ5" s="125"/>
      <c r="EA5" s="125"/>
      <c r="EB5" s="125"/>
      <c r="EC5" s="125"/>
      <c r="ED5" s="125"/>
      <c r="EE5" s="125"/>
      <c r="EF5" s="125"/>
    </row>
    <row r="6" spans="1:136" x14ac:dyDescent="0.35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125"/>
      <c r="DA6" s="125"/>
      <c r="DB6" s="125"/>
      <c r="DC6" s="125"/>
      <c r="DD6" s="125"/>
      <c r="DE6" s="125"/>
      <c r="DF6" s="125"/>
      <c r="DG6" s="125"/>
      <c r="DH6" s="125"/>
      <c r="DI6" s="125"/>
      <c r="DJ6" s="125"/>
      <c r="DK6" s="125"/>
      <c r="DL6" s="125"/>
      <c r="DM6" s="125"/>
      <c r="DN6" s="125"/>
      <c r="DO6" s="125"/>
      <c r="DP6" s="125"/>
      <c r="DQ6" s="125"/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</row>
    <row r="7" spans="1:136" x14ac:dyDescent="0.35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</row>
    <row r="8" spans="1:136" x14ac:dyDescent="0.35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X8" s="125"/>
      <c r="DY8" s="125"/>
      <c r="DZ8" s="125"/>
      <c r="EA8" s="125"/>
      <c r="EB8" s="125"/>
      <c r="EC8" s="125"/>
      <c r="ED8" s="125"/>
      <c r="EE8" s="125"/>
      <c r="EF8" s="1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13AF-3D00-470B-9F66-43095F3F1D9C}">
  <sheetPr>
    <tabColor theme="1"/>
  </sheetPr>
  <dimension ref="A1:BF346"/>
  <sheetViews>
    <sheetView workbookViewId="0">
      <selection activeCell="A2" sqref="A2"/>
    </sheetView>
  </sheetViews>
  <sheetFormatPr defaultRowHeight="13.5" x14ac:dyDescent="0.35"/>
  <sheetData>
    <row r="1" spans="1:58" x14ac:dyDescent="0.35">
      <c r="A1" t="s">
        <v>104</v>
      </c>
      <c r="B1" t="s">
        <v>105</v>
      </c>
      <c r="C1" t="s">
        <v>106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296</v>
      </c>
      <c r="V1" t="s">
        <v>297</v>
      </c>
      <c r="W1" t="s">
        <v>298</v>
      </c>
      <c r="X1" t="s">
        <v>299</v>
      </c>
      <c r="Y1" t="s">
        <v>300</v>
      </c>
      <c r="Z1" t="s">
        <v>301</v>
      </c>
      <c r="AA1" t="s">
        <v>302</v>
      </c>
      <c r="AB1" t="s">
        <v>303</v>
      </c>
      <c r="AC1" t="s">
        <v>102</v>
      </c>
      <c r="AD1" t="s">
        <v>304</v>
      </c>
      <c r="AE1" t="s">
        <v>103</v>
      </c>
      <c r="AF1" t="s">
        <v>305</v>
      </c>
      <c r="AG1" t="s">
        <v>306</v>
      </c>
      <c r="AH1" t="s">
        <v>307</v>
      </c>
      <c r="AI1" t="s">
        <v>308</v>
      </c>
      <c r="AJ1" t="s">
        <v>309</v>
      </c>
      <c r="AK1" t="s">
        <v>310</v>
      </c>
      <c r="AL1" t="s">
        <v>182</v>
      </c>
      <c r="AM1" t="s">
        <v>311</v>
      </c>
      <c r="AN1" t="s">
        <v>312</v>
      </c>
      <c r="AO1" t="s">
        <v>313</v>
      </c>
      <c r="AP1" t="s">
        <v>314</v>
      </c>
      <c r="AQ1" t="s">
        <v>315</v>
      </c>
      <c r="AR1" t="s">
        <v>316</v>
      </c>
      <c r="AS1" t="s">
        <v>317</v>
      </c>
      <c r="AT1" t="s">
        <v>318</v>
      </c>
      <c r="AU1" t="s">
        <v>319</v>
      </c>
      <c r="AV1" t="s">
        <v>320</v>
      </c>
      <c r="AW1" t="s">
        <v>321</v>
      </c>
      <c r="AX1" t="s">
        <v>322</v>
      </c>
      <c r="AY1" t="s">
        <v>323</v>
      </c>
      <c r="AZ1" t="s">
        <v>324</v>
      </c>
      <c r="BA1" t="s">
        <v>325</v>
      </c>
      <c r="BB1" t="s">
        <v>326</v>
      </c>
      <c r="BC1" t="s">
        <v>117</v>
      </c>
      <c r="BD1" t="s">
        <v>118</v>
      </c>
      <c r="BE1" t="s">
        <v>119</v>
      </c>
      <c r="BF1" t="s">
        <v>120</v>
      </c>
    </row>
    <row r="2" spans="1:58" x14ac:dyDescent="0.3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</row>
    <row r="3" spans="1:58" x14ac:dyDescent="0.35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</row>
    <row r="4" spans="1:58" x14ac:dyDescent="0.35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</row>
    <row r="5" spans="1:58" x14ac:dyDescent="0.35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</row>
    <row r="6" spans="1:58" x14ac:dyDescent="0.35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</row>
    <row r="7" spans="1:58" x14ac:dyDescent="0.35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</row>
    <row r="8" spans="1:58" x14ac:dyDescent="0.35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</row>
    <row r="9" spans="1:58" x14ac:dyDescent="0.35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</row>
    <row r="10" spans="1:58" x14ac:dyDescent="0.35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</row>
    <row r="11" spans="1:58" x14ac:dyDescent="0.35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</row>
    <row r="12" spans="1:58" x14ac:dyDescent="0.35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</row>
    <row r="13" spans="1:58" x14ac:dyDescent="0.35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</row>
    <row r="14" spans="1:58" x14ac:dyDescent="0.35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</row>
    <row r="15" spans="1:58" x14ac:dyDescent="0.35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</row>
    <row r="16" spans="1:58" x14ac:dyDescent="0.35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</row>
    <row r="17" spans="1:58" x14ac:dyDescent="0.35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</row>
    <row r="18" spans="1:58" x14ac:dyDescent="0.35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</row>
    <row r="19" spans="1:58" x14ac:dyDescent="0.35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</row>
    <row r="20" spans="1:58" x14ac:dyDescent="0.35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</row>
    <row r="21" spans="1:58" x14ac:dyDescent="0.35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</row>
    <row r="22" spans="1:58" x14ac:dyDescent="0.35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</row>
    <row r="23" spans="1:58" x14ac:dyDescent="0.35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</row>
    <row r="24" spans="1:58" x14ac:dyDescent="0.35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</row>
    <row r="25" spans="1:58" x14ac:dyDescent="0.3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</row>
    <row r="26" spans="1:58" x14ac:dyDescent="0.35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</row>
    <row r="27" spans="1:58" x14ac:dyDescent="0.35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</row>
    <row r="28" spans="1:58" x14ac:dyDescent="0.35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</row>
    <row r="29" spans="1:58" x14ac:dyDescent="0.35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</row>
    <row r="30" spans="1:58" x14ac:dyDescent="0.35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</row>
    <row r="31" spans="1:58" x14ac:dyDescent="0.35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</row>
    <row r="32" spans="1:58" x14ac:dyDescent="0.35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</row>
    <row r="33" spans="1:58" x14ac:dyDescent="0.35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</row>
    <row r="34" spans="1:58" x14ac:dyDescent="0.35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</row>
    <row r="35" spans="1:58" x14ac:dyDescent="0.35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</row>
    <row r="36" spans="1:58" x14ac:dyDescent="0.35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</row>
    <row r="37" spans="1:58" x14ac:dyDescent="0.35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</row>
    <row r="38" spans="1:58" x14ac:dyDescent="0.35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</row>
    <row r="39" spans="1:58" x14ac:dyDescent="0.35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</row>
    <row r="40" spans="1:58" x14ac:dyDescent="0.35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</row>
    <row r="41" spans="1:58" x14ac:dyDescent="0.35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</row>
    <row r="42" spans="1:58" x14ac:dyDescent="0.35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</row>
    <row r="43" spans="1:58" x14ac:dyDescent="0.35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</row>
    <row r="44" spans="1:58" x14ac:dyDescent="0.35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</row>
    <row r="45" spans="1:58" x14ac:dyDescent="0.35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</row>
    <row r="46" spans="1:58" x14ac:dyDescent="0.35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</row>
    <row r="47" spans="1:58" x14ac:dyDescent="0.35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</row>
    <row r="48" spans="1:58" x14ac:dyDescent="0.35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</row>
    <row r="49" spans="1:58" x14ac:dyDescent="0.35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</row>
    <row r="50" spans="1:58" x14ac:dyDescent="0.35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</row>
    <row r="51" spans="1:58" x14ac:dyDescent="0.35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</row>
    <row r="52" spans="1:58" x14ac:dyDescent="0.35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</row>
    <row r="53" spans="1:58" x14ac:dyDescent="0.35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</row>
    <row r="54" spans="1:58" x14ac:dyDescent="0.35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</row>
    <row r="55" spans="1:58" x14ac:dyDescent="0.3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</row>
    <row r="56" spans="1:58" x14ac:dyDescent="0.35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</row>
    <row r="57" spans="1:58" x14ac:dyDescent="0.35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</row>
    <row r="58" spans="1:58" x14ac:dyDescent="0.35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</row>
    <row r="59" spans="1:58" x14ac:dyDescent="0.35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</row>
    <row r="60" spans="1:58" x14ac:dyDescent="0.35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</row>
    <row r="61" spans="1:58" x14ac:dyDescent="0.35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</row>
    <row r="62" spans="1:58" x14ac:dyDescent="0.35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</row>
    <row r="63" spans="1:58" x14ac:dyDescent="0.35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</row>
    <row r="64" spans="1:58" x14ac:dyDescent="0.35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</row>
    <row r="65" spans="1:58" x14ac:dyDescent="0.3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</row>
    <row r="66" spans="1:58" x14ac:dyDescent="0.35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</row>
    <row r="67" spans="1:58" x14ac:dyDescent="0.35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</row>
    <row r="68" spans="1:58" x14ac:dyDescent="0.35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</row>
    <row r="69" spans="1:58" x14ac:dyDescent="0.35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</row>
    <row r="70" spans="1:58" x14ac:dyDescent="0.35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</row>
    <row r="71" spans="1:58" x14ac:dyDescent="0.35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</row>
    <row r="72" spans="1:58" x14ac:dyDescent="0.35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</row>
    <row r="73" spans="1:58" x14ac:dyDescent="0.35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</row>
    <row r="74" spans="1:58" x14ac:dyDescent="0.35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</row>
    <row r="75" spans="1:58" x14ac:dyDescent="0.3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</row>
    <row r="76" spans="1:58" x14ac:dyDescent="0.35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</row>
    <row r="77" spans="1:58" x14ac:dyDescent="0.35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</row>
    <row r="78" spans="1:58" x14ac:dyDescent="0.35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</row>
    <row r="79" spans="1:58" x14ac:dyDescent="0.35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</row>
    <row r="80" spans="1:58" x14ac:dyDescent="0.35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</row>
    <row r="81" spans="1:58" x14ac:dyDescent="0.35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</row>
    <row r="82" spans="1:58" x14ac:dyDescent="0.35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</row>
    <row r="83" spans="1:58" x14ac:dyDescent="0.35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</row>
    <row r="84" spans="1:58" x14ac:dyDescent="0.35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</row>
    <row r="85" spans="1:58" x14ac:dyDescent="0.3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</row>
    <row r="86" spans="1:58" x14ac:dyDescent="0.35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</row>
    <row r="87" spans="1:58" x14ac:dyDescent="0.35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</row>
    <row r="88" spans="1:58" x14ac:dyDescent="0.35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</row>
    <row r="89" spans="1:58" x14ac:dyDescent="0.35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</row>
    <row r="90" spans="1:58" x14ac:dyDescent="0.35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</row>
    <row r="91" spans="1:58" x14ac:dyDescent="0.35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</row>
    <row r="92" spans="1:58" x14ac:dyDescent="0.35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</row>
    <row r="93" spans="1:58" x14ac:dyDescent="0.35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</row>
    <row r="94" spans="1:58" x14ac:dyDescent="0.35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</row>
    <row r="95" spans="1:58" x14ac:dyDescent="0.3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</row>
    <row r="96" spans="1:58" x14ac:dyDescent="0.35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</row>
    <row r="97" spans="1:58" x14ac:dyDescent="0.35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</row>
    <row r="98" spans="1:58" x14ac:dyDescent="0.35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</row>
    <row r="99" spans="1:58" x14ac:dyDescent="0.35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</row>
    <row r="100" spans="1:58" x14ac:dyDescent="0.35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</row>
    <row r="101" spans="1:58" x14ac:dyDescent="0.35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</row>
    <row r="102" spans="1:58" x14ac:dyDescent="0.35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5"/>
      <c r="AT102" s="125"/>
      <c r="AU102" s="125"/>
      <c r="AV102" s="125"/>
      <c r="AW102" s="125"/>
      <c r="AX102" s="125"/>
      <c r="AY102" s="125"/>
      <c r="AZ102" s="125"/>
      <c r="BA102" s="125"/>
      <c r="BB102" s="125"/>
      <c r="BC102" s="125"/>
      <c r="BD102" s="125"/>
      <c r="BE102" s="125"/>
      <c r="BF102" s="125"/>
    </row>
    <row r="103" spans="1:58" x14ac:dyDescent="0.35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  <c r="AM103" s="125"/>
      <c r="AN103" s="125"/>
      <c r="AO103" s="125"/>
      <c r="AP103" s="125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  <c r="BE103" s="125"/>
      <c r="BF103" s="125"/>
    </row>
    <row r="104" spans="1:58" x14ac:dyDescent="0.35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/>
      <c r="BF104" s="125"/>
    </row>
    <row r="105" spans="1:58" x14ac:dyDescent="0.3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</row>
    <row r="106" spans="1:58" x14ac:dyDescent="0.35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</row>
    <row r="107" spans="1:58" x14ac:dyDescent="0.35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</row>
    <row r="108" spans="1:58" x14ac:dyDescent="0.35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</row>
    <row r="109" spans="1:58" x14ac:dyDescent="0.35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</row>
    <row r="110" spans="1:58" x14ac:dyDescent="0.35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/>
      <c r="AN110" s="125"/>
      <c r="AO110" s="125"/>
      <c r="AP110" s="125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</row>
    <row r="111" spans="1:58" x14ac:dyDescent="0.35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5"/>
      <c r="BD111" s="125"/>
      <c r="BE111" s="125"/>
      <c r="BF111" s="125"/>
    </row>
    <row r="112" spans="1:58" x14ac:dyDescent="0.35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5"/>
      <c r="BC112" s="125"/>
      <c r="BD112" s="125"/>
      <c r="BE112" s="125"/>
      <c r="BF112" s="125"/>
    </row>
    <row r="113" spans="1:58" x14ac:dyDescent="0.35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</row>
    <row r="114" spans="1:58" x14ac:dyDescent="0.35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5"/>
      <c r="AU114" s="125"/>
      <c r="AV114" s="125"/>
      <c r="AW114" s="125"/>
      <c r="AX114" s="125"/>
      <c r="AY114" s="125"/>
      <c r="AZ114" s="125"/>
      <c r="BA114" s="125"/>
      <c r="BB114" s="125"/>
      <c r="BC114" s="125"/>
      <c r="BD114" s="125"/>
      <c r="BE114" s="125"/>
      <c r="BF114" s="125"/>
    </row>
    <row r="115" spans="1:58" x14ac:dyDescent="0.3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5"/>
      <c r="AT115" s="125"/>
      <c r="AU115" s="125"/>
      <c r="AV115" s="125"/>
      <c r="AW115" s="125"/>
      <c r="AX115" s="125"/>
      <c r="AY115" s="125"/>
      <c r="AZ115" s="125"/>
      <c r="BA115" s="125"/>
      <c r="BB115" s="125"/>
      <c r="BC115" s="125"/>
      <c r="BD115" s="125"/>
      <c r="BE115" s="125"/>
      <c r="BF115" s="125"/>
    </row>
    <row r="116" spans="1:58" x14ac:dyDescent="0.35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/>
      <c r="AX116" s="125"/>
      <c r="AY116" s="125"/>
      <c r="AZ116" s="125"/>
      <c r="BA116" s="125"/>
      <c r="BB116" s="125"/>
      <c r="BC116" s="125"/>
      <c r="BD116" s="125"/>
      <c r="BE116" s="125"/>
      <c r="BF116" s="125"/>
    </row>
    <row r="117" spans="1:58" x14ac:dyDescent="0.35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  <c r="BE117" s="125"/>
      <c r="BF117" s="125"/>
    </row>
    <row r="118" spans="1:58" x14ac:dyDescent="0.35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/>
      <c r="AT118" s="125"/>
      <c r="AU118" s="125"/>
      <c r="AV118" s="125"/>
      <c r="AW118" s="125"/>
      <c r="AX118" s="125"/>
      <c r="AY118" s="125"/>
      <c r="AZ118" s="125"/>
      <c r="BA118" s="125"/>
      <c r="BB118" s="125"/>
      <c r="BC118" s="125"/>
      <c r="BD118" s="125"/>
      <c r="BE118" s="125"/>
      <c r="BF118" s="125"/>
    </row>
    <row r="119" spans="1:58" x14ac:dyDescent="0.35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5"/>
      <c r="AT119" s="125"/>
      <c r="AU119" s="125"/>
      <c r="AV119" s="125"/>
      <c r="AW119" s="125"/>
      <c r="AX119" s="125"/>
      <c r="AY119" s="125"/>
      <c r="AZ119" s="125"/>
      <c r="BA119" s="125"/>
      <c r="BB119" s="125"/>
      <c r="BC119" s="125"/>
      <c r="BD119" s="125"/>
      <c r="BE119" s="125"/>
      <c r="BF119" s="125"/>
    </row>
    <row r="120" spans="1:58" x14ac:dyDescent="0.35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5"/>
      <c r="AU120" s="125"/>
      <c r="AV120" s="125"/>
      <c r="AW120" s="125"/>
      <c r="AX120" s="125"/>
      <c r="AY120" s="125"/>
      <c r="AZ120" s="125"/>
      <c r="BA120" s="125"/>
      <c r="BB120" s="125"/>
      <c r="BC120" s="125"/>
      <c r="BD120" s="125"/>
      <c r="BE120" s="125"/>
      <c r="BF120" s="125"/>
    </row>
    <row r="121" spans="1:58" x14ac:dyDescent="0.35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/>
      <c r="AP121" s="125"/>
      <c r="AQ121" s="125"/>
      <c r="AR121" s="125"/>
      <c r="AS121" s="125"/>
      <c r="AT121" s="125"/>
      <c r="AU121" s="125"/>
      <c r="AV121" s="125"/>
      <c r="AW121" s="125"/>
      <c r="AX121" s="125"/>
      <c r="AY121" s="125"/>
      <c r="AZ121" s="125"/>
      <c r="BA121" s="125"/>
      <c r="BB121" s="125"/>
      <c r="BC121" s="125"/>
      <c r="BD121" s="125"/>
      <c r="BE121" s="125"/>
      <c r="BF121" s="125"/>
    </row>
    <row r="122" spans="1:58" x14ac:dyDescent="0.35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5"/>
      <c r="AT122" s="125"/>
      <c r="AU122" s="125"/>
      <c r="AV122" s="125"/>
      <c r="AW122" s="125"/>
      <c r="AX122" s="125"/>
      <c r="AY122" s="125"/>
      <c r="AZ122" s="125"/>
      <c r="BA122" s="125"/>
      <c r="BB122" s="125"/>
      <c r="BC122" s="125"/>
      <c r="BD122" s="125"/>
      <c r="BE122" s="125"/>
      <c r="BF122" s="125"/>
    </row>
    <row r="123" spans="1:58" x14ac:dyDescent="0.35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5"/>
      <c r="AT123" s="125"/>
      <c r="AU123" s="125"/>
      <c r="AV123" s="125"/>
      <c r="AW123" s="125"/>
      <c r="AX123" s="125"/>
      <c r="AY123" s="125"/>
      <c r="AZ123" s="125"/>
      <c r="BA123" s="125"/>
      <c r="BB123" s="125"/>
      <c r="BC123" s="125"/>
      <c r="BD123" s="125"/>
      <c r="BE123" s="125"/>
      <c r="BF123" s="125"/>
    </row>
    <row r="124" spans="1:58" x14ac:dyDescent="0.35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5"/>
      <c r="BB124" s="125"/>
      <c r="BC124" s="125"/>
      <c r="BD124" s="125"/>
      <c r="BE124" s="125"/>
      <c r="BF124" s="125"/>
    </row>
    <row r="125" spans="1:58" x14ac:dyDescent="0.3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5"/>
      <c r="AT125" s="125"/>
      <c r="AU125" s="125"/>
      <c r="AV125" s="125"/>
      <c r="AW125" s="125"/>
      <c r="AX125" s="125"/>
      <c r="AY125" s="125"/>
      <c r="AZ125" s="125"/>
      <c r="BA125" s="125"/>
      <c r="BB125" s="125"/>
      <c r="BC125" s="125"/>
      <c r="BD125" s="125"/>
      <c r="BE125" s="125"/>
      <c r="BF125" s="125"/>
    </row>
    <row r="126" spans="1:58" x14ac:dyDescent="0.35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5"/>
      <c r="BF126" s="125"/>
    </row>
    <row r="127" spans="1:58" x14ac:dyDescent="0.35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5"/>
      <c r="AN127" s="125"/>
      <c r="AO127" s="125"/>
      <c r="AP127" s="125"/>
      <c r="AQ127" s="125"/>
      <c r="AR127" s="125"/>
      <c r="AS127" s="125"/>
      <c r="AT127" s="125"/>
      <c r="AU127" s="125"/>
      <c r="AV127" s="125"/>
      <c r="AW127" s="125"/>
      <c r="AX127" s="125"/>
      <c r="AY127" s="125"/>
      <c r="AZ127" s="125"/>
      <c r="BA127" s="125"/>
      <c r="BB127" s="125"/>
      <c r="BC127" s="125"/>
      <c r="BD127" s="125"/>
      <c r="BE127" s="125"/>
      <c r="BF127" s="125"/>
    </row>
    <row r="128" spans="1:58" x14ac:dyDescent="0.35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/>
      <c r="BF128" s="125"/>
    </row>
    <row r="129" spans="1:58" x14ac:dyDescent="0.35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</row>
    <row r="130" spans="1:58" x14ac:dyDescent="0.35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</row>
    <row r="131" spans="1:58" x14ac:dyDescent="0.35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</row>
    <row r="132" spans="1:58" x14ac:dyDescent="0.35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5"/>
      <c r="AU132" s="125"/>
      <c r="AV132" s="125"/>
      <c r="AW132" s="125"/>
      <c r="AX132" s="125"/>
      <c r="AY132" s="125"/>
      <c r="AZ132" s="125"/>
      <c r="BA132" s="125"/>
      <c r="BB132" s="125"/>
      <c r="BC132" s="125"/>
      <c r="BD132" s="125"/>
      <c r="BE132" s="125"/>
      <c r="BF132" s="125"/>
    </row>
    <row r="133" spans="1:58" x14ac:dyDescent="0.35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5"/>
      <c r="BC133" s="125"/>
      <c r="BD133" s="125"/>
      <c r="BE133" s="125"/>
      <c r="BF133" s="125"/>
    </row>
    <row r="134" spans="1:58" x14ac:dyDescent="0.35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/>
      <c r="BA134" s="125"/>
      <c r="BB134" s="125"/>
      <c r="BC134" s="125"/>
      <c r="BD134" s="125"/>
      <c r="BE134" s="125"/>
      <c r="BF134" s="125"/>
    </row>
    <row r="135" spans="1:58" x14ac:dyDescent="0.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</row>
    <row r="136" spans="1:58" x14ac:dyDescent="0.35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</row>
    <row r="137" spans="1:58" x14ac:dyDescent="0.35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</row>
    <row r="138" spans="1:58" x14ac:dyDescent="0.35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</row>
    <row r="139" spans="1:58" x14ac:dyDescent="0.35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5"/>
      <c r="AU139" s="125"/>
      <c r="AV139" s="125"/>
      <c r="AW139" s="125"/>
      <c r="AX139" s="125"/>
      <c r="AY139" s="125"/>
      <c r="AZ139" s="125"/>
      <c r="BA139" s="125"/>
      <c r="BB139" s="125"/>
      <c r="BC139" s="125"/>
      <c r="BD139" s="125"/>
      <c r="BE139" s="125"/>
      <c r="BF139" s="125"/>
    </row>
    <row r="140" spans="1:58" x14ac:dyDescent="0.35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/>
      <c r="AX140" s="125"/>
      <c r="AY140" s="125"/>
      <c r="AZ140" s="125"/>
      <c r="BA140" s="125"/>
      <c r="BB140" s="125"/>
      <c r="BC140" s="125"/>
      <c r="BD140" s="125"/>
      <c r="BE140" s="125"/>
      <c r="BF140" s="125"/>
    </row>
    <row r="141" spans="1:58" x14ac:dyDescent="0.35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</row>
    <row r="142" spans="1:58" x14ac:dyDescent="0.35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</row>
    <row r="143" spans="1:58" x14ac:dyDescent="0.35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25"/>
      <c r="BF143" s="125"/>
    </row>
    <row r="144" spans="1:58" x14ac:dyDescent="0.35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</row>
    <row r="145" spans="1:58" x14ac:dyDescent="0.3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</row>
    <row r="146" spans="1:58" x14ac:dyDescent="0.35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5"/>
      <c r="AT146" s="125"/>
      <c r="AU146" s="125"/>
      <c r="AV146" s="125"/>
      <c r="AW146" s="125"/>
      <c r="AX146" s="125"/>
      <c r="AY146" s="125"/>
      <c r="AZ146" s="125"/>
      <c r="BA146" s="125"/>
      <c r="BB146" s="125"/>
      <c r="BC146" s="125"/>
      <c r="BD146" s="125"/>
      <c r="BE146" s="125"/>
      <c r="BF146" s="125"/>
    </row>
    <row r="147" spans="1:58" x14ac:dyDescent="0.35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  <c r="AT147" s="125"/>
      <c r="AU147" s="125"/>
      <c r="AV147" s="125"/>
      <c r="AW147" s="125"/>
      <c r="AX147" s="125"/>
      <c r="AY147" s="125"/>
      <c r="AZ147" s="125"/>
      <c r="BA147" s="125"/>
      <c r="BB147" s="125"/>
      <c r="BC147" s="125"/>
      <c r="BD147" s="125"/>
      <c r="BE147" s="125"/>
      <c r="BF147" s="125"/>
    </row>
    <row r="148" spans="1:58" x14ac:dyDescent="0.35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  <c r="AQ148" s="125"/>
      <c r="AR148" s="125"/>
      <c r="AS148" s="125"/>
      <c r="AT148" s="125"/>
      <c r="AU148" s="125"/>
      <c r="AV148" s="125"/>
      <c r="AW148" s="125"/>
      <c r="AX148" s="125"/>
      <c r="AY148" s="125"/>
      <c r="AZ148" s="125"/>
      <c r="BA148" s="125"/>
      <c r="BB148" s="125"/>
      <c r="BC148" s="125"/>
      <c r="BD148" s="125"/>
      <c r="BE148" s="125"/>
      <c r="BF148" s="125"/>
    </row>
    <row r="149" spans="1:58" x14ac:dyDescent="0.35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  <c r="AT149" s="125"/>
      <c r="AU149" s="125"/>
      <c r="AV149" s="125"/>
      <c r="AW149" s="125"/>
      <c r="AX149" s="125"/>
      <c r="AY149" s="125"/>
      <c r="AZ149" s="125"/>
      <c r="BA149" s="125"/>
      <c r="BB149" s="125"/>
      <c r="BC149" s="125"/>
      <c r="BD149" s="125"/>
      <c r="BE149" s="125"/>
      <c r="BF149" s="125"/>
    </row>
    <row r="150" spans="1:58" x14ac:dyDescent="0.35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  <c r="AT150" s="125"/>
      <c r="AU150" s="125"/>
      <c r="AV150" s="125"/>
      <c r="AW150" s="125"/>
      <c r="AX150" s="125"/>
      <c r="AY150" s="125"/>
      <c r="AZ150" s="125"/>
      <c r="BA150" s="125"/>
      <c r="BB150" s="125"/>
      <c r="BC150" s="125"/>
      <c r="BD150" s="125"/>
      <c r="BE150" s="125"/>
      <c r="BF150" s="125"/>
    </row>
    <row r="151" spans="1:58" x14ac:dyDescent="0.35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5"/>
      <c r="AT151" s="125"/>
      <c r="AU151" s="125"/>
      <c r="AV151" s="125"/>
      <c r="AW151" s="125"/>
      <c r="AX151" s="125"/>
      <c r="AY151" s="125"/>
      <c r="AZ151" s="125"/>
      <c r="BA151" s="125"/>
      <c r="BB151" s="125"/>
      <c r="BC151" s="125"/>
      <c r="BD151" s="125"/>
      <c r="BE151" s="125"/>
      <c r="BF151" s="125"/>
    </row>
    <row r="152" spans="1:58" x14ac:dyDescent="0.35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5"/>
      <c r="AT152" s="125"/>
      <c r="AU152" s="125"/>
      <c r="AV152" s="125"/>
      <c r="AW152" s="125"/>
      <c r="AX152" s="125"/>
      <c r="AY152" s="125"/>
      <c r="AZ152" s="125"/>
      <c r="BA152" s="125"/>
      <c r="BB152" s="125"/>
      <c r="BC152" s="125"/>
      <c r="BD152" s="125"/>
      <c r="BE152" s="125"/>
      <c r="BF152" s="125"/>
    </row>
    <row r="153" spans="1:58" x14ac:dyDescent="0.35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s="125"/>
      <c r="AV153" s="125"/>
      <c r="AW153" s="125"/>
      <c r="AX153" s="125"/>
      <c r="AY153" s="125"/>
      <c r="AZ153" s="125"/>
      <c r="BA153" s="125"/>
      <c r="BB153" s="125"/>
      <c r="BC153" s="125"/>
      <c r="BD153" s="125"/>
      <c r="BE153" s="125"/>
      <c r="BF153" s="125"/>
    </row>
    <row r="154" spans="1:58" x14ac:dyDescent="0.35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5"/>
      <c r="AU154" s="125"/>
      <c r="AV154" s="125"/>
      <c r="AW154" s="125"/>
      <c r="AX154" s="125"/>
      <c r="AY154" s="125"/>
      <c r="AZ154" s="125"/>
      <c r="BA154" s="125"/>
      <c r="BB154" s="125"/>
      <c r="BC154" s="125"/>
      <c r="BD154" s="125"/>
      <c r="BE154" s="125"/>
      <c r="BF154" s="125"/>
    </row>
    <row r="155" spans="1:58" x14ac:dyDescent="0.3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25"/>
      <c r="AW155" s="125"/>
      <c r="AX155" s="125"/>
      <c r="AY155" s="125"/>
      <c r="AZ155" s="125"/>
      <c r="BA155" s="125"/>
      <c r="BB155" s="125"/>
      <c r="BC155" s="125"/>
      <c r="BD155" s="125"/>
      <c r="BE155" s="125"/>
      <c r="BF155" s="125"/>
    </row>
    <row r="156" spans="1:58" x14ac:dyDescent="0.35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  <c r="AV156" s="125"/>
      <c r="AW156" s="125"/>
      <c r="AX156" s="125"/>
      <c r="AY156" s="125"/>
      <c r="AZ156" s="125"/>
      <c r="BA156" s="125"/>
      <c r="BB156" s="125"/>
      <c r="BC156" s="125"/>
      <c r="BD156" s="125"/>
      <c r="BE156" s="125"/>
      <c r="BF156" s="125"/>
    </row>
    <row r="157" spans="1:58" x14ac:dyDescent="0.35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  <c r="AT157" s="125"/>
      <c r="AU157" s="125"/>
      <c r="AV157" s="125"/>
      <c r="AW157" s="125"/>
      <c r="AX157" s="125"/>
      <c r="AY157" s="125"/>
      <c r="AZ157" s="125"/>
      <c r="BA157" s="125"/>
      <c r="BB157" s="125"/>
      <c r="BC157" s="125"/>
      <c r="BD157" s="125"/>
      <c r="BE157" s="125"/>
      <c r="BF157" s="125"/>
    </row>
    <row r="158" spans="1:58" x14ac:dyDescent="0.35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25"/>
      <c r="AT158" s="125"/>
      <c r="AU158" s="125"/>
      <c r="AV158" s="125"/>
      <c r="AW158" s="125"/>
      <c r="AX158" s="125"/>
      <c r="AY158" s="125"/>
      <c r="AZ158" s="125"/>
      <c r="BA158" s="125"/>
      <c r="BB158" s="125"/>
      <c r="BC158" s="125"/>
      <c r="BD158" s="125"/>
      <c r="BE158" s="125"/>
      <c r="BF158" s="125"/>
    </row>
    <row r="159" spans="1:58" x14ac:dyDescent="0.35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25"/>
      <c r="AW159" s="125"/>
      <c r="AX159" s="125"/>
      <c r="AY159" s="125"/>
      <c r="AZ159" s="125"/>
      <c r="BA159" s="125"/>
      <c r="BB159" s="125"/>
      <c r="BC159" s="125"/>
      <c r="BD159" s="125"/>
      <c r="BE159" s="125"/>
      <c r="BF159" s="125"/>
    </row>
    <row r="160" spans="1:58" x14ac:dyDescent="0.35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25"/>
      <c r="AT160" s="125"/>
      <c r="AU160" s="125"/>
      <c r="AV160" s="125"/>
      <c r="AW160" s="125"/>
      <c r="AX160" s="125"/>
      <c r="AY160" s="125"/>
      <c r="AZ160" s="125"/>
      <c r="BA160" s="125"/>
      <c r="BB160" s="125"/>
      <c r="BC160" s="125"/>
      <c r="BD160" s="125"/>
      <c r="BE160" s="125"/>
      <c r="BF160" s="125"/>
    </row>
    <row r="161" spans="1:58" x14ac:dyDescent="0.35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  <c r="AT161" s="125"/>
      <c r="AU161" s="125"/>
      <c r="AV161" s="125"/>
      <c r="AW161" s="125"/>
      <c r="AX161" s="125"/>
      <c r="AY161" s="125"/>
      <c r="AZ161" s="125"/>
      <c r="BA161" s="125"/>
      <c r="BB161" s="125"/>
      <c r="BC161" s="125"/>
      <c r="BD161" s="125"/>
      <c r="BE161" s="125"/>
      <c r="BF161" s="125"/>
    </row>
    <row r="162" spans="1:58" x14ac:dyDescent="0.35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5"/>
      <c r="BD162" s="125"/>
      <c r="BE162" s="125"/>
      <c r="BF162" s="125"/>
    </row>
    <row r="163" spans="1:58" x14ac:dyDescent="0.35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25"/>
      <c r="AT163" s="125"/>
      <c r="AU163" s="125"/>
      <c r="AV163" s="125"/>
      <c r="AW163" s="125"/>
      <c r="AX163" s="125"/>
      <c r="AY163" s="125"/>
      <c r="AZ163" s="125"/>
      <c r="BA163" s="125"/>
      <c r="BB163" s="125"/>
      <c r="BC163" s="125"/>
      <c r="BD163" s="125"/>
      <c r="BE163" s="125"/>
      <c r="BF163" s="125"/>
    </row>
    <row r="164" spans="1:58" x14ac:dyDescent="0.35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25"/>
      <c r="AT164" s="125"/>
      <c r="AU164" s="125"/>
      <c r="AV164" s="125"/>
      <c r="AW164" s="125"/>
      <c r="AX164" s="125"/>
      <c r="AY164" s="125"/>
      <c r="AZ164" s="125"/>
      <c r="BA164" s="125"/>
      <c r="BB164" s="125"/>
      <c r="BC164" s="125"/>
      <c r="BD164" s="125"/>
      <c r="BE164" s="125"/>
      <c r="BF164" s="125"/>
    </row>
    <row r="165" spans="1:58" x14ac:dyDescent="0.3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25"/>
      <c r="AT165" s="125"/>
      <c r="AU165" s="125"/>
      <c r="AV165" s="125"/>
      <c r="AW165" s="125"/>
      <c r="AX165" s="125"/>
      <c r="AY165" s="125"/>
      <c r="AZ165" s="125"/>
      <c r="BA165" s="125"/>
      <c r="BB165" s="125"/>
      <c r="BC165" s="125"/>
      <c r="BD165" s="125"/>
      <c r="BE165" s="125"/>
      <c r="BF165" s="125"/>
    </row>
    <row r="166" spans="1:58" x14ac:dyDescent="0.35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5"/>
      <c r="AL166" s="125"/>
      <c r="AM166" s="125"/>
      <c r="AN166" s="125"/>
      <c r="AO166" s="125"/>
      <c r="AP166" s="125"/>
      <c r="AQ166" s="125"/>
      <c r="AR166" s="125"/>
      <c r="AS166" s="125"/>
      <c r="AT166" s="125"/>
      <c r="AU166" s="125"/>
      <c r="AV166" s="125"/>
      <c r="AW166" s="125"/>
      <c r="AX166" s="125"/>
      <c r="AY166" s="125"/>
      <c r="AZ166" s="125"/>
      <c r="BA166" s="125"/>
      <c r="BB166" s="125"/>
      <c r="BC166" s="125"/>
      <c r="BD166" s="125"/>
      <c r="BE166" s="125"/>
      <c r="BF166" s="125"/>
    </row>
    <row r="167" spans="1:58" x14ac:dyDescent="0.35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  <c r="AM167" s="125"/>
      <c r="AN167" s="125"/>
      <c r="AO167" s="125"/>
      <c r="AP167" s="125"/>
      <c r="AQ167" s="125"/>
      <c r="AR167" s="125"/>
      <c r="AS167" s="125"/>
      <c r="AT167" s="125"/>
      <c r="AU167" s="125"/>
      <c r="AV167" s="125"/>
      <c r="AW167" s="125"/>
      <c r="AX167" s="125"/>
      <c r="AY167" s="125"/>
      <c r="AZ167" s="125"/>
      <c r="BA167" s="125"/>
      <c r="BB167" s="125"/>
      <c r="BC167" s="125"/>
      <c r="BD167" s="125"/>
      <c r="BE167" s="125"/>
      <c r="BF167" s="125"/>
    </row>
    <row r="168" spans="1:58" x14ac:dyDescent="0.35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  <c r="AQ168" s="125"/>
      <c r="AR168" s="125"/>
      <c r="AS168" s="125"/>
      <c r="AT168" s="125"/>
      <c r="AU168" s="125"/>
      <c r="AV168" s="125"/>
      <c r="AW168" s="125"/>
      <c r="AX168" s="125"/>
      <c r="AY168" s="125"/>
      <c r="AZ168" s="125"/>
      <c r="BA168" s="125"/>
      <c r="BB168" s="125"/>
      <c r="BC168" s="125"/>
      <c r="BD168" s="125"/>
      <c r="BE168" s="125"/>
      <c r="BF168" s="125"/>
    </row>
    <row r="169" spans="1:58" x14ac:dyDescent="0.35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  <c r="AT169" s="125"/>
      <c r="AU169" s="125"/>
      <c r="AV169" s="125"/>
      <c r="AW169" s="125"/>
      <c r="AX169" s="125"/>
      <c r="AY169" s="125"/>
      <c r="AZ169" s="125"/>
      <c r="BA169" s="125"/>
      <c r="BB169" s="125"/>
      <c r="BC169" s="125"/>
      <c r="BD169" s="125"/>
      <c r="BE169" s="125"/>
      <c r="BF169" s="125"/>
    </row>
    <row r="170" spans="1:58" x14ac:dyDescent="0.35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  <c r="AQ170" s="125"/>
      <c r="AR170" s="125"/>
      <c r="AS170" s="125"/>
      <c r="AT170" s="125"/>
      <c r="AU170" s="125"/>
      <c r="AV170" s="125"/>
      <c r="AW170" s="125"/>
      <c r="AX170" s="125"/>
      <c r="AY170" s="125"/>
      <c r="AZ170" s="125"/>
      <c r="BA170" s="125"/>
      <c r="BB170" s="125"/>
      <c r="BC170" s="125"/>
      <c r="BD170" s="125"/>
      <c r="BE170" s="125"/>
      <c r="BF170" s="125"/>
    </row>
    <row r="171" spans="1:58" x14ac:dyDescent="0.35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25"/>
      <c r="AX171" s="125"/>
      <c r="AY171" s="125"/>
      <c r="AZ171" s="125"/>
      <c r="BA171" s="125"/>
      <c r="BB171" s="125"/>
      <c r="BC171" s="125"/>
      <c r="BD171" s="125"/>
      <c r="BE171" s="125"/>
      <c r="BF171" s="125"/>
    </row>
    <row r="172" spans="1:58" x14ac:dyDescent="0.35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25"/>
      <c r="AO172" s="125"/>
      <c r="AP172" s="125"/>
      <c r="AQ172" s="125"/>
      <c r="AR172" s="125"/>
      <c r="AS172" s="125"/>
      <c r="AT172" s="125"/>
      <c r="AU172" s="125"/>
      <c r="AV172" s="125"/>
      <c r="AW172" s="125"/>
      <c r="AX172" s="125"/>
      <c r="AY172" s="125"/>
      <c r="AZ172" s="125"/>
      <c r="BA172" s="125"/>
      <c r="BB172" s="125"/>
      <c r="BC172" s="125"/>
      <c r="BD172" s="125"/>
      <c r="BE172" s="125"/>
      <c r="BF172" s="125"/>
    </row>
    <row r="173" spans="1:58" x14ac:dyDescent="0.35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5"/>
      <c r="AL173" s="125"/>
      <c r="AM173" s="125"/>
      <c r="AN173" s="125"/>
      <c r="AO173" s="125"/>
      <c r="AP173" s="125"/>
      <c r="AQ173" s="125"/>
      <c r="AR173" s="125"/>
      <c r="AS173" s="125"/>
      <c r="AT173" s="125"/>
      <c r="AU173" s="125"/>
      <c r="AV173" s="125"/>
      <c r="AW173" s="125"/>
      <c r="AX173" s="125"/>
      <c r="AY173" s="125"/>
      <c r="AZ173" s="125"/>
      <c r="BA173" s="125"/>
      <c r="BB173" s="125"/>
      <c r="BC173" s="125"/>
      <c r="BD173" s="125"/>
      <c r="BE173" s="125"/>
      <c r="BF173" s="125"/>
    </row>
    <row r="174" spans="1:58" x14ac:dyDescent="0.35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  <c r="AQ174" s="125"/>
      <c r="AR174" s="125"/>
      <c r="AS174" s="125"/>
      <c r="AT174" s="125"/>
      <c r="AU174" s="125"/>
      <c r="AV174" s="125"/>
      <c r="AW174" s="125"/>
      <c r="AX174" s="125"/>
      <c r="AY174" s="125"/>
      <c r="AZ174" s="125"/>
      <c r="BA174" s="125"/>
      <c r="BB174" s="125"/>
      <c r="BC174" s="125"/>
      <c r="BD174" s="125"/>
      <c r="BE174" s="125"/>
      <c r="BF174" s="125"/>
    </row>
    <row r="175" spans="1:58" x14ac:dyDescent="0.3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</row>
    <row r="176" spans="1:58" x14ac:dyDescent="0.35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</row>
    <row r="177" spans="1:58" x14ac:dyDescent="0.35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/>
      <c r="BF177" s="125"/>
    </row>
    <row r="178" spans="1:58" x14ac:dyDescent="0.35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/>
      <c r="AZ178" s="125"/>
      <c r="BA178" s="125"/>
      <c r="BB178" s="125"/>
      <c r="BC178" s="125"/>
      <c r="BD178" s="125"/>
      <c r="BE178" s="125"/>
      <c r="BF178" s="125"/>
    </row>
    <row r="179" spans="1:58" x14ac:dyDescent="0.35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25"/>
      <c r="AQ179" s="125"/>
      <c r="AR179" s="125"/>
      <c r="AS179" s="125"/>
      <c r="AT179" s="125"/>
      <c r="AU179" s="125"/>
      <c r="AV179" s="125"/>
      <c r="AW179" s="125"/>
      <c r="AX179" s="125"/>
      <c r="AY179" s="125"/>
      <c r="AZ179" s="125"/>
      <c r="BA179" s="125"/>
      <c r="BB179" s="125"/>
      <c r="BC179" s="125"/>
      <c r="BD179" s="125"/>
      <c r="BE179" s="125"/>
      <c r="BF179" s="125"/>
    </row>
    <row r="180" spans="1:58" x14ac:dyDescent="0.35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  <c r="AT180" s="125"/>
      <c r="AU180" s="125"/>
      <c r="AV180" s="125"/>
      <c r="AW180" s="125"/>
      <c r="AX180" s="125"/>
      <c r="AY180" s="125"/>
      <c r="AZ180" s="125"/>
      <c r="BA180" s="125"/>
      <c r="BB180" s="125"/>
      <c r="BC180" s="125"/>
      <c r="BD180" s="125"/>
      <c r="BE180" s="125"/>
      <c r="BF180" s="125"/>
    </row>
    <row r="181" spans="1:58" x14ac:dyDescent="0.35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  <c r="AU181" s="125"/>
      <c r="AV181" s="125"/>
      <c r="AW181" s="125"/>
      <c r="AX181" s="125"/>
      <c r="AY181" s="125"/>
      <c r="AZ181" s="125"/>
      <c r="BA181" s="125"/>
      <c r="BB181" s="125"/>
      <c r="BC181" s="125"/>
      <c r="BD181" s="125"/>
      <c r="BE181" s="125"/>
      <c r="BF181" s="125"/>
    </row>
    <row r="182" spans="1:58" x14ac:dyDescent="0.35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  <c r="AU182" s="125"/>
      <c r="AV182" s="125"/>
      <c r="AW182" s="125"/>
      <c r="AX182" s="125"/>
      <c r="AY182" s="125"/>
      <c r="AZ182" s="125"/>
      <c r="BA182" s="125"/>
      <c r="BB182" s="125"/>
      <c r="BC182" s="125"/>
      <c r="BD182" s="125"/>
      <c r="BE182" s="125"/>
      <c r="BF182" s="125"/>
    </row>
    <row r="183" spans="1:58" x14ac:dyDescent="0.35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  <c r="AQ183" s="125"/>
      <c r="AR183" s="125"/>
      <c r="AS183" s="125"/>
      <c r="AT183" s="125"/>
      <c r="AU183" s="125"/>
      <c r="AV183" s="125"/>
      <c r="AW183" s="125"/>
      <c r="AX183" s="125"/>
      <c r="AY183" s="125"/>
      <c r="AZ183" s="125"/>
      <c r="BA183" s="125"/>
      <c r="BB183" s="125"/>
      <c r="BC183" s="125"/>
      <c r="BD183" s="125"/>
      <c r="BE183" s="125"/>
      <c r="BF183" s="125"/>
    </row>
    <row r="184" spans="1:58" x14ac:dyDescent="0.35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5"/>
      <c r="BB184" s="125"/>
      <c r="BC184" s="125"/>
      <c r="BD184" s="125"/>
      <c r="BE184" s="125"/>
      <c r="BF184" s="125"/>
    </row>
    <row r="185" spans="1:58" x14ac:dyDescent="0.3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  <c r="AT185" s="125"/>
      <c r="AU185" s="125"/>
      <c r="AV185" s="125"/>
      <c r="AW185" s="125"/>
      <c r="AX185" s="125"/>
      <c r="AY185" s="125"/>
      <c r="AZ185" s="125"/>
      <c r="BA185" s="125"/>
      <c r="BB185" s="125"/>
      <c r="BC185" s="125"/>
      <c r="BD185" s="125"/>
      <c r="BE185" s="125"/>
      <c r="BF185" s="125"/>
    </row>
    <row r="186" spans="1:58" x14ac:dyDescent="0.35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s="125"/>
      <c r="AV186" s="125"/>
      <c r="AW186" s="125"/>
      <c r="AX186" s="125"/>
      <c r="AY186" s="125"/>
      <c r="AZ186" s="125"/>
      <c r="BA186" s="125"/>
      <c r="BB186" s="125"/>
      <c r="BC186" s="125"/>
      <c r="BD186" s="125"/>
      <c r="BE186" s="125"/>
      <c r="BF186" s="125"/>
    </row>
    <row r="187" spans="1:58" x14ac:dyDescent="0.35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  <c r="AU187" s="125"/>
      <c r="AV187" s="125"/>
      <c r="AW187" s="125"/>
      <c r="AX187" s="125"/>
      <c r="AY187" s="125"/>
      <c r="AZ187" s="125"/>
      <c r="BA187" s="125"/>
      <c r="BB187" s="125"/>
      <c r="BC187" s="125"/>
      <c r="BD187" s="125"/>
      <c r="BE187" s="125"/>
      <c r="BF187" s="125"/>
    </row>
    <row r="188" spans="1:58" x14ac:dyDescent="0.35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  <c r="AU188" s="125"/>
      <c r="AV188" s="125"/>
      <c r="AW188" s="125"/>
      <c r="AX188" s="125"/>
      <c r="AY188" s="125"/>
      <c r="AZ188" s="125"/>
      <c r="BA188" s="125"/>
      <c r="BB188" s="125"/>
      <c r="BC188" s="125"/>
      <c r="BD188" s="125"/>
      <c r="BE188" s="125"/>
      <c r="BF188" s="125"/>
    </row>
    <row r="189" spans="1:58" x14ac:dyDescent="0.35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  <c r="AT189" s="125"/>
      <c r="AU189" s="125"/>
      <c r="AV189" s="125"/>
      <c r="AW189" s="125"/>
      <c r="AX189" s="125"/>
      <c r="AY189" s="125"/>
      <c r="AZ189" s="125"/>
      <c r="BA189" s="125"/>
      <c r="BB189" s="125"/>
      <c r="BC189" s="125"/>
      <c r="BD189" s="125"/>
      <c r="BE189" s="125"/>
      <c r="BF189" s="125"/>
    </row>
    <row r="190" spans="1:58" x14ac:dyDescent="0.35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/>
      <c r="BB190" s="125"/>
      <c r="BC190" s="125"/>
      <c r="BD190" s="125"/>
      <c r="BE190" s="125"/>
      <c r="BF190" s="125"/>
    </row>
    <row r="191" spans="1:58" x14ac:dyDescent="0.35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/>
      <c r="BC191" s="125"/>
      <c r="BD191" s="125"/>
      <c r="BE191" s="125"/>
      <c r="BF191" s="125"/>
    </row>
    <row r="192" spans="1:58" x14ac:dyDescent="0.35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125"/>
      <c r="AT192" s="125"/>
      <c r="AU192" s="125"/>
      <c r="AV192" s="125"/>
      <c r="AW192" s="125"/>
      <c r="AX192" s="125"/>
      <c r="AY192" s="125"/>
      <c r="AZ192" s="125"/>
      <c r="BA192" s="125"/>
      <c r="BB192" s="125"/>
      <c r="BC192" s="125"/>
      <c r="BD192" s="125"/>
      <c r="BE192" s="125"/>
      <c r="BF192" s="125"/>
    </row>
    <row r="193" spans="1:58" x14ac:dyDescent="0.35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  <c r="AQ193" s="125"/>
      <c r="AR193" s="125"/>
      <c r="AS193" s="125"/>
      <c r="AT193" s="125"/>
      <c r="AU193" s="125"/>
      <c r="AV193" s="125"/>
      <c r="AW193" s="125"/>
      <c r="AX193" s="125"/>
      <c r="AY193" s="125"/>
      <c r="AZ193" s="125"/>
      <c r="BA193" s="125"/>
      <c r="BB193" s="125"/>
      <c r="BC193" s="125"/>
      <c r="BD193" s="125"/>
      <c r="BE193" s="125"/>
      <c r="BF193" s="125"/>
    </row>
    <row r="194" spans="1:58" x14ac:dyDescent="0.35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125"/>
      <c r="AT194" s="125"/>
      <c r="AU194" s="125"/>
      <c r="AV194" s="125"/>
      <c r="AW194" s="125"/>
      <c r="AX194" s="125"/>
      <c r="AY194" s="125"/>
      <c r="AZ194" s="125"/>
      <c r="BA194" s="125"/>
      <c r="BB194" s="125"/>
      <c r="BC194" s="125"/>
      <c r="BD194" s="125"/>
      <c r="BE194" s="125"/>
      <c r="BF194" s="125"/>
    </row>
    <row r="195" spans="1:58" x14ac:dyDescent="0.3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  <c r="AU195" s="125"/>
      <c r="AV195" s="125"/>
      <c r="AW195" s="125"/>
      <c r="AX195" s="125"/>
      <c r="AY195" s="125"/>
      <c r="AZ195" s="125"/>
      <c r="BA195" s="125"/>
      <c r="BB195" s="125"/>
      <c r="BC195" s="125"/>
      <c r="BD195" s="125"/>
      <c r="BE195" s="125"/>
      <c r="BF195" s="125"/>
    </row>
    <row r="196" spans="1:58" x14ac:dyDescent="0.35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  <c r="AQ196" s="125"/>
      <c r="AR196" s="125"/>
      <c r="AS196" s="125"/>
      <c r="AT196" s="125"/>
      <c r="AU196" s="125"/>
      <c r="AV196" s="125"/>
      <c r="AW196" s="125"/>
      <c r="AX196" s="125"/>
      <c r="AY196" s="125"/>
      <c r="AZ196" s="125"/>
      <c r="BA196" s="125"/>
      <c r="BB196" s="125"/>
      <c r="BC196" s="125"/>
      <c r="BD196" s="125"/>
      <c r="BE196" s="125"/>
      <c r="BF196" s="125"/>
    </row>
    <row r="197" spans="1:58" x14ac:dyDescent="0.35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s="125"/>
      <c r="AV197" s="125"/>
      <c r="AW197" s="125"/>
      <c r="AX197" s="125"/>
      <c r="AY197" s="125"/>
      <c r="AZ197" s="125"/>
      <c r="BA197" s="125"/>
      <c r="BB197" s="125"/>
      <c r="BC197" s="125"/>
      <c r="BD197" s="125"/>
      <c r="BE197" s="125"/>
      <c r="BF197" s="125"/>
    </row>
    <row r="198" spans="1:58" x14ac:dyDescent="0.35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  <c r="AU198" s="125"/>
      <c r="AV198" s="125"/>
      <c r="AW198" s="125"/>
      <c r="AX198" s="125"/>
      <c r="AY198" s="125"/>
      <c r="AZ198" s="125"/>
      <c r="BA198" s="125"/>
      <c r="BB198" s="125"/>
      <c r="BC198" s="125"/>
      <c r="BD198" s="125"/>
      <c r="BE198" s="125"/>
      <c r="BF198" s="125"/>
    </row>
    <row r="199" spans="1:58" x14ac:dyDescent="0.35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</row>
    <row r="200" spans="1:58" x14ac:dyDescent="0.35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/>
      <c r="BA200" s="125"/>
      <c r="BB200" s="125"/>
      <c r="BC200" s="125"/>
      <c r="BD200" s="125"/>
      <c r="BE200" s="125"/>
      <c r="BF200" s="125"/>
    </row>
    <row r="201" spans="1:58" x14ac:dyDescent="0.35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s="125"/>
      <c r="AV201" s="125"/>
      <c r="AW201" s="125"/>
      <c r="AX201" s="125"/>
      <c r="AY201" s="125"/>
      <c r="AZ201" s="125"/>
      <c r="BA201" s="125"/>
      <c r="BB201" s="125"/>
      <c r="BC201" s="125"/>
      <c r="BD201" s="125"/>
      <c r="BE201" s="125"/>
      <c r="BF201" s="125"/>
    </row>
    <row r="202" spans="1:58" x14ac:dyDescent="0.35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  <c r="AT202" s="125"/>
      <c r="AU202" s="125"/>
      <c r="AV202" s="125"/>
      <c r="AW202" s="125"/>
      <c r="AX202" s="125"/>
      <c r="AY202" s="125"/>
      <c r="AZ202" s="125"/>
      <c r="BA202" s="125"/>
      <c r="BB202" s="125"/>
      <c r="BC202" s="125"/>
      <c r="BD202" s="125"/>
      <c r="BE202" s="125"/>
      <c r="BF202" s="125"/>
    </row>
    <row r="203" spans="1:58" x14ac:dyDescent="0.35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  <c r="AT203" s="125"/>
      <c r="AU203" s="125"/>
      <c r="AV203" s="125"/>
      <c r="AW203" s="125"/>
      <c r="AX203" s="125"/>
      <c r="AY203" s="125"/>
      <c r="AZ203" s="125"/>
      <c r="BA203" s="125"/>
      <c r="BB203" s="125"/>
      <c r="BC203" s="125"/>
      <c r="BD203" s="125"/>
      <c r="BE203" s="125"/>
      <c r="BF203" s="125"/>
    </row>
    <row r="204" spans="1:58" x14ac:dyDescent="0.35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5"/>
      <c r="BE204" s="125"/>
      <c r="BF204" s="125"/>
    </row>
    <row r="205" spans="1:58" x14ac:dyDescent="0.3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  <c r="AQ205" s="125"/>
      <c r="AR205" s="125"/>
      <c r="AS205" s="125"/>
      <c r="AT205" s="125"/>
      <c r="AU205" s="125"/>
      <c r="AV205" s="125"/>
      <c r="AW205" s="125"/>
      <c r="AX205" s="125"/>
      <c r="AY205" s="125"/>
      <c r="AZ205" s="125"/>
      <c r="BA205" s="125"/>
      <c r="BB205" s="125"/>
      <c r="BC205" s="125"/>
      <c r="BD205" s="125"/>
      <c r="BE205" s="125"/>
      <c r="BF205" s="125"/>
    </row>
    <row r="206" spans="1:58" x14ac:dyDescent="0.35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  <c r="AM206" s="125"/>
      <c r="AN206" s="125"/>
      <c r="AO206" s="125"/>
      <c r="AP206" s="125"/>
      <c r="AQ206" s="125"/>
      <c r="AR206" s="125"/>
      <c r="AS206" s="125"/>
      <c r="AT206" s="125"/>
      <c r="AU206" s="125"/>
      <c r="AV206" s="125"/>
      <c r="AW206" s="125"/>
      <c r="AX206" s="125"/>
      <c r="AY206" s="125"/>
      <c r="AZ206" s="125"/>
      <c r="BA206" s="125"/>
      <c r="BB206" s="125"/>
      <c r="BC206" s="125"/>
      <c r="BD206" s="125"/>
      <c r="BE206" s="125"/>
      <c r="BF206" s="125"/>
    </row>
    <row r="207" spans="1:58" x14ac:dyDescent="0.35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  <c r="AQ207" s="125"/>
      <c r="AR207" s="125"/>
      <c r="AS207" s="125"/>
      <c r="AT207" s="125"/>
      <c r="AU207" s="125"/>
      <c r="AV207" s="125"/>
      <c r="AW207" s="125"/>
      <c r="AX207" s="125"/>
      <c r="AY207" s="125"/>
      <c r="AZ207" s="125"/>
      <c r="BA207" s="125"/>
      <c r="BB207" s="125"/>
      <c r="BC207" s="125"/>
      <c r="BD207" s="125"/>
      <c r="BE207" s="125"/>
      <c r="BF207" s="125"/>
    </row>
    <row r="208" spans="1:58" x14ac:dyDescent="0.35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  <c r="AT208" s="125"/>
      <c r="AU208" s="125"/>
      <c r="AV208" s="125"/>
      <c r="AW208" s="125"/>
      <c r="AX208" s="125"/>
      <c r="AY208" s="125"/>
      <c r="AZ208" s="125"/>
      <c r="BA208" s="125"/>
      <c r="BB208" s="125"/>
      <c r="BC208" s="125"/>
      <c r="BD208" s="125"/>
      <c r="BE208" s="125"/>
      <c r="BF208" s="125"/>
    </row>
    <row r="209" spans="1:58" x14ac:dyDescent="0.35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  <c r="AQ209" s="125"/>
      <c r="AR209" s="125"/>
      <c r="AS209" s="125"/>
      <c r="AT209" s="125"/>
      <c r="AU209" s="125"/>
      <c r="AV209" s="125"/>
      <c r="AW209" s="125"/>
      <c r="AX209" s="125"/>
      <c r="AY209" s="125"/>
      <c r="AZ209" s="125"/>
      <c r="BA209" s="125"/>
      <c r="BB209" s="125"/>
      <c r="BC209" s="125"/>
      <c r="BD209" s="125"/>
      <c r="BE209" s="125"/>
      <c r="BF209" s="125"/>
    </row>
    <row r="210" spans="1:58" x14ac:dyDescent="0.35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</row>
    <row r="211" spans="1:58" x14ac:dyDescent="0.35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5"/>
      <c r="BC211" s="125"/>
      <c r="BD211" s="125"/>
      <c r="BE211" s="125"/>
      <c r="BF211" s="125"/>
    </row>
    <row r="212" spans="1:58" x14ac:dyDescent="0.35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  <c r="AT212" s="125"/>
      <c r="AU212" s="125"/>
      <c r="AV212" s="125"/>
      <c r="AW212" s="125"/>
      <c r="AX212" s="125"/>
      <c r="AY212" s="125"/>
      <c r="AZ212" s="125"/>
      <c r="BA212" s="125"/>
      <c r="BB212" s="125"/>
      <c r="BC212" s="125"/>
      <c r="BD212" s="125"/>
      <c r="BE212" s="125"/>
      <c r="BF212" s="125"/>
    </row>
    <row r="213" spans="1:58" x14ac:dyDescent="0.35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  <c r="AQ213" s="125"/>
      <c r="AR213" s="125"/>
      <c r="AS213" s="125"/>
      <c r="AT213" s="125"/>
      <c r="AU213" s="125"/>
      <c r="AV213" s="125"/>
      <c r="AW213" s="125"/>
      <c r="AX213" s="125"/>
      <c r="AY213" s="125"/>
      <c r="AZ213" s="125"/>
      <c r="BA213" s="125"/>
      <c r="BB213" s="125"/>
      <c r="BC213" s="125"/>
      <c r="BD213" s="125"/>
      <c r="BE213" s="125"/>
      <c r="BF213" s="125"/>
    </row>
    <row r="214" spans="1:58" x14ac:dyDescent="0.35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  <c r="AQ214" s="125"/>
      <c r="AR214" s="125"/>
      <c r="AS214" s="125"/>
      <c r="AT214" s="125"/>
      <c r="AU214" s="125"/>
      <c r="AV214" s="125"/>
      <c r="AW214" s="125"/>
      <c r="AX214" s="125"/>
      <c r="AY214" s="125"/>
      <c r="AZ214" s="125"/>
      <c r="BA214" s="125"/>
      <c r="BB214" s="125"/>
      <c r="BC214" s="125"/>
      <c r="BD214" s="125"/>
      <c r="BE214" s="125"/>
      <c r="BF214" s="125"/>
    </row>
    <row r="215" spans="1:58" x14ac:dyDescent="0.3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  <c r="AT215" s="125"/>
      <c r="AU215" s="125"/>
      <c r="AV215" s="125"/>
      <c r="AW215" s="125"/>
      <c r="AX215" s="125"/>
      <c r="AY215" s="125"/>
      <c r="AZ215" s="125"/>
      <c r="BA215" s="125"/>
      <c r="BB215" s="125"/>
      <c r="BC215" s="125"/>
      <c r="BD215" s="125"/>
      <c r="BE215" s="125"/>
      <c r="BF215" s="125"/>
    </row>
    <row r="216" spans="1:58" x14ac:dyDescent="0.35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  <c r="AM216" s="125"/>
      <c r="AN216" s="125"/>
      <c r="AO216" s="125"/>
      <c r="AP216" s="125"/>
      <c r="AQ216" s="125"/>
      <c r="AR216" s="125"/>
      <c r="AS216" s="125"/>
      <c r="AT216" s="125"/>
      <c r="AU216" s="125"/>
      <c r="AV216" s="125"/>
      <c r="AW216" s="125"/>
      <c r="AX216" s="125"/>
      <c r="AY216" s="125"/>
      <c r="AZ216" s="125"/>
      <c r="BA216" s="125"/>
      <c r="BB216" s="125"/>
      <c r="BC216" s="125"/>
      <c r="BD216" s="125"/>
      <c r="BE216" s="125"/>
      <c r="BF216" s="125"/>
    </row>
    <row r="217" spans="1:58" x14ac:dyDescent="0.35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  <c r="AM217" s="125"/>
      <c r="AN217" s="125"/>
      <c r="AO217" s="125"/>
      <c r="AP217" s="125"/>
      <c r="AQ217" s="125"/>
      <c r="AR217" s="125"/>
      <c r="AS217" s="125"/>
      <c r="AT217" s="125"/>
      <c r="AU217" s="125"/>
      <c r="AV217" s="125"/>
      <c r="AW217" s="125"/>
      <c r="AX217" s="125"/>
      <c r="AY217" s="125"/>
      <c r="AZ217" s="125"/>
      <c r="BA217" s="125"/>
      <c r="BB217" s="125"/>
      <c r="BC217" s="125"/>
      <c r="BD217" s="125"/>
      <c r="BE217" s="125"/>
      <c r="BF217" s="125"/>
    </row>
    <row r="218" spans="1:58" x14ac:dyDescent="0.35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25"/>
      <c r="AQ218" s="125"/>
      <c r="AR218" s="125"/>
      <c r="AS218" s="125"/>
      <c r="AT218" s="125"/>
      <c r="AU218" s="125"/>
      <c r="AV218" s="125"/>
      <c r="AW218" s="125"/>
      <c r="AX218" s="125"/>
      <c r="AY218" s="125"/>
      <c r="AZ218" s="125"/>
      <c r="BA218" s="125"/>
      <c r="BB218" s="125"/>
      <c r="BC218" s="125"/>
      <c r="BD218" s="125"/>
      <c r="BE218" s="125"/>
      <c r="BF218" s="125"/>
    </row>
    <row r="219" spans="1:58" x14ac:dyDescent="0.35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  <c r="AM219" s="125"/>
      <c r="AN219" s="125"/>
      <c r="AO219" s="125"/>
      <c r="AP219" s="125"/>
      <c r="AQ219" s="125"/>
      <c r="AR219" s="125"/>
      <c r="AS219" s="125"/>
      <c r="AT219" s="125"/>
      <c r="AU219" s="125"/>
      <c r="AV219" s="125"/>
      <c r="AW219" s="125"/>
      <c r="AX219" s="125"/>
      <c r="AY219" s="125"/>
      <c r="AZ219" s="125"/>
      <c r="BA219" s="125"/>
      <c r="BB219" s="125"/>
      <c r="BC219" s="125"/>
      <c r="BD219" s="125"/>
      <c r="BE219" s="125"/>
      <c r="BF219" s="125"/>
    </row>
    <row r="220" spans="1:58" x14ac:dyDescent="0.35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  <c r="AM220" s="125"/>
      <c r="AN220" s="125"/>
      <c r="AO220" s="125"/>
      <c r="AP220" s="125"/>
      <c r="AQ220" s="125"/>
      <c r="AR220" s="125"/>
      <c r="AS220" s="125"/>
      <c r="AT220" s="125"/>
      <c r="AU220" s="125"/>
      <c r="AV220" s="125"/>
      <c r="AW220" s="125"/>
      <c r="AX220" s="125"/>
      <c r="AY220" s="125"/>
      <c r="AZ220" s="125"/>
      <c r="BA220" s="125"/>
      <c r="BB220" s="125"/>
      <c r="BC220" s="125"/>
      <c r="BD220" s="125"/>
      <c r="BE220" s="125"/>
      <c r="BF220" s="125"/>
    </row>
    <row r="221" spans="1:58" x14ac:dyDescent="0.35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  <c r="AM221" s="125"/>
      <c r="AN221" s="125"/>
      <c r="AO221" s="125"/>
      <c r="AP221" s="125"/>
      <c r="AQ221" s="125"/>
      <c r="AR221" s="125"/>
      <c r="AS221" s="125"/>
      <c r="AT221" s="125"/>
      <c r="AU221" s="125"/>
      <c r="AV221" s="125"/>
      <c r="AW221" s="125"/>
      <c r="AX221" s="125"/>
      <c r="AY221" s="125"/>
      <c r="AZ221" s="125"/>
      <c r="BA221" s="125"/>
      <c r="BB221" s="125"/>
      <c r="BC221" s="125"/>
      <c r="BD221" s="125"/>
      <c r="BE221" s="125"/>
      <c r="BF221" s="125"/>
    </row>
    <row r="222" spans="1:58" x14ac:dyDescent="0.35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  <c r="AM222" s="125"/>
      <c r="AN222" s="125"/>
      <c r="AO222" s="125"/>
      <c r="AP222" s="125"/>
      <c r="AQ222" s="125"/>
      <c r="AR222" s="125"/>
      <c r="AS222" s="125"/>
      <c r="AT222" s="125"/>
      <c r="AU222" s="125"/>
      <c r="AV222" s="125"/>
      <c r="AW222" s="125"/>
      <c r="AX222" s="125"/>
      <c r="AY222" s="125"/>
      <c r="AZ222" s="125"/>
      <c r="BA222" s="125"/>
      <c r="BB222" s="125"/>
      <c r="BC222" s="125"/>
      <c r="BD222" s="125"/>
      <c r="BE222" s="125"/>
      <c r="BF222" s="125"/>
    </row>
    <row r="223" spans="1:58" x14ac:dyDescent="0.35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  <c r="AQ223" s="125"/>
      <c r="AR223" s="125"/>
      <c r="AS223" s="125"/>
      <c r="AT223" s="125"/>
      <c r="AU223" s="125"/>
      <c r="AV223" s="125"/>
      <c r="AW223" s="125"/>
      <c r="AX223" s="125"/>
      <c r="AY223" s="125"/>
      <c r="AZ223" s="125"/>
      <c r="BA223" s="125"/>
      <c r="BB223" s="125"/>
      <c r="BC223" s="125"/>
      <c r="BD223" s="125"/>
      <c r="BE223" s="125"/>
      <c r="BF223" s="125"/>
    </row>
    <row r="224" spans="1:58" x14ac:dyDescent="0.35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5"/>
      <c r="AL224" s="125"/>
      <c r="AM224" s="125"/>
      <c r="AN224" s="125"/>
      <c r="AO224" s="125"/>
      <c r="AP224" s="125"/>
      <c r="AQ224" s="125"/>
      <c r="AR224" s="125"/>
      <c r="AS224" s="125"/>
      <c r="AT224" s="125"/>
      <c r="AU224" s="125"/>
      <c r="AV224" s="125"/>
      <c r="AW224" s="125"/>
      <c r="AX224" s="125"/>
      <c r="AY224" s="125"/>
      <c r="AZ224" s="125"/>
      <c r="BA224" s="125"/>
      <c r="BB224" s="125"/>
      <c r="BC224" s="125"/>
      <c r="BD224" s="125"/>
      <c r="BE224" s="125"/>
      <c r="BF224" s="125"/>
    </row>
    <row r="225" spans="1:58" x14ac:dyDescent="0.3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  <c r="AM225" s="125"/>
      <c r="AN225" s="125"/>
      <c r="AO225" s="125"/>
      <c r="AP225" s="125"/>
      <c r="AQ225" s="125"/>
      <c r="AR225" s="125"/>
      <c r="AS225" s="125"/>
      <c r="AT225" s="125"/>
      <c r="AU225" s="125"/>
      <c r="AV225" s="125"/>
      <c r="AW225" s="125"/>
      <c r="AX225" s="125"/>
      <c r="AY225" s="125"/>
      <c r="AZ225" s="125"/>
      <c r="BA225" s="125"/>
      <c r="BB225" s="125"/>
      <c r="BC225" s="125"/>
      <c r="BD225" s="125"/>
      <c r="BE225" s="125"/>
      <c r="BF225" s="125"/>
    </row>
    <row r="226" spans="1:58" x14ac:dyDescent="0.35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  <c r="AM226" s="125"/>
      <c r="AN226" s="125"/>
      <c r="AO226" s="125"/>
      <c r="AP226" s="125"/>
      <c r="AQ226" s="125"/>
      <c r="AR226" s="125"/>
      <c r="AS226" s="125"/>
      <c r="AT226" s="125"/>
      <c r="AU226" s="125"/>
      <c r="AV226" s="125"/>
      <c r="AW226" s="125"/>
      <c r="AX226" s="125"/>
      <c r="AY226" s="125"/>
      <c r="AZ226" s="125"/>
      <c r="BA226" s="125"/>
      <c r="BB226" s="125"/>
      <c r="BC226" s="125"/>
      <c r="BD226" s="125"/>
      <c r="BE226" s="125"/>
      <c r="BF226" s="125"/>
    </row>
    <row r="227" spans="1:58" x14ac:dyDescent="0.35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5"/>
      <c r="AL227" s="125"/>
      <c r="AM227" s="125"/>
      <c r="AN227" s="125"/>
      <c r="AO227" s="125"/>
      <c r="AP227" s="125"/>
      <c r="AQ227" s="125"/>
      <c r="AR227" s="125"/>
      <c r="AS227" s="125"/>
      <c r="AT227" s="125"/>
      <c r="AU227" s="125"/>
      <c r="AV227" s="125"/>
      <c r="AW227" s="125"/>
      <c r="AX227" s="125"/>
      <c r="AY227" s="125"/>
      <c r="AZ227" s="125"/>
      <c r="BA227" s="125"/>
      <c r="BB227" s="125"/>
      <c r="BC227" s="125"/>
      <c r="BD227" s="125"/>
      <c r="BE227" s="125"/>
      <c r="BF227" s="125"/>
    </row>
    <row r="228" spans="1:58" x14ac:dyDescent="0.35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  <c r="AM228" s="125"/>
      <c r="AN228" s="125"/>
      <c r="AO228" s="125"/>
      <c r="AP228" s="125"/>
      <c r="AQ228" s="125"/>
      <c r="AR228" s="125"/>
      <c r="AS228" s="125"/>
      <c r="AT228" s="125"/>
      <c r="AU228" s="125"/>
      <c r="AV228" s="125"/>
      <c r="AW228" s="125"/>
      <c r="AX228" s="125"/>
      <c r="AY228" s="125"/>
      <c r="AZ228" s="125"/>
      <c r="BA228" s="125"/>
      <c r="BB228" s="125"/>
      <c r="BC228" s="125"/>
      <c r="BD228" s="125"/>
      <c r="BE228" s="125"/>
      <c r="BF228" s="125"/>
    </row>
    <row r="229" spans="1:58" x14ac:dyDescent="0.35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5"/>
      <c r="AL229" s="125"/>
      <c r="AM229" s="125"/>
      <c r="AN229" s="125"/>
      <c r="AO229" s="125"/>
      <c r="AP229" s="125"/>
      <c r="AQ229" s="125"/>
      <c r="AR229" s="125"/>
      <c r="AS229" s="125"/>
      <c r="AT229" s="125"/>
      <c r="AU229" s="125"/>
      <c r="AV229" s="125"/>
      <c r="AW229" s="125"/>
      <c r="AX229" s="125"/>
      <c r="AY229" s="125"/>
      <c r="AZ229" s="125"/>
      <c r="BA229" s="125"/>
      <c r="BB229" s="125"/>
      <c r="BC229" s="125"/>
      <c r="BD229" s="125"/>
      <c r="BE229" s="125"/>
      <c r="BF229" s="125"/>
    </row>
    <row r="230" spans="1:58" x14ac:dyDescent="0.35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  <c r="AM230" s="125"/>
      <c r="AN230" s="125"/>
      <c r="AO230" s="125"/>
      <c r="AP230" s="125"/>
      <c r="AQ230" s="125"/>
      <c r="AR230" s="125"/>
      <c r="AS230" s="125"/>
      <c r="AT230" s="125"/>
      <c r="AU230" s="125"/>
      <c r="AV230" s="125"/>
      <c r="AW230" s="125"/>
      <c r="AX230" s="125"/>
      <c r="AY230" s="125"/>
      <c r="AZ230" s="125"/>
      <c r="BA230" s="125"/>
      <c r="BB230" s="125"/>
      <c r="BC230" s="125"/>
      <c r="BD230" s="125"/>
      <c r="BE230" s="125"/>
      <c r="BF230" s="125"/>
    </row>
    <row r="231" spans="1:58" x14ac:dyDescent="0.35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  <c r="AT231" s="125"/>
      <c r="AU231" s="125"/>
      <c r="AV231" s="125"/>
      <c r="AW231" s="125"/>
      <c r="AX231" s="125"/>
      <c r="AY231" s="125"/>
      <c r="AZ231" s="125"/>
      <c r="BA231" s="125"/>
      <c r="BB231" s="125"/>
      <c r="BC231" s="125"/>
      <c r="BD231" s="125"/>
      <c r="BE231" s="125"/>
      <c r="BF231" s="125"/>
    </row>
    <row r="232" spans="1:58" x14ac:dyDescent="0.35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  <c r="AM232" s="125"/>
      <c r="AN232" s="125"/>
      <c r="AO232" s="125"/>
      <c r="AP232" s="125"/>
      <c r="AQ232" s="125"/>
      <c r="AR232" s="125"/>
      <c r="AS232" s="125"/>
      <c r="AT232" s="125"/>
      <c r="AU232" s="125"/>
      <c r="AV232" s="125"/>
      <c r="AW232" s="125"/>
      <c r="AX232" s="125"/>
      <c r="AY232" s="125"/>
      <c r="AZ232" s="125"/>
      <c r="BA232" s="125"/>
      <c r="BB232" s="125"/>
      <c r="BC232" s="125"/>
      <c r="BD232" s="125"/>
      <c r="BE232" s="125"/>
      <c r="BF232" s="125"/>
    </row>
    <row r="233" spans="1:58" x14ac:dyDescent="0.35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  <c r="AM233" s="125"/>
      <c r="AN233" s="125"/>
      <c r="AO233" s="125"/>
      <c r="AP233" s="125"/>
      <c r="AQ233" s="125"/>
      <c r="AR233" s="125"/>
      <c r="AS233" s="125"/>
      <c r="AT233" s="125"/>
      <c r="AU233" s="125"/>
      <c r="AV233" s="125"/>
      <c r="AW233" s="125"/>
      <c r="AX233" s="125"/>
      <c r="AY233" s="125"/>
      <c r="AZ233" s="125"/>
      <c r="BA233" s="125"/>
      <c r="BB233" s="125"/>
      <c r="BC233" s="125"/>
      <c r="BD233" s="125"/>
      <c r="BE233" s="125"/>
      <c r="BF233" s="125"/>
    </row>
    <row r="234" spans="1:58" x14ac:dyDescent="0.35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  <c r="AM234" s="125"/>
      <c r="AN234" s="125"/>
      <c r="AO234" s="125"/>
      <c r="AP234" s="125"/>
      <c r="AQ234" s="125"/>
      <c r="AR234" s="125"/>
      <c r="AS234" s="125"/>
      <c r="AT234" s="125"/>
      <c r="AU234" s="125"/>
      <c r="AV234" s="125"/>
      <c r="AW234" s="125"/>
      <c r="AX234" s="125"/>
      <c r="AY234" s="125"/>
      <c r="AZ234" s="125"/>
      <c r="BA234" s="125"/>
      <c r="BB234" s="125"/>
      <c r="BC234" s="125"/>
      <c r="BD234" s="125"/>
      <c r="BE234" s="125"/>
      <c r="BF234" s="125"/>
    </row>
    <row r="235" spans="1:58" x14ac:dyDescent="0.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  <c r="AQ235" s="125"/>
      <c r="AR235" s="125"/>
      <c r="AS235" s="125"/>
      <c r="AT235" s="125"/>
      <c r="AU235" s="125"/>
      <c r="AV235" s="125"/>
      <c r="AW235" s="125"/>
      <c r="AX235" s="125"/>
      <c r="AY235" s="125"/>
      <c r="AZ235" s="125"/>
      <c r="BA235" s="125"/>
      <c r="BB235" s="125"/>
      <c r="BC235" s="125"/>
      <c r="BD235" s="125"/>
      <c r="BE235" s="125"/>
      <c r="BF235" s="125"/>
    </row>
    <row r="236" spans="1:58" x14ac:dyDescent="0.35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  <c r="AM236" s="125"/>
      <c r="AN236" s="125"/>
      <c r="AO236" s="125"/>
      <c r="AP236" s="125"/>
      <c r="AQ236" s="125"/>
      <c r="AR236" s="125"/>
      <c r="AS236" s="125"/>
      <c r="AT236" s="125"/>
      <c r="AU236" s="125"/>
      <c r="AV236" s="125"/>
      <c r="AW236" s="125"/>
      <c r="AX236" s="125"/>
      <c r="AY236" s="125"/>
      <c r="AZ236" s="125"/>
      <c r="BA236" s="125"/>
      <c r="BB236" s="125"/>
      <c r="BC236" s="125"/>
      <c r="BD236" s="125"/>
      <c r="BE236" s="125"/>
      <c r="BF236" s="125"/>
    </row>
    <row r="237" spans="1:58" x14ac:dyDescent="0.35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  <c r="AM237" s="125"/>
      <c r="AN237" s="125"/>
      <c r="AO237" s="125"/>
      <c r="AP237" s="125"/>
      <c r="AQ237" s="125"/>
      <c r="AR237" s="125"/>
      <c r="AS237" s="125"/>
      <c r="AT237" s="125"/>
      <c r="AU237" s="125"/>
      <c r="AV237" s="125"/>
      <c r="AW237" s="125"/>
      <c r="AX237" s="125"/>
      <c r="AY237" s="125"/>
      <c r="AZ237" s="125"/>
      <c r="BA237" s="125"/>
      <c r="BB237" s="125"/>
      <c r="BC237" s="125"/>
      <c r="BD237" s="125"/>
      <c r="BE237" s="125"/>
      <c r="BF237" s="125"/>
    </row>
    <row r="238" spans="1:58" x14ac:dyDescent="0.35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  <c r="AM238" s="125"/>
      <c r="AN238" s="125"/>
      <c r="AO238" s="125"/>
      <c r="AP238" s="125"/>
      <c r="AQ238" s="125"/>
      <c r="AR238" s="125"/>
      <c r="AS238" s="125"/>
      <c r="AT238" s="125"/>
      <c r="AU238" s="125"/>
      <c r="AV238" s="125"/>
      <c r="AW238" s="125"/>
      <c r="AX238" s="125"/>
      <c r="AY238" s="125"/>
      <c r="AZ238" s="125"/>
      <c r="BA238" s="125"/>
      <c r="BB238" s="125"/>
      <c r="BC238" s="125"/>
      <c r="BD238" s="125"/>
      <c r="BE238" s="125"/>
      <c r="BF238" s="125"/>
    </row>
    <row r="239" spans="1:58" x14ac:dyDescent="0.35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  <c r="AM239" s="125"/>
      <c r="AN239" s="125"/>
      <c r="AO239" s="125"/>
      <c r="AP239" s="125"/>
      <c r="AQ239" s="125"/>
      <c r="AR239" s="125"/>
      <c r="AS239" s="125"/>
      <c r="AT239" s="125"/>
      <c r="AU239" s="125"/>
      <c r="AV239" s="125"/>
      <c r="AW239" s="125"/>
      <c r="AX239" s="125"/>
      <c r="AY239" s="125"/>
      <c r="AZ239" s="125"/>
      <c r="BA239" s="125"/>
      <c r="BB239" s="125"/>
      <c r="BC239" s="125"/>
      <c r="BD239" s="125"/>
      <c r="BE239" s="125"/>
      <c r="BF239" s="125"/>
    </row>
    <row r="240" spans="1:58" x14ac:dyDescent="0.35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  <c r="AM240" s="125"/>
      <c r="AN240" s="125"/>
      <c r="AO240" s="125"/>
      <c r="AP240" s="125"/>
      <c r="AQ240" s="125"/>
      <c r="AR240" s="125"/>
      <c r="AS240" s="125"/>
      <c r="AT240" s="125"/>
      <c r="AU240" s="125"/>
      <c r="AV240" s="125"/>
      <c r="AW240" s="125"/>
      <c r="AX240" s="125"/>
      <c r="AY240" s="125"/>
      <c r="AZ240" s="125"/>
      <c r="BA240" s="125"/>
      <c r="BB240" s="125"/>
      <c r="BC240" s="125"/>
      <c r="BD240" s="125"/>
      <c r="BE240" s="125"/>
      <c r="BF240" s="125"/>
    </row>
    <row r="241" spans="1:58" x14ac:dyDescent="0.35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  <c r="AM241" s="125"/>
      <c r="AN241" s="125"/>
      <c r="AO241" s="125"/>
      <c r="AP241" s="125"/>
      <c r="AQ241" s="125"/>
      <c r="AR241" s="125"/>
      <c r="AS241" s="125"/>
      <c r="AT241" s="125"/>
      <c r="AU241" s="125"/>
      <c r="AV241" s="125"/>
      <c r="AW241" s="125"/>
      <c r="AX241" s="125"/>
      <c r="AY241" s="125"/>
      <c r="AZ241" s="125"/>
      <c r="BA241" s="125"/>
      <c r="BB241" s="125"/>
      <c r="BC241" s="125"/>
      <c r="BD241" s="125"/>
      <c r="BE241" s="125"/>
      <c r="BF241" s="125"/>
    </row>
    <row r="242" spans="1:58" x14ac:dyDescent="0.35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  <c r="AM242" s="125"/>
      <c r="AN242" s="125"/>
      <c r="AO242" s="125"/>
      <c r="AP242" s="125"/>
      <c r="AQ242" s="125"/>
      <c r="AR242" s="125"/>
      <c r="AS242" s="125"/>
      <c r="AT242" s="125"/>
      <c r="AU242" s="125"/>
      <c r="AV242" s="125"/>
      <c r="AW242" s="125"/>
      <c r="AX242" s="125"/>
      <c r="AY242" s="125"/>
      <c r="AZ242" s="125"/>
      <c r="BA242" s="125"/>
      <c r="BB242" s="125"/>
      <c r="BC242" s="125"/>
      <c r="BD242" s="125"/>
      <c r="BE242" s="125"/>
      <c r="BF242" s="125"/>
    </row>
    <row r="243" spans="1:58" x14ac:dyDescent="0.35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  <c r="AM243" s="125"/>
      <c r="AN243" s="125"/>
      <c r="AO243" s="125"/>
      <c r="AP243" s="125"/>
      <c r="AQ243" s="125"/>
      <c r="AR243" s="125"/>
      <c r="AS243" s="125"/>
      <c r="AT243" s="125"/>
      <c r="AU243" s="125"/>
      <c r="AV243" s="125"/>
      <c r="AW243" s="125"/>
      <c r="AX243" s="125"/>
      <c r="AY243" s="125"/>
      <c r="AZ243" s="125"/>
      <c r="BA243" s="125"/>
      <c r="BB243" s="125"/>
      <c r="BC243" s="125"/>
      <c r="BD243" s="125"/>
      <c r="BE243" s="125"/>
      <c r="BF243" s="125"/>
    </row>
    <row r="244" spans="1:58" x14ac:dyDescent="0.35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  <c r="AM244" s="125"/>
      <c r="AN244" s="125"/>
      <c r="AO244" s="125"/>
      <c r="AP244" s="125"/>
      <c r="AQ244" s="125"/>
      <c r="AR244" s="125"/>
      <c r="AS244" s="125"/>
      <c r="AT244" s="125"/>
      <c r="AU244" s="125"/>
      <c r="AV244" s="125"/>
      <c r="AW244" s="125"/>
      <c r="AX244" s="125"/>
      <c r="AY244" s="125"/>
      <c r="AZ244" s="125"/>
      <c r="BA244" s="125"/>
      <c r="BB244" s="125"/>
      <c r="BC244" s="125"/>
      <c r="BD244" s="125"/>
      <c r="BE244" s="125"/>
      <c r="BF244" s="125"/>
    </row>
    <row r="245" spans="1:58" x14ac:dyDescent="0.3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  <c r="AM245" s="125"/>
      <c r="AN245" s="125"/>
      <c r="AO245" s="125"/>
      <c r="AP245" s="125"/>
      <c r="AQ245" s="125"/>
      <c r="AR245" s="125"/>
      <c r="AS245" s="125"/>
      <c r="AT245" s="125"/>
      <c r="AU245" s="125"/>
      <c r="AV245" s="125"/>
      <c r="AW245" s="125"/>
      <c r="AX245" s="125"/>
      <c r="AY245" s="125"/>
      <c r="AZ245" s="125"/>
      <c r="BA245" s="125"/>
      <c r="BB245" s="125"/>
      <c r="BC245" s="125"/>
      <c r="BD245" s="125"/>
      <c r="BE245" s="125"/>
      <c r="BF245" s="125"/>
    </row>
    <row r="246" spans="1:58" x14ac:dyDescent="0.35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  <c r="AM246" s="125"/>
      <c r="AN246" s="125"/>
      <c r="AO246" s="125"/>
      <c r="AP246" s="125"/>
      <c r="AQ246" s="125"/>
      <c r="AR246" s="125"/>
      <c r="AS246" s="125"/>
      <c r="AT246" s="125"/>
      <c r="AU246" s="125"/>
      <c r="AV246" s="125"/>
      <c r="AW246" s="125"/>
      <c r="AX246" s="125"/>
      <c r="AY246" s="125"/>
      <c r="AZ246" s="125"/>
      <c r="BA246" s="125"/>
      <c r="BB246" s="125"/>
      <c r="BC246" s="125"/>
      <c r="BD246" s="125"/>
      <c r="BE246" s="125"/>
      <c r="BF246" s="125"/>
    </row>
    <row r="247" spans="1:58" x14ac:dyDescent="0.35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  <c r="AM247" s="125"/>
      <c r="AN247" s="125"/>
      <c r="AO247" s="125"/>
      <c r="AP247" s="125"/>
      <c r="AQ247" s="125"/>
      <c r="AR247" s="125"/>
      <c r="AS247" s="125"/>
      <c r="AT247" s="125"/>
      <c r="AU247" s="125"/>
      <c r="AV247" s="125"/>
      <c r="AW247" s="125"/>
      <c r="AX247" s="125"/>
      <c r="AY247" s="125"/>
      <c r="AZ247" s="125"/>
      <c r="BA247" s="125"/>
      <c r="BB247" s="125"/>
      <c r="BC247" s="125"/>
      <c r="BD247" s="125"/>
      <c r="BE247" s="125"/>
      <c r="BF247" s="125"/>
    </row>
    <row r="248" spans="1:58" x14ac:dyDescent="0.35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  <c r="AM248" s="125"/>
      <c r="AN248" s="125"/>
      <c r="AO248" s="125"/>
      <c r="AP248" s="125"/>
      <c r="AQ248" s="125"/>
      <c r="AR248" s="125"/>
      <c r="AS248" s="125"/>
      <c r="AT248" s="125"/>
      <c r="AU248" s="125"/>
      <c r="AV248" s="125"/>
      <c r="AW248" s="125"/>
      <c r="AX248" s="125"/>
      <c r="AY248" s="125"/>
      <c r="AZ248" s="125"/>
      <c r="BA248" s="125"/>
      <c r="BB248" s="125"/>
      <c r="BC248" s="125"/>
      <c r="BD248" s="125"/>
      <c r="BE248" s="125"/>
      <c r="BF248" s="125"/>
    </row>
    <row r="249" spans="1:58" x14ac:dyDescent="0.35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  <c r="AM249" s="125"/>
      <c r="AN249" s="125"/>
      <c r="AO249" s="125"/>
      <c r="AP249" s="125"/>
      <c r="AQ249" s="125"/>
      <c r="AR249" s="125"/>
      <c r="AS249" s="125"/>
      <c r="AT249" s="125"/>
      <c r="AU249" s="125"/>
      <c r="AV249" s="125"/>
      <c r="AW249" s="125"/>
      <c r="AX249" s="125"/>
      <c r="AY249" s="125"/>
      <c r="AZ249" s="125"/>
      <c r="BA249" s="125"/>
      <c r="BB249" s="125"/>
      <c r="BC249" s="125"/>
      <c r="BD249" s="125"/>
      <c r="BE249" s="125"/>
      <c r="BF249" s="125"/>
    </row>
    <row r="250" spans="1:58" x14ac:dyDescent="0.35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  <c r="AM250" s="125"/>
      <c r="AN250" s="125"/>
      <c r="AO250" s="125"/>
      <c r="AP250" s="125"/>
      <c r="AQ250" s="125"/>
      <c r="AR250" s="125"/>
      <c r="AS250" s="125"/>
      <c r="AT250" s="125"/>
      <c r="AU250" s="125"/>
      <c r="AV250" s="125"/>
      <c r="AW250" s="125"/>
      <c r="AX250" s="125"/>
      <c r="AY250" s="125"/>
      <c r="AZ250" s="125"/>
      <c r="BA250" s="125"/>
      <c r="BB250" s="125"/>
      <c r="BC250" s="125"/>
      <c r="BD250" s="125"/>
      <c r="BE250" s="125"/>
      <c r="BF250" s="125"/>
    </row>
    <row r="251" spans="1:58" x14ac:dyDescent="0.35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  <c r="AM251" s="125"/>
      <c r="AN251" s="125"/>
      <c r="AO251" s="125"/>
      <c r="AP251" s="125"/>
      <c r="AQ251" s="125"/>
      <c r="AR251" s="125"/>
      <c r="AS251" s="125"/>
      <c r="AT251" s="125"/>
      <c r="AU251" s="125"/>
      <c r="AV251" s="125"/>
      <c r="AW251" s="125"/>
      <c r="AX251" s="125"/>
      <c r="AY251" s="125"/>
      <c r="AZ251" s="125"/>
      <c r="BA251" s="125"/>
      <c r="BB251" s="125"/>
      <c r="BC251" s="125"/>
      <c r="BD251" s="125"/>
      <c r="BE251" s="125"/>
      <c r="BF251" s="125"/>
    </row>
    <row r="252" spans="1:58" x14ac:dyDescent="0.35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  <c r="AM252" s="125"/>
      <c r="AN252" s="125"/>
      <c r="AO252" s="125"/>
      <c r="AP252" s="125"/>
      <c r="AQ252" s="125"/>
      <c r="AR252" s="125"/>
      <c r="AS252" s="125"/>
      <c r="AT252" s="125"/>
      <c r="AU252" s="125"/>
      <c r="AV252" s="125"/>
      <c r="AW252" s="125"/>
      <c r="AX252" s="125"/>
      <c r="AY252" s="125"/>
      <c r="AZ252" s="125"/>
      <c r="BA252" s="125"/>
      <c r="BB252" s="125"/>
      <c r="BC252" s="125"/>
      <c r="BD252" s="125"/>
      <c r="BE252" s="125"/>
      <c r="BF252" s="125"/>
    </row>
    <row r="253" spans="1:58" x14ac:dyDescent="0.35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  <c r="AM253" s="125"/>
      <c r="AN253" s="125"/>
      <c r="AO253" s="125"/>
      <c r="AP253" s="125"/>
      <c r="AQ253" s="125"/>
      <c r="AR253" s="125"/>
      <c r="AS253" s="125"/>
      <c r="AT253" s="125"/>
      <c r="AU253" s="125"/>
      <c r="AV253" s="125"/>
      <c r="AW253" s="125"/>
      <c r="AX253" s="125"/>
      <c r="AY253" s="125"/>
      <c r="AZ253" s="125"/>
      <c r="BA253" s="125"/>
      <c r="BB253" s="125"/>
      <c r="BC253" s="125"/>
      <c r="BD253" s="125"/>
      <c r="BE253" s="125"/>
      <c r="BF253" s="125"/>
    </row>
    <row r="254" spans="1:58" x14ac:dyDescent="0.35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  <c r="AM254" s="125"/>
      <c r="AN254" s="125"/>
      <c r="AO254" s="125"/>
      <c r="AP254" s="125"/>
      <c r="AQ254" s="125"/>
      <c r="AR254" s="125"/>
      <c r="AS254" s="125"/>
      <c r="AT254" s="125"/>
      <c r="AU254" s="125"/>
      <c r="AV254" s="125"/>
      <c r="AW254" s="125"/>
      <c r="AX254" s="125"/>
      <c r="AY254" s="125"/>
      <c r="AZ254" s="125"/>
      <c r="BA254" s="125"/>
      <c r="BB254" s="125"/>
      <c r="BC254" s="125"/>
      <c r="BD254" s="125"/>
      <c r="BE254" s="125"/>
      <c r="BF254" s="125"/>
    </row>
    <row r="255" spans="1:58" x14ac:dyDescent="0.3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  <c r="AM255" s="125"/>
      <c r="AN255" s="125"/>
      <c r="AO255" s="125"/>
      <c r="AP255" s="125"/>
      <c r="AQ255" s="125"/>
      <c r="AR255" s="125"/>
      <c r="AS255" s="125"/>
      <c r="AT255" s="125"/>
      <c r="AU255" s="125"/>
      <c r="AV255" s="125"/>
      <c r="AW255" s="125"/>
      <c r="AX255" s="125"/>
      <c r="AY255" s="125"/>
      <c r="AZ255" s="125"/>
      <c r="BA255" s="125"/>
      <c r="BB255" s="125"/>
      <c r="BC255" s="125"/>
      <c r="BD255" s="125"/>
      <c r="BE255" s="125"/>
      <c r="BF255" s="125"/>
    </row>
    <row r="256" spans="1:58" x14ac:dyDescent="0.35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  <c r="AM256" s="125"/>
      <c r="AN256" s="125"/>
      <c r="AO256" s="125"/>
      <c r="AP256" s="125"/>
      <c r="AQ256" s="125"/>
      <c r="AR256" s="125"/>
      <c r="AS256" s="125"/>
      <c r="AT256" s="125"/>
      <c r="AU256" s="125"/>
      <c r="AV256" s="125"/>
      <c r="AW256" s="125"/>
      <c r="AX256" s="125"/>
      <c r="AY256" s="125"/>
      <c r="AZ256" s="125"/>
      <c r="BA256" s="125"/>
      <c r="BB256" s="125"/>
      <c r="BC256" s="125"/>
      <c r="BD256" s="125"/>
      <c r="BE256" s="125"/>
      <c r="BF256" s="125"/>
    </row>
    <row r="257" spans="1:58" x14ac:dyDescent="0.35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  <c r="AM257" s="125"/>
      <c r="AN257" s="125"/>
      <c r="AO257" s="125"/>
      <c r="AP257" s="125"/>
      <c r="AQ257" s="125"/>
      <c r="AR257" s="125"/>
      <c r="AS257" s="125"/>
      <c r="AT257" s="125"/>
      <c r="AU257" s="125"/>
      <c r="AV257" s="125"/>
      <c r="AW257" s="125"/>
      <c r="AX257" s="125"/>
      <c r="AY257" s="125"/>
      <c r="AZ257" s="125"/>
      <c r="BA257" s="125"/>
      <c r="BB257" s="125"/>
      <c r="BC257" s="125"/>
      <c r="BD257" s="125"/>
      <c r="BE257" s="125"/>
      <c r="BF257" s="125"/>
    </row>
    <row r="258" spans="1:58" x14ac:dyDescent="0.35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  <c r="AQ258" s="125"/>
      <c r="AR258" s="125"/>
      <c r="AS258" s="125"/>
      <c r="AT258" s="125"/>
      <c r="AU258" s="125"/>
      <c r="AV258" s="125"/>
      <c r="AW258" s="125"/>
      <c r="AX258" s="125"/>
      <c r="AY258" s="125"/>
      <c r="AZ258" s="125"/>
      <c r="BA258" s="125"/>
      <c r="BB258" s="125"/>
      <c r="BC258" s="125"/>
      <c r="BD258" s="125"/>
      <c r="BE258" s="125"/>
      <c r="BF258" s="125"/>
    </row>
    <row r="259" spans="1:58" x14ac:dyDescent="0.35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  <c r="AQ259" s="125"/>
      <c r="AR259" s="125"/>
      <c r="AS259" s="125"/>
      <c r="AT259" s="125"/>
      <c r="AU259" s="125"/>
      <c r="AV259" s="125"/>
      <c r="AW259" s="125"/>
      <c r="AX259" s="125"/>
      <c r="AY259" s="125"/>
      <c r="AZ259" s="125"/>
      <c r="BA259" s="125"/>
      <c r="BB259" s="125"/>
      <c r="BC259" s="125"/>
      <c r="BD259" s="125"/>
      <c r="BE259" s="125"/>
      <c r="BF259" s="125"/>
    </row>
    <row r="260" spans="1:58" x14ac:dyDescent="0.35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  <c r="AQ260" s="125"/>
      <c r="AR260" s="125"/>
      <c r="AS260" s="125"/>
      <c r="AT260" s="125"/>
      <c r="AU260" s="125"/>
      <c r="AV260" s="125"/>
      <c r="AW260" s="125"/>
      <c r="AX260" s="125"/>
      <c r="AY260" s="125"/>
      <c r="AZ260" s="125"/>
      <c r="BA260" s="125"/>
      <c r="BB260" s="125"/>
      <c r="BC260" s="125"/>
      <c r="BD260" s="125"/>
      <c r="BE260" s="125"/>
      <c r="BF260" s="125"/>
    </row>
    <row r="261" spans="1:58" x14ac:dyDescent="0.35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</row>
    <row r="262" spans="1:58" x14ac:dyDescent="0.35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  <c r="BF262" s="125"/>
    </row>
    <row r="263" spans="1:58" x14ac:dyDescent="0.35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</row>
    <row r="264" spans="1:58" x14ac:dyDescent="0.35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/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/>
      <c r="BC264" s="125"/>
      <c r="BD264" s="125"/>
      <c r="BE264" s="125"/>
      <c r="BF264" s="125"/>
    </row>
    <row r="265" spans="1:58" x14ac:dyDescent="0.3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</row>
    <row r="266" spans="1:58" x14ac:dyDescent="0.35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125"/>
    </row>
    <row r="267" spans="1:58" x14ac:dyDescent="0.35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/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</row>
    <row r="268" spans="1:58" x14ac:dyDescent="0.35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5"/>
      <c r="BC268" s="125"/>
      <c r="BD268" s="125"/>
      <c r="BE268" s="125"/>
      <c r="BF268" s="125"/>
    </row>
    <row r="269" spans="1:58" x14ac:dyDescent="0.35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</row>
    <row r="270" spans="1:58" x14ac:dyDescent="0.35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  <c r="AM270" s="125"/>
      <c r="AN270" s="125"/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5"/>
      <c r="AZ270" s="125"/>
      <c r="BA270" s="125"/>
      <c r="BB270" s="125"/>
      <c r="BC270" s="125"/>
      <c r="BD270" s="125"/>
      <c r="BE270" s="125"/>
      <c r="BF270" s="125"/>
    </row>
    <row r="271" spans="1:58" x14ac:dyDescent="0.35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  <c r="AM271" s="125"/>
      <c r="AN271" s="125"/>
      <c r="AO271" s="125"/>
      <c r="AP271" s="125"/>
      <c r="AQ271" s="125"/>
      <c r="AR271" s="125"/>
      <c r="AS271" s="125"/>
      <c r="AT271" s="125"/>
      <c r="AU271" s="125"/>
      <c r="AV271" s="125"/>
      <c r="AW271" s="125"/>
      <c r="AX271" s="125"/>
      <c r="AY271" s="125"/>
      <c r="AZ271" s="125"/>
      <c r="BA271" s="125"/>
      <c r="BB271" s="125"/>
      <c r="BC271" s="125"/>
      <c r="BD271" s="125"/>
      <c r="BE271" s="125"/>
      <c r="BF271" s="125"/>
    </row>
    <row r="272" spans="1:58" x14ac:dyDescent="0.35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  <c r="AQ272" s="125"/>
      <c r="AR272" s="125"/>
      <c r="AS272" s="125"/>
      <c r="AT272" s="125"/>
      <c r="AU272" s="125"/>
      <c r="AV272" s="125"/>
      <c r="AW272" s="125"/>
      <c r="AX272" s="125"/>
      <c r="AY272" s="125"/>
      <c r="AZ272" s="125"/>
      <c r="BA272" s="125"/>
      <c r="BB272" s="125"/>
      <c r="BC272" s="125"/>
      <c r="BD272" s="125"/>
      <c r="BE272" s="125"/>
      <c r="BF272" s="125"/>
    </row>
    <row r="273" spans="1:58" x14ac:dyDescent="0.35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  <c r="AM273" s="125"/>
      <c r="AN273" s="125"/>
      <c r="AO273" s="125"/>
      <c r="AP273" s="125"/>
      <c r="AQ273" s="125"/>
      <c r="AR273" s="125"/>
      <c r="AS273" s="125"/>
      <c r="AT273" s="125"/>
      <c r="AU273" s="125"/>
      <c r="AV273" s="125"/>
      <c r="AW273" s="125"/>
      <c r="AX273" s="125"/>
      <c r="AY273" s="125"/>
      <c r="AZ273" s="125"/>
      <c r="BA273" s="125"/>
      <c r="BB273" s="125"/>
      <c r="BC273" s="125"/>
      <c r="BD273" s="125"/>
      <c r="BE273" s="125"/>
      <c r="BF273" s="125"/>
    </row>
    <row r="274" spans="1:58" x14ac:dyDescent="0.35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  <c r="AM274" s="125"/>
      <c r="AN274" s="125"/>
      <c r="AO274" s="125"/>
      <c r="AP274" s="125"/>
      <c r="AQ274" s="125"/>
      <c r="AR274" s="125"/>
      <c r="AS274" s="125"/>
      <c r="AT274" s="125"/>
      <c r="AU274" s="125"/>
      <c r="AV274" s="125"/>
      <c r="AW274" s="125"/>
      <c r="AX274" s="125"/>
      <c r="AY274" s="125"/>
      <c r="AZ274" s="125"/>
      <c r="BA274" s="125"/>
      <c r="BB274" s="125"/>
      <c r="BC274" s="125"/>
      <c r="BD274" s="125"/>
      <c r="BE274" s="125"/>
      <c r="BF274" s="125"/>
    </row>
    <row r="275" spans="1:58" x14ac:dyDescent="0.3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  <c r="AM275" s="125"/>
      <c r="AN275" s="125"/>
      <c r="AO275" s="125"/>
      <c r="AP275" s="125"/>
      <c r="AQ275" s="125"/>
      <c r="AR275" s="125"/>
      <c r="AS275" s="125"/>
      <c r="AT275" s="125"/>
      <c r="AU275" s="125"/>
      <c r="AV275" s="125"/>
      <c r="AW275" s="125"/>
      <c r="AX275" s="125"/>
      <c r="AY275" s="125"/>
      <c r="AZ275" s="125"/>
      <c r="BA275" s="125"/>
      <c r="BB275" s="125"/>
      <c r="BC275" s="125"/>
      <c r="BD275" s="125"/>
      <c r="BE275" s="125"/>
      <c r="BF275" s="125"/>
    </row>
    <row r="276" spans="1:58" x14ac:dyDescent="0.35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  <c r="AQ276" s="125"/>
      <c r="AR276" s="125"/>
      <c r="AS276" s="125"/>
      <c r="AT276" s="125"/>
      <c r="AU276" s="125"/>
      <c r="AV276" s="125"/>
      <c r="AW276" s="125"/>
      <c r="AX276" s="125"/>
      <c r="AY276" s="125"/>
      <c r="AZ276" s="125"/>
      <c r="BA276" s="125"/>
      <c r="BB276" s="125"/>
      <c r="BC276" s="125"/>
      <c r="BD276" s="125"/>
      <c r="BE276" s="125"/>
      <c r="BF276" s="125"/>
    </row>
    <row r="277" spans="1:58" x14ac:dyDescent="0.35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/>
      <c r="AN277" s="125"/>
      <c r="AO277" s="125"/>
      <c r="AP277" s="125"/>
      <c r="AQ277" s="125"/>
      <c r="AR277" s="125"/>
      <c r="AS277" s="125"/>
      <c r="AT277" s="125"/>
      <c r="AU277" s="125"/>
      <c r="AV277" s="125"/>
      <c r="AW277" s="125"/>
      <c r="AX277" s="125"/>
      <c r="AY277" s="125"/>
      <c r="AZ277" s="125"/>
      <c r="BA277" s="125"/>
      <c r="BB277" s="125"/>
      <c r="BC277" s="125"/>
      <c r="BD277" s="125"/>
      <c r="BE277" s="125"/>
      <c r="BF277" s="125"/>
    </row>
    <row r="278" spans="1:58" x14ac:dyDescent="0.35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</row>
    <row r="279" spans="1:58" x14ac:dyDescent="0.35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</row>
    <row r="280" spans="1:58" x14ac:dyDescent="0.35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/>
      <c r="BD280" s="125"/>
      <c r="BE280" s="125"/>
      <c r="BF280" s="125"/>
    </row>
    <row r="281" spans="1:58" x14ac:dyDescent="0.35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  <c r="AQ281" s="125"/>
      <c r="AR281" s="125"/>
      <c r="AS281" s="125"/>
      <c r="AT281" s="125"/>
      <c r="AU281" s="125"/>
      <c r="AV281" s="125"/>
      <c r="AW281" s="125"/>
      <c r="AX281" s="125"/>
      <c r="AY281" s="125"/>
      <c r="AZ281" s="125"/>
      <c r="BA281" s="125"/>
      <c r="BB281" s="125"/>
      <c r="BC281" s="125"/>
      <c r="BD281" s="125"/>
      <c r="BE281" s="125"/>
      <c r="BF281" s="125"/>
    </row>
    <row r="282" spans="1:58" x14ac:dyDescent="0.35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  <c r="AM282" s="125"/>
      <c r="AN282" s="125"/>
      <c r="AO282" s="125"/>
      <c r="AP282" s="125"/>
      <c r="AQ282" s="125"/>
      <c r="AR282" s="125"/>
      <c r="AS282" s="125"/>
      <c r="AT282" s="125"/>
      <c r="AU282" s="125"/>
      <c r="AV282" s="125"/>
      <c r="AW282" s="125"/>
      <c r="AX282" s="125"/>
      <c r="AY282" s="125"/>
      <c r="AZ282" s="125"/>
      <c r="BA282" s="125"/>
      <c r="BB282" s="125"/>
      <c r="BC282" s="125"/>
      <c r="BD282" s="125"/>
      <c r="BE282" s="125"/>
      <c r="BF282" s="125"/>
    </row>
    <row r="283" spans="1:58" x14ac:dyDescent="0.35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  <c r="AM283" s="125"/>
      <c r="AN283" s="125"/>
      <c r="AO283" s="125"/>
      <c r="AP283" s="125"/>
      <c r="AQ283" s="125"/>
      <c r="AR283" s="125"/>
      <c r="AS283" s="125"/>
      <c r="AT283" s="125"/>
      <c r="AU283" s="125"/>
      <c r="AV283" s="125"/>
      <c r="AW283" s="125"/>
      <c r="AX283" s="125"/>
      <c r="AY283" s="125"/>
      <c r="AZ283" s="125"/>
      <c r="BA283" s="125"/>
      <c r="BB283" s="125"/>
      <c r="BC283" s="125"/>
      <c r="BD283" s="125"/>
      <c r="BE283" s="125"/>
      <c r="BF283" s="125"/>
    </row>
    <row r="284" spans="1:58" x14ac:dyDescent="0.35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  <c r="AM284" s="125"/>
      <c r="AN284" s="125"/>
      <c r="AO284" s="125"/>
      <c r="AP284" s="125"/>
      <c r="AQ284" s="125"/>
      <c r="AR284" s="125"/>
      <c r="AS284" s="125"/>
      <c r="AT284" s="125"/>
      <c r="AU284" s="125"/>
      <c r="AV284" s="125"/>
      <c r="AW284" s="125"/>
      <c r="AX284" s="125"/>
      <c r="AY284" s="125"/>
      <c r="AZ284" s="125"/>
      <c r="BA284" s="125"/>
      <c r="BB284" s="125"/>
      <c r="BC284" s="125"/>
      <c r="BD284" s="125"/>
      <c r="BE284" s="125"/>
      <c r="BF284" s="125"/>
    </row>
    <row r="285" spans="1:58" x14ac:dyDescent="0.3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  <c r="AQ285" s="125"/>
      <c r="AR285" s="125"/>
      <c r="AS285" s="125"/>
      <c r="AT285" s="125"/>
      <c r="AU285" s="125"/>
      <c r="AV285" s="125"/>
      <c r="AW285" s="125"/>
      <c r="AX285" s="125"/>
      <c r="AY285" s="125"/>
      <c r="AZ285" s="125"/>
      <c r="BA285" s="125"/>
      <c r="BB285" s="125"/>
      <c r="BC285" s="125"/>
      <c r="BD285" s="125"/>
      <c r="BE285" s="125"/>
      <c r="BF285" s="125"/>
    </row>
    <row r="286" spans="1:58" x14ac:dyDescent="0.35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</row>
    <row r="287" spans="1:58" x14ac:dyDescent="0.35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</row>
    <row r="288" spans="1:58" x14ac:dyDescent="0.35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</row>
    <row r="289" spans="1:58" x14ac:dyDescent="0.35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/>
      <c r="BC289" s="125"/>
      <c r="BD289" s="125"/>
      <c r="BE289" s="125"/>
      <c r="BF289" s="125"/>
    </row>
    <row r="290" spans="1:58" x14ac:dyDescent="0.35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  <c r="AQ290" s="125"/>
      <c r="AR290" s="125"/>
      <c r="AS290" s="125"/>
      <c r="AT290" s="125"/>
      <c r="AU290" s="125"/>
      <c r="AV290" s="125"/>
      <c r="AW290" s="125"/>
      <c r="AX290" s="125"/>
      <c r="AY290" s="125"/>
      <c r="AZ290" s="125"/>
      <c r="BA290" s="125"/>
      <c r="BB290" s="125"/>
      <c r="BC290" s="125"/>
      <c r="BD290" s="125"/>
      <c r="BE290" s="125"/>
      <c r="BF290" s="125"/>
    </row>
    <row r="291" spans="1:58" x14ac:dyDescent="0.35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  <c r="AM291" s="125"/>
      <c r="AN291" s="125"/>
      <c r="AO291" s="125"/>
      <c r="AP291" s="125"/>
      <c r="AQ291" s="125"/>
      <c r="AR291" s="125"/>
      <c r="AS291" s="125"/>
      <c r="AT291" s="125"/>
      <c r="AU291" s="125"/>
      <c r="AV291" s="125"/>
      <c r="AW291" s="125"/>
      <c r="AX291" s="125"/>
      <c r="AY291" s="125"/>
      <c r="AZ291" s="125"/>
      <c r="BA291" s="125"/>
      <c r="BB291" s="125"/>
      <c r="BC291" s="125"/>
      <c r="BD291" s="125"/>
      <c r="BE291" s="125"/>
      <c r="BF291" s="125"/>
    </row>
    <row r="292" spans="1:58" x14ac:dyDescent="0.35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  <c r="AM292" s="125"/>
      <c r="AN292" s="125"/>
      <c r="AO292" s="125"/>
      <c r="AP292" s="125"/>
      <c r="AQ292" s="125"/>
      <c r="AR292" s="125"/>
      <c r="AS292" s="125"/>
      <c r="AT292" s="125"/>
      <c r="AU292" s="125"/>
      <c r="AV292" s="125"/>
      <c r="AW292" s="125"/>
      <c r="AX292" s="125"/>
      <c r="AY292" s="125"/>
      <c r="AZ292" s="125"/>
      <c r="BA292" s="125"/>
      <c r="BB292" s="125"/>
      <c r="BC292" s="125"/>
      <c r="BD292" s="125"/>
      <c r="BE292" s="125"/>
      <c r="BF292" s="125"/>
    </row>
    <row r="293" spans="1:58" x14ac:dyDescent="0.35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</row>
    <row r="294" spans="1:58" x14ac:dyDescent="0.35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5"/>
      <c r="AL294" s="125"/>
      <c r="AM294" s="125"/>
      <c r="AN294" s="125"/>
      <c r="AO294" s="125"/>
      <c r="AP294" s="125"/>
      <c r="AQ294" s="125"/>
      <c r="AR294" s="125"/>
      <c r="AS294" s="125"/>
      <c r="AT294" s="125"/>
      <c r="AU294" s="125"/>
      <c r="AV294" s="125"/>
      <c r="AW294" s="125"/>
      <c r="AX294" s="125"/>
      <c r="AY294" s="125"/>
      <c r="AZ294" s="125"/>
      <c r="BA294" s="125"/>
      <c r="BB294" s="125"/>
      <c r="BC294" s="125"/>
      <c r="BD294" s="125"/>
      <c r="BE294" s="125"/>
      <c r="BF294" s="125"/>
    </row>
    <row r="295" spans="1:58" x14ac:dyDescent="0.3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  <c r="AG295" s="125"/>
      <c r="AH295" s="125"/>
      <c r="AI295" s="125"/>
      <c r="AJ295" s="125"/>
      <c r="AK295" s="125"/>
      <c r="AL295" s="125"/>
      <c r="AM295" s="125"/>
      <c r="AN295" s="125"/>
      <c r="AO295" s="125"/>
      <c r="AP295" s="125"/>
      <c r="AQ295" s="125"/>
      <c r="AR295" s="125"/>
      <c r="AS295" s="125"/>
      <c r="AT295" s="125"/>
      <c r="AU295" s="125"/>
      <c r="AV295" s="125"/>
      <c r="AW295" s="125"/>
      <c r="AX295" s="125"/>
      <c r="AY295" s="125"/>
      <c r="AZ295" s="125"/>
      <c r="BA295" s="125"/>
      <c r="BB295" s="125"/>
      <c r="BC295" s="125"/>
      <c r="BD295" s="125"/>
      <c r="BE295" s="125"/>
      <c r="BF295" s="125"/>
    </row>
    <row r="296" spans="1:58" x14ac:dyDescent="0.35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  <c r="AH296" s="125"/>
      <c r="AI296" s="125"/>
      <c r="AJ296" s="125"/>
      <c r="AK296" s="125"/>
      <c r="AL296" s="125"/>
      <c r="AM296" s="125"/>
      <c r="AN296" s="125"/>
      <c r="AO296" s="125"/>
      <c r="AP296" s="125"/>
      <c r="AQ296" s="125"/>
      <c r="AR296" s="125"/>
      <c r="AS296" s="125"/>
      <c r="AT296" s="125"/>
      <c r="AU296" s="125"/>
      <c r="AV296" s="125"/>
      <c r="AW296" s="125"/>
      <c r="AX296" s="125"/>
      <c r="AY296" s="125"/>
      <c r="AZ296" s="125"/>
      <c r="BA296" s="125"/>
      <c r="BB296" s="125"/>
      <c r="BC296" s="125"/>
      <c r="BD296" s="125"/>
      <c r="BE296" s="125"/>
      <c r="BF296" s="125"/>
    </row>
    <row r="297" spans="1:58" x14ac:dyDescent="0.35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  <c r="AF297" s="125"/>
      <c r="AG297" s="125"/>
      <c r="AH297" s="125"/>
      <c r="AI297" s="125"/>
      <c r="AJ297" s="125"/>
      <c r="AK297" s="125"/>
      <c r="AL297" s="125"/>
      <c r="AM297" s="125"/>
      <c r="AN297" s="125"/>
      <c r="AO297" s="125"/>
      <c r="AP297" s="125"/>
      <c r="AQ297" s="125"/>
      <c r="AR297" s="125"/>
      <c r="AS297" s="125"/>
      <c r="AT297" s="125"/>
      <c r="AU297" s="125"/>
      <c r="AV297" s="125"/>
      <c r="AW297" s="125"/>
      <c r="AX297" s="125"/>
      <c r="AY297" s="125"/>
      <c r="AZ297" s="125"/>
      <c r="BA297" s="125"/>
      <c r="BB297" s="125"/>
      <c r="BC297" s="125"/>
      <c r="BD297" s="125"/>
      <c r="BE297" s="125"/>
      <c r="BF297" s="125"/>
    </row>
    <row r="298" spans="1:58" x14ac:dyDescent="0.35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  <c r="AE298" s="125"/>
      <c r="AF298" s="125"/>
      <c r="AG298" s="125"/>
      <c r="AH298" s="125"/>
      <c r="AI298" s="125"/>
      <c r="AJ298" s="125"/>
      <c r="AK298" s="125"/>
      <c r="AL298" s="125"/>
      <c r="AM298" s="125"/>
      <c r="AN298" s="125"/>
      <c r="AO298" s="125"/>
      <c r="AP298" s="125"/>
      <c r="AQ298" s="125"/>
      <c r="AR298" s="125"/>
      <c r="AS298" s="125"/>
      <c r="AT298" s="125"/>
      <c r="AU298" s="125"/>
      <c r="AV298" s="125"/>
      <c r="AW298" s="125"/>
      <c r="AX298" s="125"/>
      <c r="AY298" s="125"/>
      <c r="AZ298" s="125"/>
      <c r="BA298" s="125"/>
      <c r="BB298" s="125"/>
      <c r="BC298" s="125"/>
      <c r="BD298" s="125"/>
      <c r="BE298" s="125"/>
      <c r="BF298" s="125"/>
    </row>
    <row r="299" spans="1:58" x14ac:dyDescent="0.35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  <c r="AG299" s="125"/>
      <c r="AH299" s="125"/>
      <c r="AI299" s="125"/>
      <c r="AJ299" s="125"/>
      <c r="AK299" s="125"/>
      <c r="AL299" s="125"/>
      <c r="AM299" s="125"/>
      <c r="AN299" s="125"/>
      <c r="AO299" s="125"/>
      <c r="AP299" s="125"/>
      <c r="AQ299" s="125"/>
      <c r="AR299" s="125"/>
      <c r="AS299" s="125"/>
      <c r="AT299" s="125"/>
      <c r="AU299" s="125"/>
      <c r="AV299" s="125"/>
      <c r="AW299" s="125"/>
      <c r="AX299" s="125"/>
      <c r="AY299" s="125"/>
      <c r="AZ299" s="125"/>
      <c r="BA299" s="125"/>
      <c r="BB299" s="125"/>
      <c r="BC299" s="125"/>
      <c r="BD299" s="125"/>
      <c r="BE299" s="125"/>
      <c r="BF299" s="125"/>
    </row>
    <row r="300" spans="1:58" x14ac:dyDescent="0.35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  <c r="AG300" s="125"/>
      <c r="AH300" s="125"/>
      <c r="AI300" s="125"/>
      <c r="AJ300" s="125"/>
      <c r="AK300" s="125"/>
      <c r="AL300" s="125"/>
      <c r="AM300" s="125"/>
      <c r="AN300" s="125"/>
      <c r="AO300" s="125"/>
      <c r="AP300" s="125"/>
      <c r="AQ300" s="125"/>
      <c r="AR300" s="125"/>
      <c r="AS300" s="125"/>
      <c r="AT300" s="125"/>
      <c r="AU300" s="125"/>
      <c r="AV300" s="125"/>
      <c r="AW300" s="125"/>
      <c r="AX300" s="125"/>
      <c r="AY300" s="125"/>
      <c r="AZ300" s="125"/>
      <c r="BA300" s="125"/>
      <c r="BB300" s="125"/>
      <c r="BC300" s="125"/>
      <c r="BD300" s="125"/>
      <c r="BE300" s="125"/>
      <c r="BF300" s="125"/>
    </row>
    <row r="301" spans="1:58" x14ac:dyDescent="0.35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  <c r="AG301" s="125"/>
      <c r="AH301" s="125"/>
      <c r="AI301" s="125"/>
      <c r="AJ301" s="125"/>
      <c r="AK301" s="125"/>
      <c r="AL301" s="125"/>
      <c r="AM301" s="125"/>
      <c r="AN301" s="125"/>
      <c r="AO301" s="125"/>
      <c r="AP301" s="125"/>
      <c r="AQ301" s="125"/>
      <c r="AR301" s="125"/>
      <c r="AS301" s="125"/>
      <c r="AT301" s="125"/>
      <c r="AU301" s="125"/>
      <c r="AV301" s="125"/>
      <c r="AW301" s="125"/>
      <c r="AX301" s="125"/>
      <c r="AY301" s="125"/>
      <c r="AZ301" s="125"/>
      <c r="BA301" s="125"/>
      <c r="BB301" s="125"/>
      <c r="BC301" s="125"/>
      <c r="BD301" s="125"/>
      <c r="BE301" s="125"/>
      <c r="BF301" s="125"/>
    </row>
    <row r="302" spans="1:58" x14ac:dyDescent="0.35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5"/>
      <c r="AL302" s="125"/>
      <c r="AM302" s="125"/>
      <c r="AN302" s="125"/>
      <c r="AO302" s="125"/>
      <c r="AP302" s="125"/>
      <c r="AQ302" s="125"/>
      <c r="AR302" s="125"/>
      <c r="AS302" s="125"/>
      <c r="AT302" s="125"/>
      <c r="AU302" s="125"/>
      <c r="AV302" s="125"/>
      <c r="AW302" s="125"/>
      <c r="AX302" s="125"/>
      <c r="AY302" s="125"/>
      <c r="AZ302" s="125"/>
      <c r="BA302" s="125"/>
      <c r="BB302" s="125"/>
      <c r="BC302" s="125"/>
      <c r="BD302" s="125"/>
      <c r="BE302" s="125"/>
      <c r="BF302" s="125"/>
    </row>
    <row r="303" spans="1:58" x14ac:dyDescent="0.35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  <c r="AM303" s="125"/>
      <c r="AN303" s="125"/>
      <c r="AO303" s="125"/>
      <c r="AP303" s="125"/>
      <c r="AQ303" s="125"/>
      <c r="AR303" s="125"/>
      <c r="AS303" s="125"/>
      <c r="AT303" s="125"/>
      <c r="AU303" s="125"/>
      <c r="AV303" s="125"/>
      <c r="AW303" s="125"/>
      <c r="AX303" s="125"/>
      <c r="AY303" s="125"/>
      <c r="AZ303" s="125"/>
      <c r="BA303" s="125"/>
      <c r="BB303" s="125"/>
      <c r="BC303" s="125"/>
      <c r="BD303" s="125"/>
      <c r="BE303" s="125"/>
      <c r="BF303" s="125"/>
    </row>
    <row r="304" spans="1:58" x14ac:dyDescent="0.35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/>
      <c r="AM304" s="125"/>
      <c r="AN304" s="125"/>
      <c r="AO304" s="125"/>
      <c r="AP304" s="125"/>
      <c r="AQ304" s="125"/>
      <c r="AR304" s="125"/>
      <c r="AS304" s="125"/>
      <c r="AT304" s="125"/>
      <c r="AU304" s="125"/>
      <c r="AV304" s="125"/>
      <c r="AW304" s="125"/>
      <c r="AX304" s="125"/>
      <c r="AY304" s="125"/>
      <c r="AZ304" s="125"/>
      <c r="BA304" s="125"/>
      <c r="BB304" s="125"/>
      <c r="BC304" s="125"/>
      <c r="BD304" s="125"/>
      <c r="BE304" s="125"/>
      <c r="BF304" s="125"/>
    </row>
    <row r="305" spans="1:58" x14ac:dyDescent="0.3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  <c r="AH305" s="125"/>
      <c r="AI305" s="125"/>
      <c r="AJ305" s="125"/>
      <c r="AK305" s="125"/>
      <c r="AL305" s="125"/>
      <c r="AM305" s="125"/>
      <c r="AN305" s="125"/>
      <c r="AO305" s="125"/>
      <c r="AP305" s="125"/>
      <c r="AQ305" s="125"/>
      <c r="AR305" s="125"/>
      <c r="AS305" s="125"/>
      <c r="AT305" s="125"/>
      <c r="AU305" s="125"/>
      <c r="AV305" s="125"/>
      <c r="AW305" s="125"/>
      <c r="AX305" s="125"/>
      <c r="AY305" s="125"/>
      <c r="AZ305" s="125"/>
      <c r="BA305" s="125"/>
      <c r="BB305" s="125"/>
      <c r="BC305" s="125"/>
      <c r="BD305" s="125"/>
      <c r="BE305" s="125"/>
      <c r="BF305" s="125"/>
    </row>
    <row r="306" spans="1:58" x14ac:dyDescent="0.35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  <c r="AG306" s="125"/>
      <c r="AH306" s="125"/>
      <c r="AI306" s="125"/>
      <c r="AJ306" s="125"/>
      <c r="AK306" s="125"/>
      <c r="AL306" s="125"/>
      <c r="AM306" s="125"/>
      <c r="AN306" s="125"/>
      <c r="AO306" s="125"/>
      <c r="AP306" s="125"/>
      <c r="AQ306" s="125"/>
      <c r="AR306" s="125"/>
      <c r="AS306" s="125"/>
      <c r="AT306" s="125"/>
      <c r="AU306" s="125"/>
      <c r="AV306" s="125"/>
      <c r="AW306" s="125"/>
      <c r="AX306" s="125"/>
      <c r="AY306" s="125"/>
      <c r="AZ306" s="125"/>
      <c r="BA306" s="125"/>
      <c r="BB306" s="125"/>
      <c r="BC306" s="125"/>
      <c r="BD306" s="125"/>
      <c r="BE306" s="125"/>
      <c r="BF306" s="125"/>
    </row>
    <row r="307" spans="1:58" x14ac:dyDescent="0.35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  <c r="AG307" s="125"/>
      <c r="AH307" s="125"/>
      <c r="AI307" s="125"/>
      <c r="AJ307" s="125"/>
      <c r="AK307" s="125"/>
      <c r="AL307" s="125"/>
      <c r="AM307" s="125"/>
      <c r="AN307" s="125"/>
      <c r="AO307" s="125"/>
      <c r="AP307" s="125"/>
      <c r="AQ307" s="125"/>
      <c r="AR307" s="125"/>
      <c r="AS307" s="125"/>
      <c r="AT307" s="125"/>
      <c r="AU307" s="125"/>
      <c r="AV307" s="125"/>
      <c r="AW307" s="125"/>
      <c r="AX307" s="125"/>
      <c r="AY307" s="125"/>
      <c r="AZ307" s="125"/>
      <c r="BA307" s="125"/>
      <c r="BB307" s="125"/>
      <c r="BC307" s="125"/>
      <c r="BD307" s="125"/>
      <c r="BE307" s="125"/>
      <c r="BF307" s="125"/>
    </row>
    <row r="308" spans="1:58" x14ac:dyDescent="0.35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  <c r="AG308" s="125"/>
      <c r="AH308" s="125"/>
      <c r="AI308" s="125"/>
      <c r="AJ308" s="125"/>
      <c r="AK308" s="125"/>
      <c r="AL308" s="125"/>
      <c r="AM308" s="125"/>
      <c r="AN308" s="125"/>
      <c r="AO308" s="125"/>
      <c r="AP308" s="125"/>
      <c r="AQ308" s="125"/>
      <c r="AR308" s="125"/>
      <c r="AS308" s="125"/>
      <c r="AT308" s="125"/>
      <c r="AU308" s="125"/>
      <c r="AV308" s="125"/>
      <c r="AW308" s="125"/>
      <c r="AX308" s="125"/>
      <c r="AY308" s="125"/>
      <c r="AZ308" s="125"/>
      <c r="BA308" s="125"/>
      <c r="BB308" s="125"/>
      <c r="BC308" s="125"/>
      <c r="BD308" s="125"/>
      <c r="BE308" s="125"/>
      <c r="BF308" s="125"/>
    </row>
    <row r="309" spans="1:58" x14ac:dyDescent="0.35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  <c r="AG309" s="125"/>
      <c r="AH309" s="125"/>
      <c r="AI309" s="125"/>
      <c r="AJ309" s="125"/>
      <c r="AK309" s="125"/>
      <c r="AL309" s="125"/>
      <c r="AM309" s="125"/>
      <c r="AN309" s="125"/>
      <c r="AO309" s="125"/>
      <c r="AP309" s="125"/>
      <c r="AQ309" s="125"/>
      <c r="AR309" s="125"/>
      <c r="AS309" s="125"/>
      <c r="AT309" s="125"/>
      <c r="AU309" s="125"/>
      <c r="AV309" s="125"/>
      <c r="AW309" s="125"/>
      <c r="AX309" s="125"/>
      <c r="AY309" s="125"/>
      <c r="AZ309" s="125"/>
      <c r="BA309" s="125"/>
      <c r="BB309" s="125"/>
      <c r="BC309" s="125"/>
      <c r="BD309" s="125"/>
      <c r="BE309" s="125"/>
      <c r="BF309" s="125"/>
    </row>
    <row r="310" spans="1:58" x14ac:dyDescent="0.35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5"/>
      <c r="AL310" s="125"/>
      <c r="AM310" s="125"/>
      <c r="AN310" s="125"/>
      <c r="AO310" s="125"/>
      <c r="AP310" s="125"/>
      <c r="AQ310" s="125"/>
      <c r="AR310" s="125"/>
      <c r="AS310" s="125"/>
      <c r="AT310" s="125"/>
      <c r="AU310" s="125"/>
      <c r="AV310" s="125"/>
      <c r="AW310" s="125"/>
      <c r="AX310" s="125"/>
      <c r="AY310" s="125"/>
      <c r="AZ310" s="125"/>
      <c r="BA310" s="125"/>
      <c r="BB310" s="125"/>
      <c r="BC310" s="125"/>
      <c r="BD310" s="125"/>
      <c r="BE310" s="125"/>
      <c r="BF310" s="125"/>
    </row>
    <row r="311" spans="1:58" x14ac:dyDescent="0.35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5"/>
      <c r="AL311" s="125"/>
      <c r="AM311" s="125"/>
      <c r="AN311" s="125"/>
      <c r="AO311" s="125"/>
      <c r="AP311" s="125"/>
      <c r="AQ311" s="125"/>
      <c r="AR311" s="125"/>
      <c r="AS311" s="125"/>
      <c r="AT311" s="125"/>
      <c r="AU311" s="125"/>
      <c r="AV311" s="125"/>
      <c r="AW311" s="125"/>
      <c r="AX311" s="125"/>
      <c r="AY311" s="125"/>
      <c r="AZ311" s="125"/>
      <c r="BA311" s="125"/>
      <c r="BB311" s="125"/>
      <c r="BC311" s="125"/>
      <c r="BD311" s="125"/>
      <c r="BE311" s="125"/>
      <c r="BF311" s="125"/>
    </row>
    <row r="312" spans="1:58" x14ac:dyDescent="0.35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  <c r="AH312" s="125"/>
      <c r="AI312" s="125"/>
      <c r="AJ312" s="125"/>
      <c r="AK312" s="125"/>
      <c r="AL312" s="125"/>
      <c r="AM312" s="125"/>
      <c r="AN312" s="125"/>
      <c r="AO312" s="125"/>
      <c r="AP312" s="125"/>
      <c r="AQ312" s="125"/>
      <c r="AR312" s="125"/>
      <c r="AS312" s="125"/>
      <c r="AT312" s="125"/>
      <c r="AU312" s="125"/>
      <c r="AV312" s="125"/>
      <c r="AW312" s="125"/>
      <c r="AX312" s="125"/>
      <c r="AY312" s="125"/>
      <c r="AZ312" s="125"/>
      <c r="BA312" s="125"/>
      <c r="BB312" s="125"/>
      <c r="BC312" s="125"/>
      <c r="BD312" s="125"/>
      <c r="BE312" s="125"/>
      <c r="BF312" s="125"/>
    </row>
    <row r="313" spans="1:58" x14ac:dyDescent="0.35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5"/>
      <c r="AL313" s="125"/>
      <c r="AM313" s="125"/>
      <c r="AN313" s="125"/>
      <c r="AO313" s="125"/>
      <c r="AP313" s="125"/>
      <c r="AQ313" s="125"/>
      <c r="AR313" s="125"/>
      <c r="AS313" s="125"/>
      <c r="AT313" s="125"/>
      <c r="AU313" s="125"/>
      <c r="AV313" s="125"/>
      <c r="AW313" s="125"/>
      <c r="AX313" s="125"/>
      <c r="AY313" s="125"/>
      <c r="AZ313" s="125"/>
      <c r="BA313" s="125"/>
      <c r="BB313" s="125"/>
      <c r="BC313" s="125"/>
      <c r="BD313" s="125"/>
      <c r="BE313" s="125"/>
      <c r="BF313" s="125"/>
    </row>
    <row r="314" spans="1:58" x14ac:dyDescent="0.35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  <c r="AH314" s="125"/>
      <c r="AI314" s="125"/>
      <c r="AJ314" s="125"/>
      <c r="AK314" s="125"/>
      <c r="AL314" s="125"/>
      <c r="AM314" s="125"/>
      <c r="AN314" s="125"/>
      <c r="AO314" s="125"/>
      <c r="AP314" s="125"/>
      <c r="AQ314" s="125"/>
      <c r="AR314" s="125"/>
      <c r="AS314" s="125"/>
      <c r="AT314" s="125"/>
      <c r="AU314" s="125"/>
      <c r="AV314" s="125"/>
      <c r="AW314" s="125"/>
      <c r="AX314" s="125"/>
      <c r="AY314" s="125"/>
      <c r="AZ314" s="125"/>
      <c r="BA314" s="125"/>
      <c r="BB314" s="125"/>
      <c r="BC314" s="125"/>
      <c r="BD314" s="125"/>
      <c r="BE314" s="125"/>
      <c r="BF314" s="125"/>
    </row>
    <row r="315" spans="1:58" x14ac:dyDescent="0.3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5"/>
      <c r="AL315" s="125"/>
      <c r="AM315" s="125"/>
      <c r="AN315" s="125"/>
      <c r="AO315" s="125"/>
      <c r="AP315" s="125"/>
      <c r="AQ315" s="125"/>
      <c r="AR315" s="125"/>
      <c r="AS315" s="125"/>
      <c r="AT315" s="125"/>
      <c r="AU315" s="125"/>
      <c r="AV315" s="125"/>
      <c r="AW315" s="125"/>
      <c r="AX315" s="125"/>
      <c r="AY315" s="125"/>
      <c r="AZ315" s="125"/>
      <c r="BA315" s="125"/>
      <c r="BB315" s="125"/>
      <c r="BC315" s="125"/>
      <c r="BD315" s="125"/>
      <c r="BE315" s="125"/>
      <c r="BF315" s="125"/>
    </row>
    <row r="316" spans="1:58" x14ac:dyDescent="0.35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5"/>
      <c r="AL316" s="125"/>
      <c r="AM316" s="125"/>
      <c r="AN316" s="125"/>
      <c r="AO316" s="125"/>
      <c r="AP316" s="125"/>
      <c r="AQ316" s="125"/>
      <c r="AR316" s="125"/>
      <c r="AS316" s="125"/>
      <c r="AT316" s="125"/>
      <c r="AU316" s="125"/>
      <c r="AV316" s="125"/>
      <c r="AW316" s="125"/>
      <c r="AX316" s="125"/>
      <c r="AY316" s="125"/>
      <c r="AZ316" s="125"/>
      <c r="BA316" s="125"/>
      <c r="BB316" s="125"/>
      <c r="BC316" s="125"/>
      <c r="BD316" s="125"/>
      <c r="BE316" s="125"/>
      <c r="BF316" s="125"/>
    </row>
    <row r="317" spans="1:58" x14ac:dyDescent="0.35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  <c r="AH317" s="125"/>
      <c r="AI317" s="125"/>
      <c r="AJ317" s="125"/>
      <c r="AK317" s="125"/>
      <c r="AL317" s="125"/>
      <c r="AM317" s="125"/>
      <c r="AN317" s="125"/>
      <c r="AO317" s="125"/>
      <c r="AP317" s="125"/>
      <c r="AQ317" s="125"/>
      <c r="AR317" s="125"/>
      <c r="AS317" s="125"/>
      <c r="AT317" s="125"/>
      <c r="AU317" s="125"/>
      <c r="AV317" s="125"/>
      <c r="AW317" s="125"/>
      <c r="AX317" s="125"/>
      <c r="AY317" s="125"/>
      <c r="AZ317" s="125"/>
      <c r="BA317" s="125"/>
      <c r="BB317" s="125"/>
      <c r="BC317" s="125"/>
      <c r="BD317" s="125"/>
      <c r="BE317" s="125"/>
      <c r="BF317" s="125"/>
    </row>
    <row r="318" spans="1:58" x14ac:dyDescent="0.35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5"/>
      <c r="AL318" s="125"/>
      <c r="AM318" s="125"/>
      <c r="AN318" s="125"/>
      <c r="AO318" s="125"/>
      <c r="AP318" s="125"/>
      <c r="AQ318" s="125"/>
      <c r="AR318" s="125"/>
      <c r="AS318" s="125"/>
      <c r="AT318" s="125"/>
      <c r="AU318" s="125"/>
      <c r="AV318" s="125"/>
      <c r="AW318" s="125"/>
      <c r="AX318" s="125"/>
      <c r="AY318" s="125"/>
      <c r="AZ318" s="125"/>
      <c r="BA318" s="125"/>
      <c r="BB318" s="125"/>
      <c r="BC318" s="125"/>
      <c r="BD318" s="125"/>
      <c r="BE318" s="125"/>
      <c r="BF318" s="125"/>
    </row>
    <row r="319" spans="1:58" x14ac:dyDescent="0.35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5"/>
      <c r="AL319" s="125"/>
      <c r="AM319" s="125"/>
      <c r="AN319" s="125"/>
      <c r="AO319" s="125"/>
      <c r="AP319" s="125"/>
      <c r="AQ319" s="125"/>
      <c r="AR319" s="125"/>
      <c r="AS319" s="125"/>
      <c r="AT319" s="125"/>
      <c r="AU319" s="125"/>
      <c r="AV319" s="125"/>
      <c r="AW319" s="125"/>
      <c r="AX319" s="125"/>
      <c r="AY319" s="125"/>
      <c r="AZ319" s="125"/>
      <c r="BA319" s="125"/>
      <c r="BB319" s="125"/>
      <c r="BC319" s="125"/>
      <c r="BD319" s="125"/>
      <c r="BE319" s="125"/>
      <c r="BF319" s="125"/>
    </row>
    <row r="320" spans="1:58" x14ac:dyDescent="0.35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5"/>
      <c r="AL320" s="125"/>
      <c r="AM320" s="125"/>
      <c r="AN320" s="125"/>
      <c r="AO320" s="125"/>
      <c r="AP320" s="125"/>
      <c r="AQ320" s="125"/>
      <c r="AR320" s="125"/>
      <c r="AS320" s="125"/>
      <c r="AT320" s="125"/>
      <c r="AU320" s="125"/>
      <c r="AV320" s="125"/>
      <c r="AW320" s="125"/>
      <c r="AX320" s="125"/>
      <c r="AY320" s="125"/>
      <c r="AZ320" s="125"/>
      <c r="BA320" s="125"/>
      <c r="BB320" s="125"/>
      <c r="BC320" s="125"/>
      <c r="BD320" s="125"/>
      <c r="BE320" s="125"/>
      <c r="BF320" s="125"/>
    </row>
    <row r="321" spans="1:58" x14ac:dyDescent="0.35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  <c r="AH321" s="125"/>
      <c r="AI321" s="125"/>
      <c r="AJ321" s="125"/>
      <c r="AK321" s="125"/>
      <c r="AL321" s="125"/>
      <c r="AM321" s="125"/>
      <c r="AN321" s="125"/>
      <c r="AO321" s="125"/>
      <c r="AP321" s="125"/>
      <c r="AQ321" s="125"/>
      <c r="AR321" s="125"/>
      <c r="AS321" s="125"/>
      <c r="AT321" s="125"/>
      <c r="AU321" s="125"/>
      <c r="AV321" s="125"/>
      <c r="AW321" s="125"/>
      <c r="AX321" s="125"/>
      <c r="AY321" s="125"/>
      <c r="AZ321" s="125"/>
      <c r="BA321" s="125"/>
      <c r="BB321" s="125"/>
      <c r="BC321" s="125"/>
      <c r="BD321" s="125"/>
      <c r="BE321" s="125"/>
      <c r="BF321" s="125"/>
    </row>
    <row r="322" spans="1:58" x14ac:dyDescent="0.35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  <c r="AG322" s="125"/>
      <c r="AH322" s="125"/>
      <c r="AI322" s="125"/>
      <c r="AJ322" s="125"/>
      <c r="AK322" s="125"/>
      <c r="AL322" s="125"/>
      <c r="AM322" s="125"/>
      <c r="AN322" s="125"/>
      <c r="AO322" s="125"/>
      <c r="AP322" s="125"/>
      <c r="AQ322" s="125"/>
      <c r="AR322" s="125"/>
      <c r="AS322" s="125"/>
      <c r="AT322" s="125"/>
      <c r="AU322" s="125"/>
      <c r="AV322" s="125"/>
      <c r="AW322" s="125"/>
      <c r="AX322" s="125"/>
      <c r="AY322" s="125"/>
      <c r="AZ322" s="125"/>
      <c r="BA322" s="125"/>
      <c r="BB322" s="125"/>
      <c r="BC322" s="125"/>
      <c r="BD322" s="125"/>
      <c r="BE322" s="125"/>
      <c r="BF322" s="125"/>
    </row>
    <row r="323" spans="1:58" x14ac:dyDescent="0.35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  <c r="AG323" s="125"/>
      <c r="AH323" s="125"/>
      <c r="AI323" s="125"/>
      <c r="AJ323" s="125"/>
      <c r="AK323" s="125"/>
      <c r="AL323" s="125"/>
      <c r="AM323" s="125"/>
      <c r="AN323" s="125"/>
      <c r="AO323" s="125"/>
      <c r="AP323" s="125"/>
      <c r="AQ323" s="125"/>
      <c r="AR323" s="125"/>
      <c r="AS323" s="125"/>
      <c r="AT323" s="125"/>
      <c r="AU323" s="125"/>
      <c r="AV323" s="125"/>
      <c r="AW323" s="125"/>
      <c r="AX323" s="125"/>
      <c r="AY323" s="125"/>
      <c r="AZ323" s="125"/>
      <c r="BA323" s="125"/>
      <c r="BB323" s="125"/>
      <c r="BC323" s="125"/>
      <c r="BD323" s="125"/>
      <c r="BE323" s="125"/>
      <c r="BF323" s="125"/>
    </row>
    <row r="324" spans="1:58" x14ac:dyDescent="0.35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  <c r="AG324" s="125"/>
      <c r="AH324" s="125"/>
      <c r="AI324" s="125"/>
      <c r="AJ324" s="125"/>
      <c r="AK324" s="125"/>
      <c r="AL324" s="125"/>
      <c r="AM324" s="125"/>
      <c r="AN324" s="125"/>
      <c r="AO324" s="125"/>
      <c r="AP324" s="125"/>
      <c r="AQ324" s="125"/>
      <c r="AR324" s="125"/>
      <c r="AS324" s="125"/>
      <c r="AT324" s="125"/>
      <c r="AU324" s="125"/>
      <c r="AV324" s="125"/>
      <c r="AW324" s="125"/>
      <c r="AX324" s="125"/>
      <c r="AY324" s="125"/>
      <c r="AZ324" s="125"/>
      <c r="BA324" s="125"/>
      <c r="BB324" s="125"/>
      <c r="BC324" s="125"/>
      <c r="BD324" s="125"/>
      <c r="BE324" s="125"/>
      <c r="BF324" s="125"/>
    </row>
    <row r="325" spans="1:58" x14ac:dyDescent="0.3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  <c r="AG325" s="125"/>
      <c r="AH325" s="125"/>
      <c r="AI325" s="125"/>
      <c r="AJ325" s="125"/>
      <c r="AK325" s="125"/>
      <c r="AL325" s="125"/>
      <c r="AM325" s="125"/>
      <c r="AN325" s="125"/>
      <c r="AO325" s="125"/>
      <c r="AP325" s="125"/>
      <c r="AQ325" s="125"/>
      <c r="AR325" s="125"/>
      <c r="AS325" s="125"/>
      <c r="AT325" s="125"/>
      <c r="AU325" s="125"/>
      <c r="AV325" s="125"/>
      <c r="AW325" s="125"/>
      <c r="AX325" s="125"/>
      <c r="AY325" s="125"/>
      <c r="AZ325" s="125"/>
      <c r="BA325" s="125"/>
      <c r="BB325" s="125"/>
      <c r="BC325" s="125"/>
      <c r="BD325" s="125"/>
      <c r="BE325" s="125"/>
      <c r="BF325" s="125"/>
    </row>
    <row r="326" spans="1:58" x14ac:dyDescent="0.35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  <c r="AF326" s="125"/>
      <c r="AG326" s="125"/>
      <c r="AH326" s="125"/>
      <c r="AI326" s="125"/>
      <c r="AJ326" s="125"/>
      <c r="AK326" s="125"/>
      <c r="AL326" s="125"/>
      <c r="AM326" s="125"/>
      <c r="AN326" s="125"/>
      <c r="AO326" s="125"/>
      <c r="AP326" s="125"/>
      <c r="AQ326" s="125"/>
      <c r="AR326" s="125"/>
      <c r="AS326" s="125"/>
      <c r="AT326" s="125"/>
      <c r="AU326" s="125"/>
      <c r="AV326" s="125"/>
      <c r="AW326" s="125"/>
      <c r="AX326" s="125"/>
      <c r="AY326" s="125"/>
      <c r="AZ326" s="125"/>
      <c r="BA326" s="125"/>
      <c r="BB326" s="125"/>
      <c r="BC326" s="125"/>
      <c r="BD326" s="125"/>
      <c r="BE326" s="125"/>
      <c r="BF326" s="125"/>
    </row>
    <row r="327" spans="1:58" x14ac:dyDescent="0.35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  <c r="AH327" s="125"/>
      <c r="AI327" s="125"/>
      <c r="AJ327" s="125"/>
      <c r="AK327" s="125"/>
      <c r="AL327" s="125"/>
      <c r="AM327" s="125"/>
      <c r="AN327" s="125"/>
      <c r="AO327" s="125"/>
      <c r="AP327" s="125"/>
      <c r="AQ327" s="125"/>
      <c r="AR327" s="125"/>
      <c r="AS327" s="125"/>
      <c r="AT327" s="125"/>
      <c r="AU327" s="125"/>
      <c r="AV327" s="125"/>
      <c r="AW327" s="125"/>
      <c r="AX327" s="125"/>
      <c r="AY327" s="125"/>
      <c r="AZ327" s="125"/>
      <c r="BA327" s="125"/>
      <c r="BB327" s="125"/>
      <c r="BC327" s="125"/>
      <c r="BD327" s="125"/>
      <c r="BE327" s="125"/>
      <c r="BF327" s="125"/>
    </row>
    <row r="328" spans="1:58" x14ac:dyDescent="0.35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  <c r="AG328" s="125"/>
      <c r="AH328" s="125"/>
      <c r="AI328" s="125"/>
      <c r="AJ328" s="125"/>
      <c r="AK328" s="125"/>
      <c r="AL328" s="125"/>
      <c r="AM328" s="125"/>
      <c r="AN328" s="125"/>
      <c r="AO328" s="125"/>
      <c r="AP328" s="125"/>
      <c r="AQ328" s="125"/>
      <c r="AR328" s="125"/>
      <c r="AS328" s="125"/>
      <c r="AT328" s="125"/>
      <c r="AU328" s="125"/>
      <c r="AV328" s="125"/>
      <c r="AW328" s="125"/>
      <c r="AX328" s="125"/>
      <c r="AY328" s="125"/>
      <c r="AZ328" s="125"/>
      <c r="BA328" s="125"/>
      <c r="BB328" s="125"/>
      <c r="BC328" s="125"/>
      <c r="BD328" s="125"/>
      <c r="BE328" s="125"/>
      <c r="BF328" s="125"/>
    </row>
    <row r="329" spans="1:58" x14ac:dyDescent="0.35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5"/>
      <c r="AL329" s="125"/>
      <c r="AM329" s="125"/>
      <c r="AN329" s="125"/>
      <c r="AO329" s="125"/>
      <c r="AP329" s="125"/>
      <c r="AQ329" s="125"/>
      <c r="AR329" s="125"/>
      <c r="AS329" s="125"/>
      <c r="AT329" s="125"/>
      <c r="AU329" s="125"/>
      <c r="AV329" s="125"/>
      <c r="AW329" s="125"/>
      <c r="AX329" s="125"/>
      <c r="AY329" s="125"/>
      <c r="AZ329" s="125"/>
      <c r="BA329" s="125"/>
      <c r="BB329" s="125"/>
      <c r="BC329" s="125"/>
      <c r="BD329" s="125"/>
      <c r="BE329" s="125"/>
      <c r="BF329" s="125"/>
    </row>
    <row r="330" spans="1:58" x14ac:dyDescent="0.35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5"/>
      <c r="AL330" s="125"/>
      <c r="AM330" s="125"/>
      <c r="AN330" s="125"/>
      <c r="AO330" s="125"/>
      <c r="AP330" s="125"/>
      <c r="AQ330" s="125"/>
      <c r="AR330" s="125"/>
      <c r="AS330" s="125"/>
      <c r="AT330" s="125"/>
      <c r="AU330" s="125"/>
      <c r="AV330" s="125"/>
      <c r="AW330" s="125"/>
      <c r="AX330" s="125"/>
      <c r="AY330" s="125"/>
      <c r="AZ330" s="125"/>
      <c r="BA330" s="125"/>
      <c r="BB330" s="125"/>
      <c r="BC330" s="125"/>
      <c r="BD330" s="125"/>
      <c r="BE330" s="125"/>
      <c r="BF330" s="125"/>
    </row>
    <row r="331" spans="1:58" x14ac:dyDescent="0.35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  <c r="AH331" s="125"/>
      <c r="AI331" s="125"/>
      <c r="AJ331" s="125"/>
      <c r="AK331" s="125"/>
      <c r="AL331" s="125"/>
      <c r="AM331" s="125"/>
      <c r="AN331" s="125"/>
      <c r="AO331" s="125"/>
      <c r="AP331" s="125"/>
      <c r="AQ331" s="125"/>
      <c r="AR331" s="125"/>
      <c r="AS331" s="125"/>
      <c r="AT331" s="125"/>
      <c r="AU331" s="125"/>
      <c r="AV331" s="125"/>
      <c r="AW331" s="125"/>
      <c r="AX331" s="125"/>
      <c r="AY331" s="125"/>
      <c r="AZ331" s="125"/>
      <c r="BA331" s="125"/>
      <c r="BB331" s="125"/>
      <c r="BC331" s="125"/>
      <c r="BD331" s="125"/>
      <c r="BE331" s="125"/>
      <c r="BF331" s="125"/>
    </row>
    <row r="332" spans="1:58" x14ac:dyDescent="0.35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  <c r="AH332" s="125"/>
      <c r="AI332" s="125"/>
      <c r="AJ332" s="125"/>
      <c r="AK332" s="125"/>
      <c r="AL332" s="125"/>
      <c r="AM332" s="125"/>
      <c r="AN332" s="125"/>
      <c r="AO332" s="125"/>
      <c r="AP332" s="125"/>
      <c r="AQ332" s="125"/>
      <c r="AR332" s="125"/>
      <c r="AS332" s="125"/>
      <c r="AT332" s="125"/>
      <c r="AU332" s="125"/>
      <c r="AV332" s="125"/>
      <c r="AW332" s="125"/>
      <c r="AX332" s="125"/>
      <c r="AY332" s="125"/>
      <c r="AZ332" s="125"/>
      <c r="BA332" s="125"/>
      <c r="BB332" s="125"/>
      <c r="BC332" s="125"/>
      <c r="BD332" s="125"/>
      <c r="BE332" s="125"/>
      <c r="BF332" s="125"/>
    </row>
    <row r="333" spans="1:58" x14ac:dyDescent="0.35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  <c r="AH333" s="125"/>
      <c r="AI333" s="125"/>
      <c r="AJ333" s="125"/>
      <c r="AK333" s="125"/>
      <c r="AL333" s="125"/>
      <c r="AM333" s="125"/>
      <c r="AN333" s="125"/>
      <c r="AO333" s="125"/>
      <c r="AP333" s="125"/>
      <c r="AQ333" s="125"/>
      <c r="AR333" s="125"/>
      <c r="AS333" s="125"/>
      <c r="AT333" s="125"/>
      <c r="AU333" s="125"/>
      <c r="AV333" s="125"/>
      <c r="AW333" s="125"/>
      <c r="AX333" s="125"/>
      <c r="AY333" s="125"/>
      <c r="AZ333" s="125"/>
      <c r="BA333" s="125"/>
      <c r="BB333" s="125"/>
      <c r="BC333" s="125"/>
      <c r="BD333" s="125"/>
      <c r="BE333" s="125"/>
      <c r="BF333" s="125"/>
    </row>
    <row r="334" spans="1:58" x14ac:dyDescent="0.35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/>
      <c r="AG334" s="125"/>
      <c r="AH334" s="125"/>
      <c r="AI334" s="125"/>
      <c r="AJ334" s="125"/>
      <c r="AK334" s="125"/>
      <c r="AL334" s="125"/>
      <c r="AM334" s="125"/>
      <c r="AN334" s="125"/>
      <c r="AO334" s="125"/>
      <c r="AP334" s="125"/>
      <c r="AQ334" s="125"/>
      <c r="AR334" s="125"/>
      <c r="AS334" s="125"/>
      <c r="AT334" s="125"/>
      <c r="AU334" s="125"/>
      <c r="AV334" s="125"/>
      <c r="AW334" s="125"/>
      <c r="AX334" s="125"/>
      <c r="AY334" s="125"/>
      <c r="AZ334" s="125"/>
      <c r="BA334" s="125"/>
      <c r="BB334" s="125"/>
      <c r="BC334" s="125"/>
      <c r="BD334" s="125"/>
      <c r="BE334" s="125"/>
      <c r="BF334" s="125"/>
    </row>
    <row r="335" spans="1:58" x14ac:dyDescent="0.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5"/>
      <c r="AL335" s="125"/>
      <c r="AM335" s="125"/>
      <c r="AN335" s="125"/>
      <c r="AO335" s="125"/>
      <c r="AP335" s="125"/>
      <c r="AQ335" s="125"/>
      <c r="AR335" s="125"/>
      <c r="AS335" s="125"/>
      <c r="AT335" s="125"/>
      <c r="AU335" s="125"/>
      <c r="AV335" s="125"/>
      <c r="AW335" s="125"/>
      <c r="AX335" s="125"/>
      <c r="AY335" s="125"/>
      <c r="AZ335" s="125"/>
      <c r="BA335" s="125"/>
      <c r="BB335" s="125"/>
      <c r="BC335" s="125"/>
      <c r="BD335" s="125"/>
      <c r="BE335" s="125"/>
      <c r="BF335" s="125"/>
    </row>
    <row r="336" spans="1:58" x14ac:dyDescent="0.35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  <c r="AF336" s="125"/>
      <c r="AG336" s="125"/>
      <c r="AH336" s="125"/>
      <c r="AI336" s="125"/>
      <c r="AJ336" s="125"/>
      <c r="AK336" s="125"/>
      <c r="AL336" s="125"/>
      <c r="AM336" s="125"/>
      <c r="AN336" s="125"/>
      <c r="AO336" s="125"/>
      <c r="AP336" s="125"/>
      <c r="AQ336" s="125"/>
      <c r="AR336" s="125"/>
      <c r="AS336" s="125"/>
      <c r="AT336" s="125"/>
      <c r="AU336" s="125"/>
      <c r="AV336" s="125"/>
      <c r="AW336" s="125"/>
      <c r="AX336" s="125"/>
      <c r="AY336" s="125"/>
      <c r="AZ336" s="125"/>
      <c r="BA336" s="125"/>
      <c r="BB336" s="125"/>
      <c r="BC336" s="125"/>
      <c r="BD336" s="125"/>
      <c r="BE336" s="125"/>
      <c r="BF336" s="125"/>
    </row>
    <row r="337" spans="1:58" x14ac:dyDescent="0.35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  <c r="AG337" s="125"/>
      <c r="AH337" s="125"/>
      <c r="AI337" s="125"/>
      <c r="AJ337" s="125"/>
      <c r="AK337" s="125"/>
      <c r="AL337" s="125"/>
      <c r="AM337" s="125"/>
      <c r="AN337" s="125"/>
      <c r="AO337" s="125"/>
      <c r="AP337" s="125"/>
      <c r="AQ337" s="125"/>
      <c r="AR337" s="125"/>
      <c r="AS337" s="125"/>
      <c r="AT337" s="125"/>
      <c r="AU337" s="125"/>
      <c r="AV337" s="125"/>
      <c r="AW337" s="125"/>
      <c r="AX337" s="125"/>
      <c r="AY337" s="125"/>
      <c r="AZ337" s="125"/>
      <c r="BA337" s="125"/>
      <c r="BB337" s="125"/>
      <c r="BC337" s="125"/>
      <c r="BD337" s="125"/>
      <c r="BE337" s="125"/>
      <c r="BF337" s="125"/>
    </row>
    <row r="338" spans="1:58" x14ac:dyDescent="0.35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  <c r="AF338" s="125"/>
      <c r="AG338" s="125"/>
      <c r="AH338" s="125"/>
      <c r="AI338" s="125"/>
      <c r="AJ338" s="125"/>
      <c r="AK338" s="125"/>
      <c r="AL338" s="125"/>
      <c r="AM338" s="125"/>
      <c r="AN338" s="125"/>
      <c r="AO338" s="125"/>
      <c r="AP338" s="125"/>
      <c r="AQ338" s="125"/>
      <c r="AR338" s="125"/>
      <c r="AS338" s="125"/>
      <c r="AT338" s="125"/>
      <c r="AU338" s="125"/>
      <c r="AV338" s="125"/>
      <c r="AW338" s="125"/>
      <c r="AX338" s="125"/>
      <c r="AY338" s="125"/>
      <c r="AZ338" s="125"/>
      <c r="BA338" s="125"/>
      <c r="BB338" s="125"/>
      <c r="BC338" s="125"/>
      <c r="BD338" s="125"/>
      <c r="BE338" s="125"/>
      <c r="BF338" s="125"/>
    </row>
    <row r="339" spans="1:58" x14ac:dyDescent="0.35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  <c r="AF339" s="125"/>
      <c r="AG339" s="125"/>
      <c r="AH339" s="125"/>
      <c r="AI339" s="125"/>
      <c r="AJ339" s="125"/>
      <c r="AK339" s="125"/>
      <c r="AL339" s="125"/>
      <c r="AM339" s="125"/>
      <c r="AN339" s="125"/>
      <c r="AO339" s="125"/>
      <c r="AP339" s="125"/>
      <c r="AQ339" s="125"/>
      <c r="AR339" s="125"/>
      <c r="AS339" s="125"/>
      <c r="AT339" s="125"/>
      <c r="AU339" s="125"/>
      <c r="AV339" s="125"/>
      <c r="AW339" s="125"/>
      <c r="AX339" s="125"/>
      <c r="AY339" s="125"/>
      <c r="AZ339" s="125"/>
      <c r="BA339" s="125"/>
      <c r="BB339" s="125"/>
      <c r="BC339" s="125"/>
      <c r="BD339" s="125"/>
      <c r="BE339" s="125"/>
      <c r="BF339" s="125"/>
    </row>
    <row r="340" spans="1:58" x14ac:dyDescent="0.35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  <c r="AF340" s="125"/>
      <c r="AG340" s="125"/>
      <c r="AH340" s="125"/>
      <c r="AI340" s="125"/>
      <c r="AJ340" s="125"/>
      <c r="AK340" s="125"/>
      <c r="AL340" s="125"/>
      <c r="AM340" s="125"/>
      <c r="AN340" s="125"/>
      <c r="AO340" s="125"/>
      <c r="AP340" s="125"/>
      <c r="AQ340" s="125"/>
      <c r="AR340" s="125"/>
      <c r="AS340" s="125"/>
      <c r="AT340" s="125"/>
      <c r="AU340" s="125"/>
      <c r="AV340" s="125"/>
      <c r="AW340" s="125"/>
      <c r="AX340" s="125"/>
      <c r="AY340" s="125"/>
      <c r="AZ340" s="125"/>
      <c r="BA340" s="125"/>
      <c r="BB340" s="125"/>
      <c r="BC340" s="125"/>
      <c r="BD340" s="125"/>
      <c r="BE340" s="125"/>
      <c r="BF340" s="125"/>
    </row>
    <row r="341" spans="1:58" x14ac:dyDescent="0.35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  <c r="AG341" s="125"/>
      <c r="AH341" s="125"/>
      <c r="AI341" s="125"/>
      <c r="AJ341" s="125"/>
      <c r="AK341" s="125"/>
      <c r="AL341" s="125"/>
      <c r="AM341" s="125"/>
      <c r="AN341" s="125"/>
      <c r="AO341" s="125"/>
      <c r="AP341" s="125"/>
      <c r="AQ341" s="125"/>
      <c r="AR341" s="125"/>
      <c r="AS341" s="125"/>
      <c r="AT341" s="125"/>
      <c r="AU341" s="125"/>
      <c r="AV341" s="125"/>
      <c r="AW341" s="125"/>
      <c r="AX341" s="125"/>
      <c r="AY341" s="125"/>
      <c r="AZ341" s="125"/>
      <c r="BA341" s="125"/>
      <c r="BB341" s="125"/>
      <c r="BC341" s="125"/>
      <c r="BD341" s="125"/>
      <c r="BE341" s="125"/>
      <c r="BF341" s="125"/>
    </row>
    <row r="342" spans="1:58" x14ac:dyDescent="0.35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  <c r="AG342" s="125"/>
      <c r="AH342" s="125"/>
      <c r="AI342" s="125"/>
      <c r="AJ342" s="125"/>
      <c r="AK342" s="125"/>
      <c r="AL342" s="125"/>
      <c r="AM342" s="125"/>
      <c r="AN342" s="125"/>
      <c r="AO342" s="125"/>
      <c r="AP342" s="125"/>
      <c r="AQ342" s="125"/>
      <c r="AR342" s="125"/>
      <c r="AS342" s="125"/>
      <c r="AT342" s="125"/>
      <c r="AU342" s="125"/>
      <c r="AV342" s="125"/>
      <c r="AW342" s="125"/>
      <c r="AX342" s="125"/>
      <c r="AY342" s="125"/>
      <c r="AZ342" s="125"/>
      <c r="BA342" s="125"/>
      <c r="BB342" s="125"/>
      <c r="BC342" s="125"/>
      <c r="BD342" s="125"/>
      <c r="BE342" s="125"/>
      <c r="BF342" s="125"/>
    </row>
    <row r="343" spans="1:58" x14ac:dyDescent="0.35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  <c r="AG343" s="125"/>
      <c r="AH343" s="125"/>
      <c r="AI343" s="125"/>
      <c r="AJ343" s="125"/>
      <c r="AK343" s="125"/>
      <c r="AL343" s="125"/>
      <c r="AM343" s="125"/>
      <c r="AN343" s="125"/>
      <c r="AO343" s="125"/>
      <c r="AP343" s="125"/>
      <c r="AQ343" s="125"/>
      <c r="AR343" s="125"/>
      <c r="AS343" s="125"/>
      <c r="AT343" s="125"/>
      <c r="AU343" s="125"/>
      <c r="AV343" s="125"/>
      <c r="AW343" s="125"/>
      <c r="AX343" s="125"/>
      <c r="AY343" s="125"/>
      <c r="AZ343" s="125"/>
      <c r="BA343" s="125"/>
      <c r="BB343" s="125"/>
      <c r="BC343" s="125"/>
      <c r="BD343" s="125"/>
      <c r="BE343" s="125"/>
      <c r="BF343" s="125"/>
    </row>
    <row r="344" spans="1:58" x14ac:dyDescent="0.35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  <c r="AG344" s="125"/>
      <c r="AH344" s="125"/>
      <c r="AI344" s="125"/>
      <c r="AJ344" s="125"/>
      <c r="AK344" s="125"/>
      <c r="AL344" s="125"/>
      <c r="AM344" s="125"/>
      <c r="AN344" s="125"/>
      <c r="AO344" s="125"/>
      <c r="AP344" s="125"/>
      <c r="AQ344" s="125"/>
      <c r="AR344" s="125"/>
      <c r="AS344" s="125"/>
      <c r="AT344" s="125"/>
      <c r="AU344" s="125"/>
      <c r="AV344" s="125"/>
      <c r="AW344" s="125"/>
      <c r="AX344" s="125"/>
      <c r="AY344" s="125"/>
      <c r="AZ344" s="125"/>
      <c r="BA344" s="125"/>
      <c r="BB344" s="125"/>
      <c r="BC344" s="125"/>
      <c r="BD344" s="125"/>
      <c r="BE344" s="125"/>
      <c r="BF344" s="125"/>
    </row>
    <row r="345" spans="1:58" x14ac:dyDescent="0.3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  <c r="AF345" s="125"/>
      <c r="AG345" s="125"/>
      <c r="AH345" s="125"/>
      <c r="AI345" s="125"/>
      <c r="AJ345" s="125"/>
      <c r="AK345" s="125"/>
      <c r="AL345" s="125"/>
      <c r="AM345" s="125"/>
      <c r="AN345" s="125"/>
      <c r="AO345" s="125"/>
      <c r="AP345" s="125"/>
      <c r="AQ345" s="125"/>
      <c r="AR345" s="125"/>
      <c r="AS345" s="125"/>
      <c r="AT345" s="125"/>
      <c r="AU345" s="125"/>
      <c r="AV345" s="125"/>
      <c r="AW345" s="125"/>
      <c r="AX345" s="125"/>
      <c r="AY345" s="125"/>
      <c r="AZ345" s="125"/>
      <c r="BA345" s="125"/>
      <c r="BB345" s="125"/>
      <c r="BC345" s="125"/>
      <c r="BD345" s="125"/>
      <c r="BE345" s="125"/>
      <c r="BF345" s="125"/>
    </row>
    <row r="346" spans="1:58" x14ac:dyDescent="0.35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  <c r="AF346" s="125"/>
      <c r="AG346" s="125"/>
      <c r="AH346" s="125"/>
      <c r="AI346" s="125"/>
      <c r="AJ346" s="125"/>
      <c r="AK346" s="125"/>
      <c r="AL346" s="125"/>
      <c r="AM346" s="125"/>
      <c r="AN346" s="125"/>
      <c r="AO346" s="125"/>
      <c r="AP346" s="125"/>
      <c r="AQ346" s="125"/>
      <c r="AR346" s="125"/>
      <c r="AS346" s="125"/>
      <c r="AT346" s="125"/>
      <c r="AU346" s="125"/>
      <c r="AV346" s="125"/>
      <c r="AW346" s="125"/>
      <c r="AX346" s="125"/>
      <c r="AY346" s="125"/>
      <c r="AZ346" s="125"/>
      <c r="BA346" s="125"/>
      <c r="BB346" s="125"/>
      <c r="BC346" s="125"/>
      <c r="BD346" s="125"/>
      <c r="BE346" s="125"/>
      <c r="BF346" s="1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B56E-BB75-4D12-97EF-5977FCCFC2D6}">
  <sheetPr>
    <tabColor theme="1"/>
  </sheetPr>
  <dimension ref="A1:BL16"/>
  <sheetViews>
    <sheetView workbookViewId="0">
      <selection activeCell="A2" sqref="A2"/>
    </sheetView>
  </sheetViews>
  <sheetFormatPr defaultRowHeight="13.5" x14ac:dyDescent="0.35"/>
  <sheetData>
    <row r="1" spans="1:64" x14ac:dyDescent="0.35">
      <c r="A1" t="s">
        <v>102</v>
      </c>
      <c r="B1" t="s">
        <v>304</v>
      </c>
      <c r="C1" t="s">
        <v>103</v>
      </c>
      <c r="D1" t="s">
        <v>305</v>
      </c>
      <c r="E1" t="s">
        <v>327</v>
      </c>
      <c r="F1" t="s">
        <v>328</v>
      </c>
      <c r="G1" t="s">
        <v>329</v>
      </c>
      <c r="H1" t="s">
        <v>209</v>
      </c>
      <c r="I1" t="s">
        <v>330</v>
      </c>
      <c r="J1" t="s">
        <v>331</v>
      </c>
      <c r="K1" t="s">
        <v>332</v>
      </c>
      <c r="L1" t="s">
        <v>333</v>
      </c>
      <c r="M1" t="s">
        <v>334</v>
      </c>
      <c r="N1" t="s">
        <v>335</v>
      </c>
      <c r="O1" t="s">
        <v>336</v>
      </c>
      <c r="P1" t="s">
        <v>337</v>
      </c>
      <c r="Q1" t="s">
        <v>338</v>
      </c>
      <c r="R1" t="s">
        <v>339</v>
      </c>
      <c r="S1" t="s">
        <v>340</v>
      </c>
      <c r="T1" t="s">
        <v>341</v>
      </c>
      <c r="U1" t="s">
        <v>342</v>
      </c>
      <c r="V1" t="s">
        <v>343</v>
      </c>
      <c r="W1" t="s">
        <v>344</v>
      </c>
      <c r="X1" t="s">
        <v>345</v>
      </c>
      <c r="Y1" t="s">
        <v>346</v>
      </c>
      <c r="Z1" t="s">
        <v>347</v>
      </c>
      <c r="AA1" t="s">
        <v>348</v>
      </c>
      <c r="AB1" t="s">
        <v>349</v>
      </c>
      <c r="AC1" t="s">
        <v>350</v>
      </c>
      <c r="AD1" t="s">
        <v>270</v>
      </c>
      <c r="AE1" t="s">
        <v>117</v>
      </c>
      <c r="AF1" t="s">
        <v>118</v>
      </c>
      <c r="AG1" t="s">
        <v>119</v>
      </c>
      <c r="AH1" t="s">
        <v>120</v>
      </c>
      <c r="AI1" t="s">
        <v>351</v>
      </c>
      <c r="AJ1" t="s">
        <v>352</v>
      </c>
      <c r="AK1" t="s">
        <v>104</v>
      </c>
      <c r="AL1" t="s">
        <v>105</v>
      </c>
      <c r="AM1" t="s">
        <v>106</v>
      </c>
      <c r="AN1" t="s">
        <v>279</v>
      </c>
      <c r="AO1" t="s">
        <v>280</v>
      </c>
      <c r="AP1" t="s">
        <v>281</v>
      </c>
      <c r="AQ1" t="s">
        <v>282</v>
      </c>
      <c r="AR1" t="s">
        <v>283</v>
      </c>
      <c r="AS1" t="s">
        <v>284</v>
      </c>
      <c r="AT1" t="s">
        <v>285</v>
      </c>
      <c r="AU1" t="s">
        <v>286</v>
      </c>
      <c r="AV1" t="s">
        <v>287</v>
      </c>
      <c r="AW1" t="s">
        <v>288</v>
      </c>
      <c r="AX1" t="s">
        <v>289</v>
      </c>
      <c r="AY1" t="s">
        <v>290</v>
      </c>
      <c r="AZ1" t="s">
        <v>291</v>
      </c>
      <c r="BA1" t="s">
        <v>292</v>
      </c>
      <c r="BB1" t="s">
        <v>293</v>
      </c>
      <c r="BC1" t="s">
        <v>294</v>
      </c>
      <c r="BD1" t="s">
        <v>295</v>
      </c>
      <c r="BE1" t="s">
        <v>296</v>
      </c>
      <c r="BF1" t="s">
        <v>297</v>
      </c>
      <c r="BG1" t="s">
        <v>298</v>
      </c>
      <c r="BH1" t="s">
        <v>299</v>
      </c>
      <c r="BI1" t="s">
        <v>300</v>
      </c>
      <c r="BJ1" t="s">
        <v>301</v>
      </c>
      <c r="BK1" t="s">
        <v>302</v>
      </c>
      <c r="BL1" t="s">
        <v>303</v>
      </c>
    </row>
    <row r="2" spans="1:64" x14ac:dyDescent="0.3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</row>
    <row r="3" spans="1:64" x14ac:dyDescent="0.35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</row>
    <row r="4" spans="1:64" x14ac:dyDescent="0.35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</row>
    <row r="5" spans="1:64" x14ac:dyDescent="0.35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</row>
    <row r="6" spans="1:64" x14ac:dyDescent="0.35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</row>
    <row r="7" spans="1:64" x14ac:dyDescent="0.35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</row>
    <row r="8" spans="1:64" x14ac:dyDescent="0.35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</row>
    <row r="9" spans="1:64" x14ac:dyDescent="0.35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</row>
    <row r="10" spans="1:64" x14ac:dyDescent="0.35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</row>
    <row r="11" spans="1:64" x14ac:dyDescent="0.35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64" x14ac:dyDescent="0.35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</row>
    <row r="13" spans="1:64" x14ac:dyDescent="0.35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</row>
    <row r="14" spans="1:64" x14ac:dyDescent="0.35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</row>
    <row r="15" spans="1:64" x14ac:dyDescent="0.35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</row>
    <row r="16" spans="1:64" x14ac:dyDescent="0.35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4DD2-C00C-4E65-B1B4-5F757B4853C4}">
  <sheetPr>
    <tabColor theme="1"/>
  </sheetPr>
  <dimension ref="A1:BF346"/>
  <sheetViews>
    <sheetView workbookViewId="0">
      <selection activeCell="A2" sqref="A2"/>
    </sheetView>
  </sheetViews>
  <sheetFormatPr defaultRowHeight="13.5" x14ac:dyDescent="0.35"/>
  <sheetData>
    <row r="1" spans="1:58" x14ac:dyDescent="0.35">
      <c r="A1" t="s">
        <v>104</v>
      </c>
      <c r="B1" t="s">
        <v>105</v>
      </c>
      <c r="C1" t="s">
        <v>106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296</v>
      </c>
      <c r="V1" t="s">
        <v>297</v>
      </c>
      <c r="W1" t="s">
        <v>298</v>
      </c>
      <c r="X1" t="s">
        <v>299</v>
      </c>
      <c r="Y1" t="s">
        <v>300</v>
      </c>
      <c r="Z1" t="s">
        <v>301</v>
      </c>
      <c r="AA1" t="s">
        <v>302</v>
      </c>
      <c r="AB1" t="s">
        <v>303</v>
      </c>
      <c r="AC1" t="s">
        <v>102</v>
      </c>
      <c r="AD1" t="s">
        <v>304</v>
      </c>
      <c r="AE1" t="s">
        <v>103</v>
      </c>
      <c r="AF1" t="s">
        <v>305</v>
      </c>
      <c r="AG1" t="s">
        <v>306</v>
      </c>
      <c r="AH1" t="s">
        <v>307</v>
      </c>
      <c r="AI1" t="s">
        <v>308</v>
      </c>
      <c r="AJ1" t="s">
        <v>309</v>
      </c>
      <c r="AK1" t="s">
        <v>310</v>
      </c>
      <c r="AL1" t="s">
        <v>182</v>
      </c>
      <c r="AM1" t="s">
        <v>311</v>
      </c>
      <c r="AN1" t="s">
        <v>312</v>
      </c>
      <c r="AO1" t="s">
        <v>313</v>
      </c>
      <c r="AP1" t="s">
        <v>314</v>
      </c>
      <c r="AQ1" t="s">
        <v>315</v>
      </c>
      <c r="AR1" t="s">
        <v>316</v>
      </c>
      <c r="AS1" t="s">
        <v>317</v>
      </c>
      <c r="AT1" t="s">
        <v>318</v>
      </c>
      <c r="AU1" t="s">
        <v>319</v>
      </c>
      <c r="AV1" t="s">
        <v>320</v>
      </c>
      <c r="AW1" t="s">
        <v>321</v>
      </c>
      <c r="AX1" t="s">
        <v>322</v>
      </c>
      <c r="AY1" t="s">
        <v>323</v>
      </c>
      <c r="AZ1" t="s">
        <v>324</v>
      </c>
      <c r="BA1" t="s">
        <v>325</v>
      </c>
      <c r="BB1" t="s">
        <v>326</v>
      </c>
      <c r="BC1" t="s">
        <v>117</v>
      </c>
      <c r="BD1" t="s">
        <v>118</v>
      </c>
      <c r="BE1" t="s">
        <v>119</v>
      </c>
      <c r="BF1" t="s">
        <v>120</v>
      </c>
    </row>
    <row r="2" spans="1:58" x14ac:dyDescent="0.3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</row>
    <row r="3" spans="1:58" x14ac:dyDescent="0.35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</row>
    <row r="4" spans="1:58" x14ac:dyDescent="0.35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</row>
    <row r="5" spans="1:58" x14ac:dyDescent="0.35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</row>
    <row r="6" spans="1:58" x14ac:dyDescent="0.35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</row>
    <row r="7" spans="1:58" x14ac:dyDescent="0.35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</row>
    <row r="8" spans="1:58" x14ac:dyDescent="0.35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</row>
    <row r="9" spans="1:58" x14ac:dyDescent="0.35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</row>
    <row r="10" spans="1:58" x14ac:dyDescent="0.35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</row>
    <row r="11" spans="1:58" x14ac:dyDescent="0.35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</row>
    <row r="12" spans="1:58" x14ac:dyDescent="0.35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</row>
    <row r="13" spans="1:58" x14ac:dyDescent="0.35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</row>
    <row r="14" spans="1:58" x14ac:dyDescent="0.35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</row>
    <row r="15" spans="1:58" x14ac:dyDescent="0.35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</row>
    <row r="16" spans="1:58" x14ac:dyDescent="0.35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</row>
    <row r="17" spans="1:58" x14ac:dyDescent="0.35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</row>
    <row r="18" spans="1:58" x14ac:dyDescent="0.35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</row>
    <row r="19" spans="1:58" x14ac:dyDescent="0.35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</row>
    <row r="20" spans="1:58" x14ac:dyDescent="0.35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</row>
    <row r="21" spans="1:58" x14ac:dyDescent="0.35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</row>
    <row r="22" spans="1:58" x14ac:dyDescent="0.35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</row>
    <row r="23" spans="1:58" x14ac:dyDescent="0.35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</row>
    <row r="24" spans="1:58" x14ac:dyDescent="0.35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</row>
    <row r="25" spans="1:58" x14ac:dyDescent="0.3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</row>
    <row r="26" spans="1:58" x14ac:dyDescent="0.35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</row>
    <row r="27" spans="1:58" x14ac:dyDescent="0.35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</row>
    <row r="28" spans="1:58" x14ac:dyDescent="0.35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</row>
    <row r="29" spans="1:58" x14ac:dyDescent="0.35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</row>
    <row r="30" spans="1:58" x14ac:dyDescent="0.35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</row>
    <row r="31" spans="1:58" x14ac:dyDescent="0.35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</row>
    <row r="32" spans="1:58" x14ac:dyDescent="0.35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</row>
    <row r="33" spans="1:58" x14ac:dyDescent="0.35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</row>
    <row r="34" spans="1:58" x14ac:dyDescent="0.35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</row>
    <row r="35" spans="1:58" x14ac:dyDescent="0.35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</row>
    <row r="36" spans="1:58" x14ac:dyDescent="0.35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</row>
    <row r="37" spans="1:58" x14ac:dyDescent="0.35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</row>
    <row r="38" spans="1:58" x14ac:dyDescent="0.35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</row>
    <row r="39" spans="1:58" x14ac:dyDescent="0.35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</row>
    <row r="40" spans="1:58" x14ac:dyDescent="0.35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</row>
    <row r="41" spans="1:58" x14ac:dyDescent="0.35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</row>
    <row r="42" spans="1:58" x14ac:dyDescent="0.35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</row>
    <row r="43" spans="1:58" x14ac:dyDescent="0.35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</row>
    <row r="44" spans="1:58" x14ac:dyDescent="0.35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</row>
    <row r="45" spans="1:58" x14ac:dyDescent="0.35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</row>
    <row r="46" spans="1:58" x14ac:dyDescent="0.35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</row>
    <row r="47" spans="1:58" x14ac:dyDescent="0.35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</row>
    <row r="48" spans="1:58" x14ac:dyDescent="0.35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</row>
    <row r="49" spans="1:58" x14ac:dyDescent="0.35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</row>
    <row r="50" spans="1:58" x14ac:dyDescent="0.35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</row>
    <row r="51" spans="1:58" x14ac:dyDescent="0.35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</row>
    <row r="52" spans="1:58" x14ac:dyDescent="0.35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</row>
    <row r="53" spans="1:58" x14ac:dyDescent="0.35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</row>
    <row r="54" spans="1:58" x14ac:dyDescent="0.35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</row>
    <row r="55" spans="1:58" x14ac:dyDescent="0.3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</row>
    <row r="56" spans="1:58" x14ac:dyDescent="0.35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</row>
    <row r="57" spans="1:58" x14ac:dyDescent="0.35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</row>
    <row r="58" spans="1:58" x14ac:dyDescent="0.35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</row>
    <row r="59" spans="1:58" x14ac:dyDescent="0.35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</row>
    <row r="60" spans="1:58" x14ac:dyDescent="0.35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</row>
    <row r="61" spans="1:58" x14ac:dyDescent="0.35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</row>
    <row r="62" spans="1:58" x14ac:dyDescent="0.35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</row>
    <row r="63" spans="1:58" x14ac:dyDescent="0.35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</row>
    <row r="64" spans="1:58" x14ac:dyDescent="0.35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</row>
    <row r="65" spans="1:58" x14ac:dyDescent="0.3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</row>
    <row r="66" spans="1:58" x14ac:dyDescent="0.35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</row>
    <row r="67" spans="1:58" x14ac:dyDescent="0.35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</row>
    <row r="68" spans="1:58" x14ac:dyDescent="0.35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</row>
    <row r="69" spans="1:58" x14ac:dyDescent="0.35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</row>
    <row r="70" spans="1:58" x14ac:dyDescent="0.35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</row>
    <row r="71" spans="1:58" x14ac:dyDescent="0.35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</row>
    <row r="72" spans="1:58" x14ac:dyDescent="0.35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</row>
    <row r="73" spans="1:58" x14ac:dyDescent="0.35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</row>
    <row r="74" spans="1:58" x14ac:dyDescent="0.35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</row>
    <row r="75" spans="1:58" x14ac:dyDescent="0.3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</row>
    <row r="76" spans="1:58" x14ac:dyDescent="0.35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</row>
    <row r="77" spans="1:58" x14ac:dyDescent="0.35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</row>
    <row r="78" spans="1:58" x14ac:dyDescent="0.35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</row>
    <row r="79" spans="1:58" x14ac:dyDescent="0.35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</row>
    <row r="80" spans="1:58" x14ac:dyDescent="0.35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</row>
    <row r="81" spans="1:58" x14ac:dyDescent="0.35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</row>
    <row r="82" spans="1:58" x14ac:dyDescent="0.35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</row>
    <row r="83" spans="1:58" x14ac:dyDescent="0.35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</row>
    <row r="84" spans="1:58" x14ac:dyDescent="0.35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</row>
    <row r="85" spans="1:58" x14ac:dyDescent="0.3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</row>
    <row r="86" spans="1:58" x14ac:dyDescent="0.35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</row>
    <row r="87" spans="1:58" x14ac:dyDescent="0.35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</row>
    <row r="88" spans="1:58" x14ac:dyDescent="0.35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</row>
    <row r="89" spans="1:58" x14ac:dyDescent="0.35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</row>
    <row r="90" spans="1:58" x14ac:dyDescent="0.35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</row>
    <row r="91" spans="1:58" x14ac:dyDescent="0.35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</row>
    <row r="92" spans="1:58" x14ac:dyDescent="0.35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</row>
    <row r="93" spans="1:58" x14ac:dyDescent="0.35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</row>
    <row r="94" spans="1:58" x14ac:dyDescent="0.35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</row>
    <row r="95" spans="1:58" x14ac:dyDescent="0.3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</row>
    <row r="96" spans="1:58" x14ac:dyDescent="0.35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</row>
    <row r="97" spans="1:58" x14ac:dyDescent="0.35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</row>
    <row r="98" spans="1:58" x14ac:dyDescent="0.35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</row>
    <row r="99" spans="1:58" x14ac:dyDescent="0.35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</row>
    <row r="100" spans="1:58" x14ac:dyDescent="0.35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</row>
    <row r="101" spans="1:58" x14ac:dyDescent="0.35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</row>
    <row r="102" spans="1:58" x14ac:dyDescent="0.35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5"/>
      <c r="AT102" s="125"/>
      <c r="AU102" s="125"/>
      <c r="AV102" s="125"/>
      <c r="AW102" s="125"/>
      <c r="AX102" s="125"/>
      <c r="AY102" s="125"/>
      <c r="AZ102" s="125"/>
      <c r="BA102" s="125"/>
      <c r="BB102" s="125"/>
      <c r="BC102" s="125"/>
      <c r="BD102" s="125"/>
      <c r="BE102" s="125"/>
      <c r="BF102" s="125"/>
    </row>
    <row r="103" spans="1:58" x14ac:dyDescent="0.35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  <c r="AM103" s="125"/>
      <c r="AN103" s="125"/>
      <c r="AO103" s="125"/>
      <c r="AP103" s="125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  <c r="BE103" s="125"/>
      <c r="BF103" s="125"/>
    </row>
    <row r="104" spans="1:58" x14ac:dyDescent="0.35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/>
      <c r="BF104" s="125"/>
    </row>
    <row r="105" spans="1:58" x14ac:dyDescent="0.3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</row>
    <row r="106" spans="1:58" x14ac:dyDescent="0.35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</row>
    <row r="107" spans="1:58" x14ac:dyDescent="0.35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</row>
    <row r="108" spans="1:58" x14ac:dyDescent="0.35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</row>
    <row r="109" spans="1:58" x14ac:dyDescent="0.35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</row>
    <row r="110" spans="1:58" x14ac:dyDescent="0.35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/>
      <c r="AN110" s="125"/>
      <c r="AO110" s="125"/>
      <c r="AP110" s="125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</row>
    <row r="111" spans="1:58" x14ac:dyDescent="0.35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5"/>
      <c r="BD111" s="125"/>
      <c r="BE111" s="125"/>
      <c r="BF111" s="125"/>
    </row>
    <row r="112" spans="1:58" x14ac:dyDescent="0.35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5"/>
      <c r="BC112" s="125"/>
      <c r="BD112" s="125"/>
      <c r="BE112" s="125"/>
      <c r="BF112" s="125"/>
    </row>
    <row r="113" spans="1:58" x14ac:dyDescent="0.35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</row>
    <row r="114" spans="1:58" x14ac:dyDescent="0.35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5"/>
      <c r="AU114" s="125"/>
      <c r="AV114" s="125"/>
      <c r="AW114" s="125"/>
      <c r="AX114" s="125"/>
      <c r="AY114" s="125"/>
      <c r="AZ114" s="125"/>
      <c r="BA114" s="125"/>
      <c r="BB114" s="125"/>
      <c r="BC114" s="125"/>
      <c r="BD114" s="125"/>
      <c r="BE114" s="125"/>
      <c r="BF114" s="125"/>
    </row>
    <row r="115" spans="1:58" x14ac:dyDescent="0.3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5"/>
      <c r="AT115" s="125"/>
      <c r="AU115" s="125"/>
      <c r="AV115" s="125"/>
      <c r="AW115" s="125"/>
      <c r="AX115" s="125"/>
      <c r="AY115" s="125"/>
      <c r="AZ115" s="125"/>
      <c r="BA115" s="125"/>
      <c r="BB115" s="125"/>
      <c r="BC115" s="125"/>
      <c r="BD115" s="125"/>
      <c r="BE115" s="125"/>
      <c r="BF115" s="125"/>
    </row>
    <row r="116" spans="1:58" x14ac:dyDescent="0.35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/>
      <c r="AX116" s="125"/>
      <c r="AY116" s="125"/>
      <c r="AZ116" s="125"/>
      <c r="BA116" s="125"/>
      <c r="BB116" s="125"/>
      <c r="BC116" s="125"/>
      <c r="BD116" s="125"/>
      <c r="BE116" s="125"/>
      <c r="BF116" s="125"/>
    </row>
    <row r="117" spans="1:58" x14ac:dyDescent="0.35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  <c r="BE117" s="125"/>
      <c r="BF117" s="125"/>
    </row>
    <row r="118" spans="1:58" x14ac:dyDescent="0.35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/>
      <c r="AT118" s="125"/>
      <c r="AU118" s="125"/>
      <c r="AV118" s="125"/>
      <c r="AW118" s="125"/>
      <c r="AX118" s="125"/>
      <c r="AY118" s="125"/>
      <c r="AZ118" s="125"/>
      <c r="BA118" s="125"/>
      <c r="BB118" s="125"/>
      <c r="BC118" s="125"/>
      <c r="BD118" s="125"/>
      <c r="BE118" s="125"/>
      <c r="BF118" s="125"/>
    </row>
    <row r="119" spans="1:58" x14ac:dyDescent="0.35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5"/>
      <c r="AT119" s="125"/>
      <c r="AU119" s="125"/>
      <c r="AV119" s="125"/>
      <c r="AW119" s="125"/>
      <c r="AX119" s="125"/>
      <c r="AY119" s="125"/>
      <c r="AZ119" s="125"/>
      <c r="BA119" s="125"/>
      <c r="BB119" s="125"/>
      <c r="BC119" s="125"/>
      <c r="BD119" s="125"/>
      <c r="BE119" s="125"/>
      <c r="BF119" s="125"/>
    </row>
    <row r="120" spans="1:58" x14ac:dyDescent="0.35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5"/>
      <c r="AU120" s="125"/>
      <c r="AV120" s="125"/>
      <c r="AW120" s="125"/>
      <c r="AX120" s="125"/>
      <c r="AY120" s="125"/>
      <c r="AZ120" s="125"/>
      <c r="BA120" s="125"/>
      <c r="BB120" s="125"/>
      <c r="BC120" s="125"/>
      <c r="BD120" s="125"/>
      <c r="BE120" s="125"/>
      <c r="BF120" s="125"/>
    </row>
    <row r="121" spans="1:58" x14ac:dyDescent="0.35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/>
      <c r="AP121" s="125"/>
      <c r="AQ121" s="125"/>
      <c r="AR121" s="125"/>
      <c r="AS121" s="125"/>
      <c r="AT121" s="125"/>
      <c r="AU121" s="125"/>
      <c r="AV121" s="125"/>
      <c r="AW121" s="125"/>
      <c r="AX121" s="125"/>
      <c r="AY121" s="125"/>
      <c r="AZ121" s="125"/>
      <c r="BA121" s="125"/>
      <c r="BB121" s="125"/>
      <c r="BC121" s="125"/>
      <c r="BD121" s="125"/>
      <c r="BE121" s="125"/>
      <c r="BF121" s="125"/>
    </row>
    <row r="122" spans="1:58" x14ac:dyDescent="0.35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5"/>
      <c r="AT122" s="125"/>
      <c r="AU122" s="125"/>
      <c r="AV122" s="125"/>
      <c r="AW122" s="125"/>
      <c r="AX122" s="125"/>
      <c r="AY122" s="125"/>
      <c r="AZ122" s="125"/>
      <c r="BA122" s="125"/>
      <c r="BB122" s="125"/>
      <c r="BC122" s="125"/>
      <c r="BD122" s="125"/>
      <c r="BE122" s="125"/>
      <c r="BF122" s="125"/>
    </row>
    <row r="123" spans="1:58" x14ac:dyDescent="0.35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5"/>
      <c r="AT123" s="125"/>
      <c r="AU123" s="125"/>
      <c r="AV123" s="125"/>
      <c r="AW123" s="125"/>
      <c r="AX123" s="125"/>
      <c r="AY123" s="125"/>
      <c r="AZ123" s="125"/>
      <c r="BA123" s="125"/>
      <c r="BB123" s="125"/>
      <c r="BC123" s="125"/>
      <c r="BD123" s="125"/>
      <c r="BE123" s="125"/>
      <c r="BF123" s="125"/>
    </row>
    <row r="124" spans="1:58" x14ac:dyDescent="0.35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5"/>
      <c r="BB124" s="125"/>
      <c r="BC124" s="125"/>
      <c r="BD124" s="125"/>
      <c r="BE124" s="125"/>
      <c r="BF124" s="125"/>
    </row>
    <row r="125" spans="1:58" x14ac:dyDescent="0.3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5"/>
      <c r="AT125" s="125"/>
      <c r="AU125" s="125"/>
      <c r="AV125" s="125"/>
      <c r="AW125" s="125"/>
      <c r="AX125" s="125"/>
      <c r="AY125" s="125"/>
      <c r="AZ125" s="125"/>
      <c r="BA125" s="125"/>
      <c r="BB125" s="125"/>
      <c r="BC125" s="125"/>
      <c r="BD125" s="125"/>
      <c r="BE125" s="125"/>
      <c r="BF125" s="125"/>
    </row>
    <row r="126" spans="1:58" x14ac:dyDescent="0.35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5"/>
      <c r="BF126" s="125"/>
    </row>
    <row r="127" spans="1:58" x14ac:dyDescent="0.35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5"/>
      <c r="AN127" s="125"/>
      <c r="AO127" s="125"/>
      <c r="AP127" s="125"/>
      <c r="AQ127" s="125"/>
      <c r="AR127" s="125"/>
      <c r="AS127" s="125"/>
      <c r="AT127" s="125"/>
      <c r="AU127" s="125"/>
      <c r="AV127" s="125"/>
      <c r="AW127" s="125"/>
      <c r="AX127" s="125"/>
      <c r="AY127" s="125"/>
      <c r="AZ127" s="125"/>
      <c r="BA127" s="125"/>
      <c r="BB127" s="125"/>
      <c r="BC127" s="125"/>
      <c r="BD127" s="125"/>
      <c r="BE127" s="125"/>
      <c r="BF127" s="125"/>
    </row>
    <row r="128" spans="1:58" x14ac:dyDescent="0.35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/>
      <c r="BF128" s="125"/>
    </row>
    <row r="129" spans="1:58" x14ac:dyDescent="0.35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</row>
    <row r="130" spans="1:58" x14ac:dyDescent="0.35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</row>
    <row r="131" spans="1:58" x14ac:dyDescent="0.35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</row>
    <row r="132" spans="1:58" x14ac:dyDescent="0.35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5"/>
      <c r="AU132" s="125"/>
      <c r="AV132" s="125"/>
      <c r="AW132" s="125"/>
      <c r="AX132" s="125"/>
      <c r="AY132" s="125"/>
      <c r="AZ132" s="125"/>
      <c r="BA132" s="125"/>
      <c r="BB132" s="125"/>
      <c r="BC132" s="125"/>
      <c r="BD132" s="125"/>
      <c r="BE132" s="125"/>
      <c r="BF132" s="125"/>
    </row>
    <row r="133" spans="1:58" x14ac:dyDescent="0.35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5"/>
      <c r="BC133" s="125"/>
      <c r="BD133" s="125"/>
      <c r="BE133" s="125"/>
      <c r="BF133" s="125"/>
    </row>
    <row r="134" spans="1:58" x14ac:dyDescent="0.35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/>
      <c r="BA134" s="125"/>
      <c r="BB134" s="125"/>
      <c r="BC134" s="125"/>
      <c r="BD134" s="125"/>
      <c r="BE134" s="125"/>
      <c r="BF134" s="125"/>
    </row>
    <row r="135" spans="1:58" x14ac:dyDescent="0.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</row>
    <row r="136" spans="1:58" x14ac:dyDescent="0.35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</row>
    <row r="137" spans="1:58" x14ac:dyDescent="0.35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</row>
    <row r="138" spans="1:58" x14ac:dyDescent="0.35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</row>
    <row r="139" spans="1:58" x14ac:dyDescent="0.35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5"/>
      <c r="AU139" s="125"/>
      <c r="AV139" s="125"/>
      <c r="AW139" s="125"/>
      <c r="AX139" s="125"/>
      <c r="AY139" s="125"/>
      <c r="AZ139" s="125"/>
      <c r="BA139" s="125"/>
      <c r="BB139" s="125"/>
      <c r="BC139" s="125"/>
      <c r="BD139" s="125"/>
      <c r="BE139" s="125"/>
      <c r="BF139" s="125"/>
    </row>
    <row r="140" spans="1:58" x14ac:dyDescent="0.35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/>
      <c r="AX140" s="125"/>
      <c r="AY140" s="125"/>
      <c r="AZ140" s="125"/>
      <c r="BA140" s="125"/>
      <c r="BB140" s="125"/>
      <c r="BC140" s="125"/>
      <c r="BD140" s="125"/>
      <c r="BE140" s="125"/>
      <c r="BF140" s="125"/>
    </row>
    <row r="141" spans="1:58" x14ac:dyDescent="0.35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</row>
    <row r="142" spans="1:58" x14ac:dyDescent="0.35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</row>
    <row r="143" spans="1:58" x14ac:dyDescent="0.35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25"/>
      <c r="BF143" s="125"/>
    </row>
    <row r="144" spans="1:58" x14ac:dyDescent="0.35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</row>
    <row r="145" spans="1:58" x14ac:dyDescent="0.3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</row>
    <row r="146" spans="1:58" x14ac:dyDescent="0.35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5"/>
      <c r="AT146" s="125"/>
      <c r="AU146" s="125"/>
      <c r="AV146" s="125"/>
      <c r="AW146" s="125"/>
      <c r="AX146" s="125"/>
      <c r="AY146" s="125"/>
      <c r="AZ146" s="125"/>
      <c r="BA146" s="125"/>
      <c r="BB146" s="125"/>
      <c r="BC146" s="125"/>
      <c r="BD146" s="125"/>
      <c r="BE146" s="125"/>
      <c r="BF146" s="125"/>
    </row>
    <row r="147" spans="1:58" x14ac:dyDescent="0.35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  <c r="AT147" s="125"/>
      <c r="AU147" s="125"/>
      <c r="AV147" s="125"/>
      <c r="AW147" s="125"/>
      <c r="AX147" s="125"/>
      <c r="AY147" s="125"/>
      <c r="AZ147" s="125"/>
      <c r="BA147" s="125"/>
      <c r="BB147" s="125"/>
      <c r="BC147" s="125"/>
      <c r="BD147" s="125"/>
      <c r="BE147" s="125"/>
      <c r="BF147" s="125"/>
    </row>
    <row r="148" spans="1:58" x14ac:dyDescent="0.35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  <c r="AQ148" s="125"/>
      <c r="AR148" s="125"/>
      <c r="AS148" s="125"/>
      <c r="AT148" s="125"/>
      <c r="AU148" s="125"/>
      <c r="AV148" s="125"/>
      <c r="AW148" s="125"/>
      <c r="AX148" s="125"/>
      <c r="AY148" s="125"/>
      <c r="AZ148" s="125"/>
      <c r="BA148" s="125"/>
      <c r="BB148" s="125"/>
      <c r="BC148" s="125"/>
      <c r="BD148" s="125"/>
      <c r="BE148" s="125"/>
      <c r="BF148" s="125"/>
    </row>
    <row r="149" spans="1:58" x14ac:dyDescent="0.35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  <c r="AT149" s="125"/>
      <c r="AU149" s="125"/>
      <c r="AV149" s="125"/>
      <c r="AW149" s="125"/>
      <c r="AX149" s="125"/>
      <c r="AY149" s="125"/>
      <c r="AZ149" s="125"/>
      <c r="BA149" s="125"/>
      <c r="BB149" s="125"/>
      <c r="BC149" s="125"/>
      <c r="BD149" s="125"/>
      <c r="BE149" s="125"/>
      <c r="BF149" s="125"/>
    </row>
    <row r="150" spans="1:58" x14ac:dyDescent="0.35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  <c r="AT150" s="125"/>
      <c r="AU150" s="125"/>
      <c r="AV150" s="125"/>
      <c r="AW150" s="125"/>
      <c r="AX150" s="125"/>
      <c r="AY150" s="125"/>
      <c r="AZ150" s="125"/>
      <c r="BA150" s="125"/>
      <c r="BB150" s="125"/>
      <c r="BC150" s="125"/>
      <c r="BD150" s="125"/>
      <c r="BE150" s="125"/>
      <c r="BF150" s="125"/>
    </row>
    <row r="151" spans="1:58" x14ac:dyDescent="0.35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5"/>
      <c r="AT151" s="125"/>
      <c r="AU151" s="125"/>
      <c r="AV151" s="125"/>
      <c r="AW151" s="125"/>
      <c r="AX151" s="125"/>
      <c r="AY151" s="125"/>
      <c r="AZ151" s="125"/>
      <c r="BA151" s="125"/>
      <c r="BB151" s="125"/>
      <c r="BC151" s="125"/>
      <c r="BD151" s="125"/>
      <c r="BE151" s="125"/>
      <c r="BF151" s="125"/>
    </row>
    <row r="152" spans="1:58" x14ac:dyDescent="0.35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5"/>
      <c r="AT152" s="125"/>
      <c r="AU152" s="125"/>
      <c r="AV152" s="125"/>
      <c r="AW152" s="125"/>
      <c r="AX152" s="125"/>
      <c r="AY152" s="125"/>
      <c r="AZ152" s="125"/>
      <c r="BA152" s="125"/>
      <c r="BB152" s="125"/>
      <c r="BC152" s="125"/>
      <c r="BD152" s="125"/>
      <c r="BE152" s="125"/>
      <c r="BF152" s="125"/>
    </row>
    <row r="153" spans="1:58" x14ac:dyDescent="0.35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s="125"/>
      <c r="AV153" s="125"/>
      <c r="AW153" s="125"/>
      <c r="AX153" s="125"/>
      <c r="AY153" s="125"/>
      <c r="AZ153" s="125"/>
      <c r="BA153" s="125"/>
      <c r="BB153" s="125"/>
      <c r="BC153" s="125"/>
      <c r="BD153" s="125"/>
      <c r="BE153" s="125"/>
      <c r="BF153" s="125"/>
    </row>
    <row r="154" spans="1:58" x14ac:dyDescent="0.35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5"/>
      <c r="AU154" s="125"/>
      <c r="AV154" s="125"/>
      <c r="AW154" s="125"/>
      <c r="AX154" s="125"/>
      <c r="AY154" s="125"/>
      <c r="AZ154" s="125"/>
      <c r="BA154" s="125"/>
      <c r="BB154" s="125"/>
      <c r="BC154" s="125"/>
      <c r="BD154" s="125"/>
      <c r="BE154" s="125"/>
      <c r="BF154" s="125"/>
    </row>
    <row r="155" spans="1:58" x14ac:dyDescent="0.3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25"/>
      <c r="AW155" s="125"/>
      <c r="AX155" s="125"/>
      <c r="AY155" s="125"/>
      <c r="AZ155" s="125"/>
      <c r="BA155" s="125"/>
      <c r="BB155" s="125"/>
      <c r="BC155" s="125"/>
      <c r="BD155" s="125"/>
      <c r="BE155" s="125"/>
      <c r="BF155" s="125"/>
    </row>
    <row r="156" spans="1:58" x14ac:dyDescent="0.35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  <c r="AV156" s="125"/>
      <c r="AW156" s="125"/>
      <c r="AX156" s="125"/>
      <c r="AY156" s="125"/>
      <c r="AZ156" s="125"/>
      <c r="BA156" s="125"/>
      <c r="BB156" s="125"/>
      <c r="BC156" s="125"/>
      <c r="BD156" s="125"/>
      <c r="BE156" s="125"/>
      <c r="BF156" s="125"/>
    </row>
    <row r="157" spans="1:58" x14ac:dyDescent="0.35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  <c r="AT157" s="125"/>
      <c r="AU157" s="125"/>
      <c r="AV157" s="125"/>
      <c r="AW157" s="125"/>
      <c r="AX157" s="125"/>
      <c r="AY157" s="125"/>
      <c r="AZ157" s="125"/>
      <c r="BA157" s="125"/>
      <c r="BB157" s="125"/>
      <c r="BC157" s="125"/>
      <c r="BD157" s="125"/>
      <c r="BE157" s="125"/>
      <c r="BF157" s="125"/>
    </row>
    <row r="158" spans="1:58" x14ac:dyDescent="0.35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25"/>
      <c r="AT158" s="125"/>
      <c r="AU158" s="125"/>
      <c r="AV158" s="125"/>
      <c r="AW158" s="125"/>
      <c r="AX158" s="125"/>
      <c r="AY158" s="125"/>
      <c r="AZ158" s="125"/>
      <c r="BA158" s="125"/>
      <c r="BB158" s="125"/>
      <c r="BC158" s="125"/>
      <c r="BD158" s="125"/>
      <c r="BE158" s="125"/>
      <c r="BF158" s="125"/>
    </row>
    <row r="159" spans="1:58" x14ac:dyDescent="0.35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25"/>
      <c r="AW159" s="125"/>
      <c r="AX159" s="125"/>
      <c r="AY159" s="125"/>
      <c r="AZ159" s="125"/>
      <c r="BA159" s="125"/>
      <c r="BB159" s="125"/>
      <c r="BC159" s="125"/>
      <c r="BD159" s="125"/>
      <c r="BE159" s="125"/>
      <c r="BF159" s="125"/>
    </row>
    <row r="160" spans="1:58" x14ac:dyDescent="0.35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25"/>
      <c r="AT160" s="125"/>
      <c r="AU160" s="125"/>
      <c r="AV160" s="125"/>
      <c r="AW160" s="125"/>
      <c r="AX160" s="125"/>
      <c r="AY160" s="125"/>
      <c r="AZ160" s="125"/>
      <c r="BA160" s="125"/>
      <c r="BB160" s="125"/>
      <c r="BC160" s="125"/>
      <c r="BD160" s="125"/>
      <c r="BE160" s="125"/>
      <c r="BF160" s="125"/>
    </row>
    <row r="161" spans="1:58" x14ac:dyDescent="0.35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  <c r="AT161" s="125"/>
      <c r="AU161" s="125"/>
      <c r="AV161" s="125"/>
      <c r="AW161" s="125"/>
      <c r="AX161" s="125"/>
      <c r="AY161" s="125"/>
      <c r="AZ161" s="125"/>
      <c r="BA161" s="125"/>
      <c r="BB161" s="125"/>
      <c r="BC161" s="125"/>
      <c r="BD161" s="125"/>
      <c r="BE161" s="125"/>
      <c r="BF161" s="125"/>
    </row>
    <row r="162" spans="1:58" x14ac:dyDescent="0.35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5"/>
      <c r="BD162" s="125"/>
      <c r="BE162" s="125"/>
      <c r="BF162" s="125"/>
    </row>
    <row r="163" spans="1:58" x14ac:dyDescent="0.35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25"/>
      <c r="AT163" s="125"/>
      <c r="AU163" s="125"/>
      <c r="AV163" s="125"/>
      <c r="AW163" s="125"/>
      <c r="AX163" s="125"/>
      <c r="AY163" s="125"/>
      <c r="AZ163" s="125"/>
      <c r="BA163" s="125"/>
      <c r="BB163" s="125"/>
      <c r="BC163" s="125"/>
      <c r="BD163" s="125"/>
      <c r="BE163" s="125"/>
      <c r="BF163" s="125"/>
    </row>
    <row r="164" spans="1:58" x14ac:dyDescent="0.35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25"/>
      <c r="AT164" s="125"/>
      <c r="AU164" s="125"/>
      <c r="AV164" s="125"/>
      <c r="AW164" s="125"/>
      <c r="AX164" s="125"/>
      <c r="AY164" s="125"/>
      <c r="AZ164" s="125"/>
      <c r="BA164" s="125"/>
      <c r="BB164" s="125"/>
      <c r="BC164" s="125"/>
      <c r="BD164" s="125"/>
      <c r="BE164" s="125"/>
      <c r="BF164" s="125"/>
    </row>
    <row r="165" spans="1:58" x14ac:dyDescent="0.3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25"/>
      <c r="AT165" s="125"/>
      <c r="AU165" s="125"/>
      <c r="AV165" s="125"/>
      <c r="AW165" s="125"/>
      <c r="AX165" s="125"/>
      <c r="AY165" s="125"/>
      <c r="AZ165" s="125"/>
      <c r="BA165" s="125"/>
      <c r="BB165" s="125"/>
      <c r="BC165" s="125"/>
      <c r="BD165" s="125"/>
      <c r="BE165" s="125"/>
      <c r="BF165" s="125"/>
    </row>
    <row r="166" spans="1:58" x14ac:dyDescent="0.35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5"/>
      <c r="AL166" s="125"/>
      <c r="AM166" s="125"/>
      <c r="AN166" s="125"/>
      <c r="AO166" s="125"/>
      <c r="AP166" s="125"/>
      <c r="AQ166" s="125"/>
      <c r="AR166" s="125"/>
      <c r="AS166" s="125"/>
      <c r="AT166" s="125"/>
      <c r="AU166" s="125"/>
      <c r="AV166" s="125"/>
      <c r="AW166" s="125"/>
      <c r="AX166" s="125"/>
      <c r="AY166" s="125"/>
      <c r="AZ166" s="125"/>
      <c r="BA166" s="125"/>
      <c r="BB166" s="125"/>
      <c r="BC166" s="125"/>
      <c r="BD166" s="125"/>
      <c r="BE166" s="125"/>
      <c r="BF166" s="125"/>
    </row>
    <row r="167" spans="1:58" x14ac:dyDescent="0.35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  <c r="AM167" s="125"/>
      <c r="AN167" s="125"/>
      <c r="AO167" s="125"/>
      <c r="AP167" s="125"/>
      <c r="AQ167" s="125"/>
      <c r="AR167" s="125"/>
      <c r="AS167" s="125"/>
      <c r="AT167" s="125"/>
      <c r="AU167" s="125"/>
      <c r="AV167" s="125"/>
      <c r="AW167" s="125"/>
      <c r="AX167" s="125"/>
      <c r="AY167" s="125"/>
      <c r="AZ167" s="125"/>
      <c r="BA167" s="125"/>
      <c r="BB167" s="125"/>
      <c r="BC167" s="125"/>
      <c r="BD167" s="125"/>
      <c r="BE167" s="125"/>
      <c r="BF167" s="125"/>
    </row>
    <row r="168" spans="1:58" x14ac:dyDescent="0.35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  <c r="AQ168" s="125"/>
      <c r="AR168" s="125"/>
      <c r="AS168" s="125"/>
      <c r="AT168" s="125"/>
      <c r="AU168" s="125"/>
      <c r="AV168" s="125"/>
      <c r="AW168" s="125"/>
      <c r="AX168" s="125"/>
      <c r="AY168" s="125"/>
      <c r="AZ168" s="125"/>
      <c r="BA168" s="125"/>
      <c r="BB168" s="125"/>
      <c r="BC168" s="125"/>
      <c r="BD168" s="125"/>
      <c r="BE168" s="125"/>
      <c r="BF168" s="125"/>
    </row>
    <row r="169" spans="1:58" x14ac:dyDescent="0.35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  <c r="AT169" s="125"/>
      <c r="AU169" s="125"/>
      <c r="AV169" s="125"/>
      <c r="AW169" s="125"/>
      <c r="AX169" s="125"/>
      <c r="AY169" s="125"/>
      <c r="AZ169" s="125"/>
      <c r="BA169" s="125"/>
      <c r="BB169" s="125"/>
      <c r="BC169" s="125"/>
      <c r="BD169" s="125"/>
      <c r="BE169" s="125"/>
      <c r="BF169" s="125"/>
    </row>
    <row r="170" spans="1:58" x14ac:dyDescent="0.35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  <c r="AQ170" s="125"/>
      <c r="AR170" s="125"/>
      <c r="AS170" s="125"/>
      <c r="AT170" s="125"/>
      <c r="AU170" s="125"/>
      <c r="AV170" s="125"/>
      <c r="AW170" s="125"/>
      <c r="AX170" s="125"/>
      <c r="AY170" s="125"/>
      <c r="AZ170" s="125"/>
      <c r="BA170" s="125"/>
      <c r="BB170" s="125"/>
      <c r="BC170" s="125"/>
      <c r="BD170" s="125"/>
      <c r="BE170" s="125"/>
      <c r="BF170" s="125"/>
    </row>
    <row r="171" spans="1:58" x14ac:dyDescent="0.35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25"/>
      <c r="AX171" s="125"/>
      <c r="AY171" s="125"/>
      <c r="AZ171" s="125"/>
      <c r="BA171" s="125"/>
      <c r="BB171" s="125"/>
      <c r="BC171" s="125"/>
      <c r="BD171" s="125"/>
      <c r="BE171" s="125"/>
      <c r="BF171" s="125"/>
    </row>
    <row r="172" spans="1:58" x14ac:dyDescent="0.35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25"/>
      <c r="AO172" s="125"/>
      <c r="AP172" s="125"/>
      <c r="AQ172" s="125"/>
      <c r="AR172" s="125"/>
      <c r="AS172" s="125"/>
      <c r="AT172" s="125"/>
      <c r="AU172" s="125"/>
      <c r="AV172" s="125"/>
      <c r="AW172" s="125"/>
      <c r="AX172" s="125"/>
      <c r="AY172" s="125"/>
      <c r="AZ172" s="125"/>
      <c r="BA172" s="125"/>
      <c r="BB172" s="125"/>
      <c r="BC172" s="125"/>
      <c r="BD172" s="125"/>
      <c r="BE172" s="125"/>
      <c r="BF172" s="125"/>
    </row>
    <row r="173" spans="1:58" x14ac:dyDescent="0.35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5"/>
      <c r="AL173" s="125"/>
      <c r="AM173" s="125"/>
      <c r="AN173" s="125"/>
      <c r="AO173" s="125"/>
      <c r="AP173" s="125"/>
      <c r="AQ173" s="125"/>
      <c r="AR173" s="125"/>
      <c r="AS173" s="125"/>
      <c r="AT173" s="125"/>
      <c r="AU173" s="125"/>
      <c r="AV173" s="125"/>
      <c r="AW173" s="125"/>
      <c r="AX173" s="125"/>
      <c r="AY173" s="125"/>
      <c r="AZ173" s="125"/>
      <c r="BA173" s="125"/>
      <c r="BB173" s="125"/>
      <c r="BC173" s="125"/>
      <c r="BD173" s="125"/>
      <c r="BE173" s="125"/>
      <c r="BF173" s="125"/>
    </row>
    <row r="174" spans="1:58" x14ac:dyDescent="0.35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  <c r="AQ174" s="125"/>
      <c r="AR174" s="125"/>
      <c r="AS174" s="125"/>
      <c r="AT174" s="125"/>
      <c r="AU174" s="125"/>
      <c r="AV174" s="125"/>
      <c r="AW174" s="125"/>
      <c r="AX174" s="125"/>
      <c r="AY174" s="125"/>
      <c r="AZ174" s="125"/>
      <c r="BA174" s="125"/>
      <c r="BB174" s="125"/>
      <c r="BC174" s="125"/>
      <c r="BD174" s="125"/>
      <c r="BE174" s="125"/>
      <c r="BF174" s="125"/>
    </row>
    <row r="175" spans="1:58" x14ac:dyDescent="0.3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</row>
    <row r="176" spans="1:58" x14ac:dyDescent="0.35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</row>
    <row r="177" spans="1:58" x14ac:dyDescent="0.35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/>
      <c r="BF177" s="125"/>
    </row>
    <row r="178" spans="1:58" x14ac:dyDescent="0.35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/>
      <c r="AZ178" s="125"/>
      <c r="BA178" s="125"/>
      <c r="BB178" s="125"/>
      <c r="BC178" s="125"/>
      <c r="BD178" s="125"/>
      <c r="BE178" s="125"/>
      <c r="BF178" s="125"/>
    </row>
    <row r="179" spans="1:58" x14ac:dyDescent="0.35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25"/>
      <c r="AQ179" s="125"/>
      <c r="AR179" s="125"/>
      <c r="AS179" s="125"/>
      <c r="AT179" s="125"/>
      <c r="AU179" s="125"/>
      <c r="AV179" s="125"/>
      <c r="AW179" s="125"/>
      <c r="AX179" s="125"/>
      <c r="AY179" s="125"/>
      <c r="AZ179" s="125"/>
      <c r="BA179" s="125"/>
      <c r="BB179" s="125"/>
      <c r="BC179" s="125"/>
      <c r="BD179" s="125"/>
      <c r="BE179" s="125"/>
      <c r="BF179" s="125"/>
    </row>
    <row r="180" spans="1:58" x14ac:dyDescent="0.35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  <c r="AT180" s="125"/>
      <c r="AU180" s="125"/>
      <c r="AV180" s="125"/>
      <c r="AW180" s="125"/>
      <c r="AX180" s="125"/>
      <c r="AY180" s="125"/>
      <c r="AZ180" s="125"/>
      <c r="BA180" s="125"/>
      <c r="BB180" s="125"/>
      <c r="BC180" s="125"/>
      <c r="BD180" s="125"/>
      <c r="BE180" s="125"/>
      <c r="BF180" s="125"/>
    </row>
    <row r="181" spans="1:58" x14ac:dyDescent="0.35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  <c r="AU181" s="125"/>
      <c r="AV181" s="125"/>
      <c r="AW181" s="125"/>
      <c r="AX181" s="125"/>
      <c r="AY181" s="125"/>
      <c r="AZ181" s="125"/>
      <c r="BA181" s="125"/>
      <c r="BB181" s="125"/>
      <c r="BC181" s="125"/>
      <c r="BD181" s="125"/>
      <c r="BE181" s="125"/>
      <c r="BF181" s="125"/>
    </row>
    <row r="182" spans="1:58" x14ac:dyDescent="0.35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  <c r="AU182" s="125"/>
      <c r="AV182" s="125"/>
      <c r="AW182" s="125"/>
      <c r="AX182" s="125"/>
      <c r="AY182" s="125"/>
      <c r="AZ182" s="125"/>
      <c r="BA182" s="125"/>
      <c r="BB182" s="125"/>
      <c r="BC182" s="125"/>
      <c r="BD182" s="125"/>
      <c r="BE182" s="125"/>
      <c r="BF182" s="125"/>
    </row>
    <row r="183" spans="1:58" x14ac:dyDescent="0.35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  <c r="AQ183" s="125"/>
      <c r="AR183" s="125"/>
      <c r="AS183" s="125"/>
      <c r="AT183" s="125"/>
      <c r="AU183" s="125"/>
      <c r="AV183" s="125"/>
      <c r="AW183" s="125"/>
      <c r="AX183" s="125"/>
      <c r="AY183" s="125"/>
      <c r="AZ183" s="125"/>
      <c r="BA183" s="125"/>
      <c r="BB183" s="125"/>
      <c r="BC183" s="125"/>
      <c r="BD183" s="125"/>
      <c r="BE183" s="125"/>
      <c r="BF183" s="125"/>
    </row>
    <row r="184" spans="1:58" x14ac:dyDescent="0.35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5"/>
      <c r="BB184" s="125"/>
      <c r="BC184" s="125"/>
      <c r="BD184" s="125"/>
      <c r="BE184" s="125"/>
      <c r="BF184" s="125"/>
    </row>
    <row r="185" spans="1:58" x14ac:dyDescent="0.3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  <c r="AT185" s="125"/>
      <c r="AU185" s="125"/>
      <c r="AV185" s="125"/>
      <c r="AW185" s="125"/>
      <c r="AX185" s="125"/>
      <c r="AY185" s="125"/>
      <c r="AZ185" s="125"/>
      <c r="BA185" s="125"/>
      <c r="BB185" s="125"/>
      <c r="BC185" s="125"/>
      <c r="BD185" s="125"/>
      <c r="BE185" s="125"/>
      <c r="BF185" s="125"/>
    </row>
    <row r="186" spans="1:58" x14ac:dyDescent="0.35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s="125"/>
      <c r="AV186" s="125"/>
      <c r="AW186" s="125"/>
      <c r="AX186" s="125"/>
      <c r="AY186" s="125"/>
      <c r="AZ186" s="125"/>
      <c r="BA186" s="125"/>
      <c r="BB186" s="125"/>
      <c r="BC186" s="125"/>
      <c r="BD186" s="125"/>
      <c r="BE186" s="125"/>
      <c r="BF186" s="125"/>
    </row>
    <row r="187" spans="1:58" x14ac:dyDescent="0.35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  <c r="AU187" s="125"/>
      <c r="AV187" s="125"/>
      <c r="AW187" s="125"/>
      <c r="AX187" s="125"/>
      <c r="AY187" s="125"/>
      <c r="AZ187" s="125"/>
      <c r="BA187" s="125"/>
      <c r="BB187" s="125"/>
      <c r="BC187" s="125"/>
      <c r="BD187" s="125"/>
      <c r="BE187" s="125"/>
      <c r="BF187" s="125"/>
    </row>
    <row r="188" spans="1:58" x14ac:dyDescent="0.35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  <c r="AU188" s="125"/>
      <c r="AV188" s="125"/>
      <c r="AW188" s="125"/>
      <c r="AX188" s="125"/>
      <c r="AY188" s="125"/>
      <c r="AZ188" s="125"/>
      <c r="BA188" s="125"/>
      <c r="BB188" s="125"/>
      <c r="BC188" s="125"/>
      <c r="BD188" s="125"/>
      <c r="BE188" s="125"/>
      <c r="BF188" s="125"/>
    </row>
    <row r="189" spans="1:58" x14ac:dyDescent="0.35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  <c r="AT189" s="125"/>
      <c r="AU189" s="125"/>
      <c r="AV189" s="125"/>
      <c r="AW189" s="125"/>
      <c r="AX189" s="125"/>
      <c r="AY189" s="125"/>
      <c r="AZ189" s="125"/>
      <c r="BA189" s="125"/>
      <c r="BB189" s="125"/>
      <c r="BC189" s="125"/>
      <c r="BD189" s="125"/>
      <c r="BE189" s="125"/>
      <c r="BF189" s="125"/>
    </row>
    <row r="190" spans="1:58" x14ac:dyDescent="0.35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/>
      <c r="BB190" s="125"/>
      <c r="BC190" s="125"/>
      <c r="BD190" s="125"/>
      <c r="BE190" s="125"/>
      <c r="BF190" s="125"/>
    </row>
    <row r="191" spans="1:58" x14ac:dyDescent="0.35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/>
      <c r="BC191" s="125"/>
      <c r="BD191" s="125"/>
      <c r="BE191" s="125"/>
      <c r="BF191" s="125"/>
    </row>
    <row r="192" spans="1:58" x14ac:dyDescent="0.35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125"/>
      <c r="AT192" s="125"/>
      <c r="AU192" s="125"/>
      <c r="AV192" s="125"/>
      <c r="AW192" s="125"/>
      <c r="AX192" s="125"/>
      <c r="AY192" s="125"/>
      <c r="AZ192" s="125"/>
      <c r="BA192" s="125"/>
      <c r="BB192" s="125"/>
      <c r="BC192" s="125"/>
      <c r="BD192" s="125"/>
      <c r="BE192" s="125"/>
      <c r="BF192" s="125"/>
    </row>
    <row r="193" spans="1:58" x14ac:dyDescent="0.35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  <c r="AQ193" s="125"/>
      <c r="AR193" s="125"/>
      <c r="AS193" s="125"/>
      <c r="AT193" s="125"/>
      <c r="AU193" s="125"/>
      <c r="AV193" s="125"/>
      <c r="AW193" s="125"/>
      <c r="AX193" s="125"/>
      <c r="AY193" s="125"/>
      <c r="AZ193" s="125"/>
      <c r="BA193" s="125"/>
      <c r="BB193" s="125"/>
      <c r="BC193" s="125"/>
      <c r="BD193" s="125"/>
      <c r="BE193" s="125"/>
      <c r="BF193" s="125"/>
    </row>
    <row r="194" spans="1:58" x14ac:dyDescent="0.35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125"/>
      <c r="AT194" s="125"/>
      <c r="AU194" s="125"/>
      <c r="AV194" s="125"/>
      <c r="AW194" s="125"/>
      <c r="AX194" s="125"/>
      <c r="AY194" s="125"/>
      <c r="AZ194" s="125"/>
      <c r="BA194" s="125"/>
      <c r="BB194" s="125"/>
      <c r="BC194" s="125"/>
      <c r="BD194" s="125"/>
      <c r="BE194" s="125"/>
      <c r="BF194" s="125"/>
    </row>
    <row r="195" spans="1:58" x14ac:dyDescent="0.3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  <c r="AU195" s="125"/>
      <c r="AV195" s="125"/>
      <c r="AW195" s="125"/>
      <c r="AX195" s="125"/>
      <c r="AY195" s="125"/>
      <c r="AZ195" s="125"/>
      <c r="BA195" s="125"/>
      <c r="BB195" s="125"/>
      <c r="BC195" s="125"/>
      <c r="BD195" s="125"/>
      <c r="BE195" s="125"/>
      <c r="BF195" s="125"/>
    </row>
    <row r="196" spans="1:58" x14ac:dyDescent="0.35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  <c r="AQ196" s="125"/>
      <c r="AR196" s="125"/>
      <c r="AS196" s="125"/>
      <c r="AT196" s="125"/>
      <c r="AU196" s="125"/>
      <c r="AV196" s="125"/>
      <c r="AW196" s="125"/>
      <c r="AX196" s="125"/>
      <c r="AY196" s="125"/>
      <c r="AZ196" s="125"/>
      <c r="BA196" s="125"/>
      <c r="BB196" s="125"/>
      <c r="BC196" s="125"/>
      <c r="BD196" s="125"/>
      <c r="BE196" s="125"/>
      <c r="BF196" s="125"/>
    </row>
    <row r="197" spans="1:58" x14ac:dyDescent="0.35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s="125"/>
      <c r="AV197" s="125"/>
      <c r="AW197" s="125"/>
      <c r="AX197" s="125"/>
      <c r="AY197" s="125"/>
      <c r="AZ197" s="125"/>
      <c r="BA197" s="125"/>
      <c r="BB197" s="125"/>
      <c r="BC197" s="125"/>
      <c r="BD197" s="125"/>
      <c r="BE197" s="125"/>
      <c r="BF197" s="125"/>
    </row>
    <row r="198" spans="1:58" x14ac:dyDescent="0.35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  <c r="AU198" s="125"/>
      <c r="AV198" s="125"/>
      <c r="AW198" s="125"/>
      <c r="AX198" s="125"/>
      <c r="AY198" s="125"/>
      <c r="AZ198" s="125"/>
      <c r="BA198" s="125"/>
      <c r="BB198" s="125"/>
      <c r="BC198" s="125"/>
      <c r="BD198" s="125"/>
      <c r="BE198" s="125"/>
      <c r="BF198" s="125"/>
    </row>
    <row r="199" spans="1:58" x14ac:dyDescent="0.35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</row>
    <row r="200" spans="1:58" x14ac:dyDescent="0.35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/>
      <c r="BA200" s="125"/>
      <c r="BB200" s="125"/>
      <c r="BC200" s="125"/>
      <c r="BD200" s="125"/>
      <c r="BE200" s="125"/>
      <c r="BF200" s="125"/>
    </row>
    <row r="201" spans="1:58" x14ac:dyDescent="0.35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s="125"/>
      <c r="AV201" s="125"/>
      <c r="AW201" s="125"/>
      <c r="AX201" s="125"/>
      <c r="AY201" s="125"/>
      <c r="AZ201" s="125"/>
      <c r="BA201" s="125"/>
      <c r="BB201" s="125"/>
      <c r="BC201" s="125"/>
      <c r="BD201" s="125"/>
      <c r="BE201" s="125"/>
      <c r="BF201" s="125"/>
    </row>
    <row r="202" spans="1:58" x14ac:dyDescent="0.35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  <c r="AT202" s="125"/>
      <c r="AU202" s="125"/>
      <c r="AV202" s="125"/>
      <c r="AW202" s="125"/>
      <c r="AX202" s="125"/>
      <c r="AY202" s="125"/>
      <c r="AZ202" s="125"/>
      <c r="BA202" s="125"/>
      <c r="BB202" s="125"/>
      <c r="BC202" s="125"/>
      <c r="BD202" s="125"/>
      <c r="BE202" s="125"/>
      <c r="BF202" s="125"/>
    </row>
    <row r="203" spans="1:58" x14ac:dyDescent="0.35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  <c r="AT203" s="125"/>
      <c r="AU203" s="125"/>
      <c r="AV203" s="125"/>
      <c r="AW203" s="125"/>
      <c r="AX203" s="125"/>
      <c r="AY203" s="125"/>
      <c r="AZ203" s="125"/>
      <c r="BA203" s="125"/>
      <c r="BB203" s="125"/>
      <c r="BC203" s="125"/>
      <c r="BD203" s="125"/>
      <c r="BE203" s="125"/>
      <c r="BF203" s="125"/>
    </row>
    <row r="204" spans="1:58" x14ac:dyDescent="0.35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5"/>
      <c r="BE204" s="125"/>
      <c r="BF204" s="125"/>
    </row>
    <row r="205" spans="1:58" x14ac:dyDescent="0.3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  <c r="AQ205" s="125"/>
      <c r="AR205" s="125"/>
      <c r="AS205" s="125"/>
      <c r="AT205" s="125"/>
      <c r="AU205" s="125"/>
      <c r="AV205" s="125"/>
      <c r="AW205" s="125"/>
      <c r="AX205" s="125"/>
      <c r="AY205" s="125"/>
      <c r="AZ205" s="125"/>
      <c r="BA205" s="125"/>
      <c r="BB205" s="125"/>
      <c r="BC205" s="125"/>
      <c r="BD205" s="125"/>
      <c r="BE205" s="125"/>
      <c r="BF205" s="125"/>
    </row>
    <row r="206" spans="1:58" x14ac:dyDescent="0.35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  <c r="AM206" s="125"/>
      <c r="AN206" s="125"/>
      <c r="AO206" s="125"/>
      <c r="AP206" s="125"/>
      <c r="AQ206" s="125"/>
      <c r="AR206" s="125"/>
      <c r="AS206" s="125"/>
      <c r="AT206" s="125"/>
      <c r="AU206" s="125"/>
      <c r="AV206" s="125"/>
      <c r="AW206" s="125"/>
      <c r="AX206" s="125"/>
      <c r="AY206" s="125"/>
      <c r="AZ206" s="125"/>
      <c r="BA206" s="125"/>
      <c r="BB206" s="125"/>
      <c r="BC206" s="125"/>
      <c r="BD206" s="125"/>
      <c r="BE206" s="125"/>
      <c r="BF206" s="125"/>
    </row>
    <row r="207" spans="1:58" x14ac:dyDescent="0.35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  <c r="AQ207" s="125"/>
      <c r="AR207" s="125"/>
      <c r="AS207" s="125"/>
      <c r="AT207" s="125"/>
      <c r="AU207" s="125"/>
      <c r="AV207" s="125"/>
      <c r="AW207" s="125"/>
      <c r="AX207" s="125"/>
      <c r="AY207" s="125"/>
      <c r="AZ207" s="125"/>
      <c r="BA207" s="125"/>
      <c r="BB207" s="125"/>
      <c r="BC207" s="125"/>
      <c r="BD207" s="125"/>
      <c r="BE207" s="125"/>
      <c r="BF207" s="125"/>
    </row>
    <row r="208" spans="1:58" x14ac:dyDescent="0.35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  <c r="AT208" s="125"/>
      <c r="AU208" s="125"/>
      <c r="AV208" s="125"/>
      <c r="AW208" s="125"/>
      <c r="AX208" s="125"/>
      <c r="AY208" s="125"/>
      <c r="AZ208" s="125"/>
      <c r="BA208" s="125"/>
      <c r="BB208" s="125"/>
      <c r="BC208" s="125"/>
      <c r="BD208" s="125"/>
      <c r="BE208" s="125"/>
      <c r="BF208" s="125"/>
    </row>
    <row r="209" spans="1:58" x14ac:dyDescent="0.35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  <c r="AQ209" s="125"/>
      <c r="AR209" s="125"/>
      <c r="AS209" s="125"/>
      <c r="AT209" s="125"/>
      <c r="AU209" s="125"/>
      <c r="AV209" s="125"/>
      <c r="AW209" s="125"/>
      <c r="AX209" s="125"/>
      <c r="AY209" s="125"/>
      <c r="AZ209" s="125"/>
      <c r="BA209" s="125"/>
      <c r="BB209" s="125"/>
      <c r="BC209" s="125"/>
      <c r="BD209" s="125"/>
      <c r="BE209" s="125"/>
      <c r="BF209" s="125"/>
    </row>
    <row r="210" spans="1:58" x14ac:dyDescent="0.35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</row>
    <row r="211" spans="1:58" x14ac:dyDescent="0.35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5"/>
      <c r="BC211" s="125"/>
      <c r="BD211" s="125"/>
      <c r="BE211" s="125"/>
      <c r="BF211" s="125"/>
    </row>
    <row r="212" spans="1:58" x14ac:dyDescent="0.35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  <c r="AT212" s="125"/>
      <c r="AU212" s="125"/>
      <c r="AV212" s="125"/>
      <c r="AW212" s="125"/>
      <c r="AX212" s="125"/>
      <c r="AY212" s="125"/>
      <c r="AZ212" s="125"/>
      <c r="BA212" s="125"/>
      <c r="BB212" s="125"/>
      <c r="BC212" s="125"/>
      <c r="BD212" s="125"/>
      <c r="BE212" s="125"/>
      <c r="BF212" s="125"/>
    </row>
    <row r="213" spans="1:58" x14ac:dyDescent="0.35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  <c r="AQ213" s="125"/>
      <c r="AR213" s="125"/>
      <c r="AS213" s="125"/>
      <c r="AT213" s="125"/>
      <c r="AU213" s="125"/>
      <c r="AV213" s="125"/>
      <c r="AW213" s="125"/>
      <c r="AX213" s="125"/>
      <c r="AY213" s="125"/>
      <c r="AZ213" s="125"/>
      <c r="BA213" s="125"/>
      <c r="BB213" s="125"/>
      <c r="BC213" s="125"/>
      <c r="BD213" s="125"/>
      <c r="BE213" s="125"/>
      <c r="BF213" s="125"/>
    </row>
    <row r="214" spans="1:58" x14ac:dyDescent="0.35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  <c r="AQ214" s="125"/>
      <c r="AR214" s="125"/>
      <c r="AS214" s="125"/>
      <c r="AT214" s="125"/>
      <c r="AU214" s="125"/>
      <c r="AV214" s="125"/>
      <c r="AW214" s="125"/>
      <c r="AX214" s="125"/>
      <c r="AY214" s="125"/>
      <c r="AZ214" s="125"/>
      <c r="BA214" s="125"/>
      <c r="BB214" s="125"/>
      <c r="BC214" s="125"/>
      <c r="BD214" s="125"/>
      <c r="BE214" s="125"/>
      <c r="BF214" s="125"/>
    </row>
    <row r="215" spans="1:58" x14ac:dyDescent="0.3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  <c r="AT215" s="125"/>
      <c r="AU215" s="125"/>
      <c r="AV215" s="125"/>
      <c r="AW215" s="125"/>
      <c r="AX215" s="125"/>
      <c r="AY215" s="125"/>
      <c r="AZ215" s="125"/>
      <c r="BA215" s="125"/>
      <c r="BB215" s="125"/>
      <c r="BC215" s="125"/>
      <c r="BD215" s="125"/>
      <c r="BE215" s="125"/>
      <c r="BF215" s="125"/>
    </row>
    <row r="216" spans="1:58" x14ac:dyDescent="0.35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  <c r="AM216" s="125"/>
      <c r="AN216" s="125"/>
      <c r="AO216" s="125"/>
      <c r="AP216" s="125"/>
      <c r="AQ216" s="125"/>
      <c r="AR216" s="125"/>
      <c r="AS216" s="125"/>
      <c r="AT216" s="125"/>
      <c r="AU216" s="125"/>
      <c r="AV216" s="125"/>
      <c r="AW216" s="125"/>
      <c r="AX216" s="125"/>
      <c r="AY216" s="125"/>
      <c r="AZ216" s="125"/>
      <c r="BA216" s="125"/>
      <c r="BB216" s="125"/>
      <c r="BC216" s="125"/>
      <c r="BD216" s="125"/>
      <c r="BE216" s="125"/>
      <c r="BF216" s="125"/>
    </row>
    <row r="217" spans="1:58" x14ac:dyDescent="0.35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  <c r="AM217" s="125"/>
      <c r="AN217" s="125"/>
      <c r="AO217" s="125"/>
      <c r="AP217" s="125"/>
      <c r="AQ217" s="125"/>
      <c r="AR217" s="125"/>
      <c r="AS217" s="125"/>
      <c r="AT217" s="125"/>
      <c r="AU217" s="125"/>
      <c r="AV217" s="125"/>
      <c r="AW217" s="125"/>
      <c r="AX217" s="125"/>
      <c r="AY217" s="125"/>
      <c r="AZ217" s="125"/>
      <c r="BA217" s="125"/>
      <c r="BB217" s="125"/>
      <c r="BC217" s="125"/>
      <c r="BD217" s="125"/>
      <c r="BE217" s="125"/>
      <c r="BF217" s="125"/>
    </row>
    <row r="218" spans="1:58" x14ac:dyDescent="0.35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25"/>
      <c r="AQ218" s="125"/>
      <c r="AR218" s="125"/>
      <c r="AS218" s="125"/>
      <c r="AT218" s="125"/>
      <c r="AU218" s="125"/>
      <c r="AV218" s="125"/>
      <c r="AW218" s="125"/>
      <c r="AX218" s="125"/>
      <c r="AY218" s="125"/>
      <c r="AZ218" s="125"/>
      <c r="BA218" s="125"/>
      <c r="BB218" s="125"/>
      <c r="BC218" s="125"/>
      <c r="BD218" s="125"/>
      <c r="BE218" s="125"/>
      <c r="BF218" s="125"/>
    </row>
    <row r="219" spans="1:58" x14ac:dyDescent="0.35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  <c r="AM219" s="125"/>
      <c r="AN219" s="125"/>
      <c r="AO219" s="125"/>
      <c r="AP219" s="125"/>
      <c r="AQ219" s="125"/>
      <c r="AR219" s="125"/>
      <c r="AS219" s="125"/>
      <c r="AT219" s="125"/>
      <c r="AU219" s="125"/>
      <c r="AV219" s="125"/>
      <c r="AW219" s="125"/>
      <c r="AX219" s="125"/>
      <c r="AY219" s="125"/>
      <c r="AZ219" s="125"/>
      <c r="BA219" s="125"/>
      <c r="BB219" s="125"/>
      <c r="BC219" s="125"/>
      <c r="BD219" s="125"/>
      <c r="BE219" s="125"/>
      <c r="BF219" s="125"/>
    </row>
    <row r="220" spans="1:58" x14ac:dyDescent="0.35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  <c r="AM220" s="125"/>
      <c r="AN220" s="125"/>
      <c r="AO220" s="125"/>
      <c r="AP220" s="125"/>
      <c r="AQ220" s="125"/>
      <c r="AR220" s="125"/>
      <c r="AS220" s="125"/>
      <c r="AT220" s="125"/>
      <c r="AU220" s="125"/>
      <c r="AV220" s="125"/>
      <c r="AW220" s="125"/>
      <c r="AX220" s="125"/>
      <c r="AY220" s="125"/>
      <c r="AZ220" s="125"/>
      <c r="BA220" s="125"/>
      <c r="BB220" s="125"/>
      <c r="BC220" s="125"/>
      <c r="BD220" s="125"/>
      <c r="BE220" s="125"/>
      <c r="BF220" s="125"/>
    </row>
    <row r="221" spans="1:58" x14ac:dyDescent="0.35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  <c r="AM221" s="125"/>
      <c r="AN221" s="125"/>
      <c r="AO221" s="125"/>
      <c r="AP221" s="125"/>
      <c r="AQ221" s="125"/>
      <c r="AR221" s="125"/>
      <c r="AS221" s="125"/>
      <c r="AT221" s="125"/>
      <c r="AU221" s="125"/>
      <c r="AV221" s="125"/>
      <c r="AW221" s="125"/>
      <c r="AX221" s="125"/>
      <c r="AY221" s="125"/>
      <c r="AZ221" s="125"/>
      <c r="BA221" s="125"/>
      <c r="BB221" s="125"/>
      <c r="BC221" s="125"/>
      <c r="BD221" s="125"/>
      <c r="BE221" s="125"/>
      <c r="BF221" s="125"/>
    </row>
    <row r="222" spans="1:58" x14ac:dyDescent="0.35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  <c r="AM222" s="125"/>
      <c r="AN222" s="125"/>
      <c r="AO222" s="125"/>
      <c r="AP222" s="125"/>
      <c r="AQ222" s="125"/>
      <c r="AR222" s="125"/>
      <c r="AS222" s="125"/>
      <c r="AT222" s="125"/>
      <c r="AU222" s="125"/>
      <c r="AV222" s="125"/>
      <c r="AW222" s="125"/>
      <c r="AX222" s="125"/>
      <c r="AY222" s="125"/>
      <c r="AZ222" s="125"/>
      <c r="BA222" s="125"/>
      <c r="BB222" s="125"/>
      <c r="BC222" s="125"/>
      <c r="BD222" s="125"/>
      <c r="BE222" s="125"/>
      <c r="BF222" s="125"/>
    </row>
    <row r="223" spans="1:58" x14ac:dyDescent="0.35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  <c r="AQ223" s="125"/>
      <c r="AR223" s="125"/>
      <c r="AS223" s="125"/>
      <c r="AT223" s="125"/>
      <c r="AU223" s="125"/>
      <c r="AV223" s="125"/>
      <c r="AW223" s="125"/>
      <c r="AX223" s="125"/>
      <c r="AY223" s="125"/>
      <c r="AZ223" s="125"/>
      <c r="BA223" s="125"/>
      <c r="BB223" s="125"/>
      <c r="BC223" s="125"/>
      <c r="BD223" s="125"/>
      <c r="BE223" s="125"/>
      <c r="BF223" s="125"/>
    </row>
    <row r="224" spans="1:58" x14ac:dyDescent="0.35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5"/>
      <c r="AL224" s="125"/>
      <c r="AM224" s="125"/>
      <c r="AN224" s="125"/>
      <c r="AO224" s="125"/>
      <c r="AP224" s="125"/>
      <c r="AQ224" s="125"/>
      <c r="AR224" s="125"/>
      <c r="AS224" s="125"/>
      <c r="AT224" s="125"/>
      <c r="AU224" s="125"/>
      <c r="AV224" s="125"/>
      <c r="AW224" s="125"/>
      <c r="AX224" s="125"/>
      <c r="AY224" s="125"/>
      <c r="AZ224" s="125"/>
      <c r="BA224" s="125"/>
      <c r="BB224" s="125"/>
      <c r="BC224" s="125"/>
      <c r="BD224" s="125"/>
      <c r="BE224" s="125"/>
      <c r="BF224" s="125"/>
    </row>
    <row r="225" spans="1:58" x14ac:dyDescent="0.3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  <c r="AM225" s="125"/>
      <c r="AN225" s="125"/>
      <c r="AO225" s="125"/>
      <c r="AP225" s="125"/>
      <c r="AQ225" s="125"/>
      <c r="AR225" s="125"/>
      <c r="AS225" s="125"/>
      <c r="AT225" s="125"/>
      <c r="AU225" s="125"/>
      <c r="AV225" s="125"/>
      <c r="AW225" s="125"/>
      <c r="AX225" s="125"/>
      <c r="AY225" s="125"/>
      <c r="AZ225" s="125"/>
      <c r="BA225" s="125"/>
      <c r="BB225" s="125"/>
      <c r="BC225" s="125"/>
      <c r="BD225" s="125"/>
      <c r="BE225" s="125"/>
      <c r="BF225" s="125"/>
    </row>
    <row r="226" spans="1:58" x14ac:dyDescent="0.35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  <c r="AM226" s="125"/>
      <c r="AN226" s="125"/>
      <c r="AO226" s="125"/>
      <c r="AP226" s="125"/>
      <c r="AQ226" s="125"/>
      <c r="AR226" s="125"/>
      <c r="AS226" s="125"/>
      <c r="AT226" s="125"/>
      <c r="AU226" s="125"/>
      <c r="AV226" s="125"/>
      <c r="AW226" s="125"/>
      <c r="AX226" s="125"/>
      <c r="AY226" s="125"/>
      <c r="AZ226" s="125"/>
      <c r="BA226" s="125"/>
      <c r="BB226" s="125"/>
      <c r="BC226" s="125"/>
      <c r="BD226" s="125"/>
      <c r="BE226" s="125"/>
      <c r="BF226" s="125"/>
    </row>
    <row r="227" spans="1:58" x14ac:dyDescent="0.35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5"/>
      <c r="AL227" s="125"/>
      <c r="AM227" s="125"/>
      <c r="AN227" s="125"/>
      <c r="AO227" s="125"/>
      <c r="AP227" s="125"/>
      <c r="AQ227" s="125"/>
      <c r="AR227" s="125"/>
      <c r="AS227" s="125"/>
      <c r="AT227" s="125"/>
      <c r="AU227" s="125"/>
      <c r="AV227" s="125"/>
      <c r="AW227" s="125"/>
      <c r="AX227" s="125"/>
      <c r="AY227" s="125"/>
      <c r="AZ227" s="125"/>
      <c r="BA227" s="125"/>
      <c r="BB227" s="125"/>
      <c r="BC227" s="125"/>
      <c r="BD227" s="125"/>
      <c r="BE227" s="125"/>
      <c r="BF227" s="125"/>
    </row>
    <row r="228" spans="1:58" x14ac:dyDescent="0.35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  <c r="AM228" s="125"/>
      <c r="AN228" s="125"/>
      <c r="AO228" s="125"/>
      <c r="AP228" s="125"/>
      <c r="AQ228" s="125"/>
      <c r="AR228" s="125"/>
      <c r="AS228" s="125"/>
      <c r="AT228" s="125"/>
      <c r="AU228" s="125"/>
      <c r="AV228" s="125"/>
      <c r="AW228" s="125"/>
      <c r="AX228" s="125"/>
      <c r="AY228" s="125"/>
      <c r="AZ228" s="125"/>
      <c r="BA228" s="125"/>
      <c r="BB228" s="125"/>
      <c r="BC228" s="125"/>
      <c r="BD228" s="125"/>
      <c r="BE228" s="125"/>
      <c r="BF228" s="125"/>
    </row>
    <row r="229" spans="1:58" x14ac:dyDescent="0.35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5"/>
      <c r="AL229" s="125"/>
      <c r="AM229" s="125"/>
      <c r="AN229" s="125"/>
      <c r="AO229" s="125"/>
      <c r="AP229" s="125"/>
      <c r="AQ229" s="125"/>
      <c r="AR229" s="125"/>
      <c r="AS229" s="125"/>
      <c r="AT229" s="125"/>
      <c r="AU229" s="125"/>
      <c r="AV229" s="125"/>
      <c r="AW229" s="125"/>
      <c r="AX229" s="125"/>
      <c r="AY229" s="125"/>
      <c r="AZ229" s="125"/>
      <c r="BA229" s="125"/>
      <c r="BB229" s="125"/>
      <c r="BC229" s="125"/>
      <c r="BD229" s="125"/>
      <c r="BE229" s="125"/>
      <c r="BF229" s="125"/>
    </row>
    <row r="230" spans="1:58" x14ac:dyDescent="0.35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  <c r="AM230" s="125"/>
      <c r="AN230" s="125"/>
      <c r="AO230" s="125"/>
      <c r="AP230" s="125"/>
      <c r="AQ230" s="125"/>
      <c r="AR230" s="125"/>
      <c r="AS230" s="125"/>
      <c r="AT230" s="125"/>
      <c r="AU230" s="125"/>
      <c r="AV230" s="125"/>
      <c r="AW230" s="125"/>
      <c r="AX230" s="125"/>
      <c r="AY230" s="125"/>
      <c r="AZ230" s="125"/>
      <c r="BA230" s="125"/>
      <c r="BB230" s="125"/>
      <c r="BC230" s="125"/>
      <c r="BD230" s="125"/>
      <c r="BE230" s="125"/>
      <c r="BF230" s="125"/>
    </row>
    <row r="231" spans="1:58" x14ac:dyDescent="0.35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  <c r="AT231" s="125"/>
      <c r="AU231" s="125"/>
      <c r="AV231" s="125"/>
      <c r="AW231" s="125"/>
      <c r="AX231" s="125"/>
      <c r="AY231" s="125"/>
      <c r="AZ231" s="125"/>
      <c r="BA231" s="125"/>
      <c r="BB231" s="125"/>
      <c r="BC231" s="125"/>
      <c r="BD231" s="125"/>
      <c r="BE231" s="125"/>
      <c r="BF231" s="125"/>
    </row>
    <row r="232" spans="1:58" x14ac:dyDescent="0.35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  <c r="AM232" s="125"/>
      <c r="AN232" s="125"/>
      <c r="AO232" s="125"/>
      <c r="AP232" s="125"/>
      <c r="AQ232" s="125"/>
      <c r="AR232" s="125"/>
      <c r="AS232" s="125"/>
      <c r="AT232" s="125"/>
      <c r="AU232" s="125"/>
      <c r="AV232" s="125"/>
      <c r="AW232" s="125"/>
      <c r="AX232" s="125"/>
      <c r="AY232" s="125"/>
      <c r="AZ232" s="125"/>
      <c r="BA232" s="125"/>
      <c r="BB232" s="125"/>
      <c r="BC232" s="125"/>
      <c r="BD232" s="125"/>
      <c r="BE232" s="125"/>
      <c r="BF232" s="125"/>
    </row>
    <row r="233" spans="1:58" x14ac:dyDescent="0.35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  <c r="AM233" s="125"/>
      <c r="AN233" s="125"/>
      <c r="AO233" s="125"/>
      <c r="AP233" s="125"/>
      <c r="AQ233" s="125"/>
      <c r="AR233" s="125"/>
      <c r="AS233" s="125"/>
      <c r="AT233" s="125"/>
      <c r="AU233" s="125"/>
      <c r="AV233" s="125"/>
      <c r="AW233" s="125"/>
      <c r="AX233" s="125"/>
      <c r="AY233" s="125"/>
      <c r="AZ233" s="125"/>
      <c r="BA233" s="125"/>
      <c r="BB233" s="125"/>
      <c r="BC233" s="125"/>
      <c r="BD233" s="125"/>
      <c r="BE233" s="125"/>
      <c r="BF233" s="125"/>
    </row>
    <row r="234" spans="1:58" x14ac:dyDescent="0.35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  <c r="AM234" s="125"/>
      <c r="AN234" s="125"/>
      <c r="AO234" s="125"/>
      <c r="AP234" s="125"/>
      <c r="AQ234" s="125"/>
      <c r="AR234" s="125"/>
      <c r="AS234" s="125"/>
      <c r="AT234" s="125"/>
      <c r="AU234" s="125"/>
      <c r="AV234" s="125"/>
      <c r="AW234" s="125"/>
      <c r="AX234" s="125"/>
      <c r="AY234" s="125"/>
      <c r="AZ234" s="125"/>
      <c r="BA234" s="125"/>
      <c r="BB234" s="125"/>
      <c r="BC234" s="125"/>
      <c r="BD234" s="125"/>
      <c r="BE234" s="125"/>
      <c r="BF234" s="125"/>
    </row>
    <row r="235" spans="1:58" x14ac:dyDescent="0.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  <c r="AQ235" s="125"/>
      <c r="AR235" s="125"/>
      <c r="AS235" s="125"/>
      <c r="AT235" s="125"/>
      <c r="AU235" s="125"/>
      <c r="AV235" s="125"/>
      <c r="AW235" s="125"/>
      <c r="AX235" s="125"/>
      <c r="AY235" s="125"/>
      <c r="AZ235" s="125"/>
      <c r="BA235" s="125"/>
      <c r="BB235" s="125"/>
      <c r="BC235" s="125"/>
      <c r="BD235" s="125"/>
      <c r="BE235" s="125"/>
      <c r="BF235" s="125"/>
    </row>
    <row r="236" spans="1:58" x14ac:dyDescent="0.35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  <c r="AM236" s="125"/>
      <c r="AN236" s="125"/>
      <c r="AO236" s="125"/>
      <c r="AP236" s="125"/>
      <c r="AQ236" s="125"/>
      <c r="AR236" s="125"/>
      <c r="AS236" s="125"/>
      <c r="AT236" s="125"/>
      <c r="AU236" s="125"/>
      <c r="AV236" s="125"/>
      <c r="AW236" s="125"/>
      <c r="AX236" s="125"/>
      <c r="AY236" s="125"/>
      <c r="AZ236" s="125"/>
      <c r="BA236" s="125"/>
      <c r="BB236" s="125"/>
      <c r="BC236" s="125"/>
      <c r="BD236" s="125"/>
      <c r="BE236" s="125"/>
      <c r="BF236" s="125"/>
    </row>
    <row r="237" spans="1:58" x14ac:dyDescent="0.35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  <c r="AM237" s="125"/>
      <c r="AN237" s="125"/>
      <c r="AO237" s="125"/>
      <c r="AP237" s="125"/>
      <c r="AQ237" s="125"/>
      <c r="AR237" s="125"/>
      <c r="AS237" s="125"/>
      <c r="AT237" s="125"/>
      <c r="AU237" s="125"/>
      <c r="AV237" s="125"/>
      <c r="AW237" s="125"/>
      <c r="AX237" s="125"/>
      <c r="AY237" s="125"/>
      <c r="AZ237" s="125"/>
      <c r="BA237" s="125"/>
      <c r="BB237" s="125"/>
      <c r="BC237" s="125"/>
      <c r="BD237" s="125"/>
      <c r="BE237" s="125"/>
      <c r="BF237" s="125"/>
    </row>
    <row r="238" spans="1:58" x14ac:dyDescent="0.35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  <c r="AM238" s="125"/>
      <c r="AN238" s="125"/>
      <c r="AO238" s="125"/>
      <c r="AP238" s="125"/>
      <c r="AQ238" s="125"/>
      <c r="AR238" s="125"/>
      <c r="AS238" s="125"/>
      <c r="AT238" s="125"/>
      <c r="AU238" s="125"/>
      <c r="AV238" s="125"/>
      <c r="AW238" s="125"/>
      <c r="AX238" s="125"/>
      <c r="AY238" s="125"/>
      <c r="AZ238" s="125"/>
      <c r="BA238" s="125"/>
      <c r="BB238" s="125"/>
      <c r="BC238" s="125"/>
      <c r="BD238" s="125"/>
      <c r="BE238" s="125"/>
      <c r="BF238" s="125"/>
    </row>
    <row r="239" spans="1:58" x14ac:dyDescent="0.35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  <c r="AM239" s="125"/>
      <c r="AN239" s="125"/>
      <c r="AO239" s="125"/>
      <c r="AP239" s="125"/>
      <c r="AQ239" s="125"/>
      <c r="AR239" s="125"/>
      <c r="AS239" s="125"/>
      <c r="AT239" s="125"/>
      <c r="AU239" s="125"/>
      <c r="AV239" s="125"/>
      <c r="AW239" s="125"/>
      <c r="AX239" s="125"/>
      <c r="AY239" s="125"/>
      <c r="AZ239" s="125"/>
      <c r="BA239" s="125"/>
      <c r="BB239" s="125"/>
      <c r="BC239" s="125"/>
      <c r="BD239" s="125"/>
      <c r="BE239" s="125"/>
      <c r="BF239" s="125"/>
    </row>
    <row r="240" spans="1:58" x14ac:dyDescent="0.35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  <c r="AM240" s="125"/>
      <c r="AN240" s="125"/>
      <c r="AO240" s="125"/>
      <c r="AP240" s="125"/>
      <c r="AQ240" s="125"/>
      <c r="AR240" s="125"/>
      <c r="AS240" s="125"/>
      <c r="AT240" s="125"/>
      <c r="AU240" s="125"/>
      <c r="AV240" s="125"/>
      <c r="AW240" s="125"/>
      <c r="AX240" s="125"/>
      <c r="AY240" s="125"/>
      <c r="AZ240" s="125"/>
      <c r="BA240" s="125"/>
      <c r="BB240" s="125"/>
      <c r="BC240" s="125"/>
      <c r="BD240" s="125"/>
      <c r="BE240" s="125"/>
      <c r="BF240" s="125"/>
    </row>
    <row r="241" spans="1:58" x14ac:dyDescent="0.35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  <c r="AM241" s="125"/>
      <c r="AN241" s="125"/>
      <c r="AO241" s="125"/>
      <c r="AP241" s="125"/>
      <c r="AQ241" s="125"/>
      <c r="AR241" s="125"/>
      <c r="AS241" s="125"/>
      <c r="AT241" s="125"/>
      <c r="AU241" s="125"/>
      <c r="AV241" s="125"/>
      <c r="AW241" s="125"/>
      <c r="AX241" s="125"/>
      <c r="AY241" s="125"/>
      <c r="AZ241" s="125"/>
      <c r="BA241" s="125"/>
      <c r="BB241" s="125"/>
      <c r="BC241" s="125"/>
      <c r="BD241" s="125"/>
      <c r="BE241" s="125"/>
      <c r="BF241" s="125"/>
    </row>
    <row r="242" spans="1:58" x14ac:dyDescent="0.35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  <c r="AM242" s="125"/>
      <c r="AN242" s="125"/>
      <c r="AO242" s="125"/>
      <c r="AP242" s="125"/>
      <c r="AQ242" s="125"/>
      <c r="AR242" s="125"/>
      <c r="AS242" s="125"/>
      <c r="AT242" s="125"/>
      <c r="AU242" s="125"/>
      <c r="AV242" s="125"/>
      <c r="AW242" s="125"/>
      <c r="AX242" s="125"/>
      <c r="AY242" s="125"/>
      <c r="AZ242" s="125"/>
      <c r="BA242" s="125"/>
      <c r="BB242" s="125"/>
      <c r="BC242" s="125"/>
      <c r="BD242" s="125"/>
      <c r="BE242" s="125"/>
      <c r="BF242" s="125"/>
    </row>
    <row r="243" spans="1:58" x14ac:dyDescent="0.35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  <c r="AM243" s="125"/>
      <c r="AN243" s="125"/>
      <c r="AO243" s="125"/>
      <c r="AP243" s="125"/>
      <c r="AQ243" s="125"/>
      <c r="AR243" s="125"/>
      <c r="AS243" s="125"/>
      <c r="AT243" s="125"/>
      <c r="AU243" s="125"/>
      <c r="AV243" s="125"/>
      <c r="AW243" s="125"/>
      <c r="AX243" s="125"/>
      <c r="AY243" s="125"/>
      <c r="AZ243" s="125"/>
      <c r="BA243" s="125"/>
      <c r="BB243" s="125"/>
      <c r="BC243" s="125"/>
      <c r="BD243" s="125"/>
      <c r="BE243" s="125"/>
      <c r="BF243" s="125"/>
    </row>
    <row r="244" spans="1:58" x14ac:dyDescent="0.35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  <c r="AM244" s="125"/>
      <c r="AN244" s="125"/>
      <c r="AO244" s="125"/>
      <c r="AP244" s="125"/>
      <c r="AQ244" s="125"/>
      <c r="AR244" s="125"/>
      <c r="AS244" s="125"/>
      <c r="AT244" s="125"/>
      <c r="AU244" s="125"/>
      <c r="AV244" s="125"/>
      <c r="AW244" s="125"/>
      <c r="AX244" s="125"/>
      <c r="AY244" s="125"/>
      <c r="AZ244" s="125"/>
      <c r="BA244" s="125"/>
      <c r="BB244" s="125"/>
      <c r="BC244" s="125"/>
      <c r="BD244" s="125"/>
      <c r="BE244" s="125"/>
      <c r="BF244" s="125"/>
    </row>
    <row r="245" spans="1:58" x14ac:dyDescent="0.3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  <c r="AM245" s="125"/>
      <c r="AN245" s="125"/>
      <c r="AO245" s="125"/>
      <c r="AP245" s="125"/>
      <c r="AQ245" s="125"/>
      <c r="AR245" s="125"/>
      <c r="AS245" s="125"/>
      <c r="AT245" s="125"/>
      <c r="AU245" s="125"/>
      <c r="AV245" s="125"/>
      <c r="AW245" s="125"/>
      <c r="AX245" s="125"/>
      <c r="AY245" s="125"/>
      <c r="AZ245" s="125"/>
      <c r="BA245" s="125"/>
      <c r="BB245" s="125"/>
      <c r="BC245" s="125"/>
      <c r="BD245" s="125"/>
      <c r="BE245" s="125"/>
      <c r="BF245" s="125"/>
    </row>
    <row r="246" spans="1:58" x14ac:dyDescent="0.35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  <c r="AM246" s="125"/>
      <c r="AN246" s="125"/>
      <c r="AO246" s="125"/>
      <c r="AP246" s="125"/>
      <c r="AQ246" s="125"/>
      <c r="AR246" s="125"/>
      <c r="AS246" s="125"/>
      <c r="AT246" s="125"/>
      <c r="AU246" s="125"/>
      <c r="AV246" s="125"/>
      <c r="AW246" s="125"/>
      <c r="AX246" s="125"/>
      <c r="AY246" s="125"/>
      <c r="AZ246" s="125"/>
      <c r="BA246" s="125"/>
      <c r="BB246" s="125"/>
      <c r="BC246" s="125"/>
      <c r="BD246" s="125"/>
      <c r="BE246" s="125"/>
      <c r="BF246" s="125"/>
    </row>
    <row r="247" spans="1:58" x14ac:dyDescent="0.35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  <c r="AM247" s="125"/>
      <c r="AN247" s="125"/>
      <c r="AO247" s="125"/>
      <c r="AP247" s="125"/>
      <c r="AQ247" s="125"/>
      <c r="AR247" s="125"/>
      <c r="AS247" s="125"/>
      <c r="AT247" s="125"/>
      <c r="AU247" s="125"/>
      <c r="AV247" s="125"/>
      <c r="AW247" s="125"/>
      <c r="AX247" s="125"/>
      <c r="AY247" s="125"/>
      <c r="AZ247" s="125"/>
      <c r="BA247" s="125"/>
      <c r="BB247" s="125"/>
      <c r="BC247" s="125"/>
      <c r="BD247" s="125"/>
      <c r="BE247" s="125"/>
      <c r="BF247" s="125"/>
    </row>
    <row r="248" spans="1:58" x14ac:dyDescent="0.35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  <c r="AM248" s="125"/>
      <c r="AN248" s="125"/>
      <c r="AO248" s="125"/>
      <c r="AP248" s="125"/>
      <c r="AQ248" s="125"/>
      <c r="AR248" s="125"/>
      <c r="AS248" s="125"/>
      <c r="AT248" s="125"/>
      <c r="AU248" s="125"/>
      <c r="AV248" s="125"/>
      <c r="AW248" s="125"/>
      <c r="AX248" s="125"/>
      <c r="AY248" s="125"/>
      <c r="AZ248" s="125"/>
      <c r="BA248" s="125"/>
      <c r="BB248" s="125"/>
      <c r="BC248" s="125"/>
      <c r="BD248" s="125"/>
      <c r="BE248" s="125"/>
      <c r="BF248" s="125"/>
    </row>
    <row r="249" spans="1:58" x14ac:dyDescent="0.35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  <c r="AM249" s="125"/>
      <c r="AN249" s="125"/>
      <c r="AO249" s="125"/>
      <c r="AP249" s="125"/>
      <c r="AQ249" s="125"/>
      <c r="AR249" s="125"/>
      <c r="AS249" s="125"/>
      <c r="AT249" s="125"/>
      <c r="AU249" s="125"/>
      <c r="AV249" s="125"/>
      <c r="AW249" s="125"/>
      <c r="AX249" s="125"/>
      <c r="AY249" s="125"/>
      <c r="AZ249" s="125"/>
      <c r="BA249" s="125"/>
      <c r="BB249" s="125"/>
      <c r="BC249" s="125"/>
      <c r="BD249" s="125"/>
      <c r="BE249" s="125"/>
      <c r="BF249" s="125"/>
    </row>
    <row r="250" spans="1:58" x14ac:dyDescent="0.35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  <c r="AM250" s="125"/>
      <c r="AN250" s="125"/>
      <c r="AO250" s="125"/>
      <c r="AP250" s="125"/>
      <c r="AQ250" s="125"/>
      <c r="AR250" s="125"/>
      <c r="AS250" s="125"/>
      <c r="AT250" s="125"/>
      <c r="AU250" s="125"/>
      <c r="AV250" s="125"/>
      <c r="AW250" s="125"/>
      <c r="AX250" s="125"/>
      <c r="AY250" s="125"/>
      <c r="AZ250" s="125"/>
      <c r="BA250" s="125"/>
      <c r="BB250" s="125"/>
      <c r="BC250" s="125"/>
      <c r="BD250" s="125"/>
      <c r="BE250" s="125"/>
      <c r="BF250" s="125"/>
    </row>
    <row r="251" spans="1:58" x14ac:dyDescent="0.35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  <c r="AM251" s="125"/>
      <c r="AN251" s="125"/>
      <c r="AO251" s="125"/>
      <c r="AP251" s="125"/>
      <c r="AQ251" s="125"/>
      <c r="AR251" s="125"/>
      <c r="AS251" s="125"/>
      <c r="AT251" s="125"/>
      <c r="AU251" s="125"/>
      <c r="AV251" s="125"/>
      <c r="AW251" s="125"/>
      <c r="AX251" s="125"/>
      <c r="AY251" s="125"/>
      <c r="AZ251" s="125"/>
      <c r="BA251" s="125"/>
      <c r="BB251" s="125"/>
      <c r="BC251" s="125"/>
      <c r="BD251" s="125"/>
      <c r="BE251" s="125"/>
      <c r="BF251" s="125"/>
    </row>
    <row r="252" spans="1:58" x14ac:dyDescent="0.35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  <c r="AM252" s="125"/>
      <c r="AN252" s="125"/>
      <c r="AO252" s="125"/>
      <c r="AP252" s="125"/>
      <c r="AQ252" s="125"/>
      <c r="AR252" s="125"/>
      <c r="AS252" s="125"/>
      <c r="AT252" s="125"/>
      <c r="AU252" s="125"/>
      <c r="AV252" s="125"/>
      <c r="AW252" s="125"/>
      <c r="AX252" s="125"/>
      <c r="AY252" s="125"/>
      <c r="AZ252" s="125"/>
      <c r="BA252" s="125"/>
      <c r="BB252" s="125"/>
      <c r="BC252" s="125"/>
      <c r="BD252" s="125"/>
      <c r="BE252" s="125"/>
      <c r="BF252" s="125"/>
    </row>
    <row r="253" spans="1:58" x14ac:dyDescent="0.35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  <c r="AM253" s="125"/>
      <c r="AN253" s="125"/>
      <c r="AO253" s="125"/>
      <c r="AP253" s="125"/>
      <c r="AQ253" s="125"/>
      <c r="AR253" s="125"/>
      <c r="AS253" s="125"/>
      <c r="AT253" s="125"/>
      <c r="AU253" s="125"/>
      <c r="AV253" s="125"/>
      <c r="AW253" s="125"/>
      <c r="AX253" s="125"/>
      <c r="AY253" s="125"/>
      <c r="AZ253" s="125"/>
      <c r="BA253" s="125"/>
      <c r="BB253" s="125"/>
      <c r="BC253" s="125"/>
      <c r="BD253" s="125"/>
      <c r="BE253" s="125"/>
      <c r="BF253" s="125"/>
    </row>
    <row r="254" spans="1:58" x14ac:dyDescent="0.35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  <c r="AM254" s="125"/>
      <c r="AN254" s="125"/>
      <c r="AO254" s="125"/>
      <c r="AP254" s="125"/>
      <c r="AQ254" s="125"/>
      <c r="AR254" s="125"/>
      <c r="AS254" s="125"/>
      <c r="AT254" s="125"/>
      <c r="AU254" s="125"/>
      <c r="AV254" s="125"/>
      <c r="AW254" s="125"/>
      <c r="AX254" s="125"/>
      <c r="AY254" s="125"/>
      <c r="AZ254" s="125"/>
      <c r="BA254" s="125"/>
      <c r="BB254" s="125"/>
      <c r="BC254" s="125"/>
      <c r="BD254" s="125"/>
      <c r="BE254" s="125"/>
      <c r="BF254" s="125"/>
    </row>
    <row r="255" spans="1:58" x14ac:dyDescent="0.3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  <c r="AM255" s="125"/>
      <c r="AN255" s="125"/>
      <c r="AO255" s="125"/>
      <c r="AP255" s="125"/>
      <c r="AQ255" s="125"/>
      <c r="AR255" s="125"/>
      <c r="AS255" s="125"/>
      <c r="AT255" s="125"/>
      <c r="AU255" s="125"/>
      <c r="AV255" s="125"/>
      <c r="AW255" s="125"/>
      <c r="AX255" s="125"/>
      <c r="AY255" s="125"/>
      <c r="AZ255" s="125"/>
      <c r="BA255" s="125"/>
      <c r="BB255" s="125"/>
      <c r="BC255" s="125"/>
      <c r="BD255" s="125"/>
      <c r="BE255" s="125"/>
      <c r="BF255" s="125"/>
    </row>
    <row r="256" spans="1:58" x14ac:dyDescent="0.35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  <c r="AM256" s="125"/>
      <c r="AN256" s="125"/>
      <c r="AO256" s="125"/>
      <c r="AP256" s="125"/>
      <c r="AQ256" s="125"/>
      <c r="AR256" s="125"/>
      <c r="AS256" s="125"/>
      <c r="AT256" s="125"/>
      <c r="AU256" s="125"/>
      <c r="AV256" s="125"/>
      <c r="AW256" s="125"/>
      <c r="AX256" s="125"/>
      <c r="AY256" s="125"/>
      <c r="AZ256" s="125"/>
      <c r="BA256" s="125"/>
      <c r="BB256" s="125"/>
      <c r="BC256" s="125"/>
      <c r="BD256" s="125"/>
      <c r="BE256" s="125"/>
      <c r="BF256" s="125"/>
    </row>
    <row r="257" spans="1:58" x14ac:dyDescent="0.35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  <c r="AM257" s="125"/>
      <c r="AN257" s="125"/>
      <c r="AO257" s="125"/>
      <c r="AP257" s="125"/>
      <c r="AQ257" s="125"/>
      <c r="AR257" s="125"/>
      <c r="AS257" s="125"/>
      <c r="AT257" s="125"/>
      <c r="AU257" s="125"/>
      <c r="AV257" s="125"/>
      <c r="AW257" s="125"/>
      <c r="AX257" s="125"/>
      <c r="AY257" s="125"/>
      <c r="AZ257" s="125"/>
      <c r="BA257" s="125"/>
      <c r="BB257" s="125"/>
      <c r="BC257" s="125"/>
      <c r="BD257" s="125"/>
      <c r="BE257" s="125"/>
      <c r="BF257" s="125"/>
    </row>
    <row r="258" spans="1:58" x14ac:dyDescent="0.35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  <c r="AQ258" s="125"/>
      <c r="AR258" s="125"/>
      <c r="AS258" s="125"/>
      <c r="AT258" s="125"/>
      <c r="AU258" s="125"/>
      <c r="AV258" s="125"/>
      <c r="AW258" s="125"/>
      <c r="AX258" s="125"/>
      <c r="AY258" s="125"/>
      <c r="AZ258" s="125"/>
      <c r="BA258" s="125"/>
      <c r="BB258" s="125"/>
      <c r="BC258" s="125"/>
      <c r="BD258" s="125"/>
      <c r="BE258" s="125"/>
      <c r="BF258" s="125"/>
    </row>
    <row r="259" spans="1:58" x14ac:dyDescent="0.35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  <c r="AQ259" s="125"/>
      <c r="AR259" s="125"/>
      <c r="AS259" s="125"/>
      <c r="AT259" s="125"/>
      <c r="AU259" s="125"/>
      <c r="AV259" s="125"/>
      <c r="AW259" s="125"/>
      <c r="AX259" s="125"/>
      <c r="AY259" s="125"/>
      <c r="AZ259" s="125"/>
      <c r="BA259" s="125"/>
      <c r="BB259" s="125"/>
      <c r="BC259" s="125"/>
      <c r="BD259" s="125"/>
      <c r="BE259" s="125"/>
      <c r="BF259" s="125"/>
    </row>
    <row r="260" spans="1:58" x14ac:dyDescent="0.35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  <c r="AQ260" s="125"/>
      <c r="AR260" s="125"/>
      <c r="AS260" s="125"/>
      <c r="AT260" s="125"/>
      <c r="AU260" s="125"/>
      <c r="AV260" s="125"/>
      <c r="AW260" s="125"/>
      <c r="AX260" s="125"/>
      <c r="AY260" s="125"/>
      <c r="AZ260" s="125"/>
      <c r="BA260" s="125"/>
      <c r="BB260" s="125"/>
      <c r="BC260" s="125"/>
      <c r="BD260" s="125"/>
      <c r="BE260" s="125"/>
      <c r="BF260" s="125"/>
    </row>
    <row r="261" spans="1:58" x14ac:dyDescent="0.35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</row>
    <row r="262" spans="1:58" x14ac:dyDescent="0.35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  <c r="BF262" s="125"/>
    </row>
    <row r="263" spans="1:58" x14ac:dyDescent="0.35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</row>
    <row r="264" spans="1:58" x14ac:dyDescent="0.35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/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/>
      <c r="BC264" s="125"/>
      <c r="BD264" s="125"/>
      <c r="BE264" s="125"/>
      <c r="BF264" s="125"/>
    </row>
    <row r="265" spans="1:58" x14ac:dyDescent="0.3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</row>
    <row r="266" spans="1:58" x14ac:dyDescent="0.35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125"/>
    </row>
    <row r="267" spans="1:58" x14ac:dyDescent="0.35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/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</row>
    <row r="268" spans="1:58" x14ac:dyDescent="0.35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5"/>
      <c r="BC268" s="125"/>
      <c r="BD268" s="125"/>
      <c r="BE268" s="125"/>
      <c r="BF268" s="125"/>
    </row>
    <row r="269" spans="1:58" x14ac:dyDescent="0.35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</row>
    <row r="270" spans="1:58" x14ac:dyDescent="0.35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  <c r="AM270" s="125"/>
      <c r="AN270" s="125"/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5"/>
      <c r="AZ270" s="125"/>
      <c r="BA270" s="125"/>
      <c r="BB270" s="125"/>
      <c r="BC270" s="125"/>
      <c r="BD270" s="125"/>
      <c r="BE270" s="125"/>
      <c r="BF270" s="125"/>
    </row>
    <row r="271" spans="1:58" x14ac:dyDescent="0.35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  <c r="AM271" s="125"/>
      <c r="AN271" s="125"/>
      <c r="AO271" s="125"/>
      <c r="AP271" s="125"/>
      <c r="AQ271" s="125"/>
      <c r="AR271" s="125"/>
      <c r="AS271" s="125"/>
      <c r="AT271" s="125"/>
      <c r="AU271" s="125"/>
      <c r="AV271" s="125"/>
      <c r="AW271" s="125"/>
      <c r="AX271" s="125"/>
      <c r="AY271" s="125"/>
      <c r="AZ271" s="125"/>
      <c r="BA271" s="125"/>
      <c r="BB271" s="125"/>
      <c r="BC271" s="125"/>
      <c r="BD271" s="125"/>
      <c r="BE271" s="125"/>
      <c r="BF271" s="125"/>
    </row>
    <row r="272" spans="1:58" x14ac:dyDescent="0.35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  <c r="AQ272" s="125"/>
      <c r="AR272" s="125"/>
      <c r="AS272" s="125"/>
      <c r="AT272" s="125"/>
      <c r="AU272" s="125"/>
      <c r="AV272" s="125"/>
      <c r="AW272" s="125"/>
      <c r="AX272" s="125"/>
      <c r="AY272" s="125"/>
      <c r="AZ272" s="125"/>
      <c r="BA272" s="125"/>
      <c r="BB272" s="125"/>
      <c r="BC272" s="125"/>
      <c r="BD272" s="125"/>
      <c r="BE272" s="125"/>
      <c r="BF272" s="125"/>
    </row>
    <row r="273" spans="1:58" x14ac:dyDescent="0.35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  <c r="AM273" s="125"/>
      <c r="AN273" s="125"/>
      <c r="AO273" s="125"/>
      <c r="AP273" s="125"/>
      <c r="AQ273" s="125"/>
      <c r="AR273" s="125"/>
      <c r="AS273" s="125"/>
      <c r="AT273" s="125"/>
      <c r="AU273" s="125"/>
      <c r="AV273" s="125"/>
      <c r="AW273" s="125"/>
      <c r="AX273" s="125"/>
      <c r="AY273" s="125"/>
      <c r="AZ273" s="125"/>
      <c r="BA273" s="125"/>
      <c r="BB273" s="125"/>
      <c r="BC273" s="125"/>
      <c r="BD273" s="125"/>
      <c r="BE273" s="125"/>
      <c r="BF273" s="125"/>
    </row>
    <row r="274" spans="1:58" x14ac:dyDescent="0.35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  <c r="AM274" s="125"/>
      <c r="AN274" s="125"/>
      <c r="AO274" s="125"/>
      <c r="AP274" s="125"/>
      <c r="AQ274" s="125"/>
      <c r="AR274" s="125"/>
      <c r="AS274" s="125"/>
      <c r="AT274" s="125"/>
      <c r="AU274" s="125"/>
      <c r="AV274" s="125"/>
      <c r="AW274" s="125"/>
      <c r="AX274" s="125"/>
      <c r="AY274" s="125"/>
      <c r="AZ274" s="125"/>
      <c r="BA274" s="125"/>
      <c r="BB274" s="125"/>
      <c r="BC274" s="125"/>
      <c r="BD274" s="125"/>
      <c r="BE274" s="125"/>
      <c r="BF274" s="125"/>
    </row>
    <row r="275" spans="1:58" x14ac:dyDescent="0.3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  <c r="AM275" s="125"/>
      <c r="AN275" s="125"/>
      <c r="AO275" s="125"/>
      <c r="AP275" s="125"/>
      <c r="AQ275" s="125"/>
      <c r="AR275" s="125"/>
      <c r="AS275" s="125"/>
      <c r="AT275" s="125"/>
      <c r="AU275" s="125"/>
      <c r="AV275" s="125"/>
      <c r="AW275" s="125"/>
      <c r="AX275" s="125"/>
      <c r="AY275" s="125"/>
      <c r="AZ275" s="125"/>
      <c r="BA275" s="125"/>
      <c r="BB275" s="125"/>
      <c r="BC275" s="125"/>
      <c r="BD275" s="125"/>
      <c r="BE275" s="125"/>
      <c r="BF275" s="125"/>
    </row>
    <row r="276" spans="1:58" x14ac:dyDescent="0.35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  <c r="AQ276" s="125"/>
      <c r="AR276" s="125"/>
      <c r="AS276" s="125"/>
      <c r="AT276" s="125"/>
      <c r="AU276" s="125"/>
      <c r="AV276" s="125"/>
      <c r="AW276" s="125"/>
      <c r="AX276" s="125"/>
      <c r="AY276" s="125"/>
      <c r="AZ276" s="125"/>
      <c r="BA276" s="125"/>
      <c r="BB276" s="125"/>
      <c r="BC276" s="125"/>
      <c r="BD276" s="125"/>
      <c r="BE276" s="125"/>
      <c r="BF276" s="125"/>
    </row>
    <row r="277" spans="1:58" x14ac:dyDescent="0.35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/>
      <c r="AN277" s="125"/>
      <c r="AO277" s="125"/>
      <c r="AP277" s="125"/>
      <c r="AQ277" s="125"/>
      <c r="AR277" s="125"/>
      <c r="AS277" s="125"/>
      <c r="AT277" s="125"/>
      <c r="AU277" s="125"/>
      <c r="AV277" s="125"/>
      <c r="AW277" s="125"/>
      <c r="AX277" s="125"/>
      <c r="AY277" s="125"/>
      <c r="AZ277" s="125"/>
      <c r="BA277" s="125"/>
      <c r="BB277" s="125"/>
      <c r="BC277" s="125"/>
      <c r="BD277" s="125"/>
      <c r="BE277" s="125"/>
      <c r="BF277" s="125"/>
    </row>
    <row r="278" spans="1:58" x14ac:dyDescent="0.35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</row>
    <row r="279" spans="1:58" x14ac:dyDescent="0.35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</row>
    <row r="280" spans="1:58" x14ac:dyDescent="0.35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/>
      <c r="BD280" s="125"/>
      <c r="BE280" s="125"/>
      <c r="BF280" s="125"/>
    </row>
    <row r="281" spans="1:58" x14ac:dyDescent="0.35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  <c r="AQ281" s="125"/>
      <c r="AR281" s="125"/>
      <c r="AS281" s="125"/>
      <c r="AT281" s="125"/>
      <c r="AU281" s="125"/>
      <c r="AV281" s="125"/>
      <c r="AW281" s="125"/>
      <c r="AX281" s="125"/>
      <c r="AY281" s="125"/>
      <c r="AZ281" s="125"/>
      <c r="BA281" s="125"/>
      <c r="BB281" s="125"/>
      <c r="BC281" s="125"/>
      <c r="BD281" s="125"/>
      <c r="BE281" s="125"/>
      <c r="BF281" s="125"/>
    </row>
    <row r="282" spans="1:58" x14ac:dyDescent="0.35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  <c r="AM282" s="125"/>
      <c r="AN282" s="125"/>
      <c r="AO282" s="125"/>
      <c r="AP282" s="125"/>
      <c r="AQ282" s="125"/>
      <c r="AR282" s="125"/>
      <c r="AS282" s="125"/>
      <c r="AT282" s="125"/>
      <c r="AU282" s="125"/>
      <c r="AV282" s="125"/>
      <c r="AW282" s="125"/>
      <c r="AX282" s="125"/>
      <c r="AY282" s="125"/>
      <c r="AZ282" s="125"/>
      <c r="BA282" s="125"/>
      <c r="BB282" s="125"/>
      <c r="BC282" s="125"/>
      <c r="BD282" s="125"/>
      <c r="BE282" s="125"/>
      <c r="BF282" s="125"/>
    </row>
    <row r="283" spans="1:58" x14ac:dyDescent="0.35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  <c r="AM283" s="125"/>
      <c r="AN283" s="125"/>
      <c r="AO283" s="125"/>
      <c r="AP283" s="125"/>
      <c r="AQ283" s="125"/>
      <c r="AR283" s="125"/>
      <c r="AS283" s="125"/>
      <c r="AT283" s="125"/>
      <c r="AU283" s="125"/>
      <c r="AV283" s="125"/>
      <c r="AW283" s="125"/>
      <c r="AX283" s="125"/>
      <c r="AY283" s="125"/>
      <c r="AZ283" s="125"/>
      <c r="BA283" s="125"/>
      <c r="BB283" s="125"/>
      <c r="BC283" s="125"/>
      <c r="BD283" s="125"/>
      <c r="BE283" s="125"/>
      <c r="BF283" s="125"/>
    </row>
    <row r="284" spans="1:58" x14ac:dyDescent="0.35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  <c r="AM284" s="125"/>
      <c r="AN284" s="125"/>
      <c r="AO284" s="125"/>
      <c r="AP284" s="125"/>
      <c r="AQ284" s="125"/>
      <c r="AR284" s="125"/>
      <c r="AS284" s="125"/>
      <c r="AT284" s="125"/>
      <c r="AU284" s="125"/>
      <c r="AV284" s="125"/>
      <c r="AW284" s="125"/>
      <c r="AX284" s="125"/>
      <c r="AY284" s="125"/>
      <c r="AZ284" s="125"/>
      <c r="BA284" s="125"/>
      <c r="BB284" s="125"/>
      <c r="BC284" s="125"/>
      <c r="BD284" s="125"/>
      <c r="BE284" s="125"/>
      <c r="BF284" s="125"/>
    </row>
    <row r="285" spans="1:58" x14ac:dyDescent="0.3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  <c r="AQ285" s="125"/>
      <c r="AR285" s="125"/>
      <c r="AS285" s="125"/>
      <c r="AT285" s="125"/>
      <c r="AU285" s="125"/>
      <c r="AV285" s="125"/>
      <c r="AW285" s="125"/>
      <c r="AX285" s="125"/>
      <c r="AY285" s="125"/>
      <c r="AZ285" s="125"/>
      <c r="BA285" s="125"/>
      <c r="BB285" s="125"/>
      <c r="BC285" s="125"/>
      <c r="BD285" s="125"/>
      <c r="BE285" s="125"/>
      <c r="BF285" s="125"/>
    </row>
    <row r="286" spans="1:58" x14ac:dyDescent="0.35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</row>
    <row r="287" spans="1:58" x14ac:dyDescent="0.35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</row>
    <row r="288" spans="1:58" x14ac:dyDescent="0.35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</row>
    <row r="289" spans="1:58" x14ac:dyDescent="0.35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/>
      <c r="BC289" s="125"/>
      <c r="BD289" s="125"/>
      <c r="BE289" s="125"/>
      <c r="BF289" s="125"/>
    </row>
    <row r="290" spans="1:58" x14ac:dyDescent="0.35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  <c r="AQ290" s="125"/>
      <c r="AR290" s="125"/>
      <c r="AS290" s="125"/>
      <c r="AT290" s="125"/>
      <c r="AU290" s="125"/>
      <c r="AV290" s="125"/>
      <c r="AW290" s="125"/>
      <c r="AX290" s="125"/>
      <c r="AY290" s="125"/>
      <c r="AZ290" s="125"/>
      <c r="BA290" s="125"/>
      <c r="BB290" s="125"/>
      <c r="BC290" s="125"/>
      <c r="BD290" s="125"/>
      <c r="BE290" s="125"/>
      <c r="BF290" s="125"/>
    </row>
    <row r="291" spans="1:58" x14ac:dyDescent="0.35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  <c r="AM291" s="125"/>
      <c r="AN291" s="125"/>
      <c r="AO291" s="125"/>
      <c r="AP291" s="125"/>
      <c r="AQ291" s="125"/>
      <c r="AR291" s="125"/>
      <c r="AS291" s="125"/>
      <c r="AT291" s="125"/>
      <c r="AU291" s="125"/>
      <c r="AV291" s="125"/>
      <c r="AW291" s="125"/>
      <c r="AX291" s="125"/>
      <c r="AY291" s="125"/>
      <c r="AZ291" s="125"/>
      <c r="BA291" s="125"/>
      <c r="BB291" s="125"/>
      <c r="BC291" s="125"/>
      <c r="BD291" s="125"/>
      <c r="BE291" s="125"/>
      <c r="BF291" s="125"/>
    </row>
    <row r="292" spans="1:58" x14ac:dyDescent="0.35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  <c r="AM292" s="125"/>
      <c r="AN292" s="125"/>
      <c r="AO292" s="125"/>
      <c r="AP292" s="125"/>
      <c r="AQ292" s="125"/>
      <c r="AR292" s="125"/>
      <c r="AS292" s="125"/>
      <c r="AT292" s="125"/>
      <c r="AU292" s="125"/>
      <c r="AV292" s="125"/>
      <c r="AW292" s="125"/>
      <c r="AX292" s="125"/>
      <c r="AY292" s="125"/>
      <c r="AZ292" s="125"/>
      <c r="BA292" s="125"/>
      <c r="BB292" s="125"/>
      <c r="BC292" s="125"/>
      <c r="BD292" s="125"/>
      <c r="BE292" s="125"/>
      <c r="BF292" s="125"/>
    </row>
    <row r="293" spans="1:58" x14ac:dyDescent="0.35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</row>
    <row r="294" spans="1:58" x14ac:dyDescent="0.35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5"/>
      <c r="AL294" s="125"/>
      <c r="AM294" s="125"/>
      <c r="AN294" s="125"/>
      <c r="AO294" s="125"/>
      <c r="AP294" s="125"/>
      <c r="AQ294" s="125"/>
      <c r="AR294" s="125"/>
      <c r="AS294" s="125"/>
      <c r="AT294" s="125"/>
      <c r="AU294" s="125"/>
      <c r="AV294" s="125"/>
      <c r="AW294" s="125"/>
      <c r="AX294" s="125"/>
      <c r="AY294" s="125"/>
      <c r="AZ294" s="125"/>
      <c r="BA294" s="125"/>
      <c r="BB294" s="125"/>
      <c r="BC294" s="125"/>
      <c r="BD294" s="125"/>
      <c r="BE294" s="125"/>
      <c r="BF294" s="125"/>
    </row>
    <row r="295" spans="1:58" x14ac:dyDescent="0.3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  <c r="AG295" s="125"/>
      <c r="AH295" s="125"/>
      <c r="AI295" s="125"/>
      <c r="AJ295" s="125"/>
      <c r="AK295" s="125"/>
      <c r="AL295" s="125"/>
      <c r="AM295" s="125"/>
      <c r="AN295" s="125"/>
      <c r="AO295" s="125"/>
      <c r="AP295" s="125"/>
      <c r="AQ295" s="125"/>
      <c r="AR295" s="125"/>
      <c r="AS295" s="125"/>
      <c r="AT295" s="125"/>
      <c r="AU295" s="125"/>
      <c r="AV295" s="125"/>
      <c r="AW295" s="125"/>
      <c r="AX295" s="125"/>
      <c r="AY295" s="125"/>
      <c r="AZ295" s="125"/>
      <c r="BA295" s="125"/>
      <c r="BB295" s="125"/>
      <c r="BC295" s="125"/>
      <c r="BD295" s="125"/>
      <c r="BE295" s="125"/>
      <c r="BF295" s="125"/>
    </row>
    <row r="296" spans="1:58" x14ac:dyDescent="0.35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  <c r="AH296" s="125"/>
      <c r="AI296" s="125"/>
      <c r="AJ296" s="125"/>
      <c r="AK296" s="125"/>
      <c r="AL296" s="125"/>
      <c r="AM296" s="125"/>
      <c r="AN296" s="125"/>
      <c r="AO296" s="125"/>
      <c r="AP296" s="125"/>
      <c r="AQ296" s="125"/>
      <c r="AR296" s="125"/>
      <c r="AS296" s="125"/>
      <c r="AT296" s="125"/>
      <c r="AU296" s="125"/>
      <c r="AV296" s="125"/>
      <c r="AW296" s="125"/>
      <c r="AX296" s="125"/>
      <c r="AY296" s="125"/>
      <c r="AZ296" s="125"/>
      <c r="BA296" s="125"/>
      <c r="BB296" s="125"/>
      <c r="BC296" s="125"/>
      <c r="BD296" s="125"/>
      <c r="BE296" s="125"/>
      <c r="BF296" s="125"/>
    </row>
    <row r="297" spans="1:58" x14ac:dyDescent="0.35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  <c r="AF297" s="125"/>
      <c r="AG297" s="125"/>
      <c r="AH297" s="125"/>
      <c r="AI297" s="125"/>
      <c r="AJ297" s="125"/>
      <c r="AK297" s="125"/>
      <c r="AL297" s="125"/>
      <c r="AM297" s="125"/>
      <c r="AN297" s="125"/>
      <c r="AO297" s="125"/>
      <c r="AP297" s="125"/>
      <c r="AQ297" s="125"/>
      <c r="AR297" s="125"/>
      <c r="AS297" s="125"/>
      <c r="AT297" s="125"/>
      <c r="AU297" s="125"/>
      <c r="AV297" s="125"/>
      <c r="AW297" s="125"/>
      <c r="AX297" s="125"/>
      <c r="AY297" s="125"/>
      <c r="AZ297" s="125"/>
      <c r="BA297" s="125"/>
      <c r="BB297" s="125"/>
      <c r="BC297" s="125"/>
      <c r="BD297" s="125"/>
      <c r="BE297" s="125"/>
      <c r="BF297" s="125"/>
    </row>
    <row r="298" spans="1:58" x14ac:dyDescent="0.35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  <c r="AE298" s="125"/>
      <c r="AF298" s="125"/>
      <c r="AG298" s="125"/>
      <c r="AH298" s="125"/>
      <c r="AI298" s="125"/>
      <c r="AJ298" s="125"/>
      <c r="AK298" s="125"/>
      <c r="AL298" s="125"/>
      <c r="AM298" s="125"/>
      <c r="AN298" s="125"/>
      <c r="AO298" s="125"/>
      <c r="AP298" s="125"/>
      <c r="AQ298" s="125"/>
      <c r="AR298" s="125"/>
      <c r="AS298" s="125"/>
      <c r="AT298" s="125"/>
      <c r="AU298" s="125"/>
      <c r="AV298" s="125"/>
      <c r="AW298" s="125"/>
      <c r="AX298" s="125"/>
      <c r="AY298" s="125"/>
      <c r="AZ298" s="125"/>
      <c r="BA298" s="125"/>
      <c r="BB298" s="125"/>
      <c r="BC298" s="125"/>
      <c r="BD298" s="125"/>
      <c r="BE298" s="125"/>
      <c r="BF298" s="125"/>
    </row>
    <row r="299" spans="1:58" x14ac:dyDescent="0.35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  <c r="AG299" s="125"/>
      <c r="AH299" s="125"/>
      <c r="AI299" s="125"/>
      <c r="AJ299" s="125"/>
      <c r="AK299" s="125"/>
      <c r="AL299" s="125"/>
      <c r="AM299" s="125"/>
      <c r="AN299" s="125"/>
      <c r="AO299" s="125"/>
      <c r="AP299" s="125"/>
      <c r="AQ299" s="125"/>
      <c r="AR299" s="125"/>
      <c r="AS299" s="125"/>
      <c r="AT299" s="125"/>
      <c r="AU299" s="125"/>
      <c r="AV299" s="125"/>
      <c r="AW299" s="125"/>
      <c r="AX299" s="125"/>
      <c r="AY299" s="125"/>
      <c r="AZ299" s="125"/>
      <c r="BA299" s="125"/>
      <c r="BB299" s="125"/>
      <c r="BC299" s="125"/>
      <c r="BD299" s="125"/>
      <c r="BE299" s="125"/>
      <c r="BF299" s="125"/>
    </row>
    <row r="300" spans="1:58" x14ac:dyDescent="0.35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  <c r="AG300" s="125"/>
      <c r="AH300" s="125"/>
      <c r="AI300" s="125"/>
      <c r="AJ300" s="125"/>
      <c r="AK300" s="125"/>
      <c r="AL300" s="125"/>
      <c r="AM300" s="125"/>
      <c r="AN300" s="125"/>
      <c r="AO300" s="125"/>
      <c r="AP300" s="125"/>
      <c r="AQ300" s="125"/>
      <c r="AR300" s="125"/>
      <c r="AS300" s="125"/>
      <c r="AT300" s="125"/>
      <c r="AU300" s="125"/>
      <c r="AV300" s="125"/>
      <c r="AW300" s="125"/>
      <c r="AX300" s="125"/>
      <c r="AY300" s="125"/>
      <c r="AZ300" s="125"/>
      <c r="BA300" s="125"/>
      <c r="BB300" s="125"/>
      <c r="BC300" s="125"/>
      <c r="BD300" s="125"/>
      <c r="BE300" s="125"/>
      <c r="BF300" s="125"/>
    </row>
    <row r="301" spans="1:58" x14ac:dyDescent="0.35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  <c r="AG301" s="125"/>
      <c r="AH301" s="125"/>
      <c r="AI301" s="125"/>
      <c r="AJ301" s="125"/>
      <c r="AK301" s="125"/>
      <c r="AL301" s="125"/>
      <c r="AM301" s="125"/>
      <c r="AN301" s="125"/>
      <c r="AO301" s="125"/>
      <c r="AP301" s="125"/>
      <c r="AQ301" s="125"/>
      <c r="AR301" s="125"/>
      <c r="AS301" s="125"/>
      <c r="AT301" s="125"/>
      <c r="AU301" s="125"/>
      <c r="AV301" s="125"/>
      <c r="AW301" s="125"/>
      <c r="AX301" s="125"/>
      <c r="AY301" s="125"/>
      <c r="AZ301" s="125"/>
      <c r="BA301" s="125"/>
      <c r="BB301" s="125"/>
      <c r="BC301" s="125"/>
      <c r="BD301" s="125"/>
      <c r="BE301" s="125"/>
      <c r="BF301" s="125"/>
    </row>
    <row r="302" spans="1:58" x14ac:dyDescent="0.35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5"/>
      <c r="AL302" s="125"/>
      <c r="AM302" s="125"/>
      <c r="AN302" s="125"/>
      <c r="AO302" s="125"/>
      <c r="AP302" s="125"/>
      <c r="AQ302" s="125"/>
      <c r="AR302" s="125"/>
      <c r="AS302" s="125"/>
      <c r="AT302" s="125"/>
      <c r="AU302" s="125"/>
      <c r="AV302" s="125"/>
      <c r="AW302" s="125"/>
      <c r="AX302" s="125"/>
      <c r="AY302" s="125"/>
      <c r="AZ302" s="125"/>
      <c r="BA302" s="125"/>
      <c r="BB302" s="125"/>
      <c r="BC302" s="125"/>
      <c r="BD302" s="125"/>
      <c r="BE302" s="125"/>
      <c r="BF302" s="125"/>
    </row>
    <row r="303" spans="1:58" x14ac:dyDescent="0.35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  <c r="AM303" s="125"/>
      <c r="AN303" s="125"/>
      <c r="AO303" s="125"/>
      <c r="AP303" s="125"/>
      <c r="AQ303" s="125"/>
      <c r="AR303" s="125"/>
      <c r="AS303" s="125"/>
      <c r="AT303" s="125"/>
      <c r="AU303" s="125"/>
      <c r="AV303" s="125"/>
      <c r="AW303" s="125"/>
      <c r="AX303" s="125"/>
      <c r="AY303" s="125"/>
      <c r="AZ303" s="125"/>
      <c r="BA303" s="125"/>
      <c r="BB303" s="125"/>
      <c r="BC303" s="125"/>
      <c r="BD303" s="125"/>
      <c r="BE303" s="125"/>
      <c r="BF303" s="125"/>
    </row>
    <row r="304" spans="1:58" x14ac:dyDescent="0.35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/>
      <c r="AM304" s="125"/>
      <c r="AN304" s="125"/>
      <c r="AO304" s="125"/>
      <c r="AP304" s="125"/>
      <c r="AQ304" s="125"/>
      <c r="AR304" s="125"/>
      <c r="AS304" s="125"/>
      <c r="AT304" s="125"/>
      <c r="AU304" s="125"/>
      <c r="AV304" s="125"/>
      <c r="AW304" s="125"/>
      <c r="AX304" s="125"/>
      <c r="AY304" s="125"/>
      <c r="AZ304" s="125"/>
      <c r="BA304" s="125"/>
      <c r="BB304" s="125"/>
      <c r="BC304" s="125"/>
      <c r="BD304" s="125"/>
      <c r="BE304" s="125"/>
      <c r="BF304" s="125"/>
    </row>
    <row r="305" spans="1:58" x14ac:dyDescent="0.3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  <c r="AH305" s="125"/>
      <c r="AI305" s="125"/>
      <c r="AJ305" s="125"/>
      <c r="AK305" s="125"/>
      <c r="AL305" s="125"/>
      <c r="AM305" s="125"/>
      <c r="AN305" s="125"/>
      <c r="AO305" s="125"/>
      <c r="AP305" s="125"/>
      <c r="AQ305" s="125"/>
      <c r="AR305" s="125"/>
      <c r="AS305" s="125"/>
      <c r="AT305" s="125"/>
      <c r="AU305" s="125"/>
      <c r="AV305" s="125"/>
      <c r="AW305" s="125"/>
      <c r="AX305" s="125"/>
      <c r="AY305" s="125"/>
      <c r="AZ305" s="125"/>
      <c r="BA305" s="125"/>
      <c r="BB305" s="125"/>
      <c r="BC305" s="125"/>
      <c r="BD305" s="125"/>
      <c r="BE305" s="125"/>
      <c r="BF305" s="125"/>
    </row>
    <row r="306" spans="1:58" x14ac:dyDescent="0.35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  <c r="AG306" s="125"/>
      <c r="AH306" s="125"/>
      <c r="AI306" s="125"/>
      <c r="AJ306" s="125"/>
      <c r="AK306" s="125"/>
      <c r="AL306" s="125"/>
      <c r="AM306" s="125"/>
      <c r="AN306" s="125"/>
      <c r="AO306" s="125"/>
      <c r="AP306" s="125"/>
      <c r="AQ306" s="125"/>
      <c r="AR306" s="125"/>
      <c r="AS306" s="125"/>
      <c r="AT306" s="125"/>
      <c r="AU306" s="125"/>
      <c r="AV306" s="125"/>
      <c r="AW306" s="125"/>
      <c r="AX306" s="125"/>
      <c r="AY306" s="125"/>
      <c r="AZ306" s="125"/>
      <c r="BA306" s="125"/>
      <c r="BB306" s="125"/>
      <c r="BC306" s="125"/>
      <c r="BD306" s="125"/>
      <c r="BE306" s="125"/>
      <c r="BF306" s="125"/>
    </row>
    <row r="307" spans="1:58" x14ac:dyDescent="0.35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  <c r="AG307" s="125"/>
      <c r="AH307" s="125"/>
      <c r="AI307" s="125"/>
      <c r="AJ307" s="125"/>
      <c r="AK307" s="125"/>
      <c r="AL307" s="125"/>
      <c r="AM307" s="125"/>
      <c r="AN307" s="125"/>
      <c r="AO307" s="125"/>
      <c r="AP307" s="125"/>
      <c r="AQ307" s="125"/>
      <c r="AR307" s="125"/>
      <c r="AS307" s="125"/>
      <c r="AT307" s="125"/>
      <c r="AU307" s="125"/>
      <c r="AV307" s="125"/>
      <c r="AW307" s="125"/>
      <c r="AX307" s="125"/>
      <c r="AY307" s="125"/>
      <c r="AZ307" s="125"/>
      <c r="BA307" s="125"/>
      <c r="BB307" s="125"/>
      <c r="BC307" s="125"/>
      <c r="BD307" s="125"/>
      <c r="BE307" s="125"/>
      <c r="BF307" s="125"/>
    </row>
    <row r="308" spans="1:58" x14ac:dyDescent="0.35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  <c r="AG308" s="125"/>
      <c r="AH308" s="125"/>
      <c r="AI308" s="125"/>
      <c r="AJ308" s="125"/>
      <c r="AK308" s="125"/>
      <c r="AL308" s="125"/>
      <c r="AM308" s="125"/>
      <c r="AN308" s="125"/>
      <c r="AO308" s="125"/>
      <c r="AP308" s="125"/>
      <c r="AQ308" s="125"/>
      <c r="AR308" s="125"/>
      <c r="AS308" s="125"/>
      <c r="AT308" s="125"/>
      <c r="AU308" s="125"/>
      <c r="AV308" s="125"/>
      <c r="AW308" s="125"/>
      <c r="AX308" s="125"/>
      <c r="AY308" s="125"/>
      <c r="AZ308" s="125"/>
      <c r="BA308" s="125"/>
      <c r="BB308" s="125"/>
      <c r="BC308" s="125"/>
      <c r="BD308" s="125"/>
      <c r="BE308" s="125"/>
      <c r="BF308" s="125"/>
    </row>
    <row r="309" spans="1:58" x14ac:dyDescent="0.35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  <c r="AG309" s="125"/>
      <c r="AH309" s="125"/>
      <c r="AI309" s="125"/>
      <c r="AJ309" s="125"/>
      <c r="AK309" s="125"/>
      <c r="AL309" s="125"/>
      <c r="AM309" s="125"/>
      <c r="AN309" s="125"/>
      <c r="AO309" s="125"/>
      <c r="AP309" s="125"/>
      <c r="AQ309" s="125"/>
      <c r="AR309" s="125"/>
      <c r="AS309" s="125"/>
      <c r="AT309" s="125"/>
      <c r="AU309" s="125"/>
      <c r="AV309" s="125"/>
      <c r="AW309" s="125"/>
      <c r="AX309" s="125"/>
      <c r="AY309" s="125"/>
      <c r="AZ309" s="125"/>
      <c r="BA309" s="125"/>
      <c r="BB309" s="125"/>
      <c r="BC309" s="125"/>
      <c r="BD309" s="125"/>
      <c r="BE309" s="125"/>
      <c r="BF309" s="125"/>
    </row>
    <row r="310" spans="1:58" x14ac:dyDescent="0.35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5"/>
      <c r="AL310" s="125"/>
      <c r="AM310" s="125"/>
      <c r="AN310" s="125"/>
      <c r="AO310" s="125"/>
      <c r="AP310" s="125"/>
      <c r="AQ310" s="125"/>
      <c r="AR310" s="125"/>
      <c r="AS310" s="125"/>
      <c r="AT310" s="125"/>
      <c r="AU310" s="125"/>
      <c r="AV310" s="125"/>
      <c r="AW310" s="125"/>
      <c r="AX310" s="125"/>
      <c r="AY310" s="125"/>
      <c r="AZ310" s="125"/>
      <c r="BA310" s="125"/>
      <c r="BB310" s="125"/>
      <c r="BC310" s="125"/>
      <c r="BD310" s="125"/>
      <c r="BE310" s="125"/>
      <c r="BF310" s="125"/>
    </row>
    <row r="311" spans="1:58" x14ac:dyDescent="0.35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5"/>
      <c r="AL311" s="125"/>
      <c r="AM311" s="125"/>
      <c r="AN311" s="125"/>
      <c r="AO311" s="125"/>
      <c r="AP311" s="125"/>
      <c r="AQ311" s="125"/>
      <c r="AR311" s="125"/>
      <c r="AS311" s="125"/>
      <c r="AT311" s="125"/>
      <c r="AU311" s="125"/>
      <c r="AV311" s="125"/>
      <c r="AW311" s="125"/>
      <c r="AX311" s="125"/>
      <c r="AY311" s="125"/>
      <c r="AZ311" s="125"/>
      <c r="BA311" s="125"/>
      <c r="BB311" s="125"/>
      <c r="BC311" s="125"/>
      <c r="BD311" s="125"/>
      <c r="BE311" s="125"/>
      <c r="BF311" s="125"/>
    </row>
    <row r="312" spans="1:58" x14ac:dyDescent="0.35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  <c r="AH312" s="125"/>
      <c r="AI312" s="125"/>
      <c r="AJ312" s="125"/>
      <c r="AK312" s="125"/>
      <c r="AL312" s="125"/>
      <c r="AM312" s="125"/>
      <c r="AN312" s="125"/>
      <c r="AO312" s="125"/>
      <c r="AP312" s="125"/>
      <c r="AQ312" s="125"/>
      <c r="AR312" s="125"/>
      <c r="AS312" s="125"/>
      <c r="AT312" s="125"/>
      <c r="AU312" s="125"/>
      <c r="AV312" s="125"/>
      <c r="AW312" s="125"/>
      <c r="AX312" s="125"/>
      <c r="AY312" s="125"/>
      <c r="AZ312" s="125"/>
      <c r="BA312" s="125"/>
      <c r="BB312" s="125"/>
      <c r="BC312" s="125"/>
      <c r="BD312" s="125"/>
      <c r="BE312" s="125"/>
      <c r="BF312" s="125"/>
    </row>
    <row r="313" spans="1:58" x14ac:dyDescent="0.35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5"/>
      <c r="AL313" s="125"/>
      <c r="AM313" s="125"/>
      <c r="AN313" s="125"/>
      <c r="AO313" s="125"/>
      <c r="AP313" s="125"/>
      <c r="AQ313" s="125"/>
      <c r="AR313" s="125"/>
      <c r="AS313" s="125"/>
      <c r="AT313" s="125"/>
      <c r="AU313" s="125"/>
      <c r="AV313" s="125"/>
      <c r="AW313" s="125"/>
      <c r="AX313" s="125"/>
      <c r="AY313" s="125"/>
      <c r="AZ313" s="125"/>
      <c r="BA313" s="125"/>
      <c r="BB313" s="125"/>
      <c r="BC313" s="125"/>
      <c r="BD313" s="125"/>
      <c r="BE313" s="125"/>
      <c r="BF313" s="125"/>
    </row>
    <row r="314" spans="1:58" x14ac:dyDescent="0.35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  <c r="AH314" s="125"/>
      <c r="AI314" s="125"/>
      <c r="AJ314" s="125"/>
      <c r="AK314" s="125"/>
      <c r="AL314" s="125"/>
      <c r="AM314" s="125"/>
      <c r="AN314" s="125"/>
      <c r="AO314" s="125"/>
      <c r="AP314" s="125"/>
      <c r="AQ314" s="125"/>
      <c r="AR314" s="125"/>
      <c r="AS314" s="125"/>
      <c r="AT314" s="125"/>
      <c r="AU314" s="125"/>
      <c r="AV314" s="125"/>
      <c r="AW314" s="125"/>
      <c r="AX314" s="125"/>
      <c r="AY314" s="125"/>
      <c r="AZ314" s="125"/>
      <c r="BA314" s="125"/>
      <c r="BB314" s="125"/>
      <c r="BC314" s="125"/>
      <c r="BD314" s="125"/>
      <c r="BE314" s="125"/>
      <c r="BF314" s="125"/>
    </row>
    <row r="315" spans="1:58" x14ac:dyDescent="0.3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5"/>
      <c r="AL315" s="125"/>
      <c r="AM315" s="125"/>
      <c r="AN315" s="125"/>
      <c r="AO315" s="125"/>
      <c r="AP315" s="125"/>
      <c r="AQ315" s="125"/>
      <c r="AR315" s="125"/>
      <c r="AS315" s="125"/>
      <c r="AT315" s="125"/>
      <c r="AU315" s="125"/>
      <c r="AV315" s="125"/>
      <c r="AW315" s="125"/>
      <c r="AX315" s="125"/>
      <c r="AY315" s="125"/>
      <c r="AZ315" s="125"/>
      <c r="BA315" s="125"/>
      <c r="BB315" s="125"/>
      <c r="BC315" s="125"/>
      <c r="BD315" s="125"/>
      <c r="BE315" s="125"/>
      <c r="BF315" s="125"/>
    </row>
    <row r="316" spans="1:58" x14ac:dyDescent="0.35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5"/>
      <c r="AL316" s="125"/>
      <c r="AM316" s="125"/>
      <c r="AN316" s="125"/>
      <c r="AO316" s="125"/>
      <c r="AP316" s="125"/>
      <c r="AQ316" s="125"/>
      <c r="AR316" s="125"/>
      <c r="AS316" s="125"/>
      <c r="AT316" s="125"/>
      <c r="AU316" s="125"/>
      <c r="AV316" s="125"/>
      <c r="AW316" s="125"/>
      <c r="AX316" s="125"/>
      <c r="AY316" s="125"/>
      <c r="AZ316" s="125"/>
      <c r="BA316" s="125"/>
      <c r="BB316" s="125"/>
      <c r="BC316" s="125"/>
      <c r="BD316" s="125"/>
      <c r="BE316" s="125"/>
      <c r="BF316" s="125"/>
    </row>
    <row r="317" spans="1:58" x14ac:dyDescent="0.35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  <c r="AH317" s="125"/>
      <c r="AI317" s="125"/>
      <c r="AJ317" s="125"/>
      <c r="AK317" s="125"/>
      <c r="AL317" s="125"/>
      <c r="AM317" s="125"/>
      <c r="AN317" s="125"/>
      <c r="AO317" s="125"/>
      <c r="AP317" s="125"/>
      <c r="AQ317" s="125"/>
      <c r="AR317" s="125"/>
      <c r="AS317" s="125"/>
      <c r="AT317" s="125"/>
      <c r="AU317" s="125"/>
      <c r="AV317" s="125"/>
      <c r="AW317" s="125"/>
      <c r="AX317" s="125"/>
      <c r="AY317" s="125"/>
      <c r="AZ317" s="125"/>
      <c r="BA317" s="125"/>
      <c r="BB317" s="125"/>
      <c r="BC317" s="125"/>
      <c r="BD317" s="125"/>
      <c r="BE317" s="125"/>
      <c r="BF317" s="125"/>
    </row>
    <row r="318" spans="1:58" x14ac:dyDescent="0.35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5"/>
      <c r="AL318" s="125"/>
      <c r="AM318" s="125"/>
      <c r="AN318" s="125"/>
      <c r="AO318" s="125"/>
      <c r="AP318" s="125"/>
      <c r="AQ318" s="125"/>
      <c r="AR318" s="125"/>
      <c r="AS318" s="125"/>
      <c r="AT318" s="125"/>
      <c r="AU318" s="125"/>
      <c r="AV318" s="125"/>
      <c r="AW318" s="125"/>
      <c r="AX318" s="125"/>
      <c r="AY318" s="125"/>
      <c r="AZ318" s="125"/>
      <c r="BA318" s="125"/>
      <c r="BB318" s="125"/>
      <c r="BC318" s="125"/>
      <c r="BD318" s="125"/>
      <c r="BE318" s="125"/>
      <c r="BF318" s="125"/>
    </row>
    <row r="319" spans="1:58" x14ac:dyDescent="0.35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5"/>
      <c r="AL319" s="125"/>
      <c r="AM319" s="125"/>
      <c r="AN319" s="125"/>
      <c r="AO319" s="125"/>
      <c r="AP319" s="125"/>
      <c r="AQ319" s="125"/>
      <c r="AR319" s="125"/>
      <c r="AS319" s="125"/>
      <c r="AT319" s="125"/>
      <c r="AU319" s="125"/>
      <c r="AV319" s="125"/>
      <c r="AW319" s="125"/>
      <c r="AX319" s="125"/>
      <c r="AY319" s="125"/>
      <c r="AZ319" s="125"/>
      <c r="BA319" s="125"/>
      <c r="BB319" s="125"/>
      <c r="BC319" s="125"/>
      <c r="BD319" s="125"/>
      <c r="BE319" s="125"/>
      <c r="BF319" s="125"/>
    </row>
    <row r="320" spans="1:58" x14ac:dyDescent="0.35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5"/>
      <c r="AL320" s="125"/>
      <c r="AM320" s="125"/>
      <c r="AN320" s="125"/>
      <c r="AO320" s="125"/>
      <c r="AP320" s="125"/>
      <c r="AQ320" s="125"/>
      <c r="AR320" s="125"/>
      <c r="AS320" s="125"/>
      <c r="AT320" s="125"/>
      <c r="AU320" s="125"/>
      <c r="AV320" s="125"/>
      <c r="AW320" s="125"/>
      <c r="AX320" s="125"/>
      <c r="AY320" s="125"/>
      <c r="AZ320" s="125"/>
      <c r="BA320" s="125"/>
      <c r="BB320" s="125"/>
      <c r="BC320" s="125"/>
      <c r="BD320" s="125"/>
      <c r="BE320" s="125"/>
      <c r="BF320" s="125"/>
    </row>
    <row r="321" spans="1:58" x14ac:dyDescent="0.35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  <c r="AH321" s="125"/>
      <c r="AI321" s="125"/>
      <c r="AJ321" s="125"/>
      <c r="AK321" s="125"/>
      <c r="AL321" s="125"/>
      <c r="AM321" s="125"/>
      <c r="AN321" s="125"/>
      <c r="AO321" s="125"/>
      <c r="AP321" s="125"/>
      <c r="AQ321" s="125"/>
      <c r="AR321" s="125"/>
      <c r="AS321" s="125"/>
      <c r="AT321" s="125"/>
      <c r="AU321" s="125"/>
      <c r="AV321" s="125"/>
      <c r="AW321" s="125"/>
      <c r="AX321" s="125"/>
      <c r="AY321" s="125"/>
      <c r="AZ321" s="125"/>
      <c r="BA321" s="125"/>
      <c r="BB321" s="125"/>
      <c r="BC321" s="125"/>
      <c r="BD321" s="125"/>
      <c r="BE321" s="125"/>
      <c r="BF321" s="125"/>
    </row>
    <row r="322" spans="1:58" x14ac:dyDescent="0.35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  <c r="AG322" s="125"/>
      <c r="AH322" s="125"/>
      <c r="AI322" s="125"/>
      <c r="AJ322" s="125"/>
      <c r="AK322" s="125"/>
      <c r="AL322" s="125"/>
      <c r="AM322" s="125"/>
      <c r="AN322" s="125"/>
      <c r="AO322" s="125"/>
      <c r="AP322" s="125"/>
      <c r="AQ322" s="125"/>
      <c r="AR322" s="125"/>
      <c r="AS322" s="125"/>
      <c r="AT322" s="125"/>
      <c r="AU322" s="125"/>
      <c r="AV322" s="125"/>
      <c r="AW322" s="125"/>
      <c r="AX322" s="125"/>
      <c r="AY322" s="125"/>
      <c r="AZ322" s="125"/>
      <c r="BA322" s="125"/>
      <c r="BB322" s="125"/>
      <c r="BC322" s="125"/>
      <c r="BD322" s="125"/>
      <c r="BE322" s="125"/>
      <c r="BF322" s="125"/>
    </row>
    <row r="323" spans="1:58" x14ac:dyDescent="0.35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  <c r="AG323" s="125"/>
      <c r="AH323" s="125"/>
      <c r="AI323" s="125"/>
      <c r="AJ323" s="125"/>
      <c r="AK323" s="125"/>
      <c r="AL323" s="125"/>
      <c r="AM323" s="125"/>
      <c r="AN323" s="125"/>
      <c r="AO323" s="125"/>
      <c r="AP323" s="125"/>
      <c r="AQ323" s="125"/>
      <c r="AR323" s="125"/>
      <c r="AS323" s="125"/>
      <c r="AT323" s="125"/>
      <c r="AU323" s="125"/>
      <c r="AV323" s="125"/>
      <c r="AW323" s="125"/>
      <c r="AX323" s="125"/>
      <c r="AY323" s="125"/>
      <c r="AZ323" s="125"/>
      <c r="BA323" s="125"/>
      <c r="BB323" s="125"/>
      <c r="BC323" s="125"/>
      <c r="BD323" s="125"/>
      <c r="BE323" s="125"/>
      <c r="BF323" s="125"/>
    </row>
    <row r="324" spans="1:58" x14ac:dyDescent="0.35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  <c r="AG324" s="125"/>
      <c r="AH324" s="125"/>
      <c r="AI324" s="125"/>
      <c r="AJ324" s="125"/>
      <c r="AK324" s="125"/>
      <c r="AL324" s="125"/>
      <c r="AM324" s="125"/>
      <c r="AN324" s="125"/>
      <c r="AO324" s="125"/>
      <c r="AP324" s="125"/>
      <c r="AQ324" s="125"/>
      <c r="AR324" s="125"/>
      <c r="AS324" s="125"/>
      <c r="AT324" s="125"/>
      <c r="AU324" s="125"/>
      <c r="AV324" s="125"/>
      <c r="AW324" s="125"/>
      <c r="AX324" s="125"/>
      <c r="AY324" s="125"/>
      <c r="AZ324" s="125"/>
      <c r="BA324" s="125"/>
      <c r="BB324" s="125"/>
      <c r="BC324" s="125"/>
      <c r="BD324" s="125"/>
      <c r="BE324" s="125"/>
      <c r="BF324" s="125"/>
    </row>
    <row r="325" spans="1:58" x14ac:dyDescent="0.3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  <c r="AG325" s="125"/>
      <c r="AH325" s="125"/>
      <c r="AI325" s="125"/>
      <c r="AJ325" s="125"/>
      <c r="AK325" s="125"/>
      <c r="AL325" s="125"/>
      <c r="AM325" s="125"/>
      <c r="AN325" s="125"/>
      <c r="AO325" s="125"/>
      <c r="AP325" s="125"/>
      <c r="AQ325" s="125"/>
      <c r="AR325" s="125"/>
      <c r="AS325" s="125"/>
      <c r="AT325" s="125"/>
      <c r="AU325" s="125"/>
      <c r="AV325" s="125"/>
      <c r="AW325" s="125"/>
      <c r="AX325" s="125"/>
      <c r="AY325" s="125"/>
      <c r="AZ325" s="125"/>
      <c r="BA325" s="125"/>
      <c r="BB325" s="125"/>
      <c r="BC325" s="125"/>
      <c r="BD325" s="125"/>
      <c r="BE325" s="125"/>
      <c r="BF325" s="125"/>
    </row>
    <row r="326" spans="1:58" x14ac:dyDescent="0.35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  <c r="AF326" s="125"/>
      <c r="AG326" s="125"/>
      <c r="AH326" s="125"/>
      <c r="AI326" s="125"/>
      <c r="AJ326" s="125"/>
      <c r="AK326" s="125"/>
      <c r="AL326" s="125"/>
      <c r="AM326" s="125"/>
      <c r="AN326" s="125"/>
      <c r="AO326" s="125"/>
      <c r="AP326" s="125"/>
      <c r="AQ326" s="125"/>
      <c r="AR326" s="125"/>
      <c r="AS326" s="125"/>
      <c r="AT326" s="125"/>
      <c r="AU326" s="125"/>
      <c r="AV326" s="125"/>
      <c r="AW326" s="125"/>
      <c r="AX326" s="125"/>
      <c r="AY326" s="125"/>
      <c r="AZ326" s="125"/>
      <c r="BA326" s="125"/>
      <c r="BB326" s="125"/>
      <c r="BC326" s="125"/>
      <c r="BD326" s="125"/>
      <c r="BE326" s="125"/>
      <c r="BF326" s="125"/>
    </row>
    <row r="327" spans="1:58" x14ac:dyDescent="0.35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  <c r="AH327" s="125"/>
      <c r="AI327" s="125"/>
      <c r="AJ327" s="125"/>
      <c r="AK327" s="125"/>
      <c r="AL327" s="125"/>
      <c r="AM327" s="125"/>
      <c r="AN327" s="125"/>
      <c r="AO327" s="125"/>
      <c r="AP327" s="125"/>
      <c r="AQ327" s="125"/>
      <c r="AR327" s="125"/>
      <c r="AS327" s="125"/>
      <c r="AT327" s="125"/>
      <c r="AU327" s="125"/>
      <c r="AV327" s="125"/>
      <c r="AW327" s="125"/>
      <c r="AX327" s="125"/>
      <c r="AY327" s="125"/>
      <c r="AZ327" s="125"/>
      <c r="BA327" s="125"/>
      <c r="BB327" s="125"/>
      <c r="BC327" s="125"/>
      <c r="BD327" s="125"/>
      <c r="BE327" s="125"/>
      <c r="BF327" s="125"/>
    </row>
    <row r="328" spans="1:58" x14ac:dyDescent="0.35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  <c r="AG328" s="125"/>
      <c r="AH328" s="125"/>
      <c r="AI328" s="125"/>
      <c r="AJ328" s="125"/>
      <c r="AK328" s="125"/>
      <c r="AL328" s="125"/>
      <c r="AM328" s="125"/>
      <c r="AN328" s="125"/>
      <c r="AO328" s="125"/>
      <c r="AP328" s="125"/>
      <c r="AQ328" s="125"/>
      <c r="AR328" s="125"/>
      <c r="AS328" s="125"/>
      <c r="AT328" s="125"/>
      <c r="AU328" s="125"/>
      <c r="AV328" s="125"/>
      <c r="AW328" s="125"/>
      <c r="AX328" s="125"/>
      <c r="AY328" s="125"/>
      <c r="AZ328" s="125"/>
      <c r="BA328" s="125"/>
      <c r="BB328" s="125"/>
      <c r="BC328" s="125"/>
      <c r="BD328" s="125"/>
      <c r="BE328" s="125"/>
      <c r="BF328" s="125"/>
    </row>
    <row r="329" spans="1:58" x14ac:dyDescent="0.35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5"/>
      <c r="AL329" s="125"/>
      <c r="AM329" s="125"/>
      <c r="AN329" s="125"/>
      <c r="AO329" s="125"/>
      <c r="AP329" s="125"/>
      <c r="AQ329" s="125"/>
      <c r="AR329" s="125"/>
      <c r="AS329" s="125"/>
      <c r="AT329" s="125"/>
      <c r="AU329" s="125"/>
      <c r="AV329" s="125"/>
      <c r="AW329" s="125"/>
      <c r="AX329" s="125"/>
      <c r="AY329" s="125"/>
      <c r="AZ329" s="125"/>
      <c r="BA329" s="125"/>
      <c r="BB329" s="125"/>
      <c r="BC329" s="125"/>
      <c r="BD329" s="125"/>
      <c r="BE329" s="125"/>
      <c r="BF329" s="125"/>
    </row>
    <row r="330" spans="1:58" x14ac:dyDescent="0.35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5"/>
      <c r="AL330" s="125"/>
      <c r="AM330" s="125"/>
      <c r="AN330" s="125"/>
      <c r="AO330" s="125"/>
      <c r="AP330" s="125"/>
      <c r="AQ330" s="125"/>
      <c r="AR330" s="125"/>
      <c r="AS330" s="125"/>
      <c r="AT330" s="125"/>
      <c r="AU330" s="125"/>
      <c r="AV330" s="125"/>
      <c r="AW330" s="125"/>
      <c r="AX330" s="125"/>
      <c r="AY330" s="125"/>
      <c r="AZ330" s="125"/>
      <c r="BA330" s="125"/>
      <c r="BB330" s="125"/>
      <c r="BC330" s="125"/>
      <c r="BD330" s="125"/>
      <c r="BE330" s="125"/>
      <c r="BF330" s="125"/>
    </row>
    <row r="331" spans="1:58" x14ac:dyDescent="0.35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  <c r="AH331" s="125"/>
      <c r="AI331" s="125"/>
      <c r="AJ331" s="125"/>
      <c r="AK331" s="125"/>
      <c r="AL331" s="125"/>
      <c r="AM331" s="125"/>
      <c r="AN331" s="125"/>
      <c r="AO331" s="125"/>
      <c r="AP331" s="125"/>
      <c r="AQ331" s="125"/>
      <c r="AR331" s="125"/>
      <c r="AS331" s="125"/>
      <c r="AT331" s="125"/>
      <c r="AU331" s="125"/>
      <c r="AV331" s="125"/>
      <c r="AW331" s="125"/>
      <c r="AX331" s="125"/>
      <c r="AY331" s="125"/>
      <c r="AZ331" s="125"/>
      <c r="BA331" s="125"/>
      <c r="BB331" s="125"/>
      <c r="BC331" s="125"/>
      <c r="BD331" s="125"/>
      <c r="BE331" s="125"/>
      <c r="BF331" s="125"/>
    </row>
    <row r="332" spans="1:58" x14ac:dyDescent="0.35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  <c r="AH332" s="125"/>
      <c r="AI332" s="125"/>
      <c r="AJ332" s="125"/>
      <c r="AK332" s="125"/>
      <c r="AL332" s="125"/>
      <c r="AM332" s="125"/>
      <c r="AN332" s="125"/>
      <c r="AO332" s="125"/>
      <c r="AP332" s="125"/>
      <c r="AQ332" s="125"/>
      <c r="AR332" s="125"/>
      <c r="AS332" s="125"/>
      <c r="AT332" s="125"/>
      <c r="AU332" s="125"/>
      <c r="AV332" s="125"/>
      <c r="AW332" s="125"/>
      <c r="AX332" s="125"/>
      <c r="AY332" s="125"/>
      <c r="AZ332" s="125"/>
      <c r="BA332" s="125"/>
      <c r="BB332" s="125"/>
      <c r="BC332" s="125"/>
      <c r="BD332" s="125"/>
      <c r="BE332" s="125"/>
      <c r="BF332" s="125"/>
    </row>
    <row r="333" spans="1:58" x14ac:dyDescent="0.35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  <c r="AH333" s="125"/>
      <c r="AI333" s="125"/>
      <c r="AJ333" s="125"/>
      <c r="AK333" s="125"/>
      <c r="AL333" s="125"/>
      <c r="AM333" s="125"/>
      <c r="AN333" s="125"/>
      <c r="AO333" s="125"/>
      <c r="AP333" s="125"/>
      <c r="AQ333" s="125"/>
      <c r="AR333" s="125"/>
      <c r="AS333" s="125"/>
      <c r="AT333" s="125"/>
      <c r="AU333" s="125"/>
      <c r="AV333" s="125"/>
      <c r="AW333" s="125"/>
      <c r="AX333" s="125"/>
      <c r="AY333" s="125"/>
      <c r="AZ333" s="125"/>
      <c r="BA333" s="125"/>
      <c r="BB333" s="125"/>
      <c r="BC333" s="125"/>
      <c r="BD333" s="125"/>
      <c r="BE333" s="125"/>
      <c r="BF333" s="125"/>
    </row>
    <row r="334" spans="1:58" x14ac:dyDescent="0.35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/>
      <c r="AG334" s="125"/>
      <c r="AH334" s="125"/>
      <c r="AI334" s="125"/>
      <c r="AJ334" s="125"/>
      <c r="AK334" s="125"/>
      <c r="AL334" s="125"/>
      <c r="AM334" s="125"/>
      <c r="AN334" s="125"/>
      <c r="AO334" s="125"/>
      <c r="AP334" s="125"/>
      <c r="AQ334" s="125"/>
      <c r="AR334" s="125"/>
      <c r="AS334" s="125"/>
      <c r="AT334" s="125"/>
      <c r="AU334" s="125"/>
      <c r="AV334" s="125"/>
      <c r="AW334" s="125"/>
      <c r="AX334" s="125"/>
      <c r="AY334" s="125"/>
      <c r="AZ334" s="125"/>
      <c r="BA334" s="125"/>
      <c r="BB334" s="125"/>
      <c r="BC334" s="125"/>
      <c r="BD334" s="125"/>
      <c r="BE334" s="125"/>
      <c r="BF334" s="125"/>
    </row>
    <row r="335" spans="1:58" x14ac:dyDescent="0.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5"/>
      <c r="AL335" s="125"/>
      <c r="AM335" s="125"/>
      <c r="AN335" s="125"/>
      <c r="AO335" s="125"/>
      <c r="AP335" s="125"/>
      <c r="AQ335" s="125"/>
      <c r="AR335" s="125"/>
      <c r="AS335" s="125"/>
      <c r="AT335" s="125"/>
      <c r="AU335" s="125"/>
      <c r="AV335" s="125"/>
      <c r="AW335" s="125"/>
      <c r="AX335" s="125"/>
      <c r="AY335" s="125"/>
      <c r="AZ335" s="125"/>
      <c r="BA335" s="125"/>
      <c r="BB335" s="125"/>
      <c r="BC335" s="125"/>
      <c r="BD335" s="125"/>
      <c r="BE335" s="125"/>
      <c r="BF335" s="125"/>
    </row>
    <row r="336" spans="1:58" x14ac:dyDescent="0.35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  <c r="AF336" s="125"/>
      <c r="AG336" s="125"/>
      <c r="AH336" s="125"/>
      <c r="AI336" s="125"/>
      <c r="AJ336" s="125"/>
      <c r="AK336" s="125"/>
      <c r="AL336" s="125"/>
      <c r="AM336" s="125"/>
      <c r="AN336" s="125"/>
      <c r="AO336" s="125"/>
      <c r="AP336" s="125"/>
      <c r="AQ336" s="125"/>
      <c r="AR336" s="125"/>
      <c r="AS336" s="125"/>
      <c r="AT336" s="125"/>
      <c r="AU336" s="125"/>
      <c r="AV336" s="125"/>
      <c r="AW336" s="125"/>
      <c r="AX336" s="125"/>
      <c r="AY336" s="125"/>
      <c r="AZ336" s="125"/>
      <c r="BA336" s="125"/>
      <c r="BB336" s="125"/>
      <c r="BC336" s="125"/>
      <c r="BD336" s="125"/>
      <c r="BE336" s="125"/>
      <c r="BF336" s="125"/>
    </row>
    <row r="337" spans="1:58" x14ac:dyDescent="0.35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  <c r="AG337" s="125"/>
      <c r="AH337" s="125"/>
      <c r="AI337" s="125"/>
      <c r="AJ337" s="125"/>
      <c r="AK337" s="125"/>
      <c r="AL337" s="125"/>
      <c r="AM337" s="125"/>
      <c r="AN337" s="125"/>
      <c r="AO337" s="125"/>
      <c r="AP337" s="125"/>
      <c r="AQ337" s="125"/>
      <c r="AR337" s="125"/>
      <c r="AS337" s="125"/>
      <c r="AT337" s="125"/>
      <c r="AU337" s="125"/>
      <c r="AV337" s="125"/>
      <c r="AW337" s="125"/>
      <c r="AX337" s="125"/>
      <c r="AY337" s="125"/>
      <c r="AZ337" s="125"/>
      <c r="BA337" s="125"/>
      <c r="BB337" s="125"/>
      <c r="BC337" s="125"/>
      <c r="BD337" s="125"/>
      <c r="BE337" s="125"/>
      <c r="BF337" s="125"/>
    </row>
    <row r="338" spans="1:58" x14ac:dyDescent="0.35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  <c r="AF338" s="125"/>
      <c r="AG338" s="125"/>
      <c r="AH338" s="125"/>
      <c r="AI338" s="125"/>
      <c r="AJ338" s="125"/>
      <c r="AK338" s="125"/>
      <c r="AL338" s="125"/>
      <c r="AM338" s="125"/>
      <c r="AN338" s="125"/>
      <c r="AO338" s="125"/>
      <c r="AP338" s="125"/>
      <c r="AQ338" s="125"/>
      <c r="AR338" s="125"/>
      <c r="AS338" s="125"/>
      <c r="AT338" s="125"/>
      <c r="AU338" s="125"/>
      <c r="AV338" s="125"/>
      <c r="AW338" s="125"/>
      <c r="AX338" s="125"/>
      <c r="AY338" s="125"/>
      <c r="AZ338" s="125"/>
      <c r="BA338" s="125"/>
      <c r="BB338" s="125"/>
      <c r="BC338" s="125"/>
      <c r="BD338" s="125"/>
      <c r="BE338" s="125"/>
      <c r="BF338" s="125"/>
    </row>
    <row r="339" spans="1:58" x14ac:dyDescent="0.35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  <c r="AF339" s="125"/>
      <c r="AG339" s="125"/>
      <c r="AH339" s="125"/>
      <c r="AI339" s="125"/>
      <c r="AJ339" s="125"/>
      <c r="AK339" s="125"/>
      <c r="AL339" s="125"/>
      <c r="AM339" s="125"/>
      <c r="AN339" s="125"/>
      <c r="AO339" s="125"/>
      <c r="AP339" s="125"/>
      <c r="AQ339" s="125"/>
      <c r="AR339" s="125"/>
      <c r="AS339" s="125"/>
      <c r="AT339" s="125"/>
      <c r="AU339" s="125"/>
      <c r="AV339" s="125"/>
      <c r="AW339" s="125"/>
      <c r="AX339" s="125"/>
      <c r="AY339" s="125"/>
      <c r="AZ339" s="125"/>
      <c r="BA339" s="125"/>
      <c r="BB339" s="125"/>
      <c r="BC339" s="125"/>
      <c r="BD339" s="125"/>
      <c r="BE339" s="125"/>
      <c r="BF339" s="125"/>
    </row>
    <row r="340" spans="1:58" x14ac:dyDescent="0.35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  <c r="AF340" s="125"/>
      <c r="AG340" s="125"/>
      <c r="AH340" s="125"/>
      <c r="AI340" s="125"/>
      <c r="AJ340" s="125"/>
      <c r="AK340" s="125"/>
      <c r="AL340" s="125"/>
      <c r="AM340" s="125"/>
      <c r="AN340" s="125"/>
      <c r="AO340" s="125"/>
      <c r="AP340" s="125"/>
      <c r="AQ340" s="125"/>
      <c r="AR340" s="125"/>
      <c r="AS340" s="125"/>
      <c r="AT340" s="125"/>
      <c r="AU340" s="125"/>
      <c r="AV340" s="125"/>
      <c r="AW340" s="125"/>
      <c r="AX340" s="125"/>
      <c r="AY340" s="125"/>
      <c r="AZ340" s="125"/>
      <c r="BA340" s="125"/>
      <c r="BB340" s="125"/>
      <c r="BC340" s="125"/>
      <c r="BD340" s="125"/>
      <c r="BE340" s="125"/>
      <c r="BF340" s="125"/>
    </row>
    <row r="341" spans="1:58" x14ac:dyDescent="0.35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  <c r="AG341" s="125"/>
      <c r="AH341" s="125"/>
      <c r="AI341" s="125"/>
      <c r="AJ341" s="125"/>
      <c r="AK341" s="125"/>
      <c r="AL341" s="125"/>
      <c r="AM341" s="125"/>
      <c r="AN341" s="125"/>
      <c r="AO341" s="125"/>
      <c r="AP341" s="125"/>
      <c r="AQ341" s="125"/>
      <c r="AR341" s="125"/>
      <c r="AS341" s="125"/>
      <c r="AT341" s="125"/>
      <c r="AU341" s="125"/>
      <c r="AV341" s="125"/>
      <c r="AW341" s="125"/>
      <c r="AX341" s="125"/>
      <c r="AY341" s="125"/>
      <c r="AZ341" s="125"/>
      <c r="BA341" s="125"/>
      <c r="BB341" s="125"/>
      <c r="BC341" s="125"/>
      <c r="BD341" s="125"/>
      <c r="BE341" s="125"/>
      <c r="BF341" s="125"/>
    </row>
    <row r="342" spans="1:58" x14ac:dyDescent="0.35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  <c r="AG342" s="125"/>
      <c r="AH342" s="125"/>
      <c r="AI342" s="125"/>
      <c r="AJ342" s="125"/>
      <c r="AK342" s="125"/>
      <c r="AL342" s="125"/>
      <c r="AM342" s="125"/>
      <c r="AN342" s="125"/>
      <c r="AO342" s="125"/>
      <c r="AP342" s="125"/>
      <c r="AQ342" s="125"/>
      <c r="AR342" s="125"/>
      <c r="AS342" s="125"/>
      <c r="AT342" s="125"/>
      <c r="AU342" s="125"/>
      <c r="AV342" s="125"/>
      <c r="AW342" s="125"/>
      <c r="AX342" s="125"/>
      <c r="AY342" s="125"/>
      <c r="AZ342" s="125"/>
      <c r="BA342" s="125"/>
      <c r="BB342" s="125"/>
      <c r="BC342" s="125"/>
      <c r="BD342" s="125"/>
      <c r="BE342" s="125"/>
      <c r="BF342" s="125"/>
    </row>
    <row r="343" spans="1:58" x14ac:dyDescent="0.35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  <c r="AG343" s="125"/>
      <c r="AH343" s="125"/>
      <c r="AI343" s="125"/>
      <c r="AJ343" s="125"/>
      <c r="AK343" s="125"/>
      <c r="AL343" s="125"/>
      <c r="AM343" s="125"/>
      <c r="AN343" s="125"/>
      <c r="AO343" s="125"/>
      <c r="AP343" s="125"/>
      <c r="AQ343" s="125"/>
      <c r="AR343" s="125"/>
      <c r="AS343" s="125"/>
      <c r="AT343" s="125"/>
      <c r="AU343" s="125"/>
      <c r="AV343" s="125"/>
      <c r="AW343" s="125"/>
      <c r="AX343" s="125"/>
      <c r="AY343" s="125"/>
      <c r="AZ343" s="125"/>
      <c r="BA343" s="125"/>
      <c r="BB343" s="125"/>
      <c r="BC343" s="125"/>
      <c r="BD343" s="125"/>
      <c r="BE343" s="125"/>
      <c r="BF343" s="125"/>
    </row>
    <row r="344" spans="1:58" x14ac:dyDescent="0.35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  <c r="AG344" s="125"/>
      <c r="AH344" s="125"/>
      <c r="AI344" s="125"/>
      <c r="AJ344" s="125"/>
      <c r="AK344" s="125"/>
      <c r="AL344" s="125"/>
      <c r="AM344" s="125"/>
      <c r="AN344" s="125"/>
      <c r="AO344" s="125"/>
      <c r="AP344" s="125"/>
      <c r="AQ344" s="125"/>
      <c r="AR344" s="125"/>
      <c r="AS344" s="125"/>
      <c r="AT344" s="125"/>
      <c r="AU344" s="125"/>
      <c r="AV344" s="125"/>
      <c r="AW344" s="125"/>
      <c r="AX344" s="125"/>
      <c r="AY344" s="125"/>
      <c r="AZ344" s="125"/>
      <c r="BA344" s="125"/>
      <c r="BB344" s="125"/>
      <c r="BC344" s="125"/>
      <c r="BD344" s="125"/>
      <c r="BE344" s="125"/>
      <c r="BF344" s="125"/>
    </row>
    <row r="345" spans="1:58" x14ac:dyDescent="0.3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  <c r="AF345" s="125"/>
      <c r="AG345" s="125"/>
      <c r="AH345" s="125"/>
      <c r="AI345" s="125"/>
      <c r="AJ345" s="125"/>
      <c r="AK345" s="125"/>
      <c r="AL345" s="125"/>
      <c r="AM345" s="125"/>
      <c r="AN345" s="125"/>
      <c r="AO345" s="125"/>
      <c r="AP345" s="125"/>
      <c r="AQ345" s="125"/>
      <c r="AR345" s="125"/>
      <c r="AS345" s="125"/>
      <c r="AT345" s="125"/>
      <c r="AU345" s="125"/>
      <c r="AV345" s="125"/>
      <c r="AW345" s="125"/>
      <c r="AX345" s="125"/>
      <c r="AY345" s="125"/>
      <c r="AZ345" s="125"/>
      <c r="BA345" s="125"/>
      <c r="BB345" s="125"/>
      <c r="BC345" s="125"/>
      <c r="BD345" s="125"/>
      <c r="BE345" s="125"/>
      <c r="BF345" s="125"/>
    </row>
    <row r="346" spans="1:58" x14ac:dyDescent="0.35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  <c r="AF346" s="125"/>
      <c r="AG346" s="125"/>
      <c r="AH346" s="125"/>
      <c r="AI346" s="125"/>
      <c r="AJ346" s="125"/>
      <c r="AK346" s="125"/>
      <c r="AL346" s="125"/>
      <c r="AM346" s="125"/>
      <c r="AN346" s="125"/>
      <c r="AO346" s="125"/>
      <c r="AP346" s="125"/>
      <c r="AQ346" s="125"/>
      <c r="AR346" s="125"/>
      <c r="AS346" s="125"/>
      <c r="AT346" s="125"/>
      <c r="AU346" s="125"/>
      <c r="AV346" s="125"/>
      <c r="AW346" s="125"/>
      <c r="AX346" s="125"/>
      <c r="AY346" s="125"/>
      <c r="AZ346" s="125"/>
      <c r="BA346" s="125"/>
      <c r="BB346" s="125"/>
      <c r="BC346" s="125"/>
      <c r="BD346" s="125"/>
      <c r="BE346" s="125"/>
      <c r="BF346" s="1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BB61-1C9E-4F79-9A70-130DFCEAB921}">
  <sheetPr>
    <tabColor theme="1"/>
  </sheetPr>
  <dimension ref="A1:BL16"/>
  <sheetViews>
    <sheetView workbookViewId="0">
      <selection activeCell="A2" sqref="A2"/>
    </sheetView>
  </sheetViews>
  <sheetFormatPr defaultRowHeight="13.5" x14ac:dyDescent="0.35"/>
  <sheetData>
    <row r="1" spans="1:64" x14ac:dyDescent="0.35">
      <c r="A1" t="s">
        <v>102</v>
      </c>
      <c r="B1" t="s">
        <v>304</v>
      </c>
      <c r="C1" t="s">
        <v>103</v>
      </c>
      <c r="D1" t="s">
        <v>305</v>
      </c>
      <c r="E1" t="s">
        <v>327</v>
      </c>
      <c r="F1" t="s">
        <v>328</v>
      </c>
      <c r="G1" t="s">
        <v>329</v>
      </c>
      <c r="H1" t="s">
        <v>209</v>
      </c>
      <c r="I1" t="s">
        <v>330</v>
      </c>
      <c r="J1" t="s">
        <v>331</v>
      </c>
      <c r="K1" t="s">
        <v>332</v>
      </c>
      <c r="L1" t="s">
        <v>333</v>
      </c>
      <c r="M1" t="s">
        <v>334</v>
      </c>
      <c r="N1" t="s">
        <v>335</v>
      </c>
      <c r="O1" t="s">
        <v>336</v>
      </c>
      <c r="P1" t="s">
        <v>337</v>
      </c>
      <c r="Q1" t="s">
        <v>338</v>
      </c>
      <c r="R1" t="s">
        <v>339</v>
      </c>
      <c r="S1" t="s">
        <v>340</v>
      </c>
      <c r="T1" t="s">
        <v>341</v>
      </c>
      <c r="U1" t="s">
        <v>342</v>
      </c>
      <c r="V1" t="s">
        <v>343</v>
      </c>
      <c r="W1" t="s">
        <v>344</v>
      </c>
      <c r="X1" t="s">
        <v>345</v>
      </c>
      <c r="Y1" t="s">
        <v>346</v>
      </c>
      <c r="Z1" t="s">
        <v>347</v>
      </c>
      <c r="AA1" t="s">
        <v>348</v>
      </c>
      <c r="AB1" t="s">
        <v>349</v>
      </c>
      <c r="AC1" t="s">
        <v>350</v>
      </c>
      <c r="AD1" t="s">
        <v>270</v>
      </c>
      <c r="AE1" t="s">
        <v>117</v>
      </c>
      <c r="AF1" t="s">
        <v>118</v>
      </c>
      <c r="AG1" t="s">
        <v>119</v>
      </c>
      <c r="AH1" t="s">
        <v>120</v>
      </c>
      <c r="AI1" t="s">
        <v>351</v>
      </c>
      <c r="AJ1" t="s">
        <v>352</v>
      </c>
      <c r="AK1" t="s">
        <v>104</v>
      </c>
      <c r="AL1" t="s">
        <v>105</v>
      </c>
      <c r="AM1" t="s">
        <v>106</v>
      </c>
      <c r="AN1" t="s">
        <v>279</v>
      </c>
      <c r="AO1" t="s">
        <v>280</v>
      </c>
      <c r="AP1" t="s">
        <v>281</v>
      </c>
      <c r="AQ1" t="s">
        <v>282</v>
      </c>
      <c r="AR1" t="s">
        <v>283</v>
      </c>
      <c r="AS1" t="s">
        <v>284</v>
      </c>
      <c r="AT1" t="s">
        <v>285</v>
      </c>
      <c r="AU1" t="s">
        <v>286</v>
      </c>
      <c r="AV1" t="s">
        <v>287</v>
      </c>
      <c r="AW1" t="s">
        <v>288</v>
      </c>
      <c r="AX1" t="s">
        <v>289</v>
      </c>
      <c r="AY1" t="s">
        <v>290</v>
      </c>
      <c r="AZ1" t="s">
        <v>291</v>
      </c>
      <c r="BA1" t="s">
        <v>292</v>
      </c>
      <c r="BB1" t="s">
        <v>293</v>
      </c>
      <c r="BC1" t="s">
        <v>294</v>
      </c>
      <c r="BD1" t="s">
        <v>295</v>
      </c>
      <c r="BE1" t="s">
        <v>296</v>
      </c>
      <c r="BF1" t="s">
        <v>297</v>
      </c>
      <c r="BG1" t="s">
        <v>298</v>
      </c>
      <c r="BH1" t="s">
        <v>299</v>
      </c>
      <c r="BI1" t="s">
        <v>300</v>
      </c>
      <c r="BJ1" t="s">
        <v>301</v>
      </c>
      <c r="BK1" t="s">
        <v>302</v>
      </c>
      <c r="BL1" t="s">
        <v>303</v>
      </c>
    </row>
    <row r="2" spans="1:64" x14ac:dyDescent="0.3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</row>
    <row r="3" spans="1:64" x14ac:dyDescent="0.35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</row>
    <row r="4" spans="1:64" x14ac:dyDescent="0.35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</row>
    <row r="5" spans="1:64" x14ac:dyDescent="0.35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</row>
    <row r="6" spans="1:64" x14ac:dyDescent="0.35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</row>
    <row r="7" spans="1:64" x14ac:dyDescent="0.35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</row>
    <row r="8" spans="1:64" x14ac:dyDescent="0.35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</row>
    <row r="9" spans="1:64" x14ac:dyDescent="0.35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</row>
    <row r="10" spans="1:64" x14ac:dyDescent="0.35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</row>
    <row r="11" spans="1:64" x14ac:dyDescent="0.35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64" x14ac:dyDescent="0.35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</row>
    <row r="13" spans="1:64" x14ac:dyDescent="0.35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</row>
    <row r="14" spans="1:64" x14ac:dyDescent="0.35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</row>
    <row r="15" spans="1:64" x14ac:dyDescent="0.35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</row>
    <row r="16" spans="1:64" x14ac:dyDescent="0.35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124</vt:i4>
      </vt:variant>
    </vt:vector>
  </HeadingPairs>
  <TitlesOfParts>
    <vt:vector size="134" baseType="lpstr">
      <vt:lpstr>Summary</vt:lpstr>
      <vt:lpstr>SummaryTables</vt:lpstr>
      <vt:lpstr>Own Experience Analysis</vt:lpstr>
      <vt:lpstr>paths</vt:lpstr>
      <vt:lpstr>data_oe_detail</vt:lpstr>
      <vt:lpstr>data_oe_summary</vt:lpstr>
      <vt:lpstr>data_lloyds_detail</vt:lpstr>
      <vt:lpstr>data_lloyds_summary</vt:lpstr>
      <vt:lpstr>data_beazley_detail</vt:lpstr>
      <vt:lpstr>data_beazley_summary</vt:lpstr>
      <vt:lpstr>paths!lookup_own_detail_label</vt:lpstr>
      <vt:lpstr>paths!lookup_own_summary_label</vt:lpstr>
      <vt:lpstr>lst_own_detail__name</vt:lpstr>
      <vt:lpstr>Summary!Print_Area</vt:lpstr>
      <vt:lpstr>SummaryTables!Print_Area</vt:lpstr>
      <vt:lpstr>summary_actuary</vt:lpstr>
      <vt:lpstr>summary_analysis</vt:lpstr>
      <vt:lpstr>summary_deal_status</vt:lpstr>
      <vt:lpstr>summary_ded_str_1</vt:lpstr>
      <vt:lpstr>summary_ded_str_2</vt:lpstr>
      <vt:lpstr>summary_ded_str_3</vt:lpstr>
      <vt:lpstr>summary_ded_str_4</vt:lpstr>
      <vt:lpstr>summary_ded_str_5</vt:lpstr>
      <vt:lpstr>summary_ded_str_6</vt:lpstr>
      <vt:lpstr>summary_ded_str_7</vt:lpstr>
      <vt:lpstr>summary_expiry_date</vt:lpstr>
      <vt:lpstr>summary_export_date</vt:lpstr>
      <vt:lpstr>summary_facility_type</vt:lpstr>
      <vt:lpstr>summary_final_bpi</vt:lpstr>
      <vt:lpstr>summary_final_gn_ulr</vt:lpstr>
      <vt:lpstr>summary_final_loadings</vt:lpstr>
      <vt:lpstr>summary_final_pc</vt:lpstr>
      <vt:lpstr>summary_final_roc</vt:lpstr>
      <vt:lpstr>summary_final_tpi</vt:lpstr>
      <vt:lpstr>summary_gn_prem</vt:lpstr>
      <vt:lpstr>summary_hx_model_ref</vt:lpstr>
      <vt:lpstr>summary_inception_date</vt:lpstr>
      <vt:lpstr>summary_insured_name</vt:lpstr>
      <vt:lpstr>summary_key_lob</vt:lpstr>
      <vt:lpstr>summary_key_uncertainty</vt:lpstr>
      <vt:lpstr>summary_line_size</vt:lpstr>
      <vt:lpstr>summary_max_avg_limit</vt:lpstr>
      <vt:lpstr>summary_pc</vt:lpstr>
      <vt:lpstr>summary_policy_reference</vt:lpstr>
      <vt:lpstr>summary_raw_bpi</vt:lpstr>
      <vt:lpstr>summary_raw_gn_ulr</vt:lpstr>
      <vt:lpstr>summary_raw_pc</vt:lpstr>
      <vt:lpstr>summary_raw_roc</vt:lpstr>
      <vt:lpstr>summary_raw_tpi</vt:lpstr>
      <vt:lpstr>summary_renewal</vt:lpstr>
      <vt:lpstr>summary_risk_codes</vt:lpstr>
      <vt:lpstr>summary_trifocus</vt:lpstr>
      <vt:lpstr>summary_underwriter</vt:lpstr>
      <vt:lpstr>table_beazley_detail</vt:lpstr>
      <vt:lpstr>table_beazley_summary</vt:lpstr>
      <vt:lpstr>table_deductions</vt:lpstr>
      <vt:lpstr>table_deductions_basis_all</vt:lpstr>
      <vt:lpstr>table_deductions_basis_consortium</vt:lpstr>
      <vt:lpstr>table_deductions_basis_facility</vt:lpstr>
      <vt:lpstr>table_deductions_basis_leader_fee</vt:lpstr>
      <vt:lpstr>table_deductions_basis_market</vt:lpstr>
      <vt:lpstr>table_deductions_basis_other</vt:lpstr>
      <vt:lpstr>table_deductions_basis_service_fee</vt:lpstr>
      <vt:lpstr>table_deductions_total_all</vt:lpstr>
      <vt:lpstr>table_deductions_total_consortium</vt:lpstr>
      <vt:lpstr>table_deductions_total_facility</vt:lpstr>
      <vt:lpstr>table_deductions_total_leader_fee</vt:lpstr>
      <vt:lpstr>table_deductions_total_market</vt:lpstr>
      <vt:lpstr>table_deductions_total_other</vt:lpstr>
      <vt:lpstr>table_deductions_total_service_fee</vt:lpstr>
      <vt:lpstr>table_lloyds_detail</vt:lpstr>
      <vt:lpstr>table_lloyds_summary</vt:lpstr>
      <vt:lpstr>table_model_gn_ulr</vt:lpstr>
      <vt:lpstr>table_model_gn_ulr_total_gn_premium</vt:lpstr>
      <vt:lpstr>table_model_gn_ulr_total_portfolio_pct</vt:lpstr>
      <vt:lpstr>table_model_gn_ulr_total_ulr</vt:lpstr>
      <vt:lpstr>table_model_gn_ulr_total_ulr_business_plan</vt:lpstr>
      <vt:lpstr>table_model_gn_ulr_total_ulr_lloyds</vt:lpstr>
      <vt:lpstr>table_model_gn_ulr_total_ulr_own_experience</vt:lpstr>
      <vt:lpstr>table_model_gn_ulr_total_wgt_beazley</vt:lpstr>
      <vt:lpstr>table_model_gn_ulr_total_wgt_business_plan</vt:lpstr>
      <vt:lpstr>table_model_gn_ulr_total_wgt_case_pricing</vt:lpstr>
      <vt:lpstr>table_model_gn_ulr_total_wgt_lloyds</vt:lpstr>
      <vt:lpstr>table_model_gn_ulr_total_wgt_own_experience</vt:lpstr>
      <vt:lpstr>table_own_experience</vt:lpstr>
      <vt:lpstr>table_own_experience_detail</vt:lpstr>
      <vt:lpstr>table_own_experience_summary</vt:lpstr>
      <vt:lpstr>table_own_experience_total_attritional_gn_ulr</vt:lpstr>
      <vt:lpstr>table_own_experience_total_cat_basis</vt:lpstr>
      <vt:lpstr>table_own_experience_total_cat_gn_ulr</vt:lpstr>
      <vt:lpstr>table_own_experience_total_large_gn_ulr</vt:lpstr>
      <vt:lpstr>table_own_experience_total_overall_gn_ulr</vt:lpstr>
      <vt:lpstr>table_own_experience_total_xcat_gn_ulr</vt:lpstr>
      <vt:lpstr>table_premium_limit_profile</vt:lpstr>
      <vt:lpstr>table_premium_limit_profile_total_avg_limit_100</vt:lpstr>
      <vt:lpstr>table_premium_limit_profile_total_deductions</vt:lpstr>
      <vt:lpstr>table_premium_limit_profile_total_gg_premium_100</vt:lpstr>
      <vt:lpstr>table_premium_limit_profile_total_gg_premium_bst</vt:lpstr>
      <vt:lpstr>table_premium_limit_profile_total_gn_premium_bst</vt:lpstr>
      <vt:lpstr>table_premium_limit_profile_total_line</vt:lpstr>
      <vt:lpstr>table_premium_limit_profile_total_max_limit_100</vt:lpstr>
      <vt:lpstr>table_premium_limit_profile_total_max_limit_bst</vt:lpstr>
      <vt:lpstr>table_profit_commission</vt:lpstr>
      <vt:lpstr>table_rate_change</vt:lpstr>
      <vt:lpstr>table_rate_change_total_cy</vt:lpstr>
      <vt:lpstr>table_rate_change_total_py1</vt:lpstr>
      <vt:lpstr>table_rate_change_total_py2</vt:lpstr>
      <vt:lpstr>table_rate_change_total_py3</vt:lpstr>
      <vt:lpstr>table_rate_change_total_py4</vt:lpstr>
      <vt:lpstr>table_rate_change_total_py5</vt:lpstr>
      <vt:lpstr>table_rate_change_total_py6</vt:lpstr>
      <vt:lpstr>table_rate_change_total_py7</vt:lpstr>
      <vt:lpstr>table_rate_change_total_py8</vt:lpstr>
      <vt:lpstr>table_selected_ulr</vt:lpstr>
      <vt:lpstr>table_selected_ulr_total_additional_charge</vt:lpstr>
      <vt:lpstr>table_selected_ulr_total_anti_selection</vt:lpstr>
      <vt:lpstr>table_selected_ulr_total_climate</vt:lpstr>
      <vt:lpstr>table_selected_ulr_total_final_gn_ulr</vt:lpstr>
      <vt:lpstr>table_selected_ulr_total_model_gn_ulr</vt:lpstr>
      <vt:lpstr>table_selected_ulr_total_nmp</vt:lpstr>
      <vt:lpstr>table_selected_ulr_total_pc</vt:lpstr>
      <vt:lpstr>table_selected_ulr_total_selected_gn_ulr</vt:lpstr>
      <vt:lpstr>table_selected_ulr_total_uncertainty</vt:lpstr>
      <vt:lpstr>table_selected_ulr_total_uw_adjustment</vt:lpstr>
      <vt:lpstr>table_tech_adequacy_metrics</vt:lpstr>
      <vt:lpstr>table_tech_adequacy_metrics_total_gn_premium</vt:lpstr>
      <vt:lpstr>table_tech_adequacy_metrics_total_loaded_bpi</vt:lpstr>
      <vt:lpstr>table_tech_adequacy_metrics_total_loaded_gn_ulr</vt:lpstr>
      <vt:lpstr>table_tech_adequacy_metrics_total_loaded_roc</vt:lpstr>
      <vt:lpstr>table_tech_adequacy_metrics_total_loaded_tpi</vt:lpstr>
      <vt:lpstr>table_tech_adequacy_metrics_total_raw_bpi</vt:lpstr>
      <vt:lpstr>table_tech_adequacy_metrics_total_raw_gn_ulr</vt:lpstr>
      <vt:lpstr>table_tech_adequacy_metrics_total_raw_roc</vt:lpstr>
      <vt:lpstr>table_tech_adequacy_metrics_total_raw_tpi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Lyulik</dc:creator>
  <cp:lastModifiedBy>Joe Delaney</cp:lastModifiedBy>
  <cp:lastPrinted>2026-03-17T10:21:27Z</cp:lastPrinted>
  <dcterms:created xsi:type="dcterms:W3CDTF">2024-11-01T15:41:45Z</dcterms:created>
  <dcterms:modified xsi:type="dcterms:W3CDTF">2026-07-15T14:47:09Z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{354E8057-179D-4D3C-9990-86CF620B2269}</vt:lpwstr>
  </property>
  <property fmtid="{D5CDD505-2E9C-101B-9397-08002B2CF9AE}" pid="3" name="MSIP_Label_ed91fd61-bc48-4588-8d11-80a491ed1fbf_Enabled">
    <vt:lpwstr>true</vt:lpwstr>
  </property>
  <property fmtid="{D5CDD505-2E9C-101B-9397-08002B2CF9AE}" pid="4" name="MSIP_Label_ed91fd61-bc48-4588-8d11-80a491ed1fbf_SetDate">
    <vt:lpwstr>2025-05-20T13:07:37Z</vt:lpwstr>
  </property>
  <property fmtid="{D5CDD505-2E9C-101B-9397-08002B2CF9AE}" pid="5" name="MSIP_Label_ed91fd61-bc48-4588-8d11-80a491ed1fbf_Method">
    <vt:lpwstr>Privileged</vt:lpwstr>
  </property>
  <property fmtid="{D5CDD505-2E9C-101B-9397-08002B2CF9AE}" pid="6" name="MSIP_Label_ed91fd61-bc48-4588-8d11-80a491ed1fbf_Name">
    <vt:lpwstr>Internal</vt:lpwstr>
  </property>
  <property fmtid="{D5CDD505-2E9C-101B-9397-08002B2CF9AE}" pid="7" name="MSIP_Label_ed91fd61-bc48-4588-8d11-80a491ed1fbf_SiteId">
    <vt:lpwstr>9a50eba8-7568-447a-bcb9-27a0d464aa80</vt:lpwstr>
  </property>
  <property fmtid="{D5CDD505-2E9C-101B-9397-08002B2CF9AE}" pid="8" name="MSIP_Label_ed91fd61-bc48-4588-8d11-80a491ed1fbf_ActionId">
    <vt:lpwstr>b3d8746c-1217-41fa-9c80-6d13a5e0a820</vt:lpwstr>
  </property>
  <property fmtid="{D5CDD505-2E9C-101B-9397-08002B2CF9AE}" pid="9" name="MSIP_Label_ed91fd61-bc48-4588-8d11-80a491ed1fbf_ContentBits">
    <vt:lpwstr>0</vt:lpwstr>
  </property>
  <property fmtid="{D5CDD505-2E9C-101B-9397-08002B2CF9AE}" pid="10" name="MSIP_Label_ed91fd61-bc48-4588-8d11-80a491ed1fbf_Tag">
    <vt:lpwstr>10, 0, 1, 1</vt:lpwstr>
  </property>
</Properties>
</file>