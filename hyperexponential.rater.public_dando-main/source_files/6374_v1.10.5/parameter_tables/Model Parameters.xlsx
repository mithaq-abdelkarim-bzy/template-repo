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W:\SL\Actuarial\DandO\Rating Model\hx Files\02. Parameters\"/>
    </mc:Choice>
  </mc:AlternateContent>
  <xr:revisionPtr revIDLastSave="0" documentId="13_ncr:1_{9FDA7AEB-D528-43FB-AA7F-58E18A125E81}" xr6:coauthVersionLast="47" xr6:coauthVersionMax="47" xr10:uidLastSave="{00000000-0000-0000-0000-000000000000}"/>
  <bookViews>
    <workbookView xWindow="-98" yWindow="-98" windowWidth="21795" windowHeight="13875" firstSheet="18" activeTab="20" xr2:uid="{6F132684-5574-47C9-9D4A-61E8D33FA0B3}"/>
  </bookViews>
  <sheets>
    <sheet name="dd_country" sheetId="49" r:id="rId1"/>
    <sheet name="dd_state" sheetId="50" r:id="rId2"/>
    <sheet name="dd_incorporated_state" sheetId="67" r:id="rId3"/>
    <sheet name="dd_broker" sheetId="68" r:id="rId4"/>
    <sheet name="ref_state_indem" sheetId="48" r:id="rId5"/>
    <sheet name="ref_base_frequencies" sheetId="1" r:id="rId6"/>
    <sheet name="ref_ipo_lag" sheetId="2" r:id="rId7"/>
    <sheet name="ref_sic" sheetId="3" r:id="rId8"/>
    <sheet name="ref_sca_freq_modifiers" sheetId="4" r:id="rId9"/>
    <sheet name="ref_volatility_of_trading" sheetId="6" r:id="rId10"/>
    <sheet name="ref_min_trading_volumne" sheetId="7" r:id="rId11"/>
    <sheet name="ref_execs_under_50" sheetId="8" r:id="rId12"/>
    <sheet name="ref_years_in_business" sheetId="57" r:id="rId13"/>
    <sheet name="ref_mcap_banding" sheetId="16" r:id="rId14"/>
    <sheet name="ref_freq_mod_bounds" sheetId="56" r:id="rId15"/>
    <sheet name="ref_derivative_freq_modifiers" sheetId="18" r:id="rId16"/>
    <sheet name="ref_ma_freq_modifiers" sheetId="19" r:id="rId17"/>
    <sheet name="ref_interaction_modifiers" sheetId="17" r:id="rId18"/>
    <sheet name="ref_sca_severity_modifiers" sheetId="9" r:id="rId19"/>
    <sheet name="ref_mcap_catload_factor" sheetId="72" r:id="rId20"/>
    <sheet name="ref_mcap_factor" sheetId="73" r:id="rId21"/>
    <sheet name="ref_derivative_sev_modifiers" sheetId="20" r:id="rId22"/>
    <sheet name="ref_ma_sev_modifiers" sheetId="21" r:id="rId23"/>
    <sheet name="ref_dismissal_modifiers" sheetId="22" r:id="rId24"/>
    <sheet name="ref_monitoring_modifiers" sheetId="23" r:id="rId25"/>
    <sheet name="ref_sca_defense_costs" sheetId="10" r:id="rId26"/>
    <sheet name="ref_sca_dismissed_costs" sheetId="24" r:id="rId27"/>
    <sheet name="ref_plaintiff_fees" sheetId="55" r:id="rId28"/>
    <sheet name="ref_pro_rata" sheetId="11" r:id="rId29"/>
    <sheet name="ref_side_a_modifiers" sheetId="25" r:id="rId30"/>
    <sheet name="ref_dic_adjustment" sheetId="26" r:id="rId31"/>
    <sheet name="ref_side_a_bankruptcy" sheetId="27" r:id="rId32"/>
    <sheet name="ref_excess_load" sheetId="12" r:id="rId33"/>
    <sheet name="ref_tpi_params" sheetId="13" r:id="rId34"/>
    <sheet name="table_input_underwriters" sheetId="14" r:id="rId35"/>
    <sheet name="ref_capiq" sheetId="15" r:id="rId36"/>
    <sheet name="ref_book_averages" sheetId="28" r:id="rId37"/>
    <sheet name="ref_bridge_countries" sheetId="66" r:id="rId38"/>
    <sheet name="bici_1_base_premium" sheetId="29" r:id="rId39"/>
    <sheet name="bici_2a_industry" sheetId="31" r:id="rId40"/>
    <sheet name="bici_2b_industry" sheetId="32" r:id="rId41"/>
    <sheet name="bici_15_retention_v1" sheetId="35" r:id="rId42"/>
    <sheet name="bici_15_retention_v2" sheetId="37" r:id="rId43"/>
    <sheet name="bici_15_limit" sheetId="36" r:id="rId44"/>
    <sheet name="bici_all_other_steps" sheetId="34" r:id="rId45"/>
    <sheet name="bici_states_detail" sheetId="33" r:id="rId46"/>
    <sheet name="bici_rounding" sheetId="38" r:id="rId47"/>
    <sheet name="bici_version" sheetId="39" r:id="rId48"/>
    <sheet name="baic_1_base_premium" sheetId="40" r:id="rId49"/>
    <sheet name="baic_2a_industry" sheetId="42" r:id="rId50"/>
    <sheet name="baic_2b_industry" sheetId="43" r:id="rId51"/>
    <sheet name="baic_all_other_steps" sheetId="45" r:id="rId52"/>
    <sheet name="baic_reference_admitted" sheetId="71" r:id="rId53"/>
    <sheet name="baic_message" sheetId="53" r:id="rId54"/>
    <sheet name="baic_states_detail" sheetId="52" r:id="rId55"/>
    <sheet name="baic_15_combined_lr" sheetId="44" r:id="rId56"/>
    <sheet name="baic_rounding" sheetId="46" r:id="rId57"/>
    <sheet name="baic_approved_states" sheetId="47" r:id="rId58"/>
    <sheet name="baic_version" sheetId="51" r:id="rId59"/>
    <sheet name="excess_state_type" sheetId="60" r:id="rId60"/>
    <sheet name="excess_1_primary_adj" sheetId="59" r:id="rId61"/>
    <sheet name="excess_2_ilf" sheetId="61" r:id="rId62"/>
    <sheet name="excess_3_severity" sheetId="58" r:id="rId63"/>
    <sheet name="excess_3a_schedule" sheetId="62" r:id="rId64"/>
    <sheet name="excess_4_single_limit" sheetId="63" r:id="rId65"/>
    <sheet name="excess_5_rounding" sheetId="64" r:id="rId66"/>
    <sheet name="excess_6_erp" sheetId="65" r:id="rId67"/>
    <sheet name="historical_freq" sheetId="54" r:id="rId68"/>
  </sheets>
  <definedNames>
    <definedName name="_xlnm._FilterDatabase" localSheetId="7" hidden="1">ref_sic!$A$1:$M$1172</definedName>
    <definedName name="_xlnm._FilterDatabase" localSheetId="34" hidden="1">table_input_underwriters!$A$1:$B$70</definedName>
    <definedName name="CIQWBGuid" hidden="1">"b09f7cda-bb68-402f-b49a-c2aad3b3e62c"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46298.3818865741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3" l="1"/>
  <c r="M9" i="13"/>
  <c r="N8" i="13"/>
  <c r="M8" i="13"/>
  <c r="N7" i="13"/>
  <c r="M7" i="13"/>
  <c r="C4" i="54" l="1"/>
  <c r="D4" i="54"/>
  <c r="E4" i="54"/>
  <c r="F4" i="54"/>
  <c r="G4" i="54"/>
  <c r="H4" i="54"/>
  <c r="I4" i="54"/>
  <c r="J4" i="54"/>
  <c r="K4" i="54"/>
  <c r="L4" i="54"/>
  <c r="M4" i="54"/>
  <c r="N4" i="54"/>
  <c r="O4" i="54"/>
  <c r="P4" i="54"/>
  <c r="Q4" i="54"/>
  <c r="R4" i="54"/>
  <c r="S4" i="54"/>
  <c r="T4" i="54"/>
  <c r="U4" i="54"/>
  <c r="V4" i="54"/>
  <c r="W4" i="54"/>
  <c r="X4" i="54"/>
  <c r="C7" i="54"/>
  <c r="D7" i="54"/>
  <c r="E7" i="54"/>
  <c r="F7" i="54"/>
  <c r="G7" i="54"/>
  <c r="H7" i="54"/>
  <c r="I7" i="54"/>
  <c r="J7" i="54"/>
  <c r="K7" i="54"/>
  <c r="L7" i="54"/>
  <c r="M7" i="54"/>
  <c r="N7" i="54"/>
  <c r="O7" i="54"/>
  <c r="P7" i="54"/>
  <c r="Q7" i="54"/>
  <c r="R7" i="54"/>
  <c r="S7" i="54"/>
  <c r="T7" i="54"/>
  <c r="U7" i="54"/>
  <c r="V7" i="54"/>
  <c r="W7" i="54"/>
  <c r="X7" i="54"/>
  <c r="C10" i="54"/>
  <c r="D10" i="54"/>
  <c r="E10" i="54"/>
  <c r="F10" i="54"/>
  <c r="G10" i="54"/>
  <c r="H10" i="54"/>
  <c r="I10" i="54"/>
  <c r="J10" i="54"/>
  <c r="K10" i="54"/>
  <c r="L10" i="54"/>
  <c r="M10" i="54"/>
  <c r="N10" i="54"/>
  <c r="O10" i="54"/>
  <c r="P10" i="54"/>
  <c r="Q10" i="54"/>
  <c r="R10" i="54"/>
  <c r="S10" i="54"/>
  <c r="T10" i="54"/>
  <c r="U10" i="54"/>
  <c r="V10" i="54"/>
  <c r="W10" i="54"/>
  <c r="X10" i="54"/>
  <c r="C13" i="54"/>
  <c r="D13" i="54"/>
  <c r="E13" i="54"/>
  <c r="F13" i="54"/>
  <c r="G13" i="54"/>
  <c r="H13" i="54"/>
  <c r="I13" i="54"/>
  <c r="J13" i="54"/>
  <c r="K13" i="54"/>
  <c r="L13" i="54"/>
  <c r="M13" i="54"/>
  <c r="N13" i="54"/>
  <c r="O13" i="54"/>
  <c r="P13" i="54"/>
  <c r="Q13" i="54"/>
  <c r="R13" i="54"/>
  <c r="S13" i="54"/>
  <c r="T13" i="54"/>
  <c r="U13" i="54"/>
  <c r="V13" i="54"/>
  <c r="W13" i="54"/>
  <c r="X13" i="54"/>
  <c r="C16" i="54"/>
  <c r="D16" i="54"/>
  <c r="E16" i="54"/>
  <c r="F16" i="54"/>
  <c r="G16" i="54"/>
  <c r="H16" i="54"/>
  <c r="I16" i="54"/>
  <c r="J16" i="54"/>
  <c r="K16" i="54"/>
  <c r="L16" i="54"/>
  <c r="M16" i="54"/>
  <c r="N16" i="54"/>
  <c r="O16" i="54"/>
  <c r="P16" i="54"/>
  <c r="Q16" i="54"/>
  <c r="R16" i="54"/>
  <c r="S16" i="54"/>
  <c r="T16" i="54"/>
  <c r="U16" i="54"/>
  <c r="V16" i="54"/>
  <c r="W16" i="54"/>
  <c r="X16" i="54"/>
  <c r="C19" i="54"/>
  <c r="D19" i="54"/>
  <c r="E19" i="54"/>
  <c r="F19" i="54"/>
  <c r="G19" i="54"/>
  <c r="H19" i="54"/>
  <c r="I19" i="54"/>
  <c r="J19" i="54"/>
  <c r="K19" i="54"/>
  <c r="L19" i="54"/>
  <c r="M19" i="54"/>
  <c r="N19" i="54"/>
  <c r="O19" i="54"/>
  <c r="P19" i="54"/>
  <c r="Q19" i="54"/>
  <c r="R19" i="54"/>
  <c r="S19" i="54"/>
  <c r="T19" i="54"/>
  <c r="U19" i="54"/>
  <c r="V19" i="54"/>
  <c r="W19" i="54"/>
  <c r="X19" i="54"/>
  <c r="C22" i="54"/>
  <c r="D22" i="54"/>
  <c r="E22" i="54"/>
  <c r="F22" i="54"/>
  <c r="G22" i="54"/>
  <c r="H22" i="54"/>
  <c r="I22" i="54"/>
  <c r="J22" i="54"/>
  <c r="K22" i="54"/>
  <c r="L22" i="54"/>
  <c r="M22" i="54"/>
  <c r="N22" i="54"/>
  <c r="O22" i="54"/>
  <c r="P22" i="54"/>
  <c r="Q22" i="54"/>
  <c r="R22" i="54"/>
  <c r="S22" i="54"/>
  <c r="T22" i="54"/>
  <c r="U22" i="54"/>
  <c r="V22" i="54"/>
  <c r="W22" i="54"/>
  <c r="X22" i="54"/>
  <c r="C25" i="54"/>
  <c r="D25" i="54"/>
  <c r="E25" i="54"/>
  <c r="F25" i="54"/>
  <c r="G25" i="54"/>
  <c r="H25" i="54"/>
  <c r="I25" i="54"/>
  <c r="J25" i="54"/>
  <c r="K25" i="54"/>
  <c r="L25" i="54"/>
  <c r="M25" i="54"/>
  <c r="N25" i="54"/>
  <c r="O25" i="54"/>
  <c r="P25" i="54"/>
  <c r="Q25" i="54"/>
  <c r="R25" i="54"/>
  <c r="S25" i="54"/>
  <c r="T25" i="54"/>
  <c r="U25" i="54"/>
  <c r="V25" i="54"/>
  <c r="W25" i="54"/>
  <c r="X25" i="54"/>
  <c r="C28" i="54"/>
  <c r="D28" i="54"/>
  <c r="E28" i="54"/>
  <c r="F28" i="54"/>
  <c r="G28" i="54"/>
  <c r="H28" i="54"/>
  <c r="I28" i="54"/>
  <c r="J28" i="54"/>
  <c r="K28" i="54"/>
  <c r="L28" i="54"/>
  <c r="M28" i="54"/>
  <c r="N28" i="54"/>
  <c r="O28" i="54"/>
  <c r="P28" i="54"/>
  <c r="Q28" i="54"/>
  <c r="R28" i="54"/>
  <c r="S28" i="54"/>
  <c r="T28" i="54"/>
  <c r="U28" i="54"/>
  <c r="V28" i="54"/>
  <c r="W28" i="54"/>
  <c r="X28" i="54"/>
  <c r="C31" i="54"/>
  <c r="D31" i="54"/>
  <c r="E31" i="54"/>
  <c r="F31" i="54"/>
  <c r="G31" i="54"/>
  <c r="H31" i="54"/>
  <c r="I31" i="54"/>
  <c r="J31" i="54"/>
  <c r="K31" i="54"/>
  <c r="L31" i="54"/>
  <c r="M31" i="54"/>
  <c r="N31" i="54"/>
  <c r="O31" i="54"/>
  <c r="P31" i="54"/>
  <c r="Q31" i="54"/>
  <c r="R31" i="54"/>
  <c r="S31" i="54"/>
  <c r="T31" i="54"/>
  <c r="U31" i="54"/>
  <c r="V31" i="54"/>
  <c r="W31" i="54"/>
  <c r="X31" i="54"/>
  <c r="C34" i="54"/>
  <c r="D34" i="54"/>
  <c r="E34" i="54"/>
  <c r="F34" i="54"/>
  <c r="G34" i="54"/>
  <c r="H34" i="54"/>
  <c r="I34" i="54"/>
  <c r="J34" i="54"/>
  <c r="K34" i="54"/>
  <c r="L34" i="54"/>
  <c r="M34" i="54"/>
  <c r="N34" i="54"/>
  <c r="O34" i="54"/>
  <c r="P34" i="54"/>
  <c r="Q34" i="54"/>
  <c r="R34" i="54"/>
  <c r="S34" i="54"/>
  <c r="T34" i="54"/>
  <c r="U34" i="54"/>
  <c r="V34" i="54"/>
  <c r="W34" i="54"/>
  <c r="X34" i="54"/>
  <c r="C37" i="54"/>
  <c r="D37" i="54"/>
  <c r="E37" i="54"/>
  <c r="F37" i="54"/>
  <c r="G37" i="54"/>
  <c r="H37" i="54"/>
  <c r="I37" i="54"/>
  <c r="J37" i="54"/>
  <c r="K37" i="54"/>
  <c r="L37" i="54"/>
  <c r="M37" i="54"/>
  <c r="N37" i="54"/>
  <c r="O37" i="54"/>
  <c r="P37" i="54"/>
  <c r="Q37" i="54"/>
  <c r="R37" i="54"/>
  <c r="S37" i="54"/>
  <c r="T37" i="54"/>
  <c r="U37" i="54"/>
  <c r="V37" i="54"/>
  <c r="W37" i="54"/>
  <c r="X37" i="54"/>
  <c r="C40" i="54"/>
  <c r="D40" i="54"/>
  <c r="E40" i="54"/>
  <c r="F40" i="54"/>
  <c r="G40" i="54"/>
  <c r="H40" i="54"/>
  <c r="I40" i="54"/>
  <c r="J40" i="54"/>
  <c r="K40" i="54"/>
  <c r="L40" i="54"/>
  <c r="M40" i="54"/>
  <c r="N40" i="54"/>
  <c r="O40" i="54"/>
  <c r="P40" i="54"/>
  <c r="Q40" i="54"/>
  <c r="R40" i="54"/>
  <c r="S40" i="54"/>
  <c r="T40" i="54"/>
  <c r="U40" i="54"/>
  <c r="V40" i="54"/>
  <c r="W40" i="54"/>
  <c r="X40" i="54"/>
  <c r="C43" i="54"/>
  <c r="D43" i="54"/>
  <c r="E43" i="54"/>
  <c r="F43" i="54"/>
  <c r="G43" i="54"/>
  <c r="H43" i="54"/>
  <c r="I43" i="54"/>
  <c r="J43" i="54"/>
  <c r="K43" i="54"/>
  <c r="L43" i="54"/>
  <c r="M43" i="54"/>
  <c r="N43" i="54"/>
  <c r="O43" i="54"/>
  <c r="P43" i="54"/>
  <c r="Q43" i="54"/>
  <c r="R43" i="54"/>
  <c r="S43" i="54"/>
  <c r="T43" i="54"/>
  <c r="U43" i="54"/>
  <c r="V43" i="54"/>
  <c r="W43" i="54"/>
  <c r="X43" i="54"/>
  <c r="C46" i="54"/>
  <c r="D46" i="54"/>
  <c r="E46" i="54"/>
  <c r="F46" i="54"/>
  <c r="G46" i="54"/>
  <c r="H46" i="54"/>
  <c r="I46" i="54"/>
  <c r="J46" i="54"/>
  <c r="K46" i="54"/>
  <c r="L46" i="54"/>
  <c r="M46" i="54"/>
  <c r="N46" i="54"/>
  <c r="O46" i="54"/>
  <c r="P46" i="54"/>
  <c r="Q46" i="54"/>
  <c r="R46" i="54"/>
  <c r="S46" i="54"/>
  <c r="T46" i="54"/>
  <c r="U46" i="54"/>
  <c r="V46" i="54"/>
  <c r="W46" i="54"/>
  <c r="X46" i="54"/>
  <c r="C49" i="54"/>
  <c r="D49" i="54"/>
  <c r="E49" i="54"/>
  <c r="F49" i="54"/>
  <c r="G49" i="54"/>
  <c r="H49" i="54"/>
  <c r="I49" i="54"/>
  <c r="J49" i="54"/>
  <c r="K49" i="54"/>
  <c r="L49" i="54"/>
  <c r="M49" i="54"/>
  <c r="N49" i="54"/>
  <c r="O49" i="54"/>
  <c r="P49" i="54"/>
  <c r="Q49" i="54"/>
  <c r="R49" i="54"/>
  <c r="S49" i="54"/>
  <c r="T49" i="54"/>
  <c r="U49" i="54"/>
  <c r="V49" i="54"/>
  <c r="W49" i="54"/>
  <c r="X49" i="54"/>
  <c r="C52" i="54"/>
  <c r="D52" i="54"/>
  <c r="E52" i="54"/>
  <c r="F52" i="54"/>
  <c r="G52" i="54"/>
  <c r="H52" i="54"/>
  <c r="I52" i="54"/>
  <c r="J52" i="54"/>
  <c r="K52" i="54"/>
  <c r="L52" i="54"/>
  <c r="M52" i="54"/>
  <c r="N52" i="54"/>
  <c r="O52" i="54"/>
  <c r="P52" i="54"/>
  <c r="Q52" i="54"/>
  <c r="R52" i="54"/>
  <c r="S52" i="54"/>
  <c r="T52" i="54"/>
  <c r="U52" i="54"/>
  <c r="V52" i="54"/>
  <c r="W52" i="54"/>
  <c r="X52" i="54"/>
  <c r="C55" i="54"/>
  <c r="D55" i="54"/>
  <c r="E55" i="54"/>
  <c r="F55" i="54"/>
  <c r="G55" i="54"/>
  <c r="H55" i="54"/>
  <c r="I55" i="54"/>
  <c r="J55" i="54"/>
  <c r="K55" i="54"/>
  <c r="L55" i="54"/>
  <c r="M55" i="54"/>
  <c r="N55" i="54"/>
  <c r="O55" i="54"/>
  <c r="P55" i="54"/>
  <c r="Q55" i="54"/>
  <c r="R55" i="54"/>
  <c r="S55" i="54"/>
  <c r="T55" i="54"/>
  <c r="U55" i="54"/>
  <c r="V55" i="54"/>
  <c r="W55" i="54"/>
  <c r="X55" i="54"/>
  <c r="C58" i="54"/>
  <c r="D58" i="54"/>
  <c r="E58" i="54"/>
  <c r="F58" i="54"/>
  <c r="G58" i="54"/>
  <c r="H58" i="54"/>
  <c r="I58" i="54"/>
  <c r="J58" i="54"/>
  <c r="K58" i="54"/>
  <c r="L58" i="54"/>
  <c r="M58" i="54"/>
  <c r="N58" i="54"/>
  <c r="O58" i="54"/>
  <c r="P58" i="54"/>
  <c r="Q58" i="54"/>
  <c r="R58" i="54"/>
  <c r="S58" i="54"/>
  <c r="T58" i="54"/>
  <c r="U58" i="54"/>
  <c r="V58" i="54"/>
  <c r="W58" i="54"/>
  <c r="X58" i="54"/>
  <c r="C61" i="54"/>
  <c r="D61" i="54"/>
  <c r="E61" i="54"/>
  <c r="F61" i="54"/>
  <c r="G61" i="54"/>
  <c r="H61" i="54"/>
  <c r="I61" i="54"/>
  <c r="J61" i="54"/>
  <c r="K61" i="54"/>
  <c r="L61" i="54"/>
  <c r="M61" i="54"/>
  <c r="N61" i="54"/>
  <c r="O61" i="54"/>
  <c r="P61" i="54"/>
  <c r="Q61" i="54"/>
  <c r="R61" i="54"/>
  <c r="S61" i="54"/>
  <c r="T61" i="54"/>
  <c r="U61" i="54"/>
  <c r="V61" i="54"/>
  <c r="W61" i="54"/>
  <c r="X61" i="54"/>
  <c r="C64" i="54"/>
  <c r="D64" i="54"/>
  <c r="E64" i="54"/>
  <c r="F64" i="54"/>
  <c r="G64" i="54"/>
  <c r="H64" i="54"/>
  <c r="I64" i="54"/>
  <c r="J64" i="54"/>
  <c r="K64" i="54"/>
  <c r="L64" i="54"/>
  <c r="M64" i="54"/>
  <c r="N64" i="54"/>
  <c r="O64" i="54"/>
  <c r="P64" i="54"/>
  <c r="Q64" i="54"/>
  <c r="R64" i="54"/>
  <c r="S64" i="54"/>
  <c r="T64" i="54"/>
  <c r="U64" i="54"/>
  <c r="V64" i="54"/>
  <c r="W64" i="54"/>
  <c r="X64" i="54"/>
  <c r="C67" i="54"/>
  <c r="D67" i="54"/>
  <c r="E67" i="54"/>
  <c r="F67" i="54"/>
  <c r="G67" i="54"/>
  <c r="H67" i="54"/>
  <c r="I67" i="54"/>
  <c r="J67" i="54"/>
  <c r="K67" i="54"/>
  <c r="L67" i="54"/>
  <c r="M67" i="54"/>
  <c r="N67" i="54"/>
  <c r="O67" i="54"/>
  <c r="P67" i="54"/>
  <c r="Q67" i="54"/>
  <c r="R67" i="54"/>
  <c r="S67" i="54"/>
  <c r="T67" i="54"/>
  <c r="U67" i="54"/>
  <c r="V67" i="54"/>
  <c r="W67" i="54"/>
  <c r="X67" i="54"/>
  <c r="C70" i="54"/>
  <c r="D70" i="54"/>
  <c r="E70" i="54"/>
  <c r="F70" i="54"/>
  <c r="G70" i="54"/>
  <c r="H70" i="54"/>
  <c r="I70" i="54"/>
  <c r="J70" i="54"/>
  <c r="K70" i="54"/>
  <c r="L70" i="54"/>
  <c r="M70" i="54"/>
  <c r="N70" i="54"/>
  <c r="O70" i="54"/>
  <c r="P70" i="54"/>
  <c r="Q70" i="54"/>
  <c r="R70" i="54"/>
  <c r="S70" i="54"/>
  <c r="T70" i="54"/>
  <c r="U70" i="54"/>
  <c r="V70" i="54"/>
  <c r="W70" i="54"/>
  <c r="X70" i="54"/>
  <c r="C73" i="54"/>
  <c r="D73" i="54"/>
  <c r="E73" i="54"/>
  <c r="F73" i="54"/>
  <c r="G73" i="54"/>
  <c r="H73" i="54"/>
  <c r="I73" i="54"/>
  <c r="J73" i="54"/>
  <c r="K73" i="54"/>
  <c r="L73" i="54"/>
  <c r="M73" i="54"/>
  <c r="N73" i="54"/>
  <c r="O73" i="54"/>
  <c r="P73" i="54"/>
  <c r="Q73" i="54"/>
  <c r="R73" i="54"/>
  <c r="S73" i="54"/>
  <c r="T73" i="54"/>
  <c r="U73" i="54"/>
  <c r="V73" i="54"/>
  <c r="W73" i="54"/>
  <c r="X73" i="54"/>
  <c r="C76" i="54"/>
  <c r="D76" i="54"/>
  <c r="E76" i="54"/>
  <c r="F76" i="54"/>
  <c r="G76" i="54"/>
  <c r="H76" i="54"/>
  <c r="I76" i="54"/>
  <c r="J76" i="54"/>
  <c r="K76" i="54"/>
  <c r="L76" i="54"/>
  <c r="M76" i="54"/>
  <c r="N76" i="54"/>
  <c r="O76" i="54"/>
  <c r="P76" i="54"/>
  <c r="Q76" i="54"/>
  <c r="R76" i="54"/>
  <c r="S76" i="54"/>
  <c r="T76" i="54"/>
  <c r="U76" i="54"/>
  <c r="V76" i="54"/>
  <c r="W76" i="54"/>
  <c r="X76" i="54"/>
  <c r="C79" i="54"/>
  <c r="D79" i="54"/>
  <c r="E79" i="54"/>
  <c r="F79" i="54"/>
  <c r="G79" i="54"/>
  <c r="H79" i="54"/>
  <c r="I79" i="54"/>
  <c r="J79" i="54"/>
  <c r="K79" i="54"/>
  <c r="L79" i="54"/>
  <c r="M79" i="54"/>
  <c r="N79" i="54"/>
  <c r="O79" i="54"/>
  <c r="P79" i="54"/>
  <c r="Q79" i="54"/>
  <c r="R79" i="54"/>
  <c r="S79" i="54"/>
  <c r="T79" i="54"/>
  <c r="U79" i="54"/>
  <c r="V79" i="54"/>
  <c r="W79" i="54"/>
  <c r="X79" i="54"/>
  <c r="C82" i="54"/>
  <c r="D82" i="54"/>
  <c r="E82" i="54"/>
  <c r="F82" i="54"/>
  <c r="G82" i="54"/>
  <c r="H82" i="54"/>
  <c r="I82" i="54"/>
  <c r="J82" i="54"/>
  <c r="K82" i="54"/>
  <c r="L82" i="54"/>
  <c r="M82" i="54"/>
  <c r="N82" i="54"/>
  <c r="O82" i="54"/>
  <c r="P82" i="54"/>
  <c r="Q82" i="54"/>
  <c r="R82" i="54"/>
  <c r="S82" i="54"/>
  <c r="T82" i="54"/>
  <c r="U82" i="54"/>
  <c r="V82" i="54"/>
  <c r="W82" i="54"/>
  <c r="X82" i="54"/>
  <c r="C85" i="54"/>
  <c r="D85" i="54"/>
  <c r="E85" i="54"/>
  <c r="F85" i="54"/>
  <c r="G85" i="54"/>
  <c r="H85" i="54"/>
  <c r="I85" i="54"/>
  <c r="J85" i="54"/>
  <c r="K85" i="54"/>
  <c r="L85" i="54"/>
  <c r="M85" i="54"/>
  <c r="N85" i="54"/>
  <c r="O85" i="54"/>
  <c r="P85" i="54"/>
  <c r="Q85" i="54"/>
  <c r="R85" i="54"/>
  <c r="S85" i="54"/>
  <c r="T85" i="54"/>
  <c r="U85" i="54"/>
  <c r="V85" i="54"/>
  <c r="W85" i="54"/>
  <c r="X85" i="54"/>
  <c r="C88" i="54"/>
  <c r="D88" i="54"/>
  <c r="E88" i="54"/>
  <c r="F88" i="54"/>
  <c r="G88" i="54"/>
  <c r="H88" i="54"/>
  <c r="I88" i="54"/>
  <c r="J88" i="54"/>
  <c r="K88" i="54"/>
  <c r="L88" i="54"/>
  <c r="M88" i="54"/>
  <c r="N88" i="54"/>
  <c r="O88" i="54"/>
  <c r="P88" i="54"/>
  <c r="Q88" i="54"/>
  <c r="R88" i="54"/>
  <c r="S88" i="54"/>
  <c r="T88" i="54"/>
  <c r="U88" i="54"/>
  <c r="V88" i="54"/>
  <c r="W88" i="54"/>
  <c r="X88" i="54"/>
  <c r="C91" i="54"/>
  <c r="D91" i="54"/>
  <c r="E91" i="54"/>
  <c r="F91" i="54"/>
  <c r="G91" i="54"/>
  <c r="H91" i="54"/>
  <c r="I91" i="54"/>
  <c r="J91" i="54"/>
  <c r="K91" i="54"/>
  <c r="L91" i="54"/>
  <c r="M91" i="54"/>
  <c r="N91" i="54"/>
  <c r="O91" i="54"/>
  <c r="P91" i="54"/>
  <c r="Q91" i="54"/>
  <c r="R91" i="54"/>
  <c r="S91" i="54"/>
  <c r="T91" i="54"/>
  <c r="U91" i="54"/>
  <c r="V91" i="54"/>
  <c r="W91" i="54"/>
  <c r="X91" i="54"/>
  <c r="D2" i="36"/>
  <c r="D3" i="36"/>
  <c r="D4" i="36"/>
  <c r="D5" i="36"/>
  <c r="D6" i="36"/>
  <c r="D7" i="36"/>
  <c r="D8" i="36"/>
  <c r="D9" i="36"/>
  <c r="D10" i="36"/>
  <c r="B2" i="12"/>
  <c r="D2" i="12"/>
  <c r="B3" i="12"/>
  <c r="D3" i="12"/>
  <c r="B4" i="12"/>
  <c r="D4" i="12"/>
  <c r="B5" i="12"/>
  <c r="D5" i="12"/>
  <c r="B6" i="12"/>
  <c r="D6" i="12"/>
  <c r="B7" i="12"/>
  <c r="D7" i="12"/>
  <c r="B8" i="12"/>
  <c r="D8" i="12"/>
  <c r="B9" i="12"/>
  <c r="D9" i="12"/>
  <c r="B10" i="12"/>
  <c r="D10" i="12"/>
  <c r="B11" i="12"/>
  <c r="D11" i="12"/>
  <c r="B12" i="12"/>
  <c r="D12" i="12"/>
  <c r="B13" i="12"/>
  <c r="D13" i="12"/>
  <c r="B14" i="12"/>
  <c r="D14" i="12"/>
  <c r="B15" i="12"/>
  <c r="D15" i="12"/>
  <c r="B16" i="12"/>
  <c r="D16" i="12"/>
  <c r="B17" i="12"/>
  <c r="D17" i="12"/>
  <c r="B18" i="12"/>
  <c r="D18" i="12"/>
  <c r="B19" i="12"/>
  <c r="D19" i="12"/>
  <c r="B20" i="12"/>
  <c r="D20" i="12"/>
  <c r="B21" i="12"/>
  <c r="D21" i="12"/>
  <c r="B22" i="12"/>
  <c r="D22" i="12"/>
  <c r="B23" i="12"/>
  <c r="D23" i="12"/>
  <c r="B24" i="12"/>
  <c r="D24" i="12"/>
  <c r="B25" i="12"/>
  <c r="D25" i="12"/>
  <c r="B26" i="12"/>
  <c r="D26" i="12"/>
  <c r="B27" i="12"/>
  <c r="D27" i="12"/>
  <c r="B28" i="12"/>
  <c r="D28" i="12"/>
  <c r="B29" i="12"/>
  <c r="D29" i="12"/>
  <c r="B30" i="12"/>
  <c r="D30" i="12"/>
  <c r="B31" i="12"/>
  <c r="D31" i="12"/>
  <c r="B32" i="12"/>
  <c r="D32" i="12"/>
  <c r="B33" i="12"/>
  <c r="D33" i="12"/>
  <c r="B34" i="12"/>
  <c r="D34" i="12"/>
  <c r="B35" i="12"/>
  <c r="D35" i="12"/>
  <c r="B36" i="12"/>
  <c r="D36" i="12"/>
  <c r="B37" i="12"/>
  <c r="D37" i="12"/>
  <c r="B38" i="12"/>
  <c r="D38" i="12"/>
  <c r="B39" i="12"/>
  <c r="D39" i="12"/>
  <c r="B40" i="12"/>
  <c r="D40" i="12"/>
  <c r="B41" i="12"/>
  <c r="D41" i="12"/>
  <c r="B42" i="12"/>
  <c r="D42" i="12"/>
  <c r="B43" i="12"/>
  <c r="D43" i="12"/>
  <c r="B44" i="12"/>
  <c r="D44" i="12"/>
  <c r="B45" i="12"/>
  <c r="D45" i="12"/>
  <c r="B46" i="12"/>
  <c r="D46" i="12"/>
  <c r="B47" i="12"/>
  <c r="D47" i="12"/>
  <c r="B48" i="12"/>
  <c r="D48" i="12"/>
  <c r="B49" i="12"/>
  <c r="D49" i="12"/>
  <c r="B50" i="12"/>
  <c r="D50" i="12"/>
  <c r="B51" i="12"/>
  <c r="D51" i="12"/>
  <c r="B52" i="12"/>
  <c r="D52" i="12"/>
  <c r="B53" i="12"/>
  <c r="D53" i="12"/>
  <c r="B54" i="12"/>
  <c r="D54" i="12"/>
  <c r="B55" i="12"/>
  <c r="D55" i="12"/>
  <c r="B56" i="12"/>
  <c r="D56" i="12"/>
  <c r="B57" i="12"/>
  <c r="D57" i="12"/>
  <c r="B58" i="12"/>
  <c r="D58" i="12"/>
  <c r="B59" i="12"/>
  <c r="D59" i="12"/>
  <c r="B60" i="12"/>
  <c r="D60" i="12"/>
  <c r="B61" i="12"/>
  <c r="D61" i="12"/>
  <c r="B62" i="12"/>
  <c r="D62" i="12"/>
  <c r="B63" i="12"/>
  <c r="D63" i="12"/>
  <c r="B64" i="12"/>
  <c r="D64" i="12"/>
  <c r="B65" i="12"/>
  <c r="D65" i="12"/>
  <c r="B66" i="12"/>
  <c r="D66" i="12"/>
  <c r="B67" i="12"/>
  <c r="D67" i="12"/>
  <c r="B68" i="12"/>
  <c r="D68" i="12"/>
  <c r="B69" i="12"/>
  <c r="D69" i="12"/>
  <c r="B70" i="12"/>
  <c r="D70" i="12"/>
  <c r="B71" i="12"/>
  <c r="D71" i="12"/>
  <c r="B72" i="12"/>
  <c r="D72" i="12"/>
  <c r="B73" i="12"/>
  <c r="D73" i="12"/>
  <c r="B2" i="10"/>
  <c r="B3" i="10"/>
  <c r="B4" i="10"/>
  <c r="B5" i="10"/>
  <c r="B6" i="10"/>
  <c r="B7" i="10"/>
  <c r="B8" i="10"/>
  <c r="B9" i="10"/>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alcChain>
</file>

<file path=xl/sharedStrings.xml><?xml version="1.0" encoding="utf-8"?>
<sst xmlns="http://schemas.openxmlformats.org/spreadsheetml/2006/main" count="17027" uniqueCount="2676">
  <si>
    <t>Sector_Desc</t>
  </si>
  <si>
    <t>Sector</t>
  </si>
  <si>
    <t>Sector map</t>
  </si>
  <si>
    <t>f5Adj</t>
  </si>
  <si>
    <t>SVW Grouping</t>
  </si>
  <si>
    <t>Dismissal rates</t>
  </si>
  <si>
    <t>M&amp;A Sector factor</t>
  </si>
  <si>
    <t>Reg Sector Factor</t>
  </si>
  <si>
    <t>AGRICULTURE</t>
  </si>
  <si>
    <t>V</t>
  </si>
  <si>
    <t>BROADCASTING</t>
  </si>
  <si>
    <t>W</t>
  </si>
  <si>
    <t>COMMUNICATIONS</t>
  </si>
  <si>
    <t>COMMUNICATIONS EQUIPMENT MANUFACTURING (DURABLE)</t>
  </si>
  <si>
    <t>COMPUTER &amp; DATA PROCESSING SERVICES (INC INTERNET)</t>
  </si>
  <si>
    <t>CONSTRUCTION</t>
  </si>
  <si>
    <t>CREDIT INSTITUTIONS</t>
  </si>
  <si>
    <t>FINANCE / FINANCE</t>
  </si>
  <si>
    <t>S</t>
  </si>
  <si>
    <t xml:space="preserve">HEALTH SERVICES </t>
  </si>
  <si>
    <t>INSURANCE</t>
  </si>
  <si>
    <t>INSURANCE / MEDICAL SERVICE AND HEALTH INSURANCE</t>
  </si>
  <si>
    <t>MANUFACTURING (DURABLE)</t>
  </si>
  <si>
    <t>MANUFACTURING (DURABLE) / INSTRUMENTS ET AL / MEDICAL INSTRUMENTS AND SUPPLIES</t>
  </si>
  <si>
    <t>MANUFACTURING (NON DURABLE) EXC APPAREL</t>
  </si>
  <si>
    <t>MANUFACTURING (NON-DURABLE) / APPAREL</t>
  </si>
  <si>
    <t>NATURAL RESOURCES</t>
  </si>
  <si>
    <t>NON CLASSIFIABLE ESTABLISHMENTS</t>
  </si>
  <si>
    <t>NON/DISCRETIONARY RETAIL SECTOR</t>
  </si>
  <si>
    <t>PHARMACEUTICAL PREPARATION AND DRUG MANUFACTURE</t>
  </si>
  <si>
    <t>PREPACKAGED SOFTWARE</t>
  </si>
  <si>
    <t>PUBLIC ADMINISTRATION</t>
  </si>
  <si>
    <t>PUBLIC UTILITIES</t>
  </si>
  <si>
    <t>REAL ESTATE</t>
  </si>
  <si>
    <t>REITS</t>
  </si>
  <si>
    <t>RETAIL SERVICES</t>
  </si>
  <si>
    <t>SEMICONDUCTORS AND RELATED DEVICES</t>
  </si>
  <si>
    <t>TRANSPORTATION</t>
  </si>
  <si>
    <t>VARIOUS SERVICES</t>
  </si>
  <si>
    <t>WASTE &amp; SEWAGE SERVICES</t>
  </si>
  <si>
    <t>WHOLESALE</t>
  </si>
  <si>
    <t>Lag</t>
  </si>
  <si>
    <t>Factor</t>
  </si>
  <si>
    <t>Reduction to apply in RC</t>
  </si>
  <si>
    <t>SICCode</t>
  </si>
  <si>
    <t>SICClass</t>
  </si>
  <si>
    <t>Class</t>
  </si>
  <si>
    <t>SuperClass</t>
  </si>
  <si>
    <t>MacroDescription</t>
  </si>
  <si>
    <t>SectorName</t>
  </si>
  <si>
    <t>SectorID</t>
  </si>
  <si>
    <t>F5Adj</t>
  </si>
  <si>
    <t>UWComment</t>
  </si>
  <si>
    <t>UWMessage</t>
  </si>
  <si>
    <t>RegLevel</t>
  </si>
  <si>
    <t>NONSCALevel</t>
  </si>
  <si>
    <t>FrequencyGroup</t>
  </si>
  <si>
    <t>AGRICULTURAL PRODUCTION - CROPS</t>
  </si>
  <si>
    <t>AGRICULTURE, FORESTY, AND FISHING</t>
  </si>
  <si>
    <t>WHEAT</t>
  </si>
  <si>
    <t>CASH GRAINS</t>
  </si>
  <si>
    <t>RICE</t>
  </si>
  <si>
    <t>CORN</t>
  </si>
  <si>
    <t>SOYBEANS</t>
  </si>
  <si>
    <t>CASH GRAINS, NEC</t>
  </si>
  <si>
    <t>COTTON</t>
  </si>
  <si>
    <t>FIELD CROPS, EXCEPT CASH GRAINS</t>
  </si>
  <si>
    <t>TOBACCO</t>
  </si>
  <si>
    <t>SUGARCANE AND SUGAR BEETS</t>
  </si>
  <si>
    <t>IRISH POTATOES</t>
  </si>
  <si>
    <t>FIELD CROPS, EXCEPT CASH GRAIN</t>
  </si>
  <si>
    <t>VEGETABLES AND MELONS</t>
  </si>
  <si>
    <t>BERRY CROPS</t>
  </si>
  <si>
    <t>FRUITS AND TREE NUTS</t>
  </si>
  <si>
    <t>GRAPES</t>
  </si>
  <si>
    <t>TREE NUTS</t>
  </si>
  <si>
    <t>CITRUS FRUITS</t>
  </si>
  <si>
    <t>DECIDUOUS TREE FRUITS</t>
  </si>
  <si>
    <t>FRUITS AND TREE NUTS, NEC</t>
  </si>
  <si>
    <t>ORNAMENTAL NURSERY PRODUCTS</t>
  </si>
  <si>
    <t>HORTICULTURAL SPECIALTIES</t>
  </si>
  <si>
    <t>FOOD CROPS GROWN UNDER COVER</t>
  </si>
  <si>
    <t>GENERAL FARMS, PRIMARILY CROP</t>
  </si>
  <si>
    <t>AGRICULTURAL PRODUCTION - LIVESTOCK</t>
  </si>
  <si>
    <t>BEEF CATTLE FEEDLOTS</t>
  </si>
  <si>
    <t>LIVESTOCK, EXCEPT DAIRY AND POULTRY</t>
  </si>
  <si>
    <t>BEEF CATTLE, EXCEPT FEEDLOTS</t>
  </si>
  <si>
    <t>HOGS</t>
  </si>
  <si>
    <t>SHEEP AND GOATS</t>
  </si>
  <si>
    <t>GENERAL LIVESTOCK, NEC</t>
  </si>
  <si>
    <t>DAIRY FARMS</t>
  </si>
  <si>
    <t>BROILER, FRYER, AND ROASTER CHICKENS</t>
  </si>
  <si>
    <t>POULTRY AND EGGS</t>
  </si>
  <si>
    <t>CHICKEN EGGS</t>
  </si>
  <si>
    <t>TURKEYS AND TURKEY EGGS</t>
  </si>
  <si>
    <t>POULTRY HATCHERIES</t>
  </si>
  <si>
    <t>POULTRY AND EGGS, NEC</t>
  </si>
  <si>
    <t>FUR-BEARING ANIMALS AND RABBITS</t>
  </si>
  <si>
    <t>ANIMAL SPECIALTIES</t>
  </si>
  <si>
    <t>HORSES AND OTHER EQUINES</t>
  </si>
  <si>
    <t>ANIMAL AQUACULTURE</t>
  </si>
  <si>
    <t>ANIMAL SPECIALTIES, NEC</t>
  </si>
  <si>
    <t>GENERAL FARMS, PRIMARILY ANIMALS</t>
  </si>
  <si>
    <t>GENERAL FARMS, PRIMARILY ANIMAL</t>
  </si>
  <si>
    <t>AGRICULTURAL SERVICES</t>
  </si>
  <si>
    <t>SOIL PREPARATION SERVICES</t>
  </si>
  <si>
    <t>CROP PLANTING AND PROTECTION</t>
  </si>
  <si>
    <t>CROP SERVICES</t>
  </si>
  <si>
    <t>CROP HARVESTING</t>
  </si>
  <si>
    <t>CROP PREPARATION SERVICES FOR MARKET</t>
  </si>
  <si>
    <t>COTTON GINNING</t>
  </si>
  <si>
    <t>VETERINARY SERVICES FOR LIVESTOCK</t>
  </si>
  <si>
    <t>VETERINARY SERVICES</t>
  </si>
  <si>
    <t>VETERINARY SERVICES, SPECIALTIES</t>
  </si>
  <si>
    <t>LIVESTOCK SERVICES, EXCEPT VETERINARY</t>
  </si>
  <si>
    <t>ANIMAL SERVICES, EXCEPT VETERINARY</t>
  </si>
  <si>
    <t>ANIMAL SPECIALTY SERVICES</t>
  </si>
  <si>
    <t>FARM LABOR CONTRACTORS</t>
  </si>
  <si>
    <t>FARM LABOR AND MANAGEMENT SERVICES</t>
  </si>
  <si>
    <t>FARM MANAGEMENT SERVICES</t>
  </si>
  <si>
    <t>LANDSCAPE COUNSELING AND PLANNING</t>
  </si>
  <si>
    <t>LANDSCAPE AND HORTICULTURAL SERVICES</t>
  </si>
  <si>
    <t>LAWN AND GARDEN SERVICES</t>
  </si>
  <si>
    <t>ORNAMENTAL SHRUB AND TREE SERVICES</t>
  </si>
  <si>
    <t>FORESTRY</t>
  </si>
  <si>
    <t>TIMBER TRACTS</t>
  </si>
  <si>
    <t>FOREST PRODUCTS</t>
  </si>
  <si>
    <t>FORESTRY SERVICES</t>
  </si>
  <si>
    <t>FINFISH</t>
  </si>
  <si>
    <t>COMMERCIAL FISHING</t>
  </si>
  <si>
    <t>FISHING, HUNTING, AND TRAPPING</t>
  </si>
  <si>
    <t>SHELLFISH</t>
  </si>
  <si>
    <t>MISCELLANEOUS MARINE PRODUCTS</t>
  </si>
  <si>
    <t>FISH HATCHERIES AND PRESERVES</t>
  </si>
  <si>
    <t>HUNTING, TRAPPING, GAME PROPAGATION</t>
  </si>
  <si>
    <t>IRON ORES</t>
  </si>
  <si>
    <t>METAL MINING</t>
  </si>
  <si>
    <t>COPPER ORES</t>
  </si>
  <si>
    <t>LEAD AND ZINC ORES</t>
  </si>
  <si>
    <t>GOLD AND SILVER ORES</t>
  </si>
  <si>
    <t>GOLD ORES</t>
  </si>
  <si>
    <t>SILVER ORES</t>
  </si>
  <si>
    <t>FERROALLOY ORES, EXCEPT VANADIUM</t>
  </si>
  <si>
    <t>METAL MINING SERVICES</t>
  </si>
  <si>
    <t>MISCELLANEOUS METAL ORES</t>
  </si>
  <si>
    <t>URANIUM-RADIUM-VANADIUM ORES</t>
  </si>
  <si>
    <t>METAL ORES, NEC</t>
  </si>
  <si>
    <t>BITUMINOUS COAL AND LIGNITE MINING</t>
  </si>
  <si>
    <t>COAL MINING</t>
  </si>
  <si>
    <t>BITUMINOUS COAL AND LIGNITE-SURFACE MINING</t>
  </si>
  <si>
    <t>BITUMINOUS COAL-UNDERGROUND MINING</t>
  </si>
  <si>
    <t>ANTHRACITE MINING</t>
  </si>
  <si>
    <t>COAL MINING SERVICES</t>
  </si>
  <si>
    <t>CRUDE PETROLEUM AND NATURAL GAS</t>
  </si>
  <si>
    <t>OIL AND GAS EXTRACTION</t>
  </si>
  <si>
    <t>NATURAL GAS LIQUIDS</t>
  </si>
  <si>
    <t>DRILLING OIL AND GAS WELLS</t>
  </si>
  <si>
    <t>OIL AND GAS FIELD SERVICES</t>
  </si>
  <si>
    <t>OIL AND GAS EXPLORATION SERVICES</t>
  </si>
  <si>
    <t>OIL AND GAS FIELD SERVICES, NEC</t>
  </si>
  <si>
    <t>NONMETALLIC MINERALS, EXCEPT FUELS</t>
  </si>
  <si>
    <t>DIMENSION STONE</t>
  </si>
  <si>
    <t>CRUSHED AND BROKEN LIMESTONE</t>
  </si>
  <si>
    <t>CRUSHED AND BROKEN STONE</t>
  </si>
  <si>
    <t>CRUSHED AND BROKEN GRANITE</t>
  </si>
  <si>
    <t>CRUSHED AND BROKEN STONE, NEC</t>
  </si>
  <si>
    <t>CONSTRUCTION SAND AND GRAVEL</t>
  </si>
  <si>
    <t>SAND AND GRAVEL</t>
  </si>
  <si>
    <t>INDUSTRIAL SAND</t>
  </si>
  <si>
    <t>KAOLIN AND BALL CLAY</t>
  </si>
  <si>
    <t>CLAY, CERAMIC &amp; REFRACTORY MINERALS</t>
  </si>
  <si>
    <t>CLAY AND RELATED MINERALS, NEC</t>
  </si>
  <si>
    <t>POTASH, SODA, AND BORATE MINERALS</t>
  </si>
  <si>
    <t>CHEMICAL AND FERTILIZER MINERALS</t>
  </si>
  <si>
    <t>PHOSPHATE ROCK</t>
  </si>
  <si>
    <t>CHEMICAL AND FERTILIZER MINING</t>
  </si>
  <si>
    <t>NONMETALLIC MINERAL SERVICES</t>
  </si>
  <si>
    <t>NONMETALLIC MINERALS SERVICES</t>
  </si>
  <si>
    <t>MISCELLANEOUS NONMETALLIC MINING</t>
  </si>
  <si>
    <t>MISCELLANEOUS NONMETALLIC MINERALS</t>
  </si>
  <si>
    <t>RESIDENTIAL BUILDING CONSTRUCTION</t>
  </si>
  <si>
    <t>GENERAL BUILDING CONTRACTORS</t>
  </si>
  <si>
    <t>SINGLE-FAMILY HOUSING CONSTRUCTION</t>
  </si>
  <si>
    <t>RESIDENTIAL CONSTRUCTION, NEC</t>
  </si>
  <si>
    <t>OPERATIVE BUILDERS</t>
  </si>
  <si>
    <t>NONRESIDENTIAL BUILDING CONSTRUCTION</t>
  </si>
  <si>
    <t>INDUSTRIAL BUILDINGS AND WAREHOUSES</t>
  </si>
  <si>
    <t>NONRESIDENTIAL CONSTRUCTION, NEC</t>
  </si>
  <si>
    <t>HEAVY CONSTRUCTION, EXCEPT BUILDING</t>
  </si>
  <si>
    <t>HIGHWAY AND STREET CONSTRUCTION</t>
  </si>
  <si>
    <t>BRIDGE, TUNNEL, AND ELEVATED HIGHWAY</t>
  </si>
  <si>
    <t>HEAVY CONSTRUCTION, EXCEPT HIGHWAY</t>
  </si>
  <si>
    <t>WATER, SEWER, AND UTILITY LINES</t>
  </si>
  <si>
    <t>HEAVY CONSTRUCTION, NEC</t>
  </si>
  <si>
    <t>SPECIAL TRADE CONTRACTORS</t>
  </si>
  <si>
    <t>PLUMBING, HEATING, AIR-CONDITIONING</t>
  </si>
  <si>
    <t>PLUMBING, HEATING, AIRCONDITIONING</t>
  </si>
  <si>
    <t>PAINTING AND PAPER HANGING</t>
  </si>
  <si>
    <t>ELECTRICAL WORK</t>
  </si>
  <si>
    <t>MASONRY AND OTHER STONEWORK</t>
  </si>
  <si>
    <t>PLASTERING, DRYWALL, AND INSULATION</t>
  </si>
  <si>
    <t>TERRAZZO, TILE, MARBLE, MOSAIC WORK</t>
  </si>
  <si>
    <t>CARPENTRY WORK</t>
  </si>
  <si>
    <t>CARPENTRY AND FLOOR WORK</t>
  </si>
  <si>
    <t>FLOOR LAYING AND FLOOR WORK, NEC</t>
  </si>
  <si>
    <t>ROOFING, SIDING, AND SHEETMETAL WORK</t>
  </si>
  <si>
    <t>ROOFING, SIDING, AND SHEET METAL WORK</t>
  </si>
  <si>
    <t>CONCRETE WORK</t>
  </si>
  <si>
    <t>WATER WELL DRILLING</t>
  </si>
  <si>
    <t>STRUCTURAL STEEL ERECTION</t>
  </si>
  <si>
    <t>MISCELLANEOUS SPECIAL TRADE CONTRACTORS</t>
  </si>
  <si>
    <t>GLASS AND GLAZING WORK</t>
  </si>
  <si>
    <t>EXCAVATION WORK</t>
  </si>
  <si>
    <t>WRECKING AND DEMOLITION WORK</t>
  </si>
  <si>
    <t>INSTALLING BUILDING EQUIPMENT</t>
  </si>
  <si>
    <t>SPECIAL TRADE CONTRACTORS, NEC</t>
  </si>
  <si>
    <t>MANUFACTURING</t>
  </si>
  <si>
    <t>MEAT PACKING PLANTS</t>
  </si>
  <si>
    <t>MEAT PRODUCTS</t>
  </si>
  <si>
    <t>FOOD AND KINDRED PRODUCTS</t>
  </si>
  <si>
    <t>SAUSAGES AND OTHER PREPARED MEATS</t>
  </si>
  <si>
    <t>POULTRY SLAUGHTERING AND PROCESSING</t>
  </si>
  <si>
    <t>DAIRY PRODUCTS</t>
  </si>
  <si>
    <t>CREAMERY BUTTER</t>
  </si>
  <si>
    <t>CHEESE; NATURAL AND PROCESSED</t>
  </si>
  <si>
    <t>DRY, CONDENSED, EVAPORATED PRODUCTS</t>
  </si>
  <si>
    <t>ICE CREAM AND FROZEN DESERTS</t>
  </si>
  <si>
    <t>FLUID MILK</t>
  </si>
  <si>
    <t>PRESERVED FRUITS AND VEGETABLES</t>
  </si>
  <si>
    <t>CANNED SPECIALTIES</t>
  </si>
  <si>
    <t>CANNED FRUITS AND SPECIALTIES</t>
  </si>
  <si>
    <t>DEHYDRATED FRUITS, VEGETABLES, SOUPS</t>
  </si>
  <si>
    <t>PICKLES, SAUCES, AND SALAD DRESSINGS</t>
  </si>
  <si>
    <t>FROZEN FRUITS AND VEGETABLES</t>
  </si>
  <si>
    <t>FROZEN SPECIALTIES, NEC</t>
  </si>
  <si>
    <t>GRAIN MILL PRODUCTS</t>
  </si>
  <si>
    <t>FLOUR AND OTHER GRAIN MILL PRODUCTS</t>
  </si>
  <si>
    <t>CEREAL BREAKFAST FOODS</t>
  </si>
  <si>
    <t>RICE MILLING</t>
  </si>
  <si>
    <t>PREPARED FLOUR MIXES AND DOUGHS</t>
  </si>
  <si>
    <t>WET CORN MILLING</t>
  </si>
  <si>
    <t>DOG AND CAT FOOD</t>
  </si>
  <si>
    <t>PREPARED FEEDS, NEC</t>
  </si>
  <si>
    <t>BAKERY PRODUCTS</t>
  </si>
  <si>
    <t>BREAD, CAKE, AND RELATED PRODUCTS</t>
  </si>
  <si>
    <t>COOKIES AND CRACKERS</t>
  </si>
  <si>
    <t>FROZEN BAKERY PRODUCTS, EXCEPT BREAD</t>
  </si>
  <si>
    <t>SUGAR AND CONFECTIONERY PRODUCTS</t>
  </si>
  <si>
    <t>RAW CANE SUGAR</t>
  </si>
  <si>
    <t>CANE SUGAR REFINING</t>
  </si>
  <si>
    <t>BEET SUGAR</t>
  </si>
  <si>
    <t>CANDY AND OTHER CONFECTIONERY PRODUCTS</t>
  </si>
  <si>
    <t>CHOCOLATE AND COCOA PRODUCTS</t>
  </si>
  <si>
    <t>CHEWING GUM</t>
  </si>
  <si>
    <t>SALTED AND ROASTED NUTS AND SEEDS</t>
  </si>
  <si>
    <t>FATS AND OILS</t>
  </si>
  <si>
    <t>COTTONSEED OIL MILLS</t>
  </si>
  <si>
    <t>SOYBEAN OIL MILLS</t>
  </si>
  <si>
    <t>VEGETABLE OIL MILLS, NEC</t>
  </si>
  <si>
    <t>ANIMAL AND MARINE FATS AND OILS</t>
  </si>
  <si>
    <t>EDIBLE FATS AND OILS</t>
  </si>
  <si>
    <t>BEVERAGES</t>
  </si>
  <si>
    <t>MALT BEVERAGES</t>
  </si>
  <si>
    <t>MALT</t>
  </si>
  <si>
    <t>WINES, BRANDY, AND BRANDY SPIRITS</t>
  </si>
  <si>
    <t>DISTILLED AND BLENDED LIQUORS</t>
  </si>
  <si>
    <t>BOTTLED AND CANNED SOFT DRINKS</t>
  </si>
  <si>
    <t>FLAVORING EXTRACTS AND SYRUPS, NEC</t>
  </si>
  <si>
    <t>MISCELLANEOUS FOOD AND KINDRED PRODUCTS</t>
  </si>
  <si>
    <t>CANNED AND CURED FISH AND SEAFOODS</t>
  </si>
  <si>
    <t>FRESH OR FROZEN PACKAGED FISH</t>
  </si>
  <si>
    <t>ROASTED COFFEE</t>
  </si>
  <si>
    <t>POTATO CHIPS AND SIMILAR SNACKS</t>
  </si>
  <si>
    <t>MANUFACTURED ICE</t>
  </si>
  <si>
    <t>MACARONI AND SPAGHETTI</t>
  </si>
  <si>
    <t>FOOD PREPARATIONS, NEC</t>
  </si>
  <si>
    <t>TOBACCO PRODUCTS</t>
  </si>
  <si>
    <t>CIGARETTES</t>
  </si>
  <si>
    <t>CIGARS</t>
  </si>
  <si>
    <t>CHEWING AND SMOKING TOBACCO</t>
  </si>
  <si>
    <t>TOBACCO STEMMING AND REDRYING</t>
  </si>
  <si>
    <t>TEXTILE MILL PRODUCTS</t>
  </si>
  <si>
    <t>BROADWOVEN FABRIC MILLS, COTTON</t>
  </si>
  <si>
    <t>BROADWOVEN FABRIC MILLS, MANMADE</t>
  </si>
  <si>
    <t>BROADWOVEN FABRIC MILLS, WOOL</t>
  </si>
  <si>
    <t>NARROW FABRIC MILLS</t>
  </si>
  <si>
    <t>KNITTING MILLS</t>
  </si>
  <si>
    <t>WOMEN'S HOSIERY, EXCEPT SOCKS</t>
  </si>
  <si>
    <t>HOSIERY, NEC</t>
  </si>
  <si>
    <t>KNIT OUTERWEAR MILLS</t>
  </si>
  <si>
    <t>KNIT UNDERWEAR MILLS</t>
  </si>
  <si>
    <t>WEFT KNIT FABRIC MILLS</t>
  </si>
  <si>
    <t>LACE AND WARP KNIT FABRIC MILLS</t>
  </si>
  <si>
    <t>KNITTING MILLS, NEC</t>
  </si>
  <si>
    <t>FINISHING PLANTS, COTTON</t>
  </si>
  <si>
    <t>TEXTILE FINISHING, EXCEPT WOOL</t>
  </si>
  <si>
    <t>FINISHING PLANTS, MANMADE</t>
  </si>
  <si>
    <t>FINISHING PLANTS, NEC</t>
  </si>
  <si>
    <t>CARPETS AND RUGS</t>
  </si>
  <si>
    <t>YARN SPINNING MILLS</t>
  </si>
  <si>
    <t>YARN AND THREAD MILLS</t>
  </si>
  <si>
    <t>THROWING AND WINDING MILLS</t>
  </si>
  <si>
    <t>THREAD MILLS</t>
  </si>
  <si>
    <t>COATED FABRICS, NOT RUBBERIZED</t>
  </si>
  <si>
    <t>MISCELLANEOUS TEXTILE GOODS</t>
  </si>
  <si>
    <t>TIRE CORD AND FABRICS</t>
  </si>
  <si>
    <t>NONWOVEN FABRICS</t>
  </si>
  <si>
    <t>CORDAGE AND TWINE</t>
  </si>
  <si>
    <t>TEXTILE GOODS, NEC</t>
  </si>
  <si>
    <t>APPAREL AND OTHER TEXTILE PRODUCTS</t>
  </si>
  <si>
    <t>MEN'S AND BOY'S SUITS AND COATS</t>
  </si>
  <si>
    <t>MEN'S AND BOYS' SUITS AND COATS</t>
  </si>
  <si>
    <t>MEN'S AND BOYS' FURNISHINGS</t>
  </si>
  <si>
    <t>MEN'S AND BOY'S FURNISHINGS</t>
  </si>
  <si>
    <t>MEN'S AND BOY'S UNDERWEAR AND NIGHTWEAR</t>
  </si>
  <si>
    <t>MEN'S AND BOY'S NECKWEAR</t>
  </si>
  <si>
    <t>MEN'S AND BOY'S TROUSERS AND SLACKS</t>
  </si>
  <si>
    <t>MEN'S AND BOY'S WORK CLOTHING</t>
  </si>
  <si>
    <t>MEN'S AND BOY'S CLOTHING, NEC</t>
  </si>
  <si>
    <t>WOMEN'S &amp; MISSES' OUTERWEAR</t>
  </si>
  <si>
    <t>WOMEN'S AND MISSES' BLOUSES AND SHIRTS</t>
  </si>
  <si>
    <t>WOMEN'S, JUNIOR'S, AND MISSES' DRESSES</t>
  </si>
  <si>
    <t>WOMEN'S AND MISSES' SUITS AND COATS</t>
  </si>
  <si>
    <t>WOMEN'S AND MISSES' OUTERWEAR, NEC</t>
  </si>
  <si>
    <t>WOMEN'S AND CHILDREN'S UNDERGARMENTS</t>
  </si>
  <si>
    <t>WOMEN'S AND CHILDREN'S UNDERWEAR</t>
  </si>
  <si>
    <t>BRAS, GIRDLES, AND ALLIED GARMENTS</t>
  </si>
  <si>
    <t>HATS, CAPS, AND MILLINERY</t>
  </si>
  <si>
    <t>GIRL'S AND CHILDREN'S DRESSES, BLOUSES</t>
  </si>
  <si>
    <t>GIRLS' &amp; CHILDREN'S OUTERWEAR</t>
  </si>
  <si>
    <t>GIRL'S AND CHILDREN'S OUTERWEAR, NEC</t>
  </si>
  <si>
    <t>FUR GOODS</t>
  </si>
  <si>
    <t>FABRIC DRESS AND WORK GLOVES</t>
  </si>
  <si>
    <t>MISCELLANEOUS APPAREL AND ACCESSORIES</t>
  </si>
  <si>
    <t>ROBES AND DRESSING GOWNS</t>
  </si>
  <si>
    <t>WATERPROOF OUTERWEAR</t>
  </si>
  <si>
    <t>LEATHER AND SHEEP-LINED CLOTHING</t>
  </si>
  <si>
    <t>APPAREL BELTS</t>
  </si>
  <si>
    <t>APPAREL AND ACCESSORIES, NEC</t>
  </si>
  <si>
    <t>MISCELLANEOUS FABRICATED TEXTILE PRODUCT</t>
  </si>
  <si>
    <t>CURTAINS AND DRAPERIES</t>
  </si>
  <si>
    <t>HOUSEHOLD FURNISHINGS, NEC</t>
  </si>
  <si>
    <t>TEXTILE BAGS</t>
  </si>
  <si>
    <t>CANVAS AND RELATED PRODUCTS</t>
  </si>
  <si>
    <t>PLEATING AND STITCHING</t>
  </si>
  <si>
    <t>AUTOMOTIVE AND APPAREL TRIMMINGS</t>
  </si>
  <si>
    <t>SCHIFFLI MACHINE EMBROIDERIES</t>
  </si>
  <si>
    <t>FABRICATED TEXTILE PRODUCTS, NEC</t>
  </si>
  <si>
    <t>LUMBER AND WOOD PRODUCTS</t>
  </si>
  <si>
    <t>LOGGING</t>
  </si>
  <si>
    <t>SAWMILLS AND PLANING MILLS, GENERAL</t>
  </si>
  <si>
    <t>SAWMILLS AND PLANING MILLS</t>
  </si>
  <si>
    <t>HARDWOOD DIMENSION AND FLOORING MILLS</t>
  </si>
  <si>
    <t>SPECIAL PRODUCT SAWMILLS, NEC</t>
  </si>
  <si>
    <t>MILLWORK, PLYWOOD &amp; STRUCTURAL MEMBERS</t>
  </si>
  <si>
    <t>MILLWORK</t>
  </si>
  <si>
    <t>WOOD KITCHEN CABINETS</t>
  </si>
  <si>
    <t>HARDWOOD VENEER AND PLYWOOD</t>
  </si>
  <si>
    <t>SOFTWOOD VENEER AND PLYWOOD</t>
  </si>
  <si>
    <t>STRUCTURAL WOOD MEMBERS, NEC</t>
  </si>
  <si>
    <t>NAILED WOOD BOXES AND SHOOK</t>
  </si>
  <si>
    <t>WOOD CONTAINERS</t>
  </si>
  <si>
    <t>WOOD PALLETS AND SKIDS</t>
  </si>
  <si>
    <t>WOOD CONTAINERS, NEC</t>
  </si>
  <si>
    <t>MOBILE HOMES</t>
  </si>
  <si>
    <t>WOOD BUILDINGS AND MOBILE HOMES</t>
  </si>
  <si>
    <t>PREFABRICATED WOOD BUILDINGS</t>
  </si>
  <si>
    <t>WOOD PRESERVING</t>
  </si>
  <si>
    <t>MISCELLANEOUS WOOD PRODUCTS</t>
  </si>
  <si>
    <t>RECONSTITUTED WOOD PRODUCTS</t>
  </si>
  <si>
    <t>WOOD PRODUCTS, NEC</t>
  </si>
  <si>
    <t>HOUSEHOLD FURNITURE</t>
  </si>
  <si>
    <t>FURNITURE AND FIXTURES</t>
  </si>
  <si>
    <t>WOOD HOUSEHOLD FURNITURE</t>
  </si>
  <si>
    <t>UPHOLSTERED HOUSEHOLD FURNITURE</t>
  </si>
  <si>
    <t>METAL HOUSEHOLD FURNITURE</t>
  </si>
  <si>
    <t>MATTRESSES AND BEDSPRINGS</t>
  </si>
  <si>
    <t>WOOD TELEVISION AND RADIO CABINETS</t>
  </si>
  <si>
    <t>HOUSEHOLD FURNITURE, NEC</t>
  </si>
  <si>
    <t>WOOD OFFICE FURNITURE</t>
  </si>
  <si>
    <t>OFFICE FURNITURE</t>
  </si>
  <si>
    <t>OFFICE FURNITURE, EXCEPT WOOD</t>
  </si>
  <si>
    <t>PUBLIC BUILDING AND RELATED FURNITURE</t>
  </si>
  <si>
    <t>PUBLIC BUILDING &amp; RELATED FURNITURE</t>
  </si>
  <si>
    <t>PARTITIONS AND FIXTURES</t>
  </si>
  <si>
    <t>WOOD PARTITIONS AND FIXTURES</t>
  </si>
  <si>
    <t>PARTITIONS AND FIXTURES, EXCEPT WOOD</t>
  </si>
  <si>
    <t>MISCELLANEOUS FURNITURE AND FIXTURES</t>
  </si>
  <si>
    <t>DRAPERY HARDWARE AND BLINDS AND SHADES</t>
  </si>
  <si>
    <t>FURNITURE AND FIXTURES, NEC</t>
  </si>
  <si>
    <t>PAPER AND ALLIED PRODUCTS</t>
  </si>
  <si>
    <t>PULP MILLS</t>
  </si>
  <si>
    <t>PAPER MILLS</t>
  </si>
  <si>
    <t>PAPERBOARD MILLS</t>
  </si>
  <si>
    <t>PAPERBOARD CONTAINERS AND BOXES</t>
  </si>
  <si>
    <t>SETUP PAPERBOARD BOXES</t>
  </si>
  <si>
    <t>CORRUGATED AND SOLID FIBER BOXES</t>
  </si>
  <si>
    <t>FIBER CANS, DRUMS, AND SIMILAR PRODUCTS</t>
  </si>
  <si>
    <t>SANITARY FOOD CONTAINERS</t>
  </si>
  <si>
    <t>FOLDING PAPERBOARD BOXES</t>
  </si>
  <si>
    <t>MISCELLANEOUS CONVERTED PAPER PRODUCTS</t>
  </si>
  <si>
    <t>PAPER; COATED AND LAMINATED PACKAGING</t>
  </si>
  <si>
    <t>PAPER; COATED AND LAMINATED, NEC</t>
  </si>
  <si>
    <t>BAGS: PLASTIC, LAMINATED, AND COATED</t>
  </si>
  <si>
    <t>BAGS: UNCOATED PAPER AND MULTIWALL</t>
  </si>
  <si>
    <t>DIE-CUT PAPER AND BOARD</t>
  </si>
  <si>
    <t>SANITARY PAPER PRODUCTS</t>
  </si>
  <si>
    <t>ENVELOPES</t>
  </si>
  <si>
    <t>STATIONERY PRODUCTS</t>
  </si>
  <si>
    <t>CONVERTED PAPER PRODUCTS, NEC</t>
  </si>
  <si>
    <t>NEWSPAPERS</t>
  </si>
  <si>
    <t>PRINTING AND PUBLISHING</t>
  </si>
  <si>
    <t>PERIODICALS</t>
  </si>
  <si>
    <t>BOOK PUBLISHING</t>
  </si>
  <si>
    <t>BOOKS</t>
  </si>
  <si>
    <t>BOOK PRINTING</t>
  </si>
  <si>
    <t>MISCELLANEOUS PUBLISHING</t>
  </si>
  <si>
    <t>COMMERCIAL PRINTING</t>
  </si>
  <si>
    <t>COMMERCIAL PRINTING, LITHOGRAPHIC</t>
  </si>
  <si>
    <t>COMMERCIAL PRINTING, GRAVURE</t>
  </si>
  <si>
    <t>COMMERCIAL PRINTING, NEC</t>
  </si>
  <si>
    <t>MANIFOLD BUSINESS FORMS</t>
  </si>
  <si>
    <t>GREETING CARDS</t>
  </si>
  <si>
    <t>BLANKBOOKS AND BOOKBINDING</t>
  </si>
  <si>
    <t>BLANKBOOKS AND LOOSELEAF BINDERS</t>
  </si>
  <si>
    <t>BOOKBINDING AND RELATED WORK</t>
  </si>
  <si>
    <t>PRINTING TRADE SERVICES</t>
  </si>
  <si>
    <t>TYPESETTING</t>
  </si>
  <si>
    <t>PLATEMAKING SERVICES</t>
  </si>
  <si>
    <t>CHEMICALS AND ALLIED PRODUCTS</t>
  </si>
  <si>
    <t>INDUSTRIAL INORGANIC CHEMICALS</t>
  </si>
  <si>
    <t>ALKALIES AND CHLORINE</t>
  </si>
  <si>
    <t>INDUSTRIAL GASES</t>
  </si>
  <si>
    <t>INORGANIC PIGMENTS</t>
  </si>
  <si>
    <t>INDUSTRIAL INORGANIC CHEMICALS, NEC</t>
  </si>
  <si>
    <t>PLASTICS MATERIALS AND SYNTHETICS</t>
  </si>
  <si>
    <t>PLASTICS MATERIALS AND RESINS</t>
  </si>
  <si>
    <t>SYNTHETIC RUBBER</t>
  </si>
  <si>
    <t>CELLULOSIC MANMADE FIBERS</t>
  </si>
  <si>
    <t>ORGANIC FIBERS, NONCELLULOSIC</t>
  </si>
  <si>
    <t>MEDICINALS AND BOTANICALS</t>
  </si>
  <si>
    <t>DRUGS</t>
  </si>
  <si>
    <t>PHARMACEUTICAL PREPARATIONS</t>
  </si>
  <si>
    <t>DIAGNOSTIC SUBSTANCES</t>
  </si>
  <si>
    <t>BIOLOGICAL PRODUCTS, EXCEPT DIAGNOSTIC</t>
  </si>
  <si>
    <t>SOAP, CLEANERS, AND TOILET GOODS</t>
  </si>
  <si>
    <t>SOAP AND OTHER DETERGENTS</t>
  </si>
  <si>
    <t>POLISHES AND SANITATION GOODS</t>
  </si>
  <si>
    <t>SURFACE ACTIVE AGENTS</t>
  </si>
  <si>
    <t>TOILET PREPARATIONS</t>
  </si>
  <si>
    <t>PAINTS AND ALLIED PRODUCTS</t>
  </si>
  <si>
    <t>INDUSTRIAL ORGANIC CHEMICALS</t>
  </si>
  <si>
    <t>GUM AND WOOD CHEMICALS</t>
  </si>
  <si>
    <t>CYCLIC CRUDES AND INTERMEDIATES</t>
  </si>
  <si>
    <t>INDUSTRIAL ORGANIC CHEMICALS, NEC</t>
  </si>
  <si>
    <t>AGRICULTURAL CHEMICALS</t>
  </si>
  <si>
    <t>NITROGENOUS FERTILIZERS</t>
  </si>
  <si>
    <t>PHOSPHATIC FERTILIZERS</t>
  </si>
  <si>
    <t>FERTILIZERS, MIXING ONLY</t>
  </si>
  <si>
    <t>AGRICULTURAL CHEMICALS, NEC</t>
  </si>
  <si>
    <t>MISCELLANEOUS CHEMICAL PRODUCTS</t>
  </si>
  <si>
    <t>ADHESIVES AND SEALANTS</t>
  </si>
  <si>
    <t>EXPLOSIVES</t>
  </si>
  <si>
    <t>PRINTING INK</t>
  </si>
  <si>
    <t>CARBON BLACK</t>
  </si>
  <si>
    <t>CHEMICAL PREPARATIONS, NEC</t>
  </si>
  <si>
    <t>PETROLEUM REFINING</t>
  </si>
  <si>
    <t>PETROLEUM AND COAL PRODUCTS</t>
  </si>
  <si>
    <t>ASPHALT PAVING MIXTURES AND BLOCKS</t>
  </si>
  <si>
    <t>ASPHALT PAVING AND ROOFING MATERIALS</t>
  </si>
  <si>
    <t>ASPHALT FELTS AND COATINGS</t>
  </si>
  <si>
    <t>MISCELLANEOUS PETROLEUM AND COAL PRODUCT</t>
  </si>
  <si>
    <t>LUBRICATING OILS AND GREASES</t>
  </si>
  <si>
    <t>PETROLEUM AND COAL PRODUCTS, NEC</t>
  </si>
  <si>
    <t>TIRES AND INNER TUBES</t>
  </si>
  <si>
    <t>RUBBER AND MISC. PLASTICS PRODUCTS</t>
  </si>
  <si>
    <t>RUBBER AND PLASTICS FOOTWEAR</t>
  </si>
  <si>
    <t>HOSE &amp; BELTING &amp; GASKETS &amp; PACKING</t>
  </si>
  <si>
    <t>RUBBER AND PLASTICS HOSE AND BELTINGS</t>
  </si>
  <si>
    <t>GASKETS; PACKING AND SEALING DEVICES</t>
  </si>
  <si>
    <t>FABRICATED RUBBER PRODUCTS, N.E.C.</t>
  </si>
  <si>
    <t>MECHANICAL RUBBER GOODS</t>
  </si>
  <si>
    <t>FABRICATED RUBBER PRODUCTS, NEC</t>
  </si>
  <si>
    <t>MISCELLANEOUS PLASTICS PRODUCTS, N.E.C.</t>
  </si>
  <si>
    <t>UNSUPPORTED PLASTICS FILM AND SHEET</t>
  </si>
  <si>
    <t>UNSUPPORTED PLASTICS PROFILE SHAPES</t>
  </si>
  <si>
    <t>LAMINATED PLASTICS PLATE AND SHEET</t>
  </si>
  <si>
    <t>PLASTICS PIPE</t>
  </si>
  <si>
    <t>PLASTICS BOTTLES</t>
  </si>
  <si>
    <t>PLASTICS FOAM PRODUCTS</t>
  </si>
  <si>
    <t>CUSTOM COMPOUND PURCHASED RESINS</t>
  </si>
  <si>
    <t>PLASTICS PLUMBING FIXTURES</t>
  </si>
  <si>
    <t>PLASTICS PRODUCTS, NEC</t>
  </si>
  <si>
    <t>LEATHER AND LEATHER PRODUCTS</t>
  </si>
  <si>
    <t>LEATHER TANNING AND FINISHING</t>
  </si>
  <si>
    <t>LEATHER TANNING AND FINSHING</t>
  </si>
  <si>
    <t>FOOTWEAR CUT STOCK</t>
  </si>
  <si>
    <t>FOOTWEAR, EXCEPT RUBBER</t>
  </si>
  <si>
    <t>HOUSE SLIPPERS</t>
  </si>
  <si>
    <t>MEN'S FOOTWEAR, EXCEPT ATHLETIC</t>
  </si>
  <si>
    <t>WOMEN'S FOOTWEAR, EXCEPT ATHLETIC</t>
  </si>
  <si>
    <t>FOOTWEAR, EXCEPT RUBBER, NEC</t>
  </si>
  <si>
    <t>LEATHER GLOVES AND MITTENS</t>
  </si>
  <si>
    <t>LUGGAGE</t>
  </si>
  <si>
    <t>WOMEN'S HANDBAGS AND PURSES</t>
  </si>
  <si>
    <t>HANDBAGS AND PERSONAL LEATHER GOODS</t>
  </si>
  <si>
    <t>PERSONAL LEATHER GOODS, NEC</t>
  </si>
  <si>
    <t>LEATHER GOODS, NEC</t>
  </si>
  <si>
    <t>LEATHER GOODS, N.E.C.</t>
  </si>
  <si>
    <t>FLAT GLASS</t>
  </si>
  <si>
    <t>STONE, CLAY, AND GLASS PRODUCTS</t>
  </si>
  <si>
    <t>GLASS AND GLASSWARE, PRESSED OR BLOWN</t>
  </si>
  <si>
    <t>GLASS CONTAINERS</t>
  </si>
  <si>
    <t>PRESSED AND BLOWN GLASS, NEC</t>
  </si>
  <si>
    <t>PRODUCTS OF PURCHASED GLASS</t>
  </si>
  <si>
    <t>CEMENT, HYDRAULIC</t>
  </si>
  <si>
    <t>STRUCTURAL CLAY PRODUCTS</t>
  </si>
  <si>
    <t>BRICK AND STRUCTURAL CLAY TILE</t>
  </si>
  <si>
    <t>CERAMIC WALL AND FLOOR TILE</t>
  </si>
  <si>
    <t>CLAY REFRACTORIES</t>
  </si>
  <si>
    <t>STRUCTURAL CLAY PRODUCTS, NEC</t>
  </si>
  <si>
    <t>POTTERY AND RELATED PRODUCTS</t>
  </si>
  <si>
    <t>VITREOUS PLUMBING FIXTURES</t>
  </si>
  <si>
    <t>VITREOUS CHINA TABLE AND KITCHENWARE</t>
  </si>
  <si>
    <t>SEMIVITREOUS TABLE AND KITCHENWARE</t>
  </si>
  <si>
    <t>PORCELAIN ELECTRICAL SUPPLIES</t>
  </si>
  <si>
    <t>POTTERY PRODUCTS, NEC</t>
  </si>
  <si>
    <t>CONCRETE, GYPSUM, AND PLASTER PRODUCTS</t>
  </si>
  <si>
    <t>CONCRETE BLOCK AND BRICK</t>
  </si>
  <si>
    <t>CONCRETE PRODUCTS, NEC</t>
  </si>
  <si>
    <t>READY-MIXED CONCRETE</t>
  </si>
  <si>
    <t>LIME</t>
  </si>
  <si>
    <t>GYPSUM PRODUCTS</t>
  </si>
  <si>
    <t>CUT STONE AND STONE PRODUCTS</t>
  </si>
  <si>
    <t>MISC. NONMETALLIC MINERAL PRODUCTS</t>
  </si>
  <si>
    <t>ABRASIVE PRODUCTS</t>
  </si>
  <si>
    <t>ASBESTOS PRODUCTS</t>
  </si>
  <si>
    <t>MINERALS, GROUND OR TREATED</t>
  </si>
  <si>
    <t>MINERAL WOOL</t>
  </si>
  <si>
    <t>NONCLAY REFRACTORIES</t>
  </si>
  <si>
    <t>NONMETALLIC MINERAL PRODUCTS,</t>
  </si>
  <si>
    <t>BLAST FURNACE AND BASIC STEEL PRODUCTS</t>
  </si>
  <si>
    <t>PRIMARY METAL INDUSTRIES</t>
  </si>
  <si>
    <t>BLAST FURNACES AND STEEL MILLS</t>
  </si>
  <si>
    <t>ELECTROMETALLURGICAL PRODUCTS</t>
  </si>
  <si>
    <t>STEEL WIRE AND RELATED PRODUCTS</t>
  </si>
  <si>
    <t>COLD FINISHING OF STEEL SHAPES</t>
  </si>
  <si>
    <t>STEEL PIPE AND TUBES</t>
  </si>
  <si>
    <t>IRON AND STEEL FOUNDRIES</t>
  </si>
  <si>
    <t>GRAY AND DUCTILE IRON FOUNDRIES</t>
  </si>
  <si>
    <t>MALLEABLE IRON FOUNDRIES</t>
  </si>
  <si>
    <t>STEEL INVESTMENT FOUNDRIES</t>
  </si>
  <si>
    <t>STEEL FOUNDRIES, NEC</t>
  </si>
  <si>
    <t>PRIMARY NONFERROUS METALS</t>
  </si>
  <si>
    <t>PRIMARY COPPER</t>
  </si>
  <si>
    <t>PRIMARY ALUMINUM</t>
  </si>
  <si>
    <t>PRIMARY NONFERROUS METALS, NEC</t>
  </si>
  <si>
    <t>SECONDARY NONFERROUS METALS</t>
  </si>
  <si>
    <t>NONFERROUS ROLLING AND DRAWING</t>
  </si>
  <si>
    <t>COPPER ROLLING AND DRAWING</t>
  </si>
  <si>
    <t>ALUMINUM SHEET, PLATE, AND FOIL</t>
  </si>
  <si>
    <t>ALUMINUM EXTRUDED PRODUCTS</t>
  </si>
  <si>
    <t>ALUMINUM ROLLING AND DRAWING, NEC</t>
  </si>
  <si>
    <t>NONFERROUS ROLLING AND DRAWING, NEC</t>
  </si>
  <si>
    <t>NONFERROUS WIREDRAWING AND INSULATING</t>
  </si>
  <si>
    <t>NONFERROUS FOUNDRIES (CASTINGS)</t>
  </si>
  <si>
    <t>ALUMINUM DIE-CASTINGS</t>
  </si>
  <si>
    <t>NONFERROUS DIE-CASTINGS EXCEPT ALUMINUM</t>
  </si>
  <si>
    <t>ALUMINUM FOUNDRIES</t>
  </si>
  <si>
    <t>COPPER FOUNDRIES</t>
  </si>
  <si>
    <t>NONFERROUS FOUNDRIES, NEC</t>
  </si>
  <si>
    <t>MISCELLANEOUS PRIMARY METAL PRODUCTS</t>
  </si>
  <si>
    <t>METAL HEAT TREATING</t>
  </si>
  <si>
    <t>PRIMARY METAL PRODUCTS</t>
  </si>
  <si>
    <t>METAL CANS</t>
  </si>
  <si>
    <t>METAL CANS AND SHIPPING CONTAINERS</t>
  </si>
  <si>
    <t>FABRICATED METAL PRODUCTS</t>
  </si>
  <si>
    <t>METAL BARRELS, DRUMS, AND PAILS</t>
  </si>
  <si>
    <t>CUTLERY, HANDTOOLS, AND HARDWARE</t>
  </si>
  <si>
    <t>CUTLERY</t>
  </si>
  <si>
    <t>HAND AND EDGE TOOLS, NEC</t>
  </si>
  <si>
    <t>SAW BLADES AND HANDSAWS</t>
  </si>
  <si>
    <t>HARDWARE, NEC</t>
  </si>
  <si>
    <t>PLUMBING AND HEATING, EXCEPT ELECTRIC</t>
  </si>
  <si>
    <t>METAL SANITARY WARE</t>
  </si>
  <si>
    <t>PLUMBING FIXTURE FITTINGS AND TRIM</t>
  </si>
  <si>
    <t>HEATING EQUIPMENT, EXCEPT ELECTRIC</t>
  </si>
  <si>
    <t>FABRICATED STRUCTURAL METAL PRODUCTS</t>
  </si>
  <si>
    <t>FABRICATED STRUCTURAL METAL</t>
  </si>
  <si>
    <t>METAL DOORS, SASH, AND TRIM</t>
  </si>
  <si>
    <t>FABRICATED PLATE WORK (BOILER SHOP)</t>
  </si>
  <si>
    <t>SHEET METALWORK</t>
  </si>
  <si>
    <t>ARCHITECTURAL METALWORK</t>
  </si>
  <si>
    <t>PREFABRICATED METAL BUILDINGS</t>
  </si>
  <si>
    <t>MISCELLANEOUS METALWORK</t>
  </si>
  <si>
    <t>SCREW MACHINE PRODUCTS</t>
  </si>
  <si>
    <t>SCREW MACHINE PRODUCTS, BOLTS, ETC.</t>
  </si>
  <si>
    <t>BOLTS, NUTS, RIVETS, AND WASHERS</t>
  </si>
  <si>
    <t>METAL FORGINGS AND STAMPINGS</t>
  </si>
  <si>
    <t>IRON AND STEEL FORGINGS</t>
  </si>
  <si>
    <t>NONFERROUS FORGINGS</t>
  </si>
  <si>
    <t>AUTOMOTIVE STAMPINGS</t>
  </si>
  <si>
    <t>CROWNS AND CLOSURES</t>
  </si>
  <si>
    <t>METAL STAMPINGS, NEC</t>
  </si>
  <si>
    <t>METAL SERVICES, N.E.C.</t>
  </si>
  <si>
    <t>PLATING AND POLISHING</t>
  </si>
  <si>
    <t>METAL COATING AND ALLIED SERVICES</t>
  </si>
  <si>
    <t>ORDNANCE AND ACCESSORIES, N.E.C.</t>
  </si>
  <si>
    <t>SMALL ARMS AMMUNITION</t>
  </si>
  <si>
    <t>AMMUNITION, EXCEPT FOR SMALL ARMS, NEC</t>
  </si>
  <si>
    <t>SMALL ARMS</t>
  </si>
  <si>
    <t>ORDNANCE AND ACCESSORIES, NEC</t>
  </si>
  <si>
    <t>MISCELLANEOUS FABRICATED METAL PRODUCTS</t>
  </si>
  <si>
    <t>INDUSTRIAL VALVES</t>
  </si>
  <si>
    <t>FLUID POWER VALVES AND HOSE FITTINGS</t>
  </si>
  <si>
    <t>STEEL SPRINGS, EXCEPT WIRE</t>
  </si>
  <si>
    <t>VALVES AND PIPE FITTINGS, NEC</t>
  </si>
  <si>
    <t>WIRE SPRINGS</t>
  </si>
  <si>
    <t>MISCELLANEOUS FABRICATED WIRE PRODUCTS</t>
  </si>
  <si>
    <t>METAL FOIL AND LEAF</t>
  </si>
  <si>
    <t>FABRICATED PIPE AND FITTINGS</t>
  </si>
  <si>
    <t>FABRICATED METAL PRODUCTS, NEC</t>
  </si>
  <si>
    <t>ENGINES AND TURBINES</t>
  </si>
  <si>
    <t>INDUSTRIAL MACHINERY AND EQUIPMENT</t>
  </si>
  <si>
    <t>TURBINES AND TURBINE GENERATOR SETS</t>
  </si>
  <si>
    <t>INTERNAL COMBUSTION ENGINES, NEC</t>
  </si>
  <si>
    <t>FARM MACHINERY AND EQUIPMENT</t>
  </si>
  <si>
    <t>FARM AND GARDEN MACHINERY</t>
  </si>
  <si>
    <t>LAWN AND GARDEN EQUIPMENT</t>
  </si>
  <si>
    <t>CONSTRUCTION AND RELATED MACHINERY</t>
  </si>
  <si>
    <t>CONSTRUCTION MACHINERY</t>
  </si>
  <si>
    <t>MINING MACHINERY</t>
  </si>
  <si>
    <t>OIL AND GAS FIELD MACHINERY</t>
  </si>
  <si>
    <t>ELEVATORS AND MOVING STAIRWAYS</t>
  </si>
  <si>
    <t>CONVEYORS AND CONVEYING EQUIPMENT</t>
  </si>
  <si>
    <t>HOISTS, CRANES, AND MONORAILS</t>
  </si>
  <si>
    <t>INDUSTRIAL TRUCKS AND TRACTORS</t>
  </si>
  <si>
    <t>METALWORKING MACHINERY</t>
  </si>
  <si>
    <t>MACHINE TOOLS, METAL CUTTING TYPE</t>
  </si>
  <si>
    <t>MACHINE TOOLS, METAL FORMING TYPE</t>
  </si>
  <si>
    <t>INDUSTRIAL PATTERNS</t>
  </si>
  <si>
    <t>SPECIAL DIES, TOOLS, JIGS, AND FIXTURES</t>
  </si>
  <si>
    <t>MACHINE TOOL ACCESSORIES</t>
  </si>
  <si>
    <t>POWER-DRIVEN HANDTOOLS</t>
  </si>
  <si>
    <t>ROLLING MILL MACHINERY</t>
  </si>
  <si>
    <t>WELDING APPARATUS</t>
  </si>
  <si>
    <t>METALWORKING MACHINERY, NEC</t>
  </si>
  <si>
    <t>SPECIAL INDUSTRY MACHINERY</t>
  </si>
  <si>
    <t>TEXTILE MACHINERY</t>
  </si>
  <si>
    <t>WOODWORKING MACHINERY</t>
  </si>
  <si>
    <t>PAPER INDUSTRIES MACHINERY</t>
  </si>
  <si>
    <t>PRINTING TRADES MACHINERY</t>
  </si>
  <si>
    <t>FOOD PRODUCTS MACHINERY</t>
  </si>
  <si>
    <t>SPECIAL INDUSTRY MACHINERY, NEC</t>
  </si>
  <si>
    <t>GENERAL INDUSTRIAL MACHINERY</t>
  </si>
  <si>
    <t>PUMPS AND PUMPING EQUIPMENT</t>
  </si>
  <si>
    <t>BALL AND ROLLER BEARINGS</t>
  </si>
  <si>
    <t>AIR AND GAS COMPRESSORS</t>
  </si>
  <si>
    <t>BLOWERS AND FANS</t>
  </si>
  <si>
    <t>PACKAGING MACHINERY</t>
  </si>
  <si>
    <t>SPEED CHANGERS, DRIVES, AND GEARS</t>
  </si>
  <si>
    <t>INDUSTRIAL FURNACES AND OVENS</t>
  </si>
  <si>
    <t>POWER TRANSMISSION EQUIPMENT, NEC</t>
  </si>
  <si>
    <t>GENERAL INDUSTRIAL MACHINERY,</t>
  </si>
  <si>
    <t>COMPUTER AND OFFICE EQUIPMENT</t>
  </si>
  <si>
    <t>ELECTRONIC COMPUTERS</t>
  </si>
  <si>
    <t>COMPUTER STORAGE DEVICES</t>
  </si>
  <si>
    <t>COMPUTER TERMINALS</t>
  </si>
  <si>
    <t>COMPUTER COMMUNICATIONS EQUIPMENT</t>
  </si>
  <si>
    <t>COMPUTER PERIPHERAL EQUIPMENT, NEC</t>
  </si>
  <si>
    <t>CALCULATING AND ACCOUNTING EQUIPMENT</t>
  </si>
  <si>
    <t>OFFICE MACHINES, NEC</t>
  </si>
  <si>
    <t>REFRIGERATION AND SERVICE MACHINERY</t>
  </si>
  <si>
    <t>AUTOMATIC VENDING MACHINES</t>
  </si>
  <si>
    <t>COMMERCIAL LAUNDRY EQUIPMENT</t>
  </si>
  <si>
    <t>REFRIGERATION AND HEATING EQUIPMENT</t>
  </si>
  <si>
    <t>MEASURING AND DISPENSING PUMPS</t>
  </si>
  <si>
    <t>SERVICE INDUSTRY MACHINERY, NEC</t>
  </si>
  <si>
    <t>INDUSTRIAL MACHINERY, N.E.C.</t>
  </si>
  <si>
    <t>CARBURETORS, PISTONS, RINGS, VALVES</t>
  </si>
  <si>
    <t>FLUID POWER CYLINDERS AND ACTUATORS</t>
  </si>
  <si>
    <t>FLUID POWER PUMPS AND MOTORS</t>
  </si>
  <si>
    <t>SCALES AND BALANCES, EXCEPT LABORATORY</t>
  </si>
  <si>
    <t>INDUSTRIAL MACHINERY, NEC</t>
  </si>
  <si>
    <t>ELECTRONIC &amp; OTHER ELECTRIC EQUIPMENT</t>
  </si>
  <si>
    <t>TRANSFORMERS, EXCEPT ELECTRIC</t>
  </si>
  <si>
    <t>ELECTRIC DISTRIBUTION EQUIPMENT</t>
  </si>
  <si>
    <t>SWITCHGEAR AND SWITCHBOARD APPARATUS</t>
  </si>
  <si>
    <t>ELECTRICAL INDUSTRIAL APPARATUS</t>
  </si>
  <si>
    <t>MOTORS AND GENERATORS</t>
  </si>
  <si>
    <t>CARBON AND GRAPHITE PRODUCTS</t>
  </si>
  <si>
    <t>RELAYS AND INDUSTRIAL CONTROLS</t>
  </si>
  <si>
    <t>HOUSEHOLD APPLIANCES</t>
  </si>
  <si>
    <t>HOUSEHOLD COOKING EQUIPMENT</t>
  </si>
  <si>
    <t>HOUSEHOLD REFRIGERATORS AND FREEZERS</t>
  </si>
  <si>
    <t>HOUSEHOLD LAUNDRY EQUIPMENT</t>
  </si>
  <si>
    <t>ELECTRIC HOUSEWARES AND FANS</t>
  </si>
  <si>
    <t>HOUSEHOLD VACUUM CLEANERS</t>
  </si>
  <si>
    <t>HOUSEHOLD APPLIANCES, NEC</t>
  </si>
  <si>
    <t>ELECTRIC LIGHTING AND WIRING EQUIPMENT</t>
  </si>
  <si>
    <t>ELECTRIC LAMPS</t>
  </si>
  <si>
    <t>CURRENT-CARRYING WIRING DEVICES</t>
  </si>
  <si>
    <t>NONCURRENT-CARRYING WIRING DEVICES</t>
  </si>
  <si>
    <t>RESIDENTIAL LIGHTING FIXTURES</t>
  </si>
  <si>
    <t>COMMERCIAL LIGHTING FIXTURES</t>
  </si>
  <si>
    <t>VEHICULAR LIGHTING EQUIPMENT</t>
  </si>
  <si>
    <t>LIGHTING EQUIPMENT, NEC</t>
  </si>
  <si>
    <t>HOUSEHOLD AUDIO AND VIDEO EQUIPMENT</t>
  </si>
  <si>
    <t>PRERECORDED RECORDS AND TAPES</t>
  </si>
  <si>
    <t>TELEPHONE AND TELEGRAPH APPARATUS</t>
  </si>
  <si>
    <t>COMMUNICATIONS EQUIPMENT</t>
  </si>
  <si>
    <t>RADIO AND T.V. COMMUNICATIONS EQUIPMENT</t>
  </si>
  <si>
    <t>COMMUNICATIONS EQUIPMENT, NEC</t>
  </si>
  <si>
    <t>ELECTRONIC COMPONENTS AND ACCESSORIES</t>
  </si>
  <si>
    <t>ELECTRON TUBES</t>
  </si>
  <si>
    <t>PRINTED CIRCUIT BOARDS</t>
  </si>
  <si>
    <t>ELECTRONIC CAPACITORS</t>
  </si>
  <si>
    <t>ELECTRONIC RESISTORS</t>
  </si>
  <si>
    <t>ELECTRONIC COILS AND TRANSFORMERS</t>
  </si>
  <si>
    <t>ELECTRONIC CONNECTORS</t>
  </si>
  <si>
    <t>ELECTRONIC COMPONENTS, NEC</t>
  </si>
  <si>
    <t>MISC. ELECTRICAL EQUIPMENT &amp; SUPPLIES</t>
  </si>
  <si>
    <t>STORAGE BATTERIES</t>
  </si>
  <si>
    <t>PRIMARY BATTERIES, DRY AND WET</t>
  </si>
  <si>
    <t>ENGINE ELECTRICAL EQUIPMENT</t>
  </si>
  <si>
    <t>MAGNETIC AND OPTICAL RECORDING MEDIA</t>
  </si>
  <si>
    <t>ELECTRICAL EQUIPMENT AND SUPPLIES, NEC</t>
  </si>
  <si>
    <t>MOTOR VEHICLES AND CAR BODIES</t>
  </si>
  <si>
    <t>MOTOR VEHICLES AND EQUIPMENT</t>
  </si>
  <si>
    <t>TRANSPORTATION EQUIPMENT</t>
  </si>
  <si>
    <t>TRUCK AND BUS BODIES</t>
  </si>
  <si>
    <t>MOTOR VEHICLE PARTS AND ACCESSORIES</t>
  </si>
  <si>
    <t>TRUCK TRAILERS</t>
  </si>
  <si>
    <t>MOTOR HOMES</t>
  </si>
  <si>
    <t>AIRCRAFT AND PARTS</t>
  </si>
  <si>
    <t>AIRCRAFT</t>
  </si>
  <si>
    <t>AIRCRAFT ENGINES AND ENGINE PARTS</t>
  </si>
  <si>
    <t>AIRCRAFT PARTS AND EQUIPMENT, NEC</t>
  </si>
  <si>
    <t>SHIP AND BOAT BUILDING AND REPAIRING</t>
  </si>
  <si>
    <t>SHIPBUILDING AND REPAIRING</t>
  </si>
  <si>
    <t>BOATBUILDING AND REPAIRING</t>
  </si>
  <si>
    <t>RAILROAD EQUIPMENT</t>
  </si>
  <si>
    <t>MOTORCYCLES, BICYCLES, AND PARTS</t>
  </si>
  <si>
    <t>GUIDED MISSILES, SPACE VEHICLES, PARTS</t>
  </si>
  <si>
    <t>GUIDED MISSILES AND SPACE VEHICLES</t>
  </si>
  <si>
    <t>SPACE PROPULSION UNITS AND PARTS</t>
  </si>
  <si>
    <t>SPACE VEHICLE EQUIPMENT, NEC</t>
  </si>
  <si>
    <t>MISCELLANEOUS TRANSPORTATION EQUIPMENT</t>
  </si>
  <si>
    <t>TRAVEL TRAILERS AND CAMPERS</t>
  </si>
  <si>
    <t>TANKS AND TANK COMPONENTS</t>
  </si>
  <si>
    <t>TRANSPORTATION EQUIPMENT, NEC</t>
  </si>
  <si>
    <t>SEARCH AND NAVIGATION EQUIPMENT</t>
  </si>
  <si>
    <t>INSTRUMENTS AND RELATED PRODUCTS</t>
  </si>
  <si>
    <t>LABORATORY APPARATUS AND FURNITURE</t>
  </si>
  <si>
    <t>MEASURING AND CONTROLLING DEVICES</t>
  </si>
  <si>
    <t>ENVIRONMENTAL CONTROLS</t>
  </si>
  <si>
    <t>PROCESS CONTROL INSTRUMENTS</t>
  </si>
  <si>
    <t>FLUID METERS AND COUNTING DEVICES</t>
  </si>
  <si>
    <t>INSTRUMENTS TO MEASURE ELECTRICITY</t>
  </si>
  <si>
    <t>ANALYTICAL INSTRUMENTS</t>
  </si>
  <si>
    <t>OPTICAL INSTRUMENTS AND LENSES</t>
  </si>
  <si>
    <t>MEASURING AND CONTROLLING DEVICES, NEC</t>
  </si>
  <si>
    <t>SURGICAL AND MEDICAL INSTRUMENTS</t>
  </si>
  <si>
    <t>MEDICAL INSTRUMENTS AND SUPPLIES</t>
  </si>
  <si>
    <t>SURGICAL APPLIANCES AND SUPPLIES</t>
  </si>
  <si>
    <t>DENTAL EQUIPMENT AND SUPPLIES</t>
  </si>
  <si>
    <t>X-RAY APPARATUS AND TUBES</t>
  </si>
  <si>
    <t>ELECTROMEDICAL EQUIPMENT</t>
  </si>
  <si>
    <t>OPHTHALMIC GOODS</t>
  </si>
  <si>
    <t>OPTHALMIC GOODS</t>
  </si>
  <si>
    <t>PHOTOGRAPHIC EQUIPMENT AND SUPPLIES</t>
  </si>
  <si>
    <t>WATCHES, CLOCKS, WATCHCASES, AND PARTS</t>
  </si>
  <si>
    <t>WATCHES, CLOCKS, WATCHCASES &amp; PARTS</t>
  </si>
  <si>
    <t>JEWELRY, SILVERWARE, AND PLATED WARE</t>
  </si>
  <si>
    <t>MISCELLANEOUS MANUFACTURING INDUSTRIES</t>
  </si>
  <si>
    <t>JEWELRY, PRECIOUS METAL</t>
  </si>
  <si>
    <t>SILVERWARE AND PLATED WARE</t>
  </si>
  <si>
    <t>JEWELERS' MATERIALS AND LAPIDARY WORK</t>
  </si>
  <si>
    <t>MUSICAL INSTRUMENTS</t>
  </si>
  <si>
    <t>DOLLS AND STUFFED TOYS</t>
  </si>
  <si>
    <t>TOS\YS AND SPORTING GOODS</t>
  </si>
  <si>
    <t>GAMES, TOYS, AND CHILDREN'S VEHICLES</t>
  </si>
  <si>
    <t>SPORTING AND ATHLETIC GOODS, NEC</t>
  </si>
  <si>
    <t>PENS, PENCILS, OFFICE &amp; ART SUPPLIES</t>
  </si>
  <si>
    <t>PENS AND MECHANICAL PENCILS</t>
  </si>
  <si>
    <t>LEAD PENCILS AND ART GOODS</t>
  </si>
  <si>
    <t>MARKING DEVICES</t>
  </si>
  <si>
    <t>CARBON PAPER AND INKED RIBBONS</t>
  </si>
  <si>
    <t>COSTUME JEWELRY AND NOTIONS</t>
  </si>
  <si>
    <t>COSTUME JEWELRY</t>
  </si>
  <si>
    <t>FASTENERS, BUTTONS, NEEDLES, AND PINS</t>
  </si>
  <si>
    <t>MISCELLANEOUS MANUFACTURERS</t>
  </si>
  <si>
    <t>BROOMS AND BRUSHES</t>
  </si>
  <si>
    <t>SIGNS AND ADVERTISING SPECIALTIES</t>
  </si>
  <si>
    <t>BURIAL CASKETS</t>
  </si>
  <si>
    <t>HARD SURFACE FLOOR COVERINGS, NEC</t>
  </si>
  <si>
    <t>MANUFACTURING INDUSTRIES, NEC</t>
  </si>
  <si>
    <t>RAILROADS, LINE-HAUL OPERATING</t>
  </si>
  <si>
    <t>RAILROADS</t>
  </si>
  <si>
    <t>RAILROAD TRANSPORTATION</t>
  </si>
  <si>
    <t>TRANSPORTATION AND PUBLIC UTILITIES</t>
  </si>
  <si>
    <t>SWITCHING AND TERMINAL SERVICES</t>
  </si>
  <si>
    <t>LOCAL AND INTERURBAN PASSENGER TRANSIT</t>
  </si>
  <si>
    <t>LOCAL AND SUBURBAN TRANSIT</t>
  </si>
  <si>
    <t>LOCAL AND SUBURBAN TRANSPORTATION</t>
  </si>
  <si>
    <t>LOCAL PASSENGER TRANSPORTATION, NEC</t>
  </si>
  <si>
    <t>TAXICABS</t>
  </si>
  <si>
    <t>INTERCITY AND RURAL BUS TRANSPORTATION</t>
  </si>
  <si>
    <t>LOCAL BUS CHARTER SERVICE</t>
  </si>
  <si>
    <t>BUS CHARTER SERVICE</t>
  </si>
  <si>
    <t>BUS CHARTER SERVICE, EXCEPT LOCAL</t>
  </si>
  <si>
    <t>SCHOOL BUSES</t>
  </si>
  <si>
    <t>BUS TERMINAL AND SERVICE FACILITIES</t>
  </si>
  <si>
    <t>TRUCKING &amp; COURIER SERVICES, EXCEPT AIR</t>
  </si>
  <si>
    <t>TRUCKING AND WAREHOUSING</t>
  </si>
  <si>
    <t>LOCAL TRUCKING, WITHOUT STORAGE</t>
  </si>
  <si>
    <t>TRUCKING, EXCEPT LOCAL</t>
  </si>
  <si>
    <t>LOCAL TRUCKING WITH STORAGE</t>
  </si>
  <si>
    <t>COURIER SERVICES, EXCEPT BY AIR</t>
  </si>
  <si>
    <t>PUBLIC WAREHOUSING AND STORAGE</t>
  </si>
  <si>
    <t>FARM PRODUCT WAREHOUSING AND STORAGE</t>
  </si>
  <si>
    <t>REFRIGERATED WAREHOUSING AND STORAGE</t>
  </si>
  <si>
    <t>GENERAL WAREHOUSING AND STORAGE</t>
  </si>
  <si>
    <t>SPECIAL WAREHOUSING AND STORAGE, NEC</t>
  </si>
  <si>
    <t>TRUCKING TERMINAL FACILITIES</t>
  </si>
  <si>
    <t>U.S. POSTAL SERVICE</t>
  </si>
  <si>
    <t>WATER TRANSPORTATION</t>
  </si>
  <si>
    <t>DEEP SEA FOREIGN TRANSPORTATION OF FREIGHT</t>
  </si>
  <si>
    <t>DEEP SEA FOREIGN TRANS. OF FREIGHT</t>
  </si>
  <si>
    <t>DEEP SEA DOMESTIC TRANSPORTATION OF FREIGHT</t>
  </si>
  <si>
    <t>DEEP SEA DOMESTIC TRANS. OF FREIGHT</t>
  </si>
  <si>
    <t>FREIGHT TRANSPORTATION ON THE GREAT LAKES</t>
  </si>
  <si>
    <t>FREIGHT TRANS. ON THE GREAT LAKES</t>
  </si>
  <si>
    <t>WATER TRANSPORTATION OF FREIGHT</t>
  </si>
  <si>
    <t>WATER TRANSPORTATION OF FREIGHT, N.E.C.</t>
  </si>
  <si>
    <t>DEEP SEA PASSENGER TRANSPORTATION, EXCEPT FERRY</t>
  </si>
  <si>
    <t>WATER TRANSPORTATION OF PASSENGERS</t>
  </si>
  <si>
    <t>FERRIES</t>
  </si>
  <si>
    <t>WATER PASSENGER TRANSPORTATION</t>
  </si>
  <si>
    <t>MARINE CARGO HANDLING</t>
  </si>
  <si>
    <t>WATER TRANSPORTATION SERVICES</t>
  </si>
  <si>
    <t>TOWING AND TUGBOAT SERVICE</t>
  </si>
  <si>
    <t>MARINAS</t>
  </si>
  <si>
    <t>WATER TRANSPORTATION SERVICES, NEC</t>
  </si>
  <si>
    <t>AIR TRANSPORTATION, SCHEDULED</t>
  </si>
  <si>
    <t>TRANSPORTATION BY AIR</t>
  </si>
  <si>
    <t>AIR COURIER SERVICES</t>
  </si>
  <si>
    <t>AIR TRANSPORTATION, NONSCHEDULED</t>
  </si>
  <si>
    <t>AIR TRANSPORTATION, NON-SCHEDULED</t>
  </si>
  <si>
    <t>AIRPORTS, FLYING FIELDS, AND SERVICES</t>
  </si>
  <si>
    <t>AIRPORTS, FLYING FIELDS, &amp; SERVICES</t>
  </si>
  <si>
    <t>PIPELINES, EXCEPT NATURAL GAS</t>
  </si>
  <si>
    <t>CRUDE PETROLEUM PIPELINES</t>
  </si>
  <si>
    <t>REFINED PETROLEUM PIPELINES</t>
  </si>
  <si>
    <t>PIPELINES, NEC</t>
  </si>
  <si>
    <t>TRANSPORTATION SERVICES</t>
  </si>
  <si>
    <t>TRAVEL AGENCIES</t>
  </si>
  <si>
    <t>PASSENGER TRANSPORTATION ARRANGEMENT</t>
  </si>
  <si>
    <t>TOUR OPERATORS</t>
  </si>
  <si>
    <t>FREIGHT TRANSPORTATION ARRANGEMENT</t>
  </si>
  <si>
    <t>RENTAL OF RAILROAD CARS</t>
  </si>
  <si>
    <t>PACKING AND CRATING</t>
  </si>
  <si>
    <t>MISCELLANEOUS TRANSPORTATION SERVICES</t>
  </si>
  <si>
    <t>INSPECTION AND FIXED FACILITIES</t>
  </si>
  <si>
    <t>TRANSPORTATION SERVICES, NEC</t>
  </si>
  <si>
    <t>RADIOTELEPHONE COMMUNICATION</t>
  </si>
  <si>
    <t>TELEPHONE COMMUNICATION</t>
  </si>
  <si>
    <t>COMMUNICATION</t>
  </si>
  <si>
    <t>TELEPHONE COMMUNICATION, EXCEPT RADIO</t>
  </si>
  <si>
    <t>TELEGRAPH AND OTHER COMMUNICATIONS</t>
  </si>
  <si>
    <t>TELEGRAPH &amp; OTHER COMMUNICATIONS</t>
  </si>
  <si>
    <t>RADIO BROADCASTING STATIONS</t>
  </si>
  <si>
    <t>RADIO AND TELEVISION BROADCASTING</t>
  </si>
  <si>
    <t>TELEVISION BROADCASTING STATIONS</t>
  </si>
  <si>
    <t>CABLE AND OTHER PAY TELEVISION SERVICES</t>
  </si>
  <si>
    <t>CABLE AND OTHER PAY TV SERVICES</t>
  </si>
  <si>
    <t>COMMUNICATION SERVICES, NEC</t>
  </si>
  <si>
    <t>COMMUNICATION SERVICES, N.E.C.</t>
  </si>
  <si>
    <t>ELECTRIC SERVICES</t>
  </si>
  <si>
    <t>ELECTRIC, GAS, AND SANITARY SERVICES</t>
  </si>
  <si>
    <t>NATURAL GAS TRANSMISSION</t>
  </si>
  <si>
    <t>GAS PRODUCTION AND DISTRIBUTION</t>
  </si>
  <si>
    <t>GAS TRANSMISSION AND DISTRIBUTION</t>
  </si>
  <si>
    <t>NATURAL GAS DISTRIBUTION</t>
  </si>
  <si>
    <t>GAS PRODUCTION AND/OR DISTRIBUTION</t>
  </si>
  <si>
    <t>ELECTRIC AND OTHER SERVICES COMBINED</t>
  </si>
  <si>
    <t>COMBINATION UTILITY SERVICES</t>
  </si>
  <si>
    <t>GAS AND OTHER SERVICES COMBINED</t>
  </si>
  <si>
    <t>COMBINATION UTILITIES, NEC</t>
  </si>
  <si>
    <t>WATER SUPPLY</t>
  </si>
  <si>
    <t>SANITARY SERVICES</t>
  </si>
  <si>
    <t>SEWERAGE SYSTEMS</t>
  </si>
  <si>
    <t>REFUSE SYSTEMS</t>
  </si>
  <si>
    <t>HAZARDOUS WASTE MANAGEMENT</t>
  </si>
  <si>
    <t>SANITARY SERVICES, NEC</t>
  </si>
  <si>
    <t>STEAM AND AIR-CONDITIONING SUPPLY</t>
  </si>
  <si>
    <t>IRRIGATION SYSTEMS</t>
  </si>
  <si>
    <t>COGENERATION SVCS &amp; SMALL POWER PRODUCER</t>
  </si>
  <si>
    <t>WHOLESALE TRADE</t>
  </si>
  <si>
    <t>MOTOR VEHICLES, PARTS, AND SUPPLIES</t>
  </si>
  <si>
    <t>WHOLESALE TRADE - DURABLE GOODS</t>
  </si>
  <si>
    <t>AUTOMOBILES AND OTHER MOTOR VEHICLES</t>
  </si>
  <si>
    <t>MOTOR VEHICLE SUPPLIES AND NEW PARTS</t>
  </si>
  <si>
    <t>TIRES AND TUBES</t>
  </si>
  <si>
    <t>MOTOR VEHICLE PARTS, USED</t>
  </si>
  <si>
    <t>FURNITURE AND HOMEFURNISHINGS</t>
  </si>
  <si>
    <t>FURNITURE</t>
  </si>
  <si>
    <t>HOMEFURNISHINGS</t>
  </si>
  <si>
    <t>LUMBER AND CONSTRUCTION MATERIALS</t>
  </si>
  <si>
    <t>LUMBER, PLYWOOD, AND MILLWORK</t>
  </si>
  <si>
    <t>BRICK, STONE, AND RELATED MATERIAL</t>
  </si>
  <si>
    <t>ROOFING, SIDING, AND INSULATION</t>
  </si>
  <si>
    <t>CONSTRUCTION MATERIALS, NEC</t>
  </si>
  <si>
    <t>PROFESSIONAL &amp; COMMERCIAL EQUIPMENT</t>
  </si>
  <si>
    <t>OFFICE EQUIPMENT</t>
  </si>
  <si>
    <t>COMPUTERS, PERIPHERALS, AND SOFTWARE</t>
  </si>
  <si>
    <t>COMMERCIAL EQUIPMENT, NEC</t>
  </si>
  <si>
    <t>MEDICAL AND HOSPITAL EQUIPMENT</t>
  </si>
  <si>
    <t>PROFESSIONAL EQUIPMENT, NEC</t>
  </si>
  <si>
    <t>METALS SERVICE CENTERS AND OFFICES</t>
  </si>
  <si>
    <t>METALS AND MINERALS, EXCEPT PETROLEUM</t>
  </si>
  <si>
    <t>COAL AND OTHER MINERALS AND ORES</t>
  </si>
  <si>
    <t>ELECTRICAL APPARATUS AND EQUIPMENT</t>
  </si>
  <si>
    <t>ELECTRICAL GOODS</t>
  </si>
  <si>
    <t>ELECTRICAL APPLIANCES, TELEVISION AND RADIO</t>
  </si>
  <si>
    <t>ELECTRONIC PARTS AND EQUIPMENT, NEC</t>
  </si>
  <si>
    <t>HARDWARE, PLUMBING &amp; HEATING EQUIPMENT</t>
  </si>
  <si>
    <t>HARDWARE</t>
  </si>
  <si>
    <t>PLUMBING AND HYDRONIC HEATING SUPPLIES</t>
  </si>
  <si>
    <t>WARM AIR HEATING AND AIR CONDITIONING</t>
  </si>
  <si>
    <t>REFRIGERATION EQUIPMENT AND SUPPLIES</t>
  </si>
  <si>
    <t>MACHINERY, EQUIPMENT, AND SUPPLIES</t>
  </si>
  <si>
    <t>CONSTRUCTION AND MINING MACHINERY</t>
  </si>
  <si>
    <t>INDUSTRIAL SUPPLIES</t>
  </si>
  <si>
    <t>SERVICE ESTABLISHMENT EQUIPMENT</t>
  </si>
  <si>
    <t>TRANSPORTATION EQUIPMENT AND SUPPLIES</t>
  </si>
  <si>
    <t>MISCELLANEOUS DURABLE GOODS</t>
  </si>
  <si>
    <t>SPORTING AND RECREATION GOODS</t>
  </si>
  <si>
    <t>TOYS AND HOBBY GOODS AND SUPPLIES</t>
  </si>
  <si>
    <t>SCRAP AND WASTE MATERIALS</t>
  </si>
  <si>
    <t>JEWELRY AND PRECIOUS STONES</t>
  </si>
  <si>
    <t>DURABLE GOODS, NEC</t>
  </si>
  <si>
    <t>PAPER AND PAPER PRODUCTS</t>
  </si>
  <si>
    <t>WHOLESALE TRADE - NON-DURABLE GOODS</t>
  </si>
  <si>
    <t>PRINTING AND WRITING PAPER</t>
  </si>
  <si>
    <t>STATIONERY AND OFFICE SUPPLIES</t>
  </si>
  <si>
    <t>INDUSTRIAL AND PERSONAL SERVICE PAPER</t>
  </si>
  <si>
    <t>DRUGS, PROPRIETARIES, AND SUNDRIES</t>
  </si>
  <si>
    <t>APPAREL, PIECE GOODS, AND NOTIONS</t>
  </si>
  <si>
    <t>PIECE GOODS AND NOTIONS</t>
  </si>
  <si>
    <t>MEN'S AND BOY'S CLOTHING</t>
  </si>
  <si>
    <t>WOMEN'S AND CHILDREN'S CLOTHING</t>
  </si>
  <si>
    <t>FOOTWEAR</t>
  </si>
  <si>
    <t>GROCERIES AND RELATED PRODUCTS</t>
  </si>
  <si>
    <t>GROCERIES, GENERAL LINE</t>
  </si>
  <si>
    <t>PACKAGED FROZEN GOODS</t>
  </si>
  <si>
    <t>DAIRY PRODUCTS, EXCEPT DRIED OR CANNED</t>
  </si>
  <si>
    <t>POULTRY AND POULTRY PRODUCTS</t>
  </si>
  <si>
    <t>CONFECTIONERY</t>
  </si>
  <si>
    <t>FISH AND SEAFOODS</t>
  </si>
  <si>
    <t>MEATS AND MEAT PRODUCTS</t>
  </si>
  <si>
    <t>FRESH FRUITS AND VEGETABLES</t>
  </si>
  <si>
    <t>GROCERIES AND RELATED PRODUCTS, NEC</t>
  </si>
  <si>
    <t>FARM-PRODUCT RAW MATERIALS</t>
  </si>
  <si>
    <t>GRAIN AND FIELD BEANS</t>
  </si>
  <si>
    <t>LIVESTOCK</t>
  </si>
  <si>
    <t>FARM-PRODUCT RAW MATERIALS, NEC</t>
  </si>
  <si>
    <t>CHEMICALS &amp; ALLIED PRODUCTS</t>
  </si>
  <si>
    <t>PLASTICS MATERIALS AND BASIC SHAPES</t>
  </si>
  <si>
    <t>CHEMICALS AND ALLIED PRODUCTS, NEC</t>
  </si>
  <si>
    <t>PETROLEUM BULK STATIONS AND TERMINALS</t>
  </si>
  <si>
    <t>PETROLEUM AND PETROLEUM PRODUCTS</t>
  </si>
  <si>
    <t>PETROLEUM PRODUCTS, NEC</t>
  </si>
  <si>
    <t>BEER, WINE, AND DISTILLED BEVERAGES</t>
  </si>
  <si>
    <t>BEER AND ALE</t>
  </si>
  <si>
    <t>WINE AND DISTILLED BEVERAGES</t>
  </si>
  <si>
    <t>MISCELLANEOUS NONDURABLE GOODS</t>
  </si>
  <si>
    <t>FARM SUPPLIES</t>
  </si>
  <si>
    <t>BOOKS, PERIODICALS, AND NEWSPAPERS</t>
  </si>
  <si>
    <t>FLOWERS AND FLORISTS SUPPLIES</t>
  </si>
  <si>
    <t>TOBACCO AND TOBACCO PRODUCTS</t>
  </si>
  <si>
    <t>PAINTS, VARNISHES, AND SUPPLIES</t>
  </si>
  <si>
    <t>NONDURABLE GOODS, NEC</t>
  </si>
  <si>
    <t>BUILDING MATERIALS &amp; GARDEN SUPPLIES</t>
  </si>
  <si>
    <t>RETAIL TRADE</t>
  </si>
  <si>
    <t>LUMBER AND OTHER BUILDING MATERIALS</t>
  </si>
  <si>
    <t>PAINT, GLASS, AND WALLPAPER STORES</t>
  </si>
  <si>
    <t>HARDWARE STORES</t>
  </si>
  <si>
    <t>RETAIL NURSERIES AND GARDEN STORES</t>
  </si>
  <si>
    <t>MOBILE HOME DEALERS</t>
  </si>
  <si>
    <t>DEPARTMENT STORES</t>
  </si>
  <si>
    <t>GENERAL MERCHANDISE STORES</t>
  </si>
  <si>
    <t>VARIETY STORES</t>
  </si>
  <si>
    <t>MISCELLANEOUS GENERAL MERCHANDISE</t>
  </si>
  <si>
    <t>MISCELLANEOUS GENERAL MERCHANDISE STORES</t>
  </si>
  <si>
    <t>FOOD STORES</t>
  </si>
  <si>
    <t>GROCERY STORES</t>
  </si>
  <si>
    <t>CONVENIENCE STORES</t>
  </si>
  <si>
    <t>MEAT AND FISH MARKETS</t>
  </si>
  <si>
    <t>FRUIT AND VEGETABLE MARKETS</t>
  </si>
  <si>
    <t>CANDY, NUT, AND CONFECTIONERY STORES</t>
  </si>
  <si>
    <t>DAIRY PRODUCTS STORES</t>
  </si>
  <si>
    <t>RETAIL BAKERIES</t>
  </si>
  <si>
    <t>MISCELLANEOUS FOOD STORES</t>
  </si>
  <si>
    <t>AUTOMOTIVE DEALERS &amp; SERVICE STATIONS</t>
  </si>
  <si>
    <t>NEW AND USED CAR DEALERS</t>
  </si>
  <si>
    <t>USED CAR DEALERS</t>
  </si>
  <si>
    <t>AUTO AND HOME SUPPLY STORES</t>
  </si>
  <si>
    <t>GASOLINE SERVICE STATIONS</t>
  </si>
  <si>
    <t>BOAT DEALERS</t>
  </si>
  <si>
    <t>RECREATIONAL VEHICLE DEALERS</t>
  </si>
  <si>
    <t>MOTORCYCLE DEALERS</t>
  </si>
  <si>
    <t>AUTOMOTIVE DEALERS, NEC</t>
  </si>
  <si>
    <t>AUTOMOTIVE DEALERS, N.E.C.</t>
  </si>
  <si>
    <t>APPAREL AND ACCESSORY STORES</t>
  </si>
  <si>
    <t>MEN'S AND BOYS' CLOTHING STORES</t>
  </si>
  <si>
    <t>MEN'S &amp; BOYS' CLOTHING STORES</t>
  </si>
  <si>
    <t>WOMEN'S CLOTHING STORES</t>
  </si>
  <si>
    <t>WOMEN'S ACCESSORY AND SPECIALTY STORES</t>
  </si>
  <si>
    <t>WOMEN'S ACCESSORY &amp; SPECIALTY STORES</t>
  </si>
  <si>
    <t>CHILDREN'S AND INFANTS' WEAR STORES</t>
  </si>
  <si>
    <t>FAMILY CLOTHING STORES</t>
  </si>
  <si>
    <t>SHOE STORES</t>
  </si>
  <si>
    <t>MISC. APPAREL &amp; ACCESSORY STORES</t>
  </si>
  <si>
    <t>FURNITURE AND HOMEFURNISHINGS STORES</t>
  </si>
  <si>
    <t>FURNITURE STORES</t>
  </si>
  <si>
    <t>FLOOR COVERING STORES</t>
  </si>
  <si>
    <t>DRAPERY AND UPHOLSTERY STORES</t>
  </si>
  <si>
    <t>MISCELLANEOUS HOMEFURNISHINGS</t>
  </si>
  <si>
    <t>HOUSEHOLD APPLIANCE STORES</t>
  </si>
  <si>
    <t>RADIO, TELEVISION, AND ELECTRONIC STORES</t>
  </si>
  <si>
    <t>RADIO, TELEVISION, &amp; COMPUTER STORES</t>
  </si>
  <si>
    <t>COMPUTER AND SOFTWARE STORES</t>
  </si>
  <si>
    <t>RECORD AND PRERECORDED TAPE STORES</t>
  </si>
  <si>
    <t>MUSICAL INSTRUMENT STORES</t>
  </si>
  <si>
    <t>EATING AND DRINKING PLACES</t>
  </si>
  <si>
    <t>EATING PLACES</t>
  </si>
  <si>
    <t>DRINKING PLACES</t>
  </si>
  <si>
    <t>MISCELLANEOUS RETAIL</t>
  </si>
  <si>
    <t>DRUG STORES AND PROPRIETARY STORES</t>
  </si>
  <si>
    <t>LIQUOR STORES</t>
  </si>
  <si>
    <t>USED MERCHANDISE STORES</t>
  </si>
  <si>
    <t>MISCELLANEOUS SHOPPING GOODS STORES</t>
  </si>
  <si>
    <t>SPORTING GOODS AND BICYCLE SHOPS</t>
  </si>
  <si>
    <t>BOOK STORES</t>
  </si>
  <si>
    <t>STATIONERY STORES</t>
  </si>
  <si>
    <t>JEWELRY STORES</t>
  </si>
  <si>
    <t>HOBBY, TOY, AND GAME SHOPS</t>
  </si>
  <si>
    <t>CAMERA AND PHOTOGRAPHIC SUPPLY STORES</t>
  </si>
  <si>
    <t>GIFT, NOVELTY, AND SOUVENIR SHOP</t>
  </si>
  <si>
    <t>LUGGAGE AND LEATHER GOODS STORES</t>
  </si>
  <si>
    <t>SEWING, NEEDLEWORK, AND PIECE GOODS</t>
  </si>
  <si>
    <t>NONSTORE RETAILERS</t>
  </si>
  <si>
    <t>CATALOG AND MAIL-ORDER HOUSES</t>
  </si>
  <si>
    <t>MERCHANDISING MACHINE OPERATORS</t>
  </si>
  <si>
    <t>DIRECT SELLING ESTABLISHMENTS</t>
  </si>
  <si>
    <t>FUEL OIL DEALERS</t>
  </si>
  <si>
    <t>FUEL DEALERS</t>
  </si>
  <si>
    <t>LIQUEFIED PETROLEUM GAS DEALERS</t>
  </si>
  <si>
    <t>FUEL DEALERS, NEC</t>
  </si>
  <si>
    <t>RETAIL STORES, N.E.C.</t>
  </si>
  <si>
    <t>FLORISTS</t>
  </si>
  <si>
    <t>TOBACCO STORES AND STANDS</t>
  </si>
  <si>
    <t>NEWS DEALERS AND NEWSSTANDS</t>
  </si>
  <si>
    <t>OPTICAL GOODS STORES</t>
  </si>
  <si>
    <t>MISCELLANEOUS RETAIL STORES, NEC</t>
  </si>
  <si>
    <t>FEDERAL RESERVE BANKS</t>
  </si>
  <si>
    <t>CENTRAL RESERVE DEPOSITORY</t>
  </si>
  <si>
    <t>DEPOSITORY INSTITUTIONS</t>
  </si>
  <si>
    <t>FINANCE, INSURANCE, AND REAL ESTATE</t>
  </si>
  <si>
    <t>CENTRAL RESERVE DEPOSITORY, NEC</t>
  </si>
  <si>
    <t>COMMERCIAL BANKS</t>
  </si>
  <si>
    <t>NATIONAL COMMERCIAL BANKS</t>
  </si>
  <si>
    <t>STATE COMMERCIAL BANKS</t>
  </si>
  <si>
    <t>COMMERCIAL BANKS, NEC</t>
  </si>
  <si>
    <t>FEDERAL SAVINGS INSTITUTIONS</t>
  </si>
  <si>
    <t>SAVINGS INSTITUTIONS</t>
  </si>
  <si>
    <t>SAVINGS INSTITUTIONS, EXCEPT FEDERAL</t>
  </si>
  <si>
    <t>FEDERAL CREDIT UNIONS</t>
  </si>
  <si>
    <t>CREDIT UNIONS</t>
  </si>
  <si>
    <t>STATE CREDIT UNIONS</t>
  </si>
  <si>
    <t>FOREIGN BANK AND BRANCHES AND AGENCIES</t>
  </si>
  <si>
    <t>FOREIGN BANK &amp; BRANCHES &amp; AGENCIES</t>
  </si>
  <si>
    <t>FOREIGN TRADE AND INTERNATIONAL BANKS</t>
  </si>
  <si>
    <t>NONDEPOSIT TRUST FACILITIES</t>
  </si>
  <si>
    <t>FUNCTIONS CLOSELY RELATED TO BANKING</t>
  </si>
  <si>
    <t>FUNCTIONS RELATED TO DEPOSITORY BANKING</t>
  </si>
  <si>
    <t>FEDERAL AND FEDERALLY SPONSORED CREDIT</t>
  </si>
  <si>
    <t>FEDERAL &amp; FEDERALLY-SPONSORED CREDIT</t>
  </si>
  <si>
    <t>NONDEPOSITORY INSTITUTIONS</t>
  </si>
  <si>
    <t>PERSONAL CREDIT INSTITUTIONS</t>
  </si>
  <si>
    <t>SHORT-TERM BUSINESS CREDIT</t>
  </si>
  <si>
    <t>BUSINESS CREDIT INSTITUTIONS</t>
  </si>
  <si>
    <t>MISCELLANEOUS BUSINESS CREDIT</t>
  </si>
  <si>
    <t>MORTGAGE BANKERS AND CORRESPONDENTS</t>
  </si>
  <si>
    <t>MORTGAGE BANKERS AND BROKERS</t>
  </si>
  <si>
    <t>LOAN BROKERS</t>
  </si>
  <si>
    <t>FINANCE LESSORS</t>
  </si>
  <si>
    <t>ASSET-BACKED SECURITIES</t>
  </si>
  <si>
    <t>FINANCE STORES</t>
  </si>
  <si>
    <t>SECURITY AND COMMODITY BROKERS</t>
  </si>
  <si>
    <t>SECURITY BROKERS AND DEALERS</t>
  </si>
  <si>
    <t>COMMODITY CONTRACTS BROKERS, DEALERS</t>
  </si>
  <si>
    <t>SECURITY AND COMMODITY EXCHANGES</t>
  </si>
  <si>
    <t>INVESTMENT ADVICE</t>
  </si>
  <si>
    <t>SECURITY AND COMMODITY SERVICES</t>
  </si>
  <si>
    <t>SECURITY AND COMMODITY SERVICE</t>
  </si>
  <si>
    <t>LIFE INSURANCE</t>
  </si>
  <si>
    <t>INSURANCE CARRIERS</t>
  </si>
  <si>
    <t>ACCIDENT AND HEALTH INSURANCE</t>
  </si>
  <si>
    <t>MEDICAL SERVICE AND HEALTH INSURANCE</t>
  </si>
  <si>
    <t>HOSPITAL AND MEDICAL SERVICE PLANS</t>
  </si>
  <si>
    <t>FIRE, MARINE, AND CASUALTY INSURANCE</t>
  </si>
  <si>
    <t>SURETY INSURANCE</t>
  </si>
  <si>
    <t>TITLE INSURANCE</t>
  </si>
  <si>
    <t>PENSION, HEALTH, AND WELFARE FUNDS</t>
  </si>
  <si>
    <t>INSURANCE CARRIERS, NEC</t>
  </si>
  <si>
    <t>INSURANCE CARRIERS, N.E.C.</t>
  </si>
  <si>
    <t>INSURANCE AGENTS, BROKERS, AND SERVICE</t>
  </si>
  <si>
    <t>INSURANCE AGENTS, BROKERS &amp; SERVICE</t>
  </si>
  <si>
    <t>REAL ESTATE OPERATORS AND LESSORS</t>
  </si>
  <si>
    <t>NONRESIDENTIAL BUILDING OPERATORS</t>
  </si>
  <si>
    <t>APARTMENT BUILDING OPERATORS</t>
  </si>
  <si>
    <t>DWELLING OPERATORS, EXCEPT APARTMENTS</t>
  </si>
  <si>
    <t>MOBILE HOME SITE OPERATORS</t>
  </si>
  <si>
    <t>RAILROAD PROPERTY LESSORS</t>
  </si>
  <si>
    <t>REAL PROPERTY LESSORS, NEC</t>
  </si>
  <si>
    <t>REAL ESTATE AGENTS AND MANAGERS</t>
  </si>
  <si>
    <t>REAL ESTATE DEALERS (FOR THEIR OWN ACCOUNT)</t>
  </si>
  <si>
    <t>TITLE ABSTRACT OFFICES</t>
  </si>
  <si>
    <t>SUBDIVIDERS AND DEVELOPERS, NEC</t>
  </si>
  <si>
    <t>SUBDIVIDERS AND DEVELOPERS</t>
  </si>
  <si>
    <t>CEMETERY SUBDIVIDERS AND DEVELOPERS</t>
  </si>
  <si>
    <t>BANK HOLDING COMPANIES</t>
  </si>
  <si>
    <t>HOLDING OFFICES</t>
  </si>
  <si>
    <t>HOLDING AND OTHER INVESTMENT OFFICES</t>
  </si>
  <si>
    <t>HOLDING COMPANIES, NEC</t>
  </si>
  <si>
    <t>MANAGEMENT INVESTMENT, OPEN-ENDED</t>
  </si>
  <si>
    <t>INVESTMENT OFFICES</t>
  </si>
  <si>
    <t>INVESTMENT OFFICES, NEC</t>
  </si>
  <si>
    <t>TRUSTS: EDUCATIONAL, RELIGIOUS, ETC.</t>
  </si>
  <si>
    <t>TRUST</t>
  </si>
  <si>
    <t>TRUSTS, NEC</t>
  </si>
  <si>
    <t>MISCELLANEOUS INVESTING</t>
  </si>
  <si>
    <t>OIL ROYALTY TRADERS</t>
  </si>
  <si>
    <t>PATENT OWNERS AND LESSORS</t>
  </si>
  <si>
    <t>MINERAL ROYALTY TRADERS</t>
  </si>
  <si>
    <t>REAL ESTATE INVESTMENT TRUSTS</t>
  </si>
  <si>
    <t>INVESTORS, NEC</t>
  </si>
  <si>
    <t>HOTELS AND MOTELS</t>
  </si>
  <si>
    <t>HOTELS AND OTHER LODGING PLACES</t>
  </si>
  <si>
    <t>SERVICES</t>
  </si>
  <si>
    <t>ROOMING AND BOARDING HOUSES</t>
  </si>
  <si>
    <t>SPORTING AND RECREATIONAL CAMPS</t>
  </si>
  <si>
    <t>CAMPS AND RECREATIONAL VEHICLE PARKS</t>
  </si>
  <si>
    <t>TRAILER PARKS AND CAMPSITES</t>
  </si>
  <si>
    <t>MEMBERSHIP-BASIS ORGANIZATION HOTELS</t>
  </si>
  <si>
    <t>PERSONAL SERVICES</t>
  </si>
  <si>
    <t>POWER LAUNDRIES, FAMILY AND COMMERCIAL</t>
  </si>
  <si>
    <t>LAUNDRY, CLEANING, &amp; GARMENT SERVICES</t>
  </si>
  <si>
    <t>GARMENT PRESSING AND CLEANERS' AGENTS</t>
  </si>
  <si>
    <t>LINEN SUPPLY</t>
  </si>
  <si>
    <t>COIN-OPERATED LAUNDRIES AND CLEANING</t>
  </si>
  <si>
    <t>DRYCLEANING PLANTS, EXCEPT RUGS</t>
  </si>
  <si>
    <t>CARPET AND UPHOLSTERY CLEANING</t>
  </si>
  <si>
    <t>INDUSTRIAL LAUNDERERS</t>
  </si>
  <si>
    <t>LAUNDRY AND GARMENT SERVICES, NEC</t>
  </si>
  <si>
    <t>PHOTOGRAPHIC STUDIOS, PORTRAIT</t>
  </si>
  <si>
    <t>BEAUTY SHOPS</t>
  </si>
  <si>
    <t>BARBER SHOPS</t>
  </si>
  <si>
    <t>SHOE REPAIR AND SHOESHINE PARLORS</t>
  </si>
  <si>
    <t>FUNERAL SERVICE AND CREMATORIES</t>
  </si>
  <si>
    <t>TAX RETURN PREPARATION SERVICES</t>
  </si>
  <si>
    <t>MISCELLANEOUS PERSONAL SERVICES</t>
  </si>
  <si>
    <t>ADVERTISING</t>
  </si>
  <si>
    <t>BUSINESS SERVICES</t>
  </si>
  <si>
    <t>ADVERTISING AGENCIES</t>
  </si>
  <si>
    <t>OUTDOOR ADVERTISING SERVICES</t>
  </si>
  <si>
    <t>RADIO, TELEVISION, PUBLISHER REPRESENTATIVES</t>
  </si>
  <si>
    <t>ADVERTISING, NEC</t>
  </si>
  <si>
    <t>CREDIT REPORTING AND COLLECTION</t>
  </si>
  <si>
    <t>ADJUSTMENT AND COLLECTION SERVICES</t>
  </si>
  <si>
    <t>CREDIT REPORTING SERVICES</t>
  </si>
  <si>
    <t>MAILING, REPRODUCTION, STENOGRAPHIC</t>
  </si>
  <si>
    <t>DIRECT MAIL ADVERTISING SERVICES</t>
  </si>
  <si>
    <t>PHOTOCOPYING AND DUPLICATING SERVICES</t>
  </si>
  <si>
    <t>COMMERCIAL PHOTOGRAPHY</t>
  </si>
  <si>
    <t>COMMERCIAL ART AND GRAPHIC DESIGN</t>
  </si>
  <si>
    <t>SECRETARIAL AND COURT REPORTING</t>
  </si>
  <si>
    <t>SSERVICES TO BUILDINGS</t>
  </si>
  <si>
    <t>DISINFECTING AND PEST CONTROL SERVICES</t>
  </si>
  <si>
    <t>BUILDING MAINTENANCE SERVICES, NEC</t>
  </si>
  <si>
    <t>MISCELLANEOUS EQUIPMENT RENTAL &amp; LEASING</t>
  </si>
  <si>
    <t>MEDICAL EQUIPMENT RENTAL</t>
  </si>
  <si>
    <t>HEAVY CONSTRUCTION EQUIPMENT RENTAL</t>
  </si>
  <si>
    <t>EQUIPMENT RENTAL AND LEASING, NEC</t>
  </si>
  <si>
    <t>EMPLOYMENT AGENCIES</t>
  </si>
  <si>
    <t>PERSONNEL SUPPLY SERVICES</t>
  </si>
  <si>
    <t>HELP SUPPLY SERVICES</t>
  </si>
  <si>
    <t>COMPUTER AND DATA PROCESSING SERVICES</t>
  </si>
  <si>
    <t>CUSTOM COMPUTER PROGRAMMING SERVICES</t>
  </si>
  <si>
    <t>COMPUTER INTEGRATED SYSTEMS DESIGN</t>
  </si>
  <si>
    <t>DATA PROCESSING AND PREPARATION</t>
  </si>
  <si>
    <t>INFORMATION RETRIEVAL SERVICES</t>
  </si>
  <si>
    <t>COMPUTER FACILITIES MANAGEMENT</t>
  </si>
  <si>
    <t>COMPUTER RENTAL AND LEASING</t>
  </si>
  <si>
    <t>COMPUTER MAINTENANCE AND REPAIR</t>
  </si>
  <si>
    <t>COMPUTER RELATED SERVICES, NEC</t>
  </si>
  <si>
    <t>MISCELLANEOUS BUSINESS SERVICES</t>
  </si>
  <si>
    <t>DETECTIVE AND ARMORED CAR SERVICES</t>
  </si>
  <si>
    <t>SECURITY SYSTEMS SERVICES</t>
  </si>
  <si>
    <t>NEWS SYNDICATES</t>
  </si>
  <si>
    <t>PHOTOFINISH LABORATORIES</t>
  </si>
  <si>
    <t>TELEPHONE INTERCONNECT SYSTEMS</t>
  </si>
  <si>
    <t>BUSINESS SERVICES, NEC</t>
  </si>
  <si>
    <t>AUTO REPAIR, SERVICES, AND PARKING</t>
  </si>
  <si>
    <t>AUTOMOTIVE RENTALS, NO DRIVERS</t>
  </si>
  <si>
    <t>TRUCK RENTAL AND LEASING, WITHOUT DRIVERS</t>
  </si>
  <si>
    <t>PASSENGER CAR RENTAL</t>
  </si>
  <si>
    <t>PASSENGER CAR LEASING</t>
  </si>
  <si>
    <t>UTILITY TRAILER RENTAL</t>
  </si>
  <si>
    <t>AUTOMOBILE PARKING</t>
  </si>
  <si>
    <t>TOP AND BODY REPAIR AND PAINT SHOPS</t>
  </si>
  <si>
    <t>AUTOMOTIVE REPAIR SHOPS</t>
  </si>
  <si>
    <t>AUTO EXHAUST SYSTEM REPAIR SHOPS</t>
  </si>
  <si>
    <t>TIRE RETREADING AND REPAIR SHOPS</t>
  </si>
  <si>
    <t>AUTOMOTIVE GLASS REPLACEMENT SHOPS</t>
  </si>
  <si>
    <t>AUTOMOTIVE TRANSMISSION REPAIR SHOPS</t>
  </si>
  <si>
    <t>GENERAL AUTOMOTIVE REPAIR SHOPS</t>
  </si>
  <si>
    <t>AUTOMOTIVE REPAIR SHOPS, NEC</t>
  </si>
  <si>
    <t>CARWASHES</t>
  </si>
  <si>
    <t>AUTOMOTIVE SERVICES, EXCEPT REPAIR</t>
  </si>
  <si>
    <t>AUTOMOTIVE SERVICES, NEC</t>
  </si>
  <si>
    <t>MISCELLANEOUS REPAIR SERVICES</t>
  </si>
  <si>
    <t>RADIO AND TELEVISION REPAIR</t>
  </si>
  <si>
    <t>ELECTRICAL REPAIR SHOPS</t>
  </si>
  <si>
    <t>REFRIGERATION SERVICE AND REPAIR</t>
  </si>
  <si>
    <t>WATCH, CLOCK, AND JEWELRY REPAIR</t>
  </si>
  <si>
    <t>REUPHOLSTERY AND FURNITURE REPAIR</t>
  </si>
  <si>
    <t>WELDING REPAIR</t>
  </si>
  <si>
    <t>MISCELLANEOUS REPAIR SHOPS</t>
  </si>
  <si>
    <t>ARMATURE REWINDING SHOPS</t>
  </si>
  <si>
    <t>REPAIR SERVICES, NEC</t>
  </si>
  <si>
    <t>MOTION PICTURE AND VIDEO PRODUCTION</t>
  </si>
  <si>
    <t>MOTION PICTURE PRODUCTION &amp; SERVICES</t>
  </si>
  <si>
    <t>MOTION PICTURES</t>
  </si>
  <si>
    <t>SERVICES ALLIED TO MOTION PICTURES</t>
  </si>
  <si>
    <t>MOTION PICTURE AND TAPE DISTRIBUTION</t>
  </si>
  <si>
    <t>MOTION PICTURE DISTRIBUTION &amp; SERVICES</t>
  </si>
  <si>
    <t>MOTION PICTURE DISTRIBUTION SERVICES</t>
  </si>
  <si>
    <t>MOTION PICTURE THEATERS</t>
  </si>
  <si>
    <t>MOTION PICTURE THEATERS, EXCEPT DRIVE-IN</t>
  </si>
  <si>
    <t>DRIVE-IN MOTION PICTURE THEATERS</t>
  </si>
  <si>
    <t>VIDEO TAPE RENTAL</t>
  </si>
  <si>
    <t>AMUSEMENT &amp; RECREATION SERVICES</t>
  </si>
  <si>
    <t>DANCE STUDIOS, SCHOOLS, AND HALLS</t>
  </si>
  <si>
    <t>THEATRICAL PRODUCERS AND SERVICES</t>
  </si>
  <si>
    <t>PRODUCERS, ORCHESTRAS, ENTERTAINERS</t>
  </si>
  <si>
    <t>ENTERTAINERS AND ENTERTAINMENT GROUPS</t>
  </si>
  <si>
    <t>BOWLING CENTERS</t>
  </si>
  <si>
    <t>SPORTS CLUBS, MANAGERS, AND PROMOTERS</t>
  </si>
  <si>
    <t>COMMERCIAL SPORTS</t>
  </si>
  <si>
    <t>RACING, INCLUDING TRACK OPERATION</t>
  </si>
  <si>
    <t>MISC. AMUSEMENT, RECREATION SERVICES</t>
  </si>
  <si>
    <t>PHYSICAL FITNESS FACILITIES</t>
  </si>
  <si>
    <t>PUBLIC GOLF COURSES</t>
  </si>
  <si>
    <t>COIN-OPERATED AMUSEMENT DEVICES</t>
  </si>
  <si>
    <t>AMUSEMENT PARKS</t>
  </si>
  <si>
    <t>MEMBERSHIP SPORTS AND RECREATION CLUBS</t>
  </si>
  <si>
    <t>AMUSEMENT AND RECREATION, NEC</t>
  </si>
  <si>
    <t>OFFICES AND CLINICS OF MEDICAL DOCTORS</t>
  </si>
  <si>
    <t>OFFICES &amp; CLINICS OF MEDICAL DOCTORS</t>
  </si>
  <si>
    <t>HEALTH SERVICES</t>
  </si>
  <si>
    <t>OFFICES AND CLINICS OF DENTISTS</t>
  </si>
  <si>
    <t>OFFICES &amp; CLINICS OF DENTISTS</t>
  </si>
  <si>
    <t>OFFICES AND CLINICS OF OSTEOPATHIC PHYSICIANS</t>
  </si>
  <si>
    <t>OFFICES OF OSTEOPATHIC PHYSICIANS</t>
  </si>
  <si>
    <t>OFFICES AND CLINICS OF CHIROPRACTORS</t>
  </si>
  <si>
    <t>OFFICES OF OTHER HEALTH PRACTITIONERS</t>
  </si>
  <si>
    <t>OFFICES AND CLINICS OF OPTOMETRISTS</t>
  </si>
  <si>
    <t>OFFICES AND CLINICS OF PODIATRISTS</t>
  </si>
  <si>
    <t>OFFICES OF HEALTH PRACTITIONER</t>
  </si>
  <si>
    <t>NURSING AND PERSONAL CARE FACILITIES</t>
  </si>
  <si>
    <t>SKILLED NURSING CARE FACILITIES</t>
  </si>
  <si>
    <t>INTERMEDIATE CARE FACILITIES</t>
  </si>
  <si>
    <t>NURSING AND PERSONAL CARE, NEC</t>
  </si>
  <si>
    <t>HOSPITALS</t>
  </si>
  <si>
    <t>GENERAL MEDICAL AND SURGICAL HOSPITALS</t>
  </si>
  <si>
    <t>PSYCHIATRIC HOSPITALS</t>
  </si>
  <si>
    <t>SPECIALTY HOSPITALS, EXCEPT PSYCHIATRIC</t>
  </si>
  <si>
    <t>MEDICAL LABORATORIES</t>
  </si>
  <si>
    <t>MEDICAL AND DENTAL LABORATORIES</t>
  </si>
  <si>
    <t>DENTAL LABORATORIES</t>
  </si>
  <si>
    <t>HOME HEALTH CARE SERVICES</t>
  </si>
  <si>
    <t>HEALTH AND ALLIED SERVICES, N.E.C.</t>
  </si>
  <si>
    <t>KIDNEY DIALYSIS CENTERS</t>
  </si>
  <si>
    <t>SPECIALTY OUTPATIENT CLINICS, NEC</t>
  </si>
  <si>
    <t>HEALTH AND ALLIED SERVICES, NEC</t>
  </si>
  <si>
    <t>LEGAL SERVICES</t>
  </si>
  <si>
    <t>EDUCATIONAL SERVICES</t>
  </si>
  <si>
    <t>ELEMENTARY AND SECONDARY SCHOOLS</t>
  </si>
  <si>
    <t>COLLEGES AND UNIVERSITIES</t>
  </si>
  <si>
    <t>JUNIOR COLLEGES</t>
  </si>
  <si>
    <t>LIBRARIES</t>
  </si>
  <si>
    <t>DATA PROCESSING SCHOOLS</t>
  </si>
  <si>
    <t>VOCATIONAL SCHOOLS</t>
  </si>
  <si>
    <t>BUSINESS AND SECRETARIAL SCHOOLS</t>
  </si>
  <si>
    <t>VOCATIONAL SCHOOLS, NEC</t>
  </si>
  <si>
    <t>SCHOOLS AND EDUCATIONAL SERVICES</t>
  </si>
  <si>
    <t>SCHOOLS &amp; EDUCATIONAL SERVICES, N.E.C.</t>
  </si>
  <si>
    <t>SOCIAL SERVICES</t>
  </si>
  <si>
    <t>INDIVIDUAL AND FAMILY SERVICES</t>
  </si>
  <si>
    <t>JOB TRAINING AND RELATED SERVICES</t>
  </si>
  <si>
    <t>CHILD DAY CARE SERVICES</t>
  </si>
  <si>
    <t>RESIDENTIAL CARE</t>
  </si>
  <si>
    <t>SOCIAL SERVICES, NEC</t>
  </si>
  <si>
    <t>SOCIAL SERVICES, N.E.C.</t>
  </si>
  <si>
    <t>MUSEUMS AND ART GALLERIES</t>
  </si>
  <si>
    <t>MUSEUMS, BOTANICAL, ZOOLOGICAL GARDENS</t>
  </si>
  <si>
    <t>BOTANICAL AND ZOOLOGICAL GARDENS</t>
  </si>
  <si>
    <t>BUSINESS ASSOCIATIONS</t>
  </si>
  <si>
    <t>MEMBERSHIP ORGANIZATIONS</t>
  </si>
  <si>
    <t>PROFESSIONAL ORGANIZATIONS</t>
  </si>
  <si>
    <t>LABOR ORGANIZATIONS</t>
  </si>
  <si>
    <t>CIVIC AND SOCIAL ASSOCIATIONS</t>
  </si>
  <si>
    <t>POLITICAL ORGANIZATIONS</t>
  </si>
  <si>
    <t>RELIGIOUS ORGANIZATIONS</t>
  </si>
  <si>
    <t>MEMBERSHIP ORGANIZATIONS, NEC</t>
  </si>
  <si>
    <t>MEMBERSHIP ORGANIZATIONS, N.E.C.</t>
  </si>
  <si>
    <t>ENGINEERING &amp; MANAGEMENT SERVICES</t>
  </si>
  <si>
    <t>ENGINEERING SERVICES</t>
  </si>
  <si>
    <t>ENGINEERING &amp; ARCHITECTURAL SERVICES</t>
  </si>
  <si>
    <t>ARCHITECTURAL SERVICES</t>
  </si>
  <si>
    <t>SURVEYING SERVICES</t>
  </si>
  <si>
    <t>ACCOUNTING, AUDITING, AND BOOKKEEPING</t>
  </si>
  <si>
    <t>ACCOUNTING, AUDITING, &amp; BOOKKEEPING</t>
  </si>
  <si>
    <t>COMMERCIAL PHYSICAL RESEARCH</t>
  </si>
  <si>
    <t>RESEARCH AND TESTING SERVICES</t>
  </si>
  <si>
    <t>COMMERCIAL NONPHYSICAL RESEARCH</t>
  </si>
  <si>
    <t>NONCOMMERCIAL RESEARCH ORGANIZATIONS</t>
  </si>
  <si>
    <t>TESTING LABORATORIES</t>
  </si>
  <si>
    <t>MANAGEMENT SERVICES</t>
  </si>
  <si>
    <t>MANAGEMENT AND PUBLIC RELATIONS</t>
  </si>
  <si>
    <t>MANAGEMENT CONSULTING SERVICES</t>
  </si>
  <si>
    <t>PUBLIC RELATIONS SERVICES</t>
  </si>
  <si>
    <t>FACILITIES SUPPORT SERVICES</t>
  </si>
  <si>
    <t>BUSINESS CONSULTING, NEC</t>
  </si>
  <si>
    <t>PRIVATE HOUSEHOLDS</t>
  </si>
  <si>
    <t>SERVICES, N.E.C.</t>
  </si>
  <si>
    <t>SERVICES, NEC</t>
  </si>
  <si>
    <t>EXECUTIVE OFFICES</t>
  </si>
  <si>
    <t xml:space="preserve">
EXECUTIVE OFFICES</t>
  </si>
  <si>
    <t>EXECUTIVE, LEGISLATIVE, AND GENERAL GOVERNMENT, EXCEPT FINANCE</t>
  </si>
  <si>
    <t>LEGISLATIVE BODIES</t>
  </si>
  <si>
    <t>EXECUTIVE AND LEGISLATIVE COMBINED</t>
  </si>
  <si>
    <t>EXECUTIVE AND LEGISLATIVE OFFICES COMBINED</t>
  </si>
  <si>
    <t>GENERAL GOVERNMENT, NEC</t>
  </si>
  <si>
    <t>GENERAL GOVERNMENT, NOT ELSEWHERE CLASSIFIED</t>
  </si>
  <si>
    <t>COURTS</t>
  </si>
  <si>
    <t>JUSTICE, PUBLIC ORDER, AND SAFETY</t>
  </si>
  <si>
    <t>POLICE PROTECTION</t>
  </si>
  <si>
    <t>PUBLIC ORDER AND SAFETY</t>
  </si>
  <si>
    <t>LEGAL COUNSEL AND PROSECUTION</t>
  </si>
  <si>
    <t>CORRECTIONAL INSTITUTIONS</t>
  </si>
  <si>
    <t>FIRE PROTECTION</t>
  </si>
  <si>
    <t>PUBLIC ORDER AND SAFETY, NEC</t>
  </si>
  <si>
    <t>FINANCE, TAXATION, AND MONETARY POLICY</t>
  </si>
  <si>
    <t>PUBLIC FINANCE TAXATION AND MONETARY POLICY</t>
  </si>
  <si>
    <t>PUBLIC FINANCE, TAXATION, AND MONETARY POLICY</t>
  </si>
  <si>
    <t>ADMINISTRATION OF EDUCATIONAL PROGRAMS</t>
  </si>
  <si>
    <t>ADMINISTRATION OF EDUCATION PROGRAMS</t>
  </si>
  <si>
    <t>ADMINISTRATION OF HUMAN RESOURCE PROGRAMS</t>
  </si>
  <si>
    <t>ADMINISTRATION OF PUBLIC HEALTH PROGRAMS</t>
  </si>
  <si>
    <t>ADMINISTRATION OF SOCIAL AND MANPOWER PROGRAMS</t>
  </si>
  <si>
    <t>ADMINISTRATION OF SOCIAL, HUMAN RESOURCE AND INCOME MAINTENANCE PROGRAMS</t>
  </si>
  <si>
    <t>ADMINISTRATION OF VETERANS' AFFAIRS</t>
  </si>
  <si>
    <t>ADMINISTRATION OF VETERANS' AFFAIRS, EXCEPT HEALTH AND INSURANCE</t>
  </si>
  <si>
    <t>AIR, WATER, AND SOLID WASTE MANAGEMENT</t>
  </si>
  <si>
    <t>ADMINISTRATION OF ENVIRONMENTAL QUALITY</t>
  </si>
  <si>
    <t>ADMINISTRATION OF ENVIRONMENTAL QUALITY AND HOUSING PROGRAMS</t>
  </si>
  <si>
    <t>LAND, MINERAL, AND WILDLIFE CONSERVATION</t>
  </si>
  <si>
    <t>HOUSING PROGRAMS</t>
  </si>
  <si>
    <t>ADMINISTRATION OF HOUSING AND URBAN PLANNING</t>
  </si>
  <si>
    <t>URBAN AND COMMUNITY DEVELOPMENT</t>
  </si>
  <si>
    <t>ADMINISTRATION OF GENERAL ECONOMIC PROGRAMS</t>
  </si>
  <si>
    <t>ADMINISTRATION OF ECONOMIC PROGRAMS</t>
  </si>
  <si>
    <t>REGULATION, ADMINISTRATION OF TRANSPORTATION</t>
  </si>
  <si>
    <t>REGULATION AND ADMINISTRATION OF TRANSPORTATION</t>
  </si>
  <si>
    <t>REGULATION, ADMINISTRATION OF UTILITIES</t>
  </si>
  <si>
    <t>REGULATION AND ADMINISTRATION OF COMMUNICATIONS, ELECTRIC, GAS, AND OTHER UTILITIES</t>
  </si>
  <si>
    <t>REGULATION OF AGRICULTURAL MARKETING</t>
  </si>
  <si>
    <t>REGULATION OF AGRICULTURAL MARKETING AND COMMODITIES</t>
  </si>
  <si>
    <t>REGULATION, MISCELLANEOUS COMMERCIAL SECTORS</t>
  </si>
  <si>
    <t>REGULATION, LICENSING, AND INSPECTION OF MISCELLANEOUS COMMERCIAL SECTORS</t>
  </si>
  <si>
    <t>SPACE RESEARCH AND TECHNOLOGY</t>
  </si>
  <si>
    <t>NATIONAL SECURITY</t>
  </si>
  <si>
    <t>NATIONAL SECURITY AND INTERNATIONAL AFFAIRS</t>
  </si>
  <si>
    <t>INTERNATIONAL AFFAIRS</t>
  </si>
  <si>
    <t>NON-OPERATING ESTABLISHMENTS</t>
  </si>
  <si>
    <t>NONCLASSIFIABLE ESTABLISHMENTS</t>
  </si>
  <si>
    <t>ParameterName</t>
  </si>
  <si>
    <t>Value</t>
  </si>
  <si>
    <t>FreqSa</t>
  </si>
  <si>
    <t>FreqSb</t>
  </si>
  <si>
    <t>FreqVa</t>
  </si>
  <si>
    <t>FreqVb</t>
  </si>
  <si>
    <t>FreqWa</t>
  </si>
  <si>
    <t>FreqWb</t>
  </si>
  <si>
    <t>MCapMin</t>
  </si>
  <si>
    <t>MinBand5Trigger</t>
  </si>
  <si>
    <t>Side A MCapMin</t>
  </si>
  <si>
    <t>SCAFrequencyCap</t>
  </si>
  <si>
    <t>DerivFrequencyCap</t>
  </si>
  <si>
    <t>test</t>
  </si>
  <si>
    <t>BaseMCap</t>
  </si>
  <si>
    <t>InsiderShareMin</t>
  </si>
  <si>
    <t>InsiderShareRate</t>
  </si>
  <si>
    <t>Band</t>
  </si>
  <si>
    <t>GLM ModelRelativity</t>
  </si>
  <si>
    <t>"Mid"-point</t>
  </si>
  <si>
    <t>Lower</t>
  </si>
  <si>
    <t>Upper</t>
  </si>
  <si>
    <t>SelectedRelativityLower</t>
  </si>
  <si>
    <t>SelectedRelativityUpper</t>
  </si>
  <si>
    <t>0-2</t>
  </si>
  <si>
    <t>2-3</t>
  </si>
  <si>
    <t>&gt;=3</t>
  </si>
  <si>
    <t>&lt;250k</t>
  </si>
  <si>
    <t>250k-4m</t>
  </si>
  <si>
    <t>4m+</t>
  </si>
  <si>
    <t>&lt;40%</t>
  </si>
  <si>
    <t>&gt;=40%</t>
  </si>
  <si>
    <t>a</t>
  </si>
  <si>
    <t>b</t>
  </si>
  <si>
    <t>c</t>
  </si>
  <si>
    <t>3rdpartyshare</t>
  </si>
  <si>
    <t>sd_1</t>
  </si>
  <si>
    <t>sd_2</t>
  </si>
  <si>
    <t>sd_3</t>
  </si>
  <si>
    <t>MC1</t>
  </si>
  <si>
    <t>MC2</t>
  </si>
  <si>
    <t>AvgScalingForRegDrv</t>
  </si>
  <si>
    <t>DefenseDismissalSCA_si</t>
  </si>
  <si>
    <t>ABCCatLoad</t>
  </si>
  <si>
    <t>Difference</t>
  </si>
  <si>
    <t>CumF</t>
  </si>
  <si>
    <t>Indemnity Lower</t>
  </si>
  <si>
    <t>Indemnity Upper</t>
  </si>
  <si>
    <t>Policy Length</t>
  </si>
  <si>
    <t>Less than 12 Months</t>
  </si>
  <si>
    <t>12 Months</t>
  </si>
  <si>
    <t>12 Months to 18 Months</t>
  </si>
  <si>
    <t>18 Months to 24 Months</t>
  </si>
  <si>
    <t>Greater than 24 Monhts</t>
  </si>
  <si>
    <t>Year</t>
  </si>
  <si>
    <t>CAT Load</t>
  </si>
  <si>
    <t>CHE</t>
  </si>
  <si>
    <t>Variable Expenses</t>
  </si>
  <si>
    <t>Fixed Expenses</t>
  </si>
  <si>
    <t>RI /GP</t>
  </si>
  <si>
    <t>RI REC / GP</t>
  </si>
  <si>
    <t>Invesment Income</t>
  </si>
  <si>
    <t>Captial Per GNP</t>
  </si>
  <si>
    <t>Number of Policies</t>
  </si>
  <si>
    <t>GNP</t>
  </si>
  <si>
    <t>Cost of RI</t>
  </si>
  <si>
    <t>CHE Rate</t>
  </si>
  <si>
    <t>Scale Factor</t>
  </si>
  <si>
    <t>US</t>
  </si>
  <si>
    <t>Excess Lower</t>
  </si>
  <si>
    <t>Excess Upper</t>
  </si>
  <si>
    <t>Factor Lower</t>
  </si>
  <si>
    <t>Factor Upper</t>
  </si>
  <si>
    <t>UK</t>
  </si>
  <si>
    <t>Adrian Jenner</t>
  </si>
  <si>
    <t>Amanda Schaefer</t>
  </si>
  <si>
    <t>Anthony Komro</t>
  </si>
  <si>
    <t>Ashley Dietz</t>
  </si>
  <si>
    <t>Alicia Verdile</t>
  </si>
  <si>
    <t>Allison Keenan</t>
  </si>
  <si>
    <t>Allison Keenan UK</t>
  </si>
  <si>
    <t>Arni Arnason</t>
  </si>
  <si>
    <t>Bill Fleming</t>
  </si>
  <si>
    <t>Caroline Jonkers</t>
  </si>
  <si>
    <t>Carra Tinges</t>
  </si>
  <si>
    <t>Catherina MacCabe</t>
  </si>
  <si>
    <t>Chris Wickham</t>
  </si>
  <si>
    <t>Christina Herald</t>
  </si>
  <si>
    <t>Christina Herald - US</t>
  </si>
  <si>
    <t>Daleesha Dhokia</t>
  </si>
  <si>
    <t>Dan DeAlmeida</t>
  </si>
  <si>
    <t>Dan Martin</t>
  </si>
  <si>
    <t>Deirdre Finn</t>
  </si>
  <si>
    <t>Denis Panariti</t>
  </si>
  <si>
    <t>Elizabeth Cassarino</t>
  </si>
  <si>
    <t>Greg Staron</t>
  </si>
  <si>
    <t>James Rizzo</t>
  </si>
  <si>
    <t>Jason Lowney</t>
  </si>
  <si>
    <t>Jeffrey Carney</t>
  </si>
  <si>
    <t>Jeremie Saada</t>
  </si>
  <si>
    <t>Jon Perry</t>
  </si>
  <si>
    <t>Jonathon Palmquist</t>
  </si>
  <si>
    <t>Jordan Benshoof</t>
  </si>
  <si>
    <t>Karina Windel</t>
  </si>
  <si>
    <t>Luisa Celentano</t>
  </si>
  <si>
    <t>Marc Galindo</t>
  </si>
  <si>
    <t>Marc London</t>
  </si>
  <si>
    <t>Matt Alchin</t>
  </si>
  <si>
    <t>Matt Niehaus</t>
  </si>
  <si>
    <t>Megan Feyereisen</t>
  </si>
  <si>
    <t>Mia Hennessey</t>
  </si>
  <si>
    <t>Mia Hennessey UK</t>
  </si>
  <si>
    <t>Michael Johnston</t>
  </si>
  <si>
    <t>Najib Bousakr</t>
  </si>
  <si>
    <t>Neal Wilkinson</t>
  </si>
  <si>
    <t>Nicholas Tey</t>
  </si>
  <si>
    <t>Nicola Earl</t>
  </si>
  <si>
    <t>Nicole Palmieri</t>
  </si>
  <si>
    <t>Nick McGarey</t>
  </si>
  <si>
    <t>Olly Jones</t>
  </si>
  <si>
    <t>Patrick Whalen</t>
  </si>
  <si>
    <t>Rachel Pleasants</t>
  </si>
  <si>
    <t>Rachel Turk</t>
  </si>
  <si>
    <t>Rozina Karimali</t>
  </si>
  <si>
    <t>Sharlene Jooste</t>
  </si>
  <si>
    <t>Sherrif Suleiman-oba​</t>
  </si>
  <si>
    <t>Spencer Stout</t>
  </si>
  <si>
    <t>Steve Cheyne</t>
  </si>
  <si>
    <t>Steve Cheyne - US</t>
  </si>
  <si>
    <t>Steve Marciniak</t>
  </si>
  <si>
    <t>Sumit Paul</t>
  </si>
  <si>
    <t>Tanner McGuire</t>
  </si>
  <si>
    <t>Terra-Lynn Tokiwa</t>
  </si>
  <si>
    <t>Tom Ielapi</t>
  </si>
  <si>
    <t>Wayne Imrie</t>
  </si>
  <si>
    <t>min</t>
  </si>
  <si>
    <t>max</t>
  </si>
  <si>
    <t>scale</t>
  </si>
  <si>
    <t>Mcap Lower</t>
  </si>
  <si>
    <t>Mcap Upper</t>
  </si>
  <si>
    <t>RegSCA</t>
  </si>
  <si>
    <t>RegDerivative</t>
  </si>
  <si>
    <t>SCADerivative</t>
  </si>
  <si>
    <t>SDLoad</t>
  </si>
  <si>
    <t>SRLoad</t>
  </si>
  <si>
    <t>SRDLoad</t>
  </si>
  <si>
    <t>DerivativeScaleFactor</t>
  </si>
  <si>
    <t>ShockLoadFreq</t>
  </si>
  <si>
    <t>DerivativeDismissalRate</t>
  </si>
  <si>
    <t>M&amp;A Freq Band Lower</t>
  </si>
  <si>
    <t>Reg Freq Band Lower</t>
  </si>
  <si>
    <t>Derivative Freq Band Lower</t>
  </si>
  <si>
    <t>M&amp;A Freq Band Upper</t>
  </si>
  <si>
    <t>Derivative Freq Band Upper</t>
  </si>
  <si>
    <t>Reg Freq Band Upper</t>
  </si>
  <si>
    <t>MAScaleFactor</t>
  </si>
  <si>
    <t>mulog</t>
  </si>
  <si>
    <t>sdlog</t>
  </si>
  <si>
    <t>MASE.alpha</t>
  </si>
  <si>
    <t>MASE.beta</t>
  </si>
  <si>
    <t>MASE.sd_a</t>
  </si>
  <si>
    <t>MASE.sd_b1</t>
  </si>
  <si>
    <t>MASE.sd_b2</t>
  </si>
  <si>
    <t>MASE.MC</t>
  </si>
  <si>
    <t>Derivatives</t>
  </si>
  <si>
    <t>M&amp;A</t>
  </si>
  <si>
    <t>Regulatory</t>
  </si>
  <si>
    <t>AtCost</t>
  </si>
  <si>
    <t>MCDismissalRate</t>
  </si>
  <si>
    <t>MCDismissalMin</t>
  </si>
  <si>
    <t>MCDismissalMax</t>
  </si>
  <si>
    <t>MarketCap Lower</t>
  </si>
  <si>
    <t>MarketCap Upper</t>
  </si>
  <si>
    <t>Cost Lower</t>
  </si>
  <si>
    <t>Cost Upper</t>
  </si>
  <si>
    <t>ArelDismissed</t>
  </si>
  <si>
    <t>BNoCase</t>
  </si>
  <si>
    <t>BDismissed</t>
  </si>
  <si>
    <t>ProbDIC</t>
  </si>
  <si>
    <t>ProbPlaintiff</t>
  </si>
  <si>
    <t>Z_BaseConstant</t>
  </si>
  <si>
    <t>Z_BaseLambda</t>
  </si>
  <si>
    <t>Z_Max</t>
  </si>
  <si>
    <t>Z_T1</t>
  </si>
  <si>
    <t>Z_T2</t>
  </si>
  <si>
    <t>Z_T3</t>
  </si>
  <si>
    <t>Z_T4</t>
  </si>
  <si>
    <t>Z_T5</t>
  </si>
  <si>
    <t>SideACatLoad</t>
  </si>
  <si>
    <t>Primary Standalone</t>
  </si>
  <si>
    <t>Side A xs ABC</t>
  </si>
  <si>
    <t>Side A xs Side A</t>
  </si>
  <si>
    <t>Experience LR</t>
  </si>
  <si>
    <t>Additional Cat Load</t>
  </si>
  <si>
    <t>Bankruptcy Rating</t>
  </si>
  <si>
    <t>BankruptcyScore</t>
  </si>
  <si>
    <t>Load</t>
  </si>
  <si>
    <t>AAA</t>
  </si>
  <si>
    <t>AA+</t>
  </si>
  <si>
    <t>AA</t>
  </si>
  <si>
    <t>AA-</t>
  </si>
  <si>
    <t>A+</t>
  </si>
  <si>
    <t>A</t>
  </si>
  <si>
    <t>A-</t>
  </si>
  <si>
    <t>BBB+</t>
  </si>
  <si>
    <t>BBB</t>
  </si>
  <si>
    <t>BBB-</t>
  </si>
  <si>
    <t>BB+</t>
  </si>
  <si>
    <t>BB</t>
  </si>
  <si>
    <t>BB-</t>
  </si>
  <si>
    <t>B+</t>
  </si>
  <si>
    <t>B</t>
  </si>
  <si>
    <t>B-</t>
  </si>
  <si>
    <t>CCC+</t>
  </si>
  <si>
    <t>CCC</t>
  </si>
  <si>
    <t>CCC-</t>
  </si>
  <si>
    <t>CC</t>
  </si>
  <si>
    <t>C</t>
  </si>
  <si>
    <t>D/SD</t>
  </si>
  <si>
    <t>s_adjustment</t>
  </si>
  <si>
    <t>sd_adjustment</t>
  </si>
  <si>
    <t>d_adjustment</t>
  </si>
  <si>
    <t>ma_adjustment</t>
  </si>
  <si>
    <t>def_dis_adjusment</t>
  </si>
  <si>
    <t>sca_monc_adjustment</t>
  </si>
  <si>
    <t>der_monc_adjustment</t>
  </si>
  <si>
    <t>Field</t>
  </si>
  <si>
    <t>Sector Base Frequency</t>
  </si>
  <si>
    <t>Market Cap Factor</t>
  </si>
  <si>
    <t>IPO Factor</t>
  </si>
  <si>
    <t>Minimum Trading Volume Factor</t>
  </si>
  <si>
    <t>Volatility of Trading During Downturn Factor</t>
  </si>
  <si>
    <t>Percentage of Executives under age 50 Factor</t>
  </si>
  <si>
    <t>Total Factor</t>
  </si>
  <si>
    <t>Frequency After CapIQ Score</t>
  </si>
  <si>
    <t>Frequency After Sector SCA Overrides</t>
  </si>
  <si>
    <t>Frequency After Modifiers</t>
  </si>
  <si>
    <t>SCA Dismissal Rate</t>
  </si>
  <si>
    <t>DIC Adjustment</t>
  </si>
  <si>
    <t>Bankruptcy Load</t>
  </si>
  <si>
    <t>ABC UK Average</t>
  </si>
  <si>
    <t>ABC US Average</t>
  </si>
  <si>
    <t>ABC Total</t>
  </si>
  <si>
    <t>Side A UK Average</t>
  </si>
  <si>
    <t>Side A US Average</t>
  </si>
  <si>
    <t>Side A Total</t>
  </si>
  <si>
    <t>Total Assets</t>
  </si>
  <si>
    <t>Asset Range 1</t>
  </si>
  <si>
    <t>Asset Range 2</t>
  </si>
  <si>
    <t>Annual Premium</t>
  </si>
  <si>
    <t>Less than $10mm</t>
  </si>
  <si>
    <t>$10mm to $25mm</t>
  </si>
  <si>
    <t>$25mm to $50mm</t>
  </si>
  <si>
    <t>$51mm to $100mm</t>
  </si>
  <si>
    <t>$101mm to $250mm</t>
  </si>
  <si>
    <t>$250mm to $500mm</t>
  </si>
  <si>
    <t>$500mm to $750mm</t>
  </si>
  <si>
    <t>$750mm to $1B</t>
  </si>
  <si>
    <t>$1B to $5B</t>
  </si>
  <si>
    <t>$5B to $10B</t>
  </si>
  <si>
    <t>$10B to $50B</t>
  </si>
  <si>
    <t>$50B to $100B</t>
  </si>
  <si>
    <t>Greater than $100B</t>
  </si>
  <si>
    <t>Admitted</t>
  </si>
  <si>
    <t>Food and Dairy Products</t>
  </si>
  <si>
    <t xml:space="preserve">All other </t>
  </si>
  <si>
    <t>Professional Services</t>
  </si>
  <si>
    <t>Building Materials</t>
  </si>
  <si>
    <t>Oil and Gas</t>
  </si>
  <si>
    <t>Beverages</t>
  </si>
  <si>
    <t>Tobacco</t>
  </si>
  <si>
    <t>Textiles</t>
  </si>
  <si>
    <t>Manufacturing - Apparel</t>
  </si>
  <si>
    <t xml:space="preserve">Manufacturing - All other </t>
  </si>
  <si>
    <t>Manufacturing - Furniture</t>
  </si>
  <si>
    <t>Paper</t>
  </si>
  <si>
    <t>Printing and Publishing</t>
  </si>
  <si>
    <t>Manufacturing - Chemicals</t>
  </si>
  <si>
    <t>Pharmaceuticals</t>
  </si>
  <si>
    <t>Manufacturing - Machinery</t>
  </si>
  <si>
    <t>Manufacturing - Computers</t>
  </si>
  <si>
    <t>Manufacturing - Appliances</t>
  </si>
  <si>
    <t>Manufacturing - Electronics</t>
  </si>
  <si>
    <t>Transportation  - All Other</t>
  </si>
  <si>
    <t>Transportation  - Trucking</t>
  </si>
  <si>
    <t>Transportation  - Airlines</t>
  </si>
  <si>
    <t>Telecommunications</t>
  </si>
  <si>
    <t>Utilities- - no nuclear</t>
  </si>
  <si>
    <t>All other Retail Stores</t>
  </si>
  <si>
    <t>Department Stores</t>
  </si>
  <si>
    <t>Real Estate</t>
  </si>
  <si>
    <t>Hotels/Motels</t>
  </si>
  <si>
    <t>Advertising Agencies</t>
  </si>
  <si>
    <t>Software Companies</t>
  </si>
  <si>
    <t>Amusement and Recreation</t>
  </si>
  <si>
    <t>Industry Modifier</t>
  </si>
  <si>
    <t>Modifier Range</t>
  </si>
  <si>
    <t>No Range</t>
  </si>
  <si>
    <t>1.0-1.5</t>
  </si>
  <si>
    <t>0.8-1.5</t>
  </si>
  <si>
    <t>0.8-1.2</t>
  </si>
  <si>
    <t>1.0-1.3</t>
  </si>
  <si>
    <t>Broadcasting/Media Companies</t>
  </si>
  <si>
    <t>0.9-1.3</t>
  </si>
  <si>
    <t>Internet Companies</t>
  </si>
  <si>
    <t>1.5-4.0</t>
  </si>
  <si>
    <t>2.0-4.0</t>
  </si>
  <si>
    <t>1.5-3.0</t>
  </si>
  <si>
    <t>1.2-1.8</t>
  </si>
  <si>
    <t>1.0-1.4</t>
  </si>
  <si>
    <t>2.5-4.0</t>
  </si>
  <si>
    <t>Supermarkets</t>
  </si>
  <si>
    <t>1.2-2.0</t>
  </si>
  <si>
    <t>0.9-1.4</t>
  </si>
  <si>
    <t>1.5-2.0</t>
  </si>
  <si>
    <t>0.7-1.7</t>
  </si>
  <si>
    <t>Utilities- - With  nuclear</t>
  </si>
  <si>
    <t>State_Cd</t>
  </si>
  <si>
    <t>State</t>
  </si>
  <si>
    <t>PlanType</t>
  </si>
  <si>
    <t>NoRounding</t>
  </si>
  <si>
    <t>ExtendedText</t>
  </si>
  <si>
    <t>RoundingPermitted?</t>
  </si>
  <si>
    <t>DropDownTableVersion</t>
  </si>
  <si>
    <t>AK</t>
  </si>
  <si>
    <t>Alaska</t>
  </si>
  <si>
    <t>AL</t>
  </si>
  <si>
    <t>Alabama</t>
  </si>
  <si>
    <t>Range</t>
  </si>
  <si>
    <t>Three</t>
  </si>
  <si>
    <t>AR</t>
  </si>
  <si>
    <t>Arkansas</t>
  </si>
  <si>
    <t>AZ</t>
  </si>
  <si>
    <t>Arizona</t>
  </si>
  <si>
    <t>CA</t>
  </si>
  <si>
    <t>California</t>
  </si>
  <si>
    <t>One</t>
  </si>
  <si>
    <t>CO</t>
  </si>
  <si>
    <t>Colorado</t>
  </si>
  <si>
    <t>CT</t>
  </si>
  <si>
    <t>Connecticut</t>
  </si>
  <si>
    <t>DC</t>
  </si>
  <si>
    <t>District of Columbia</t>
  </si>
  <si>
    <t>DE</t>
  </si>
  <si>
    <t>Delaware</t>
  </si>
  <si>
    <t>FL</t>
  </si>
  <si>
    <t>Florida</t>
  </si>
  <si>
    <t>GA</t>
  </si>
  <si>
    <t>Georgia</t>
  </si>
  <si>
    <t>HI</t>
  </si>
  <si>
    <t>Hawaii</t>
  </si>
  <si>
    <t>IA</t>
  </si>
  <si>
    <t>Iowa</t>
  </si>
  <si>
    <t>ID</t>
  </si>
  <si>
    <t>Idaho</t>
  </si>
  <si>
    <t>IL</t>
  </si>
  <si>
    <t>Illinois</t>
  </si>
  <si>
    <t>IN</t>
  </si>
  <si>
    <t>Indiana</t>
  </si>
  <si>
    <t>KS</t>
  </si>
  <si>
    <t>Kansas</t>
  </si>
  <si>
    <t>Two</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</si>
  <si>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</si>
  <si>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</si>
  <si>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</si>
  <si>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</si>
  <si>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</si>
  <si>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</si>
  <si>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</si>
  <si>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</si>
  <si>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</si>
  <si>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</si>
  <si>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</si>
  <si>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</si>
  <si>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</si>
  <si>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</si>
  <si>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</si>
  <si>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</si>
  <si>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</si>
  <si>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</si>
  <si>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</si>
  <si>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</si>
  <si>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</si>
  <si>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</si>
  <si>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</si>
  <si>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</si>
  <si>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</si>
  <si>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</si>
  <si>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</si>
  <si>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</si>
  <si>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</si>
  <si>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</si>
  <si>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</si>
  <si>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</si>
  <si>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</si>
  <si>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</si>
  <si>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</si>
  <si>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</si>
  <si>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NYFTZ</t>
  </si>
  <si>
    <t>New York (FTZ)</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</si>
  <si>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</si>
  <si>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</si>
  <si>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</si>
  <si>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</si>
  <si>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</si>
  <si>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</si>
  <si>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</si>
  <si>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</si>
  <si>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</si>
  <si>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</si>
  <si>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</si>
  <si>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</si>
  <si>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</si>
  <si>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</si>
  <si>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</si>
  <si>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</si>
  <si>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</si>
  <si>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</si>
  <si>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</si>
  <si>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</si>
  <si>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</si>
  <si>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</si>
  <si>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</si>
  <si>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</si>
  <si>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</si>
  <si>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</si>
  <si>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</si>
  <si>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</si>
  <si>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</si>
  <si>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</si>
  <si>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</si>
  <si>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</si>
  <si>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ListType</t>
  </si>
  <si>
    <t>Activity</t>
  </si>
  <si>
    <t>Step</t>
  </si>
  <si>
    <t>Min</t>
  </si>
  <si>
    <t>Max</t>
  </si>
  <si>
    <t>No Activity</t>
  </si>
  <si>
    <t>Limited Activity – acquisitions in the last 5 years &lt;15% of total company assets</t>
  </si>
  <si>
    <t>Significant Activity – acquisitions in the last 5 years &gt;= 15% of total company assets</t>
  </si>
  <si>
    <t>Limited Activity</t>
  </si>
  <si>
    <t>Significant Activity</t>
  </si>
  <si>
    <t>Poor - more than one of the following:  debt increase &gt;20% in last 12 months; more than one year net loss; increase in cost of goods sold</t>
  </si>
  <si>
    <t>Fair – increase in debt; negative operating and net income</t>
  </si>
  <si>
    <t>Good – level debt; steady positive earnings; making operating profit; stable cost of goods sold</t>
  </si>
  <si>
    <t>Very Good – slightly lower debt; slight increase in operating and net income</t>
  </si>
  <si>
    <t>Excellent – significantly decreased debt trends; increased operating income and net income by more than 20% over prior year; decrease in cost of goods sold</t>
  </si>
  <si>
    <t>Poor</t>
  </si>
  <si>
    <t>Fair</t>
  </si>
  <si>
    <t>Good</t>
  </si>
  <si>
    <t>Very Good</t>
  </si>
  <si>
    <t>Excellent</t>
  </si>
  <si>
    <t>Below Average</t>
  </si>
  <si>
    <t>Average</t>
  </si>
  <si>
    <t>Above Average</t>
  </si>
  <si>
    <t>Poor – more than one of the following:  more than 1 year of operating losses; downward trend in revenues over more than 12 months; less profitable than peers; writeoffs, restructuring</t>
  </si>
  <si>
    <t>Fair – one of the following:  more than 1 year of operating losses; downward trend in revenues over more than 12 months; less profitable than peers; writeoffs, restructuring</t>
  </si>
  <si>
    <t>Good – generally positive earnings; profitability on par with peers; growth levels appropriate to market and industry</t>
  </si>
  <si>
    <t>Very Good – one of the following:  consistently strong earnings; positive trend in revenues over last 12 months or more; more profitable than peers</t>
  </si>
  <si>
    <t>Excellent – more than one of the following:  consistently strong earnings; positive trend in revenues over last 12 months or more; more profitable than peers</t>
  </si>
  <si>
    <t>Merger and Acquisition Activity</t>
  </si>
  <si>
    <t>Profitability</t>
  </si>
  <si>
    <t>Quality of Balance Sheet</t>
  </si>
  <si>
    <t>Cash Flow from Operations</t>
  </si>
  <si>
    <t>Poor – inadequate cash position related to debt and profitability; relies on bank line of credit for short term cash needs; will require debt or equity financing to meet future cash needs</t>
  </si>
  <si>
    <t>Fair – breakeven cash position; breakeven working capital</t>
  </si>
  <si>
    <t>Good – adequate cash position; positive working capital</t>
  </si>
  <si>
    <t>Very Good – sufficient cash flow to operate; positive cash flow from operations; bank line of credit</t>
  </si>
  <si>
    <t>Excellent – cash exceeds operating needs; sufficient cash to pay off all debts</t>
  </si>
  <si>
    <t>Financial Restatements</t>
  </si>
  <si>
    <t>Yes</t>
  </si>
  <si>
    <t>No</t>
  </si>
  <si>
    <t>Experience of Internal Management</t>
  </si>
  <si>
    <t>Poor – significant top level management turnover in last three years; average experience of management less than five years; no formal management evaluation practices</t>
  </si>
  <si>
    <t>Fair – one or more turnovers of top management in last three years; average experience of management less than five years; limited/insufficient formal management evaluation practices</t>
  </si>
  <si>
    <t>Good - some turnover in middle management in last three years; average experience of management 5 – 10 years; sufficient formal management evaluation practices</t>
  </si>
  <si>
    <t>Very Good – some turnover in middle management in last three years; average experience of management more than 10 years; sufficient formal management evaluation practices</t>
  </si>
  <si>
    <t>Excellent – little or no management turnover; average experience of management more than 10 years; rigorous formal management evaluation practices</t>
  </si>
  <si>
    <t>Outside Board of Directors</t>
  </si>
  <si>
    <t>Poor – greater than 30% board member turnover in last five years; prevalent conflicts of interest; board members have marginal/questionable backgrounds</t>
  </si>
  <si>
    <t>Fair – 15 to 30% board member turnover in last five years; minor potential conflicts of interest; board members have good backgrounds</t>
  </si>
  <si>
    <t>Good – less than 15% of board member turnover in last five years; no clear conflicts of interest; board members have good backgrounds</t>
  </si>
  <si>
    <t>Very Good – no board turnover in last five years; appropriate expertise on board; board members have clean backgrounds; no clear conflicts of interest</t>
  </si>
  <si>
    <t>Excellent – no board turnover in last five years; above average expertise on board; board members have clean backgrounds; no clear conflicts of interest; even appearance of potential conflicts of interest are avoided</t>
  </si>
  <si>
    <t>General</t>
  </si>
  <si>
    <t>Below Average – no litigation against company in last 5 years</t>
  </si>
  <si>
    <t>Average – some litigation against company in last 1 to 5 years; no significant litigation</t>
  </si>
  <si>
    <t>Significant – litigation against company in past year; significant litigation in last 5 years</t>
  </si>
  <si>
    <t>Significant</t>
  </si>
  <si>
    <t>D&amp;O Claim History</t>
  </si>
  <si>
    <t>None – no claims activity within the last 5 years</t>
  </si>
  <si>
    <t>Average – 1 or 2 claims with anticipated payout less than limit in last 5 years</t>
  </si>
  <si>
    <t xml:space="preserve">Significant – 3 or more claims with anticipated payout less than limit in last 5 years; 1 or more claims with significant payout expected at or above limit in last 10 years </t>
  </si>
  <si>
    <t>None</t>
  </si>
  <si>
    <t>Shareholder Base</t>
  </si>
  <si>
    <t>Principal shareholders (own more than 10%)</t>
  </si>
  <si>
    <t>Employee Stock ownership plan</t>
  </si>
  <si>
    <t xml:space="preserve">Inadequate/Excessive Management ownership </t>
  </si>
  <si>
    <t>Inadequate/Excessive Management ownership</t>
  </si>
  <si>
    <t>Equity or Debt Offering</t>
  </si>
  <si>
    <t>Equity or Debt offering</t>
  </si>
  <si>
    <t>Not Applicable</t>
  </si>
  <si>
    <t>Recent Stock Volatility</t>
  </si>
  <si>
    <t>High Volatility – one or more of the following: stock beta is 1.50 or greater; EPS exceeds industry average; stock appreciation &gt;=25% in the last 12 months</t>
  </si>
  <si>
    <t>Stable – stock beta is between 1.00 to 1.50; EPS in line with industry average; stock appreciation &lt;25% in the last 12 months</t>
  </si>
  <si>
    <t>Low Volatility – stock beta is less than 1.00; EPS lower than industry average; stock appreciation &lt;5% in the last 12 months</t>
  </si>
  <si>
    <t>High Volatility</t>
  </si>
  <si>
    <t>Stable</t>
  </si>
  <si>
    <t>Low Volatility</t>
  </si>
  <si>
    <t>Private Company Modifier</t>
  </si>
  <si>
    <t>Not Publically Traded</t>
  </si>
  <si>
    <t>Publically Traded</t>
  </si>
  <si>
    <t>Indemnifiable Coverage Modifier</t>
  </si>
  <si>
    <t>Insured person Non-Indemnifiable coverage only</t>
  </si>
  <si>
    <t>Non-Indemnifiable and Indemnifiable Insured Person coverage Only</t>
  </si>
  <si>
    <t>Less than $25mm</t>
  </si>
  <si>
    <t>$25mm-$50mm</t>
  </si>
  <si>
    <t>$50mm-$100mm</t>
  </si>
  <si>
    <t>$100mm-$250mm</t>
  </si>
  <si>
    <t>$250mm- $500mm</t>
  </si>
  <si>
    <t>$500mm-$1B</t>
  </si>
  <si>
    <t>$1B- $2.5B</t>
  </si>
  <si>
    <t>$2.5B-$5B</t>
  </si>
  <si>
    <t>$5B-$10B</t>
  </si>
  <si>
    <t>$10B-$50B</t>
  </si>
  <si>
    <t>greater than $50B</t>
  </si>
  <si>
    <t>Total Assets Label</t>
  </si>
  <si>
    <t>Limit</t>
  </si>
  <si>
    <t>Group</t>
  </si>
  <si>
    <t>step</t>
  </si>
  <si>
    <t>Modifier</t>
  </si>
  <si>
    <t>change</t>
  </si>
  <si>
    <t>$1,000,000</t>
  </si>
  <si>
    <t>$2,000,000</t>
  </si>
  <si>
    <t>$3,000,000</t>
  </si>
  <si>
    <t>$5,000,000</t>
  </si>
  <si>
    <t>$10,000,000</t>
  </si>
  <si>
    <t>$15,000,000</t>
  </si>
  <si>
    <t>$20,000,000</t>
  </si>
  <si>
    <t>$25,000,000</t>
  </si>
  <si>
    <t>$25,000,001</t>
  </si>
  <si>
    <t>Limit Label</t>
  </si>
  <si>
    <t>Rated Premium</t>
  </si>
  <si>
    <t>Rounding amount</t>
  </si>
  <si>
    <t>Less than $8,000</t>
  </si>
  <si>
    <t>$8,001 - $25,000</t>
  </si>
  <si>
    <t>$25,001 - $50,000</t>
  </si>
  <si>
    <t>$50,001 - $100,000</t>
  </si>
  <si>
    <t>$100,001 - $250,000</t>
  </si>
  <si>
    <t>$250,001 - $500,000</t>
  </si>
  <si>
    <t>More than $500,000</t>
  </si>
  <si>
    <t>Level</t>
  </si>
  <si>
    <t>PlanVersion</t>
  </si>
  <si>
    <t>Marginal Rate</t>
  </si>
  <si>
    <t>Marginal Rate Per $</t>
  </si>
  <si>
    <t>Not Publicly Traded</t>
  </si>
  <si>
    <t>Publicly Traded</t>
  </si>
  <si>
    <t>More than 5 Years</t>
  </si>
  <si>
    <t xml:space="preserve">At least 3 Years, but no more than 5 Years </t>
  </si>
  <si>
    <t>Less than 3 Years</t>
  </si>
  <si>
    <t>Years in Operation</t>
  </si>
  <si>
    <t>Side-A Factor</t>
  </si>
  <si>
    <t>Approved?</t>
  </si>
  <si>
    <t>Approved</t>
  </si>
  <si>
    <t>Not Approved</t>
  </si>
  <si>
    <t>No Value</t>
  </si>
  <si>
    <t>Reference</t>
  </si>
  <si>
    <t>Indemnification</t>
  </si>
  <si>
    <t>Bahamas</t>
  </si>
  <si>
    <t>Carribbean</t>
  </si>
  <si>
    <t>Bermuda</t>
  </si>
  <si>
    <t>Canada</t>
  </si>
  <si>
    <t>Puerto Rico</t>
  </si>
  <si>
    <t>US Virgin Islands</t>
  </si>
  <si>
    <t>Alberta</t>
  </si>
  <si>
    <t>British Columbia</t>
  </si>
  <si>
    <t>Manitoba</t>
  </si>
  <si>
    <t>New Brunswick</t>
  </si>
  <si>
    <t>Newfoundland and Labrador</t>
  </si>
  <si>
    <t>Northwest Territories</t>
  </si>
  <si>
    <t>Nova Scotia</t>
  </si>
  <si>
    <t>Nunavut</t>
  </si>
  <si>
    <t>Ontario</t>
  </si>
  <si>
    <t>Prince Edward Island</t>
  </si>
  <si>
    <t>Quebec</t>
  </si>
  <si>
    <t>Saskatchewan</t>
  </si>
  <si>
    <t>Yukon</t>
  </si>
  <si>
    <t>American Samoa</t>
  </si>
  <si>
    <t>Anguilla</t>
  </si>
  <si>
    <t>Antigua</t>
  </si>
  <si>
    <t>Australia</t>
  </si>
  <si>
    <t>Austria</t>
  </si>
  <si>
    <t>Barbados</t>
  </si>
  <si>
    <t>Belgium</t>
  </si>
  <si>
    <t>British Virgin Islands</t>
  </si>
  <si>
    <t>Bulgaria</t>
  </si>
  <si>
    <t>Cayman Islands</t>
  </si>
  <si>
    <t>Croatia</t>
  </si>
  <si>
    <t>Cyprus</t>
  </si>
  <si>
    <t>Czech Republic</t>
  </si>
  <si>
    <t>Denmark</t>
  </si>
  <si>
    <t>Dominica</t>
  </si>
  <si>
    <t>Estonia</t>
  </si>
  <si>
    <t>Falkland Islands</t>
  </si>
  <si>
    <t>Finland</t>
  </si>
  <si>
    <t>France</t>
  </si>
  <si>
    <t>French Guiana</t>
  </si>
  <si>
    <t>French Polynesia</t>
  </si>
  <si>
    <t>Germany</t>
  </si>
  <si>
    <t>Gibraltar</t>
  </si>
  <si>
    <t>Greece</t>
  </si>
  <si>
    <t>Grenada</t>
  </si>
  <si>
    <t>Guadeloupe</t>
  </si>
  <si>
    <t>Guam</t>
  </si>
  <si>
    <t>Guernsey</t>
  </si>
  <si>
    <t>Hong Kong SAR</t>
  </si>
  <si>
    <t>Hungary</t>
  </si>
  <si>
    <t>Iceland</t>
  </si>
  <si>
    <t>Ireland</t>
  </si>
  <si>
    <t>Isle of Man</t>
  </si>
  <si>
    <t>Israel</t>
  </si>
  <si>
    <t>Italy</t>
  </si>
  <si>
    <t>Jamaica</t>
  </si>
  <si>
    <t>Jersey</t>
  </si>
  <si>
    <t>Latvia</t>
  </si>
  <si>
    <t>Liechtenstein</t>
  </si>
  <si>
    <t>Lithuania</t>
  </si>
  <si>
    <t>Luxembourg</t>
  </si>
  <si>
    <t>Malawi</t>
  </si>
  <si>
    <t>Malta</t>
  </si>
  <si>
    <t>Martinique</t>
  </si>
  <si>
    <t>Mauritius</t>
  </si>
  <si>
    <t>Monaco</t>
  </si>
  <si>
    <t>Netherlands</t>
  </si>
  <si>
    <t>New Caledonia</t>
  </si>
  <si>
    <t>New Zealand</t>
  </si>
  <si>
    <t>Norway</t>
  </si>
  <si>
    <t>Panama</t>
  </si>
  <si>
    <t>Poland</t>
  </si>
  <si>
    <t>Portugal</t>
  </si>
  <si>
    <t>Reunion</t>
  </si>
  <si>
    <t>Romania</t>
  </si>
  <si>
    <t>Saint Martin</t>
  </si>
  <si>
    <t>Saint Barthelemy</t>
  </si>
  <si>
    <t>Singapore</t>
  </si>
  <si>
    <t>Slovakia</t>
  </si>
  <si>
    <t>Slovenia</t>
  </si>
  <si>
    <t>South Africa</t>
  </si>
  <si>
    <t>Spain</t>
  </si>
  <si>
    <t>St Kitts &amp; Nevis</t>
  </si>
  <si>
    <t>St Lucia</t>
  </si>
  <si>
    <t>St Vincent</t>
  </si>
  <si>
    <t>Sweden</t>
  </si>
  <si>
    <t>Switzerland</t>
  </si>
  <si>
    <t>Trinidad &amp; Tobago</t>
  </si>
  <si>
    <t>Vanuatu</t>
  </si>
  <si>
    <t>Wallis &amp; Futuna</t>
  </si>
  <si>
    <t>Zimbabwe</t>
  </si>
  <si>
    <t>Country</t>
  </si>
  <si>
    <t>USA</t>
  </si>
  <si>
    <t>Holland</t>
  </si>
  <si>
    <t>Hong Kong</t>
  </si>
  <si>
    <t>Caribbean</t>
  </si>
  <si>
    <t>Brazil</t>
  </si>
  <si>
    <t>Other</t>
  </si>
  <si>
    <t>Asset Range 1 Lower</t>
  </si>
  <si>
    <t>Asset Range 1 Upper</t>
  </si>
  <si>
    <t>limit lower</t>
  </si>
  <si>
    <t>limit upper</t>
  </si>
  <si>
    <t>Premium Lower</t>
  </si>
  <si>
    <t>Premium Upper</t>
  </si>
  <si>
    <t>Description</t>
  </si>
  <si>
    <t>No merger, acquisition, or divestiture activity in the past 10+ years or expected in the future.</t>
  </si>
  <si>
    <t>No merger, acquisition, or divestiture activity in the past 5 – 10 years or expected in the future.</t>
  </si>
  <si>
    <t>No significant merger, acquisition, or divestiture activity in the past 1 – 5 years or expected in the future.</t>
  </si>
  <si>
    <t>No significant merger, acquisition, or divestiture activity within the last year and/or low-level activity expected in the future.</t>
  </si>
  <si>
    <t>Unsuccessful significant merger, acquisition, or divestiture activity in the past 3 – 5 years and/or activity expected in the future.</t>
  </si>
  <si>
    <t>Unsuccessful significant merger, acquisition, or divestiture activity in the past 2 – 3 years and/or significant activity expected in the future.</t>
  </si>
  <si>
    <t>Unsuccessful significant merger, acquisition, or divestiture activity within the last 2 years and/or very significant activity expected in the future.</t>
  </si>
  <si>
    <t>Net Income is generally positive, revenue and expenses are healthy, and most significant aspects of the Income Statement are trending positive.</t>
  </si>
  <si>
    <t>Net Income, revenue and expenses are generally healthy, and some of the more significant aspects of the Income Statement are trending positive.</t>
  </si>
  <si>
    <t>Overall mixed, but generally healthy and generally consistent Income Statement with limited large swings or variations year-over-year.</t>
  </si>
  <si>
    <t>Generally unprofitable within any of the last 10 years and/or trending towards, or recently, unprofitable.</t>
  </si>
  <si>
    <t>Overall unprofitable and/or trending and/or more often historically unprofitable in any of the last 5 years.</t>
  </si>
  <si>
    <t>Overall concerning profitability. Historically unprofitable within the last 6 years.</t>
  </si>
  <si>
    <t>Extremely unprofitable. Historically unprofitable within the last 5 years.</t>
  </si>
  <si>
    <t>Cash balances, debt leverage, overall liquidity and working capital are generally very healthy and most significant aspects of the balance sheet are trending positive and/or capacity to add significant debt for managing business needs going forward.</t>
  </si>
  <si>
    <t>Cash balances, debt leverage, overall liquidity and working capital are generally healthy and some aspects of the balance sheet are trending positive and/or 
capacity to add to moderate debt for managing business needs going forward.</t>
  </si>
  <si>
    <t>Mixed health of the balance sheet, modest cash reserve and liquidity and/or 
capacity to access minimal debt for managing business needs going forward.</t>
  </si>
  <si>
    <t>Concerns about the balance sheet and ability to meet existing needs, including the 
possibility that they may have difficulty accessing capital or other debt instruments for managing business needs going forward.</t>
  </si>
  <si>
    <t>Significant concerns about the balance sheet, including the significant possibility that they will not be able to meet existing needs via cash balance and other liquid assets, with possible inability to access capital or other debt instruments to managing business needs going forward.</t>
  </si>
  <si>
    <t>High concerns about the balance sheet and unlikely ability to meet the existing needs, including the inability to access capital or other debt instruments for 
managing business needs going forward.</t>
  </si>
  <si>
    <t>Extremely concerning balance sheet. Completely unable to access capital or other debt instruments for managing business needs going forward and/or has a going concern (as mentioned by company auditors).</t>
  </si>
  <si>
    <t>Cash flow, capital expenditures and financing activities are generally healthy, and most significant aspects of the cash flows are trending positive.</t>
  </si>
  <si>
    <t>Cash flow, capital expenditures and financing activities are generally healthy, and a number of significant aspects of the cash flows are trending positive.</t>
  </si>
  <si>
    <t>Overall mixed but generally healthy cash flows, capital expenditures and financing activities.</t>
  </si>
  <si>
    <t>Negative or concerning cash flows, capital expenditures and/or financing activities in any 1 – 2 of the 5 prior years.</t>
  </si>
  <si>
    <t>Negative or concerning cash flows, capital expenditures and financing activities in a majority of the 5 prior years.</t>
  </si>
  <si>
    <t>Negative or concerning cash flows, capital expenditures and/or financing activities in a majority of the 10 prior years.</t>
  </si>
  <si>
    <t>Very negative or significantly concerning cash flows, capital expenditures and financing activities in a majority of the 10 prior years.</t>
  </si>
  <si>
    <t>No significant claims which would trigger coverage noticed or filed in the last 10+ years.</t>
  </si>
  <si>
    <t>No or few significant claims which would trigger coverage noticed or filed in the last 5-10 years.</t>
  </si>
  <si>
    <t>Single or multiple claims of low significance noticed or filed in the last 5 years.</t>
  </si>
  <si>
    <t>Significant claims, including multiple claims, which may generate loss coverage noticed or filed in the last 5 years.</t>
  </si>
  <si>
    <t>Significant claims, including multiple claims and/or claims with payments paid or expected to-be-paid (exceeding the retention), in the last 10 years.</t>
  </si>
  <si>
    <t>Very significant, multiple, concerning, problematic or sizeable claims with payments paid or expected to-be-paid (exceeding the retention) in the last 10 years.</t>
  </si>
  <si>
    <t>Very Confident</t>
  </si>
  <si>
    <t>Confident</t>
  </si>
  <si>
    <t>Comfortable or Not Applicable</t>
  </si>
  <si>
    <t>Low Concern</t>
  </si>
  <si>
    <t>Material Concern</t>
  </si>
  <si>
    <t>High Concern</t>
  </si>
  <si>
    <t>Very High to Severe Concern</t>
  </si>
  <si>
    <t>Comfortable</t>
  </si>
  <si>
    <t>GroupItem</t>
  </si>
  <si>
    <t>GroupType</t>
  </si>
  <si>
    <t>Claims</t>
  </si>
  <si>
    <t>Exposure</t>
  </si>
  <si>
    <t>Base Frequency</t>
  </si>
  <si>
    <t>MarketCap</t>
  </si>
  <si>
    <t>Cost</t>
  </si>
  <si>
    <t>Small sector,  only 9 companies. Consider the following hazards: 
-  Chemical/pesticide use (e.g. glycophosphate), water use and pollution 
-  Labor practices and availabity of labor
-  Vertical farming companies have struggled 
-  Blend AgTech with another appropriate SIC code</t>
  </si>
  <si>
    <t>Decrease frequency up to 25% for traditional oil &amp; gas companies (SIC Code 1311) that have demonstrated a strong commitment to compliance and have a stable balance sheet plus long operating history
Decrease frequency up to 25% for MLPs that have demonstrated a strong commitment to compliance and have a stable balance sheet plus long operating history
For Gold &amp; Precious Metals companies increase frequency by 25%, these companies have had the largest share of SCAs for non-oil &amp; gas companies and have environmental issues to address with the use of tailings dams and toxic chemicals.
Be wary of mining companies for raw materials used in the EV industry
Beware Oil Majors, these companies may be highly exposed to environmental litigation
Beware Thermal Coal Companies
Beware miners exposed to countries with unstable governments and high risk of corruption
Beware deep sea mining</t>
  </si>
  <si>
    <t xml:space="preserve">- Decrease frequency for stable and best in class companies by up to 25% 
-  Beware of regulatory issues  
-  Consider recession exposure, CRE debt refinance exposures
-  Look out for fall in # of home constructions and project starts as indicators of economic concern 
-  Consider supply /absorbtion characteristics for industries and geographies served  </t>
  </si>
  <si>
    <t>-  Diverse sector with a broad range of products included 
-  We do no write cannabis producers or distributers unless FDA approved or soliciting FDA approval
-  Be cautious of Packaged Food and Meat as well as Speciality Chemical companies due to higher claims levels 
-  Speciality Chemical companies see a claim on average 5 years post IPO</t>
  </si>
  <si>
    <t>- Consider decrease in frequency up to 60% for stable and established apparel 
-  Do not credit manufacturers producing for mid-tier brands e.g. Aeropostale, American Eagle, Children's Place, Hollister, PacSun, Sheen 
-  Caution around high value or volatile fashion brands, especially those with a high revenue CAGR
- Consider exposure to retail footprint and changes in E-commerce demand post pandemic</t>
  </si>
  <si>
    <t xml:space="preserve">Be aware of the different types of companies in this sector
- Decrease frequency for traditional manufacturers and military prime contractors by up to 25%  
- Blend SIC code for Tech Manufacturers  or increase frequency by up to 25%  
-  Consider supply chain, destocking, and changes in demand exposure
- </t>
  </si>
  <si>
    <t>-Increase Phase III frequency up to 25%
-Decrease Phase II frequency up to 10%
-Decrease Phase I frequency up to 35%
-No pharma xs $2bn revenue unless A side and consider reinsurance restrictions. Check with Healthcare ML team
Confirm with NW on exclusion list</t>
  </si>
  <si>
    <t>Tough space where the market expects more than the companies can deliver. Hyped industries tend to get more claims. Consider exposure to: 
- Cloud computing
- Retail exposure 
- Supply Chain, destocking, changes in demand</t>
  </si>
  <si>
    <t>Non-consumer chips decrease frequency up to 30%
Solar companies consider up to 50% frequency increase or consider using SIC blend
Residential leasing - be mindful of sellers of these programmes, high incidence of fraud. Consider frequency increase
Check with Neal, Wayne or Jeremie if unsure</t>
  </si>
  <si>
    <t xml:space="preserve">-  Decrease frequency for best in class by up to 40% 
-  If no products at market, blend with pharma if pending FDA approval
-  Electromedical, Surgical and Medical Instrument manufactures represent greater than 50% of SCAs in this sector
-  Potential reimbursement issues
- Second head with NSW / WLI / JS /JWR  or Healthcare team </t>
  </si>
  <si>
    <t>-Highly cyclical sector, Established financially sound and stress tested credit frequency up to 20%
- Consider leverage ratios and debt maturity schedules in assessing strength and stability</t>
  </si>
  <si>
    <t>Small sector subject to frequency volatility
-   Claims activity is particularly high for integrated telecommunications services
-   Beware political exposures</t>
  </si>
  <si>
    <t xml:space="preserve">Very diverse sector that needs some consideration: 
- Newspapers are in slow decline and generally lower risk and may decrease by up to 25% if financially sound 
-  Content providers are much higher risk and could require a frequency increase to the base frequency. Consider development spend
-  Beware of political exposures
-  Second head concerns with NSW/WLI/JS/JWR </t>
  </si>
  <si>
    <t>Increase frequency for companies with large investments in coal or nuclear (decommissioning and increasing emissions standards have large costs). 
If coal exposure roundtable - consider latest Beazley stance
Be cautious of electric utilities, especially those exposed to wild fire issues. 
Increase frequency for electricity utility companies by 30-50%</t>
  </si>
  <si>
    <t>- Potentially volatile class, underwrite these companies carefully with scrutiny over quality of the board and management  
-Consider political finance and corruption exposures</t>
  </si>
  <si>
    <t>- Increase frequency 50% for Healthcare and Drug distributors 
- We do no write cannabis producers or distributers
- Refer opioid exposure to NSW/WLI/JS/JWR - may consider post opioide settlement subject to approval</t>
  </si>
  <si>
    <t xml:space="preserve">- Claims normally come from underperforming retailers so underwrite these using the modifiers
-  Beware of cyber exposure here (e.g.: Target)
-  Consider physical retail exposures and changes in ecom demand post pandemic </t>
  </si>
  <si>
    <t>FI all risks in this sector to be roundtabled. London platform only</t>
  </si>
  <si>
    <t>FI all risks in this sector to be roundtabled. London platform only
-  Exposed to regulatory, billing and reimbursement risks
-  Consult with Healthcare ML team</t>
  </si>
  <si>
    <t>- Make sure to redirect any REIT/Builder/Construction company to appropriate SIC code
-Equity REITs only, no lending &gt; 10% of assets under management
-Secondhead all REITs with NSW/WI / JS / JR
-Use blended SIC code with "sub-industry" for recession exposed affected sub-sectors, e.g. blend with retail, office, hospitality etc. UW discretion for weighting. Be cautious of this industry class, it varies by sector. Remain cautious with Office.
-Consider CRE debt refinance exposures</t>
  </si>
  <si>
    <t>- No increase in frequency for REIT IPOs given this is core to development strategy
- Private and Non-Traded REITs increase frequency by 200%
- Make sure to redirect any Builder/Construction company to appropriate SIC code
-Equity REITs only, no lending &gt; 10% of assets under management
- Remain cautious with Office, Retail and Mall REITS. Beware of Correctional and Agricultural.
-Use blended SIC code with "sub-industry" for taxable REIT subsidiaries, or recession exposed  sub-sectors, e.g. blend with retail, office, hospitality etc. UW discretion for weighting. Be cautious of this industry class, it varies by sector.  
-Consider CRE debt refinance exposures
-Secondhead all REITs with NSW/WLI / JS /JWR</t>
  </si>
  <si>
    <t>- Consider a 25% decrease for companies outside of the following sub-sectors: Movies, Entertainment, Casino, Human resource, Employment services 
-  Be aware of opioid, cannabis derived products or addictive drugs for sale 
- Be very careful of companies selling guns/weapons. Refer to NSW/WLI/JS/JWR</t>
  </si>
  <si>
    <t>Underwrite carefully via the SIC blend, especially to reflect advertising practices and cloud computing. 
Apply a 30% increase for Interactive Media and Services (Social media, search engines, and social networking platforms)
Revenue recognition can be complex where there is a mixture of software and services. Some companies moving to a subscription revenue rec (vs perpetual) which is more predictable. 
Increase frequency 20% for complex revenure recognition, decrease frequency 12.5% for subscription businesses (ie, if subscription and maintenance is  greater than 80%,  decrease frequency by up to 12.5%, if around 70% then leave rate, and if less than 60%, increase frequency by 20%).</t>
  </si>
  <si>
    <t>-  Subscription revenue rec (vs perpetual) is more predictable
-  if &gt;70% subscripton credit up to 20%
-  if 50% to 60% decrease frequency by 10%
- less than 50% subscription leave at default
-  Increase frequency 20% for perpetual licenses C23
-  If crypto - Consider appropriate SIC code split. London platform only</t>
  </si>
  <si>
    <t>-  Increase frequency by 50% for outpatient clinics and 25% for home health 
-   Everything in this sector needs to be agreed by NSW/WLI/JS/JWR 
-  Consult with Healthcare ML team</t>
  </si>
  <si>
    <t xml:space="preserve">- Increase frequency 200% for Education and Telehealth. Refer to NSW/WLI/JS/JWR 
- Very diverse sector, blend frequency with industries of similar characteristics  </t>
  </si>
  <si>
    <t>None.</t>
  </si>
  <si>
    <t>- No frequency, there shouldn't be anything written in this sector. All companies need to be assigned to a suitable SIC / sector 
-  Current frequency is a in place as a base rate.</t>
  </si>
  <si>
    <t>Mod</t>
  </si>
  <si>
    <t>Management and Corporate Gov</t>
  </si>
  <si>
    <t>Business/Financial Model Factors</t>
  </si>
  <si>
    <t>Significant Event Factors</t>
  </si>
  <si>
    <t>Stock Market Factors</t>
  </si>
  <si>
    <t>Derivative</t>
  </si>
  <si>
    <t>&lt;15</t>
  </si>
  <si>
    <t>15-30</t>
  </si>
  <si>
    <t>30-50</t>
  </si>
  <si>
    <t>50-75</t>
  </si>
  <si>
    <t>75-9999</t>
  </si>
  <si>
    <t>Years in Business Factor</t>
  </si>
  <si>
    <t>CanadaFactor</t>
  </si>
  <si>
    <t>Severity Component</t>
  </si>
  <si>
    <t>Low Risk - LB</t>
  </si>
  <si>
    <t>Low Risk - UB</t>
  </si>
  <si>
    <t>Normal Risk - LB</t>
  </si>
  <si>
    <t>Normal Risk - UB</t>
  </si>
  <si>
    <t>High Risk - LB</t>
  </si>
  <si>
    <t>High Risk - UB</t>
  </si>
  <si>
    <t>Industry/ Sector Factor</t>
  </si>
  <si>
    <t>Company Specific Factor</t>
  </si>
  <si>
    <t>Litigation Potential Factor</t>
  </si>
  <si>
    <t>Standard</t>
  </si>
  <si>
    <t>Limited</t>
  </si>
  <si>
    <t>Excl</t>
  </si>
  <si>
    <t>Primary Rate Adequacy Correction</t>
  </si>
  <si>
    <t>0.75-1.25</t>
  </si>
  <si>
    <t>Primary Type</t>
  </si>
  <si>
    <t>Severity Type</t>
  </si>
  <si>
    <t>Code</t>
  </si>
  <si>
    <t>ILF Type</t>
  </si>
  <si>
    <t>Schedule Rating</t>
  </si>
  <si>
    <t>LB</t>
  </si>
  <si>
    <t>UB</t>
  </si>
  <si>
    <t>Number of</t>
  </si>
  <si>
    <t>Single Limit Factor</t>
  </si>
  <si>
    <t>Round Up</t>
  </si>
  <si>
    <t>Round Down</t>
  </si>
  <si>
    <t>Length of ERP</t>
  </si>
  <si>
    <t>No ERP</t>
  </si>
  <si>
    <t>24 Months</t>
  </si>
  <si>
    <t>36 Months</t>
  </si>
  <si>
    <t>48 Months</t>
  </si>
  <si>
    <t>60 Months</t>
  </si>
  <si>
    <t>72 Months</t>
  </si>
  <si>
    <t>Unlimited ERP</t>
  </si>
  <si>
    <t>Below Average Lower</t>
  </si>
  <si>
    <t>Average Lower</t>
  </si>
  <si>
    <t>Above Average Lower</t>
  </si>
  <si>
    <t>Limited Lower</t>
  </si>
  <si>
    <t>Below Average Upper</t>
  </si>
  <si>
    <t>Average Upper</t>
  </si>
  <si>
    <t>Above Average Upper</t>
  </si>
  <si>
    <t>Limited Upper</t>
  </si>
  <si>
    <t>Attachment Point Lower</t>
  </si>
  <si>
    <t>Attachment Point Upper</t>
  </si>
  <si>
    <t>Rated Premium Lower</t>
  </si>
  <si>
    <t>Rated Premium Upper</t>
  </si>
  <si>
    <t>SICCombined</t>
  </si>
  <si>
    <t>HighOrLowRisk</t>
  </si>
  <si>
    <t>BridgePricing</t>
  </si>
  <si>
    <t>L</t>
  </si>
  <si>
    <t>H</t>
  </si>
  <si>
    <t>Broker</t>
  </si>
  <si>
    <t>BrokerLocation</t>
  </si>
  <si>
    <t>ABD - UK</t>
  </si>
  <si>
    <t>ABD - US</t>
  </si>
  <si>
    <t>Access E&amp;S</t>
  </si>
  <si>
    <t>Acrisure London Wholesale</t>
  </si>
  <si>
    <t>AFL Insurance Brokers</t>
  </si>
  <si>
    <t>AH&amp;T Insurance Northeast</t>
  </si>
  <si>
    <t>AH&amp;T Insurance Seattle</t>
  </si>
  <si>
    <t>Aj Gallagher - Alabama</t>
  </si>
  <si>
    <t>Aj Gallagher - Canada</t>
  </si>
  <si>
    <t>Aj Gallagher - Chicago</t>
  </si>
  <si>
    <t>Aj Gallagher - LA</t>
  </si>
  <si>
    <t>AjGallagher - Alabama</t>
  </si>
  <si>
    <t>AjGallagher -california</t>
  </si>
  <si>
    <t>AjGallagher -New York</t>
  </si>
  <si>
    <t>Alera Group</t>
  </si>
  <si>
    <t>ALEXANDER FORBES RISK SERVICES UK LTD</t>
  </si>
  <si>
    <t>All Risks, Ltd.</t>
  </si>
  <si>
    <t>Alliant - Arizona</t>
  </si>
  <si>
    <t>Alliant - Chicago</t>
  </si>
  <si>
    <t>Alliant - New York</t>
  </si>
  <si>
    <t>Alsford Page and Gems</t>
  </si>
  <si>
    <t>Alwin Hough Johnson</t>
  </si>
  <si>
    <t>AmPro</t>
  </si>
  <si>
    <t>AMWins</t>
  </si>
  <si>
    <t>AMWins - Atlanta</t>
  </si>
  <si>
    <t>AMWins - Lakespur</t>
  </si>
  <si>
    <t>AON - Atlanta</t>
  </si>
  <si>
    <t>AON - Baltimore</t>
  </si>
  <si>
    <t>AON - Boston</t>
  </si>
  <si>
    <t>AON - Canada</t>
  </si>
  <si>
    <t>AON - Charlotte</t>
  </si>
  <si>
    <t>AON - Chicago</t>
  </si>
  <si>
    <t>AON - Denver</t>
  </si>
  <si>
    <t>AON - Houston</t>
  </si>
  <si>
    <t>AON - LA</t>
  </si>
  <si>
    <t>AON - Minneapolis</t>
  </si>
  <si>
    <t>AON - New York</t>
  </si>
  <si>
    <t>AON - Pittsburgh</t>
  </si>
  <si>
    <t>AON  San Francisco</t>
  </si>
  <si>
    <t>AON - St. Louis</t>
  </si>
  <si>
    <t>AON Ltd</t>
  </si>
  <si>
    <t>AON Philadelphia</t>
  </si>
  <si>
    <t>APUA</t>
  </si>
  <si>
    <t>ARC</t>
  </si>
  <si>
    <t>ARC - Connecticut</t>
  </si>
  <si>
    <t>ARC - NY</t>
  </si>
  <si>
    <t>ARC South</t>
  </si>
  <si>
    <t>ARC West</t>
  </si>
  <si>
    <t>ARCH</t>
  </si>
  <si>
    <t>ARTHUR J GALLAGHER - UK</t>
  </si>
  <si>
    <t>ARTHUR J GALLAGHER - US</t>
  </si>
  <si>
    <t>Atlantic Specialty Lines - Midwest</t>
  </si>
  <si>
    <t>Avner</t>
  </si>
  <si>
    <t>BALLANTYNE MCKEAN &amp; SULLIVAN LTD</t>
  </si>
  <si>
    <t>BARNEY &amp; BARNEY (San Diego)</t>
  </si>
  <si>
    <t>Beazley Canada</t>
  </si>
  <si>
    <t>Beecher Carlson</t>
  </si>
  <si>
    <t>Beecher Carlson - Atlanta</t>
  </si>
  <si>
    <t>BENFIELD LTD</t>
  </si>
  <si>
    <t>BESSO</t>
  </si>
  <si>
    <t>BFL Canada</t>
  </si>
  <si>
    <t>BISYS</t>
  </si>
  <si>
    <t>BLAIS - Houston</t>
  </si>
  <si>
    <t>Blais Excess &amp; Surplus - Dallas</t>
  </si>
  <si>
    <t>BLANCH CRAWLEY WARREN  LTD</t>
  </si>
  <si>
    <t>Bliss &amp; Glennon</t>
  </si>
  <si>
    <t>BMS</t>
  </si>
  <si>
    <t>Bowen, Miclette &amp; Britt, Inc.</t>
  </si>
  <si>
    <t>Brown &amp; Riding</t>
  </si>
  <si>
    <t>BUSA</t>
  </si>
  <si>
    <t>BUSA PB</t>
  </si>
  <si>
    <t>BUTCHER ROBINSON &amp; STAPLES INTERNATIONAL LTD</t>
  </si>
  <si>
    <t>C J COLEMAN &amp; CO LTD</t>
  </si>
  <si>
    <t>CAC Specialty</t>
  </si>
  <si>
    <t>CAC Specialty – Atlanta</t>
  </si>
  <si>
    <t>CAC Specialty – Denver</t>
  </si>
  <si>
    <t>CAC Specialty – Houston</t>
  </si>
  <si>
    <t>CAC Specialty – New York</t>
  </si>
  <si>
    <t>CBC UK Ltd</t>
  </si>
  <si>
    <t>CBIZ</t>
  </si>
  <si>
    <t>CFR - Tulsa</t>
  </si>
  <si>
    <t>CHESTERFIELD INSURANCE BROKERS LTD (U/A)</t>
  </si>
  <si>
    <t>COlemont</t>
  </si>
  <si>
    <t>Colemont - Atlanta</t>
  </si>
  <si>
    <t>Colemont - Chicago</t>
  </si>
  <si>
    <t xml:space="preserve">Consilium </t>
  </si>
  <si>
    <t>COnway E&amp;S</t>
  </si>
  <si>
    <t>Cooper &amp; McCloskey</t>
  </si>
  <si>
    <t>COOPER GAY &amp; CO LTD</t>
  </si>
  <si>
    <t>Costero Brokers</t>
  </si>
  <si>
    <t>CPR Inc.</t>
  </si>
  <si>
    <t>CRAVEN AND PARTNERS LTD</t>
  </si>
  <si>
    <t>CRC - Chicago</t>
  </si>
  <si>
    <t>CRC - Dallas</t>
  </si>
  <si>
    <t>CRC - Glendale</t>
  </si>
  <si>
    <t>CRC - Littleton</t>
  </si>
  <si>
    <t>CRC - Norcross</t>
  </si>
  <si>
    <t>CRC Atlanta</t>
  </si>
  <si>
    <t>Crump</t>
  </si>
  <si>
    <t>Crump - Chicago, IL</t>
  </si>
  <si>
    <t>Crump - SF</t>
  </si>
  <si>
    <t>Crump-NY</t>
  </si>
  <si>
    <t>Dashwood Brewer &amp; Phipps</t>
  </si>
  <si>
    <t>Decus Insurance Brokers</t>
  </si>
  <si>
    <t>dewitt stern</t>
  </si>
  <si>
    <t>ECC- Los Angeles</t>
  </si>
  <si>
    <t>ECC-Chicago</t>
  </si>
  <si>
    <t>Edbroking</t>
  </si>
  <si>
    <t>ELM</t>
  </si>
  <si>
    <t>ELM Insurance Brokers</t>
  </si>
  <si>
    <t>Enro Limited (Superscript)</t>
  </si>
  <si>
    <t>EUROPEAN BROKERS ASSOCIATION</t>
  </si>
  <si>
    <t>EPIC</t>
  </si>
  <si>
    <t>EWI Specialty Casualty E&amp;S</t>
  </si>
  <si>
    <t>Executive Liability Solutions</t>
  </si>
  <si>
    <t>Executive Perils Inc</t>
  </si>
  <si>
    <t>ExecutivePerils Inc.</t>
  </si>
  <si>
    <t>First City</t>
  </si>
  <si>
    <t>Frank Crystal - New York</t>
  </si>
  <si>
    <t>Frenkel</t>
  </si>
  <si>
    <t>GAWS</t>
  </si>
  <si>
    <t>GAWS of London</t>
  </si>
  <si>
    <t>Genatt Associates</t>
  </si>
  <si>
    <t>GLENCAIRN LTD</t>
  </si>
  <si>
    <t>GLENRAND LTD</t>
  </si>
  <si>
    <t>GRIFFITHS &amp; ARMOUR GLOBLA RISKS LTD</t>
  </si>
  <si>
    <t>GROSVENOR BROKERS</t>
  </si>
  <si>
    <t>GUEST KRIEGER LTD</t>
  </si>
  <si>
    <t>Guy Carpenter - London</t>
  </si>
  <si>
    <t>H.W. Wood</t>
  </si>
  <si>
    <t>Hays - Milwaukee</t>
  </si>
  <si>
    <t>Hays - MSP</t>
  </si>
  <si>
    <t>HEATH LAMBERT LTD</t>
  </si>
  <si>
    <t>HHS</t>
  </si>
  <si>
    <t>HOWDEN INSURANCE BROKERS</t>
  </si>
  <si>
    <t>HRH</t>
  </si>
  <si>
    <t>HRH - Atlanta</t>
  </si>
  <si>
    <t>HUB - Canada</t>
  </si>
  <si>
    <t>Hub - Chicago</t>
  </si>
  <si>
    <t>HUB - Los Angeles</t>
  </si>
  <si>
    <t>HUB International New England</t>
  </si>
  <si>
    <t>HUB San Diego</t>
  </si>
  <si>
    <t>HULL AND COMPANY</t>
  </si>
  <si>
    <t>HUMPREYS HAGGAS SUTTON &amp; CO LTD</t>
  </si>
  <si>
    <t>HW Wood</t>
  </si>
  <si>
    <t>Hylant - Ann Arbor</t>
  </si>
  <si>
    <t>Hylant - Chicago</t>
  </si>
  <si>
    <t>Hylant - Cincinnati</t>
  </si>
  <si>
    <t>Hylant - Detroit</t>
  </si>
  <si>
    <t>Hylant - Toledo</t>
  </si>
  <si>
    <t>IMA- Denver</t>
  </si>
  <si>
    <t>Integro</t>
  </si>
  <si>
    <t>Integro - Atlanta</t>
  </si>
  <si>
    <t>Integro Insurance Brokers Ltd - London</t>
  </si>
  <si>
    <t>IRIS Insurance Brokers</t>
  </si>
  <si>
    <t>J. L. Wortham</t>
  </si>
  <si>
    <t>J. Smith Lanier</t>
  </si>
  <si>
    <t>Jencap</t>
  </si>
  <si>
    <t>JLT</t>
  </si>
  <si>
    <t>JLT - Chicago</t>
  </si>
  <si>
    <t>JLT - Denver</t>
  </si>
  <si>
    <t>JLT - LA</t>
  </si>
  <si>
    <t>JLT - New York</t>
  </si>
  <si>
    <t>JLT - San Francisco</t>
  </si>
  <si>
    <t>JOHNSON AND HIGGINS</t>
  </si>
  <si>
    <t>JP Tech</t>
  </si>
  <si>
    <t>Kornreich</t>
  </si>
  <si>
    <t>Kraft</t>
  </si>
  <si>
    <t>Krauter &amp; Co.</t>
  </si>
  <si>
    <t>Lemac &amp; Associates</t>
  </si>
  <si>
    <t>Lockton</t>
  </si>
  <si>
    <t>Lockton - Atlanta</t>
  </si>
  <si>
    <t>Lockton - Charlotte</t>
  </si>
  <si>
    <t>Lockton - Chicago</t>
  </si>
  <si>
    <t>Lockton - Dallas</t>
  </si>
  <si>
    <t>Lockton - DC</t>
  </si>
  <si>
    <t>Lockton - Denver</t>
  </si>
  <si>
    <t>Lockton - Houston</t>
  </si>
  <si>
    <t>Lockton - Kansas City</t>
  </si>
  <si>
    <t>Lockton - New York</t>
  </si>
  <si>
    <t>Lockton - San Francisco</t>
  </si>
  <si>
    <t>Lockton - St Louis</t>
  </si>
  <si>
    <t>Lockton CA</t>
  </si>
  <si>
    <t>Lockton DC</t>
  </si>
  <si>
    <t>Lockton International LTD</t>
  </si>
  <si>
    <t>Lockton LA</t>
  </si>
  <si>
    <t>Lockton San Fran</t>
  </si>
  <si>
    <t>LONDON WALL INSURANCE SERVICES LIMITED</t>
  </si>
  <si>
    <t>MANNING WILLIAMS LTD</t>
  </si>
  <si>
    <t>MARINE AVIATION &amp; GENERAL (LONDON) LTD</t>
  </si>
  <si>
    <t>Market Solution Managers</t>
  </si>
  <si>
    <t>MARSH - Atlanta</t>
  </si>
  <si>
    <t>MARSH - Boston</t>
  </si>
  <si>
    <t>MARSH - Canada</t>
  </si>
  <si>
    <t>MARSH - Charlotte</t>
  </si>
  <si>
    <t>MARSH - Chicago</t>
  </si>
  <si>
    <t>MARSH - Cincinnati</t>
  </si>
  <si>
    <t>MARSH - Cleveland</t>
  </si>
  <si>
    <t>MARSH - Dallas</t>
  </si>
  <si>
    <t>MARSH - DC</t>
  </si>
  <si>
    <t>MARSH - Detroit</t>
  </si>
  <si>
    <t>MARSH - Florida</t>
  </si>
  <si>
    <t>MARSH - Houston</t>
  </si>
  <si>
    <t>MARSH - LA</t>
  </si>
  <si>
    <t>MARSH - Louisville</t>
  </si>
  <si>
    <t>MARSH - Milwaukee</t>
  </si>
  <si>
    <t>MARSH - Minneapolis</t>
  </si>
  <si>
    <t>MARSH - New York</t>
  </si>
  <si>
    <t>MARSH - Philadelphia</t>
  </si>
  <si>
    <t>MARSH - Richmond</t>
  </si>
  <si>
    <t>MARSH - Seattle</t>
  </si>
  <si>
    <t>MARSH - St. Louis</t>
  </si>
  <si>
    <t>MARSH - Washington, DC</t>
  </si>
  <si>
    <t>MARSH LTD FINPRO DIVISION</t>
  </si>
  <si>
    <t>Marsh McLennan Agency</t>
  </si>
  <si>
    <t>MARSH San Francisco</t>
  </si>
  <si>
    <t>MARSH USA, Inc.</t>
  </si>
  <si>
    <t>McGill &amp; Partners</t>
  </si>
  <si>
    <t>McGriff - Atlanta</t>
  </si>
  <si>
    <t>McGriff - Dallas</t>
  </si>
  <si>
    <t>McGriff - Houston</t>
  </si>
  <si>
    <t>McQueary Henry Bowles</t>
  </si>
  <si>
    <t>MDW</t>
  </si>
  <si>
    <t>Mercator Risk Services</t>
  </si>
  <si>
    <t>Mesirow</t>
  </si>
  <si>
    <t>MILES SMITH PLC</t>
  </si>
  <si>
    <t>MILLER INSURANCE SERVICES LIMITED</t>
  </si>
  <si>
    <t>Moreton &amp; Company</t>
  </si>
  <si>
    <t>Navacord</t>
  </si>
  <si>
    <t>N.I.B/LEES PRESTON LTD</t>
  </si>
  <si>
    <t>New Dawn</t>
  </si>
  <si>
    <t>NFP Property &amp; Casualty Services</t>
  </si>
  <si>
    <t>NFP - Canada</t>
  </si>
  <si>
    <t>NIF</t>
  </si>
  <si>
    <t>NMB - Newman Martin and Buchan Limited</t>
  </si>
  <si>
    <t>Oakbridge Insurance</t>
  </si>
  <si>
    <t>Oneglobal</t>
  </si>
  <si>
    <t>OneGlobal Broking</t>
  </si>
  <si>
    <t>Oswald Companies</t>
  </si>
  <si>
    <t>Oxford Insurance Brokers</t>
  </si>
  <si>
    <t>PARAGON INTERNATIONAL INSURANCE BROKERS LTD</t>
  </si>
  <si>
    <t>Partners Specialty Group</t>
  </si>
  <si>
    <t>Peachtree Special Risk</t>
  </si>
  <si>
    <t>Polestar Executive Management</t>
  </si>
  <si>
    <t>PRENTIS DONEGAN &amp; PARTNERS LTD</t>
  </si>
  <si>
    <t>PRICE FORBES LTD</t>
  </si>
  <si>
    <t>PRIME INTERNATIONAL – UK</t>
  </si>
  <si>
    <t>PRIME INTERNATIONAL – US</t>
  </si>
  <si>
    <t>PRofessional Liability Brokers &amp; Consultants</t>
  </si>
  <si>
    <t>Professional Risk Solutions</t>
  </si>
  <si>
    <t>Program Brokerage Corp.</t>
  </si>
  <si>
    <t>PRS</t>
  </si>
  <si>
    <t>Purves Redmond</t>
  </si>
  <si>
    <t>PWIB/Pacific Wholesale Insurance Brokers</t>
  </si>
  <si>
    <t>Quaker Special Risk</t>
  </si>
  <si>
    <t>R K HARRISON INSURANCE BROKERS LTD</t>
  </si>
  <si>
    <t>RATTNER MACKENZIE LTD</t>
  </si>
  <si>
    <t>RCP Alera Group, Inc.</t>
  </si>
  <si>
    <t>RF Ougheltree &amp; Associates</t>
  </si>
  <si>
    <t>RFIB GROUP LIMITED</t>
  </si>
  <si>
    <t>RIggs, Counselman, Michaels &amp; Downes</t>
  </si>
  <si>
    <t>Risk Consulting Partners</t>
  </si>
  <si>
    <t>RISK PLACEMENT SERVICES</t>
  </si>
  <si>
    <t>RISK PLACEMENT SERVICES- LA</t>
  </si>
  <si>
    <t>RLA</t>
  </si>
  <si>
    <t>Robert A. Schneider Agency</t>
  </si>
  <si>
    <t>ROSTRALIS</t>
  </si>
  <si>
    <t>R-T Specialty</t>
  </si>
  <si>
    <t>Russel Bond &amp; Co.</t>
  </si>
  <si>
    <t>Rutherfoord - Richmond</t>
  </si>
  <si>
    <t>S.H. Smith &amp; Company</t>
  </si>
  <si>
    <t>Safeonline</t>
  </si>
  <si>
    <t>Sharebridge - New York, NY</t>
  </si>
  <si>
    <t>Socius, FL office</t>
  </si>
  <si>
    <t>Spain Agency</t>
  </si>
  <si>
    <t>Specialist Risk International</t>
  </si>
  <si>
    <t>Specialty Insurance Managers</t>
  </si>
  <si>
    <t>Stephens Insurance Llc</t>
  </si>
  <si>
    <t>Strickland General Agency</t>
  </si>
  <si>
    <t>Strickland General Agency of FL</t>
  </si>
  <si>
    <t>Swett &amp; Crawford</t>
  </si>
  <si>
    <t>Swett and Crawford - Atlanta</t>
  </si>
  <si>
    <t>Swett and Crawford - Boston</t>
  </si>
  <si>
    <t>Swett and Crawford - Irvine</t>
  </si>
  <si>
    <t>Swett and Crawford - Spokane</t>
  </si>
  <si>
    <t>Swett and Crawford - Texas</t>
  </si>
  <si>
    <t>Swett and Crawford LA</t>
  </si>
  <si>
    <t>Swett and Crawford Woodland Hills</t>
  </si>
  <si>
    <t>SWINGLEHURST TREW &amp; PARTNERS</t>
  </si>
  <si>
    <t>THB</t>
  </si>
  <si>
    <t>The ABD Team - San Francisco</t>
  </si>
  <si>
    <t>THompson Flanagan</t>
  </si>
  <si>
    <t>Tri-City</t>
  </si>
  <si>
    <t>TYSER &amp; CO</t>
  </si>
  <si>
    <t>US Risk Brokers</t>
  </si>
  <si>
    <t>USI - Fort Lauderdale</t>
  </si>
  <si>
    <t>USI - Miami</t>
  </si>
  <si>
    <t>USI - Minnesota</t>
  </si>
  <si>
    <t>USI - Texas</t>
  </si>
  <si>
    <t>Vanbridge</t>
  </si>
  <si>
    <t>Van Gilder</t>
  </si>
  <si>
    <t>Wachovia - Atlanta</t>
  </si>
  <si>
    <t>Wachovia - Charlotte</t>
  </si>
  <si>
    <t>Wachovia - Cleveland</t>
  </si>
  <si>
    <t>Wachovia - Greenville, SC</t>
  </si>
  <si>
    <t>Wells Fargo</t>
  </si>
  <si>
    <t>Wells Fargo - Atlanta</t>
  </si>
  <si>
    <t>Wells Fargo - Cleveland</t>
  </si>
  <si>
    <t>Wells Fargo - LA</t>
  </si>
  <si>
    <t>Wells Fargo - Madison, NJ</t>
  </si>
  <si>
    <t>Wells Fargo - Minneapolis</t>
  </si>
  <si>
    <t>Wells Fargo - NY</t>
  </si>
  <si>
    <t>Wells Fargo - Seattle</t>
  </si>
  <si>
    <t>Wells Fargo - SF</t>
  </si>
  <si>
    <t>Westrope</t>
  </si>
  <si>
    <t>William Gallagher - Atlanta</t>
  </si>
  <si>
    <t>William Gallagher - Boston</t>
  </si>
  <si>
    <t>William Gallagher - New York</t>
  </si>
  <si>
    <t>William Gallagher - NJ</t>
  </si>
  <si>
    <t>Willis - Alabama</t>
  </si>
  <si>
    <t>Willis - Atlanta</t>
  </si>
  <si>
    <t>Willis - Boston</t>
  </si>
  <si>
    <t>Willis - Canada</t>
  </si>
  <si>
    <t>Willis - Chicago</t>
  </si>
  <si>
    <t>WILLIS - Los Angeles</t>
  </si>
  <si>
    <t>Willis - Radnor</t>
  </si>
  <si>
    <t>Willis - TX</t>
  </si>
  <si>
    <t>WILLIS Charlotte</t>
  </si>
  <si>
    <t>WILLIS Denver</t>
  </si>
  <si>
    <t>WILLIS LIMITED</t>
  </si>
  <si>
    <t>Willis London</t>
  </si>
  <si>
    <t>WILLIS NY</t>
  </si>
  <si>
    <t>Willis Orange County</t>
  </si>
  <si>
    <t>WILLIS Pittsburgh</t>
  </si>
  <si>
    <t>Willis San Diego</t>
  </si>
  <si>
    <t>Wood Special Risk Brokers</t>
  </si>
  <si>
    <t>Woodruf Sawyer Irvine</t>
  </si>
  <si>
    <t>Woodruff Sawyer - Boston</t>
  </si>
  <si>
    <t>Woodruff-Sawyer - Irvine</t>
  </si>
  <si>
    <t>Woodruff-Sawyer - San Francisco</t>
  </si>
  <si>
    <t>Worldwide Facilities</t>
  </si>
  <si>
    <t>No Code</t>
  </si>
  <si>
    <t>BAIC_or_BIC</t>
  </si>
  <si>
    <t>ModifierName</t>
  </si>
  <si>
    <t>Confidence</t>
  </si>
  <si>
    <t>States_All</t>
  </si>
  <si>
    <t>States_WA</t>
  </si>
  <si>
    <t>baic</t>
  </si>
  <si>
    <t>step_3_mam</t>
  </si>
  <si>
    <t>step_4_pm</t>
  </si>
  <si>
    <t>Organization has shown a profit the past 2 years and exceeded prior year’s results by 5% or more.</t>
  </si>
  <si>
    <t>Organization has had a profit the past 2 years or has exceeded prior year’s results by 5% (if prior year was an operating loss).</t>
  </si>
  <si>
    <t>Organization has an operating income on the current income statement, but earnings growth is less than 5%.</t>
  </si>
  <si>
    <t>No earnings growth over prior year.</t>
  </si>
  <si>
    <t>Organization has shown an operating loss in the current year.</t>
  </si>
  <si>
    <t>Organization has shown operating loss for the past 2 years.</t>
  </si>
  <si>
    <t>Organization has shown operating loss for more than 2 years or more and has a negative trend.</t>
  </si>
  <si>
    <t>step_5_qm</t>
  </si>
  <si>
    <t>Positive fund balance and working capital for the past 2 years, increase in asset size by 5% or more.</t>
  </si>
  <si>
    <t>Current year’s fund balance and working capital are positive, but growth less than 5% over prior year’s results.</t>
  </si>
  <si>
    <t>Positive fund balance for current year, long term debt compared to total asset size is positive.</t>
  </si>
  <si>
    <t>Negative fund balance in the current year, no growth of asset size over prior year.</t>
  </si>
  <si>
    <t>Negative working capital and fund balance for the past 2 years, negative trend.</t>
  </si>
  <si>
    <t>Going concern an issue, risk of bankruptcy, liquidation, or rehabilitation within the next 12 months.</t>
  </si>
  <si>
    <t>Organization is now in or emerging from bankruptcy, liquidation, or rehabilitation (Chapter 7 or 11).</t>
  </si>
  <si>
    <t>step_6_cm</t>
  </si>
  <si>
    <t>Organization has positive cash flow from operating, investing and financing activities for the past 2 years and exceeds prior year results by 5% or more.</t>
  </si>
  <si>
    <t>Organization has positive cash flow from at least two of the operating activities for the past 2 years or with an increase over the prior year by 5% or more.</t>
  </si>
  <si>
    <t>Organization has positive cash flow from operating activities with less than 5% over prior year results.</t>
  </si>
  <si>
    <t>Organization has no cash flow from operations in the current year.</t>
  </si>
  <si>
    <t>Organization has a negative cash flow from operating activities for the past 2 years.</t>
  </si>
  <si>
    <t>Organization has negative cash flows from operating, investing and financing activities or has had a decrease in cash flow from operating activities from the prior year.</t>
  </si>
  <si>
    <t>Negative cash flows from all activities for past 3 years, negative trend and going concern issue.</t>
  </si>
  <si>
    <t>step_8_em</t>
  </si>
  <si>
    <t>Significant top level management turnover in the last 3 years; average experience of management &lt;5 years; no formal management evaluation practices.</t>
  </si>
  <si>
    <t>Average industry experience of management is less than 5 years and one or more may have been at the helm of previous businesses that have gone bankrupt or been subject to litigation. Turnover of management team greater than 75%.</t>
  </si>
  <si>
    <t>One or more turnovers of top management in the last 3 years; average experience of management &lt;5 years; limited/insufficient formal management evaluation practices.</t>
  </si>
  <si>
    <t>Average industry experience of management is less than 5 years. Turnover of management team greater than 50% but less than or equal to 75%.</t>
  </si>
  <si>
    <t>Some turnovers in middle management in the last 3 years; average experience of management 5 – 10 years; sufficient formal management evaluation practices.</t>
  </si>
  <si>
    <t>A diversified management team in terms of areas of expertise, majority of executives have graduate level education, average number of years with the company greater than or equal to 5 but less than 10. Turnover of management team greater than 20% but less or equal to 50%.</t>
  </si>
  <si>
    <t>step_9_om</t>
  </si>
  <si>
    <t>Greater than 30% board member turnover in the last 5 years; prevalent conflicts of interest; board members have marginal/questionable backgrounds.</t>
  </si>
  <si>
    <t>Average industry experience of board of directors is less than 5 years and one or more may have been at the helm of previous businesses that have gone bankrupt or been subject to litigation.</t>
  </si>
  <si>
    <t xml:space="preserve">15 to 30% board member turnover in the last 5 years; minor potential conflicts of interest; board members have good backgrounds. </t>
  </si>
  <si>
    <t>Average industry experience of board of directors is less than 5 years.</t>
  </si>
  <si>
    <t>Less than 15% of board member turnover in the last 5 years; no clear conflicts of interest; board members have good backgrounds.</t>
  </si>
  <si>
    <t>A diversified board of directors in terms of areas of expertise, majority of directors have graduate level education, average number of years with the company greater than or equal to 5 but less than 10.</t>
  </si>
  <si>
    <t>step_10_lm</t>
  </si>
  <si>
    <t>No litigation against company in the last 5 years.</t>
  </si>
  <si>
    <t>Some litigation against company in the last 1 to 5 years; no significant litigation.</t>
  </si>
  <si>
    <t>No current litigation in the last 12 months and none anticipated in the next 12 months.</t>
  </si>
  <si>
    <t>step_11_chm</t>
  </si>
  <si>
    <t>No D&amp;O litigation in the past 5 years. No conditions which could lead to future D&amp;O litigation.</t>
  </si>
  <si>
    <t>No D&amp;O litigation in the past 3 years. No current conditions which could lead to D&amp;O litigation.</t>
  </si>
  <si>
    <t>No current D&amp;O litigation, but has filed notice of circumstances in the last 5 years.</t>
  </si>
  <si>
    <t>1 current D&amp;O claim in litigation or more than 3 notice of circumstances filed in the last 5 years.</t>
  </si>
  <si>
    <t>2 or more D&amp;O cases currently being litigated.</t>
  </si>
  <si>
    <t>2 or more D&amp;O cases currently being litigated and anticipated to have unfavorable outcomes.</t>
  </si>
  <si>
    <t>step_14_spm</t>
  </si>
  <si>
    <t>One or more of the following: stock beta is 1.50 or greater; EPS exceeds industry average; stock appreciation &gt;=25% in the last 12 months.</t>
  </si>
  <si>
    <t>Active trading, trades at a higher price on average than the prior 52-week period.</t>
  </si>
  <si>
    <t>Stock beta is between 1.00 to 1.50; EPS in line with industry average; stock appreciation &lt;25% in the last 12 months.</t>
  </si>
  <si>
    <t>Trades in line with prior 52-week period.</t>
  </si>
  <si>
    <t>Stock beta is less than 1.00; EPS lower than industry average; stock appreciation &lt;5% in the last 12 months.</t>
  </si>
  <si>
    <t>Limited trading, trades at a price that is a discount to prior 52-week period.</t>
  </si>
  <si>
    <t>Fit within Industry Classification</t>
  </si>
  <si>
    <t>Internal Governance &amp; Loss Prevention</t>
  </si>
  <si>
    <t>Regulatory Investigations or Issues</t>
  </si>
  <si>
    <t>Susceptibility to Recession</t>
  </si>
  <si>
    <t>Major Customer Dependency</t>
  </si>
  <si>
    <t>Labor Relations Exposure</t>
  </si>
  <si>
    <t>Schedule Rating Factor</t>
  </si>
  <si>
    <t>Alliant - Houston</t>
  </si>
  <si>
    <t>Risco, Inc. - RI</t>
  </si>
  <si>
    <t>AllStates</t>
  </si>
  <si>
    <t>WAState</t>
  </si>
  <si>
    <t>Some turnovers in middle management in the last 3 years; average experience of management 10+ years; sufficient formal management evaluation practices.</t>
  </si>
  <si>
    <t>Little or no management turnover; average experience of management 10+ years; rigorous formal management evaluation practices.</t>
  </si>
  <si>
    <t>A diversified management team in terms of areas of expertise, majority of executives have graduate level education, average number of years with the company greater than or equal to 10 but less than 15. Turnover of management team less than or equal to 20%.</t>
  </si>
  <si>
    <t>A diversified management team in terms of areas of expertise, majority of executives have graduate level education, average number of years with the company greater than or equal to 15. No turnover, excellent history.</t>
  </si>
  <si>
    <t>No board turnover in the last 5 years; appropriate expertise on board; board members have clean backgrounds; no clear conflicts of interest.</t>
  </si>
  <si>
    <t>No board turnover in the last 5 years; above average expertise on board; board members have clean backgrounds; no clear conflicts of interest; even appearance of potential conflicts of interest are avoided</t>
  </si>
  <si>
    <t>A diversified board of directors in terms of areas of expertise, majority of directors have graduate level education, average number of years with the company greater than or equal to 10 but less than 15.</t>
  </si>
  <si>
    <t>A diversified board of directors in terms of areas of expertise, majority of directors have graduate level education, average number of years with the company greater than or equal to 15.</t>
  </si>
  <si>
    <t>Litigation against company in the past year; significant litigation in the last 5 years.</t>
  </si>
  <si>
    <t>No current litigation, but anticipated litigation in next 12 months, or 1+ litigation in the past 3 years.</t>
  </si>
  <si>
    <t>step_7_fm</t>
  </si>
  <si>
    <t>step_12_sm</t>
  </si>
  <si>
    <t>step_13_edm</t>
  </si>
  <si>
    <t>step_16_pcm</t>
  </si>
  <si>
    <t>step_17_icm</t>
  </si>
  <si>
    <t>step_18_yo</t>
  </si>
  <si>
    <t>step_19_saf</t>
  </si>
  <si>
    <t>step_20a_fwic</t>
  </si>
  <si>
    <t>step_20b_iglp</t>
  </si>
  <si>
    <t>step_20c_rii</t>
  </si>
  <si>
    <t>step_20d_str</t>
  </si>
  <si>
    <t>step_20e_mcd</t>
  </si>
  <si>
    <t>step_20f_lre</t>
  </si>
  <si>
    <t>step_20_srf</t>
  </si>
  <si>
    <t xml:space="preserve">No merger, acquisition, or divestiture activity in the past 10+ years or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</si>
  <si>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No merger, acquisition, or divestiture activity in the past 5 – 10 years or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</si>
  <si>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No significant merger, acquisition, or divestiture activity in the past 1 – 5 years or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</si>
  <si>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No significant merger, acquisition, or divestiture activity within the last year and/or low-level activity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</si>
  <si>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Unsuccessful significant merger, acquisition, or divestiture activity in the past 3 – 5 years and/or activity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</si>
  <si>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Unsuccessful significant merger, acquisition, or divestiture activity in the past 2 – 3 years and/or significant activity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</si>
  <si>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 xml:space="preserve">Unsuccessful significant merger, acquisition, or divestiture activity within the last 2 years and/or very significant activity expected in the future.
Note:
Very Significant activity means: more than 5 major transactions, impacting &gt;100% of revenue, significantly changing business structure or strategy. 
Significant activity means: 3-5 transactions, impacting 50%-100% of revenue, resulting in moderate changes to operations or scope. 
Low-level activity means: 2 or fewer transactions, impact &lt; 25% of revenue, with minimal changes to business operations or strategy. </t>
  </si>
  <si>
    <t>10 Years or More</t>
  </si>
  <si>
    <t>At least 5 Years, but no more than 10 Years</t>
  </si>
  <si>
    <t>At least 3 Years, but no more than 5 Years</t>
  </si>
  <si>
    <t>step_18_yo_ca</t>
  </si>
  <si>
    <t>Kateryna Svitlynets</t>
  </si>
  <si>
    <t>Karolina Sokolowska</t>
  </si>
  <si>
    <t>Lucas Prete</t>
  </si>
  <si>
    <t>Michael Zador</t>
  </si>
  <si>
    <t>Mathew DiGirolamo</t>
  </si>
  <si>
    <t>Defne Tuncer</t>
  </si>
  <si>
    <t>Caed Hunter</t>
  </si>
  <si>
    <t>underwriter</t>
  </si>
  <si>
    <t>team</t>
  </si>
  <si>
    <t>Nathan Cattoni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</si>
</sst>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quot;$&quot;* #,##0.00_);_(&quot;$&quot;* \(#,##0.00\);_(&quot;$&quot;* &quot;-&quot;??_);_(@_)"/>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7">
    <xf numFmtId="0" fontId="0" fillId="0" borderId="0"/>
    <xf numFmtId="164"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cellStyleXfs>
  <cellXfs count="14">
    <xf numFmtId="0" fontId="0" fillId="0" borderId="0" xfId="0"/>
    <xf numFmtId="0" fontId="1" fillId="0" borderId="0" xfId="0" applyFont="1"/>
    <xf numFmtId="0" fontId="0" fillId="0" borderId="0" xfId="0" quotePrefix="1"/>
    <xf numFmtId="0" fontId="0" fillId="0" borderId="0" xfId="0" applyAlignment="1">
      <alignment wrapText="1"/>
    </xf>
    <xf numFmtId="49" fontId="0" fillId="0" borderId="0" xfId="0" quotePrefix="1" applyNumberFormat="1"/>
    <xf numFmtId="1" fontId="0" fillId="0" borderId="0" xfId="0" applyNumberFormat="1"/>
    <xf numFmtId="3" fontId="0" fillId="0" borderId="0" xfId="0" applyNumberFormat="1"/>
    <xf numFmtId="4" fontId="0" fillId="0" borderId="0" xfId="0" applyNumberFormat="1"/>
    <xf numFmtId="0" fontId="0" fillId="0" borderId="0" xfId="0" applyAlignment="1">
      <alignment horizontal="center"/>
    </xf>
    <xf numFmtId="0" fontId="0" fillId="2" borderId="0" xfId="0" applyFill="1"/>
    <xf numFmtId="0" fontId="1" fillId="0" borderId="0" xfId="0" applyFont="1" applyAlignment="1">
      <alignment horizontal="left"/>
    </xf>
    <xf numFmtId="43" fontId="1" fillId="0" borderId="0" xfId="6" applyFont="1"/>
    <xf numFmtId="0" fontId="0" fillId="0" borderId="0" xfId="0" applyAlignment="1">
      <alignment horizontal="left"/>
    </xf>
    <xf numFmtId="43" fontId="0" fillId="0" borderId="0" xfId="6" applyFont="1"/>
  </cellXfs>
  <cellStyles count="7">
    <cellStyle name="Comma" xfId="6" builtinId="3"/>
    <cellStyle name="Comma 2" xfId="5" xr:uid="{72C6741E-EBC0-4C95-AEBF-F05ED687051E}"/>
    <cellStyle name="Currency 2" xfId="1" xr:uid="{DA7FE198-6E89-4FA3-B5C8-BB7DB06BCE80}"/>
    <cellStyle name="Normal" xfId="0" builtinId="0"/>
    <cellStyle name="Normal 10 2" xfId="3" xr:uid="{8CBD39C5-CFDF-46A7-A2FC-1541FBA5F205}"/>
    <cellStyle name="Normal 110" xfId="4" xr:uid="{3D9C8DDD-7162-415F-A6F7-EA379FA766ED}"/>
    <cellStyle name="Normal 37" xfId="2" xr:uid="{8CD5D53E-95D3-45DC-A2C8-11A57B5C507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s://siccode.com/sic-code/912/legislative-bodies" TargetMode="External"/><Relationship Id="rId1" Type="http://schemas.openxmlformats.org/officeDocument/2006/relationships/hyperlink" Target="https://siccode.com/sic-code/912/legislative-bodie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E351-9BEE-4A11-BB2E-4D6C0E17E2E9}">
  <dimension ref="A1:A17"/>
  <sheetViews>
    <sheetView workbookViewId="0">
      <selection activeCell="B46" sqref="B46"/>
    </sheetView>
  </sheetViews>
  <sheetFormatPr defaultRowHeight="14.25" x14ac:dyDescent="0.45"/>
  <cols>
    <col min="1" max="1" width="15.1328125" bestFit="1" customWidth="1"/>
  </cols>
  <sheetData>
    <row r="1" spans="1:1" x14ac:dyDescent="0.45">
      <c r="A1" t="s">
        <v>2058</v>
      </c>
    </row>
    <row r="2" spans="1:1" x14ac:dyDescent="0.45">
      <c r="A2" t="s">
        <v>2059</v>
      </c>
    </row>
    <row r="3" spans="1:1" x14ac:dyDescent="0.45">
      <c r="A3" t="s">
        <v>1990</v>
      </c>
    </row>
    <row r="4" spans="1:1" x14ac:dyDescent="0.45">
      <c r="A4" t="s">
        <v>1473</v>
      </c>
    </row>
    <row r="5" spans="1:1" x14ac:dyDescent="0.45">
      <c r="A5" t="s">
        <v>1971</v>
      </c>
    </row>
    <row r="6" spans="1:1" x14ac:dyDescent="0.45">
      <c r="A6" t="s">
        <v>2005</v>
      </c>
    </row>
    <row r="7" spans="1:1" x14ac:dyDescent="0.45">
      <c r="A7" t="s">
        <v>2060</v>
      </c>
    </row>
    <row r="8" spans="1:1" x14ac:dyDescent="0.45">
      <c r="A8" t="s">
        <v>2053</v>
      </c>
    </row>
    <row r="9" spans="1:1" x14ac:dyDescent="0.45">
      <c r="A9" t="s">
        <v>2027</v>
      </c>
    </row>
    <row r="10" spans="1:1" x14ac:dyDescent="0.45">
      <c r="A10" t="s">
        <v>2044</v>
      </c>
    </row>
    <row r="11" spans="1:1" x14ac:dyDescent="0.45">
      <c r="A11" t="s">
        <v>2061</v>
      </c>
    </row>
    <row r="12" spans="1:1" x14ac:dyDescent="0.45">
      <c r="A12" t="s">
        <v>2020</v>
      </c>
    </row>
    <row r="13" spans="1:1" x14ac:dyDescent="0.45">
      <c r="A13" t="s">
        <v>2018</v>
      </c>
    </row>
    <row r="14" spans="1:1" x14ac:dyDescent="0.45">
      <c r="A14" t="s">
        <v>2062</v>
      </c>
    </row>
    <row r="15" spans="1:1" x14ac:dyDescent="0.45">
      <c r="A15" t="s">
        <v>1996</v>
      </c>
    </row>
    <row r="16" spans="1:1" x14ac:dyDescent="0.45">
      <c r="A16" t="s">
        <v>2063</v>
      </c>
    </row>
    <row r="17" spans="1:1" x14ac:dyDescent="0.45">
      <c r="A17" t="s">
        <v>2064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4AB5-8653-4868-8A70-DB010652DE9D}">
  <dimension ref="A1:B72"/>
  <sheetViews>
    <sheetView workbookViewId="0">
      <selection activeCell="H19" sqref="H19"/>
    </sheetView>
  </sheetViews>
  <sheetFormatPr defaultRowHeight="14.25" x14ac:dyDescent="0.45"/>
  <cols>
    <col min="1" max="1" width="27" bestFit="1" customWidth="1"/>
  </cols>
  <sheetData>
    <row r="1" spans="1:2" x14ac:dyDescent="0.45">
      <c r="A1" t="s">
        <v>1718</v>
      </c>
      <c r="B1" t="s">
        <v>2179</v>
      </c>
    </row>
    <row r="2" spans="1:2" x14ac:dyDescent="0.45">
      <c r="A2" t="s">
        <v>1727</v>
      </c>
      <c r="B2" t="s">
        <v>1726</v>
      </c>
    </row>
    <row r="3" spans="1:2" x14ac:dyDescent="0.45">
      <c r="A3" t="s">
        <v>1725</v>
      </c>
      <c r="B3" t="s">
        <v>1724</v>
      </c>
    </row>
    <row r="4" spans="1:2" x14ac:dyDescent="0.45">
      <c r="A4" t="s">
        <v>1733</v>
      </c>
      <c r="B4" t="s">
        <v>1732</v>
      </c>
    </row>
    <row r="5" spans="1:2" x14ac:dyDescent="0.45">
      <c r="A5" t="s">
        <v>1731</v>
      </c>
      <c r="B5" t="s">
        <v>1730</v>
      </c>
    </row>
    <row r="6" spans="1:2" x14ac:dyDescent="0.45">
      <c r="A6" t="s">
        <v>1735</v>
      </c>
      <c r="B6" t="s">
        <v>1734</v>
      </c>
    </row>
    <row r="7" spans="1:2" x14ac:dyDescent="0.45">
      <c r="A7" t="s">
        <v>1738</v>
      </c>
      <c r="B7" t="s">
        <v>1737</v>
      </c>
    </row>
    <row r="8" spans="1:2" x14ac:dyDescent="0.45">
      <c r="A8" t="s">
        <v>1740</v>
      </c>
      <c r="B8" t="s">
        <v>1739</v>
      </c>
    </row>
    <row r="9" spans="1:2" x14ac:dyDescent="0.45">
      <c r="A9" t="s">
        <v>1744</v>
      </c>
      <c r="B9" t="s">
        <v>1743</v>
      </c>
    </row>
    <row r="10" spans="1:2" x14ac:dyDescent="0.45">
      <c r="A10" t="s">
        <v>1742</v>
      </c>
      <c r="B10" t="s">
        <v>1741</v>
      </c>
    </row>
    <row r="11" spans="1:2" x14ac:dyDescent="0.45">
      <c r="A11" t="s">
        <v>1746</v>
      </c>
      <c r="B11" t="s">
        <v>1745</v>
      </c>
    </row>
    <row r="12" spans="1:2" x14ac:dyDescent="0.45">
      <c r="A12" t="s">
        <v>1748</v>
      </c>
      <c r="B12" t="s">
        <v>1747</v>
      </c>
    </row>
    <row r="13" spans="1:2" x14ac:dyDescent="0.45">
      <c r="A13" t="s">
        <v>1750</v>
      </c>
      <c r="B13" t="s">
        <v>1749</v>
      </c>
    </row>
    <row r="14" spans="1:2" x14ac:dyDescent="0.45">
      <c r="A14" t="s">
        <v>1754</v>
      </c>
      <c r="B14" t="s">
        <v>1753</v>
      </c>
    </row>
    <row r="15" spans="1:2" x14ac:dyDescent="0.45">
      <c r="A15" t="s">
        <v>1756</v>
      </c>
      <c r="B15" t="s">
        <v>1755</v>
      </c>
    </row>
    <row r="16" spans="1:2" x14ac:dyDescent="0.45">
      <c r="A16" t="s">
        <v>1758</v>
      </c>
      <c r="B16" t="s">
        <v>1757</v>
      </c>
    </row>
    <row r="17" spans="1:2" x14ac:dyDescent="0.45">
      <c r="A17" t="s">
        <v>1752</v>
      </c>
      <c r="B17" t="s">
        <v>1751</v>
      </c>
    </row>
    <row r="18" spans="1:2" x14ac:dyDescent="0.45">
      <c r="A18" t="s">
        <v>1760</v>
      </c>
      <c r="B18" t="s">
        <v>1759</v>
      </c>
    </row>
    <row r="19" spans="1:2" x14ac:dyDescent="0.45">
      <c r="A19" t="s">
        <v>1763</v>
      </c>
      <c r="B19" t="s">
        <v>1762</v>
      </c>
    </row>
    <row r="20" spans="1:2" x14ac:dyDescent="0.45">
      <c r="A20" t="s">
        <v>1765</v>
      </c>
      <c r="B20" t="s">
        <v>1764</v>
      </c>
    </row>
    <row r="21" spans="1:2" x14ac:dyDescent="0.45">
      <c r="A21" t="s">
        <v>1771</v>
      </c>
      <c r="B21" t="s">
        <v>1770</v>
      </c>
    </row>
    <row r="22" spans="1:2" x14ac:dyDescent="0.45">
      <c r="A22" t="s">
        <v>1769</v>
      </c>
      <c r="B22" t="s">
        <v>1768</v>
      </c>
    </row>
    <row r="23" spans="1:2" x14ac:dyDescent="0.45">
      <c r="A23" t="s">
        <v>1767</v>
      </c>
      <c r="B23" t="s">
        <v>1766</v>
      </c>
    </row>
    <row r="24" spans="1:2" x14ac:dyDescent="0.45">
      <c r="A24" t="s">
        <v>1773</v>
      </c>
      <c r="B24" t="s">
        <v>1772</v>
      </c>
    </row>
    <row r="25" spans="1:2" x14ac:dyDescent="0.45">
      <c r="A25" t="s">
        <v>1775</v>
      </c>
      <c r="B25" t="s">
        <v>1774</v>
      </c>
    </row>
    <row r="26" spans="1:2" x14ac:dyDescent="0.45">
      <c r="A26" t="s">
        <v>1779</v>
      </c>
      <c r="B26" t="s">
        <v>1778</v>
      </c>
    </row>
    <row r="27" spans="1:2" x14ac:dyDescent="0.45">
      <c r="A27" t="s">
        <v>1777</v>
      </c>
      <c r="B27" t="s">
        <v>1776</v>
      </c>
    </row>
    <row r="28" spans="1:2" x14ac:dyDescent="0.45">
      <c r="A28" t="s">
        <v>1781</v>
      </c>
      <c r="B28" t="s">
        <v>1780</v>
      </c>
    </row>
    <row r="29" spans="1:2" x14ac:dyDescent="0.45">
      <c r="A29" t="s">
        <v>1787</v>
      </c>
      <c r="B29" t="s">
        <v>1786</v>
      </c>
    </row>
    <row r="30" spans="1:2" x14ac:dyDescent="0.45">
      <c r="A30" t="s">
        <v>1795</v>
      </c>
      <c r="B30" t="s">
        <v>1794</v>
      </c>
    </row>
    <row r="31" spans="1:2" x14ac:dyDescent="0.45">
      <c r="A31" t="s">
        <v>1789</v>
      </c>
      <c r="B31" t="s">
        <v>1788</v>
      </c>
    </row>
    <row r="32" spans="1:2" x14ac:dyDescent="0.45">
      <c r="A32" t="s">
        <v>1791</v>
      </c>
      <c r="B32" t="s">
        <v>1790</v>
      </c>
    </row>
    <row r="33" spans="1:2" x14ac:dyDescent="0.45">
      <c r="A33" t="s">
        <v>1793</v>
      </c>
      <c r="B33" t="s">
        <v>1792</v>
      </c>
    </row>
    <row r="34" spans="1:2" x14ac:dyDescent="0.45">
      <c r="A34" t="s">
        <v>1797</v>
      </c>
      <c r="B34" t="s">
        <v>1796</v>
      </c>
    </row>
    <row r="35" spans="1:2" x14ac:dyDescent="0.45">
      <c r="A35" t="s">
        <v>1799</v>
      </c>
      <c r="B35" t="s">
        <v>1798</v>
      </c>
    </row>
    <row r="36" spans="1:2" x14ac:dyDescent="0.45">
      <c r="A36" t="s">
        <v>1783</v>
      </c>
      <c r="B36" t="s">
        <v>1782</v>
      </c>
    </row>
    <row r="37" spans="1:2" x14ac:dyDescent="0.45">
      <c r="A37" t="s">
        <v>1785</v>
      </c>
      <c r="B37" t="s">
        <v>1784</v>
      </c>
    </row>
    <row r="38" spans="1:2" x14ac:dyDescent="0.45">
      <c r="A38" t="s">
        <v>1801</v>
      </c>
      <c r="B38" t="s">
        <v>1800</v>
      </c>
    </row>
    <row r="39" spans="1:2" x14ac:dyDescent="0.45">
      <c r="A39" t="s">
        <v>1803</v>
      </c>
      <c r="B39" t="s">
        <v>1802</v>
      </c>
    </row>
    <row r="40" spans="1:2" x14ac:dyDescent="0.45">
      <c r="A40" t="s">
        <v>1805</v>
      </c>
      <c r="B40" t="s">
        <v>1804</v>
      </c>
    </row>
    <row r="41" spans="1:2" x14ac:dyDescent="0.45">
      <c r="A41" t="s">
        <v>1807</v>
      </c>
      <c r="B41" t="s">
        <v>1806</v>
      </c>
    </row>
    <row r="42" spans="1:2" x14ac:dyDescent="0.45">
      <c r="A42" t="s">
        <v>1809</v>
      </c>
      <c r="B42" t="s">
        <v>1808</v>
      </c>
    </row>
    <row r="43" spans="1:2" x14ac:dyDescent="0.45">
      <c r="A43" t="s">
        <v>1811</v>
      </c>
      <c r="B43" t="s">
        <v>1810</v>
      </c>
    </row>
    <row r="44" spans="1:2" x14ac:dyDescent="0.45">
      <c r="A44" t="s">
        <v>1813</v>
      </c>
      <c r="B44" t="s">
        <v>1812</v>
      </c>
    </row>
    <row r="45" spans="1:2" x14ac:dyDescent="0.45">
      <c r="A45" t="s">
        <v>1815</v>
      </c>
      <c r="B45" t="s">
        <v>1814</v>
      </c>
    </row>
    <row r="46" spans="1:2" x14ac:dyDescent="0.45">
      <c r="A46" t="s">
        <v>1817</v>
      </c>
      <c r="B46" t="s">
        <v>1816</v>
      </c>
    </row>
    <row r="47" spans="1:2" x14ac:dyDescent="0.45">
      <c r="A47" t="s">
        <v>1819</v>
      </c>
      <c r="B47" t="s">
        <v>1818</v>
      </c>
    </row>
    <row r="48" spans="1:2" x14ac:dyDescent="0.45">
      <c r="A48" t="s">
        <v>1823</v>
      </c>
      <c r="B48" t="s">
        <v>1822</v>
      </c>
    </row>
    <row r="49" spans="1:2" x14ac:dyDescent="0.45">
      <c r="A49" t="s">
        <v>1821</v>
      </c>
      <c r="B49" t="s">
        <v>1820</v>
      </c>
    </row>
    <row r="50" spans="1:2" x14ac:dyDescent="0.45">
      <c r="A50" t="s">
        <v>1825</v>
      </c>
      <c r="B50" t="s">
        <v>1824</v>
      </c>
    </row>
    <row r="51" spans="1:2" x14ac:dyDescent="0.45">
      <c r="A51" t="s">
        <v>1829</v>
      </c>
      <c r="B51" t="s">
        <v>1828</v>
      </c>
    </row>
    <row r="52" spans="1:2" x14ac:dyDescent="0.45">
      <c r="A52" t="s">
        <v>1827</v>
      </c>
      <c r="B52" t="s">
        <v>1826</v>
      </c>
    </row>
    <row r="53" spans="1:2" x14ac:dyDescent="0.45">
      <c r="A53" t="s">
        <v>1831</v>
      </c>
      <c r="B53" t="s">
        <v>1830</v>
      </c>
    </row>
    <row r="54" spans="1:2" x14ac:dyDescent="0.45">
      <c r="A54" t="s">
        <v>1968</v>
      </c>
      <c r="B54" t="s">
        <v>2556</v>
      </c>
    </row>
    <row r="55" spans="1:2" x14ac:dyDescent="0.45">
      <c r="A55" t="s">
        <v>1969</v>
      </c>
      <c r="B55" t="s">
        <v>2556</v>
      </c>
    </row>
    <row r="56" spans="1:2" x14ac:dyDescent="0.45">
      <c r="A56" t="s">
        <v>1970</v>
      </c>
      <c r="B56" t="s">
        <v>2556</v>
      </c>
    </row>
    <row r="57" spans="1:2" x14ac:dyDescent="0.45">
      <c r="A57" t="s">
        <v>1971</v>
      </c>
      <c r="B57" t="s">
        <v>2556</v>
      </c>
    </row>
    <row r="58" spans="1:2" x14ac:dyDescent="0.45">
      <c r="A58" t="s">
        <v>1972</v>
      </c>
      <c r="B58" t="s">
        <v>2556</v>
      </c>
    </row>
    <row r="59" spans="1:2" x14ac:dyDescent="0.45">
      <c r="A59" t="s">
        <v>1973</v>
      </c>
      <c r="B59" t="s">
        <v>2556</v>
      </c>
    </row>
    <row r="60" spans="1:2" x14ac:dyDescent="0.45">
      <c r="A60" t="s">
        <v>1974</v>
      </c>
      <c r="B60" t="s">
        <v>2556</v>
      </c>
    </row>
    <row r="61" spans="1:2" x14ac:dyDescent="0.45">
      <c r="A61" t="s">
        <v>1975</v>
      </c>
      <c r="B61" t="s">
        <v>2556</v>
      </c>
    </row>
    <row r="62" spans="1:2" x14ac:dyDescent="0.45">
      <c r="A62" t="s">
        <v>1976</v>
      </c>
      <c r="B62" t="s">
        <v>2556</v>
      </c>
    </row>
    <row r="63" spans="1:2" x14ac:dyDescent="0.45">
      <c r="A63" t="s">
        <v>1977</v>
      </c>
      <c r="B63" t="s">
        <v>2556</v>
      </c>
    </row>
    <row r="64" spans="1:2" x14ac:dyDescent="0.45">
      <c r="A64" t="s">
        <v>1978</v>
      </c>
      <c r="B64" t="s">
        <v>2556</v>
      </c>
    </row>
    <row r="65" spans="1:2" x14ac:dyDescent="0.45">
      <c r="A65" t="s">
        <v>1979</v>
      </c>
      <c r="B65" t="s">
        <v>2556</v>
      </c>
    </row>
    <row r="66" spans="1:2" x14ac:dyDescent="0.45">
      <c r="A66" t="s">
        <v>1980</v>
      </c>
      <c r="B66" t="s">
        <v>2556</v>
      </c>
    </row>
    <row r="67" spans="1:2" x14ac:dyDescent="0.45">
      <c r="A67" t="s">
        <v>1981</v>
      </c>
      <c r="B67" t="s">
        <v>2556</v>
      </c>
    </row>
    <row r="68" spans="1:2" x14ac:dyDescent="0.45">
      <c r="A68" t="s">
        <v>1982</v>
      </c>
      <c r="B68" t="s">
        <v>2556</v>
      </c>
    </row>
    <row r="69" spans="1:2" x14ac:dyDescent="0.45">
      <c r="A69" t="s">
        <v>1983</v>
      </c>
      <c r="B69" t="s">
        <v>2556</v>
      </c>
    </row>
    <row r="70" spans="1:2" x14ac:dyDescent="0.45">
      <c r="A70" t="s">
        <v>1984</v>
      </c>
      <c r="B70" t="s">
        <v>2556</v>
      </c>
    </row>
    <row r="71" spans="1:2" x14ac:dyDescent="0.45">
      <c r="A71" t="s">
        <v>1985</v>
      </c>
      <c r="B71" t="s">
        <v>2556</v>
      </c>
    </row>
    <row r="72" spans="1:2" x14ac:dyDescent="0.45">
      <c r="A72" t="s">
        <v>1986</v>
      </c>
      <c r="B72" t="s">
        <v>2556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35A4-4BBF-4BF3-AC28-654BDA0CDE7D}">
  <dimension ref="A1:A148"/>
  <sheetViews>
    <sheetView topLeftCell="A37" workbookViewId="0">
      <selection activeCell="G27" sqref="G27"/>
    </sheetView>
  </sheetViews>
  <sheetFormatPr defaultRowHeight="14.25" x14ac:dyDescent="0.45"/>
  <sheetData>
    <row r="1" spans="1:1" x14ac:dyDescent="0.45">
      <c r="A1" t="s">
        <v>1718</v>
      </c>
    </row>
    <row r="2" spans="1:1" x14ac:dyDescent="0.45">
      <c r="A2" t="s">
        <v>1727</v>
      </c>
    </row>
    <row r="3" spans="1:1" x14ac:dyDescent="0.45">
      <c r="A3" t="s">
        <v>1725</v>
      </c>
    </row>
    <row r="4" spans="1:1" x14ac:dyDescent="0.45">
      <c r="A4" t="s">
        <v>1733</v>
      </c>
    </row>
    <row r="5" spans="1:1" x14ac:dyDescent="0.45">
      <c r="A5" t="s">
        <v>1731</v>
      </c>
    </row>
    <row r="6" spans="1:1" x14ac:dyDescent="0.45">
      <c r="A6" t="s">
        <v>1735</v>
      </c>
    </row>
    <row r="7" spans="1:1" x14ac:dyDescent="0.45">
      <c r="A7" t="s">
        <v>1738</v>
      </c>
    </row>
    <row r="8" spans="1:1" x14ac:dyDescent="0.45">
      <c r="A8" t="s">
        <v>1740</v>
      </c>
    </row>
    <row r="9" spans="1:1" x14ac:dyDescent="0.45">
      <c r="A9" t="s">
        <v>1744</v>
      </c>
    </row>
    <row r="10" spans="1:1" x14ac:dyDescent="0.45">
      <c r="A10" t="s">
        <v>1742</v>
      </c>
    </row>
    <row r="11" spans="1:1" x14ac:dyDescent="0.45">
      <c r="A11" t="s">
        <v>1746</v>
      </c>
    </row>
    <row r="12" spans="1:1" x14ac:dyDescent="0.45">
      <c r="A12" t="s">
        <v>1748</v>
      </c>
    </row>
    <row r="13" spans="1:1" x14ac:dyDescent="0.45">
      <c r="A13" t="s">
        <v>1750</v>
      </c>
    </row>
    <row r="14" spans="1:1" x14ac:dyDescent="0.45">
      <c r="A14" t="s">
        <v>1754</v>
      </c>
    </row>
    <row r="15" spans="1:1" x14ac:dyDescent="0.45">
      <c r="A15" t="s">
        <v>1756</v>
      </c>
    </row>
    <row r="16" spans="1:1" x14ac:dyDescent="0.45">
      <c r="A16" t="s">
        <v>1758</v>
      </c>
    </row>
    <row r="17" spans="1:1" x14ac:dyDescent="0.45">
      <c r="A17" t="s">
        <v>1752</v>
      </c>
    </row>
    <row r="18" spans="1:1" x14ac:dyDescent="0.45">
      <c r="A18" t="s">
        <v>1760</v>
      </c>
    </row>
    <row r="19" spans="1:1" x14ac:dyDescent="0.45">
      <c r="A19" t="s">
        <v>1763</v>
      </c>
    </row>
    <row r="20" spans="1:1" x14ac:dyDescent="0.45">
      <c r="A20" t="s">
        <v>1765</v>
      </c>
    </row>
    <row r="21" spans="1:1" x14ac:dyDescent="0.45">
      <c r="A21" t="s">
        <v>1771</v>
      </c>
    </row>
    <row r="22" spans="1:1" x14ac:dyDescent="0.45">
      <c r="A22" t="s">
        <v>1769</v>
      </c>
    </row>
    <row r="23" spans="1:1" x14ac:dyDescent="0.45">
      <c r="A23" t="s">
        <v>1767</v>
      </c>
    </row>
    <row r="24" spans="1:1" x14ac:dyDescent="0.45">
      <c r="A24" t="s">
        <v>1773</v>
      </c>
    </row>
    <row r="25" spans="1:1" x14ac:dyDescent="0.45">
      <c r="A25" t="s">
        <v>1775</v>
      </c>
    </row>
    <row r="26" spans="1:1" x14ac:dyDescent="0.45">
      <c r="A26" t="s">
        <v>1779</v>
      </c>
    </row>
    <row r="27" spans="1:1" x14ac:dyDescent="0.45">
      <c r="A27" t="s">
        <v>1777</v>
      </c>
    </row>
    <row r="28" spans="1:1" x14ac:dyDescent="0.45">
      <c r="A28" t="s">
        <v>1781</v>
      </c>
    </row>
    <row r="29" spans="1:1" x14ac:dyDescent="0.45">
      <c r="A29" t="s">
        <v>1787</v>
      </c>
    </row>
    <row r="30" spans="1:1" x14ac:dyDescent="0.45">
      <c r="A30" t="s">
        <v>1795</v>
      </c>
    </row>
    <row r="31" spans="1:1" x14ac:dyDescent="0.45">
      <c r="A31" t="s">
        <v>1789</v>
      </c>
    </row>
    <row r="32" spans="1:1" x14ac:dyDescent="0.45">
      <c r="A32" t="s">
        <v>1791</v>
      </c>
    </row>
    <row r="33" spans="1:1" x14ac:dyDescent="0.45">
      <c r="A33" t="s">
        <v>1793</v>
      </c>
    </row>
    <row r="34" spans="1:1" x14ac:dyDescent="0.45">
      <c r="A34" t="s">
        <v>1797</v>
      </c>
    </row>
    <row r="35" spans="1:1" x14ac:dyDescent="0.45">
      <c r="A35" t="s">
        <v>1799</v>
      </c>
    </row>
    <row r="36" spans="1:1" x14ac:dyDescent="0.45">
      <c r="A36" t="s">
        <v>1783</v>
      </c>
    </row>
    <row r="37" spans="1:1" x14ac:dyDescent="0.45">
      <c r="A37" t="s">
        <v>1785</v>
      </c>
    </row>
    <row r="38" spans="1:1" x14ac:dyDescent="0.45">
      <c r="A38" t="s">
        <v>1801</v>
      </c>
    </row>
    <row r="39" spans="1:1" x14ac:dyDescent="0.45">
      <c r="A39" t="s">
        <v>1803</v>
      </c>
    </row>
    <row r="40" spans="1:1" x14ac:dyDescent="0.45">
      <c r="A40" t="s">
        <v>1805</v>
      </c>
    </row>
    <row r="41" spans="1:1" x14ac:dyDescent="0.45">
      <c r="A41" t="s">
        <v>1807</v>
      </c>
    </row>
    <row r="42" spans="1:1" x14ac:dyDescent="0.45">
      <c r="A42" t="s">
        <v>1809</v>
      </c>
    </row>
    <row r="43" spans="1:1" x14ac:dyDescent="0.45">
      <c r="A43" t="s">
        <v>1811</v>
      </c>
    </row>
    <row r="44" spans="1:1" x14ac:dyDescent="0.45">
      <c r="A44" t="s">
        <v>1813</v>
      </c>
    </row>
    <row r="45" spans="1:1" x14ac:dyDescent="0.45">
      <c r="A45" t="s">
        <v>1815</v>
      </c>
    </row>
    <row r="46" spans="1:1" x14ac:dyDescent="0.45">
      <c r="A46" t="s">
        <v>1817</v>
      </c>
    </row>
    <row r="47" spans="1:1" x14ac:dyDescent="0.45">
      <c r="A47" t="s">
        <v>1819</v>
      </c>
    </row>
    <row r="48" spans="1:1" x14ac:dyDescent="0.45">
      <c r="A48" t="s">
        <v>1823</v>
      </c>
    </row>
    <row r="49" spans="1:1" x14ac:dyDescent="0.45">
      <c r="A49" t="s">
        <v>1821</v>
      </c>
    </row>
    <row r="50" spans="1:1" x14ac:dyDescent="0.45">
      <c r="A50" t="s">
        <v>1825</v>
      </c>
    </row>
    <row r="51" spans="1:1" x14ac:dyDescent="0.45">
      <c r="A51" t="s">
        <v>1829</v>
      </c>
    </row>
    <row r="52" spans="1:1" x14ac:dyDescent="0.45">
      <c r="A52" t="s">
        <v>1827</v>
      </c>
    </row>
    <row r="53" spans="1:1" x14ac:dyDescent="0.45">
      <c r="A53" t="s">
        <v>1831</v>
      </c>
    </row>
    <row r="54" spans="1:1" x14ac:dyDescent="0.45">
      <c r="A54" t="s">
        <v>1968</v>
      </c>
    </row>
    <row r="55" spans="1:1" x14ac:dyDescent="0.45">
      <c r="A55" t="s">
        <v>1969</v>
      </c>
    </row>
    <row r="56" spans="1:1" x14ac:dyDescent="0.45">
      <c r="A56" t="s">
        <v>1970</v>
      </c>
    </row>
    <row r="57" spans="1:1" x14ac:dyDescent="0.45">
      <c r="A57" t="s">
        <v>1971</v>
      </c>
    </row>
    <row r="58" spans="1:1" x14ac:dyDescent="0.45">
      <c r="A58" t="s">
        <v>1972</v>
      </c>
    </row>
    <row r="59" spans="1:1" x14ac:dyDescent="0.45">
      <c r="A59" t="s">
        <v>1973</v>
      </c>
    </row>
    <row r="60" spans="1:1" x14ac:dyDescent="0.45">
      <c r="A60" t="s">
        <v>1974</v>
      </c>
    </row>
    <row r="61" spans="1:1" x14ac:dyDescent="0.45">
      <c r="A61" t="s">
        <v>1975</v>
      </c>
    </row>
    <row r="62" spans="1:1" x14ac:dyDescent="0.45">
      <c r="A62" t="s">
        <v>1976</v>
      </c>
    </row>
    <row r="63" spans="1:1" x14ac:dyDescent="0.45">
      <c r="A63" t="s">
        <v>1977</v>
      </c>
    </row>
    <row r="64" spans="1:1" x14ac:dyDescent="0.45">
      <c r="A64" t="s">
        <v>1978</v>
      </c>
    </row>
    <row r="65" spans="1:1" x14ac:dyDescent="0.45">
      <c r="A65" t="s">
        <v>1979</v>
      </c>
    </row>
    <row r="66" spans="1:1" x14ac:dyDescent="0.45">
      <c r="A66" t="s">
        <v>1980</v>
      </c>
    </row>
    <row r="67" spans="1:1" x14ac:dyDescent="0.45">
      <c r="A67" t="s">
        <v>1981</v>
      </c>
    </row>
    <row r="68" spans="1:1" x14ac:dyDescent="0.45">
      <c r="A68" t="s">
        <v>1982</v>
      </c>
    </row>
    <row r="69" spans="1:1" x14ac:dyDescent="0.45">
      <c r="A69" t="s">
        <v>1983</v>
      </c>
    </row>
    <row r="70" spans="1:1" x14ac:dyDescent="0.45">
      <c r="A70" t="s">
        <v>1984</v>
      </c>
    </row>
    <row r="71" spans="1:1" x14ac:dyDescent="0.45">
      <c r="A71" t="s">
        <v>1985</v>
      </c>
    </row>
    <row r="72" spans="1:1" x14ac:dyDescent="0.45">
      <c r="A72" t="s">
        <v>1986</v>
      </c>
    </row>
    <row r="73" spans="1:1" x14ac:dyDescent="0.45">
      <c r="A73" t="s">
        <v>1987</v>
      </c>
    </row>
    <row r="74" spans="1:1" x14ac:dyDescent="0.45">
      <c r="A74" t="s">
        <v>1988</v>
      </c>
    </row>
    <row r="75" spans="1:1" x14ac:dyDescent="0.45">
      <c r="A75" t="s">
        <v>1989</v>
      </c>
    </row>
    <row r="76" spans="1:1" x14ac:dyDescent="0.45">
      <c r="A76" t="s">
        <v>1990</v>
      </c>
    </row>
    <row r="77" spans="1:1" x14ac:dyDescent="0.45">
      <c r="A77" t="s">
        <v>1991</v>
      </c>
    </row>
    <row r="78" spans="1:1" x14ac:dyDescent="0.45">
      <c r="A78" t="s">
        <v>1968</v>
      </c>
    </row>
    <row r="79" spans="1:1" x14ac:dyDescent="0.45">
      <c r="A79" t="s">
        <v>1992</v>
      </c>
    </row>
    <row r="80" spans="1:1" x14ac:dyDescent="0.45">
      <c r="A80" t="s">
        <v>1993</v>
      </c>
    </row>
    <row r="81" spans="1:1" x14ac:dyDescent="0.45">
      <c r="A81" t="s">
        <v>1970</v>
      </c>
    </row>
    <row r="82" spans="1:1" x14ac:dyDescent="0.45">
      <c r="A82" t="s">
        <v>1994</v>
      </c>
    </row>
    <row r="83" spans="1:1" x14ac:dyDescent="0.45">
      <c r="A83" t="s">
        <v>1995</v>
      </c>
    </row>
    <row r="84" spans="1:1" x14ac:dyDescent="0.45">
      <c r="A84" t="s">
        <v>1971</v>
      </c>
    </row>
    <row r="85" spans="1:1" x14ac:dyDescent="0.45">
      <c r="A85" t="s">
        <v>1996</v>
      </c>
    </row>
    <row r="86" spans="1:1" x14ac:dyDescent="0.45">
      <c r="A86" t="s">
        <v>1997</v>
      </c>
    </row>
    <row r="87" spans="1:1" x14ac:dyDescent="0.45">
      <c r="A87" t="s">
        <v>1998</v>
      </c>
    </row>
    <row r="88" spans="1:1" x14ac:dyDescent="0.45">
      <c r="A88" t="s">
        <v>1999</v>
      </c>
    </row>
    <row r="89" spans="1:1" x14ac:dyDescent="0.45">
      <c r="A89" t="s">
        <v>2000</v>
      </c>
    </row>
    <row r="90" spans="1:1" x14ac:dyDescent="0.45">
      <c r="A90" t="s">
        <v>2001</v>
      </c>
    </row>
    <row r="91" spans="1:1" x14ac:dyDescent="0.45">
      <c r="A91" t="s">
        <v>2002</v>
      </c>
    </row>
    <row r="92" spans="1:1" x14ac:dyDescent="0.45">
      <c r="A92" t="s">
        <v>2003</v>
      </c>
    </row>
    <row r="93" spans="1:1" x14ac:dyDescent="0.45">
      <c r="A93" t="s">
        <v>2004</v>
      </c>
    </row>
    <row r="94" spans="1:1" x14ac:dyDescent="0.45">
      <c r="A94" t="s">
        <v>2005</v>
      </c>
    </row>
    <row r="95" spans="1:1" x14ac:dyDescent="0.45">
      <c r="A95" t="s">
        <v>2006</v>
      </c>
    </row>
    <row r="96" spans="1:1" x14ac:dyDescent="0.45">
      <c r="A96" t="s">
        <v>2007</v>
      </c>
    </row>
    <row r="97" spans="1:1" x14ac:dyDescent="0.45">
      <c r="A97" t="s">
        <v>2008</v>
      </c>
    </row>
    <row r="98" spans="1:1" x14ac:dyDescent="0.45">
      <c r="A98" t="s">
        <v>2009</v>
      </c>
    </row>
    <row r="99" spans="1:1" x14ac:dyDescent="0.45">
      <c r="A99" t="s">
        <v>2010</v>
      </c>
    </row>
    <row r="100" spans="1:1" x14ac:dyDescent="0.45">
      <c r="A100" t="s">
        <v>2011</v>
      </c>
    </row>
    <row r="101" spans="1:1" x14ac:dyDescent="0.45">
      <c r="A101" t="s">
        <v>2012</v>
      </c>
    </row>
    <row r="102" spans="1:1" x14ac:dyDescent="0.45">
      <c r="A102" t="s">
        <v>2013</v>
      </c>
    </row>
    <row r="103" spans="1:1" x14ac:dyDescent="0.45">
      <c r="A103" t="s">
        <v>2014</v>
      </c>
    </row>
    <row r="104" spans="1:1" x14ac:dyDescent="0.45">
      <c r="A104" t="s">
        <v>2015</v>
      </c>
    </row>
    <row r="105" spans="1:1" x14ac:dyDescent="0.45">
      <c r="A105" t="s">
        <v>2016</v>
      </c>
    </row>
    <row r="106" spans="1:1" x14ac:dyDescent="0.45">
      <c r="A106" t="s">
        <v>2017</v>
      </c>
    </row>
    <row r="107" spans="1:1" x14ac:dyDescent="0.45">
      <c r="A107" t="s">
        <v>2018</v>
      </c>
    </row>
    <row r="108" spans="1:1" x14ac:dyDescent="0.45">
      <c r="A108" t="s">
        <v>2019</v>
      </c>
    </row>
    <row r="109" spans="1:1" x14ac:dyDescent="0.45">
      <c r="A109" t="s">
        <v>2020</v>
      </c>
    </row>
    <row r="110" spans="1:1" x14ac:dyDescent="0.45">
      <c r="A110" t="s">
        <v>2021</v>
      </c>
    </row>
    <row r="111" spans="1:1" x14ac:dyDescent="0.45">
      <c r="A111" t="s">
        <v>2022</v>
      </c>
    </row>
    <row r="112" spans="1:1" x14ac:dyDescent="0.45">
      <c r="A112" t="s">
        <v>2023</v>
      </c>
    </row>
    <row r="113" spans="1:1" x14ac:dyDescent="0.45">
      <c r="A113" t="s">
        <v>2024</v>
      </c>
    </row>
    <row r="114" spans="1:1" x14ac:dyDescent="0.45">
      <c r="A114" t="s">
        <v>2025</v>
      </c>
    </row>
    <row r="115" spans="1:1" x14ac:dyDescent="0.45">
      <c r="A115" t="s">
        <v>2026</v>
      </c>
    </row>
    <row r="116" spans="1:1" x14ac:dyDescent="0.45">
      <c r="A116" t="s">
        <v>2027</v>
      </c>
    </row>
    <row r="117" spans="1:1" x14ac:dyDescent="0.45">
      <c r="A117" t="s">
        <v>2028</v>
      </c>
    </row>
    <row r="118" spans="1:1" x14ac:dyDescent="0.45">
      <c r="A118" t="s">
        <v>2029</v>
      </c>
    </row>
    <row r="119" spans="1:1" x14ac:dyDescent="0.45">
      <c r="A119" t="s">
        <v>2030</v>
      </c>
    </row>
    <row r="120" spans="1:1" x14ac:dyDescent="0.45">
      <c r="A120" t="s">
        <v>2031</v>
      </c>
    </row>
    <row r="121" spans="1:1" x14ac:dyDescent="0.45">
      <c r="A121" t="s">
        <v>2032</v>
      </c>
    </row>
    <row r="122" spans="1:1" x14ac:dyDescent="0.45">
      <c r="A122" t="s">
        <v>2033</v>
      </c>
    </row>
    <row r="123" spans="1:1" x14ac:dyDescent="0.45">
      <c r="A123" t="s">
        <v>2034</v>
      </c>
    </row>
    <row r="124" spans="1:1" x14ac:dyDescent="0.45">
      <c r="A124" t="s">
        <v>2035</v>
      </c>
    </row>
    <row r="125" spans="1:1" x14ac:dyDescent="0.45">
      <c r="A125" t="s">
        <v>2036</v>
      </c>
    </row>
    <row r="126" spans="1:1" x14ac:dyDescent="0.45">
      <c r="A126" t="s">
        <v>2037</v>
      </c>
    </row>
    <row r="127" spans="1:1" x14ac:dyDescent="0.45">
      <c r="A127" t="s">
        <v>2038</v>
      </c>
    </row>
    <row r="128" spans="1:1" x14ac:dyDescent="0.45">
      <c r="A128" t="s">
        <v>2039</v>
      </c>
    </row>
    <row r="129" spans="1:1" x14ac:dyDescent="0.45">
      <c r="A129" t="s">
        <v>2040</v>
      </c>
    </row>
    <row r="130" spans="1:1" x14ac:dyDescent="0.45">
      <c r="A130" t="s">
        <v>2041</v>
      </c>
    </row>
    <row r="131" spans="1:1" x14ac:dyDescent="0.45">
      <c r="A131" t="s">
        <v>2042</v>
      </c>
    </row>
    <row r="132" spans="1:1" x14ac:dyDescent="0.45">
      <c r="A132" t="s">
        <v>2043</v>
      </c>
    </row>
    <row r="133" spans="1:1" x14ac:dyDescent="0.45">
      <c r="A133" t="s">
        <v>2044</v>
      </c>
    </row>
    <row r="134" spans="1:1" x14ac:dyDescent="0.45">
      <c r="A134" t="s">
        <v>2045</v>
      </c>
    </row>
    <row r="135" spans="1:1" x14ac:dyDescent="0.45">
      <c r="A135" t="s">
        <v>2046</v>
      </c>
    </row>
    <row r="136" spans="1:1" x14ac:dyDescent="0.45">
      <c r="A136" t="s">
        <v>2047</v>
      </c>
    </row>
    <row r="137" spans="1:1" x14ac:dyDescent="0.45">
      <c r="A137" t="s">
        <v>2048</v>
      </c>
    </row>
    <row r="138" spans="1:1" x14ac:dyDescent="0.45">
      <c r="A138" t="s">
        <v>2049</v>
      </c>
    </row>
    <row r="139" spans="1:1" x14ac:dyDescent="0.45">
      <c r="A139" t="s">
        <v>2050</v>
      </c>
    </row>
    <row r="140" spans="1:1" x14ac:dyDescent="0.45">
      <c r="A140" t="s">
        <v>2051</v>
      </c>
    </row>
    <row r="141" spans="1:1" x14ac:dyDescent="0.45">
      <c r="A141" t="s">
        <v>2052</v>
      </c>
    </row>
    <row r="142" spans="1:1" x14ac:dyDescent="0.45">
      <c r="A142" t="s">
        <v>2053</v>
      </c>
    </row>
    <row r="143" spans="1:1" x14ac:dyDescent="0.45">
      <c r="A143" t="s">
        <v>2054</v>
      </c>
    </row>
    <row r="144" spans="1:1" x14ac:dyDescent="0.45">
      <c r="A144" t="s">
        <v>1473</v>
      </c>
    </row>
    <row r="145" spans="1:1" x14ac:dyDescent="0.45">
      <c r="A145" t="s">
        <v>1973</v>
      </c>
    </row>
    <row r="146" spans="1:1" x14ac:dyDescent="0.45">
      <c r="A146" t="s">
        <v>2055</v>
      </c>
    </row>
    <row r="147" spans="1:1" x14ac:dyDescent="0.45">
      <c r="A147" t="s">
        <v>2056</v>
      </c>
    </row>
    <row r="148" spans="1:1" x14ac:dyDescent="0.45">
      <c r="A148" t="s">
        <v>2057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C0EF2-F9C7-46B8-BC19-49CCAE850EBA}">
  <dimension ref="A1:B346"/>
  <sheetViews>
    <sheetView workbookViewId="0">
      <selection activeCell="A22" sqref="A22"/>
    </sheetView>
  </sheetViews>
  <sheetFormatPr defaultRowHeight="14.25" x14ac:dyDescent="0.45"/>
  <cols>
    <col min="1" max="1" width="45" bestFit="1" customWidth="1"/>
    <col min="2" max="2" width="13.3984375" bestFit="1" customWidth="1"/>
  </cols>
  <sheetData>
    <row r="1" spans="1:2" x14ac:dyDescent="0.45">
      <c r="A1" t="s">
        <v>2213</v>
      </c>
      <c r="B1" t="s">
        <v>2214</v>
      </c>
    </row>
    <row r="2" spans="1:2" x14ac:dyDescent="0.45">
      <c r="A2" t="s">
        <v>2215</v>
      </c>
      <c r="B2" t="s">
        <v>1473</v>
      </c>
    </row>
    <row r="3" spans="1:2" x14ac:dyDescent="0.45">
      <c r="A3" t="s">
        <v>2216</v>
      </c>
      <c r="B3" t="s">
        <v>1468</v>
      </c>
    </row>
    <row r="4" spans="1:2" x14ac:dyDescent="0.45">
      <c r="A4" t="s">
        <v>2217</v>
      </c>
      <c r="B4" t="s">
        <v>1468</v>
      </c>
    </row>
    <row r="5" spans="1:2" x14ac:dyDescent="0.45">
      <c r="A5" t="s">
        <v>2218</v>
      </c>
      <c r="B5" t="s">
        <v>1473</v>
      </c>
    </row>
    <row r="6" spans="1:2" x14ac:dyDescent="0.45">
      <c r="A6" t="s">
        <v>2219</v>
      </c>
      <c r="B6" t="s">
        <v>1473</v>
      </c>
    </row>
    <row r="7" spans="1:2" x14ac:dyDescent="0.45">
      <c r="A7" t="s">
        <v>2220</v>
      </c>
      <c r="B7" t="s">
        <v>1468</v>
      </c>
    </row>
    <row r="8" spans="1:2" x14ac:dyDescent="0.45">
      <c r="A8" t="s">
        <v>2221</v>
      </c>
      <c r="B8" t="s">
        <v>1468</v>
      </c>
    </row>
    <row r="9" spans="1:2" x14ac:dyDescent="0.45">
      <c r="A9" t="s">
        <v>2222</v>
      </c>
      <c r="B9" t="s">
        <v>1468</v>
      </c>
    </row>
    <row r="10" spans="1:2" x14ac:dyDescent="0.45">
      <c r="A10" t="s">
        <v>2223</v>
      </c>
      <c r="B10" t="s">
        <v>1468</v>
      </c>
    </row>
    <row r="11" spans="1:2" x14ac:dyDescent="0.45">
      <c r="A11" t="s">
        <v>2224</v>
      </c>
      <c r="B11" t="s">
        <v>1468</v>
      </c>
    </row>
    <row r="12" spans="1:2" x14ac:dyDescent="0.45">
      <c r="A12" t="s">
        <v>2225</v>
      </c>
      <c r="B12" t="s">
        <v>1468</v>
      </c>
    </row>
    <row r="13" spans="1:2" x14ac:dyDescent="0.45">
      <c r="A13" t="s">
        <v>2226</v>
      </c>
      <c r="B13" t="s">
        <v>1468</v>
      </c>
    </row>
    <row r="14" spans="1:2" x14ac:dyDescent="0.45">
      <c r="A14" t="s">
        <v>2227</v>
      </c>
      <c r="B14" t="s">
        <v>1468</v>
      </c>
    </row>
    <row r="15" spans="1:2" x14ac:dyDescent="0.45">
      <c r="A15" t="s">
        <v>2228</v>
      </c>
      <c r="B15" t="s">
        <v>1468</v>
      </c>
    </row>
    <row r="16" spans="1:2" x14ac:dyDescent="0.45">
      <c r="A16" t="s">
        <v>2229</v>
      </c>
      <c r="B16" t="s">
        <v>1468</v>
      </c>
    </row>
    <row r="17" spans="1:2" x14ac:dyDescent="0.45">
      <c r="A17" t="s">
        <v>2230</v>
      </c>
      <c r="B17" t="s">
        <v>1473</v>
      </c>
    </row>
    <row r="18" spans="1:2" x14ac:dyDescent="0.45">
      <c r="A18" t="s">
        <v>2231</v>
      </c>
      <c r="B18" t="s">
        <v>1468</v>
      </c>
    </row>
    <row r="19" spans="1:2" x14ac:dyDescent="0.45">
      <c r="A19" t="s">
        <v>2232</v>
      </c>
      <c r="B19" t="s">
        <v>1468</v>
      </c>
    </row>
    <row r="20" spans="1:2" x14ac:dyDescent="0.45">
      <c r="A20" t="s">
        <v>2233</v>
      </c>
      <c r="B20" t="s">
        <v>1468</v>
      </c>
    </row>
    <row r="21" spans="1:2" x14ac:dyDescent="0.45">
      <c r="A21" t="s">
        <v>2627</v>
      </c>
      <c r="B21" t="s">
        <v>1468</v>
      </c>
    </row>
    <row r="22" spans="1:2" x14ac:dyDescent="0.45">
      <c r="A22" t="s">
        <v>2234</v>
      </c>
      <c r="B22" t="s">
        <v>1468</v>
      </c>
    </row>
    <row r="23" spans="1:2" x14ac:dyDescent="0.45">
      <c r="A23" t="s">
        <v>2235</v>
      </c>
      <c r="B23" t="s">
        <v>1473</v>
      </c>
    </row>
    <row r="24" spans="1:2" x14ac:dyDescent="0.45">
      <c r="A24" t="s">
        <v>2236</v>
      </c>
      <c r="B24" t="s">
        <v>1473</v>
      </c>
    </row>
    <row r="25" spans="1:2" x14ac:dyDescent="0.45">
      <c r="A25" t="s">
        <v>2237</v>
      </c>
      <c r="B25" t="s">
        <v>1468</v>
      </c>
    </row>
    <row r="26" spans="1:2" x14ac:dyDescent="0.45">
      <c r="A26" t="s">
        <v>2238</v>
      </c>
      <c r="B26" t="s">
        <v>1468</v>
      </c>
    </row>
    <row r="27" spans="1:2" x14ac:dyDescent="0.45">
      <c r="A27" t="s">
        <v>2239</v>
      </c>
      <c r="B27" t="s">
        <v>1468</v>
      </c>
    </row>
    <row r="28" spans="1:2" x14ac:dyDescent="0.45">
      <c r="A28" t="s">
        <v>2240</v>
      </c>
      <c r="B28" t="s">
        <v>1468</v>
      </c>
    </row>
    <row r="29" spans="1:2" x14ac:dyDescent="0.45">
      <c r="A29" t="s">
        <v>2241</v>
      </c>
      <c r="B29" t="s">
        <v>1468</v>
      </c>
    </row>
    <row r="30" spans="1:2" x14ac:dyDescent="0.45">
      <c r="A30" t="s">
        <v>2242</v>
      </c>
      <c r="B30" t="s">
        <v>1468</v>
      </c>
    </row>
    <row r="31" spans="1:2" x14ac:dyDescent="0.45">
      <c r="A31" t="s">
        <v>2243</v>
      </c>
      <c r="B31" t="s">
        <v>1468</v>
      </c>
    </row>
    <row r="32" spans="1:2" x14ac:dyDescent="0.45">
      <c r="A32" t="s">
        <v>2244</v>
      </c>
      <c r="B32" t="s">
        <v>1468</v>
      </c>
    </row>
    <row r="33" spans="1:2" x14ac:dyDescent="0.45">
      <c r="A33" t="s">
        <v>2245</v>
      </c>
      <c r="B33" t="s">
        <v>1468</v>
      </c>
    </row>
    <row r="34" spans="1:2" x14ac:dyDescent="0.45">
      <c r="A34" t="s">
        <v>2246</v>
      </c>
      <c r="B34" t="s">
        <v>1468</v>
      </c>
    </row>
    <row r="35" spans="1:2" x14ac:dyDescent="0.45">
      <c r="A35" t="s">
        <v>2247</v>
      </c>
      <c r="B35" t="s">
        <v>1468</v>
      </c>
    </row>
    <row r="36" spans="1:2" x14ac:dyDescent="0.45">
      <c r="A36" t="s">
        <v>2248</v>
      </c>
      <c r="B36" t="s">
        <v>1468</v>
      </c>
    </row>
    <row r="37" spans="1:2" x14ac:dyDescent="0.45">
      <c r="A37" t="s">
        <v>2249</v>
      </c>
      <c r="B37" t="s">
        <v>1468</v>
      </c>
    </row>
    <row r="38" spans="1:2" x14ac:dyDescent="0.45">
      <c r="A38" t="s">
        <v>2250</v>
      </c>
      <c r="B38" t="s">
        <v>1468</v>
      </c>
    </row>
    <row r="39" spans="1:2" x14ac:dyDescent="0.45">
      <c r="A39" t="s">
        <v>2251</v>
      </c>
      <c r="B39" t="s">
        <v>1468</v>
      </c>
    </row>
    <row r="40" spans="1:2" x14ac:dyDescent="0.45">
      <c r="A40" t="s">
        <v>2252</v>
      </c>
      <c r="B40" t="s">
        <v>1468</v>
      </c>
    </row>
    <row r="41" spans="1:2" x14ac:dyDescent="0.45">
      <c r="A41" t="s">
        <v>2253</v>
      </c>
      <c r="B41" t="s">
        <v>1468</v>
      </c>
    </row>
    <row r="42" spans="1:2" x14ac:dyDescent="0.45">
      <c r="A42" t="s">
        <v>2254</v>
      </c>
      <c r="B42" t="s">
        <v>1468</v>
      </c>
    </row>
    <row r="43" spans="1:2" x14ac:dyDescent="0.45">
      <c r="A43" t="s">
        <v>2255</v>
      </c>
      <c r="B43" t="s">
        <v>1473</v>
      </c>
    </row>
    <row r="44" spans="1:2" x14ac:dyDescent="0.45">
      <c r="A44" t="s">
        <v>2256</v>
      </c>
      <c r="B44" t="s">
        <v>1468</v>
      </c>
    </row>
    <row r="45" spans="1:2" x14ac:dyDescent="0.45">
      <c r="A45" t="s">
        <v>2257</v>
      </c>
      <c r="B45" t="s">
        <v>1468</v>
      </c>
    </row>
    <row r="46" spans="1:2" x14ac:dyDescent="0.45">
      <c r="A46" t="s">
        <v>2258</v>
      </c>
      <c r="B46" t="s">
        <v>1468</v>
      </c>
    </row>
    <row r="47" spans="1:2" x14ac:dyDescent="0.45">
      <c r="A47" t="s">
        <v>2259</v>
      </c>
      <c r="B47" t="s">
        <v>1468</v>
      </c>
    </row>
    <row r="48" spans="1:2" x14ac:dyDescent="0.45">
      <c r="A48" t="s">
        <v>2260</v>
      </c>
      <c r="B48" t="s">
        <v>1468</v>
      </c>
    </row>
    <row r="49" spans="1:2" x14ac:dyDescent="0.45">
      <c r="A49" t="s">
        <v>2261</v>
      </c>
      <c r="B49" t="s">
        <v>1468</v>
      </c>
    </row>
    <row r="50" spans="1:2" x14ac:dyDescent="0.45">
      <c r="A50" t="s">
        <v>2262</v>
      </c>
      <c r="B50" t="s">
        <v>1468</v>
      </c>
    </row>
    <row r="51" spans="1:2" x14ac:dyDescent="0.45">
      <c r="A51" t="s">
        <v>2263</v>
      </c>
      <c r="B51" t="s">
        <v>1468</v>
      </c>
    </row>
    <row r="52" spans="1:2" x14ac:dyDescent="0.45">
      <c r="A52" t="s">
        <v>2264</v>
      </c>
      <c r="B52" t="s">
        <v>1473</v>
      </c>
    </row>
    <row r="53" spans="1:2" x14ac:dyDescent="0.45">
      <c r="A53" t="s">
        <v>2265</v>
      </c>
      <c r="B53" t="s">
        <v>1468</v>
      </c>
    </row>
    <row r="54" spans="1:2" x14ac:dyDescent="0.45">
      <c r="A54" t="s">
        <v>2266</v>
      </c>
      <c r="B54" t="s">
        <v>1468</v>
      </c>
    </row>
    <row r="55" spans="1:2" x14ac:dyDescent="0.45">
      <c r="A55" t="s">
        <v>2267</v>
      </c>
      <c r="B55" t="s">
        <v>1468</v>
      </c>
    </row>
    <row r="56" spans="1:2" x14ac:dyDescent="0.45">
      <c r="A56" t="s">
        <v>2268</v>
      </c>
      <c r="B56" t="s">
        <v>1473</v>
      </c>
    </row>
    <row r="57" spans="1:2" x14ac:dyDescent="0.45">
      <c r="A57" t="s">
        <v>2269</v>
      </c>
      <c r="B57" t="s">
        <v>1468</v>
      </c>
    </row>
    <row r="58" spans="1:2" x14ac:dyDescent="0.45">
      <c r="A58" t="s">
        <v>2270</v>
      </c>
      <c r="B58" t="s">
        <v>1468</v>
      </c>
    </row>
    <row r="59" spans="1:2" x14ac:dyDescent="0.45">
      <c r="A59" t="s">
        <v>2271</v>
      </c>
      <c r="B59" t="s">
        <v>1468</v>
      </c>
    </row>
    <row r="60" spans="1:2" x14ac:dyDescent="0.45">
      <c r="A60" t="s">
        <v>2272</v>
      </c>
      <c r="B60" t="s">
        <v>1468</v>
      </c>
    </row>
    <row r="61" spans="1:2" x14ac:dyDescent="0.45">
      <c r="A61" t="s">
        <v>2273</v>
      </c>
      <c r="B61" t="s">
        <v>1473</v>
      </c>
    </row>
    <row r="62" spans="1:2" x14ac:dyDescent="0.45">
      <c r="A62" t="s">
        <v>2274</v>
      </c>
      <c r="B62" t="s">
        <v>1473</v>
      </c>
    </row>
    <row r="63" spans="1:2" x14ac:dyDescent="0.45">
      <c r="A63" t="s">
        <v>2275</v>
      </c>
      <c r="B63" t="s">
        <v>1468</v>
      </c>
    </row>
    <row r="64" spans="1:2" x14ac:dyDescent="0.45">
      <c r="A64" t="s">
        <v>2276</v>
      </c>
      <c r="B64" t="s">
        <v>1468</v>
      </c>
    </row>
    <row r="65" spans="1:2" x14ac:dyDescent="0.45">
      <c r="A65" t="s">
        <v>2277</v>
      </c>
      <c r="B65" t="s">
        <v>1468</v>
      </c>
    </row>
    <row r="66" spans="1:2" x14ac:dyDescent="0.45">
      <c r="A66" t="s">
        <v>2278</v>
      </c>
      <c r="B66" t="s">
        <v>1468</v>
      </c>
    </row>
    <row r="67" spans="1:2" x14ac:dyDescent="0.45">
      <c r="A67" t="s">
        <v>2279</v>
      </c>
      <c r="B67" t="s">
        <v>1473</v>
      </c>
    </row>
    <row r="68" spans="1:2" x14ac:dyDescent="0.45">
      <c r="A68" t="s">
        <v>2280</v>
      </c>
      <c r="B68" t="s">
        <v>1468</v>
      </c>
    </row>
    <row r="69" spans="1:2" x14ac:dyDescent="0.45">
      <c r="A69" t="s">
        <v>2281</v>
      </c>
      <c r="B69" t="s">
        <v>1468</v>
      </c>
    </row>
    <row r="70" spans="1:2" x14ac:dyDescent="0.45">
      <c r="A70" t="s">
        <v>2282</v>
      </c>
      <c r="B70" t="s">
        <v>1468</v>
      </c>
    </row>
    <row r="71" spans="1:2" x14ac:dyDescent="0.45">
      <c r="A71" t="s">
        <v>2283</v>
      </c>
      <c r="B71" t="s">
        <v>1468</v>
      </c>
    </row>
    <row r="72" spans="1:2" x14ac:dyDescent="0.45">
      <c r="A72" t="s">
        <v>2284</v>
      </c>
      <c r="B72" t="s">
        <v>1468</v>
      </c>
    </row>
    <row r="73" spans="1:2" x14ac:dyDescent="0.45">
      <c r="A73" t="s">
        <v>2285</v>
      </c>
      <c r="B73" t="s">
        <v>1468</v>
      </c>
    </row>
    <row r="74" spans="1:2" x14ac:dyDescent="0.45">
      <c r="A74" t="s">
        <v>2286</v>
      </c>
      <c r="B74" t="s">
        <v>1473</v>
      </c>
    </row>
    <row r="75" spans="1:2" x14ac:dyDescent="0.45">
      <c r="A75" t="s">
        <v>2287</v>
      </c>
      <c r="B75" t="s">
        <v>1473</v>
      </c>
    </row>
    <row r="76" spans="1:2" x14ac:dyDescent="0.45">
      <c r="A76" t="s">
        <v>2288</v>
      </c>
      <c r="B76" t="s">
        <v>1473</v>
      </c>
    </row>
    <row r="77" spans="1:2" x14ac:dyDescent="0.45">
      <c r="A77" t="s">
        <v>2289</v>
      </c>
      <c r="B77" t="s">
        <v>1468</v>
      </c>
    </row>
    <row r="78" spans="1:2" x14ac:dyDescent="0.45">
      <c r="A78" t="s">
        <v>2290</v>
      </c>
      <c r="B78" t="s">
        <v>1468</v>
      </c>
    </row>
    <row r="79" spans="1:2" x14ac:dyDescent="0.45">
      <c r="A79" t="s">
        <v>2291</v>
      </c>
      <c r="B79" t="s">
        <v>1468</v>
      </c>
    </row>
    <row r="80" spans="1:2" x14ac:dyDescent="0.45">
      <c r="A80" t="s">
        <v>2292</v>
      </c>
      <c r="B80" t="s">
        <v>1468</v>
      </c>
    </row>
    <row r="81" spans="1:2" x14ac:dyDescent="0.45">
      <c r="A81" t="s">
        <v>2293</v>
      </c>
      <c r="B81" t="s">
        <v>1473</v>
      </c>
    </row>
    <row r="82" spans="1:2" x14ac:dyDescent="0.45">
      <c r="A82" t="s">
        <v>2294</v>
      </c>
      <c r="B82" t="s">
        <v>1468</v>
      </c>
    </row>
    <row r="83" spans="1:2" x14ac:dyDescent="0.45">
      <c r="A83" t="s">
        <v>2295</v>
      </c>
      <c r="B83" t="s">
        <v>1468</v>
      </c>
    </row>
    <row r="84" spans="1:2" x14ac:dyDescent="0.45">
      <c r="A84" t="s">
        <v>2296</v>
      </c>
      <c r="B84" t="s">
        <v>1473</v>
      </c>
    </row>
    <row r="85" spans="1:2" x14ac:dyDescent="0.45">
      <c r="A85" t="s">
        <v>2297</v>
      </c>
      <c r="B85" t="s">
        <v>1468</v>
      </c>
    </row>
    <row r="86" spans="1:2" x14ac:dyDescent="0.45">
      <c r="A86" t="s">
        <v>2298</v>
      </c>
      <c r="B86" t="s">
        <v>1468</v>
      </c>
    </row>
    <row r="87" spans="1:2" x14ac:dyDescent="0.45">
      <c r="A87" t="s">
        <v>2299</v>
      </c>
      <c r="B87" t="s">
        <v>1468</v>
      </c>
    </row>
    <row r="88" spans="1:2" x14ac:dyDescent="0.45">
      <c r="A88" t="s">
        <v>2300</v>
      </c>
      <c r="B88" t="s">
        <v>1473</v>
      </c>
    </row>
    <row r="89" spans="1:2" x14ac:dyDescent="0.45">
      <c r="A89" t="s">
        <v>2301</v>
      </c>
      <c r="B89" t="s">
        <v>1468</v>
      </c>
    </row>
    <row r="90" spans="1:2" x14ac:dyDescent="0.45">
      <c r="A90" t="s">
        <v>2302</v>
      </c>
      <c r="B90" t="s">
        <v>1468</v>
      </c>
    </row>
    <row r="91" spans="1:2" x14ac:dyDescent="0.45">
      <c r="A91" t="s">
        <v>2303</v>
      </c>
      <c r="B91" t="s">
        <v>1473</v>
      </c>
    </row>
    <row r="92" spans="1:2" x14ac:dyDescent="0.45">
      <c r="A92" t="s">
        <v>2304</v>
      </c>
      <c r="B92" t="s">
        <v>1473</v>
      </c>
    </row>
    <row r="93" spans="1:2" x14ac:dyDescent="0.45">
      <c r="A93" t="s">
        <v>2305</v>
      </c>
      <c r="B93" t="s">
        <v>1468</v>
      </c>
    </row>
    <row r="94" spans="1:2" x14ac:dyDescent="0.45">
      <c r="A94" t="s">
        <v>2306</v>
      </c>
      <c r="B94" t="s">
        <v>1473</v>
      </c>
    </row>
    <row r="95" spans="1:2" x14ac:dyDescent="0.45">
      <c r="A95" t="s">
        <v>2307</v>
      </c>
      <c r="B95" t="s">
        <v>1468</v>
      </c>
    </row>
    <row r="96" spans="1:2" x14ac:dyDescent="0.45">
      <c r="A96" t="s">
        <v>2308</v>
      </c>
      <c r="B96" t="s">
        <v>1468</v>
      </c>
    </row>
    <row r="97" spans="1:2" x14ac:dyDescent="0.45">
      <c r="A97" t="s">
        <v>2309</v>
      </c>
      <c r="B97" t="s">
        <v>1468</v>
      </c>
    </row>
    <row r="98" spans="1:2" x14ac:dyDescent="0.45">
      <c r="A98" t="s">
        <v>2310</v>
      </c>
      <c r="B98" t="s">
        <v>1468</v>
      </c>
    </row>
    <row r="99" spans="1:2" x14ac:dyDescent="0.45">
      <c r="A99" t="s">
        <v>2311</v>
      </c>
      <c r="B99" t="s">
        <v>1468</v>
      </c>
    </row>
    <row r="100" spans="1:2" x14ac:dyDescent="0.45">
      <c r="A100" t="s">
        <v>2312</v>
      </c>
      <c r="B100" t="s">
        <v>1468</v>
      </c>
    </row>
    <row r="101" spans="1:2" x14ac:dyDescent="0.45">
      <c r="A101" t="s">
        <v>2313</v>
      </c>
      <c r="B101" t="s">
        <v>1468</v>
      </c>
    </row>
    <row r="102" spans="1:2" x14ac:dyDescent="0.45">
      <c r="A102" t="s">
        <v>2314</v>
      </c>
      <c r="B102" t="s">
        <v>1468</v>
      </c>
    </row>
    <row r="103" spans="1:2" x14ac:dyDescent="0.45">
      <c r="A103" t="s">
        <v>2315</v>
      </c>
      <c r="B103" t="s">
        <v>1468</v>
      </c>
    </row>
    <row r="104" spans="1:2" x14ac:dyDescent="0.45">
      <c r="A104" t="s">
        <v>2316</v>
      </c>
      <c r="B104" t="s">
        <v>1468</v>
      </c>
    </row>
    <row r="105" spans="1:2" x14ac:dyDescent="0.45">
      <c r="A105" t="s">
        <v>2317</v>
      </c>
      <c r="B105" t="s">
        <v>1473</v>
      </c>
    </row>
    <row r="106" spans="1:2" x14ac:dyDescent="0.45">
      <c r="A106" t="s">
        <v>2318</v>
      </c>
      <c r="B106" t="s">
        <v>1473</v>
      </c>
    </row>
    <row r="107" spans="1:2" x14ac:dyDescent="0.45">
      <c r="A107" t="s">
        <v>2319</v>
      </c>
      <c r="B107" t="s">
        <v>1468</v>
      </c>
    </row>
    <row r="108" spans="1:2" x14ac:dyDescent="0.45">
      <c r="A108" t="s">
        <v>2320</v>
      </c>
      <c r="B108" t="s">
        <v>1468</v>
      </c>
    </row>
    <row r="109" spans="1:2" x14ac:dyDescent="0.45">
      <c r="A109" t="s">
        <v>2321</v>
      </c>
      <c r="B109" t="s">
        <v>1468</v>
      </c>
    </row>
    <row r="110" spans="1:2" x14ac:dyDescent="0.45">
      <c r="A110" t="s">
        <v>2322</v>
      </c>
      <c r="B110" t="s">
        <v>1473</v>
      </c>
    </row>
    <row r="111" spans="1:2" x14ac:dyDescent="0.45">
      <c r="A111" t="s">
        <v>2323</v>
      </c>
      <c r="B111" t="s">
        <v>1468</v>
      </c>
    </row>
    <row r="112" spans="1:2" x14ac:dyDescent="0.45">
      <c r="A112" t="s">
        <v>2324</v>
      </c>
      <c r="B112" t="s">
        <v>1468</v>
      </c>
    </row>
    <row r="113" spans="1:2" x14ac:dyDescent="0.45">
      <c r="A113" t="s">
        <v>2325</v>
      </c>
      <c r="B113" t="s">
        <v>1473</v>
      </c>
    </row>
    <row r="114" spans="1:2" x14ac:dyDescent="0.45">
      <c r="A114" t="s">
        <v>2326</v>
      </c>
      <c r="B114" t="s">
        <v>1473</v>
      </c>
    </row>
    <row r="115" spans="1:2" x14ac:dyDescent="0.45">
      <c r="A115" t="s">
        <v>2327</v>
      </c>
      <c r="B115" t="s">
        <v>1468</v>
      </c>
    </row>
    <row r="116" spans="1:2" x14ac:dyDescent="0.45">
      <c r="A116" t="s">
        <v>2328</v>
      </c>
      <c r="B116" t="s">
        <v>1468</v>
      </c>
    </row>
    <row r="117" spans="1:2" x14ac:dyDescent="0.45">
      <c r="A117" t="s">
        <v>2329</v>
      </c>
      <c r="B117" t="s">
        <v>1468</v>
      </c>
    </row>
    <row r="118" spans="1:2" x14ac:dyDescent="0.45">
      <c r="A118" t="s">
        <v>2330</v>
      </c>
      <c r="B118" t="s">
        <v>1468</v>
      </c>
    </row>
    <row r="119" spans="1:2" x14ac:dyDescent="0.45">
      <c r="A119" t="s">
        <v>2331</v>
      </c>
      <c r="B119" t="s">
        <v>1468</v>
      </c>
    </row>
    <row r="120" spans="1:2" x14ac:dyDescent="0.45">
      <c r="A120" t="s">
        <v>2332</v>
      </c>
      <c r="B120" t="s">
        <v>1473</v>
      </c>
    </row>
    <row r="121" spans="1:2" x14ac:dyDescent="0.45">
      <c r="A121" t="s">
        <v>2333</v>
      </c>
      <c r="B121" t="s">
        <v>1468</v>
      </c>
    </row>
    <row r="122" spans="1:2" x14ac:dyDescent="0.45">
      <c r="A122" t="s">
        <v>2334</v>
      </c>
      <c r="B122" t="s">
        <v>1468</v>
      </c>
    </row>
    <row r="123" spans="1:2" x14ac:dyDescent="0.45">
      <c r="A123" t="s">
        <v>2335</v>
      </c>
      <c r="B123" t="s">
        <v>1473</v>
      </c>
    </row>
    <row r="124" spans="1:2" x14ac:dyDescent="0.45">
      <c r="A124" t="s">
        <v>2336</v>
      </c>
      <c r="B124" t="s">
        <v>1473</v>
      </c>
    </row>
    <row r="125" spans="1:2" x14ac:dyDescent="0.45">
      <c r="A125" t="s">
        <v>2337</v>
      </c>
      <c r="B125" t="s">
        <v>1468</v>
      </c>
    </row>
    <row r="126" spans="1:2" x14ac:dyDescent="0.45">
      <c r="A126" t="s">
        <v>2338</v>
      </c>
      <c r="B126" t="s">
        <v>1473</v>
      </c>
    </row>
    <row r="127" spans="1:2" x14ac:dyDescent="0.45">
      <c r="A127" t="s">
        <v>2339</v>
      </c>
      <c r="B127" t="s">
        <v>1473</v>
      </c>
    </row>
    <row r="128" spans="1:2" x14ac:dyDescent="0.45">
      <c r="A128" t="s">
        <v>2340</v>
      </c>
      <c r="B128" t="s">
        <v>1473</v>
      </c>
    </row>
    <row r="129" spans="1:2" x14ac:dyDescent="0.45">
      <c r="A129" t="s">
        <v>2341</v>
      </c>
      <c r="B129" t="s">
        <v>1473</v>
      </c>
    </row>
    <row r="130" spans="1:2" x14ac:dyDescent="0.45">
      <c r="A130" t="s">
        <v>2342</v>
      </c>
      <c r="B130" t="s">
        <v>1473</v>
      </c>
    </row>
    <row r="131" spans="1:2" x14ac:dyDescent="0.45">
      <c r="A131" t="s">
        <v>2343</v>
      </c>
      <c r="B131" t="s">
        <v>1473</v>
      </c>
    </row>
    <row r="132" spans="1:2" x14ac:dyDescent="0.45">
      <c r="A132" t="s">
        <v>2344</v>
      </c>
      <c r="B132" t="s">
        <v>1473</v>
      </c>
    </row>
    <row r="133" spans="1:2" x14ac:dyDescent="0.45">
      <c r="A133" t="s">
        <v>2345</v>
      </c>
      <c r="B133" t="s">
        <v>1468</v>
      </c>
    </row>
    <row r="134" spans="1:2" x14ac:dyDescent="0.45">
      <c r="A134" t="s">
        <v>2346</v>
      </c>
      <c r="B134" t="s">
        <v>1468</v>
      </c>
    </row>
    <row r="135" spans="1:2" x14ac:dyDescent="0.45">
      <c r="A135" t="s">
        <v>2347</v>
      </c>
      <c r="B135" t="s">
        <v>1473</v>
      </c>
    </row>
    <row r="136" spans="1:2" x14ac:dyDescent="0.45">
      <c r="A136" t="s">
        <v>2348</v>
      </c>
      <c r="B136" t="s">
        <v>1468</v>
      </c>
    </row>
    <row r="137" spans="1:2" x14ac:dyDescent="0.45">
      <c r="A137" t="s">
        <v>2061</v>
      </c>
      <c r="B137" t="s">
        <v>1468</v>
      </c>
    </row>
    <row r="138" spans="1:2" x14ac:dyDescent="0.45">
      <c r="A138" t="s">
        <v>2349</v>
      </c>
      <c r="B138" t="s">
        <v>1473</v>
      </c>
    </row>
    <row r="139" spans="1:2" x14ac:dyDescent="0.45">
      <c r="A139" t="s">
        <v>2350</v>
      </c>
      <c r="B139" t="s">
        <v>1468</v>
      </c>
    </row>
    <row r="140" spans="1:2" x14ac:dyDescent="0.45">
      <c r="A140" t="s">
        <v>2351</v>
      </c>
      <c r="B140" t="s">
        <v>1468</v>
      </c>
    </row>
    <row r="141" spans="1:2" x14ac:dyDescent="0.45">
      <c r="A141" t="s">
        <v>2352</v>
      </c>
      <c r="B141" t="s">
        <v>1468</v>
      </c>
    </row>
    <row r="142" spans="1:2" x14ac:dyDescent="0.45">
      <c r="A142" t="s">
        <v>2353</v>
      </c>
      <c r="B142" t="s">
        <v>1468</v>
      </c>
    </row>
    <row r="143" spans="1:2" x14ac:dyDescent="0.45">
      <c r="A143" t="s">
        <v>2354</v>
      </c>
      <c r="B143" t="s">
        <v>1468</v>
      </c>
    </row>
    <row r="144" spans="1:2" x14ac:dyDescent="0.45">
      <c r="A144" t="s">
        <v>2355</v>
      </c>
      <c r="B144" t="s">
        <v>1468</v>
      </c>
    </row>
    <row r="145" spans="1:2" x14ac:dyDescent="0.45">
      <c r="A145" t="s">
        <v>2356</v>
      </c>
      <c r="B145" t="s">
        <v>1468</v>
      </c>
    </row>
    <row r="146" spans="1:2" x14ac:dyDescent="0.45">
      <c r="A146" t="s">
        <v>2357</v>
      </c>
      <c r="B146" t="s">
        <v>1468</v>
      </c>
    </row>
    <row r="147" spans="1:2" x14ac:dyDescent="0.45">
      <c r="A147" t="s">
        <v>2358</v>
      </c>
      <c r="B147" t="s">
        <v>1473</v>
      </c>
    </row>
    <row r="148" spans="1:2" x14ac:dyDescent="0.45">
      <c r="A148" t="s">
        <v>2359</v>
      </c>
      <c r="B148" t="s">
        <v>1468</v>
      </c>
    </row>
    <row r="149" spans="1:2" x14ac:dyDescent="0.45">
      <c r="A149" t="s">
        <v>2360</v>
      </c>
      <c r="B149" t="s">
        <v>1468</v>
      </c>
    </row>
    <row r="150" spans="1:2" x14ac:dyDescent="0.45">
      <c r="A150" t="s">
        <v>2361</v>
      </c>
      <c r="B150" t="s">
        <v>1468</v>
      </c>
    </row>
    <row r="151" spans="1:2" x14ac:dyDescent="0.45">
      <c r="A151" t="s">
        <v>2362</v>
      </c>
      <c r="B151" t="s">
        <v>1468</v>
      </c>
    </row>
    <row r="152" spans="1:2" x14ac:dyDescent="0.45">
      <c r="A152" t="s">
        <v>2363</v>
      </c>
      <c r="B152" t="s">
        <v>1468</v>
      </c>
    </row>
    <row r="153" spans="1:2" x14ac:dyDescent="0.45">
      <c r="A153" t="s">
        <v>2364</v>
      </c>
      <c r="B153" t="s">
        <v>1468</v>
      </c>
    </row>
    <row r="154" spans="1:2" x14ac:dyDescent="0.45">
      <c r="A154" t="s">
        <v>2365</v>
      </c>
      <c r="B154" t="s">
        <v>1468</v>
      </c>
    </row>
    <row r="155" spans="1:2" x14ac:dyDescent="0.45">
      <c r="A155" t="s">
        <v>2366</v>
      </c>
      <c r="B155" t="s">
        <v>1468</v>
      </c>
    </row>
    <row r="156" spans="1:2" x14ac:dyDescent="0.45">
      <c r="A156" t="s">
        <v>2367</v>
      </c>
      <c r="B156" t="s">
        <v>1468</v>
      </c>
    </row>
    <row r="157" spans="1:2" x14ac:dyDescent="0.45">
      <c r="A157" t="s">
        <v>2368</v>
      </c>
      <c r="B157" t="s">
        <v>1473</v>
      </c>
    </row>
    <row r="158" spans="1:2" x14ac:dyDescent="0.45">
      <c r="A158" t="s">
        <v>2369</v>
      </c>
      <c r="B158" t="s">
        <v>1468</v>
      </c>
    </row>
    <row r="159" spans="1:2" x14ac:dyDescent="0.45">
      <c r="A159" t="s">
        <v>2370</v>
      </c>
      <c r="B159" t="s">
        <v>1468</v>
      </c>
    </row>
    <row r="160" spans="1:2" x14ac:dyDescent="0.45">
      <c r="A160" t="s">
        <v>2371</v>
      </c>
      <c r="B160" t="s">
        <v>1468</v>
      </c>
    </row>
    <row r="161" spans="1:2" x14ac:dyDescent="0.45">
      <c r="A161" t="s">
        <v>2372</v>
      </c>
      <c r="B161" t="s">
        <v>1468</v>
      </c>
    </row>
    <row r="162" spans="1:2" x14ac:dyDescent="0.45">
      <c r="A162" t="s">
        <v>2373</v>
      </c>
      <c r="B162" t="s">
        <v>1473</v>
      </c>
    </row>
    <row r="163" spans="1:2" x14ac:dyDescent="0.45">
      <c r="A163" t="s">
        <v>2374</v>
      </c>
      <c r="B163" t="s">
        <v>1468</v>
      </c>
    </row>
    <row r="164" spans="1:2" x14ac:dyDescent="0.45">
      <c r="A164" t="s">
        <v>2375</v>
      </c>
      <c r="B164" t="s">
        <v>1468</v>
      </c>
    </row>
    <row r="165" spans="1:2" x14ac:dyDescent="0.45">
      <c r="A165" t="s">
        <v>2376</v>
      </c>
      <c r="B165" t="s">
        <v>1468</v>
      </c>
    </row>
    <row r="166" spans="1:2" x14ac:dyDescent="0.45">
      <c r="A166" t="s">
        <v>2377</v>
      </c>
      <c r="B166" t="s">
        <v>1468</v>
      </c>
    </row>
    <row r="167" spans="1:2" x14ac:dyDescent="0.45">
      <c r="A167" t="s">
        <v>2378</v>
      </c>
      <c r="B167" t="s">
        <v>1468</v>
      </c>
    </row>
    <row r="168" spans="1:2" x14ac:dyDescent="0.45">
      <c r="A168" t="s">
        <v>2379</v>
      </c>
      <c r="B168" t="s">
        <v>1473</v>
      </c>
    </row>
    <row r="169" spans="1:2" x14ac:dyDescent="0.45">
      <c r="A169" t="s">
        <v>2380</v>
      </c>
      <c r="B169" t="s">
        <v>1468</v>
      </c>
    </row>
    <row r="170" spans="1:2" x14ac:dyDescent="0.45">
      <c r="A170" t="s">
        <v>2381</v>
      </c>
      <c r="B170" t="s">
        <v>1468</v>
      </c>
    </row>
    <row r="171" spans="1:2" x14ac:dyDescent="0.45">
      <c r="A171" t="s">
        <v>2382</v>
      </c>
      <c r="B171" t="s">
        <v>1468</v>
      </c>
    </row>
    <row r="172" spans="1:2" x14ac:dyDescent="0.45">
      <c r="A172" t="s">
        <v>2383</v>
      </c>
      <c r="B172" t="s">
        <v>1468</v>
      </c>
    </row>
    <row r="173" spans="1:2" x14ac:dyDescent="0.45">
      <c r="A173" t="s">
        <v>2384</v>
      </c>
      <c r="B173" t="s">
        <v>1468</v>
      </c>
    </row>
    <row r="174" spans="1:2" x14ac:dyDescent="0.45">
      <c r="A174" t="s">
        <v>2385</v>
      </c>
      <c r="B174" t="s">
        <v>1468</v>
      </c>
    </row>
    <row r="175" spans="1:2" x14ac:dyDescent="0.45">
      <c r="A175" t="s">
        <v>2386</v>
      </c>
      <c r="B175" t="s">
        <v>1468</v>
      </c>
    </row>
    <row r="176" spans="1:2" x14ac:dyDescent="0.45">
      <c r="A176" t="s">
        <v>2387</v>
      </c>
      <c r="B176" t="s">
        <v>1468</v>
      </c>
    </row>
    <row r="177" spans="1:2" x14ac:dyDescent="0.45">
      <c r="A177" t="s">
        <v>2388</v>
      </c>
      <c r="B177" t="s">
        <v>1468</v>
      </c>
    </row>
    <row r="178" spans="1:2" x14ac:dyDescent="0.45">
      <c r="A178" t="s">
        <v>2389</v>
      </c>
      <c r="B178" t="s">
        <v>1468</v>
      </c>
    </row>
    <row r="179" spans="1:2" x14ac:dyDescent="0.45">
      <c r="A179" t="s">
        <v>2390</v>
      </c>
      <c r="B179" t="s">
        <v>1468</v>
      </c>
    </row>
    <row r="180" spans="1:2" x14ac:dyDescent="0.45">
      <c r="A180" t="s">
        <v>2391</v>
      </c>
      <c r="B180" t="s">
        <v>1468</v>
      </c>
    </row>
    <row r="181" spans="1:2" x14ac:dyDescent="0.45">
      <c r="A181" t="s">
        <v>2392</v>
      </c>
      <c r="B181" t="s">
        <v>1468</v>
      </c>
    </row>
    <row r="182" spans="1:2" x14ac:dyDescent="0.45">
      <c r="A182" t="s">
        <v>2393</v>
      </c>
      <c r="B182" t="s">
        <v>1468</v>
      </c>
    </row>
    <row r="183" spans="1:2" x14ac:dyDescent="0.45">
      <c r="A183" t="s">
        <v>2394</v>
      </c>
      <c r="B183" t="s">
        <v>1468</v>
      </c>
    </row>
    <row r="184" spans="1:2" x14ac:dyDescent="0.45">
      <c r="A184" t="s">
        <v>2395</v>
      </c>
      <c r="B184" t="s">
        <v>1468</v>
      </c>
    </row>
    <row r="185" spans="1:2" x14ac:dyDescent="0.45">
      <c r="A185" t="s">
        <v>2396</v>
      </c>
      <c r="B185" t="s">
        <v>1468</v>
      </c>
    </row>
    <row r="186" spans="1:2" x14ac:dyDescent="0.45">
      <c r="A186" t="s">
        <v>2397</v>
      </c>
      <c r="B186" t="s">
        <v>1468</v>
      </c>
    </row>
    <row r="187" spans="1:2" x14ac:dyDescent="0.45">
      <c r="A187" t="s">
        <v>2398</v>
      </c>
      <c r="B187" t="s">
        <v>1468</v>
      </c>
    </row>
    <row r="188" spans="1:2" x14ac:dyDescent="0.45">
      <c r="A188" t="s">
        <v>2399</v>
      </c>
      <c r="B188" t="s">
        <v>1473</v>
      </c>
    </row>
    <row r="189" spans="1:2" x14ac:dyDescent="0.45">
      <c r="A189" t="s">
        <v>2400</v>
      </c>
      <c r="B189" t="s">
        <v>1468</v>
      </c>
    </row>
    <row r="190" spans="1:2" x14ac:dyDescent="0.45">
      <c r="A190" t="s">
        <v>2401</v>
      </c>
      <c r="B190" t="s">
        <v>1468</v>
      </c>
    </row>
    <row r="191" spans="1:2" x14ac:dyDescent="0.45">
      <c r="A191" t="s">
        <v>2402</v>
      </c>
      <c r="B191" t="s">
        <v>1473</v>
      </c>
    </row>
    <row r="192" spans="1:2" x14ac:dyDescent="0.45">
      <c r="A192" t="s">
        <v>2403</v>
      </c>
      <c r="B192" t="s">
        <v>1473</v>
      </c>
    </row>
    <row r="193" spans="1:2" x14ac:dyDescent="0.45">
      <c r="A193" t="s">
        <v>2404</v>
      </c>
      <c r="B193" t="s">
        <v>1473</v>
      </c>
    </row>
    <row r="194" spans="1:2" x14ac:dyDescent="0.45">
      <c r="A194" t="s">
        <v>2405</v>
      </c>
      <c r="B194" t="s">
        <v>1468</v>
      </c>
    </row>
    <row r="195" spans="1:2" x14ac:dyDescent="0.45">
      <c r="A195" t="s">
        <v>2406</v>
      </c>
      <c r="B195" t="s">
        <v>1468</v>
      </c>
    </row>
    <row r="196" spans="1:2" x14ac:dyDescent="0.45">
      <c r="A196" t="s">
        <v>2407</v>
      </c>
      <c r="B196" t="s">
        <v>1468</v>
      </c>
    </row>
    <row r="197" spans="1:2" x14ac:dyDescent="0.45">
      <c r="A197" t="s">
        <v>2408</v>
      </c>
      <c r="B197" t="s">
        <v>1468</v>
      </c>
    </row>
    <row r="198" spans="1:2" x14ac:dyDescent="0.45">
      <c r="A198" t="s">
        <v>2409</v>
      </c>
      <c r="B198" t="s">
        <v>1468</v>
      </c>
    </row>
    <row r="199" spans="1:2" x14ac:dyDescent="0.45">
      <c r="A199" t="s">
        <v>2410</v>
      </c>
      <c r="B199" t="s">
        <v>1468</v>
      </c>
    </row>
    <row r="200" spans="1:2" x14ac:dyDescent="0.45">
      <c r="A200" t="s">
        <v>2411</v>
      </c>
      <c r="B200" t="s">
        <v>1468</v>
      </c>
    </row>
    <row r="201" spans="1:2" x14ac:dyDescent="0.45">
      <c r="A201" t="s">
        <v>2412</v>
      </c>
      <c r="B201" t="s">
        <v>1468</v>
      </c>
    </row>
    <row r="202" spans="1:2" x14ac:dyDescent="0.45">
      <c r="A202" t="s">
        <v>2413</v>
      </c>
      <c r="B202" t="s">
        <v>1468</v>
      </c>
    </row>
    <row r="203" spans="1:2" x14ac:dyDescent="0.45">
      <c r="A203" t="s">
        <v>2414</v>
      </c>
      <c r="B203" t="s">
        <v>1468</v>
      </c>
    </row>
    <row r="204" spans="1:2" x14ac:dyDescent="0.45">
      <c r="A204" t="s">
        <v>2415</v>
      </c>
      <c r="B204" t="s">
        <v>1468</v>
      </c>
    </row>
    <row r="205" spans="1:2" x14ac:dyDescent="0.45">
      <c r="A205" t="s">
        <v>2416</v>
      </c>
      <c r="B205" t="s">
        <v>1468</v>
      </c>
    </row>
    <row r="206" spans="1:2" x14ac:dyDescent="0.45">
      <c r="A206" t="s">
        <v>2417</v>
      </c>
      <c r="B206" t="s">
        <v>1468</v>
      </c>
    </row>
    <row r="207" spans="1:2" x14ac:dyDescent="0.45">
      <c r="A207" t="s">
        <v>2418</v>
      </c>
      <c r="B207" t="s">
        <v>1468</v>
      </c>
    </row>
    <row r="208" spans="1:2" x14ac:dyDescent="0.45">
      <c r="A208" t="s">
        <v>2419</v>
      </c>
      <c r="B208" t="s">
        <v>1468</v>
      </c>
    </row>
    <row r="209" spans="1:2" x14ac:dyDescent="0.45">
      <c r="A209" t="s">
        <v>2420</v>
      </c>
      <c r="B209" t="s">
        <v>1468</v>
      </c>
    </row>
    <row r="210" spans="1:2" x14ac:dyDescent="0.45">
      <c r="A210" t="s">
        <v>2421</v>
      </c>
      <c r="B210" t="s">
        <v>1468</v>
      </c>
    </row>
    <row r="211" spans="1:2" x14ac:dyDescent="0.45">
      <c r="A211" t="s">
        <v>2422</v>
      </c>
      <c r="B211" t="s">
        <v>1468</v>
      </c>
    </row>
    <row r="212" spans="1:2" x14ac:dyDescent="0.45">
      <c r="A212" t="s">
        <v>2423</v>
      </c>
      <c r="B212" t="s">
        <v>1468</v>
      </c>
    </row>
    <row r="213" spans="1:2" x14ac:dyDescent="0.45">
      <c r="A213" t="s">
        <v>2424</v>
      </c>
      <c r="B213" t="s">
        <v>1468</v>
      </c>
    </row>
    <row r="214" spans="1:2" x14ac:dyDescent="0.45">
      <c r="A214" t="s">
        <v>2425</v>
      </c>
      <c r="B214" t="s">
        <v>1468</v>
      </c>
    </row>
    <row r="215" spans="1:2" x14ac:dyDescent="0.45">
      <c r="A215" t="s">
        <v>2426</v>
      </c>
      <c r="B215" t="s">
        <v>1468</v>
      </c>
    </row>
    <row r="216" spans="1:2" x14ac:dyDescent="0.45">
      <c r="A216" t="s">
        <v>2427</v>
      </c>
      <c r="B216" t="s">
        <v>1468</v>
      </c>
    </row>
    <row r="217" spans="1:2" x14ac:dyDescent="0.45">
      <c r="A217" t="s">
        <v>2428</v>
      </c>
      <c r="B217" t="s">
        <v>1473</v>
      </c>
    </row>
    <row r="218" spans="1:2" x14ac:dyDescent="0.45">
      <c r="A218" t="s">
        <v>2429</v>
      </c>
      <c r="B218" t="s">
        <v>1468</v>
      </c>
    </row>
    <row r="219" spans="1:2" x14ac:dyDescent="0.45">
      <c r="A219" t="s">
        <v>2430</v>
      </c>
      <c r="B219" t="s">
        <v>1468</v>
      </c>
    </row>
    <row r="220" spans="1:2" x14ac:dyDescent="0.45">
      <c r="A220" t="s">
        <v>2431</v>
      </c>
      <c r="B220" t="s">
        <v>1468</v>
      </c>
    </row>
    <row r="221" spans="1:2" x14ac:dyDescent="0.45">
      <c r="A221" t="s">
        <v>2432</v>
      </c>
      <c r="B221" t="s">
        <v>1473</v>
      </c>
    </row>
    <row r="222" spans="1:2" x14ac:dyDescent="0.45">
      <c r="A222" t="s">
        <v>2433</v>
      </c>
      <c r="B222" t="s">
        <v>1468</v>
      </c>
    </row>
    <row r="223" spans="1:2" x14ac:dyDescent="0.45">
      <c r="A223" t="s">
        <v>2434</v>
      </c>
      <c r="B223" t="s">
        <v>1468</v>
      </c>
    </row>
    <row r="224" spans="1:2" x14ac:dyDescent="0.45">
      <c r="A224" t="s">
        <v>2435</v>
      </c>
      <c r="B224" t="s">
        <v>1468</v>
      </c>
    </row>
    <row r="225" spans="1:2" x14ac:dyDescent="0.45">
      <c r="A225" t="s">
        <v>2436</v>
      </c>
      <c r="B225" t="s">
        <v>1468</v>
      </c>
    </row>
    <row r="226" spans="1:2" x14ac:dyDescent="0.45">
      <c r="A226" t="s">
        <v>2437</v>
      </c>
      <c r="B226" t="s">
        <v>1468</v>
      </c>
    </row>
    <row r="227" spans="1:2" x14ac:dyDescent="0.45">
      <c r="A227" t="s">
        <v>2438</v>
      </c>
      <c r="B227" t="s">
        <v>1468</v>
      </c>
    </row>
    <row r="228" spans="1:2" x14ac:dyDescent="0.45">
      <c r="A228" t="s">
        <v>2439</v>
      </c>
      <c r="B228" t="s">
        <v>1468</v>
      </c>
    </row>
    <row r="229" spans="1:2" x14ac:dyDescent="0.45">
      <c r="A229" t="s">
        <v>2440</v>
      </c>
      <c r="B229" t="s">
        <v>1473</v>
      </c>
    </row>
    <row r="230" spans="1:2" x14ac:dyDescent="0.45">
      <c r="A230" t="s">
        <v>2441</v>
      </c>
      <c r="B230" t="s">
        <v>1473</v>
      </c>
    </row>
    <row r="231" spans="1:2" x14ac:dyDescent="0.45">
      <c r="A231" t="s">
        <v>2442</v>
      </c>
      <c r="B231" t="s">
        <v>1468</v>
      </c>
    </row>
    <row r="232" spans="1:2" x14ac:dyDescent="0.45">
      <c r="A232" t="s">
        <v>2443</v>
      </c>
      <c r="B232" t="s">
        <v>1468</v>
      </c>
    </row>
    <row r="233" spans="1:2" x14ac:dyDescent="0.45">
      <c r="A233" t="s">
        <v>2444</v>
      </c>
      <c r="B233" t="s">
        <v>1473</v>
      </c>
    </row>
    <row r="234" spans="1:2" x14ac:dyDescent="0.45">
      <c r="A234" t="s">
        <v>2445</v>
      </c>
      <c r="B234" t="s">
        <v>1473</v>
      </c>
    </row>
    <row r="235" spans="1:2" x14ac:dyDescent="0.45">
      <c r="A235" t="s">
        <v>2446</v>
      </c>
      <c r="B235" t="s">
        <v>1468</v>
      </c>
    </row>
    <row r="236" spans="1:2" x14ac:dyDescent="0.45">
      <c r="A236" t="s">
        <v>2447</v>
      </c>
      <c r="B236" t="s">
        <v>1468</v>
      </c>
    </row>
    <row r="237" spans="1:2" x14ac:dyDescent="0.45">
      <c r="A237" t="s">
        <v>2448</v>
      </c>
      <c r="B237" t="s">
        <v>1468</v>
      </c>
    </row>
    <row r="238" spans="1:2" x14ac:dyDescent="0.45">
      <c r="A238" t="s">
        <v>2449</v>
      </c>
      <c r="B238" t="s">
        <v>1473</v>
      </c>
    </row>
    <row r="239" spans="1:2" x14ac:dyDescent="0.45">
      <c r="A239" t="s">
        <v>2450</v>
      </c>
      <c r="B239" t="s">
        <v>1468</v>
      </c>
    </row>
    <row r="240" spans="1:2" x14ac:dyDescent="0.45">
      <c r="A240" t="s">
        <v>2451</v>
      </c>
      <c r="B240" t="s">
        <v>1473</v>
      </c>
    </row>
    <row r="241" spans="1:2" x14ac:dyDescent="0.45">
      <c r="A241" t="s">
        <v>2452</v>
      </c>
      <c r="B241" t="s">
        <v>1473</v>
      </c>
    </row>
    <row r="242" spans="1:2" x14ac:dyDescent="0.45">
      <c r="A242" t="s">
        <v>2453</v>
      </c>
      <c r="B242" t="s">
        <v>1468</v>
      </c>
    </row>
    <row r="243" spans="1:2" x14ac:dyDescent="0.45">
      <c r="A243" t="s">
        <v>2064</v>
      </c>
      <c r="B243" t="s">
        <v>1468</v>
      </c>
    </row>
    <row r="244" spans="1:2" x14ac:dyDescent="0.45">
      <c r="A244" t="s">
        <v>2454</v>
      </c>
      <c r="B244" t="s">
        <v>1473</v>
      </c>
    </row>
    <row r="245" spans="1:2" x14ac:dyDescent="0.45">
      <c r="A245" t="s">
        <v>2455</v>
      </c>
      <c r="B245" t="s">
        <v>1473</v>
      </c>
    </row>
    <row r="246" spans="1:2" x14ac:dyDescent="0.45">
      <c r="A246" t="s">
        <v>2456</v>
      </c>
      <c r="B246" t="s">
        <v>1468</v>
      </c>
    </row>
    <row r="247" spans="1:2" x14ac:dyDescent="0.45">
      <c r="A247" t="s">
        <v>2457</v>
      </c>
      <c r="B247" t="s">
        <v>1468</v>
      </c>
    </row>
    <row r="248" spans="1:2" x14ac:dyDescent="0.45">
      <c r="A248" t="s">
        <v>2458</v>
      </c>
      <c r="B248" t="s">
        <v>1468</v>
      </c>
    </row>
    <row r="249" spans="1:2" x14ac:dyDescent="0.45">
      <c r="A249" t="s">
        <v>2459</v>
      </c>
      <c r="B249" t="s">
        <v>1473</v>
      </c>
    </row>
    <row r="250" spans="1:2" x14ac:dyDescent="0.45">
      <c r="A250" t="s">
        <v>2460</v>
      </c>
      <c r="B250" t="s">
        <v>1473</v>
      </c>
    </row>
    <row r="251" spans="1:2" x14ac:dyDescent="0.45">
      <c r="A251" t="s">
        <v>2461</v>
      </c>
      <c r="B251" t="s">
        <v>1473</v>
      </c>
    </row>
    <row r="252" spans="1:2" x14ac:dyDescent="0.45">
      <c r="A252" t="s">
        <v>2462</v>
      </c>
      <c r="B252" t="s">
        <v>1468</v>
      </c>
    </row>
    <row r="253" spans="1:2" x14ac:dyDescent="0.45">
      <c r="A253" t="s">
        <v>2463</v>
      </c>
      <c r="B253" t="s">
        <v>1468</v>
      </c>
    </row>
    <row r="254" spans="1:2" x14ac:dyDescent="0.45">
      <c r="A254" t="s">
        <v>2464</v>
      </c>
      <c r="B254" t="s">
        <v>1468</v>
      </c>
    </row>
    <row r="255" spans="1:2" x14ac:dyDescent="0.45">
      <c r="A255" t="s">
        <v>2465</v>
      </c>
      <c r="B255" t="s">
        <v>1468</v>
      </c>
    </row>
    <row r="256" spans="1:2" x14ac:dyDescent="0.45">
      <c r="A256" t="s">
        <v>2466</v>
      </c>
      <c r="B256" t="s">
        <v>1468</v>
      </c>
    </row>
    <row r="257" spans="1:2" x14ac:dyDescent="0.45">
      <c r="A257" t="s">
        <v>2467</v>
      </c>
      <c r="B257" t="s">
        <v>1468</v>
      </c>
    </row>
    <row r="258" spans="1:2" x14ac:dyDescent="0.45">
      <c r="A258" t="s">
        <v>2468</v>
      </c>
      <c r="B258" t="s">
        <v>1468</v>
      </c>
    </row>
    <row r="259" spans="1:2" x14ac:dyDescent="0.45">
      <c r="A259" t="s">
        <v>2469</v>
      </c>
      <c r="B259" t="s">
        <v>1468</v>
      </c>
    </row>
    <row r="260" spans="1:2" x14ac:dyDescent="0.45">
      <c r="A260" t="s">
        <v>2470</v>
      </c>
      <c r="B260" t="s">
        <v>1473</v>
      </c>
    </row>
    <row r="261" spans="1:2" x14ac:dyDescent="0.45">
      <c r="A261" t="s">
        <v>2471</v>
      </c>
      <c r="B261" t="s">
        <v>1473</v>
      </c>
    </row>
    <row r="262" spans="1:2" x14ac:dyDescent="0.45">
      <c r="A262" t="s">
        <v>2472</v>
      </c>
      <c r="B262" t="s">
        <v>1468</v>
      </c>
    </row>
    <row r="263" spans="1:2" x14ac:dyDescent="0.45">
      <c r="A263" t="s">
        <v>2473</v>
      </c>
      <c r="B263" t="s">
        <v>1468</v>
      </c>
    </row>
    <row r="264" spans="1:2" x14ac:dyDescent="0.45">
      <c r="A264" t="s">
        <v>2474</v>
      </c>
      <c r="B264" t="s">
        <v>1473</v>
      </c>
    </row>
    <row r="265" spans="1:2" x14ac:dyDescent="0.45">
      <c r="A265" t="s">
        <v>2475</v>
      </c>
      <c r="B265" t="s">
        <v>1468</v>
      </c>
    </row>
    <row r="266" spans="1:2" x14ac:dyDescent="0.45">
      <c r="A266" t="s">
        <v>2628</v>
      </c>
      <c r="B266" t="s">
        <v>1468</v>
      </c>
    </row>
    <row r="267" spans="1:2" x14ac:dyDescent="0.45">
      <c r="A267" t="s">
        <v>2476</v>
      </c>
      <c r="B267" t="s">
        <v>1468</v>
      </c>
    </row>
    <row r="268" spans="1:2" x14ac:dyDescent="0.45">
      <c r="A268" t="s">
        <v>2477</v>
      </c>
      <c r="B268" t="s">
        <v>1468</v>
      </c>
    </row>
    <row r="269" spans="1:2" x14ac:dyDescent="0.45">
      <c r="A269" t="s">
        <v>2478</v>
      </c>
      <c r="B269" t="s">
        <v>1468</v>
      </c>
    </row>
    <row r="270" spans="1:2" x14ac:dyDescent="0.45">
      <c r="A270" t="s">
        <v>2479</v>
      </c>
      <c r="B270" t="s">
        <v>1468</v>
      </c>
    </row>
    <row r="271" spans="1:2" x14ac:dyDescent="0.45">
      <c r="A271" t="s">
        <v>2480</v>
      </c>
      <c r="B271" t="s">
        <v>1468</v>
      </c>
    </row>
    <row r="272" spans="1:2" x14ac:dyDescent="0.45">
      <c r="A272" t="s">
        <v>2481</v>
      </c>
      <c r="B272" t="s">
        <v>1468</v>
      </c>
    </row>
    <row r="273" spans="1:2" x14ac:dyDescent="0.45">
      <c r="A273" t="s">
        <v>2482</v>
      </c>
      <c r="B273" t="s">
        <v>1468</v>
      </c>
    </row>
    <row r="274" spans="1:2" x14ac:dyDescent="0.45">
      <c r="A274" t="s">
        <v>2483</v>
      </c>
      <c r="B274" t="s">
        <v>1468</v>
      </c>
    </row>
    <row r="275" spans="1:2" x14ac:dyDescent="0.45">
      <c r="A275" t="s">
        <v>2484</v>
      </c>
      <c r="B275" t="s">
        <v>1468</v>
      </c>
    </row>
    <row r="276" spans="1:2" x14ac:dyDescent="0.45">
      <c r="A276" t="s">
        <v>2485</v>
      </c>
      <c r="B276" t="s">
        <v>1468</v>
      </c>
    </row>
    <row r="277" spans="1:2" x14ac:dyDescent="0.45">
      <c r="A277" t="s">
        <v>2486</v>
      </c>
      <c r="B277" t="s">
        <v>1468</v>
      </c>
    </row>
    <row r="278" spans="1:2" x14ac:dyDescent="0.45">
      <c r="A278" t="s">
        <v>2487</v>
      </c>
      <c r="B278" t="s">
        <v>1468</v>
      </c>
    </row>
    <row r="279" spans="1:2" x14ac:dyDescent="0.45">
      <c r="A279" t="s">
        <v>2488</v>
      </c>
      <c r="B279" t="s">
        <v>1468</v>
      </c>
    </row>
    <row r="280" spans="1:2" x14ac:dyDescent="0.45">
      <c r="A280" t="s">
        <v>2489</v>
      </c>
      <c r="B280" t="s">
        <v>1468</v>
      </c>
    </row>
    <row r="281" spans="1:2" x14ac:dyDescent="0.45">
      <c r="A281" t="s">
        <v>2490</v>
      </c>
      <c r="B281" t="s">
        <v>1473</v>
      </c>
    </row>
    <row r="282" spans="1:2" x14ac:dyDescent="0.45">
      <c r="A282" t="s">
        <v>2491</v>
      </c>
      <c r="B282" t="s">
        <v>1468</v>
      </c>
    </row>
    <row r="283" spans="1:2" x14ac:dyDescent="0.45">
      <c r="A283" t="s">
        <v>2492</v>
      </c>
      <c r="B283" t="s">
        <v>1468</v>
      </c>
    </row>
    <row r="284" spans="1:2" x14ac:dyDescent="0.45">
      <c r="A284" t="s">
        <v>2493</v>
      </c>
      <c r="B284" t="s">
        <v>1468</v>
      </c>
    </row>
    <row r="285" spans="1:2" x14ac:dyDescent="0.45">
      <c r="A285" t="s">
        <v>2494</v>
      </c>
      <c r="B285" t="s">
        <v>1468</v>
      </c>
    </row>
    <row r="286" spans="1:2" x14ac:dyDescent="0.45">
      <c r="A286" t="s">
        <v>2495</v>
      </c>
      <c r="B286" t="s">
        <v>1468</v>
      </c>
    </row>
    <row r="287" spans="1:2" x14ac:dyDescent="0.45">
      <c r="A287" t="s">
        <v>2496</v>
      </c>
      <c r="B287" t="s">
        <v>1468</v>
      </c>
    </row>
    <row r="288" spans="1:2" x14ac:dyDescent="0.45">
      <c r="A288" t="s">
        <v>2497</v>
      </c>
      <c r="B288" t="s">
        <v>1468</v>
      </c>
    </row>
    <row r="289" spans="1:2" x14ac:dyDescent="0.45">
      <c r="A289" t="s">
        <v>2498</v>
      </c>
      <c r="B289" t="s">
        <v>1468</v>
      </c>
    </row>
    <row r="290" spans="1:2" x14ac:dyDescent="0.45">
      <c r="A290" t="s">
        <v>2499</v>
      </c>
      <c r="B290" t="s">
        <v>1468</v>
      </c>
    </row>
    <row r="291" spans="1:2" x14ac:dyDescent="0.45">
      <c r="A291" t="s">
        <v>2500</v>
      </c>
      <c r="B291" t="s">
        <v>1468</v>
      </c>
    </row>
    <row r="292" spans="1:2" x14ac:dyDescent="0.45">
      <c r="A292" t="s">
        <v>2501</v>
      </c>
      <c r="B292" t="s">
        <v>1468</v>
      </c>
    </row>
    <row r="293" spans="1:2" x14ac:dyDescent="0.45">
      <c r="A293" t="s">
        <v>2502</v>
      </c>
      <c r="B293" t="s">
        <v>1468</v>
      </c>
    </row>
    <row r="294" spans="1:2" x14ac:dyDescent="0.45">
      <c r="A294" t="s">
        <v>2503</v>
      </c>
      <c r="B294" t="s">
        <v>1473</v>
      </c>
    </row>
    <row r="295" spans="1:2" x14ac:dyDescent="0.45">
      <c r="A295" t="s">
        <v>2504</v>
      </c>
      <c r="B295" t="s">
        <v>1473</v>
      </c>
    </row>
    <row r="296" spans="1:2" x14ac:dyDescent="0.45">
      <c r="A296" t="s">
        <v>2505</v>
      </c>
      <c r="B296" t="s">
        <v>1468</v>
      </c>
    </row>
    <row r="297" spans="1:2" x14ac:dyDescent="0.45">
      <c r="A297" t="s">
        <v>2506</v>
      </c>
      <c r="B297" t="s">
        <v>1468</v>
      </c>
    </row>
    <row r="298" spans="1:2" x14ac:dyDescent="0.45">
      <c r="A298" t="s">
        <v>2507</v>
      </c>
      <c r="B298" t="s">
        <v>1468</v>
      </c>
    </row>
    <row r="299" spans="1:2" x14ac:dyDescent="0.45">
      <c r="A299" t="s">
        <v>2508</v>
      </c>
      <c r="B299" t="s">
        <v>1473</v>
      </c>
    </row>
    <row r="300" spans="1:2" x14ac:dyDescent="0.45">
      <c r="A300" t="s">
        <v>2509</v>
      </c>
      <c r="B300" t="s">
        <v>1468</v>
      </c>
    </row>
    <row r="301" spans="1:2" x14ac:dyDescent="0.45">
      <c r="A301" t="s">
        <v>2510</v>
      </c>
      <c r="B301" t="s">
        <v>1468</v>
      </c>
    </row>
    <row r="302" spans="1:2" x14ac:dyDescent="0.45">
      <c r="A302" t="s">
        <v>2511</v>
      </c>
      <c r="B302" t="s">
        <v>1468</v>
      </c>
    </row>
    <row r="303" spans="1:2" x14ac:dyDescent="0.45">
      <c r="A303" t="s">
        <v>2512</v>
      </c>
      <c r="B303" t="s">
        <v>1468</v>
      </c>
    </row>
    <row r="304" spans="1:2" x14ac:dyDescent="0.45">
      <c r="A304" t="s">
        <v>2513</v>
      </c>
      <c r="B304" t="s">
        <v>1468</v>
      </c>
    </row>
    <row r="305" spans="1:2" x14ac:dyDescent="0.45">
      <c r="A305" t="s">
        <v>2514</v>
      </c>
      <c r="B305" t="s">
        <v>1468</v>
      </c>
    </row>
    <row r="306" spans="1:2" x14ac:dyDescent="0.45">
      <c r="A306" t="s">
        <v>2515</v>
      </c>
      <c r="B306" t="s">
        <v>1468</v>
      </c>
    </row>
    <row r="307" spans="1:2" x14ac:dyDescent="0.45">
      <c r="A307" t="s">
        <v>2516</v>
      </c>
      <c r="B307" t="s">
        <v>1468</v>
      </c>
    </row>
    <row r="308" spans="1:2" x14ac:dyDescent="0.45">
      <c r="A308" t="s">
        <v>2517</v>
      </c>
      <c r="B308" t="s">
        <v>1468</v>
      </c>
    </row>
    <row r="309" spans="1:2" x14ac:dyDescent="0.45">
      <c r="A309" t="s">
        <v>2518</v>
      </c>
      <c r="B309" t="s">
        <v>1468</v>
      </c>
    </row>
    <row r="310" spans="1:2" x14ac:dyDescent="0.45">
      <c r="A310" t="s">
        <v>2519</v>
      </c>
      <c r="B310" t="s">
        <v>1468</v>
      </c>
    </row>
    <row r="311" spans="1:2" x14ac:dyDescent="0.45">
      <c r="A311" t="s">
        <v>2520</v>
      </c>
      <c r="B311" t="s">
        <v>1468</v>
      </c>
    </row>
    <row r="312" spans="1:2" x14ac:dyDescent="0.45">
      <c r="A312" t="s">
        <v>2521</v>
      </c>
      <c r="B312" t="s">
        <v>1468</v>
      </c>
    </row>
    <row r="313" spans="1:2" x14ac:dyDescent="0.45">
      <c r="A313" t="s">
        <v>2522</v>
      </c>
      <c r="B313" t="s">
        <v>1468</v>
      </c>
    </row>
    <row r="314" spans="1:2" x14ac:dyDescent="0.45">
      <c r="A314" t="s">
        <v>2523</v>
      </c>
      <c r="B314" t="s">
        <v>1468</v>
      </c>
    </row>
    <row r="315" spans="1:2" x14ac:dyDescent="0.45">
      <c r="A315" t="s">
        <v>2524</v>
      </c>
      <c r="B315" t="s">
        <v>1468</v>
      </c>
    </row>
    <row r="316" spans="1:2" x14ac:dyDescent="0.45">
      <c r="A316" t="s">
        <v>2525</v>
      </c>
      <c r="B316" t="s">
        <v>1468</v>
      </c>
    </row>
    <row r="317" spans="1:2" x14ac:dyDescent="0.45">
      <c r="A317" t="s">
        <v>2526</v>
      </c>
      <c r="B317" t="s">
        <v>1468</v>
      </c>
    </row>
    <row r="318" spans="1:2" x14ac:dyDescent="0.45">
      <c r="A318" t="s">
        <v>2527</v>
      </c>
      <c r="B318" t="s">
        <v>1468</v>
      </c>
    </row>
    <row r="319" spans="1:2" x14ac:dyDescent="0.45">
      <c r="A319" t="s">
        <v>2528</v>
      </c>
      <c r="B319" t="s">
        <v>1468</v>
      </c>
    </row>
    <row r="320" spans="1:2" x14ac:dyDescent="0.45">
      <c r="A320" t="s">
        <v>2529</v>
      </c>
      <c r="B320" t="s">
        <v>1468</v>
      </c>
    </row>
    <row r="321" spans="1:2" x14ac:dyDescent="0.45">
      <c r="A321" t="s">
        <v>2530</v>
      </c>
      <c r="B321" t="s">
        <v>1468</v>
      </c>
    </row>
    <row r="322" spans="1:2" x14ac:dyDescent="0.45">
      <c r="A322" t="s">
        <v>2531</v>
      </c>
      <c r="B322" t="s">
        <v>1468</v>
      </c>
    </row>
    <row r="323" spans="1:2" x14ac:dyDescent="0.45">
      <c r="A323" t="s">
        <v>2532</v>
      </c>
      <c r="B323" t="s">
        <v>1468</v>
      </c>
    </row>
    <row r="324" spans="1:2" x14ac:dyDescent="0.45">
      <c r="A324" t="s">
        <v>2533</v>
      </c>
      <c r="B324" t="s">
        <v>1468</v>
      </c>
    </row>
    <row r="325" spans="1:2" x14ac:dyDescent="0.45">
      <c r="A325" t="s">
        <v>2534</v>
      </c>
      <c r="B325" t="s">
        <v>1468</v>
      </c>
    </row>
    <row r="326" spans="1:2" x14ac:dyDescent="0.45">
      <c r="A326" t="s">
        <v>2535</v>
      </c>
      <c r="B326" t="s">
        <v>1468</v>
      </c>
    </row>
    <row r="327" spans="1:2" x14ac:dyDescent="0.45">
      <c r="A327" t="s">
        <v>2536</v>
      </c>
      <c r="B327" t="s">
        <v>1468</v>
      </c>
    </row>
    <row r="328" spans="1:2" x14ac:dyDescent="0.45">
      <c r="A328" t="s">
        <v>2537</v>
      </c>
      <c r="B328" t="s">
        <v>1468</v>
      </c>
    </row>
    <row r="329" spans="1:2" x14ac:dyDescent="0.45">
      <c r="A329" t="s">
        <v>2538</v>
      </c>
      <c r="B329" t="s">
        <v>1468</v>
      </c>
    </row>
    <row r="330" spans="1:2" x14ac:dyDescent="0.45">
      <c r="A330" t="s">
        <v>2539</v>
      </c>
      <c r="B330" t="s">
        <v>1468</v>
      </c>
    </row>
    <row r="331" spans="1:2" x14ac:dyDescent="0.45">
      <c r="A331" t="s">
        <v>2540</v>
      </c>
      <c r="B331" t="s">
        <v>1468</v>
      </c>
    </row>
    <row r="332" spans="1:2" x14ac:dyDescent="0.45">
      <c r="A332" t="s">
        <v>2541</v>
      </c>
      <c r="B332" t="s">
        <v>1468</v>
      </c>
    </row>
    <row r="333" spans="1:2" x14ac:dyDescent="0.45">
      <c r="A333" t="s">
        <v>2542</v>
      </c>
      <c r="B333" t="s">
        <v>1468</v>
      </c>
    </row>
    <row r="334" spans="1:2" x14ac:dyDescent="0.45">
      <c r="A334" t="s">
        <v>2543</v>
      </c>
      <c r="B334" t="s">
        <v>1468</v>
      </c>
    </row>
    <row r="335" spans="1:2" x14ac:dyDescent="0.45">
      <c r="A335" t="s">
        <v>2544</v>
      </c>
      <c r="B335" t="s">
        <v>1468</v>
      </c>
    </row>
    <row r="336" spans="1:2" x14ac:dyDescent="0.45">
      <c r="A336" t="s">
        <v>2545</v>
      </c>
      <c r="B336" t="s">
        <v>1473</v>
      </c>
    </row>
    <row r="337" spans="1:2" x14ac:dyDescent="0.45">
      <c r="A337" t="s">
        <v>2546</v>
      </c>
      <c r="B337" t="s">
        <v>1468</v>
      </c>
    </row>
    <row r="338" spans="1:2" x14ac:dyDescent="0.45">
      <c r="A338" t="s">
        <v>2547</v>
      </c>
      <c r="B338" t="s">
        <v>1468</v>
      </c>
    </row>
    <row r="339" spans="1:2" x14ac:dyDescent="0.45">
      <c r="A339" t="s">
        <v>2548</v>
      </c>
      <c r="B339" t="s">
        <v>1468</v>
      </c>
    </row>
    <row r="340" spans="1:2" x14ac:dyDescent="0.45">
      <c r="A340" t="s">
        <v>2549</v>
      </c>
      <c r="B340" t="s">
        <v>1468</v>
      </c>
    </row>
    <row r="341" spans="1:2" x14ac:dyDescent="0.45">
      <c r="A341" t="s">
        <v>2550</v>
      </c>
      <c r="B341" t="s">
        <v>1468</v>
      </c>
    </row>
    <row r="342" spans="1:2" x14ac:dyDescent="0.45">
      <c r="A342" t="s">
        <v>2551</v>
      </c>
      <c r="B342" t="s">
        <v>1468</v>
      </c>
    </row>
    <row r="343" spans="1:2" x14ac:dyDescent="0.45">
      <c r="A343" t="s">
        <v>2552</v>
      </c>
      <c r="B343" t="s">
        <v>1468</v>
      </c>
    </row>
    <row r="344" spans="1:2" x14ac:dyDescent="0.45">
      <c r="A344" t="s">
        <v>2553</v>
      </c>
      <c r="B344" t="s">
        <v>1468</v>
      </c>
    </row>
    <row r="345" spans="1:2" x14ac:dyDescent="0.45">
      <c r="A345" t="s">
        <v>2554</v>
      </c>
      <c r="B345" t="s">
        <v>1468</v>
      </c>
    </row>
    <row r="346" spans="1:2" x14ac:dyDescent="0.45">
      <c r="A346" t="s">
        <v>2555</v>
      </c>
      <c r="B346" t="s">
        <v>1468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8434-49F9-4C2B-BBCD-03FC3758ED08}">
  <dimension ref="A1:C148"/>
  <sheetViews>
    <sheetView workbookViewId="0">
      <selection activeCell="I27" sqref="I27"/>
    </sheetView>
  </sheetViews>
  <sheetFormatPr defaultRowHeight="14.25" x14ac:dyDescent="0.45"/>
  <sheetData>
    <row r="1" spans="1:3" x14ac:dyDescent="0.45">
      <c r="A1" t="s">
        <v>1718</v>
      </c>
      <c r="B1" t="s">
        <v>1966</v>
      </c>
      <c r="C1" t="s">
        <v>1967</v>
      </c>
    </row>
    <row r="2" spans="1:3" x14ac:dyDescent="0.45">
      <c r="A2" t="s">
        <v>1727</v>
      </c>
      <c r="B2" t="s">
        <v>1602</v>
      </c>
      <c r="C2">
        <v>0</v>
      </c>
    </row>
    <row r="3" spans="1:3" x14ac:dyDescent="0.45">
      <c r="A3" t="s">
        <v>1725</v>
      </c>
      <c r="B3" t="s">
        <v>1602</v>
      </c>
      <c r="C3">
        <v>0</v>
      </c>
    </row>
    <row r="4" spans="1:3" x14ac:dyDescent="0.45">
      <c r="A4" t="s">
        <v>1733</v>
      </c>
      <c r="B4" t="s">
        <v>1602</v>
      </c>
      <c r="C4">
        <v>0</v>
      </c>
    </row>
    <row r="5" spans="1:3" x14ac:dyDescent="0.45">
      <c r="A5" t="s">
        <v>1731</v>
      </c>
      <c r="B5" t="s">
        <v>1602</v>
      </c>
      <c r="C5">
        <v>0</v>
      </c>
    </row>
    <row r="6" spans="1:3" x14ac:dyDescent="0.45">
      <c r="A6" t="s">
        <v>1735</v>
      </c>
      <c r="B6" t="s">
        <v>1602</v>
      </c>
      <c r="C6">
        <v>0</v>
      </c>
    </row>
    <row r="7" spans="1:3" x14ac:dyDescent="0.45">
      <c r="A7" t="s">
        <v>1738</v>
      </c>
      <c r="B7" t="s">
        <v>1602</v>
      </c>
      <c r="C7">
        <v>0</v>
      </c>
    </row>
    <row r="8" spans="1:3" x14ac:dyDescent="0.45">
      <c r="A8" t="s">
        <v>1740</v>
      </c>
      <c r="B8" t="s">
        <v>1602</v>
      </c>
      <c r="C8">
        <v>0</v>
      </c>
    </row>
    <row r="9" spans="1:3" x14ac:dyDescent="0.45">
      <c r="A9" t="s">
        <v>1744</v>
      </c>
      <c r="B9" t="s">
        <v>1602</v>
      </c>
      <c r="C9">
        <v>0</v>
      </c>
    </row>
    <row r="10" spans="1:3" x14ac:dyDescent="0.45">
      <c r="A10" t="s">
        <v>1742</v>
      </c>
      <c r="B10" t="s">
        <v>1602</v>
      </c>
      <c r="C10">
        <v>0</v>
      </c>
    </row>
    <row r="11" spans="1:3" x14ac:dyDescent="0.45">
      <c r="A11" t="s">
        <v>1746</v>
      </c>
      <c r="B11" t="s">
        <v>1611</v>
      </c>
      <c r="C11">
        <v>0.5</v>
      </c>
    </row>
    <row r="12" spans="1:3" x14ac:dyDescent="0.45">
      <c r="A12" t="s">
        <v>1748</v>
      </c>
      <c r="B12" t="s">
        <v>1602</v>
      </c>
      <c r="C12">
        <v>0</v>
      </c>
    </row>
    <row r="13" spans="1:3" x14ac:dyDescent="0.45">
      <c r="A13" t="s">
        <v>1750</v>
      </c>
      <c r="B13" t="s">
        <v>1602</v>
      </c>
      <c r="C13">
        <v>0</v>
      </c>
    </row>
    <row r="14" spans="1:3" x14ac:dyDescent="0.45">
      <c r="A14" t="s">
        <v>1754</v>
      </c>
      <c r="B14" t="s">
        <v>1602</v>
      </c>
      <c r="C14">
        <v>0</v>
      </c>
    </row>
    <row r="15" spans="1:3" x14ac:dyDescent="0.45">
      <c r="A15" t="s">
        <v>1756</v>
      </c>
      <c r="B15" t="s">
        <v>1602</v>
      </c>
      <c r="C15">
        <v>0</v>
      </c>
    </row>
    <row r="16" spans="1:3" x14ac:dyDescent="0.45">
      <c r="A16" t="s">
        <v>1758</v>
      </c>
      <c r="B16" t="s">
        <v>1602</v>
      </c>
      <c r="C16">
        <v>0</v>
      </c>
    </row>
    <row r="17" spans="1:3" x14ac:dyDescent="0.45">
      <c r="A17" t="s">
        <v>1752</v>
      </c>
      <c r="B17" t="s">
        <v>1602</v>
      </c>
      <c r="C17">
        <v>0</v>
      </c>
    </row>
    <row r="18" spans="1:3" x14ac:dyDescent="0.45">
      <c r="A18" t="s">
        <v>1760</v>
      </c>
      <c r="B18" t="s">
        <v>1602</v>
      </c>
      <c r="C18">
        <v>0</v>
      </c>
    </row>
    <row r="19" spans="1:3" x14ac:dyDescent="0.45">
      <c r="A19" t="s">
        <v>1763</v>
      </c>
      <c r="B19" t="s">
        <v>1602</v>
      </c>
      <c r="C19">
        <v>0</v>
      </c>
    </row>
    <row r="20" spans="1:3" x14ac:dyDescent="0.45">
      <c r="A20" t="s">
        <v>1765</v>
      </c>
      <c r="B20" t="s">
        <v>1611</v>
      </c>
      <c r="C20">
        <v>0.5</v>
      </c>
    </row>
    <row r="21" spans="1:3" x14ac:dyDescent="0.45">
      <c r="A21" t="s">
        <v>1771</v>
      </c>
      <c r="B21" t="s">
        <v>1602</v>
      </c>
      <c r="C21">
        <v>0</v>
      </c>
    </row>
    <row r="22" spans="1:3" x14ac:dyDescent="0.45">
      <c r="A22" t="s">
        <v>1769</v>
      </c>
      <c r="B22" t="s">
        <v>1611</v>
      </c>
      <c r="C22">
        <v>0.5</v>
      </c>
    </row>
    <row r="23" spans="1:3" x14ac:dyDescent="0.45">
      <c r="A23" t="s">
        <v>1767</v>
      </c>
      <c r="B23" t="s">
        <v>1617</v>
      </c>
      <c r="C23">
        <v>0.75</v>
      </c>
    </row>
    <row r="24" spans="1:3" x14ac:dyDescent="0.45">
      <c r="A24" t="s">
        <v>1773</v>
      </c>
      <c r="B24" t="s">
        <v>1611</v>
      </c>
      <c r="C24">
        <v>0.5</v>
      </c>
    </row>
    <row r="25" spans="1:3" x14ac:dyDescent="0.45">
      <c r="A25" t="s">
        <v>1775</v>
      </c>
      <c r="B25" t="s">
        <v>1617</v>
      </c>
      <c r="C25">
        <v>0.75</v>
      </c>
    </row>
    <row r="26" spans="1:3" x14ac:dyDescent="0.45">
      <c r="A26" t="s">
        <v>1779</v>
      </c>
      <c r="B26" t="s">
        <v>1602</v>
      </c>
      <c r="C26">
        <v>0</v>
      </c>
    </row>
    <row r="27" spans="1:3" x14ac:dyDescent="0.45">
      <c r="A27" t="s">
        <v>1777</v>
      </c>
      <c r="B27" t="s">
        <v>1611</v>
      </c>
      <c r="C27">
        <v>0.5</v>
      </c>
    </row>
    <row r="28" spans="1:3" x14ac:dyDescent="0.45">
      <c r="A28" t="s">
        <v>1781</v>
      </c>
      <c r="B28" t="s">
        <v>1602</v>
      </c>
      <c r="C28">
        <v>0</v>
      </c>
    </row>
    <row r="29" spans="1:3" x14ac:dyDescent="0.45">
      <c r="A29" t="s">
        <v>1787</v>
      </c>
      <c r="B29" t="s">
        <v>1602</v>
      </c>
      <c r="C29">
        <v>0</v>
      </c>
    </row>
    <row r="30" spans="1:3" x14ac:dyDescent="0.45">
      <c r="A30" t="s">
        <v>1795</v>
      </c>
      <c r="B30" t="s">
        <v>1611</v>
      </c>
      <c r="C30">
        <v>0.5</v>
      </c>
    </row>
    <row r="31" spans="1:3" x14ac:dyDescent="0.45">
      <c r="A31" t="s">
        <v>1789</v>
      </c>
      <c r="B31" t="s">
        <v>1602</v>
      </c>
      <c r="C31">
        <v>0</v>
      </c>
    </row>
    <row r="32" spans="1:3" x14ac:dyDescent="0.45">
      <c r="A32" t="s">
        <v>1791</v>
      </c>
      <c r="B32" t="s">
        <v>1602</v>
      </c>
      <c r="C32">
        <v>0</v>
      </c>
    </row>
    <row r="33" spans="1:3" x14ac:dyDescent="0.45">
      <c r="A33" t="s">
        <v>1793</v>
      </c>
      <c r="B33" t="s">
        <v>1602</v>
      </c>
      <c r="C33">
        <v>0</v>
      </c>
    </row>
    <row r="34" spans="1:3" x14ac:dyDescent="0.45">
      <c r="A34" t="s">
        <v>1797</v>
      </c>
      <c r="B34" t="s">
        <v>1611</v>
      </c>
      <c r="C34">
        <v>0.5</v>
      </c>
    </row>
    <row r="35" spans="1:3" x14ac:dyDescent="0.45">
      <c r="A35" t="s">
        <v>1799</v>
      </c>
      <c r="B35" t="s">
        <v>1611</v>
      </c>
      <c r="C35">
        <v>0.5</v>
      </c>
    </row>
    <row r="36" spans="1:3" x14ac:dyDescent="0.45">
      <c r="A36" t="s">
        <v>1783</v>
      </c>
      <c r="B36" t="s">
        <v>1602</v>
      </c>
      <c r="C36">
        <v>0</v>
      </c>
    </row>
    <row r="37" spans="1:3" x14ac:dyDescent="0.45">
      <c r="A37" t="s">
        <v>1785</v>
      </c>
      <c r="B37" t="s">
        <v>1617</v>
      </c>
      <c r="C37">
        <v>0.75</v>
      </c>
    </row>
    <row r="38" spans="1:3" x14ac:dyDescent="0.45">
      <c r="A38" t="s">
        <v>1801</v>
      </c>
      <c r="B38" t="s">
        <v>1602</v>
      </c>
      <c r="C38">
        <v>0</v>
      </c>
    </row>
    <row r="39" spans="1:3" x14ac:dyDescent="0.45">
      <c r="A39" t="s">
        <v>1803</v>
      </c>
      <c r="B39" t="s">
        <v>1602</v>
      </c>
      <c r="C39">
        <v>0</v>
      </c>
    </row>
    <row r="40" spans="1:3" x14ac:dyDescent="0.45">
      <c r="A40" t="s">
        <v>1805</v>
      </c>
      <c r="B40" t="s">
        <v>1602</v>
      </c>
      <c r="C40">
        <v>0</v>
      </c>
    </row>
    <row r="41" spans="1:3" x14ac:dyDescent="0.45">
      <c r="A41" t="s">
        <v>1807</v>
      </c>
      <c r="B41" t="s">
        <v>1617</v>
      </c>
      <c r="C41">
        <v>0.75</v>
      </c>
    </row>
    <row r="42" spans="1:3" x14ac:dyDescent="0.45">
      <c r="A42" t="s">
        <v>1809</v>
      </c>
      <c r="B42" t="s">
        <v>1602</v>
      </c>
      <c r="C42">
        <v>0</v>
      </c>
    </row>
    <row r="43" spans="1:3" x14ac:dyDescent="0.45">
      <c r="A43" t="s">
        <v>1811</v>
      </c>
      <c r="B43" t="s">
        <v>1602</v>
      </c>
      <c r="C43">
        <v>0</v>
      </c>
    </row>
    <row r="44" spans="1:3" x14ac:dyDescent="0.45">
      <c r="A44" t="s">
        <v>1813</v>
      </c>
      <c r="B44" t="s">
        <v>1602</v>
      </c>
      <c r="C44">
        <v>0</v>
      </c>
    </row>
    <row r="45" spans="1:3" x14ac:dyDescent="0.45">
      <c r="A45" t="s">
        <v>1815</v>
      </c>
      <c r="B45" t="s">
        <v>1611</v>
      </c>
      <c r="C45">
        <v>0.5</v>
      </c>
    </row>
    <row r="46" spans="1:3" x14ac:dyDescent="0.45">
      <c r="A46" t="s">
        <v>1817</v>
      </c>
      <c r="B46" t="s">
        <v>1611</v>
      </c>
      <c r="C46">
        <v>0.5</v>
      </c>
    </row>
    <row r="47" spans="1:3" x14ac:dyDescent="0.45">
      <c r="A47" t="s">
        <v>1819</v>
      </c>
      <c r="B47" t="s">
        <v>1602</v>
      </c>
      <c r="C47">
        <v>0</v>
      </c>
    </row>
    <row r="48" spans="1:3" x14ac:dyDescent="0.45">
      <c r="A48" t="s">
        <v>1823</v>
      </c>
      <c r="B48" t="s">
        <v>1602</v>
      </c>
      <c r="C48">
        <v>0</v>
      </c>
    </row>
    <row r="49" spans="1:3" x14ac:dyDescent="0.45">
      <c r="A49" t="s">
        <v>1821</v>
      </c>
      <c r="B49" t="s">
        <v>1602</v>
      </c>
      <c r="C49">
        <v>0</v>
      </c>
    </row>
    <row r="50" spans="1:3" x14ac:dyDescent="0.45">
      <c r="A50" t="s">
        <v>1825</v>
      </c>
      <c r="B50" t="s">
        <v>1602</v>
      </c>
      <c r="C50">
        <v>0</v>
      </c>
    </row>
    <row r="51" spans="1:3" x14ac:dyDescent="0.45">
      <c r="A51" t="s">
        <v>1829</v>
      </c>
      <c r="B51" t="s">
        <v>1602</v>
      </c>
      <c r="C51">
        <v>0</v>
      </c>
    </row>
    <row r="52" spans="1:3" x14ac:dyDescent="0.45">
      <c r="A52" t="s">
        <v>1827</v>
      </c>
      <c r="B52" t="s">
        <v>1617</v>
      </c>
      <c r="C52">
        <v>0.75</v>
      </c>
    </row>
    <row r="53" spans="1:3" x14ac:dyDescent="0.45">
      <c r="A53" t="s">
        <v>1831</v>
      </c>
      <c r="B53" t="s">
        <v>1602</v>
      </c>
      <c r="C53">
        <v>0</v>
      </c>
    </row>
    <row r="54" spans="1:3" x14ac:dyDescent="0.45">
      <c r="A54" t="s">
        <v>1968</v>
      </c>
      <c r="B54" t="s">
        <v>1617</v>
      </c>
      <c r="C54">
        <v>0.75</v>
      </c>
    </row>
    <row r="55" spans="1:3" x14ac:dyDescent="0.45">
      <c r="A55" t="s">
        <v>1969</v>
      </c>
      <c r="B55" t="s">
        <v>1617</v>
      </c>
      <c r="C55">
        <v>0.75</v>
      </c>
    </row>
    <row r="56" spans="1:3" x14ac:dyDescent="0.45">
      <c r="A56" t="s">
        <v>1970</v>
      </c>
      <c r="B56" t="s">
        <v>1617</v>
      </c>
      <c r="C56">
        <v>0.75</v>
      </c>
    </row>
    <row r="57" spans="1:3" x14ac:dyDescent="0.45">
      <c r="A57" t="s">
        <v>1971</v>
      </c>
      <c r="B57" t="s">
        <v>1617</v>
      </c>
      <c r="C57">
        <v>0.75</v>
      </c>
    </row>
    <row r="58" spans="1:3" x14ac:dyDescent="0.45">
      <c r="A58" t="s">
        <v>1972</v>
      </c>
      <c r="B58" t="s">
        <v>1617</v>
      </c>
      <c r="C58">
        <v>0.75</v>
      </c>
    </row>
    <row r="59" spans="1:3" x14ac:dyDescent="0.45">
      <c r="A59" t="s">
        <v>1973</v>
      </c>
      <c r="B59" t="s">
        <v>1617</v>
      </c>
      <c r="C59">
        <v>0.75</v>
      </c>
    </row>
    <row r="60" spans="1:3" x14ac:dyDescent="0.45">
      <c r="A60" t="s">
        <v>1974</v>
      </c>
      <c r="B60" t="s">
        <v>1617</v>
      </c>
      <c r="C60">
        <v>0.75</v>
      </c>
    </row>
    <row r="61" spans="1:3" x14ac:dyDescent="0.45">
      <c r="A61" t="s">
        <v>1975</v>
      </c>
      <c r="B61" t="s">
        <v>1617</v>
      </c>
      <c r="C61">
        <v>0.75</v>
      </c>
    </row>
    <row r="62" spans="1:3" x14ac:dyDescent="0.45">
      <c r="A62" t="s">
        <v>1976</v>
      </c>
      <c r="B62" t="s">
        <v>1617</v>
      </c>
      <c r="C62">
        <v>0.75</v>
      </c>
    </row>
    <row r="63" spans="1:3" x14ac:dyDescent="0.45">
      <c r="A63" t="s">
        <v>1977</v>
      </c>
      <c r="B63" t="s">
        <v>1617</v>
      </c>
      <c r="C63">
        <v>0.75</v>
      </c>
    </row>
    <row r="64" spans="1:3" x14ac:dyDescent="0.45">
      <c r="A64" t="s">
        <v>1978</v>
      </c>
      <c r="B64" t="s">
        <v>1617</v>
      </c>
      <c r="C64">
        <v>0.75</v>
      </c>
    </row>
    <row r="65" spans="1:3" x14ac:dyDescent="0.45">
      <c r="A65" t="s">
        <v>1979</v>
      </c>
      <c r="B65" t="s">
        <v>1617</v>
      </c>
      <c r="C65">
        <v>0.75</v>
      </c>
    </row>
    <row r="66" spans="1:3" x14ac:dyDescent="0.45">
      <c r="A66" t="s">
        <v>1980</v>
      </c>
      <c r="B66" t="s">
        <v>1617</v>
      </c>
      <c r="C66">
        <v>0.75</v>
      </c>
    </row>
    <row r="67" spans="1:3" x14ac:dyDescent="0.45">
      <c r="A67" t="s">
        <v>1981</v>
      </c>
      <c r="B67" t="s">
        <v>1617</v>
      </c>
      <c r="C67">
        <v>0.75</v>
      </c>
    </row>
    <row r="68" spans="1:3" x14ac:dyDescent="0.45">
      <c r="A68" t="s">
        <v>1982</v>
      </c>
      <c r="B68" t="s">
        <v>1617</v>
      </c>
      <c r="C68">
        <v>0.75</v>
      </c>
    </row>
    <row r="69" spans="1:3" x14ac:dyDescent="0.45">
      <c r="A69" t="s">
        <v>1983</v>
      </c>
      <c r="B69" t="s">
        <v>1617</v>
      </c>
      <c r="C69">
        <v>0.75</v>
      </c>
    </row>
    <row r="70" spans="1:3" x14ac:dyDescent="0.45">
      <c r="A70" t="s">
        <v>1984</v>
      </c>
      <c r="B70" t="s">
        <v>1617</v>
      </c>
      <c r="C70">
        <v>0.75</v>
      </c>
    </row>
    <row r="71" spans="1:3" x14ac:dyDescent="0.45">
      <c r="A71" t="s">
        <v>1985</v>
      </c>
      <c r="B71" t="s">
        <v>1617</v>
      </c>
      <c r="C71">
        <v>0.75</v>
      </c>
    </row>
    <row r="72" spans="1:3" x14ac:dyDescent="0.45">
      <c r="A72" t="s">
        <v>1986</v>
      </c>
      <c r="B72" t="s">
        <v>1617</v>
      </c>
      <c r="C72">
        <v>0.75</v>
      </c>
    </row>
    <row r="73" spans="1:3" x14ac:dyDescent="0.45">
      <c r="A73" t="s">
        <v>1987</v>
      </c>
      <c r="B73" t="s">
        <v>1617</v>
      </c>
      <c r="C73">
        <v>0.75</v>
      </c>
    </row>
    <row r="74" spans="1:3" x14ac:dyDescent="0.45">
      <c r="A74" t="s">
        <v>1988</v>
      </c>
      <c r="B74" t="s">
        <v>1617</v>
      </c>
      <c r="C74">
        <v>0.75</v>
      </c>
    </row>
    <row r="75" spans="1:3" x14ac:dyDescent="0.45">
      <c r="A75" t="s">
        <v>1989</v>
      </c>
      <c r="B75" t="s">
        <v>1617</v>
      </c>
      <c r="C75">
        <v>0.75</v>
      </c>
    </row>
    <row r="76" spans="1:3" x14ac:dyDescent="0.45">
      <c r="A76" t="s">
        <v>1990</v>
      </c>
      <c r="B76" t="s">
        <v>1617</v>
      </c>
      <c r="C76">
        <v>0.75</v>
      </c>
    </row>
    <row r="77" spans="1:3" x14ac:dyDescent="0.45">
      <c r="A77" t="s">
        <v>1991</v>
      </c>
      <c r="B77" t="s">
        <v>1617</v>
      </c>
      <c r="C77">
        <v>0.75</v>
      </c>
    </row>
    <row r="78" spans="1:3" x14ac:dyDescent="0.45">
      <c r="A78" t="s">
        <v>1968</v>
      </c>
      <c r="B78" t="s">
        <v>1617</v>
      </c>
      <c r="C78">
        <v>0.75</v>
      </c>
    </row>
    <row r="79" spans="1:3" x14ac:dyDescent="0.45">
      <c r="A79" t="s">
        <v>1992</v>
      </c>
      <c r="B79" t="s">
        <v>1617</v>
      </c>
      <c r="C79">
        <v>0.75</v>
      </c>
    </row>
    <row r="80" spans="1:3" x14ac:dyDescent="0.45">
      <c r="A80" t="s">
        <v>1993</v>
      </c>
      <c r="B80" t="s">
        <v>1617</v>
      </c>
      <c r="C80">
        <v>0.75</v>
      </c>
    </row>
    <row r="81" spans="1:3" x14ac:dyDescent="0.45">
      <c r="A81" t="s">
        <v>1970</v>
      </c>
      <c r="B81" t="s">
        <v>1617</v>
      </c>
      <c r="C81">
        <v>0.75</v>
      </c>
    </row>
    <row r="82" spans="1:3" x14ac:dyDescent="0.45">
      <c r="A82" t="s">
        <v>1994</v>
      </c>
      <c r="B82" t="s">
        <v>1617</v>
      </c>
      <c r="C82">
        <v>0.75</v>
      </c>
    </row>
    <row r="83" spans="1:3" x14ac:dyDescent="0.45">
      <c r="A83" t="s">
        <v>1995</v>
      </c>
      <c r="B83" t="s">
        <v>1617</v>
      </c>
      <c r="C83">
        <v>0.75</v>
      </c>
    </row>
    <row r="84" spans="1:3" x14ac:dyDescent="0.45">
      <c r="A84" t="s">
        <v>1971</v>
      </c>
      <c r="B84" t="s">
        <v>1617</v>
      </c>
      <c r="C84">
        <v>0.75</v>
      </c>
    </row>
    <row r="85" spans="1:3" x14ac:dyDescent="0.45">
      <c r="A85" t="s">
        <v>1996</v>
      </c>
      <c r="B85" t="s">
        <v>1617</v>
      </c>
      <c r="C85">
        <v>0.75</v>
      </c>
    </row>
    <row r="86" spans="1:3" x14ac:dyDescent="0.45">
      <c r="A86" t="s">
        <v>1997</v>
      </c>
      <c r="B86" t="s">
        <v>1617</v>
      </c>
      <c r="C86">
        <v>0.75</v>
      </c>
    </row>
    <row r="87" spans="1:3" x14ac:dyDescent="0.45">
      <c r="A87" t="s">
        <v>1998</v>
      </c>
      <c r="B87" t="s">
        <v>1617</v>
      </c>
      <c r="C87">
        <v>0.75</v>
      </c>
    </row>
    <row r="88" spans="1:3" x14ac:dyDescent="0.45">
      <c r="A88" t="s">
        <v>1999</v>
      </c>
      <c r="B88" t="s">
        <v>1617</v>
      </c>
      <c r="C88">
        <v>0.75</v>
      </c>
    </row>
    <row r="89" spans="1:3" x14ac:dyDescent="0.45">
      <c r="A89" t="s">
        <v>2000</v>
      </c>
      <c r="B89" t="s">
        <v>1617</v>
      </c>
      <c r="C89">
        <v>0.75</v>
      </c>
    </row>
    <row r="90" spans="1:3" x14ac:dyDescent="0.45">
      <c r="A90" t="s">
        <v>2001</v>
      </c>
      <c r="B90" t="s">
        <v>1617</v>
      </c>
      <c r="C90">
        <v>0.75</v>
      </c>
    </row>
    <row r="91" spans="1:3" x14ac:dyDescent="0.45">
      <c r="A91" t="s">
        <v>2002</v>
      </c>
      <c r="B91" t="s">
        <v>1617</v>
      </c>
      <c r="C91">
        <v>0.75</v>
      </c>
    </row>
    <row r="92" spans="1:3" x14ac:dyDescent="0.45">
      <c r="A92" t="s">
        <v>2003</v>
      </c>
      <c r="B92" t="s">
        <v>1617</v>
      </c>
      <c r="C92">
        <v>0.75</v>
      </c>
    </row>
    <row r="93" spans="1:3" x14ac:dyDescent="0.45">
      <c r="A93" t="s">
        <v>2004</v>
      </c>
      <c r="B93" t="s">
        <v>1617</v>
      </c>
      <c r="C93">
        <v>0.75</v>
      </c>
    </row>
    <row r="94" spans="1:3" x14ac:dyDescent="0.45">
      <c r="A94" t="s">
        <v>2005</v>
      </c>
      <c r="B94" t="s">
        <v>1617</v>
      </c>
      <c r="C94">
        <v>0.75</v>
      </c>
    </row>
    <row r="95" spans="1:3" x14ac:dyDescent="0.45">
      <c r="A95" t="s">
        <v>2006</v>
      </c>
      <c r="B95" t="s">
        <v>1617</v>
      </c>
      <c r="C95">
        <v>0.75</v>
      </c>
    </row>
    <row r="96" spans="1:3" x14ac:dyDescent="0.45">
      <c r="A96" t="s">
        <v>2007</v>
      </c>
      <c r="B96" t="s">
        <v>1617</v>
      </c>
      <c r="C96">
        <v>0.75</v>
      </c>
    </row>
    <row r="97" spans="1:3" x14ac:dyDescent="0.45">
      <c r="A97" t="s">
        <v>2008</v>
      </c>
      <c r="B97" t="s">
        <v>1617</v>
      </c>
      <c r="C97">
        <v>0.75</v>
      </c>
    </row>
    <row r="98" spans="1:3" x14ac:dyDescent="0.45">
      <c r="A98" t="s">
        <v>2009</v>
      </c>
      <c r="B98" t="s">
        <v>1617</v>
      </c>
      <c r="C98">
        <v>0.75</v>
      </c>
    </row>
    <row r="99" spans="1:3" x14ac:dyDescent="0.45">
      <c r="A99" t="s">
        <v>2010</v>
      </c>
      <c r="B99" t="s">
        <v>1617</v>
      </c>
      <c r="C99">
        <v>0.75</v>
      </c>
    </row>
    <row r="100" spans="1:3" x14ac:dyDescent="0.45">
      <c r="A100" t="s">
        <v>2011</v>
      </c>
      <c r="B100" t="s">
        <v>1617</v>
      </c>
      <c r="C100">
        <v>0.75</v>
      </c>
    </row>
    <row r="101" spans="1:3" x14ac:dyDescent="0.45">
      <c r="A101" t="s">
        <v>2012</v>
      </c>
      <c r="B101" t="s">
        <v>1617</v>
      </c>
      <c r="C101">
        <v>0.75</v>
      </c>
    </row>
    <row r="102" spans="1:3" x14ac:dyDescent="0.45">
      <c r="A102" t="s">
        <v>2013</v>
      </c>
      <c r="B102" t="s">
        <v>1617</v>
      </c>
      <c r="C102">
        <v>0.75</v>
      </c>
    </row>
    <row r="103" spans="1:3" x14ac:dyDescent="0.45">
      <c r="A103" t="s">
        <v>2014</v>
      </c>
      <c r="B103" t="s">
        <v>1617</v>
      </c>
      <c r="C103">
        <v>0.75</v>
      </c>
    </row>
    <row r="104" spans="1:3" x14ac:dyDescent="0.45">
      <c r="A104" t="s">
        <v>2015</v>
      </c>
      <c r="B104" t="s">
        <v>1617</v>
      </c>
      <c r="C104">
        <v>0.75</v>
      </c>
    </row>
    <row r="105" spans="1:3" x14ac:dyDescent="0.45">
      <c r="A105" t="s">
        <v>2016</v>
      </c>
      <c r="B105" t="s">
        <v>1617</v>
      </c>
      <c r="C105">
        <v>0.75</v>
      </c>
    </row>
    <row r="106" spans="1:3" x14ac:dyDescent="0.45">
      <c r="A106" t="s">
        <v>2017</v>
      </c>
      <c r="B106" t="s">
        <v>1617</v>
      </c>
      <c r="C106">
        <v>0.75</v>
      </c>
    </row>
    <row r="107" spans="1:3" x14ac:dyDescent="0.45">
      <c r="A107" t="s">
        <v>2018</v>
      </c>
      <c r="B107" t="s">
        <v>1617</v>
      </c>
      <c r="C107">
        <v>0.75</v>
      </c>
    </row>
    <row r="108" spans="1:3" x14ac:dyDescent="0.45">
      <c r="A108" t="s">
        <v>2019</v>
      </c>
      <c r="B108" t="s">
        <v>1617</v>
      </c>
      <c r="C108">
        <v>0.75</v>
      </c>
    </row>
    <row r="109" spans="1:3" x14ac:dyDescent="0.45">
      <c r="A109" t="s">
        <v>2020</v>
      </c>
      <c r="B109" t="s">
        <v>1617</v>
      </c>
      <c r="C109">
        <v>0.75</v>
      </c>
    </row>
    <row r="110" spans="1:3" x14ac:dyDescent="0.45">
      <c r="A110" t="s">
        <v>2021</v>
      </c>
      <c r="B110" t="s">
        <v>1617</v>
      </c>
      <c r="C110">
        <v>0.75</v>
      </c>
    </row>
    <row r="111" spans="1:3" x14ac:dyDescent="0.45">
      <c r="A111" t="s">
        <v>2022</v>
      </c>
      <c r="B111" t="s">
        <v>1617</v>
      </c>
      <c r="C111">
        <v>0.75</v>
      </c>
    </row>
    <row r="112" spans="1:3" x14ac:dyDescent="0.45">
      <c r="A112" t="s">
        <v>2023</v>
      </c>
      <c r="B112" t="s">
        <v>1617</v>
      </c>
      <c r="C112">
        <v>0.75</v>
      </c>
    </row>
    <row r="113" spans="1:3" x14ac:dyDescent="0.45">
      <c r="A113" t="s">
        <v>2024</v>
      </c>
      <c r="B113" t="s">
        <v>1617</v>
      </c>
      <c r="C113">
        <v>0.75</v>
      </c>
    </row>
    <row r="114" spans="1:3" x14ac:dyDescent="0.45">
      <c r="A114" t="s">
        <v>2025</v>
      </c>
      <c r="B114" t="s">
        <v>1617</v>
      </c>
      <c r="C114">
        <v>0.75</v>
      </c>
    </row>
    <row r="115" spans="1:3" x14ac:dyDescent="0.45">
      <c r="A115" t="s">
        <v>2026</v>
      </c>
      <c r="B115" t="s">
        <v>1617</v>
      </c>
      <c r="C115">
        <v>0.75</v>
      </c>
    </row>
    <row r="116" spans="1:3" x14ac:dyDescent="0.45">
      <c r="A116" t="s">
        <v>2027</v>
      </c>
      <c r="B116" t="s">
        <v>1617</v>
      </c>
      <c r="C116">
        <v>0.75</v>
      </c>
    </row>
    <row r="117" spans="1:3" x14ac:dyDescent="0.45">
      <c r="A117" t="s">
        <v>2028</v>
      </c>
      <c r="B117" t="s">
        <v>1617</v>
      </c>
      <c r="C117">
        <v>0.75</v>
      </c>
    </row>
    <row r="118" spans="1:3" x14ac:dyDescent="0.45">
      <c r="A118" t="s">
        <v>2029</v>
      </c>
      <c r="B118" t="s">
        <v>1617</v>
      </c>
      <c r="C118">
        <v>0.75</v>
      </c>
    </row>
    <row r="119" spans="1:3" x14ac:dyDescent="0.45">
      <c r="A119" t="s">
        <v>2030</v>
      </c>
      <c r="B119" t="s">
        <v>1617</v>
      </c>
      <c r="C119">
        <v>0.75</v>
      </c>
    </row>
    <row r="120" spans="1:3" x14ac:dyDescent="0.45">
      <c r="A120" t="s">
        <v>2031</v>
      </c>
      <c r="B120" t="s">
        <v>1617</v>
      </c>
      <c r="C120">
        <v>0.75</v>
      </c>
    </row>
    <row r="121" spans="1:3" x14ac:dyDescent="0.45">
      <c r="A121" t="s">
        <v>2032</v>
      </c>
      <c r="B121" t="s">
        <v>1617</v>
      </c>
      <c r="C121">
        <v>0.75</v>
      </c>
    </row>
    <row r="122" spans="1:3" x14ac:dyDescent="0.45">
      <c r="A122" t="s">
        <v>2033</v>
      </c>
      <c r="B122" t="s">
        <v>1617</v>
      </c>
      <c r="C122">
        <v>0.75</v>
      </c>
    </row>
    <row r="123" spans="1:3" x14ac:dyDescent="0.45">
      <c r="A123" t="s">
        <v>2034</v>
      </c>
      <c r="B123" t="s">
        <v>1617</v>
      </c>
      <c r="C123">
        <v>0.75</v>
      </c>
    </row>
    <row r="124" spans="1:3" x14ac:dyDescent="0.45">
      <c r="A124" t="s">
        <v>2035</v>
      </c>
      <c r="B124" t="s">
        <v>1617</v>
      </c>
      <c r="C124">
        <v>0.75</v>
      </c>
    </row>
    <row r="125" spans="1:3" x14ac:dyDescent="0.45">
      <c r="A125" t="s">
        <v>2036</v>
      </c>
      <c r="B125" t="s">
        <v>1617</v>
      </c>
      <c r="C125">
        <v>0.75</v>
      </c>
    </row>
    <row r="126" spans="1:3" x14ac:dyDescent="0.45">
      <c r="A126" t="s">
        <v>2037</v>
      </c>
      <c r="B126" t="s">
        <v>1617</v>
      </c>
      <c r="C126">
        <v>0.75</v>
      </c>
    </row>
    <row r="127" spans="1:3" x14ac:dyDescent="0.45">
      <c r="A127" t="s">
        <v>2038</v>
      </c>
      <c r="B127" t="s">
        <v>1617</v>
      </c>
      <c r="C127">
        <v>0.75</v>
      </c>
    </row>
    <row r="128" spans="1:3" x14ac:dyDescent="0.45">
      <c r="A128" t="s">
        <v>2039</v>
      </c>
      <c r="B128" t="s">
        <v>1617</v>
      </c>
      <c r="C128">
        <v>0.75</v>
      </c>
    </row>
    <row r="129" spans="1:3" x14ac:dyDescent="0.45">
      <c r="A129" t="s">
        <v>2040</v>
      </c>
      <c r="B129" t="s">
        <v>1617</v>
      </c>
      <c r="C129">
        <v>0.75</v>
      </c>
    </row>
    <row r="130" spans="1:3" x14ac:dyDescent="0.45">
      <c r="A130" t="s">
        <v>2041</v>
      </c>
      <c r="B130" t="s">
        <v>1617</v>
      </c>
      <c r="C130">
        <v>0.75</v>
      </c>
    </row>
    <row r="131" spans="1:3" x14ac:dyDescent="0.45">
      <c r="A131" t="s">
        <v>2042</v>
      </c>
      <c r="B131" t="s">
        <v>1617</v>
      </c>
      <c r="C131">
        <v>0.75</v>
      </c>
    </row>
    <row r="132" spans="1:3" x14ac:dyDescent="0.45">
      <c r="A132" t="s">
        <v>2043</v>
      </c>
      <c r="B132" t="s">
        <v>1617</v>
      </c>
      <c r="C132">
        <v>0.75</v>
      </c>
    </row>
    <row r="133" spans="1:3" x14ac:dyDescent="0.45">
      <c r="A133" t="s">
        <v>2044</v>
      </c>
      <c r="B133" t="s">
        <v>1617</v>
      </c>
      <c r="C133">
        <v>0.75</v>
      </c>
    </row>
    <row r="134" spans="1:3" x14ac:dyDescent="0.45">
      <c r="A134" t="s">
        <v>2045</v>
      </c>
      <c r="B134" t="s">
        <v>1617</v>
      </c>
      <c r="C134">
        <v>0.75</v>
      </c>
    </row>
    <row r="135" spans="1:3" x14ac:dyDescent="0.45">
      <c r="A135" t="s">
        <v>2046</v>
      </c>
      <c r="B135" t="s">
        <v>1617</v>
      </c>
      <c r="C135">
        <v>0.75</v>
      </c>
    </row>
    <row r="136" spans="1:3" x14ac:dyDescent="0.45">
      <c r="A136" t="s">
        <v>2047</v>
      </c>
      <c r="B136" t="s">
        <v>1617</v>
      </c>
      <c r="C136">
        <v>0.75</v>
      </c>
    </row>
    <row r="137" spans="1:3" x14ac:dyDescent="0.45">
      <c r="A137" t="s">
        <v>2048</v>
      </c>
      <c r="B137" t="s">
        <v>1617</v>
      </c>
      <c r="C137">
        <v>0.75</v>
      </c>
    </row>
    <row r="138" spans="1:3" x14ac:dyDescent="0.45">
      <c r="A138" t="s">
        <v>2049</v>
      </c>
      <c r="B138" t="s">
        <v>1617</v>
      </c>
      <c r="C138">
        <v>0.75</v>
      </c>
    </row>
    <row r="139" spans="1:3" x14ac:dyDescent="0.45">
      <c r="A139" t="s">
        <v>2050</v>
      </c>
      <c r="B139" t="s">
        <v>1617</v>
      </c>
      <c r="C139">
        <v>0.75</v>
      </c>
    </row>
    <row r="140" spans="1:3" x14ac:dyDescent="0.45">
      <c r="A140" t="s">
        <v>2051</v>
      </c>
      <c r="B140" t="s">
        <v>1617</v>
      </c>
      <c r="C140">
        <v>0.75</v>
      </c>
    </row>
    <row r="141" spans="1:3" x14ac:dyDescent="0.45">
      <c r="A141" t="s">
        <v>2052</v>
      </c>
      <c r="B141" t="s">
        <v>1617</v>
      </c>
      <c r="C141">
        <v>0.75</v>
      </c>
    </row>
    <row r="142" spans="1:3" x14ac:dyDescent="0.45">
      <c r="A142" t="s">
        <v>2053</v>
      </c>
      <c r="B142" t="s">
        <v>1617</v>
      </c>
      <c r="C142">
        <v>0.75</v>
      </c>
    </row>
    <row r="143" spans="1:3" x14ac:dyDescent="0.45">
      <c r="A143" t="s">
        <v>2054</v>
      </c>
      <c r="B143" t="s">
        <v>1617</v>
      </c>
      <c r="C143">
        <v>0.75</v>
      </c>
    </row>
    <row r="144" spans="1:3" x14ac:dyDescent="0.45">
      <c r="A144" t="s">
        <v>1473</v>
      </c>
      <c r="B144" t="s">
        <v>1617</v>
      </c>
      <c r="C144">
        <v>0.75</v>
      </c>
    </row>
    <row r="145" spans="1:3" x14ac:dyDescent="0.45">
      <c r="A145" t="s">
        <v>1973</v>
      </c>
      <c r="B145" t="s">
        <v>1617</v>
      </c>
      <c r="C145">
        <v>0.75</v>
      </c>
    </row>
    <row r="146" spans="1:3" x14ac:dyDescent="0.45">
      <c r="A146" t="s">
        <v>2055</v>
      </c>
      <c r="B146" t="s">
        <v>1617</v>
      </c>
      <c r="C146">
        <v>0.75</v>
      </c>
    </row>
    <row r="147" spans="1:3" x14ac:dyDescent="0.45">
      <c r="A147" t="s">
        <v>2056</v>
      </c>
      <c r="B147" t="s">
        <v>1617</v>
      </c>
      <c r="C147">
        <v>0.75</v>
      </c>
    </row>
    <row r="148" spans="1:3" x14ac:dyDescent="0.45">
      <c r="A148" t="s">
        <v>2057</v>
      </c>
      <c r="B148" t="s">
        <v>1617</v>
      </c>
      <c r="C148">
        <v>0.75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FD97-3EAA-4B4D-AD8B-9237EFD54FD8}">
  <sheetPr codeName="Sheet1"/>
  <dimension ref="A1:I31"/>
  <sheetViews>
    <sheetView workbookViewId="0">
      <selection activeCell="A16" sqref="A16"/>
    </sheetView>
  </sheetViews>
  <sheetFormatPr defaultRowHeight="14.25" x14ac:dyDescent="0.45"/>
  <cols>
    <col min="1" max="1" width="84" bestFit="1" customWidth="1"/>
    <col min="2" max="2" width="6.59765625" bestFit="1" customWidth="1"/>
    <col min="3" max="3" width="11" bestFit="1" customWidth="1"/>
    <col min="4" max="4" width="12" bestFit="1" customWidth="1"/>
    <col min="5" max="5" width="14" bestFit="1" customWidth="1"/>
    <col min="6" max="6" width="14.1328125" bestFit="1" customWidth="1"/>
    <col min="7" max="7" width="17.1328125" bestFit="1" customWidth="1"/>
    <col min="8" max="8" width="16.1328125" bestFit="1" customWidth="1"/>
  </cols>
  <sheetData>
    <row r="1" spans="1:9" x14ac:dyDescent="0.45">
      <c r="A1" t="s">
        <v>0</v>
      </c>
      <c r="B1" t="s">
        <v>1</v>
      </c>
      <c r="C1" t="s">
        <v>2</v>
      </c>
      <c r="D1" t="s">
        <v>3</v>
      </c>
      <c r="E1" t="s">
        <v>4</v>
      </c>
      <c r="F1" t="s">
        <v>5</v>
      </c>
      <c r="G1" t="s">
        <v>6</v>
      </c>
      <c r="H1" t="s">
        <v>7</v>
      </c>
      <c r="I1" t="s">
        <v>1629</v>
      </c>
    </row>
    <row r="2" spans="1:9" x14ac:dyDescent="0.45">
      <c r="A2" t="s">
        <v>8</v>
      </c>
      <c r="B2">
        <v>12</v>
      </c>
      <c r="C2">
        <v>6</v>
      </c>
      <c r="D2">
        <v>1.6E-2</v>
      </c>
      <c r="E2" t="s">
        <v>9</v>
      </c>
      <c r="F2">
        <v>0.35</v>
      </c>
      <c r="G2">
        <v>1</v>
      </c>
      <c r="H2">
        <v>1</v>
      </c>
      <c r="I2">
        <v>1</v>
      </c>
    </row>
    <row r="3" spans="1:9" x14ac:dyDescent="0.45">
      <c r="A3" t="s">
        <v>10</v>
      </c>
      <c r="B3">
        <v>13</v>
      </c>
      <c r="C3">
        <v>7</v>
      </c>
      <c r="D3">
        <v>0.02</v>
      </c>
      <c r="E3" t="s">
        <v>11</v>
      </c>
      <c r="F3">
        <v>0.55000000000000004</v>
      </c>
      <c r="G3">
        <v>0.75</v>
      </c>
      <c r="H3">
        <v>1</v>
      </c>
      <c r="I3">
        <v>1</v>
      </c>
    </row>
    <row r="4" spans="1:9" x14ac:dyDescent="0.45">
      <c r="A4" t="s">
        <v>12</v>
      </c>
      <c r="B4">
        <v>6</v>
      </c>
      <c r="C4">
        <v>3</v>
      </c>
      <c r="D4">
        <v>0.03</v>
      </c>
      <c r="E4" t="s">
        <v>11</v>
      </c>
      <c r="F4">
        <v>0.45</v>
      </c>
      <c r="G4">
        <v>1</v>
      </c>
      <c r="H4">
        <v>2</v>
      </c>
      <c r="I4">
        <v>1</v>
      </c>
    </row>
    <row r="5" spans="1:9" x14ac:dyDescent="0.45">
      <c r="A5" t="s">
        <v>13</v>
      </c>
      <c r="B5">
        <v>22</v>
      </c>
      <c r="C5">
        <v>14</v>
      </c>
      <c r="D5">
        <v>3.32E-2</v>
      </c>
      <c r="E5" t="s">
        <v>9</v>
      </c>
      <c r="F5">
        <v>0.5</v>
      </c>
      <c r="G5">
        <v>1.5</v>
      </c>
      <c r="H5">
        <v>2</v>
      </c>
      <c r="I5">
        <v>1</v>
      </c>
    </row>
    <row r="6" spans="1:9" x14ac:dyDescent="0.45">
      <c r="A6" t="s">
        <v>14</v>
      </c>
      <c r="B6">
        <v>39</v>
      </c>
      <c r="C6">
        <v>26</v>
      </c>
      <c r="D6">
        <v>0.03</v>
      </c>
      <c r="E6" t="s">
        <v>11</v>
      </c>
      <c r="F6">
        <v>0.55000000000000004</v>
      </c>
      <c r="G6">
        <v>1.25</v>
      </c>
      <c r="H6">
        <v>2</v>
      </c>
      <c r="I6">
        <v>1.1499999999999999</v>
      </c>
    </row>
    <row r="7" spans="1:9" x14ac:dyDescent="0.45">
      <c r="A7" t="s">
        <v>15</v>
      </c>
      <c r="B7">
        <v>14</v>
      </c>
      <c r="C7">
        <v>8</v>
      </c>
      <c r="D7">
        <v>2.8000000000000001E-2</v>
      </c>
      <c r="E7" t="s">
        <v>9</v>
      </c>
      <c r="F7">
        <v>0.45</v>
      </c>
      <c r="G7">
        <v>1</v>
      </c>
      <c r="H7">
        <v>3</v>
      </c>
      <c r="I7">
        <v>1</v>
      </c>
    </row>
    <row r="8" spans="1:9" x14ac:dyDescent="0.45">
      <c r="A8" t="s">
        <v>16</v>
      </c>
      <c r="B8">
        <v>16</v>
      </c>
      <c r="C8">
        <v>10</v>
      </c>
      <c r="D8">
        <v>3.5000000000000003E-2</v>
      </c>
      <c r="E8" t="s">
        <v>9</v>
      </c>
      <c r="F8">
        <v>0.45</v>
      </c>
      <c r="G8">
        <v>1.5</v>
      </c>
      <c r="H8">
        <v>2</v>
      </c>
      <c r="I8">
        <v>1</v>
      </c>
    </row>
    <row r="9" spans="1:9" x14ac:dyDescent="0.45">
      <c r="A9" t="s">
        <v>17</v>
      </c>
      <c r="B9">
        <v>15</v>
      </c>
      <c r="C9">
        <v>9</v>
      </c>
      <c r="D9">
        <v>1.1080575E-2</v>
      </c>
      <c r="E9" t="s">
        <v>18</v>
      </c>
      <c r="F9">
        <v>0.45</v>
      </c>
      <c r="G9">
        <v>0.75</v>
      </c>
      <c r="H9">
        <v>3</v>
      </c>
      <c r="I9">
        <v>1</v>
      </c>
    </row>
    <row r="10" spans="1:9" x14ac:dyDescent="0.45">
      <c r="A10" t="s">
        <v>19</v>
      </c>
      <c r="B10">
        <v>17</v>
      </c>
      <c r="C10">
        <v>11</v>
      </c>
      <c r="D10">
        <v>6.5000000000000002E-2</v>
      </c>
      <c r="E10" t="s">
        <v>11</v>
      </c>
      <c r="F10">
        <v>0.35</v>
      </c>
      <c r="G10">
        <v>1.75</v>
      </c>
      <c r="H10">
        <v>5</v>
      </c>
      <c r="I10">
        <v>1</v>
      </c>
    </row>
    <row r="11" spans="1:9" x14ac:dyDescent="0.45">
      <c r="A11" t="s">
        <v>20</v>
      </c>
      <c r="B11">
        <v>9</v>
      </c>
      <c r="C11">
        <v>4</v>
      </c>
      <c r="D11">
        <v>1.0999999999999999E-2</v>
      </c>
      <c r="E11" t="s">
        <v>18</v>
      </c>
      <c r="F11">
        <v>0.55000000000000004</v>
      </c>
      <c r="G11">
        <v>1</v>
      </c>
      <c r="H11">
        <v>4</v>
      </c>
      <c r="I11">
        <v>1</v>
      </c>
    </row>
    <row r="12" spans="1:9" x14ac:dyDescent="0.45">
      <c r="A12" t="s">
        <v>21</v>
      </c>
      <c r="B12">
        <v>20</v>
      </c>
      <c r="C12">
        <v>12</v>
      </c>
      <c r="D12">
        <v>2.7087667999999999E-2</v>
      </c>
      <c r="E12" t="s">
        <v>18</v>
      </c>
      <c r="F12">
        <v>0.55000000000000004</v>
      </c>
      <c r="G12">
        <v>1.5</v>
      </c>
      <c r="H12">
        <v>4</v>
      </c>
      <c r="I12">
        <v>1</v>
      </c>
    </row>
    <row r="13" spans="1:9" x14ac:dyDescent="0.45">
      <c r="A13" t="s">
        <v>22</v>
      </c>
      <c r="B13">
        <v>21</v>
      </c>
      <c r="C13">
        <v>13</v>
      </c>
      <c r="D13">
        <v>2.0899999999999998E-2</v>
      </c>
      <c r="E13" t="s">
        <v>11</v>
      </c>
      <c r="F13">
        <v>0.5</v>
      </c>
      <c r="G13">
        <v>1</v>
      </c>
      <c r="H13">
        <v>2</v>
      </c>
      <c r="I13">
        <v>1</v>
      </c>
    </row>
    <row r="14" spans="1:9" x14ac:dyDescent="0.45">
      <c r="A14" t="s">
        <v>23</v>
      </c>
      <c r="B14">
        <v>23</v>
      </c>
      <c r="C14">
        <v>15</v>
      </c>
      <c r="D14">
        <v>4.2500000000000003E-2</v>
      </c>
      <c r="E14" t="s">
        <v>9</v>
      </c>
      <c r="F14">
        <v>0.5</v>
      </c>
      <c r="G14">
        <v>1.75</v>
      </c>
      <c r="H14">
        <v>3</v>
      </c>
      <c r="I14">
        <v>1</v>
      </c>
    </row>
    <row r="15" spans="1:9" x14ac:dyDescent="0.45">
      <c r="A15" t="s">
        <v>24</v>
      </c>
      <c r="B15">
        <v>28</v>
      </c>
      <c r="C15">
        <v>17</v>
      </c>
      <c r="D15">
        <v>1.6899999999999998E-2</v>
      </c>
      <c r="E15" t="s">
        <v>11</v>
      </c>
      <c r="F15">
        <v>0.55000000000000004</v>
      </c>
      <c r="G15">
        <v>1</v>
      </c>
      <c r="H15">
        <v>1</v>
      </c>
      <c r="I15">
        <v>1</v>
      </c>
    </row>
    <row r="16" spans="1:9" x14ac:dyDescent="0.45">
      <c r="A16" t="s">
        <v>25</v>
      </c>
      <c r="B16">
        <v>26</v>
      </c>
      <c r="C16">
        <v>16</v>
      </c>
      <c r="D16">
        <v>0.02</v>
      </c>
      <c r="E16" t="s">
        <v>9</v>
      </c>
      <c r="F16">
        <v>0.45</v>
      </c>
      <c r="G16">
        <v>1</v>
      </c>
      <c r="H16">
        <v>1</v>
      </c>
      <c r="I16">
        <v>1</v>
      </c>
    </row>
    <row r="17" spans="1:9" x14ac:dyDescent="0.45">
      <c r="A17" t="s">
        <v>26</v>
      </c>
      <c r="B17">
        <v>29</v>
      </c>
      <c r="C17">
        <v>18</v>
      </c>
      <c r="D17">
        <v>1.7500000000000002E-2</v>
      </c>
      <c r="E17" t="s">
        <v>11</v>
      </c>
      <c r="F17">
        <v>0.5</v>
      </c>
      <c r="G17">
        <v>0.75</v>
      </c>
      <c r="H17">
        <v>2</v>
      </c>
      <c r="I17">
        <v>1</v>
      </c>
    </row>
    <row r="18" spans="1:9" x14ac:dyDescent="0.45">
      <c r="A18" t="s">
        <v>27</v>
      </c>
      <c r="B18">
        <v>30</v>
      </c>
      <c r="C18">
        <v>19</v>
      </c>
      <c r="D18">
        <v>1E-3</v>
      </c>
      <c r="E18" t="s">
        <v>11</v>
      </c>
      <c r="F18">
        <v>0.45</v>
      </c>
      <c r="G18">
        <v>0.75</v>
      </c>
      <c r="H18">
        <v>1</v>
      </c>
      <c r="I18">
        <v>1.1499999999999999</v>
      </c>
    </row>
    <row r="19" spans="1:9" x14ac:dyDescent="0.45">
      <c r="A19" t="s">
        <v>28</v>
      </c>
      <c r="B19">
        <v>35</v>
      </c>
      <c r="C19">
        <v>24</v>
      </c>
      <c r="D19">
        <v>2.5000000000000001E-2</v>
      </c>
      <c r="E19" t="s">
        <v>9</v>
      </c>
      <c r="F19">
        <v>0.55000000000000004</v>
      </c>
      <c r="G19">
        <v>1</v>
      </c>
      <c r="H19">
        <v>1</v>
      </c>
      <c r="I19">
        <v>1</v>
      </c>
    </row>
    <row r="20" spans="1:9" x14ac:dyDescent="0.45">
      <c r="A20" t="s">
        <v>29</v>
      </c>
      <c r="B20">
        <v>1</v>
      </c>
      <c r="C20">
        <v>1</v>
      </c>
      <c r="D20">
        <v>0.04</v>
      </c>
      <c r="E20" t="s">
        <v>11</v>
      </c>
      <c r="F20">
        <v>0.55000000000000004</v>
      </c>
      <c r="G20">
        <v>1.75</v>
      </c>
      <c r="H20">
        <v>1</v>
      </c>
      <c r="I20">
        <v>1</v>
      </c>
    </row>
    <row r="21" spans="1:9" x14ac:dyDescent="0.45">
      <c r="A21" t="s">
        <v>30</v>
      </c>
      <c r="B21">
        <v>10</v>
      </c>
      <c r="C21">
        <v>5</v>
      </c>
      <c r="D21">
        <v>0.03</v>
      </c>
      <c r="E21" t="s">
        <v>9</v>
      </c>
      <c r="F21">
        <v>0.35</v>
      </c>
      <c r="G21">
        <v>1.25</v>
      </c>
      <c r="H21">
        <v>1</v>
      </c>
      <c r="I21">
        <v>1.1499999999999999</v>
      </c>
    </row>
    <row r="22" spans="1:9" x14ac:dyDescent="0.45">
      <c r="A22" t="s">
        <v>31</v>
      </c>
      <c r="B22">
        <v>31</v>
      </c>
      <c r="C22">
        <v>20</v>
      </c>
      <c r="D22">
        <v>1E-3</v>
      </c>
      <c r="E22" t="s">
        <v>18</v>
      </c>
      <c r="F22">
        <v>0.45</v>
      </c>
      <c r="G22">
        <v>1</v>
      </c>
      <c r="H22">
        <v>1</v>
      </c>
      <c r="I22">
        <v>1</v>
      </c>
    </row>
    <row r="23" spans="1:9" x14ac:dyDescent="0.45">
      <c r="A23" t="s">
        <v>32</v>
      </c>
      <c r="B23">
        <v>32</v>
      </c>
      <c r="C23">
        <v>21</v>
      </c>
      <c r="D23">
        <v>1.35E-2</v>
      </c>
      <c r="E23" t="s">
        <v>18</v>
      </c>
      <c r="F23">
        <v>0.55000000000000004</v>
      </c>
      <c r="G23">
        <v>0.75</v>
      </c>
      <c r="H23">
        <v>1</v>
      </c>
      <c r="I23">
        <v>0.85</v>
      </c>
    </row>
    <row r="24" spans="1:9" x14ac:dyDescent="0.45">
      <c r="A24" t="s">
        <v>33</v>
      </c>
      <c r="B24">
        <v>34</v>
      </c>
      <c r="C24">
        <v>23</v>
      </c>
      <c r="D24">
        <v>1.2E-2</v>
      </c>
      <c r="E24" t="s">
        <v>18</v>
      </c>
      <c r="F24">
        <v>0.5</v>
      </c>
      <c r="G24">
        <v>0.75</v>
      </c>
      <c r="H24">
        <v>3</v>
      </c>
      <c r="I24">
        <v>1</v>
      </c>
    </row>
    <row r="25" spans="1:9" x14ac:dyDescent="0.45">
      <c r="A25" t="s">
        <v>34</v>
      </c>
      <c r="B25">
        <v>42</v>
      </c>
      <c r="C25">
        <v>29</v>
      </c>
      <c r="D25">
        <v>0.01</v>
      </c>
      <c r="E25" t="s">
        <v>18</v>
      </c>
      <c r="F25">
        <v>0.45</v>
      </c>
      <c r="G25">
        <v>0.75</v>
      </c>
      <c r="H25">
        <v>1</v>
      </c>
      <c r="I25">
        <v>0.85</v>
      </c>
    </row>
    <row r="26" spans="1:9" x14ac:dyDescent="0.45">
      <c r="A26" t="s">
        <v>35</v>
      </c>
      <c r="B26">
        <v>37</v>
      </c>
      <c r="C26">
        <v>25</v>
      </c>
      <c r="D26">
        <v>0.02</v>
      </c>
      <c r="E26" t="s">
        <v>9</v>
      </c>
      <c r="F26">
        <v>0.55000000000000004</v>
      </c>
      <c r="G26">
        <v>1</v>
      </c>
      <c r="H26">
        <v>2</v>
      </c>
      <c r="I26">
        <v>1.1499999999999999</v>
      </c>
    </row>
    <row r="27" spans="1:9" x14ac:dyDescent="0.45">
      <c r="A27" t="s">
        <v>36</v>
      </c>
      <c r="B27">
        <v>2</v>
      </c>
      <c r="C27">
        <v>2</v>
      </c>
      <c r="D27">
        <v>0.03</v>
      </c>
      <c r="E27" t="s">
        <v>11</v>
      </c>
      <c r="F27">
        <v>0.35</v>
      </c>
      <c r="G27">
        <v>1.5</v>
      </c>
      <c r="H27">
        <v>2</v>
      </c>
      <c r="I27">
        <v>0.85</v>
      </c>
    </row>
    <row r="28" spans="1:9" x14ac:dyDescent="0.45">
      <c r="A28" t="s">
        <v>37</v>
      </c>
      <c r="B28">
        <v>40</v>
      </c>
      <c r="C28">
        <v>27</v>
      </c>
      <c r="D28">
        <v>0.02</v>
      </c>
      <c r="E28" t="s">
        <v>11</v>
      </c>
      <c r="F28">
        <v>0.5</v>
      </c>
      <c r="G28">
        <v>0.75</v>
      </c>
      <c r="H28">
        <v>2</v>
      </c>
      <c r="I28">
        <v>1.1499999999999999</v>
      </c>
    </row>
    <row r="29" spans="1:9" x14ac:dyDescent="0.45">
      <c r="A29" t="s">
        <v>38</v>
      </c>
      <c r="B29">
        <v>41</v>
      </c>
      <c r="C29">
        <v>28</v>
      </c>
      <c r="D29">
        <v>2.2499999999999999E-2</v>
      </c>
      <c r="E29" t="s">
        <v>11</v>
      </c>
      <c r="F29">
        <v>0.5</v>
      </c>
      <c r="G29">
        <v>1.75</v>
      </c>
      <c r="H29">
        <v>2</v>
      </c>
      <c r="I29">
        <v>0.85</v>
      </c>
    </row>
    <row r="30" spans="1:9" x14ac:dyDescent="0.45">
      <c r="A30" t="s">
        <v>39</v>
      </c>
      <c r="B30">
        <v>33</v>
      </c>
      <c r="C30">
        <v>22</v>
      </c>
      <c r="D30">
        <v>1.7500000000000002E-2</v>
      </c>
      <c r="E30" t="s">
        <v>11</v>
      </c>
      <c r="F30">
        <v>0.45</v>
      </c>
      <c r="G30">
        <v>0.75</v>
      </c>
      <c r="H30">
        <v>4</v>
      </c>
      <c r="I30">
        <v>1</v>
      </c>
    </row>
    <row r="31" spans="1:9" x14ac:dyDescent="0.45">
      <c r="A31" t="s">
        <v>40</v>
      </c>
      <c r="B31">
        <v>44</v>
      </c>
      <c r="C31">
        <v>30</v>
      </c>
      <c r="D31">
        <v>1.7999999999999999E-2</v>
      </c>
      <c r="E31" t="s">
        <v>9</v>
      </c>
      <c r="F31">
        <v>0.55000000000000004</v>
      </c>
      <c r="G31">
        <v>1</v>
      </c>
      <c r="H31">
        <v>2</v>
      </c>
      <c r="I3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1F12-754A-44D1-8BA8-837BEC8DDF03}">
  <sheetPr codeName="Sheet2"/>
  <dimension ref="A1:D13"/>
  <sheetViews>
    <sheetView workbookViewId="0">
      <selection activeCell="D16" sqref="D16"/>
    </sheetView>
  </sheetViews>
  <sheetFormatPr defaultRowHeight="14.25" x14ac:dyDescent="0.45"/>
  <cols>
    <col min="4" max="4" width="23.3984375" bestFit="1" customWidth="1"/>
  </cols>
  <sheetData>
    <row r="1" spans="1:4" x14ac:dyDescent="0.45">
      <c r="A1" t="s">
        <v>41</v>
      </c>
      <c r="B1" t="s">
        <v>1</v>
      </c>
      <c r="C1" t="s">
        <v>42</v>
      </c>
      <c r="D1" t="s">
        <v>43</v>
      </c>
    </row>
    <row r="2" spans="1:4" x14ac:dyDescent="0.45">
      <c r="A2">
        <v>0</v>
      </c>
      <c r="B2">
        <v>0</v>
      </c>
      <c r="C2">
        <v>2.67</v>
      </c>
      <c r="D2">
        <v>1</v>
      </c>
    </row>
    <row r="3" spans="1:4" x14ac:dyDescent="0.45">
      <c r="A3">
        <v>1</v>
      </c>
      <c r="B3">
        <v>0</v>
      </c>
      <c r="C3">
        <v>1.66</v>
      </c>
      <c r="D3">
        <v>0.7</v>
      </c>
    </row>
    <row r="4" spans="1:4" x14ac:dyDescent="0.45">
      <c r="A4">
        <v>2</v>
      </c>
      <c r="B4">
        <v>0</v>
      </c>
      <c r="C4">
        <v>1.45</v>
      </c>
      <c r="D4">
        <v>0.8</v>
      </c>
    </row>
    <row r="5" spans="1:4" x14ac:dyDescent="0.45">
      <c r="A5">
        <v>3</v>
      </c>
      <c r="B5">
        <v>0</v>
      </c>
      <c r="C5">
        <v>1.03</v>
      </c>
      <c r="D5">
        <v>0.8</v>
      </c>
    </row>
    <row r="6" spans="1:4" x14ac:dyDescent="0.45">
      <c r="A6">
        <v>4</v>
      </c>
      <c r="B6">
        <v>0</v>
      </c>
      <c r="C6">
        <v>1</v>
      </c>
      <c r="D6">
        <v>0.8</v>
      </c>
    </row>
    <row r="7" spans="1:4" x14ac:dyDescent="0.45">
      <c r="A7">
        <v>5</v>
      </c>
      <c r="B7">
        <v>0</v>
      </c>
      <c r="C7">
        <v>1</v>
      </c>
      <c r="D7">
        <v>1</v>
      </c>
    </row>
    <row r="8" spans="1:4" x14ac:dyDescent="0.45">
      <c r="A8">
        <v>0</v>
      </c>
      <c r="B8">
        <v>1</v>
      </c>
      <c r="C8">
        <v>1.41</v>
      </c>
      <c r="D8">
        <v>1</v>
      </c>
    </row>
    <row r="9" spans="1:4" x14ac:dyDescent="0.45">
      <c r="A9">
        <v>1</v>
      </c>
      <c r="B9">
        <v>1</v>
      </c>
      <c r="C9">
        <v>1.25</v>
      </c>
      <c r="D9">
        <v>0.88652482269503552</v>
      </c>
    </row>
    <row r="10" spans="1:4" x14ac:dyDescent="0.45">
      <c r="A10">
        <v>2</v>
      </c>
      <c r="B10">
        <v>1</v>
      </c>
      <c r="C10">
        <v>1.1499999999999999</v>
      </c>
      <c r="D10">
        <v>0.91999999999999993</v>
      </c>
    </row>
    <row r="11" spans="1:4" x14ac:dyDescent="0.45">
      <c r="A11">
        <v>3</v>
      </c>
      <c r="B11">
        <v>1</v>
      </c>
      <c r="C11">
        <v>1.1000000000000001</v>
      </c>
      <c r="D11">
        <v>0.95652173913043492</v>
      </c>
    </row>
    <row r="12" spans="1:4" x14ac:dyDescent="0.45">
      <c r="A12">
        <v>4</v>
      </c>
      <c r="B12">
        <v>1</v>
      </c>
      <c r="C12">
        <v>1</v>
      </c>
      <c r="D12">
        <v>0.90909090909090906</v>
      </c>
    </row>
    <row r="13" spans="1:4" x14ac:dyDescent="0.45">
      <c r="A13">
        <v>5</v>
      </c>
      <c r="B13">
        <v>1</v>
      </c>
      <c r="C13">
        <v>1</v>
      </c>
      <c r="D1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6661-6DF2-4C68-80BC-FE818F82F718}">
  <sheetPr codeName="Sheet3"/>
  <dimension ref="A1:N1172"/>
  <sheetViews>
    <sheetView topLeftCell="B1" workbookViewId="0">
      <selection activeCell="H3" sqref="H3"/>
    </sheetView>
  </sheetViews>
  <sheetFormatPr defaultRowHeight="14.25" x14ac:dyDescent="0.45"/>
  <cols>
    <col min="2" max="2" width="55.86328125" bestFit="1" customWidth="1"/>
    <col min="9" max="10" width="9" customWidth="1"/>
    <col min="13" max="13" width="14.59765625" customWidth="1"/>
    <col min="14" max="14" width="55" bestFit="1" customWidth="1"/>
  </cols>
  <sheetData>
    <row r="1" spans="1:14" x14ac:dyDescent="0.45">
      <c r="A1" s="1" t="s">
        <v>44</v>
      </c>
      <c r="B1" s="1" t="s">
        <v>45</v>
      </c>
      <c r="C1" s="1" t="s">
        <v>46</v>
      </c>
      <c r="D1" t="s">
        <v>47</v>
      </c>
      <c r="E1" t="s">
        <v>48</v>
      </c>
      <c r="F1" t="s">
        <v>49</v>
      </c>
      <c r="G1" t="s">
        <v>50</v>
      </c>
      <c r="H1" t="s">
        <v>51</v>
      </c>
      <c r="I1" t="s">
        <v>52</v>
      </c>
      <c r="J1" t="s">
        <v>53</v>
      </c>
      <c r="K1" t="s">
        <v>54</v>
      </c>
      <c r="L1" t="s">
        <v>55</v>
      </c>
      <c r="M1" t="s">
        <v>56</v>
      </c>
      <c r="N1" s="1" t="s">
        <v>2208</v>
      </c>
    </row>
    <row r="2" spans="1:14" x14ac:dyDescent="0.45">
      <c r="A2" s="4">
        <v>100</v>
      </c>
      <c r="B2" t="s">
        <v>57</v>
      </c>
      <c r="C2" t="s">
        <v>57</v>
      </c>
      <c r="D2" t="s">
        <v>57</v>
      </c>
      <c r="E2" t="s">
        <v>58</v>
      </c>
      <c r="F2" t="s">
        <v>8</v>
      </c>
      <c r="G2">
        <v>12</v>
      </c>
      <c r="H2">
        <v>8.5050000000000004E-3</v>
      </c>
      <c r="I2" t="s">
        <v>1413</v>
      </c>
      <c r="J2" s="2" t="s">
        <v>2121</v>
      </c>
      <c r="K2">
        <v>1</v>
      </c>
      <c r="L2">
        <v>1</v>
      </c>
      <c r="M2" t="s">
        <v>18</v>
      </c>
      <c r="N2" t="str">
        <f>B2&amp;" ("&amp;A2&amp;")"</f>
        <v>AGRICULTURAL PRODUCTION - CROPS (100)</v>
      </c>
    </row>
    <row r="3" spans="1:14" x14ac:dyDescent="0.45">
      <c r="A3" s="4">
        <v>111</v>
      </c>
      <c r="B3" t="s">
        <v>59</v>
      </c>
      <c r="C3" t="s">
        <v>60</v>
      </c>
      <c r="D3" t="s">
        <v>57</v>
      </c>
      <c r="E3" t="s">
        <v>58</v>
      </c>
      <c r="F3" t="s">
        <v>8</v>
      </c>
      <c r="G3">
        <v>12</v>
      </c>
      <c r="H3">
        <v>8.5050000000000004E-3</v>
      </c>
      <c r="I3" t="s">
        <v>1413</v>
      </c>
      <c r="J3" s="2" t="s">
        <v>2121</v>
      </c>
      <c r="K3">
        <v>1</v>
      </c>
      <c r="L3">
        <v>1</v>
      </c>
      <c r="M3" t="s">
        <v>18</v>
      </c>
      <c r="N3" t="str">
        <f t="shared" ref="N3:N66" si="0">B3&amp;" ("&amp;A3&amp;")"</f>
        <v>WHEAT (111)</v>
      </c>
    </row>
    <row r="4" spans="1:14" x14ac:dyDescent="0.45">
      <c r="A4" s="4">
        <v>112</v>
      </c>
      <c r="B4" t="s">
        <v>61</v>
      </c>
      <c r="C4" t="s">
        <v>60</v>
      </c>
      <c r="D4" t="s">
        <v>57</v>
      </c>
      <c r="E4" t="s">
        <v>58</v>
      </c>
      <c r="F4" t="s">
        <v>8</v>
      </c>
      <c r="G4">
        <v>12</v>
      </c>
      <c r="H4">
        <v>8.5050000000000004E-3</v>
      </c>
      <c r="I4" t="s">
        <v>1413</v>
      </c>
      <c r="J4" s="2" t="s">
        <v>2121</v>
      </c>
      <c r="K4">
        <v>1</v>
      </c>
      <c r="L4">
        <v>1</v>
      </c>
      <c r="M4" t="s">
        <v>18</v>
      </c>
      <c r="N4" t="str">
        <f t="shared" si="0"/>
        <v>RICE (112)</v>
      </c>
    </row>
    <row r="5" spans="1:14" x14ac:dyDescent="0.45">
      <c r="A5" s="4">
        <v>115</v>
      </c>
      <c r="B5" t="s">
        <v>62</v>
      </c>
      <c r="C5" t="s">
        <v>60</v>
      </c>
      <c r="D5" t="s">
        <v>57</v>
      </c>
      <c r="E5" t="s">
        <v>58</v>
      </c>
      <c r="F5" t="s">
        <v>8</v>
      </c>
      <c r="G5">
        <v>12</v>
      </c>
      <c r="H5">
        <v>8.5050000000000004E-3</v>
      </c>
      <c r="I5" t="s">
        <v>1413</v>
      </c>
      <c r="J5" s="2" t="s">
        <v>2121</v>
      </c>
      <c r="K5">
        <v>1</v>
      </c>
      <c r="L5">
        <v>1</v>
      </c>
      <c r="M5" t="s">
        <v>18</v>
      </c>
      <c r="N5" t="str">
        <f t="shared" si="0"/>
        <v>CORN (115)</v>
      </c>
    </row>
    <row r="6" spans="1:14" x14ac:dyDescent="0.45">
      <c r="A6" s="4">
        <v>116</v>
      </c>
      <c r="B6" t="s">
        <v>63</v>
      </c>
      <c r="C6" t="s">
        <v>60</v>
      </c>
      <c r="D6" t="s">
        <v>57</v>
      </c>
      <c r="E6" t="s">
        <v>58</v>
      </c>
      <c r="F6" t="s">
        <v>8</v>
      </c>
      <c r="G6">
        <v>12</v>
      </c>
      <c r="H6">
        <v>8.5050000000000004E-3</v>
      </c>
      <c r="I6" t="s">
        <v>1413</v>
      </c>
      <c r="J6" s="2" t="s">
        <v>2121</v>
      </c>
      <c r="K6">
        <v>1</v>
      </c>
      <c r="L6">
        <v>1</v>
      </c>
      <c r="M6" t="s">
        <v>18</v>
      </c>
      <c r="N6" t="str">
        <f t="shared" si="0"/>
        <v>SOYBEANS (116)</v>
      </c>
    </row>
    <row r="7" spans="1:14" x14ac:dyDescent="0.45">
      <c r="A7" s="4">
        <v>119</v>
      </c>
      <c r="B7" t="s">
        <v>64</v>
      </c>
      <c r="C7" t="s">
        <v>60</v>
      </c>
      <c r="D7" t="s">
        <v>57</v>
      </c>
      <c r="E7" t="s">
        <v>58</v>
      </c>
      <c r="F7" t="s">
        <v>8</v>
      </c>
      <c r="G7">
        <v>12</v>
      </c>
      <c r="H7">
        <v>8.5050000000000004E-3</v>
      </c>
      <c r="I7" t="s">
        <v>1413</v>
      </c>
      <c r="J7" s="2" t="s">
        <v>2121</v>
      </c>
      <c r="K7">
        <v>1</v>
      </c>
      <c r="L7">
        <v>1</v>
      </c>
      <c r="M7" t="s">
        <v>18</v>
      </c>
      <c r="N7" t="str">
        <f t="shared" si="0"/>
        <v>CASH GRAINS, NEC (119)</v>
      </c>
    </row>
    <row r="8" spans="1:14" x14ac:dyDescent="0.45">
      <c r="A8" s="4">
        <v>131</v>
      </c>
      <c r="B8" t="s">
        <v>65</v>
      </c>
      <c r="C8" t="s">
        <v>66</v>
      </c>
      <c r="D8" t="s">
        <v>57</v>
      </c>
      <c r="E8" t="s">
        <v>58</v>
      </c>
      <c r="F8" t="s">
        <v>8</v>
      </c>
      <c r="G8">
        <v>12</v>
      </c>
      <c r="H8">
        <v>8.5050000000000004E-3</v>
      </c>
      <c r="I8" t="s">
        <v>1413</v>
      </c>
      <c r="J8" s="2" t="s">
        <v>2121</v>
      </c>
      <c r="K8">
        <v>1</v>
      </c>
      <c r="L8">
        <v>1</v>
      </c>
      <c r="M8" t="s">
        <v>18</v>
      </c>
      <c r="N8" t="str">
        <f t="shared" si="0"/>
        <v>COTTON (131)</v>
      </c>
    </row>
    <row r="9" spans="1:14" x14ac:dyDescent="0.45">
      <c r="A9" s="4">
        <v>132</v>
      </c>
      <c r="B9" t="s">
        <v>67</v>
      </c>
      <c r="C9" t="s">
        <v>66</v>
      </c>
      <c r="D9" t="s">
        <v>57</v>
      </c>
      <c r="E9" t="s">
        <v>58</v>
      </c>
      <c r="F9" t="s">
        <v>8</v>
      </c>
      <c r="G9">
        <v>12</v>
      </c>
      <c r="H9">
        <v>8.5050000000000004E-3</v>
      </c>
      <c r="I9" t="s">
        <v>1413</v>
      </c>
      <c r="J9" s="2" t="s">
        <v>2121</v>
      </c>
      <c r="K9">
        <v>1</v>
      </c>
      <c r="L9">
        <v>1</v>
      </c>
      <c r="M9" t="s">
        <v>18</v>
      </c>
      <c r="N9" t="str">
        <f t="shared" si="0"/>
        <v>TOBACCO (132)</v>
      </c>
    </row>
    <row r="10" spans="1:14" x14ac:dyDescent="0.45">
      <c r="A10" s="4">
        <v>133</v>
      </c>
      <c r="B10" t="s">
        <v>68</v>
      </c>
      <c r="C10" t="s">
        <v>66</v>
      </c>
      <c r="D10" t="s">
        <v>57</v>
      </c>
      <c r="E10" t="s">
        <v>58</v>
      </c>
      <c r="F10" t="s">
        <v>8</v>
      </c>
      <c r="G10">
        <v>12</v>
      </c>
      <c r="H10">
        <v>8.5050000000000004E-3</v>
      </c>
      <c r="I10" t="s">
        <v>1413</v>
      </c>
      <c r="J10" s="2" t="s">
        <v>2121</v>
      </c>
      <c r="K10">
        <v>1</v>
      </c>
      <c r="L10">
        <v>1</v>
      </c>
      <c r="M10" t="s">
        <v>18</v>
      </c>
      <c r="N10" t="str">
        <f t="shared" si="0"/>
        <v>SUGARCANE AND SUGAR BEETS (133)</v>
      </c>
    </row>
    <row r="11" spans="1:14" x14ac:dyDescent="0.45">
      <c r="A11" s="4">
        <v>134</v>
      </c>
      <c r="B11" t="s">
        <v>69</v>
      </c>
      <c r="C11" t="s">
        <v>66</v>
      </c>
      <c r="D11" t="s">
        <v>57</v>
      </c>
      <c r="E11" t="s">
        <v>58</v>
      </c>
      <c r="F11" t="s">
        <v>8</v>
      </c>
      <c r="G11">
        <v>12</v>
      </c>
      <c r="H11">
        <v>8.5050000000000004E-3</v>
      </c>
      <c r="I11" t="s">
        <v>1413</v>
      </c>
      <c r="J11" s="2" t="s">
        <v>2121</v>
      </c>
      <c r="K11">
        <v>1</v>
      </c>
      <c r="L11">
        <v>1</v>
      </c>
      <c r="M11" t="s">
        <v>18</v>
      </c>
      <c r="N11" t="str">
        <f t="shared" si="0"/>
        <v>IRISH POTATOES (134)</v>
      </c>
    </row>
    <row r="12" spans="1:14" x14ac:dyDescent="0.45">
      <c r="A12" s="4">
        <v>139</v>
      </c>
      <c r="B12" t="s">
        <v>70</v>
      </c>
      <c r="C12" t="s">
        <v>66</v>
      </c>
      <c r="D12" t="s">
        <v>57</v>
      </c>
      <c r="E12" t="s">
        <v>58</v>
      </c>
      <c r="F12" t="s">
        <v>8</v>
      </c>
      <c r="G12">
        <v>12</v>
      </c>
      <c r="H12">
        <v>8.5050000000000004E-3</v>
      </c>
      <c r="I12" t="s">
        <v>1413</v>
      </c>
      <c r="J12" s="2" t="s">
        <v>2121</v>
      </c>
      <c r="K12">
        <v>1</v>
      </c>
      <c r="L12">
        <v>1</v>
      </c>
      <c r="M12" t="s">
        <v>18</v>
      </c>
      <c r="N12" t="str">
        <f t="shared" si="0"/>
        <v>FIELD CROPS, EXCEPT CASH GRAIN (139)</v>
      </c>
    </row>
    <row r="13" spans="1:14" x14ac:dyDescent="0.45">
      <c r="A13" s="4">
        <v>161</v>
      </c>
      <c r="B13" t="s">
        <v>71</v>
      </c>
      <c r="C13" t="s">
        <v>71</v>
      </c>
      <c r="D13" t="s">
        <v>57</v>
      </c>
      <c r="E13" t="s">
        <v>58</v>
      </c>
      <c r="F13" t="s">
        <v>8</v>
      </c>
      <c r="G13">
        <v>12</v>
      </c>
      <c r="H13">
        <v>8.5050000000000004E-3</v>
      </c>
      <c r="I13" t="s">
        <v>1413</v>
      </c>
      <c r="J13" s="2" t="s">
        <v>2121</v>
      </c>
      <c r="K13">
        <v>1</v>
      </c>
      <c r="L13">
        <v>1</v>
      </c>
      <c r="M13" t="s">
        <v>18</v>
      </c>
      <c r="N13" t="str">
        <f t="shared" si="0"/>
        <v>VEGETABLES AND MELONS (161)</v>
      </c>
    </row>
    <row r="14" spans="1:14" x14ac:dyDescent="0.45">
      <c r="A14" s="4">
        <v>171</v>
      </c>
      <c r="B14" t="s">
        <v>72</v>
      </c>
      <c r="C14" t="s">
        <v>73</v>
      </c>
      <c r="D14" t="s">
        <v>57</v>
      </c>
      <c r="E14" t="s">
        <v>58</v>
      </c>
      <c r="F14" t="s">
        <v>8</v>
      </c>
      <c r="G14">
        <v>12</v>
      </c>
      <c r="H14">
        <v>8.5050000000000004E-3</v>
      </c>
      <c r="I14" t="s">
        <v>1413</v>
      </c>
      <c r="J14" s="2" t="s">
        <v>2121</v>
      </c>
      <c r="K14">
        <v>1</v>
      </c>
      <c r="L14">
        <v>1</v>
      </c>
      <c r="M14" t="s">
        <v>18</v>
      </c>
      <c r="N14" t="str">
        <f t="shared" si="0"/>
        <v>BERRY CROPS (171)</v>
      </c>
    </row>
    <row r="15" spans="1:14" x14ac:dyDescent="0.45">
      <c r="A15" s="4">
        <v>172</v>
      </c>
      <c r="B15" t="s">
        <v>74</v>
      </c>
      <c r="C15" t="s">
        <v>73</v>
      </c>
      <c r="D15" t="s">
        <v>57</v>
      </c>
      <c r="E15" t="s">
        <v>58</v>
      </c>
      <c r="F15" t="s">
        <v>8</v>
      </c>
      <c r="G15">
        <v>12</v>
      </c>
      <c r="H15">
        <v>8.5050000000000004E-3</v>
      </c>
      <c r="I15" t="s">
        <v>1413</v>
      </c>
      <c r="J15" s="2" t="s">
        <v>2121</v>
      </c>
      <c r="K15">
        <v>1</v>
      </c>
      <c r="L15">
        <v>1</v>
      </c>
      <c r="M15" t="s">
        <v>18</v>
      </c>
      <c r="N15" t="str">
        <f t="shared" si="0"/>
        <v>GRAPES (172)</v>
      </c>
    </row>
    <row r="16" spans="1:14" x14ac:dyDescent="0.45">
      <c r="A16" s="4">
        <v>173</v>
      </c>
      <c r="B16" t="s">
        <v>75</v>
      </c>
      <c r="C16" t="s">
        <v>73</v>
      </c>
      <c r="D16" t="s">
        <v>57</v>
      </c>
      <c r="E16" t="s">
        <v>58</v>
      </c>
      <c r="F16" t="s">
        <v>8</v>
      </c>
      <c r="G16">
        <v>12</v>
      </c>
      <c r="H16">
        <v>8.5050000000000004E-3</v>
      </c>
      <c r="I16" t="s">
        <v>1413</v>
      </c>
      <c r="J16" s="2" t="s">
        <v>2121</v>
      </c>
      <c r="K16">
        <v>1</v>
      </c>
      <c r="L16">
        <v>1</v>
      </c>
      <c r="M16" t="s">
        <v>18</v>
      </c>
      <c r="N16" t="str">
        <f t="shared" si="0"/>
        <v>TREE NUTS (173)</v>
      </c>
    </row>
    <row r="17" spans="1:14" x14ac:dyDescent="0.45">
      <c r="A17" s="4">
        <v>174</v>
      </c>
      <c r="B17" t="s">
        <v>76</v>
      </c>
      <c r="C17" t="s">
        <v>73</v>
      </c>
      <c r="D17" t="s">
        <v>57</v>
      </c>
      <c r="E17" t="s">
        <v>58</v>
      </c>
      <c r="F17" t="s">
        <v>8</v>
      </c>
      <c r="G17">
        <v>12</v>
      </c>
      <c r="H17">
        <v>8.5050000000000004E-3</v>
      </c>
      <c r="I17" t="s">
        <v>1413</v>
      </c>
      <c r="J17" s="2" t="s">
        <v>2121</v>
      </c>
      <c r="K17">
        <v>1</v>
      </c>
      <c r="L17">
        <v>1</v>
      </c>
      <c r="M17" t="s">
        <v>18</v>
      </c>
      <c r="N17" t="str">
        <f t="shared" si="0"/>
        <v>CITRUS FRUITS (174)</v>
      </c>
    </row>
    <row r="18" spans="1:14" x14ac:dyDescent="0.45">
      <c r="A18" s="4">
        <v>175</v>
      </c>
      <c r="B18" t="s">
        <v>77</v>
      </c>
      <c r="C18" t="s">
        <v>73</v>
      </c>
      <c r="D18" t="s">
        <v>57</v>
      </c>
      <c r="E18" t="s">
        <v>58</v>
      </c>
      <c r="F18" t="s">
        <v>8</v>
      </c>
      <c r="G18">
        <v>12</v>
      </c>
      <c r="H18">
        <v>8.5050000000000004E-3</v>
      </c>
      <c r="I18" t="s">
        <v>1413</v>
      </c>
      <c r="J18" s="2" t="s">
        <v>2121</v>
      </c>
      <c r="K18">
        <v>1</v>
      </c>
      <c r="L18">
        <v>1</v>
      </c>
      <c r="M18" t="s">
        <v>18</v>
      </c>
      <c r="N18" t="str">
        <f t="shared" si="0"/>
        <v>DECIDUOUS TREE FRUITS (175)</v>
      </c>
    </row>
    <row r="19" spans="1:14" x14ac:dyDescent="0.45">
      <c r="A19" s="4">
        <v>179</v>
      </c>
      <c r="B19" t="s">
        <v>78</v>
      </c>
      <c r="C19" t="s">
        <v>73</v>
      </c>
      <c r="D19" t="s">
        <v>57</v>
      </c>
      <c r="E19" t="s">
        <v>58</v>
      </c>
      <c r="F19" t="s">
        <v>8</v>
      </c>
      <c r="G19">
        <v>12</v>
      </c>
      <c r="H19">
        <v>8.5050000000000004E-3</v>
      </c>
      <c r="I19" t="s">
        <v>1413</v>
      </c>
      <c r="J19" s="2" t="s">
        <v>2121</v>
      </c>
      <c r="K19">
        <v>1</v>
      </c>
      <c r="L19">
        <v>1</v>
      </c>
      <c r="M19" t="s">
        <v>18</v>
      </c>
      <c r="N19" t="str">
        <f t="shared" si="0"/>
        <v>FRUITS AND TREE NUTS, NEC (179)</v>
      </c>
    </row>
    <row r="20" spans="1:14" x14ac:dyDescent="0.45">
      <c r="A20" s="4">
        <v>181</v>
      </c>
      <c r="B20" t="s">
        <v>79</v>
      </c>
      <c r="C20" t="s">
        <v>80</v>
      </c>
      <c r="D20" t="s">
        <v>57</v>
      </c>
      <c r="E20" t="s">
        <v>58</v>
      </c>
      <c r="F20" t="s">
        <v>8</v>
      </c>
      <c r="G20">
        <v>12</v>
      </c>
      <c r="H20">
        <v>8.5050000000000004E-3</v>
      </c>
      <c r="I20" t="s">
        <v>1413</v>
      </c>
      <c r="J20" s="2" t="s">
        <v>2121</v>
      </c>
      <c r="K20">
        <v>1</v>
      </c>
      <c r="L20">
        <v>1</v>
      </c>
      <c r="M20" t="s">
        <v>18</v>
      </c>
      <c r="N20" t="str">
        <f t="shared" si="0"/>
        <v>ORNAMENTAL NURSERY PRODUCTS (181)</v>
      </c>
    </row>
    <row r="21" spans="1:14" x14ac:dyDescent="0.45">
      <c r="A21" s="4">
        <v>182</v>
      </c>
      <c r="B21" t="s">
        <v>81</v>
      </c>
      <c r="C21" t="s">
        <v>80</v>
      </c>
      <c r="D21" t="s">
        <v>57</v>
      </c>
      <c r="E21" t="s">
        <v>58</v>
      </c>
      <c r="F21" t="s">
        <v>8</v>
      </c>
      <c r="G21">
        <v>12</v>
      </c>
      <c r="H21">
        <v>8.5050000000000004E-3</v>
      </c>
      <c r="I21" t="s">
        <v>1413</v>
      </c>
      <c r="J21" s="2" t="s">
        <v>2121</v>
      </c>
      <c r="K21">
        <v>1</v>
      </c>
      <c r="L21">
        <v>1</v>
      </c>
      <c r="M21" t="s">
        <v>18</v>
      </c>
      <c r="N21" t="str">
        <f t="shared" si="0"/>
        <v>FOOD CROPS GROWN UNDER COVER (182)</v>
      </c>
    </row>
    <row r="22" spans="1:14" x14ac:dyDescent="0.45">
      <c r="A22" s="4">
        <v>191</v>
      </c>
      <c r="B22" t="s">
        <v>82</v>
      </c>
      <c r="C22" t="s">
        <v>82</v>
      </c>
      <c r="D22" t="s">
        <v>57</v>
      </c>
      <c r="E22" t="s">
        <v>58</v>
      </c>
      <c r="F22" t="s">
        <v>8</v>
      </c>
      <c r="G22">
        <v>12</v>
      </c>
      <c r="H22">
        <v>8.5050000000000004E-3</v>
      </c>
      <c r="I22" t="s">
        <v>1413</v>
      </c>
      <c r="J22" s="2" t="s">
        <v>2121</v>
      </c>
      <c r="K22">
        <v>1</v>
      </c>
      <c r="L22">
        <v>1</v>
      </c>
      <c r="M22" t="s">
        <v>18</v>
      </c>
      <c r="N22" t="str">
        <f t="shared" si="0"/>
        <v>GENERAL FARMS, PRIMARILY CROP (191)</v>
      </c>
    </row>
    <row r="23" spans="1:14" x14ac:dyDescent="0.45">
      <c r="A23" s="4">
        <v>200</v>
      </c>
      <c r="B23" t="s">
        <v>83</v>
      </c>
      <c r="C23" t="s">
        <v>83</v>
      </c>
      <c r="D23" t="s">
        <v>83</v>
      </c>
      <c r="E23" t="s">
        <v>58</v>
      </c>
      <c r="F23" t="s">
        <v>8</v>
      </c>
      <c r="G23">
        <v>12</v>
      </c>
      <c r="H23">
        <v>8.5050000000000004E-3</v>
      </c>
      <c r="I23" t="s">
        <v>1413</v>
      </c>
      <c r="J23" s="2" t="s">
        <v>2121</v>
      </c>
      <c r="K23">
        <v>1</v>
      </c>
      <c r="L23">
        <v>1</v>
      </c>
      <c r="M23" t="s">
        <v>18</v>
      </c>
      <c r="N23" t="str">
        <f t="shared" si="0"/>
        <v>AGRICULTURAL PRODUCTION - LIVESTOCK (200)</v>
      </c>
    </row>
    <row r="24" spans="1:14" x14ac:dyDescent="0.45">
      <c r="A24" s="4">
        <v>211</v>
      </c>
      <c r="B24" t="s">
        <v>84</v>
      </c>
      <c r="C24" t="s">
        <v>85</v>
      </c>
      <c r="D24" t="s">
        <v>83</v>
      </c>
      <c r="E24" t="s">
        <v>58</v>
      </c>
      <c r="F24" t="s">
        <v>8</v>
      </c>
      <c r="G24">
        <v>12</v>
      </c>
      <c r="H24">
        <v>8.5050000000000004E-3</v>
      </c>
      <c r="I24" t="s">
        <v>1413</v>
      </c>
      <c r="J24" s="2" t="s">
        <v>2121</v>
      </c>
      <c r="K24">
        <v>1</v>
      </c>
      <c r="L24">
        <v>1</v>
      </c>
      <c r="M24" t="s">
        <v>18</v>
      </c>
      <c r="N24" t="str">
        <f t="shared" si="0"/>
        <v>BEEF CATTLE FEEDLOTS (211)</v>
      </c>
    </row>
    <row r="25" spans="1:14" x14ac:dyDescent="0.45">
      <c r="A25" s="4">
        <v>212</v>
      </c>
      <c r="B25" t="s">
        <v>86</v>
      </c>
      <c r="C25" t="s">
        <v>85</v>
      </c>
      <c r="D25" t="s">
        <v>83</v>
      </c>
      <c r="E25" t="s">
        <v>58</v>
      </c>
      <c r="F25" t="s">
        <v>8</v>
      </c>
      <c r="G25">
        <v>12</v>
      </c>
      <c r="H25">
        <v>8.5050000000000004E-3</v>
      </c>
      <c r="I25" t="s">
        <v>1413</v>
      </c>
      <c r="J25" s="2" t="s">
        <v>2121</v>
      </c>
      <c r="K25">
        <v>1</v>
      </c>
      <c r="L25">
        <v>1</v>
      </c>
      <c r="M25" t="s">
        <v>18</v>
      </c>
      <c r="N25" t="str">
        <f t="shared" si="0"/>
        <v>BEEF CATTLE, EXCEPT FEEDLOTS (212)</v>
      </c>
    </row>
    <row r="26" spans="1:14" x14ac:dyDescent="0.45">
      <c r="A26" s="4">
        <v>213</v>
      </c>
      <c r="B26" t="s">
        <v>87</v>
      </c>
      <c r="C26" t="s">
        <v>85</v>
      </c>
      <c r="D26" t="s">
        <v>83</v>
      </c>
      <c r="E26" t="s">
        <v>58</v>
      </c>
      <c r="F26" t="s">
        <v>8</v>
      </c>
      <c r="G26">
        <v>12</v>
      </c>
      <c r="H26">
        <v>8.5050000000000004E-3</v>
      </c>
      <c r="I26" t="s">
        <v>1413</v>
      </c>
      <c r="J26" s="2" t="s">
        <v>2121</v>
      </c>
      <c r="K26">
        <v>1</v>
      </c>
      <c r="L26">
        <v>1</v>
      </c>
      <c r="M26" t="s">
        <v>18</v>
      </c>
      <c r="N26" t="str">
        <f t="shared" si="0"/>
        <v>HOGS (213)</v>
      </c>
    </row>
    <row r="27" spans="1:14" x14ac:dyDescent="0.45">
      <c r="A27" s="4">
        <v>214</v>
      </c>
      <c r="B27" t="s">
        <v>88</v>
      </c>
      <c r="C27" t="s">
        <v>85</v>
      </c>
      <c r="D27" t="s">
        <v>83</v>
      </c>
      <c r="E27" t="s">
        <v>58</v>
      </c>
      <c r="F27" t="s">
        <v>8</v>
      </c>
      <c r="G27">
        <v>12</v>
      </c>
      <c r="H27">
        <v>8.5050000000000004E-3</v>
      </c>
      <c r="I27" t="s">
        <v>1413</v>
      </c>
      <c r="J27" s="2" t="s">
        <v>2121</v>
      </c>
      <c r="K27">
        <v>1</v>
      </c>
      <c r="L27">
        <v>1</v>
      </c>
      <c r="M27" t="s">
        <v>18</v>
      </c>
      <c r="N27" t="str">
        <f t="shared" si="0"/>
        <v>SHEEP AND GOATS (214)</v>
      </c>
    </row>
    <row r="28" spans="1:14" x14ac:dyDescent="0.45">
      <c r="A28" s="4">
        <v>219</v>
      </c>
      <c r="B28" t="s">
        <v>89</v>
      </c>
      <c r="C28" t="s">
        <v>85</v>
      </c>
      <c r="D28" t="s">
        <v>83</v>
      </c>
      <c r="E28" t="s">
        <v>58</v>
      </c>
      <c r="F28" t="s">
        <v>8</v>
      </c>
      <c r="G28">
        <v>12</v>
      </c>
      <c r="H28">
        <v>8.5050000000000004E-3</v>
      </c>
      <c r="I28" t="s">
        <v>1413</v>
      </c>
      <c r="J28" s="2" t="s">
        <v>2121</v>
      </c>
      <c r="K28">
        <v>1</v>
      </c>
      <c r="L28">
        <v>1</v>
      </c>
      <c r="M28" t="s">
        <v>18</v>
      </c>
      <c r="N28" t="str">
        <f t="shared" si="0"/>
        <v>GENERAL LIVESTOCK, NEC (219)</v>
      </c>
    </row>
    <row r="29" spans="1:14" x14ac:dyDescent="0.45">
      <c r="A29" s="4">
        <v>241</v>
      </c>
      <c r="B29" t="s">
        <v>90</v>
      </c>
      <c r="C29" t="s">
        <v>90</v>
      </c>
      <c r="D29" t="s">
        <v>83</v>
      </c>
      <c r="E29" t="s">
        <v>58</v>
      </c>
      <c r="F29" t="s">
        <v>8</v>
      </c>
      <c r="G29">
        <v>12</v>
      </c>
      <c r="H29">
        <v>8.5050000000000004E-3</v>
      </c>
      <c r="I29" t="s">
        <v>1413</v>
      </c>
      <c r="J29" s="2" t="s">
        <v>2121</v>
      </c>
      <c r="K29">
        <v>1</v>
      </c>
      <c r="L29">
        <v>1</v>
      </c>
      <c r="M29" t="s">
        <v>18</v>
      </c>
      <c r="N29" t="str">
        <f t="shared" si="0"/>
        <v>DAIRY FARMS (241)</v>
      </c>
    </row>
    <row r="30" spans="1:14" x14ac:dyDescent="0.45">
      <c r="A30" s="4">
        <v>251</v>
      </c>
      <c r="B30" t="s">
        <v>91</v>
      </c>
      <c r="C30" t="s">
        <v>92</v>
      </c>
      <c r="D30" t="s">
        <v>83</v>
      </c>
      <c r="E30" t="s">
        <v>58</v>
      </c>
      <c r="F30" t="s">
        <v>8</v>
      </c>
      <c r="G30">
        <v>12</v>
      </c>
      <c r="H30">
        <v>8.5050000000000004E-3</v>
      </c>
      <c r="I30" t="s">
        <v>1413</v>
      </c>
      <c r="J30" s="2" t="s">
        <v>2121</v>
      </c>
      <c r="K30">
        <v>1</v>
      </c>
      <c r="L30">
        <v>1</v>
      </c>
      <c r="M30" t="s">
        <v>18</v>
      </c>
      <c r="N30" t="str">
        <f t="shared" si="0"/>
        <v>BROILER, FRYER, AND ROASTER CHICKENS (251)</v>
      </c>
    </row>
    <row r="31" spans="1:14" x14ac:dyDescent="0.45">
      <c r="A31" s="4">
        <v>252</v>
      </c>
      <c r="B31" t="s">
        <v>93</v>
      </c>
      <c r="C31" t="s">
        <v>92</v>
      </c>
      <c r="D31" t="s">
        <v>83</v>
      </c>
      <c r="E31" t="s">
        <v>58</v>
      </c>
      <c r="F31" t="s">
        <v>8</v>
      </c>
      <c r="G31">
        <v>12</v>
      </c>
      <c r="H31">
        <v>8.5050000000000004E-3</v>
      </c>
      <c r="I31" t="s">
        <v>1413</v>
      </c>
      <c r="J31" s="2" t="s">
        <v>2121</v>
      </c>
      <c r="K31">
        <v>1</v>
      </c>
      <c r="L31">
        <v>1</v>
      </c>
      <c r="M31" t="s">
        <v>18</v>
      </c>
      <c r="N31" t="str">
        <f t="shared" si="0"/>
        <v>CHICKEN EGGS (252)</v>
      </c>
    </row>
    <row r="32" spans="1:14" x14ac:dyDescent="0.45">
      <c r="A32" s="4">
        <v>253</v>
      </c>
      <c r="B32" t="s">
        <v>94</v>
      </c>
      <c r="C32" t="s">
        <v>92</v>
      </c>
      <c r="D32" t="s">
        <v>83</v>
      </c>
      <c r="E32" t="s">
        <v>58</v>
      </c>
      <c r="F32" t="s">
        <v>8</v>
      </c>
      <c r="G32">
        <v>12</v>
      </c>
      <c r="H32">
        <v>8.5050000000000004E-3</v>
      </c>
      <c r="I32" t="s">
        <v>1413</v>
      </c>
      <c r="J32" s="2" t="s">
        <v>2121</v>
      </c>
      <c r="K32">
        <v>1</v>
      </c>
      <c r="L32">
        <v>1</v>
      </c>
      <c r="M32" t="s">
        <v>18</v>
      </c>
      <c r="N32" t="str">
        <f t="shared" si="0"/>
        <v>TURKEYS AND TURKEY EGGS (253)</v>
      </c>
    </row>
    <row r="33" spans="1:14" x14ac:dyDescent="0.45">
      <c r="A33" s="4">
        <v>254</v>
      </c>
      <c r="B33" t="s">
        <v>95</v>
      </c>
      <c r="C33" t="s">
        <v>92</v>
      </c>
      <c r="D33" t="s">
        <v>83</v>
      </c>
      <c r="E33" t="s">
        <v>58</v>
      </c>
      <c r="F33" t="s">
        <v>8</v>
      </c>
      <c r="G33">
        <v>12</v>
      </c>
      <c r="H33">
        <v>8.5050000000000004E-3</v>
      </c>
      <c r="I33" t="s">
        <v>1413</v>
      </c>
      <c r="J33" s="2" t="s">
        <v>2121</v>
      </c>
      <c r="K33">
        <v>1</v>
      </c>
      <c r="L33">
        <v>1</v>
      </c>
      <c r="M33" t="s">
        <v>18</v>
      </c>
      <c r="N33" t="str">
        <f t="shared" si="0"/>
        <v>POULTRY HATCHERIES (254)</v>
      </c>
    </row>
    <row r="34" spans="1:14" x14ac:dyDescent="0.45">
      <c r="A34" s="4">
        <v>259</v>
      </c>
      <c r="B34" t="s">
        <v>96</v>
      </c>
      <c r="C34" t="s">
        <v>92</v>
      </c>
      <c r="D34" t="s">
        <v>83</v>
      </c>
      <c r="E34" t="s">
        <v>58</v>
      </c>
      <c r="F34" t="s">
        <v>8</v>
      </c>
      <c r="G34">
        <v>12</v>
      </c>
      <c r="H34">
        <v>8.5050000000000004E-3</v>
      </c>
      <c r="I34" t="s">
        <v>1413</v>
      </c>
      <c r="J34" s="2" t="s">
        <v>2121</v>
      </c>
      <c r="K34">
        <v>1</v>
      </c>
      <c r="L34">
        <v>1</v>
      </c>
      <c r="M34" t="s">
        <v>18</v>
      </c>
      <c r="N34" t="str">
        <f t="shared" si="0"/>
        <v>POULTRY AND EGGS, NEC (259)</v>
      </c>
    </row>
    <row r="35" spans="1:14" x14ac:dyDescent="0.45">
      <c r="A35" s="4">
        <v>271</v>
      </c>
      <c r="B35" t="s">
        <v>97</v>
      </c>
      <c r="C35" t="s">
        <v>98</v>
      </c>
      <c r="D35" t="s">
        <v>83</v>
      </c>
      <c r="E35" t="s">
        <v>58</v>
      </c>
      <c r="F35" t="s">
        <v>8</v>
      </c>
      <c r="G35">
        <v>12</v>
      </c>
      <c r="H35">
        <v>8.5050000000000004E-3</v>
      </c>
      <c r="I35" t="s">
        <v>1413</v>
      </c>
      <c r="J35" s="2" t="s">
        <v>2121</v>
      </c>
      <c r="K35">
        <v>1</v>
      </c>
      <c r="L35">
        <v>1</v>
      </c>
      <c r="M35" t="s">
        <v>18</v>
      </c>
      <c r="N35" t="str">
        <f t="shared" si="0"/>
        <v>FUR-BEARING ANIMALS AND RABBITS (271)</v>
      </c>
    </row>
    <row r="36" spans="1:14" x14ac:dyDescent="0.45">
      <c r="A36" s="4">
        <v>272</v>
      </c>
      <c r="B36" t="s">
        <v>99</v>
      </c>
      <c r="C36" t="s">
        <v>98</v>
      </c>
      <c r="D36" t="s">
        <v>83</v>
      </c>
      <c r="E36" t="s">
        <v>58</v>
      </c>
      <c r="F36" t="s">
        <v>8</v>
      </c>
      <c r="G36">
        <v>12</v>
      </c>
      <c r="H36">
        <v>8.5050000000000004E-3</v>
      </c>
      <c r="I36" t="s">
        <v>1413</v>
      </c>
      <c r="J36" s="2" t="s">
        <v>2121</v>
      </c>
      <c r="K36">
        <v>1</v>
      </c>
      <c r="L36">
        <v>1</v>
      </c>
      <c r="M36" t="s">
        <v>18</v>
      </c>
      <c r="N36" t="str">
        <f t="shared" si="0"/>
        <v>HORSES AND OTHER EQUINES (272)</v>
      </c>
    </row>
    <row r="37" spans="1:14" x14ac:dyDescent="0.45">
      <c r="A37" s="4">
        <v>273</v>
      </c>
      <c r="B37" t="s">
        <v>100</v>
      </c>
      <c r="C37" t="s">
        <v>98</v>
      </c>
      <c r="D37" t="s">
        <v>83</v>
      </c>
      <c r="E37" t="s">
        <v>58</v>
      </c>
      <c r="F37" t="s">
        <v>8</v>
      </c>
      <c r="G37">
        <v>12</v>
      </c>
      <c r="H37">
        <v>8.5050000000000004E-3</v>
      </c>
      <c r="I37" t="s">
        <v>1413</v>
      </c>
      <c r="J37" s="2" t="s">
        <v>2121</v>
      </c>
      <c r="K37">
        <v>1</v>
      </c>
      <c r="L37">
        <v>1</v>
      </c>
      <c r="M37" t="s">
        <v>18</v>
      </c>
      <c r="N37" t="str">
        <f t="shared" si="0"/>
        <v>ANIMAL AQUACULTURE (273)</v>
      </c>
    </row>
    <row r="38" spans="1:14" x14ac:dyDescent="0.45">
      <c r="A38" s="4">
        <v>279</v>
      </c>
      <c r="B38" t="s">
        <v>101</v>
      </c>
      <c r="C38" t="s">
        <v>98</v>
      </c>
      <c r="D38" t="s">
        <v>83</v>
      </c>
      <c r="E38" t="s">
        <v>58</v>
      </c>
      <c r="F38" t="s">
        <v>8</v>
      </c>
      <c r="G38">
        <v>12</v>
      </c>
      <c r="H38">
        <v>8.5050000000000004E-3</v>
      </c>
      <c r="I38" t="s">
        <v>1413</v>
      </c>
      <c r="J38" s="2" t="s">
        <v>2121</v>
      </c>
      <c r="K38">
        <v>1</v>
      </c>
      <c r="L38">
        <v>1</v>
      </c>
      <c r="M38" t="s">
        <v>18</v>
      </c>
      <c r="N38" t="str">
        <f t="shared" si="0"/>
        <v>ANIMAL SPECIALTIES, NEC (279)</v>
      </c>
    </row>
    <row r="39" spans="1:14" x14ac:dyDescent="0.45">
      <c r="A39" s="4">
        <v>291</v>
      </c>
      <c r="B39" t="s">
        <v>102</v>
      </c>
      <c r="C39" t="s">
        <v>103</v>
      </c>
      <c r="D39" t="s">
        <v>83</v>
      </c>
      <c r="E39" t="s">
        <v>58</v>
      </c>
      <c r="F39" t="s">
        <v>8</v>
      </c>
      <c r="G39">
        <v>12</v>
      </c>
      <c r="H39">
        <v>8.5050000000000004E-3</v>
      </c>
      <c r="I39" t="s">
        <v>1413</v>
      </c>
      <c r="J39" s="2" t="s">
        <v>2121</v>
      </c>
      <c r="K39">
        <v>1</v>
      </c>
      <c r="L39">
        <v>1</v>
      </c>
      <c r="M39" t="s">
        <v>18</v>
      </c>
      <c r="N39" t="str">
        <f t="shared" si="0"/>
        <v>GENERAL FARMS, PRIMARILY ANIMALS (291)</v>
      </c>
    </row>
    <row r="40" spans="1:14" x14ac:dyDescent="0.45">
      <c r="A40" s="4">
        <v>700</v>
      </c>
      <c r="B40" t="s">
        <v>104</v>
      </c>
      <c r="C40" t="s">
        <v>104</v>
      </c>
      <c r="D40" t="s">
        <v>104</v>
      </c>
      <c r="E40" t="s">
        <v>58</v>
      </c>
      <c r="F40" t="s">
        <v>8</v>
      </c>
      <c r="G40">
        <v>12</v>
      </c>
      <c r="H40">
        <v>8.5050000000000004E-3</v>
      </c>
      <c r="I40" t="s">
        <v>1413</v>
      </c>
      <c r="J40" s="2" t="s">
        <v>2121</v>
      </c>
      <c r="K40">
        <v>1</v>
      </c>
      <c r="L40">
        <v>1</v>
      </c>
      <c r="M40" t="s">
        <v>18</v>
      </c>
      <c r="N40" t="str">
        <f t="shared" si="0"/>
        <v>AGRICULTURAL SERVICES (700)</v>
      </c>
    </row>
    <row r="41" spans="1:14" x14ac:dyDescent="0.45">
      <c r="A41" s="4">
        <v>711</v>
      </c>
      <c r="B41" t="s">
        <v>105</v>
      </c>
      <c r="C41" t="s">
        <v>105</v>
      </c>
      <c r="D41" t="s">
        <v>104</v>
      </c>
      <c r="E41" t="s">
        <v>58</v>
      </c>
      <c r="F41" t="s">
        <v>8</v>
      </c>
      <c r="G41">
        <v>12</v>
      </c>
      <c r="H41">
        <v>8.5050000000000004E-3</v>
      </c>
      <c r="I41" t="s">
        <v>1413</v>
      </c>
      <c r="J41" s="2" t="s">
        <v>2121</v>
      </c>
      <c r="K41">
        <v>1</v>
      </c>
      <c r="L41">
        <v>1</v>
      </c>
      <c r="M41" t="s">
        <v>18</v>
      </c>
      <c r="N41" t="str">
        <f t="shared" si="0"/>
        <v>SOIL PREPARATION SERVICES (711)</v>
      </c>
    </row>
    <row r="42" spans="1:14" x14ac:dyDescent="0.45">
      <c r="A42" s="4">
        <v>721</v>
      </c>
      <c r="B42" t="s">
        <v>106</v>
      </c>
      <c r="C42" t="s">
        <v>107</v>
      </c>
      <c r="D42" t="s">
        <v>104</v>
      </c>
      <c r="E42" t="s">
        <v>58</v>
      </c>
      <c r="F42" t="s">
        <v>8</v>
      </c>
      <c r="G42">
        <v>12</v>
      </c>
      <c r="H42">
        <v>8.5050000000000004E-3</v>
      </c>
      <c r="I42" t="s">
        <v>1413</v>
      </c>
      <c r="J42" s="2" t="s">
        <v>2121</v>
      </c>
      <c r="K42">
        <v>1</v>
      </c>
      <c r="L42">
        <v>1</v>
      </c>
      <c r="M42" t="s">
        <v>18</v>
      </c>
      <c r="N42" t="str">
        <f t="shared" si="0"/>
        <v>CROP PLANTING AND PROTECTION (721)</v>
      </c>
    </row>
    <row r="43" spans="1:14" x14ac:dyDescent="0.45">
      <c r="A43" s="4">
        <v>722</v>
      </c>
      <c r="B43" t="s">
        <v>108</v>
      </c>
      <c r="C43" t="s">
        <v>107</v>
      </c>
      <c r="D43" t="s">
        <v>104</v>
      </c>
      <c r="E43" t="s">
        <v>58</v>
      </c>
      <c r="F43" t="s">
        <v>8</v>
      </c>
      <c r="G43">
        <v>12</v>
      </c>
      <c r="H43">
        <v>8.5050000000000004E-3</v>
      </c>
      <c r="I43" t="s">
        <v>1413</v>
      </c>
      <c r="J43" s="2" t="s">
        <v>2121</v>
      </c>
      <c r="K43">
        <v>1</v>
      </c>
      <c r="L43">
        <v>1</v>
      </c>
      <c r="M43" t="s">
        <v>18</v>
      </c>
      <c r="N43" t="str">
        <f t="shared" si="0"/>
        <v>CROP HARVESTING (722)</v>
      </c>
    </row>
    <row r="44" spans="1:14" x14ac:dyDescent="0.45">
      <c r="A44" s="4">
        <v>723</v>
      </c>
      <c r="B44" t="s">
        <v>109</v>
      </c>
      <c r="C44" t="s">
        <v>107</v>
      </c>
      <c r="D44" t="s">
        <v>104</v>
      </c>
      <c r="E44" t="s">
        <v>58</v>
      </c>
      <c r="F44" t="s">
        <v>8</v>
      </c>
      <c r="G44">
        <v>12</v>
      </c>
      <c r="H44">
        <v>8.5050000000000004E-3</v>
      </c>
      <c r="I44" t="s">
        <v>1413</v>
      </c>
      <c r="J44" s="2" t="s">
        <v>2121</v>
      </c>
      <c r="K44">
        <v>1</v>
      </c>
      <c r="L44">
        <v>1</v>
      </c>
      <c r="M44" t="s">
        <v>18</v>
      </c>
      <c r="N44" t="str">
        <f t="shared" si="0"/>
        <v>CROP PREPARATION SERVICES FOR MARKET (723)</v>
      </c>
    </row>
    <row r="45" spans="1:14" x14ac:dyDescent="0.45">
      <c r="A45" s="4">
        <v>724</v>
      </c>
      <c r="B45" t="s">
        <v>110</v>
      </c>
      <c r="C45" t="s">
        <v>107</v>
      </c>
      <c r="D45" t="s">
        <v>104</v>
      </c>
      <c r="E45" t="s">
        <v>58</v>
      </c>
      <c r="F45" t="s">
        <v>8</v>
      </c>
      <c r="G45">
        <v>12</v>
      </c>
      <c r="H45">
        <v>8.5050000000000004E-3</v>
      </c>
      <c r="I45" t="s">
        <v>1413</v>
      </c>
      <c r="J45" s="2" t="s">
        <v>2121</v>
      </c>
      <c r="K45">
        <v>1</v>
      </c>
      <c r="L45">
        <v>1</v>
      </c>
      <c r="M45" t="s">
        <v>18</v>
      </c>
      <c r="N45" t="str">
        <f t="shared" si="0"/>
        <v>COTTON GINNING (724)</v>
      </c>
    </row>
    <row r="46" spans="1:14" x14ac:dyDescent="0.45">
      <c r="A46" s="4">
        <v>741</v>
      </c>
      <c r="B46" t="s">
        <v>111</v>
      </c>
      <c r="C46" t="s">
        <v>112</v>
      </c>
      <c r="D46" t="s">
        <v>104</v>
      </c>
      <c r="E46" t="s">
        <v>58</v>
      </c>
      <c r="F46" t="s">
        <v>8</v>
      </c>
      <c r="G46">
        <v>12</v>
      </c>
      <c r="H46">
        <v>8.5050000000000004E-3</v>
      </c>
      <c r="I46" t="s">
        <v>1413</v>
      </c>
      <c r="J46" s="2" t="s">
        <v>2121</v>
      </c>
      <c r="K46">
        <v>1</v>
      </c>
      <c r="L46">
        <v>1</v>
      </c>
      <c r="M46" t="s">
        <v>18</v>
      </c>
      <c r="N46" t="str">
        <f t="shared" si="0"/>
        <v>VETERINARY SERVICES FOR LIVESTOCK (741)</v>
      </c>
    </row>
    <row r="47" spans="1:14" x14ac:dyDescent="0.45">
      <c r="A47" s="4">
        <v>742</v>
      </c>
      <c r="B47" t="s">
        <v>113</v>
      </c>
      <c r="C47" t="s">
        <v>112</v>
      </c>
      <c r="D47" t="s">
        <v>104</v>
      </c>
      <c r="E47" t="s">
        <v>58</v>
      </c>
      <c r="F47" t="s">
        <v>8</v>
      </c>
      <c r="G47">
        <v>12</v>
      </c>
      <c r="H47">
        <v>8.5050000000000004E-3</v>
      </c>
      <c r="I47" t="s">
        <v>1413</v>
      </c>
      <c r="J47" s="2" t="s">
        <v>2121</v>
      </c>
      <c r="K47">
        <v>1</v>
      </c>
      <c r="L47">
        <v>1</v>
      </c>
      <c r="M47" t="s">
        <v>18</v>
      </c>
      <c r="N47" t="str">
        <f t="shared" si="0"/>
        <v>VETERINARY SERVICES, SPECIALTIES (742)</v>
      </c>
    </row>
    <row r="48" spans="1:14" x14ac:dyDescent="0.45">
      <c r="A48" s="4">
        <v>751</v>
      </c>
      <c r="B48" t="s">
        <v>114</v>
      </c>
      <c r="C48" t="s">
        <v>115</v>
      </c>
      <c r="D48" t="s">
        <v>104</v>
      </c>
      <c r="E48" t="s">
        <v>58</v>
      </c>
      <c r="F48" t="s">
        <v>8</v>
      </c>
      <c r="G48">
        <v>12</v>
      </c>
      <c r="H48">
        <v>8.5050000000000004E-3</v>
      </c>
      <c r="I48" t="s">
        <v>1413</v>
      </c>
      <c r="J48" s="2" t="s">
        <v>2121</v>
      </c>
      <c r="K48">
        <v>1</v>
      </c>
      <c r="L48">
        <v>1</v>
      </c>
      <c r="M48" t="s">
        <v>18</v>
      </c>
      <c r="N48" t="str">
        <f t="shared" si="0"/>
        <v>LIVESTOCK SERVICES, EXCEPT VETERINARY (751)</v>
      </c>
    </row>
    <row r="49" spans="1:14" x14ac:dyDescent="0.45">
      <c r="A49" s="4">
        <v>752</v>
      </c>
      <c r="B49" t="s">
        <v>116</v>
      </c>
      <c r="C49" t="s">
        <v>115</v>
      </c>
      <c r="D49" t="s">
        <v>104</v>
      </c>
      <c r="E49" t="s">
        <v>58</v>
      </c>
      <c r="F49" t="s">
        <v>8</v>
      </c>
      <c r="G49">
        <v>12</v>
      </c>
      <c r="H49">
        <v>8.5050000000000004E-3</v>
      </c>
      <c r="I49" t="s">
        <v>1413</v>
      </c>
      <c r="J49" s="2" t="s">
        <v>2121</v>
      </c>
      <c r="K49">
        <v>1</v>
      </c>
      <c r="L49">
        <v>1</v>
      </c>
      <c r="M49" t="s">
        <v>18</v>
      </c>
      <c r="N49" t="str">
        <f t="shared" si="0"/>
        <v>ANIMAL SPECIALTY SERVICES (752)</v>
      </c>
    </row>
    <row r="50" spans="1:14" x14ac:dyDescent="0.45">
      <c r="A50" s="4">
        <v>761</v>
      </c>
      <c r="B50" t="s">
        <v>117</v>
      </c>
      <c r="C50" t="s">
        <v>118</v>
      </c>
      <c r="D50" t="s">
        <v>104</v>
      </c>
      <c r="E50" t="s">
        <v>58</v>
      </c>
      <c r="F50" t="s">
        <v>8</v>
      </c>
      <c r="G50">
        <v>12</v>
      </c>
      <c r="H50">
        <v>8.5050000000000004E-3</v>
      </c>
      <c r="I50" t="s">
        <v>1413</v>
      </c>
      <c r="J50" s="2" t="s">
        <v>2121</v>
      </c>
      <c r="K50">
        <v>1</v>
      </c>
      <c r="L50">
        <v>1</v>
      </c>
      <c r="M50" t="s">
        <v>18</v>
      </c>
      <c r="N50" t="str">
        <f t="shared" si="0"/>
        <v>FARM LABOR CONTRACTORS (761)</v>
      </c>
    </row>
    <row r="51" spans="1:14" x14ac:dyDescent="0.45">
      <c r="A51" s="4">
        <v>762</v>
      </c>
      <c r="B51" t="s">
        <v>119</v>
      </c>
      <c r="C51" t="s">
        <v>118</v>
      </c>
      <c r="D51" t="s">
        <v>104</v>
      </c>
      <c r="E51" t="s">
        <v>58</v>
      </c>
      <c r="F51" t="s">
        <v>8</v>
      </c>
      <c r="G51">
        <v>12</v>
      </c>
      <c r="H51">
        <v>8.5050000000000004E-3</v>
      </c>
      <c r="I51" t="s">
        <v>1413</v>
      </c>
      <c r="J51" s="2" t="s">
        <v>2121</v>
      </c>
      <c r="K51">
        <v>1</v>
      </c>
      <c r="L51">
        <v>1</v>
      </c>
      <c r="M51" t="s">
        <v>18</v>
      </c>
      <c r="N51" t="str">
        <f t="shared" si="0"/>
        <v>FARM MANAGEMENT SERVICES (762)</v>
      </c>
    </row>
    <row r="52" spans="1:14" x14ac:dyDescent="0.45">
      <c r="A52" s="4">
        <v>781</v>
      </c>
      <c r="B52" t="s">
        <v>120</v>
      </c>
      <c r="C52" t="s">
        <v>121</v>
      </c>
      <c r="D52" t="s">
        <v>104</v>
      </c>
      <c r="E52" t="s">
        <v>58</v>
      </c>
      <c r="F52" t="s">
        <v>8</v>
      </c>
      <c r="G52">
        <v>12</v>
      </c>
      <c r="H52">
        <v>8.5050000000000004E-3</v>
      </c>
      <c r="I52" t="s">
        <v>1413</v>
      </c>
      <c r="J52" s="2" t="s">
        <v>2121</v>
      </c>
      <c r="K52">
        <v>1</v>
      </c>
      <c r="L52">
        <v>1</v>
      </c>
      <c r="M52" t="s">
        <v>18</v>
      </c>
      <c r="N52" t="str">
        <f t="shared" si="0"/>
        <v>LANDSCAPE COUNSELING AND PLANNING (781)</v>
      </c>
    </row>
    <row r="53" spans="1:14" x14ac:dyDescent="0.45">
      <c r="A53" s="4">
        <v>782</v>
      </c>
      <c r="B53" t="s">
        <v>122</v>
      </c>
      <c r="C53" t="s">
        <v>121</v>
      </c>
      <c r="D53" t="s">
        <v>104</v>
      </c>
      <c r="E53" t="s">
        <v>58</v>
      </c>
      <c r="F53" t="s">
        <v>8</v>
      </c>
      <c r="G53">
        <v>12</v>
      </c>
      <c r="H53">
        <v>8.5050000000000004E-3</v>
      </c>
      <c r="I53" t="s">
        <v>1413</v>
      </c>
      <c r="J53" s="2" t="s">
        <v>2121</v>
      </c>
      <c r="K53">
        <v>1</v>
      </c>
      <c r="L53">
        <v>1</v>
      </c>
      <c r="M53" t="s">
        <v>18</v>
      </c>
      <c r="N53" t="str">
        <f t="shared" si="0"/>
        <v>LAWN AND GARDEN SERVICES (782)</v>
      </c>
    </row>
    <row r="54" spans="1:14" x14ac:dyDescent="0.45">
      <c r="A54" s="4">
        <v>783</v>
      </c>
      <c r="B54" t="s">
        <v>123</v>
      </c>
      <c r="C54" t="s">
        <v>121</v>
      </c>
      <c r="D54" t="s">
        <v>104</v>
      </c>
      <c r="E54" t="s">
        <v>58</v>
      </c>
      <c r="F54" t="s">
        <v>8</v>
      </c>
      <c r="G54">
        <v>12</v>
      </c>
      <c r="H54">
        <v>8.5050000000000004E-3</v>
      </c>
      <c r="I54" t="s">
        <v>1413</v>
      </c>
      <c r="J54" s="2" t="s">
        <v>2121</v>
      </c>
      <c r="K54">
        <v>1</v>
      </c>
      <c r="L54">
        <v>1</v>
      </c>
      <c r="M54" t="s">
        <v>18</v>
      </c>
      <c r="N54" t="str">
        <f t="shared" si="0"/>
        <v>ORNAMENTAL SHRUB AND TREE SERVICES (783)</v>
      </c>
    </row>
    <row r="55" spans="1:14" x14ac:dyDescent="0.45">
      <c r="A55" s="4">
        <v>800</v>
      </c>
      <c r="B55" t="s">
        <v>124</v>
      </c>
      <c r="C55" t="s">
        <v>124</v>
      </c>
      <c r="D55" t="s">
        <v>124</v>
      </c>
      <c r="E55" t="s">
        <v>58</v>
      </c>
      <c r="F55" t="s">
        <v>8</v>
      </c>
      <c r="G55">
        <v>12</v>
      </c>
      <c r="H55">
        <v>8.5050000000000004E-3</v>
      </c>
      <c r="I55" t="s">
        <v>1413</v>
      </c>
      <c r="J55" s="2" t="s">
        <v>2121</v>
      </c>
      <c r="K55">
        <v>1</v>
      </c>
      <c r="L55">
        <v>1</v>
      </c>
      <c r="M55" t="s">
        <v>18</v>
      </c>
      <c r="N55" t="str">
        <f t="shared" si="0"/>
        <v>FORESTRY (800)</v>
      </c>
    </row>
    <row r="56" spans="1:14" x14ac:dyDescent="0.45">
      <c r="A56" s="4">
        <v>811</v>
      </c>
      <c r="B56" t="s">
        <v>125</v>
      </c>
      <c r="C56" t="s">
        <v>125</v>
      </c>
      <c r="D56" t="s">
        <v>124</v>
      </c>
      <c r="E56" t="s">
        <v>58</v>
      </c>
      <c r="F56" t="s">
        <v>8</v>
      </c>
      <c r="G56">
        <v>12</v>
      </c>
      <c r="H56">
        <v>8.5050000000000004E-3</v>
      </c>
      <c r="I56" t="s">
        <v>1413</v>
      </c>
      <c r="J56" s="2" t="s">
        <v>2121</v>
      </c>
      <c r="K56">
        <v>1</v>
      </c>
      <c r="L56">
        <v>1</v>
      </c>
      <c r="M56" t="s">
        <v>18</v>
      </c>
      <c r="N56" t="str">
        <f t="shared" si="0"/>
        <v>TIMBER TRACTS (811)</v>
      </c>
    </row>
    <row r="57" spans="1:14" x14ac:dyDescent="0.45">
      <c r="A57" s="4">
        <v>831</v>
      </c>
      <c r="B57" t="s">
        <v>126</v>
      </c>
      <c r="C57" t="s">
        <v>126</v>
      </c>
      <c r="D57" t="s">
        <v>124</v>
      </c>
      <c r="E57" t="s">
        <v>58</v>
      </c>
      <c r="F57" t="s">
        <v>8</v>
      </c>
      <c r="G57">
        <v>12</v>
      </c>
      <c r="H57">
        <v>8.5050000000000004E-3</v>
      </c>
      <c r="I57" t="s">
        <v>1413</v>
      </c>
      <c r="J57" s="2" t="s">
        <v>2121</v>
      </c>
      <c r="K57">
        <v>1</v>
      </c>
      <c r="L57">
        <v>1</v>
      </c>
      <c r="M57" t="s">
        <v>18</v>
      </c>
      <c r="N57" t="str">
        <f t="shared" si="0"/>
        <v>FOREST PRODUCTS (831)</v>
      </c>
    </row>
    <row r="58" spans="1:14" x14ac:dyDescent="0.45">
      <c r="A58" s="4">
        <v>851</v>
      </c>
      <c r="B58" t="s">
        <v>127</v>
      </c>
      <c r="C58" t="s">
        <v>127</v>
      </c>
      <c r="D58" t="s">
        <v>124</v>
      </c>
      <c r="E58" t="s">
        <v>58</v>
      </c>
      <c r="F58" t="s">
        <v>8</v>
      </c>
      <c r="G58">
        <v>12</v>
      </c>
      <c r="H58">
        <v>8.5050000000000004E-3</v>
      </c>
      <c r="I58" t="s">
        <v>1413</v>
      </c>
      <c r="J58" s="2" t="s">
        <v>2121</v>
      </c>
      <c r="K58">
        <v>1</v>
      </c>
      <c r="L58">
        <v>1</v>
      </c>
      <c r="M58" t="s">
        <v>18</v>
      </c>
      <c r="N58" t="str">
        <f t="shared" si="0"/>
        <v>FORESTRY SERVICES (851)</v>
      </c>
    </row>
    <row r="59" spans="1:14" x14ac:dyDescent="0.45">
      <c r="A59" s="4">
        <v>912</v>
      </c>
      <c r="B59" t="s">
        <v>128</v>
      </c>
      <c r="C59" t="s">
        <v>129</v>
      </c>
      <c r="D59" t="s">
        <v>130</v>
      </c>
      <c r="E59" t="s">
        <v>58</v>
      </c>
      <c r="F59" t="s">
        <v>8</v>
      </c>
      <c r="G59">
        <v>12</v>
      </c>
      <c r="H59">
        <v>8.5050000000000004E-3</v>
      </c>
      <c r="I59" t="s">
        <v>1413</v>
      </c>
      <c r="J59" s="2" t="s">
        <v>2121</v>
      </c>
      <c r="K59">
        <v>1</v>
      </c>
      <c r="L59">
        <v>1</v>
      </c>
      <c r="M59" t="s">
        <v>18</v>
      </c>
      <c r="N59" t="str">
        <f t="shared" si="0"/>
        <v>FINFISH (912)</v>
      </c>
    </row>
    <row r="60" spans="1:14" x14ac:dyDescent="0.45">
      <c r="A60" s="4">
        <v>913</v>
      </c>
      <c r="B60" t="s">
        <v>131</v>
      </c>
      <c r="C60" t="s">
        <v>129</v>
      </c>
      <c r="D60" t="s">
        <v>130</v>
      </c>
      <c r="E60" t="s">
        <v>58</v>
      </c>
      <c r="F60" t="s">
        <v>8</v>
      </c>
      <c r="G60">
        <v>12</v>
      </c>
      <c r="H60">
        <v>8.5050000000000004E-3</v>
      </c>
      <c r="I60" t="s">
        <v>1413</v>
      </c>
      <c r="J60" s="2" t="s">
        <v>2121</v>
      </c>
      <c r="K60">
        <v>1</v>
      </c>
      <c r="L60">
        <v>1</v>
      </c>
      <c r="M60" t="s">
        <v>18</v>
      </c>
      <c r="N60" t="str">
        <f t="shared" si="0"/>
        <v>SHELLFISH (913)</v>
      </c>
    </row>
    <row r="61" spans="1:14" x14ac:dyDescent="0.45">
      <c r="A61" s="4">
        <v>919</v>
      </c>
      <c r="B61" t="s">
        <v>132</v>
      </c>
      <c r="C61" t="s">
        <v>129</v>
      </c>
      <c r="D61" t="s">
        <v>130</v>
      </c>
      <c r="E61" t="s">
        <v>58</v>
      </c>
      <c r="F61" t="s">
        <v>8</v>
      </c>
      <c r="G61">
        <v>12</v>
      </c>
      <c r="H61">
        <v>8.5050000000000004E-3</v>
      </c>
      <c r="I61" t="s">
        <v>1413</v>
      </c>
      <c r="J61" s="2" t="s">
        <v>2121</v>
      </c>
      <c r="K61">
        <v>1</v>
      </c>
      <c r="L61">
        <v>1</v>
      </c>
      <c r="M61" t="s">
        <v>18</v>
      </c>
      <c r="N61" t="str">
        <f t="shared" si="0"/>
        <v>MISCELLANEOUS MARINE PRODUCTS (919)</v>
      </c>
    </row>
    <row r="62" spans="1:14" x14ac:dyDescent="0.45">
      <c r="A62" s="4">
        <v>921</v>
      </c>
      <c r="B62" t="s">
        <v>133</v>
      </c>
      <c r="C62" t="s">
        <v>133</v>
      </c>
      <c r="D62" t="s">
        <v>130</v>
      </c>
      <c r="E62" t="s">
        <v>58</v>
      </c>
      <c r="F62" t="s">
        <v>8</v>
      </c>
      <c r="G62">
        <v>12</v>
      </c>
      <c r="H62">
        <v>8.5050000000000004E-3</v>
      </c>
      <c r="I62" t="s">
        <v>1413</v>
      </c>
      <c r="J62" s="2" t="s">
        <v>2121</v>
      </c>
      <c r="K62">
        <v>1</v>
      </c>
      <c r="L62">
        <v>1</v>
      </c>
      <c r="M62" t="s">
        <v>18</v>
      </c>
      <c r="N62" t="str">
        <f t="shared" si="0"/>
        <v>FISH HATCHERIES AND PRESERVES (921)</v>
      </c>
    </row>
    <row r="63" spans="1:14" x14ac:dyDescent="0.45">
      <c r="A63" s="4">
        <v>971</v>
      </c>
      <c r="B63" t="s">
        <v>134</v>
      </c>
      <c r="C63" t="s">
        <v>134</v>
      </c>
      <c r="D63" t="s">
        <v>130</v>
      </c>
      <c r="E63" t="s">
        <v>58</v>
      </c>
      <c r="F63" t="s">
        <v>8</v>
      </c>
      <c r="G63">
        <v>12</v>
      </c>
      <c r="H63">
        <v>8.5050000000000004E-3</v>
      </c>
      <c r="I63" t="s">
        <v>1413</v>
      </c>
      <c r="J63" s="2" t="s">
        <v>2121</v>
      </c>
      <c r="K63">
        <v>1</v>
      </c>
      <c r="L63">
        <v>1</v>
      </c>
      <c r="M63" t="s">
        <v>18</v>
      </c>
      <c r="N63" t="str">
        <f t="shared" si="0"/>
        <v>HUNTING, TRAPPING, GAME PROPAGATION (971)</v>
      </c>
    </row>
    <row r="64" spans="1:14" x14ac:dyDescent="0.45">
      <c r="A64" s="4">
        <v>1000</v>
      </c>
      <c r="B64" t="s">
        <v>26</v>
      </c>
      <c r="C64" t="s">
        <v>26</v>
      </c>
      <c r="D64" t="s">
        <v>26</v>
      </c>
      <c r="E64" t="s">
        <v>26</v>
      </c>
      <c r="F64" t="s">
        <v>26</v>
      </c>
      <c r="G64">
        <v>29</v>
      </c>
      <c r="H64">
        <v>2.6730000000000004E-2</v>
      </c>
      <c r="I64" t="s">
        <v>1413</v>
      </c>
      <c r="J64" s="2" t="s">
        <v>2122</v>
      </c>
      <c r="K64">
        <v>1</v>
      </c>
      <c r="L64">
        <v>1</v>
      </c>
      <c r="M64" t="s">
        <v>18</v>
      </c>
      <c r="N64" t="str">
        <f t="shared" si="0"/>
        <v>NATURAL RESOURCES (1000)</v>
      </c>
    </row>
    <row r="65" spans="1:14" x14ac:dyDescent="0.45">
      <c r="A65" s="4">
        <v>1011</v>
      </c>
      <c r="B65" t="s">
        <v>135</v>
      </c>
      <c r="C65" t="s">
        <v>135</v>
      </c>
      <c r="D65" t="s">
        <v>136</v>
      </c>
      <c r="E65" t="s">
        <v>26</v>
      </c>
      <c r="F65" t="s">
        <v>26</v>
      </c>
      <c r="G65">
        <v>29</v>
      </c>
      <c r="H65">
        <v>2.6730000000000004E-2</v>
      </c>
      <c r="I65" t="s">
        <v>1413</v>
      </c>
      <c r="J65" s="2" t="s">
        <v>2122</v>
      </c>
      <c r="K65">
        <v>1</v>
      </c>
      <c r="L65">
        <v>1</v>
      </c>
      <c r="M65" t="s">
        <v>18</v>
      </c>
      <c r="N65" t="str">
        <f t="shared" si="0"/>
        <v>IRON ORES (1011)</v>
      </c>
    </row>
    <row r="66" spans="1:14" x14ac:dyDescent="0.45">
      <c r="A66" s="4">
        <v>1021</v>
      </c>
      <c r="B66" t="s">
        <v>137</v>
      </c>
      <c r="C66" t="s">
        <v>137</v>
      </c>
      <c r="D66" t="s">
        <v>136</v>
      </c>
      <c r="E66" t="s">
        <v>26</v>
      </c>
      <c r="F66" t="s">
        <v>26</v>
      </c>
      <c r="G66">
        <v>29</v>
      </c>
      <c r="H66">
        <v>2.6730000000000004E-2</v>
      </c>
      <c r="I66" t="s">
        <v>1413</v>
      </c>
      <c r="J66" s="2" t="s">
        <v>2122</v>
      </c>
      <c r="K66">
        <v>1</v>
      </c>
      <c r="L66">
        <v>1</v>
      </c>
      <c r="M66" t="s">
        <v>18</v>
      </c>
      <c r="N66" t="str">
        <f t="shared" si="0"/>
        <v>COPPER ORES (1021)</v>
      </c>
    </row>
    <row r="67" spans="1:14" x14ac:dyDescent="0.45">
      <c r="A67" s="4">
        <v>1031</v>
      </c>
      <c r="B67" t="s">
        <v>138</v>
      </c>
      <c r="C67" t="s">
        <v>138</v>
      </c>
      <c r="D67" t="s">
        <v>136</v>
      </c>
      <c r="E67" t="s">
        <v>26</v>
      </c>
      <c r="F67" t="s">
        <v>26</v>
      </c>
      <c r="G67">
        <v>29</v>
      </c>
      <c r="H67">
        <v>2.6730000000000004E-2</v>
      </c>
      <c r="I67" t="s">
        <v>1413</v>
      </c>
      <c r="J67" s="2" t="s">
        <v>2122</v>
      </c>
      <c r="K67">
        <v>1</v>
      </c>
      <c r="L67">
        <v>1</v>
      </c>
      <c r="M67" t="s">
        <v>18</v>
      </c>
      <c r="N67" t="str">
        <f t="shared" ref="N67:N130" si="1">B67&amp;" ("&amp;A67&amp;")"</f>
        <v>LEAD AND ZINC ORES (1031)</v>
      </c>
    </row>
    <row r="68" spans="1:14" x14ac:dyDescent="0.45">
      <c r="A68" s="4">
        <v>1040</v>
      </c>
      <c r="B68" t="s">
        <v>139</v>
      </c>
      <c r="C68" t="s">
        <v>139</v>
      </c>
      <c r="D68" t="s">
        <v>136</v>
      </c>
      <c r="E68" t="s">
        <v>26</v>
      </c>
      <c r="F68" t="s">
        <v>26</v>
      </c>
      <c r="G68">
        <v>29</v>
      </c>
      <c r="H68">
        <v>2.6730000000000004E-2</v>
      </c>
      <c r="I68" t="s">
        <v>1413</v>
      </c>
      <c r="J68" s="2" t="s">
        <v>2122</v>
      </c>
      <c r="K68">
        <v>1</v>
      </c>
      <c r="L68">
        <v>1</v>
      </c>
      <c r="M68" t="s">
        <v>18</v>
      </c>
      <c r="N68" t="str">
        <f t="shared" si="1"/>
        <v>GOLD AND SILVER ORES (1040)</v>
      </c>
    </row>
    <row r="69" spans="1:14" x14ac:dyDescent="0.45">
      <c r="A69" s="4">
        <v>1041</v>
      </c>
      <c r="B69" t="s">
        <v>140</v>
      </c>
      <c r="C69" t="s">
        <v>139</v>
      </c>
      <c r="D69" t="s">
        <v>136</v>
      </c>
      <c r="E69" t="s">
        <v>26</v>
      </c>
      <c r="F69" t="s">
        <v>26</v>
      </c>
      <c r="G69">
        <v>29</v>
      </c>
      <c r="H69">
        <v>2.6730000000000004E-2</v>
      </c>
      <c r="I69" t="s">
        <v>1413</v>
      </c>
      <c r="J69" s="2" t="s">
        <v>2122</v>
      </c>
      <c r="K69">
        <v>1</v>
      </c>
      <c r="L69">
        <v>1</v>
      </c>
      <c r="M69" t="s">
        <v>18</v>
      </c>
      <c r="N69" t="str">
        <f t="shared" si="1"/>
        <v>GOLD ORES (1041)</v>
      </c>
    </row>
    <row r="70" spans="1:14" x14ac:dyDescent="0.45">
      <c r="A70" s="4">
        <v>1044</v>
      </c>
      <c r="B70" t="s">
        <v>141</v>
      </c>
      <c r="C70" t="s">
        <v>139</v>
      </c>
      <c r="D70" t="s">
        <v>136</v>
      </c>
      <c r="E70" t="s">
        <v>26</v>
      </c>
      <c r="F70" t="s">
        <v>26</v>
      </c>
      <c r="G70">
        <v>29</v>
      </c>
      <c r="H70">
        <v>2.6730000000000004E-2</v>
      </c>
      <c r="I70" t="s">
        <v>1413</v>
      </c>
      <c r="J70" s="2" t="s">
        <v>2122</v>
      </c>
      <c r="K70">
        <v>1</v>
      </c>
      <c r="L70">
        <v>1</v>
      </c>
      <c r="M70" t="s">
        <v>18</v>
      </c>
      <c r="N70" t="str">
        <f t="shared" si="1"/>
        <v>SILVER ORES (1044)</v>
      </c>
    </row>
    <row r="71" spans="1:14" x14ac:dyDescent="0.45">
      <c r="A71" s="4">
        <v>1061</v>
      </c>
      <c r="B71" t="s">
        <v>142</v>
      </c>
      <c r="C71" t="s">
        <v>142</v>
      </c>
      <c r="D71" t="s">
        <v>136</v>
      </c>
      <c r="E71" t="s">
        <v>26</v>
      </c>
      <c r="F71" t="s">
        <v>26</v>
      </c>
      <c r="G71">
        <v>29</v>
      </c>
      <c r="H71">
        <v>2.6730000000000004E-2</v>
      </c>
      <c r="I71" t="s">
        <v>1413</v>
      </c>
      <c r="J71" s="2" t="s">
        <v>2122</v>
      </c>
      <c r="K71">
        <v>1</v>
      </c>
      <c r="L71">
        <v>1</v>
      </c>
      <c r="M71" t="s">
        <v>18</v>
      </c>
      <c r="N71" t="str">
        <f t="shared" si="1"/>
        <v>FERROALLOY ORES, EXCEPT VANADIUM (1061)</v>
      </c>
    </row>
    <row r="72" spans="1:14" x14ac:dyDescent="0.45">
      <c r="A72" s="4">
        <v>1081</v>
      </c>
      <c r="B72" t="s">
        <v>143</v>
      </c>
      <c r="C72" t="s">
        <v>143</v>
      </c>
      <c r="D72" t="s">
        <v>136</v>
      </c>
      <c r="E72" t="s">
        <v>26</v>
      </c>
      <c r="F72" t="s">
        <v>26</v>
      </c>
      <c r="G72">
        <v>29</v>
      </c>
      <c r="H72">
        <v>2.6730000000000004E-2</v>
      </c>
      <c r="I72" t="s">
        <v>1413</v>
      </c>
      <c r="J72" s="2" t="s">
        <v>2122</v>
      </c>
      <c r="K72">
        <v>1</v>
      </c>
      <c r="L72">
        <v>1</v>
      </c>
      <c r="M72" t="s">
        <v>18</v>
      </c>
      <c r="N72" t="str">
        <f t="shared" si="1"/>
        <v>METAL MINING SERVICES (1081)</v>
      </c>
    </row>
    <row r="73" spans="1:14" x14ac:dyDescent="0.45">
      <c r="A73" s="4">
        <v>1090</v>
      </c>
      <c r="B73" t="s">
        <v>144</v>
      </c>
      <c r="C73" t="s">
        <v>144</v>
      </c>
      <c r="D73" t="s">
        <v>136</v>
      </c>
      <c r="E73" t="s">
        <v>26</v>
      </c>
      <c r="F73" t="s">
        <v>26</v>
      </c>
      <c r="G73">
        <v>29</v>
      </c>
      <c r="H73">
        <v>2.6730000000000004E-2</v>
      </c>
      <c r="I73" t="s">
        <v>1413</v>
      </c>
      <c r="J73" s="2" t="s">
        <v>2122</v>
      </c>
      <c r="K73">
        <v>1</v>
      </c>
      <c r="L73">
        <v>1</v>
      </c>
      <c r="M73" t="s">
        <v>18</v>
      </c>
      <c r="N73" t="str">
        <f t="shared" si="1"/>
        <v>MISCELLANEOUS METAL ORES (1090)</v>
      </c>
    </row>
    <row r="74" spans="1:14" x14ac:dyDescent="0.45">
      <c r="A74" s="4">
        <v>1094</v>
      </c>
      <c r="B74" t="s">
        <v>145</v>
      </c>
      <c r="C74" t="s">
        <v>144</v>
      </c>
      <c r="D74" t="s">
        <v>136</v>
      </c>
      <c r="E74" t="s">
        <v>26</v>
      </c>
      <c r="F74" t="s">
        <v>26</v>
      </c>
      <c r="G74">
        <v>29</v>
      </c>
      <c r="H74">
        <v>2.6730000000000004E-2</v>
      </c>
      <c r="I74" t="s">
        <v>1413</v>
      </c>
      <c r="J74" s="2" t="s">
        <v>2122</v>
      </c>
      <c r="K74">
        <v>1</v>
      </c>
      <c r="L74">
        <v>1</v>
      </c>
      <c r="M74" t="s">
        <v>18</v>
      </c>
      <c r="N74" t="str">
        <f t="shared" si="1"/>
        <v>URANIUM-RADIUM-VANADIUM ORES (1094)</v>
      </c>
    </row>
    <row r="75" spans="1:14" x14ac:dyDescent="0.45">
      <c r="A75" s="4">
        <v>1099</v>
      </c>
      <c r="B75" t="s">
        <v>146</v>
      </c>
      <c r="C75" t="s">
        <v>144</v>
      </c>
      <c r="D75" t="s">
        <v>136</v>
      </c>
      <c r="E75" t="s">
        <v>26</v>
      </c>
      <c r="F75" t="s">
        <v>26</v>
      </c>
      <c r="G75">
        <v>29</v>
      </c>
      <c r="H75">
        <v>2.6730000000000004E-2</v>
      </c>
      <c r="I75" t="s">
        <v>1413</v>
      </c>
      <c r="J75" s="2" t="s">
        <v>2122</v>
      </c>
      <c r="K75">
        <v>1</v>
      </c>
      <c r="L75">
        <v>1</v>
      </c>
      <c r="M75" t="s">
        <v>18</v>
      </c>
      <c r="N75" t="str">
        <f t="shared" si="1"/>
        <v>METAL ORES, NEC (1099)</v>
      </c>
    </row>
    <row r="76" spans="1:14" x14ac:dyDescent="0.45">
      <c r="A76" s="4">
        <v>1220</v>
      </c>
      <c r="B76" t="s">
        <v>147</v>
      </c>
      <c r="C76" t="s">
        <v>147</v>
      </c>
      <c r="D76" t="s">
        <v>148</v>
      </c>
      <c r="E76" t="s">
        <v>26</v>
      </c>
      <c r="F76" t="s">
        <v>26</v>
      </c>
      <c r="G76">
        <v>29</v>
      </c>
      <c r="H76">
        <v>2.6730000000000004E-2</v>
      </c>
      <c r="I76" t="s">
        <v>1413</v>
      </c>
      <c r="J76" s="2" t="s">
        <v>2122</v>
      </c>
      <c r="K76">
        <v>1</v>
      </c>
      <c r="L76">
        <v>1</v>
      </c>
      <c r="M76" t="s">
        <v>18</v>
      </c>
      <c r="N76" t="str">
        <f t="shared" si="1"/>
        <v>BITUMINOUS COAL AND LIGNITE MINING (1220)</v>
      </c>
    </row>
    <row r="77" spans="1:14" x14ac:dyDescent="0.45">
      <c r="A77" s="4">
        <v>1221</v>
      </c>
      <c r="B77" t="s">
        <v>149</v>
      </c>
      <c r="C77" t="s">
        <v>147</v>
      </c>
      <c r="D77" t="s">
        <v>148</v>
      </c>
      <c r="E77" t="s">
        <v>26</v>
      </c>
      <c r="F77" t="s">
        <v>26</v>
      </c>
      <c r="G77">
        <v>29</v>
      </c>
      <c r="H77">
        <v>2.6730000000000004E-2</v>
      </c>
      <c r="I77" t="s">
        <v>1413</v>
      </c>
      <c r="J77" s="2" t="s">
        <v>2122</v>
      </c>
      <c r="K77">
        <v>1</v>
      </c>
      <c r="L77">
        <v>1</v>
      </c>
      <c r="M77" t="s">
        <v>18</v>
      </c>
      <c r="N77" t="str">
        <f t="shared" si="1"/>
        <v>BITUMINOUS COAL AND LIGNITE-SURFACE MINING (1221)</v>
      </c>
    </row>
    <row r="78" spans="1:14" x14ac:dyDescent="0.45">
      <c r="A78" s="4">
        <v>1222</v>
      </c>
      <c r="B78" t="s">
        <v>150</v>
      </c>
      <c r="C78" t="s">
        <v>147</v>
      </c>
      <c r="D78" t="s">
        <v>148</v>
      </c>
      <c r="E78" t="s">
        <v>26</v>
      </c>
      <c r="F78" t="s">
        <v>26</v>
      </c>
      <c r="G78">
        <v>29</v>
      </c>
      <c r="H78">
        <v>2.6730000000000004E-2</v>
      </c>
      <c r="I78" t="s">
        <v>1413</v>
      </c>
      <c r="J78" s="2" t="s">
        <v>2122</v>
      </c>
      <c r="K78">
        <v>1</v>
      </c>
      <c r="L78">
        <v>1</v>
      </c>
      <c r="M78" t="s">
        <v>18</v>
      </c>
      <c r="N78" t="str">
        <f t="shared" si="1"/>
        <v>BITUMINOUS COAL-UNDERGROUND MINING (1222)</v>
      </c>
    </row>
    <row r="79" spans="1:14" x14ac:dyDescent="0.45">
      <c r="A79" s="4">
        <v>1231</v>
      </c>
      <c r="B79" t="s">
        <v>151</v>
      </c>
      <c r="C79" t="s">
        <v>151</v>
      </c>
      <c r="D79" t="s">
        <v>148</v>
      </c>
      <c r="E79" t="s">
        <v>26</v>
      </c>
      <c r="F79" t="s">
        <v>26</v>
      </c>
      <c r="G79">
        <v>29</v>
      </c>
      <c r="H79">
        <v>2.6730000000000004E-2</v>
      </c>
      <c r="I79" t="s">
        <v>1413</v>
      </c>
      <c r="J79" s="2" t="s">
        <v>2122</v>
      </c>
      <c r="K79">
        <v>1</v>
      </c>
      <c r="L79">
        <v>1</v>
      </c>
      <c r="M79" t="s">
        <v>18</v>
      </c>
      <c r="N79" t="str">
        <f t="shared" si="1"/>
        <v>ANTHRACITE MINING (1231)</v>
      </c>
    </row>
    <row r="80" spans="1:14" x14ac:dyDescent="0.45">
      <c r="A80" s="4">
        <v>1241</v>
      </c>
      <c r="B80" t="s">
        <v>152</v>
      </c>
      <c r="C80" t="s">
        <v>152</v>
      </c>
      <c r="D80" t="s">
        <v>148</v>
      </c>
      <c r="E80" t="s">
        <v>26</v>
      </c>
      <c r="F80" t="s">
        <v>26</v>
      </c>
      <c r="G80">
        <v>29</v>
      </c>
      <c r="H80">
        <v>2.6730000000000004E-2</v>
      </c>
      <c r="I80" t="s">
        <v>1413</v>
      </c>
      <c r="J80" s="2" t="s">
        <v>2122</v>
      </c>
      <c r="K80">
        <v>1</v>
      </c>
      <c r="L80">
        <v>1</v>
      </c>
      <c r="M80" t="s">
        <v>18</v>
      </c>
      <c r="N80" t="str">
        <f t="shared" si="1"/>
        <v>COAL MINING SERVICES (1241)</v>
      </c>
    </row>
    <row r="81" spans="1:14" x14ac:dyDescent="0.45">
      <c r="A81" s="4">
        <v>1311</v>
      </c>
      <c r="B81" t="s">
        <v>153</v>
      </c>
      <c r="C81" t="s">
        <v>153</v>
      </c>
      <c r="D81" t="s">
        <v>154</v>
      </c>
      <c r="E81" t="s">
        <v>26</v>
      </c>
      <c r="F81" t="s">
        <v>26</v>
      </c>
      <c r="G81">
        <v>29</v>
      </c>
      <c r="H81">
        <v>2.6730000000000004E-2</v>
      </c>
      <c r="I81" t="s">
        <v>1413</v>
      </c>
      <c r="J81" s="2" t="s">
        <v>2122</v>
      </c>
      <c r="K81">
        <v>1</v>
      </c>
      <c r="L81">
        <v>1</v>
      </c>
      <c r="M81" t="s">
        <v>18</v>
      </c>
      <c r="N81" t="str">
        <f t="shared" si="1"/>
        <v>CRUDE PETROLEUM AND NATURAL GAS (1311)</v>
      </c>
    </row>
    <row r="82" spans="1:14" x14ac:dyDescent="0.45">
      <c r="A82" s="4">
        <v>1321</v>
      </c>
      <c r="B82" t="s">
        <v>155</v>
      </c>
      <c r="C82" t="s">
        <v>155</v>
      </c>
      <c r="D82" t="s">
        <v>154</v>
      </c>
      <c r="E82" t="s">
        <v>26</v>
      </c>
      <c r="F82" t="s">
        <v>26</v>
      </c>
      <c r="G82">
        <v>29</v>
      </c>
      <c r="H82">
        <v>2.6730000000000004E-2</v>
      </c>
      <c r="I82" t="s">
        <v>1413</v>
      </c>
      <c r="J82" s="2" t="s">
        <v>2122</v>
      </c>
      <c r="K82">
        <v>1</v>
      </c>
      <c r="L82">
        <v>1</v>
      </c>
      <c r="M82" t="s">
        <v>18</v>
      </c>
      <c r="N82" t="str">
        <f t="shared" si="1"/>
        <v>NATURAL GAS LIQUIDS (1321)</v>
      </c>
    </row>
    <row r="83" spans="1:14" x14ac:dyDescent="0.45">
      <c r="A83" s="4">
        <v>1381</v>
      </c>
      <c r="B83" t="s">
        <v>156</v>
      </c>
      <c r="C83" t="s">
        <v>157</v>
      </c>
      <c r="D83" t="s">
        <v>154</v>
      </c>
      <c r="E83" t="s">
        <v>26</v>
      </c>
      <c r="F83" t="s">
        <v>26</v>
      </c>
      <c r="G83">
        <v>29</v>
      </c>
      <c r="H83">
        <v>2.6730000000000004E-2</v>
      </c>
      <c r="I83" t="s">
        <v>1413</v>
      </c>
      <c r="J83" s="2" t="s">
        <v>2122</v>
      </c>
      <c r="K83">
        <v>1</v>
      </c>
      <c r="L83">
        <v>1</v>
      </c>
      <c r="M83" t="s">
        <v>18</v>
      </c>
      <c r="N83" t="str">
        <f t="shared" si="1"/>
        <v>DRILLING OIL AND GAS WELLS (1381)</v>
      </c>
    </row>
    <row r="84" spans="1:14" x14ac:dyDescent="0.45">
      <c r="A84" s="4">
        <v>1382</v>
      </c>
      <c r="B84" t="s">
        <v>158</v>
      </c>
      <c r="C84" t="s">
        <v>157</v>
      </c>
      <c r="D84" t="s">
        <v>154</v>
      </c>
      <c r="E84" t="s">
        <v>26</v>
      </c>
      <c r="F84" t="s">
        <v>26</v>
      </c>
      <c r="G84">
        <v>29</v>
      </c>
      <c r="H84">
        <v>2.6730000000000004E-2</v>
      </c>
      <c r="I84" t="s">
        <v>1413</v>
      </c>
      <c r="J84" s="2" t="s">
        <v>2122</v>
      </c>
      <c r="K84">
        <v>1</v>
      </c>
      <c r="L84">
        <v>1</v>
      </c>
      <c r="M84" t="s">
        <v>18</v>
      </c>
      <c r="N84" t="str">
        <f t="shared" si="1"/>
        <v>OIL AND GAS EXPLORATION SERVICES (1382)</v>
      </c>
    </row>
    <row r="85" spans="1:14" x14ac:dyDescent="0.45">
      <c r="A85" s="4">
        <v>1389</v>
      </c>
      <c r="B85" t="s">
        <v>159</v>
      </c>
      <c r="C85" t="s">
        <v>157</v>
      </c>
      <c r="D85" t="s">
        <v>154</v>
      </c>
      <c r="E85" t="s">
        <v>26</v>
      </c>
      <c r="F85" t="s">
        <v>26</v>
      </c>
      <c r="G85">
        <v>29</v>
      </c>
      <c r="H85">
        <v>2.6730000000000004E-2</v>
      </c>
      <c r="I85" t="s">
        <v>1413</v>
      </c>
      <c r="J85" s="2" t="s">
        <v>2122</v>
      </c>
      <c r="K85">
        <v>1</v>
      </c>
      <c r="L85">
        <v>1</v>
      </c>
      <c r="M85" t="s">
        <v>18</v>
      </c>
      <c r="N85" t="str">
        <f t="shared" si="1"/>
        <v>OIL AND GAS FIELD SERVICES, NEC (1389)</v>
      </c>
    </row>
    <row r="86" spans="1:14" x14ac:dyDescent="0.45">
      <c r="A86" s="4">
        <v>1400</v>
      </c>
      <c r="B86" t="s">
        <v>160</v>
      </c>
      <c r="C86" t="s">
        <v>160</v>
      </c>
      <c r="D86" t="s">
        <v>160</v>
      </c>
      <c r="E86" t="s">
        <v>26</v>
      </c>
      <c r="F86" t="s">
        <v>26</v>
      </c>
      <c r="G86">
        <v>29</v>
      </c>
      <c r="H86">
        <v>2.6730000000000004E-2</v>
      </c>
      <c r="I86" t="s">
        <v>1413</v>
      </c>
      <c r="J86" s="2" t="s">
        <v>2122</v>
      </c>
      <c r="K86">
        <v>1</v>
      </c>
      <c r="L86">
        <v>1</v>
      </c>
      <c r="M86" t="s">
        <v>18</v>
      </c>
      <c r="N86" t="str">
        <f t="shared" si="1"/>
        <v>NONMETALLIC MINERALS, EXCEPT FUELS (1400)</v>
      </c>
    </row>
    <row r="87" spans="1:14" x14ac:dyDescent="0.45">
      <c r="A87" s="4">
        <v>1411</v>
      </c>
      <c r="B87" t="s">
        <v>161</v>
      </c>
      <c r="C87" t="s">
        <v>161</v>
      </c>
      <c r="D87" t="s">
        <v>160</v>
      </c>
      <c r="E87" t="s">
        <v>26</v>
      </c>
      <c r="F87" t="s">
        <v>26</v>
      </c>
      <c r="G87">
        <v>29</v>
      </c>
      <c r="H87">
        <v>2.6730000000000004E-2</v>
      </c>
      <c r="I87" t="s">
        <v>1413</v>
      </c>
      <c r="J87" s="2" t="s">
        <v>2122</v>
      </c>
      <c r="K87">
        <v>1</v>
      </c>
      <c r="L87">
        <v>1</v>
      </c>
      <c r="M87" t="s">
        <v>18</v>
      </c>
      <c r="N87" t="str">
        <f t="shared" si="1"/>
        <v>DIMENSION STONE (1411)</v>
      </c>
    </row>
    <row r="88" spans="1:14" x14ac:dyDescent="0.45">
      <c r="A88" s="4">
        <v>1422</v>
      </c>
      <c r="B88" t="s">
        <v>162</v>
      </c>
      <c r="C88" t="s">
        <v>163</v>
      </c>
      <c r="D88" t="s">
        <v>160</v>
      </c>
      <c r="E88" t="s">
        <v>26</v>
      </c>
      <c r="F88" t="s">
        <v>26</v>
      </c>
      <c r="G88">
        <v>29</v>
      </c>
      <c r="H88">
        <v>2.6730000000000004E-2</v>
      </c>
      <c r="I88" t="s">
        <v>1413</v>
      </c>
      <c r="J88" s="2" t="s">
        <v>2122</v>
      </c>
      <c r="K88">
        <v>1</v>
      </c>
      <c r="L88">
        <v>1</v>
      </c>
      <c r="M88" t="s">
        <v>18</v>
      </c>
      <c r="N88" t="str">
        <f t="shared" si="1"/>
        <v>CRUSHED AND BROKEN LIMESTONE (1422)</v>
      </c>
    </row>
    <row r="89" spans="1:14" x14ac:dyDescent="0.45">
      <c r="A89" s="4">
        <v>1423</v>
      </c>
      <c r="B89" t="s">
        <v>164</v>
      </c>
      <c r="C89" t="s">
        <v>163</v>
      </c>
      <c r="D89" t="s">
        <v>160</v>
      </c>
      <c r="E89" t="s">
        <v>26</v>
      </c>
      <c r="F89" t="s">
        <v>26</v>
      </c>
      <c r="G89">
        <v>29</v>
      </c>
      <c r="H89">
        <v>2.6730000000000004E-2</v>
      </c>
      <c r="I89" t="s">
        <v>1413</v>
      </c>
      <c r="J89" s="2" t="s">
        <v>2122</v>
      </c>
      <c r="K89">
        <v>1</v>
      </c>
      <c r="L89">
        <v>1</v>
      </c>
      <c r="M89" t="s">
        <v>18</v>
      </c>
      <c r="N89" t="str">
        <f t="shared" si="1"/>
        <v>CRUSHED AND BROKEN GRANITE (1423)</v>
      </c>
    </row>
    <row r="90" spans="1:14" x14ac:dyDescent="0.45">
      <c r="A90" s="4">
        <v>1429</v>
      </c>
      <c r="B90" t="s">
        <v>165</v>
      </c>
      <c r="C90" t="s">
        <v>163</v>
      </c>
      <c r="D90" t="s">
        <v>160</v>
      </c>
      <c r="E90" t="s">
        <v>26</v>
      </c>
      <c r="F90" t="s">
        <v>26</v>
      </c>
      <c r="G90">
        <v>29</v>
      </c>
      <c r="H90">
        <v>2.6730000000000004E-2</v>
      </c>
      <c r="I90" t="s">
        <v>1413</v>
      </c>
      <c r="J90" s="2" t="s">
        <v>2122</v>
      </c>
      <c r="K90">
        <v>1</v>
      </c>
      <c r="L90">
        <v>1</v>
      </c>
      <c r="M90" t="s">
        <v>18</v>
      </c>
      <c r="N90" t="str">
        <f t="shared" si="1"/>
        <v>CRUSHED AND BROKEN STONE, NEC (1429)</v>
      </c>
    </row>
    <row r="91" spans="1:14" x14ac:dyDescent="0.45">
      <c r="A91" s="4">
        <v>1442</v>
      </c>
      <c r="B91" t="s">
        <v>166</v>
      </c>
      <c r="C91" t="s">
        <v>167</v>
      </c>
      <c r="D91" t="s">
        <v>160</v>
      </c>
      <c r="E91" t="s">
        <v>26</v>
      </c>
      <c r="F91" t="s">
        <v>26</v>
      </c>
      <c r="G91">
        <v>29</v>
      </c>
      <c r="H91">
        <v>2.6730000000000004E-2</v>
      </c>
      <c r="I91" t="s">
        <v>1413</v>
      </c>
      <c r="J91" s="2" t="s">
        <v>2122</v>
      </c>
      <c r="K91">
        <v>1</v>
      </c>
      <c r="L91">
        <v>1</v>
      </c>
      <c r="M91" t="s">
        <v>18</v>
      </c>
      <c r="N91" t="str">
        <f t="shared" si="1"/>
        <v>CONSTRUCTION SAND AND GRAVEL (1442)</v>
      </c>
    </row>
    <row r="92" spans="1:14" x14ac:dyDescent="0.45">
      <c r="A92" s="4">
        <v>1446</v>
      </c>
      <c r="B92" t="s">
        <v>168</v>
      </c>
      <c r="C92" t="s">
        <v>167</v>
      </c>
      <c r="D92" t="s">
        <v>160</v>
      </c>
      <c r="E92" t="s">
        <v>26</v>
      </c>
      <c r="F92" t="s">
        <v>26</v>
      </c>
      <c r="G92">
        <v>29</v>
      </c>
      <c r="H92">
        <v>2.6730000000000004E-2</v>
      </c>
      <c r="I92" t="s">
        <v>1413</v>
      </c>
      <c r="J92" s="2" t="s">
        <v>2122</v>
      </c>
      <c r="K92">
        <v>1</v>
      </c>
      <c r="L92">
        <v>1</v>
      </c>
      <c r="M92" t="s">
        <v>18</v>
      </c>
      <c r="N92" t="str">
        <f t="shared" si="1"/>
        <v>INDUSTRIAL SAND (1446)</v>
      </c>
    </row>
    <row r="93" spans="1:14" x14ac:dyDescent="0.45">
      <c r="A93" s="4">
        <v>1455</v>
      </c>
      <c r="B93" t="s">
        <v>169</v>
      </c>
      <c r="C93" t="s">
        <v>170</v>
      </c>
      <c r="D93" t="s">
        <v>160</v>
      </c>
      <c r="E93" t="s">
        <v>26</v>
      </c>
      <c r="F93" t="s">
        <v>26</v>
      </c>
      <c r="G93">
        <v>29</v>
      </c>
      <c r="H93">
        <v>2.6730000000000004E-2</v>
      </c>
      <c r="I93" t="s">
        <v>1413</v>
      </c>
      <c r="J93" s="2" t="s">
        <v>2122</v>
      </c>
      <c r="K93">
        <v>1</v>
      </c>
      <c r="L93">
        <v>1</v>
      </c>
      <c r="M93" t="s">
        <v>18</v>
      </c>
      <c r="N93" t="str">
        <f t="shared" si="1"/>
        <v>KAOLIN AND BALL CLAY (1455)</v>
      </c>
    </row>
    <row r="94" spans="1:14" x14ac:dyDescent="0.45">
      <c r="A94" s="4">
        <v>1459</v>
      </c>
      <c r="B94" t="s">
        <v>171</v>
      </c>
      <c r="C94" t="s">
        <v>170</v>
      </c>
      <c r="D94" t="s">
        <v>160</v>
      </c>
      <c r="E94" t="s">
        <v>26</v>
      </c>
      <c r="F94" t="s">
        <v>26</v>
      </c>
      <c r="G94">
        <v>29</v>
      </c>
      <c r="H94">
        <v>2.6730000000000004E-2</v>
      </c>
      <c r="I94" t="s">
        <v>1413</v>
      </c>
      <c r="J94" s="2" t="s">
        <v>2122</v>
      </c>
      <c r="K94">
        <v>1</v>
      </c>
      <c r="L94">
        <v>1</v>
      </c>
      <c r="M94" t="s">
        <v>18</v>
      </c>
      <c r="N94" t="str">
        <f t="shared" si="1"/>
        <v>CLAY AND RELATED MINERALS, NEC (1459)</v>
      </c>
    </row>
    <row r="95" spans="1:14" x14ac:dyDescent="0.45">
      <c r="A95" s="4">
        <v>1474</v>
      </c>
      <c r="B95" t="s">
        <v>172</v>
      </c>
      <c r="C95" t="s">
        <v>173</v>
      </c>
      <c r="D95" t="s">
        <v>160</v>
      </c>
      <c r="E95" t="s">
        <v>26</v>
      </c>
      <c r="F95" t="s">
        <v>26</v>
      </c>
      <c r="G95">
        <v>29</v>
      </c>
      <c r="H95">
        <v>2.6730000000000004E-2</v>
      </c>
      <c r="I95" t="s">
        <v>1413</v>
      </c>
      <c r="J95" s="2" t="s">
        <v>2122</v>
      </c>
      <c r="K95">
        <v>1</v>
      </c>
      <c r="L95">
        <v>1</v>
      </c>
      <c r="M95" t="s">
        <v>18</v>
      </c>
      <c r="N95" t="str">
        <f t="shared" si="1"/>
        <v>POTASH, SODA, AND BORATE MINERALS (1474)</v>
      </c>
    </row>
    <row r="96" spans="1:14" x14ac:dyDescent="0.45">
      <c r="A96" s="4">
        <v>1475</v>
      </c>
      <c r="B96" t="s">
        <v>174</v>
      </c>
      <c r="C96" t="s">
        <v>173</v>
      </c>
      <c r="D96" t="s">
        <v>160</v>
      </c>
      <c r="E96" t="s">
        <v>26</v>
      </c>
      <c r="F96" t="s">
        <v>26</v>
      </c>
      <c r="G96">
        <v>29</v>
      </c>
      <c r="H96">
        <v>2.6730000000000004E-2</v>
      </c>
      <c r="I96" t="s">
        <v>1413</v>
      </c>
      <c r="J96" s="2" t="s">
        <v>2122</v>
      </c>
      <c r="K96">
        <v>1</v>
      </c>
      <c r="L96">
        <v>1</v>
      </c>
      <c r="M96" t="s">
        <v>18</v>
      </c>
      <c r="N96" t="str">
        <f t="shared" si="1"/>
        <v>PHOSPHATE ROCK (1475)</v>
      </c>
    </row>
    <row r="97" spans="1:14" x14ac:dyDescent="0.45">
      <c r="A97" s="4">
        <v>1479</v>
      </c>
      <c r="B97" t="s">
        <v>175</v>
      </c>
      <c r="C97" t="s">
        <v>173</v>
      </c>
      <c r="D97" t="s">
        <v>160</v>
      </c>
      <c r="E97" t="s">
        <v>26</v>
      </c>
      <c r="F97" t="s">
        <v>26</v>
      </c>
      <c r="G97">
        <v>29</v>
      </c>
      <c r="H97">
        <v>2.6730000000000004E-2</v>
      </c>
      <c r="I97" t="s">
        <v>1413</v>
      </c>
      <c r="J97" s="2" t="s">
        <v>2122</v>
      </c>
      <c r="K97">
        <v>1</v>
      </c>
      <c r="L97">
        <v>1</v>
      </c>
      <c r="M97" t="s">
        <v>18</v>
      </c>
      <c r="N97" t="str">
        <f t="shared" si="1"/>
        <v>CHEMICAL AND FERTILIZER MINING (1479)</v>
      </c>
    </row>
    <row r="98" spans="1:14" x14ac:dyDescent="0.45">
      <c r="A98" s="4">
        <v>1481</v>
      </c>
      <c r="B98" t="s">
        <v>176</v>
      </c>
      <c r="C98" t="s">
        <v>177</v>
      </c>
      <c r="D98" t="s">
        <v>160</v>
      </c>
      <c r="E98" t="s">
        <v>26</v>
      </c>
      <c r="F98" t="s">
        <v>26</v>
      </c>
      <c r="G98">
        <v>29</v>
      </c>
      <c r="H98">
        <v>2.6730000000000004E-2</v>
      </c>
      <c r="I98" t="s">
        <v>1413</v>
      </c>
      <c r="J98" s="2" t="s">
        <v>2122</v>
      </c>
      <c r="K98">
        <v>1</v>
      </c>
      <c r="L98">
        <v>1</v>
      </c>
      <c r="M98" t="s">
        <v>18</v>
      </c>
      <c r="N98" t="str">
        <f t="shared" si="1"/>
        <v>NONMETALLIC MINERAL SERVICES (1481)</v>
      </c>
    </row>
    <row r="99" spans="1:14" x14ac:dyDescent="0.45">
      <c r="A99" s="4">
        <v>1499</v>
      </c>
      <c r="B99" t="s">
        <v>178</v>
      </c>
      <c r="C99" t="s">
        <v>179</v>
      </c>
      <c r="D99" t="s">
        <v>160</v>
      </c>
      <c r="E99" t="s">
        <v>26</v>
      </c>
      <c r="F99" t="s">
        <v>26</v>
      </c>
      <c r="G99">
        <v>29</v>
      </c>
      <c r="H99">
        <v>2.6730000000000004E-2</v>
      </c>
      <c r="I99" t="s">
        <v>1413</v>
      </c>
      <c r="J99" s="2" t="s">
        <v>2122</v>
      </c>
      <c r="K99">
        <v>1</v>
      </c>
      <c r="L99">
        <v>1</v>
      </c>
      <c r="M99" t="s">
        <v>18</v>
      </c>
      <c r="N99" t="str">
        <f t="shared" si="1"/>
        <v>MISCELLANEOUS NONMETALLIC MINING (1499)</v>
      </c>
    </row>
    <row r="100" spans="1:14" x14ac:dyDescent="0.45">
      <c r="A100" s="4">
        <v>1520</v>
      </c>
      <c r="B100" t="s">
        <v>180</v>
      </c>
      <c r="C100" t="s">
        <v>180</v>
      </c>
      <c r="D100" t="s">
        <v>181</v>
      </c>
      <c r="E100" t="s">
        <v>15</v>
      </c>
      <c r="F100" t="s">
        <v>15</v>
      </c>
      <c r="G100">
        <v>14</v>
      </c>
      <c r="H100">
        <v>0.03</v>
      </c>
      <c r="I100" t="s">
        <v>1413</v>
      </c>
      <c r="J100" s="2" t="s">
        <v>2123</v>
      </c>
      <c r="K100">
        <v>1</v>
      </c>
      <c r="L100">
        <v>1</v>
      </c>
      <c r="M100" t="s">
        <v>18</v>
      </c>
      <c r="N100" t="str">
        <f t="shared" si="1"/>
        <v>RESIDENTIAL BUILDING CONSTRUCTION (1520)</v>
      </c>
    </row>
    <row r="101" spans="1:14" x14ac:dyDescent="0.45">
      <c r="A101" s="4">
        <v>1521</v>
      </c>
      <c r="B101" t="s">
        <v>182</v>
      </c>
      <c r="C101" t="s">
        <v>180</v>
      </c>
      <c r="D101" t="s">
        <v>181</v>
      </c>
      <c r="E101" t="s">
        <v>15</v>
      </c>
      <c r="F101" t="s">
        <v>15</v>
      </c>
      <c r="G101">
        <v>14</v>
      </c>
      <c r="H101">
        <v>0.03</v>
      </c>
      <c r="I101" t="s">
        <v>1413</v>
      </c>
      <c r="J101" s="2" t="s">
        <v>2123</v>
      </c>
      <c r="K101">
        <v>1</v>
      </c>
      <c r="L101">
        <v>1</v>
      </c>
      <c r="M101" t="s">
        <v>18</v>
      </c>
      <c r="N101" t="str">
        <f t="shared" si="1"/>
        <v>SINGLE-FAMILY HOUSING CONSTRUCTION (1521)</v>
      </c>
    </row>
    <row r="102" spans="1:14" x14ac:dyDescent="0.45">
      <c r="A102" s="4">
        <v>1522</v>
      </c>
      <c r="B102" t="s">
        <v>183</v>
      </c>
      <c r="C102" t="s">
        <v>180</v>
      </c>
      <c r="D102" t="s">
        <v>181</v>
      </c>
      <c r="E102" t="s">
        <v>15</v>
      </c>
      <c r="F102" t="s">
        <v>15</v>
      </c>
      <c r="G102">
        <v>14</v>
      </c>
      <c r="H102">
        <v>0.03</v>
      </c>
      <c r="I102" t="s">
        <v>1413</v>
      </c>
      <c r="J102" s="2" t="s">
        <v>2123</v>
      </c>
      <c r="K102">
        <v>1</v>
      </c>
      <c r="L102">
        <v>1</v>
      </c>
      <c r="M102" t="s">
        <v>18</v>
      </c>
      <c r="N102" t="str">
        <f t="shared" si="1"/>
        <v>RESIDENTIAL CONSTRUCTION, NEC (1522)</v>
      </c>
    </row>
    <row r="103" spans="1:14" x14ac:dyDescent="0.45">
      <c r="A103" s="4">
        <v>1531</v>
      </c>
      <c r="B103" t="s">
        <v>184</v>
      </c>
      <c r="C103" t="s">
        <v>184</v>
      </c>
      <c r="D103" t="s">
        <v>181</v>
      </c>
      <c r="E103" t="s">
        <v>15</v>
      </c>
      <c r="F103" t="s">
        <v>15</v>
      </c>
      <c r="G103">
        <v>14</v>
      </c>
      <c r="H103">
        <v>0.03</v>
      </c>
      <c r="I103" t="s">
        <v>1413</v>
      </c>
      <c r="J103" s="2" t="s">
        <v>2123</v>
      </c>
      <c r="K103">
        <v>1</v>
      </c>
      <c r="L103">
        <v>1</v>
      </c>
      <c r="M103" t="s">
        <v>18</v>
      </c>
      <c r="N103" t="str">
        <f t="shared" si="1"/>
        <v>OPERATIVE BUILDERS (1531)</v>
      </c>
    </row>
    <row r="104" spans="1:14" x14ac:dyDescent="0.45">
      <c r="A104" s="4">
        <v>1540</v>
      </c>
      <c r="B104" t="s">
        <v>185</v>
      </c>
      <c r="C104" t="s">
        <v>185</v>
      </c>
      <c r="D104" t="s">
        <v>181</v>
      </c>
      <c r="E104" t="s">
        <v>15</v>
      </c>
      <c r="F104" t="s">
        <v>15</v>
      </c>
      <c r="G104">
        <v>14</v>
      </c>
      <c r="H104">
        <v>0.03</v>
      </c>
      <c r="I104" t="s">
        <v>1413</v>
      </c>
      <c r="J104" s="2" t="s">
        <v>2123</v>
      </c>
      <c r="K104">
        <v>1</v>
      </c>
      <c r="L104">
        <v>1</v>
      </c>
      <c r="M104" t="s">
        <v>18</v>
      </c>
      <c r="N104" t="str">
        <f t="shared" si="1"/>
        <v>NONRESIDENTIAL BUILDING CONSTRUCTION (1540)</v>
      </c>
    </row>
    <row r="105" spans="1:14" x14ac:dyDescent="0.45">
      <c r="A105" s="4">
        <v>1541</v>
      </c>
      <c r="B105" t="s">
        <v>186</v>
      </c>
      <c r="C105" t="s">
        <v>185</v>
      </c>
      <c r="D105" t="s">
        <v>181</v>
      </c>
      <c r="E105" t="s">
        <v>15</v>
      </c>
      <c r="F105" t="s">
        <v>15</v>
      </c>
      <c r="G105">
        <v>14</v>
      </c>
      <c r="H105">
        <v>0.03</v>
      </c>
      <c r="I105" t="s">
        <v>1413</v>
      </c>
      <c r="J105" s="2" t="s">
        <v>2123</v>
      </c>
      <c r="K105">
        <v>1</v>
      </c>
      <c r="L105">
        <v>1</v>
      </c>
      <c r="M105" t="s">
        <v>18</v>
      </c>
      <c r="N105" t="str">
        <f t="shared" si="1"/>
        <v>INDUSTRIAL BUILDINGS AND WAREHOUSES (1541)</v>
      </c>
    </row>
    <row r="106" spans="1:14" x14ac:dyDescent="0.45">
      <c r="A106" s="4">
        <v>1542</v>
      </c>
      <c r="B106" t="s">
        <v>187</v>
      </c>
      <c r="C106" t="s">
        <v>185</v>
      </c>
      <c r="D106" t="s">
        <v>181</v>
      </c>
      <c r="E106" t="s">
        <v>15</v>
      </c>
      <c r="F106" t="s">
        <v>15</v>
      </c>
      <c r="G106">
        <v>14</v>
      </c>
      <c r="H106">
        <v>0.03</v>
      </c>
      <c r="I106" t="s">
        <v>1413</v>
      </c>
      <c r="J106" s="2" t="s">
        <v>2123</v>
      </c>
      <c r="K106">
        <v>1</v>
      </c>
      <c r="L106">
        <v>1</v>
      </c>
      <c r="M106" t="s">
        <v>18</v>
      </c>
      <c r="N106" t="str">
        <f t="shared" si="1"/>
        <v>NONRESIDENTIAL CONSTRUCTION, NEC (1542)</v>
      </c>
    </row>
    <row r="107" spans="1:14" x14ac:dyDescent="0.45">
      <c r="A107" s="4">
        <v>1600</v>
      </c>
      <c r="B107" t="s">
        <v>188</v>
      </c>
      <c r="C107" t="s">
        <v>188</v>
      </c>
      <c r="D107" t="s">
        <v>188</v>
      </c>
      <c r="E107" t="s">
        <v>15</v>
      </c>
      <c r="F107" t="s">
        <v>15</v>
      </c>
      <c r="G107">
        <v>14</v>
      </c>
      <c r="H107">
        <v>0.03</v>
      </c>
      <c r="I107" t="s">
        <v>1413</v>
      </c>
      <c r="J107" s="2" t="s">
        <v>2123</v>
      </c>
      <c r="K107">
        <v>1</v>
      </c>
      <c r="L107">
        <v>1</v>
      </c>
      <c r="M107" t="s">
        <v>18</v>
      </c>
      <c r="N107" t="str">
        <f t="shared" si="1"/>
        <v>HEAVY CONSTRUCTION, EXCEPT BUILDING (1600)</v>
      </c>
    </row>
    <row r="108" spans="1:14" x14ac:dyDescent="0.45">
      <c r="A108" s="4">
        <v>1611</v>
      </c>
      <c r="B108" t="s">
        <v>189</v>
      </c>
      <c r="C108" t="s">
        <v>189</v>
      </c>
      <c r="D108" t="s">
        <v>188</v>
      </c>
      <c r="E108" t="s">
        <v>15</v>
      </c>
      <c r="F108" t="s">
        <v>15</v>
      </c>
      <c r="G108">
        <v>14</v>
      </c>
      <c r="H108">
        <v>0.03</v>
      </c>
      <c r="I108" t="s">
        <v>1413</v>
      </c>
      <c r="J108" s="2" t="s">
        <v>2123</v>
      </c>
      <c r="K108">
        <v>1</v>
      </c>
      <c r="L108">
        <v>1</v>
      </c>
      <c r="M108" t="s">
        <v>18</v>
      </c>
      <c r="N108" t="str">
        <f t="shared" si="1"/>
        <v>HIGHWAY AND STREET CONSTRUCTION (1611)</v>
      </c>
    </row>
    <row r="109" spans="1:14" x14ac:dyDescent="0.45">
      <c r="A109" s="4">
        <v>1622</v>
      </c>
      <c r="B109" t="s">
        <v>190</v>
      </c>
      <c r="C109" t="s">
        <v>191</v>
      </c>
      <c r="D109" t="s">
        <v>188</v>
      </c>
      <c r="E109" t="s">
        <v>15</v>
      </c>
      <c r="F109" t="s">
        <v>15</v>
      </c>
      <c r="G109">
        <v>14</v>
      </c>
      <c r="H109">
        <v>0.03</v>
      </c>
      <c r="I109" t="s">
        <v>1413</v>
      </c>
      <c r="J109" s="2" t="s">
        <v>2123</v>
      </c>
      <c r="K109">
        <v>1</v>
      </c>
      <c r="L109">
        <v>1</v>
      </c>
      <c r="M109" t="s">
        <v>18</v>
      </c>
      <c r="N109" t="str">
        <f t="shared" si="1"/>
        <v>BRIDGE, TUNNEL, AND ELEVATED HIGHWAY (1622)</v>
      </c>
    </row>
    <row r="110" spans="1:14" x14ac:dyDescent="0.45">
      <c r="A110" s="4">
        <v>1623</v>
      </c>
      <c r="B110" t="s">
        <v>192</v>
      </c>
      <c r="C110" t="s">
        <v>191</v>
      </c>
      <c r="D110" t="s">
        <v>188</v>
      </c>
      <c r="E110" t="s">
        <v>15</v>
      </c>
      <c r="F110" t="s">
        <v>15</v>
      </c>
      <c r="G110">
        <v>14</v>
      </c>
      <c r="H110">
        <v>0.03</v>
      </c>
      <c r="I110" t="s">
        <v>1413</v>
      </c>
      <c r="J110" s="2" t="s">
        <v>2123</v>
      </c>
      <c r="K110">
        <v>1</v>
      </c>
      <c r="L110">
        <v>1</v>
      </c>
      <c r="M110" t="s">
        <v>18</v>
      </c>
      <c r="N110" t="str">
        <f t="shared" si="1"/>
        <v>WATER, SEWER, AND UTILITY LINES (1623)</v>
      </c>
    </row>
    <row r="111" spans="1:14" x14ac:dyDescent="0.45">
      <c r="A111" s="4">
        <v>1629</v>
      </c>
      <c r="B111" t="s">
        <v>193</v>
      </c>
      <c r="C111" t="s">
        <v>191</v>
      </c>
      <c r="D111" t="s">
        <v>188</v>
      </c>
      <c r="E111" t="s">
        <v>15</v>
      </c>
      <c r="F111" t="s">
        <v>15</v>
      </c>
      <c r="G111">
        <v>14</v>
      </c>
      <c r="H111">
        <v>0.03</v>
      </c>
      <c r="I111" t="s">
        <v>1413</v>
      </c>
      <c r="J111" s="2" t="s">
        <v>2123</v>
      </c>
      <c r="K111">
        <v>1</v>
      </c>
      <c r="L111">
        <v>1</v>
      </c>
      <c r="M111" t="s">
        <v>18</v>
      </c>
      <c r="N111" t="str">
        <f t="shared" si="1"/>
        <v>HEAVY CONSTRUCTION, NEC (1629)</v>
      </c>
    </row>
    <row r="112" spans="1:14" x14ac:dyDescent="0.45">
      <c r="A112" s="4">
        <v>1700</v>
      </c>
      <c r="B112" t="s">
        <v>194</v>
      </c>
      <c r="C112" t="s">
        <v>194</v>
      </c>
      <c r="D112" t="s">
        <v>194</v>
      </c>
      <c r="E112" t="s">
        <v>15</v>
      </c>
      <c r="F112" t="s">
        <v>15</v>
      </c>
      <c r="G112">
        <v>14</v>
      </c>
      <c r="H112">
        <v>0.03</v>
      </c>
      <c r="I112" t="s">
        <v>1413</v>
      </c>
      <c r="J112" s="2" t="s">
        <v>2123</v>
      </c>
      <c r="K112">
        <v>1</v>
      </c>
      <c r="L112">
        <v>1</v>
      </c>
      <c r="M112" t="s">
        <v>18</v>
      </c>
      <c r="N112" t="str">
        <f t="shared" si="1"/>
        <v>SPECIAL TRADE CONTRACTORS (1700)</v>
      </c>
    </row>
    <row r="113" spans="1:14" x14ac:dyDescent="0.45">
      <c r="A113" s="4">
        <v>1711</v>
      </c>
      <c r="B113" t="s">
        <v>195</v>
      </c>
      <c r="C113" t="s">
        <v>196</v>
      </c>
      <c r="D113" t="s">
        <v>194</v>
      </c>
      <c r="E113" t="s">
        <v>15</v>
      </c>
      <c r="F113" t="s">
        <v>15</v>
      </c>
      <c r="G113">
        <v>14</v>
      </c>
      <c r="H113">
        <v>0.03</v>
      </c>
      <c r="I113" t="s">
        <v>1413</v>
      </c>
      <c r="J113" s="2" t="s">
        <v>2123</v>
      </c>
      <c r="K113">
        <v>1</v>
      </c>
      <c r="L113">
        <v>1</v>
      </c>
      <c r="M113" t="s">
        <v>18</v>
      </c>
      <c r="N113" t="str">
        <f t="shared" si="1"/>
        <v>PLUMBING, HEATING, AIR-CONDITIONING (1711)</v>
      </c>
    </row>
    <row r="114" spans="1:14" x14ac:dyDescent="0.45">
      <c r="A114" s="4">
        <v>1721</v>
      </c>
      <c r="B114" t="s">
        <v>197</v>
      </c>
      <c r="C114" t="s">
        <v>197</v>
      </c>
      <c r="D114" t="s">
        <v>194</v>
      </c>
      <c r="E114" t="s">
        <v>15</v>
      </c>
      <c r="F114" t="s">
        <v>15</v>
      </c>
      <c r="G114">
        <v>14</v>
      </c>
      <c r="H114">
        <v>0.03</v>
      </c>
      <c r="I114" t="s">
        <v>1413</v>
      </c>
      <c r="J114" s="2" t="s">
        <v>2123</v>
      </c>
      <c r="K114">
        <v>1</v>
      </c>
      <c r="L114">
        <v>1</v>
      </c>
      <c r="M114" t="s">
        <v>18</v>
      </c>
      <c r="N114" t="str">
        <f t="shared" si="1"/>
        <v>PAINTING AND PAPER HANGING (1721)</v>
      </c>
    </row>
    <row r="115" spans="1:14" x14ac:dyDescent="0.45">
      <c r="A115" s="4">
        <v>1731</v>
      </c>
      <c r="B115" t="s">
        <v>198</v>
      </c>
      <c r="C115" t="s">
        <v>198</v>
      </c>
      <c r="D115" t="s">
        <v>194</v>
      </c>
      <c r="E115" t="s">
        <v>15</v>
      </c>
      <c r="F115" t="s">
        <v>15</v>
      </c>
      <c r="G115">
        <v>14</v>
      </c>
      <c r="H115">
        <v>0.03</v>
      </c>
      <c r="I115" t="s">
        <v>1413</v>
      </c>
      <c r="J115" s="2" t="s">
        <v>2123</v>
      </c>
      <c r="K115">
        <v>1</v>
      </c>
      <c r="L115">
        <v>1</v>
      </c>
      <c r="M115" t="s">
        <v>18</v>
      </c>
      <c r="N115" t="str">
        <f t="shared" si="1"/>
        <v>ELECTRICAL WORK (1731)</v>
      </c>
    </row>
    <row r="116" spans="1:14" x14ac:dyDescent="0.45">
      <c r="A116" s="4">
        <v>1741</v>
      </c>
      <c r="B116" t="s">
        <v>199</v>
      </c>
      <c r="C116" t="s">
        <v>199</v>
      </c>
      <c r="D116" t="s">
        <v>194</v>
      </c>
      <c r="E116" t="s">
        <v>15</v>
      </c>
      <c r="F116" t="s">
        <v>15</v>
      </c>
      <c r="G116">
        <v>14</v>
      </c>
      <c r="H116">
        <v>0.03</v>
      </c>
      <c r="I116" t="s">
        <v>1413</v>
      </c>
      <c r="J116" s="2" t="s">
        <v>2123</v>
      </c>
      <c r="K116">
        <v>1</v>
      </c>
      <c r="L116">
        <v>1</v>
      </c>
      <c r="M116" t="s">
        <v>18</v>
      </c>
      <c r="N116" t="str">
        <f t="shared" si="1"/>
        <v>MASONRY AND OTHER STONEWORK (1741)</v>
      </c>
    </row>
    <row r="117" spans="1:14" x14ac:dyDescent="0.45">
      <c r="A117" s="4">
        <v>1742</v>
      </c>
      <c r="B117" t="s">
        <v>200</v>
      </c>
      <c r="C117" t="s">
        <v>199</v>
      </c>
      <c r="D117" t="s">
        <v>194</v>
      </c>
      <c r="E117" t="s">
        <v>15</v>
      </c>
      <c r="F117" t="s">
        <v>15</v>
      </c>
      <c r="G117">
        <v>14</v>
      </c>
      <c r="H117">
        <v>0.03</v>
      </c>
      <c r="I117" t="s">
        <v>1413</v>
      </c>
      <c r="J117" s="2" t="s">
        <v>2123</v>
      </c>
      <c r="K117">
        <v>1</v>
      </c>
      <c r="L117">
        <v>1</v>
      </c>
      <c r="M117" t="s">
        <v>18</v>
      </c>
      <c r="N117" t="str">
        <f t="shared" si="1"/>
        <v>PLASTERING, DRYWALL, AND INSULATION (1742)</v>
      </c>
    </row>
    <row r="118" spans="1:14" x14ac:dyDescent="0.45">
      <c r="A118" s="4">
        <v>1743</v>
      </c>
      <c r="B118" t="s">
        <v>201</v>
      </c>
      <c r="C118" t="s">
        <v>199</v>
      </c>
      <c r="D118" t="s">
        <v>194</v>
      </c>
      <c r="E118" t="s">
        <v>15</v>
      </c>
      <c r="F118" t="s">
        <v>15</v>
      </c>
      <c r="G118">
        <v>14</v>
      </c>
      <c r="H118">
        <v>0.03</v>
      </c>
      <c r="I118" t="s">
        <v>1413</v>
      </c>
      <c r="J118" s="2" t="s">
        <v>2123</v>
      </c>
      <c r="K118">
        <v>1</v>
      </c>
      <c r="L118">
        <v>1</v>
      </c>
      <c r="M118" t="s">
        <v>18</v>
      </c>
      <c r="N118" t="str">
        <f t="shared" si="1"/>
        <v>TERRAZZO, TILE, MARBLE, MOSAIC WORK (1743)</v>
      </c>
    </row>
    <row r="119" spans="1:14" x14ac:dyDescent="0.45">
      <c r="A119" s="4">
        <v>1751</v>
      </c>
      <c r="B119" t="s">
        <v>202</v>
      </c>
      <c r="C119" t="s">
        <v>203</v>
      </c>
      <c r="D119" t="s">
        <v>194</v>
      </c>
      <c r="E119" t="s">
        <v>15</v>
      </c>
      <c r="F119" t="s">
        <v>15</v>
      </c>
      <c r="G119">
        <v>14</v>
      </c>
      <c r="H119">
        <v>0.03</v>
      </c>
      <c r="I119" t="s">
        <v>1413</v>
      </c>
      <c r="J119" s="2" t="s">
        <v>2123</v>
      </c>
      <c r="K119">
        <v>1</v>
      </c>
      <c r="L119">
        <v>1</v>
      </c>
      <c r="M119" t="s">
        <v>18</v>
      </c>
      <c r="N119" t="str">
        <f t="shared" si="1"/>
        <v>CARPENTRY WORK (1751)</v>
      </c>
    </row>
    <row r="120" spans="1:14" x14ac:dyDescent="0.45">
      <c r="A120" s="4">
        <v>1752</v>
      </c>
      <c r="B120" t="s">
        <v>204</v>
      </c>
      <c r="C120" t="s">
        <v>203</v>
      </c>
      <c r="D120" t="s">
        <v>194</v>
      </c>
      <c r="E120" t="s">
        <v>15</v>
      </c>
      <c r="F120" t="s">
        <v>15</v>
      </c>
      <c r="G120">
        <v>14</v>
      </c>
      <c r="H120">
        <v>0.03</v>
      </c>
      <c r="I120" t="s">
        <v>1413</v>
      </c>
      <c r="J120" s="2" t="s">
        <v>2123</v>
      </c>
      <c r="K120">
        <v>1</v>
      </c>
      <c r="L120">
        <v>1</v>
      </c>
      <c r="M120" t="s">
        <v>18</v>
      </c>
      <c r="N120" t="str">
        <f t="shared" si="1"/>
        <v>FLOOR LAYING AND FLOOR WORK, NEC (1752)</v>
      </c>
    </row>
    <row r="121" spans="1:14" x14ac:dyDescent="0.45">
      <c r="A121" s="4">
        <v>1761</v>
      </c>
      <c r="B121" t="s">
        <v>205</v>
      </c>
      <c r="C121" t="s">
        <v>206</v>
      </c>
      <c r="D121" t="s">
        <v>194</v>
      </c>
      <c r="E121" t="s">
        <v>15</v>
      </c>
      <c r="F121" t="s">
        <v>15</v>
      </c>
      <c r="G121">
        <v>14</v>
      </c>
      <c r="H121">
        <v>0.03</v>
      </c>
      <c r="I121" t="s">
        <v>1413</v>
      </c>
      <c r="J121" s="2" t="s">
        <v>2123</v>
      </c>
      <c r="K121">
        <v>1</v>
      </c>
      <c r="L121">
        <v>1</v>
      </c>
      <c r="M121" t="s">
        <v>18</v>
      </c>
      <c r="N121" t="str">
        <f t="shared" si="1"/>
        <v>ROOFING, SIDING, AND SHEETMETAL WORK (1761)</v>
      </c>
    </row>
    <row r="122" spans="1:14" x14ac:dyDescent="0.45">
      <c r="A122" s="4">
        <v>1771</v>
      </c>
      <c r="B122" t="s">
        <v>207</v>
      </c>
      <c r="C122" t="s">
        <v>207</v>
      </c>
      <c r="D122" t="s">
        <v>194</v>
      </c>
      <c r="E122" t="s">
        <v>15</v>
      </c>
      <c r="F122" t="s">
        <v>15</v>
      </c>
      <c r="G122">
        <v>14</v>
      </c>
      <c r="H122">
        <v>0.03</v>
      </c>
      <c r="I122" t="s">
        <v>1413</v>
      </c>
      <c r="J122" s="2" t="s">
        <v>2123</v>
      </c>
      <c r="K122">
        <v>1</v>
      </c>
      <c r="L122">
        <v>1</v>
      </c>
      <c r="M122" t="s">
        <v>18</v>
      </c>
      <c r="N122" t="str">
        <f t="shared" si="1"/>
        <v>CONCRETE WORK (1771)</v>
      </c>
    </row>
    <row r="123" spans="1:14" x14ac:dyDescent="0.45">
      <c r="A123" s="4">
        <v>1781</v>
      </c>
      <c r="B123" t="s">
        <v>208</v>
      </c>
      <c r="C123" t="s">
        <v>208</v>
      </c>
      <c r="D123" t="s">
        <v>194</v>
      </c>
      <c r="E123" t="s">
        <v>15</v>
      </c>
      <c r="F123" t="s">
        <v>15</v>
      </c>
      <c r="G123">
        <v>14</v>
      </c>
      <c r="H123">
        <v>0.03</v>
      </c>
      <c r="I123" t="s">
        <v>1413</v>
      </c>
      <c r="J123" s="2" t="s">
        <v>2123</v>
      </c>
      <c r="K123">
        <v>1</v>
      </c>
      <c r="L123">
        <v>1</v>
      </c>
      <c r="M123" t="s">
        <v>18</v>
      </c>
      <c r="N123" t="str">
        <f t="shared" si="1"/>
        <v>WATER WELL DRILLING (1781)</v>
      </c>
    </row>
    <row r="124" spans="1:14" x14ac:dyDescent="0.45">
      <c r="A124" s="4">
        <v>1791</v>
      </c>
      <c r="B124" t="s">
        <v>209</v>
      </c>
      <c r="C124" t="s">
        <v>210</v>
      </c>
      <c r="D124" t="s">
        <v>194</v>
      </c>
      <c r="E124" t="s">
        <v>15</v>
      </c>
      <c r="F124" t="s">
        <v>15</v>
      </c>
      <c r="G124">
        <v>14</v>
      </c>
      <c r="H124">
        <v>0.03</v>
      </c>
      <c r="I124" t="s">
        <v>1413</v>
      </c>
      <c r="J124" s="2" t="s">
        <v>2123</v>
      </c>
      <c r="K124">
        <v>1</v>
      </c>
      <c r="L124">
        <v>1</v>
      </c>
      <c r="M124" t="s">
        <v>18</v>
      </c>
      <c r="N124" t="str">
        <f t="shared" si="1"/>
        <v>STRUCTURAL STEEL ERECTION (1791)</v>
      </c>
    </row>
    <row r="125" spans="1:14" x14ac:dyDescent="0.45">
      <c r="A125" s="4">
        <v>1793</v>
      </c>
      <c r="B125" t="s">
        <v>211</v>
      </c>
      <c r="C125" t="s">
        <v>210</v>
      </c>
      <c r="D125" t="s">
        <v>194</v>
      </c>
      <c r="E125" t="s">
        <v>15</v>
      </c>
      <c r="F125" t="s">
        <v>15</v>
      </c>
      <c r="G125">
        <v>14</v>
      </c>
      <c r="H125">
        <v>0.03</v>
      </c>
      <c r="I125" t="s">
        <v>1413</v>
      </c>
      <c r="J125" s="2" t="s">
        <v>2123</v>
      </c>
      <c r="K125">
        <v>1</v>
      </c>
      <c r="L125">
        <v>1</v>
      </c>
      <c r="M125" t="s">
        <v>18</v>
      </c>
      <c r="N125" t="str">
        <f t="shared" si="1"/>
        <v>GLASS AND GLAZING WORK (1793)</v>
      </c>
    </row>
    <row r="126" spans="1:14" x14ac:dyDescent="0.45">
      <c r="A126" s="4">
        <v>1794</v>
      </c>
      <c r="B126" t="s">
        <v>212</v>
      </c>
      <c r="C126" t="s">
        <v>210</v>
      </c>
      <c r="D126" t="s">
        <v>194</v>
      </c>
      <c r="E126" t="s">
        <v>15</v>
      </c>
      <c r="F126" t="s">
        <v>15</v>
      </c>
      <c r="G126">
        <v>14</v>
      </c>
      <c r="H126">
        <v>0.03</v>
      </c>
      <c r="I126" t="s">
        <v>1413</v>
      </c>
      <c r="J126" s="2" t="s">
        <v>2123</v>
      </c>
      <c r="K126">
        <v>1</v>
      </c>
      <c r="L126">
        <v>1</v>
      </c>
      <c r="M126" t="s">
        <v>18</v>
      </c>
      <c r="N126" t="str">
        <f t="shared" si="1"/>
        <v>EXCAVATION WORK (1794)</v>
      </c>
    </row>
    <row r="127" spans="1:14" x14ac:dyDescent="0.45">
      <c r="A127" s="4">
        <v>1795</v>
      </c>
      <c r="B127" t="s">
        <v>213</v>
      </c>
      <c r="C127" t="s">
        <v>210</v>
      </c>
      <c r="D127" t="s">
        <v>194</v>
      </c>
      <c r="E127" t="s">
        <v>15</v>
      </c>
      <c r="F127" t="s">
        <v>15</v>
      </c>
      <c r="G127">
        <v>14</v>
      </c>
      <c r="H127">
        <v>0.03</v>
      </c>
      <c r="I127" t="s">
        <v>1413</v>
      </c>
      <c r="J127" s="2" t="s">
        <v>2123</v>
      </c>
      <c r="K127">
        <v>1</v>
      </c>
      <c r="L127">
        <v>1</v>
      </c>
      <c r="M127" t="s">
        <v>18</v>
      </c>
      <c r="N127" t="str">
        <f t="shared" si="1"/>
        <v>WRECKING AND DEMOLITION WORK (1795)</v>
      </c>
    </row>
    <row r="128" spans="1:14" x14ac:dyDescent="0.45">
      <c r="A128" s="4">
        <v>1796</v>
      </c>
      <c r="B128" t="s">
        <v>214</v>
      </c>
      <c r="C128" t="s">
        <v>210</v>
      </c>
      <c r="D128" t="s">
        <v>194</v>
      </c>
      <c r="E128" t="s">
        <v>15</v>
      </c>
      <c r="F128" t="s">
        <v>15</v>
      </c>
      <c r="G128">
        <v>14</v>
      </c>
      <c r="H128">
        <v>0.03</v>
      </c>
      <c r="I128" t="s">
        <v>1413</v>
      </c>
      <c r="J128" s="2" t="s">
        <v>2123</v>
      </c>
      <c r="K128">
        <v>1</v>
      </c>
      <c r="L128">
        <v>1</v>
      </c>
      <c r="M128" t="s">
        <v>18</v>
      </c>
      <c r="N128" t="str">
        <f t="shared" si="1"/>
        <v>INSTALLING BUILDING EQUIPMENT (1796)</v>
      </c>
    </row>
    <row r="129" spans="1:14" x14ac:dyDescent="0.45">
      <c r="A129" s="4">
        <v>1799</v>
      </c>
      <c r="B129" t="s">
        <v>215</v>
      </c>
      <c r="C129" t="s">
        <v>210</v>
      </c>
      <c r="D129" t="s">
        <v>194</v>
      </c>
      <c r="E129" t="s">
        <v>15</v>
      </c>
      <c r="F129" t="s">
        <v>15</v>
      </c>
      <c r="G129">
        <v>14</v>
      </c>
      <c r="H129">
        <v>0.03</v>
      </c>
      <c r="I129" t="s">
        <v>1413</v>
      </c>
      <c r="J129" s="2" t="s">
        <v>2123</v>
      </c>
      <c r="K129">
        <v>1</v>
      </c>
      <c r="L129">
        <v>1</v>
      </c>
      <c r="M129" t="s">
        <v>18</v>
      </c>
      <c r="N129" t="str">
        <f t="shared" si="1"/>
        <v>SPECIAL TRADE CONTRACTORS, NEC (1799)</v>
      </c>
    </row>
    <row r="130" spans="1:14" x14ac:dyDescent="0.45">
      <c r="A130" s="4">
        <v>2000</v>
      </c>
      <c r="B130" t="s">
        <v>216</v>
      </c>
      <c r="C130" t="s">
        <v>216</v>
      </c>
      <c r="D130" t="s">
        <v>216</v>
      </c>
      <c r="E130" t="s">
        <v>216</v>
      </c>
      <c r="F130" t="s">
        <v>24</v>
      </c>
      <c r="G130">
        <v>28</v>
      </c>
      <c r="H130">
        <v>2.2499999999999999E-2</v>
      </c>
      <c r="I130" t="s">
        <v>1413</v>
      </c>
      <c r="J130" s="2" t="s">
        <v>2124</v>
      </c>
      <c r="K130">
        <v>1</v>
      </c>
      <c r="L130">
        <v>1</v>
      </c>
      <c r="M130" t="s">
        <v>18</v>
      </c>
      <c r="N130" t="str">
        <f t="shared" si="1"/>
        <v>MANUFACTURING (2000)</v>
      </c>
    </row>
    <row r="131" spans="1:14" x14ac:dyDescent="0.45">
      <c r="A131" s="4">
        <v>2011</v>
      </c>
      <c r="B131" t="s">
        <v>217</v>
      </c>
      <c r="C131" t="s">
        <v>218</v>
      </c>
      <c r="D131" t="s">
        <v>219</v>
      </c>
      <c r="E131" t="s">
        <v>216</v>
      </c>
      <c r="F131" t="s">
        <v>24</v>
      </c>
      <c r="G131">
        <v>28</v>
      </c>
      <c r="H131">
        <v>2.2499999999999999E-2</v>
      </c>
      <c r="I131" t="s">
        <v>1413</v>
      </c>
      <c r="J131" s="2" t="s">
        <v>2124</v>
      </c>
      <c r="K131">
        <v>1</v>
      </c>
      <c r="L131">
        <v>1</v>
      </c>
      <c r="M131" t="s">
        <v>18</v>
      </c>
      <c r="N131" t="str">
        <f t="shared" ref="N131:N194" si="2">B131&amp;" ("&amp;A131&amp;")"</f>
        <v>MEAT PACKING PLANTS (2011)</v>
      </c>
    </row>
    <row r="132" spans="1:14" x14ac:dyDescent="0.45">
      <c r="A132" s="4">
        <v>2013</v>
      </c>
      <c r="B132" t="s">
        <v>220</v>
      </c>
      <c r="C132" t="s">
        <v>218</v>
      </c>
      <c r="D132" t="s">
        <v>219</v>
      </c>
      <c r="E132" t="s">
        <v>216</v>
      </c>
      <c r="F132" t="s">
        <v>24</v>
      </c>
      <c r="G132">
        <v>28</v>
      </c>
      <c r="H132">
        <v>2.2499999999999999E-2</v>
      </c>
      <c r="I132" t="s">
        <v>1413</v>
      </c>
      <c r="J132" s="2" t="s">
        <v>2124</v>
      </c>
      <c r="K132">
        <v>1</v>
      </c>
      <c r="L132">
        <v>1</v>
      </c>
      <c r="M132" t="s">
        <v>18</v>
      </c>
      <c r="N132" t="str">
        <f t="shared" si="2"/>
        <v>SAUSAGES AND OTHER PREPARED MEATS (2013)</v>
      </c>
    </row>
    <row r="133" spans="1:14" x14ac:dyDescent="0.45">
      <c r="A133" s="4">
        <v>2015</v>
      </c>
      <c r="B133" t="s">
        <v>221</v>
      </c>
      <c r="C133" t="s">
        <v>218</v>
      </c>
      <c r="D133" t="s">
        <v>219</v>
      </c>
      <c r="E133" t="s">
        <v>216</v>
      </c>
      <c r="F133" t="s">
        <v>24</v>
      </c>
      <c r="G133">
        <v>28</v>
      </c>
      <c r="H133">
        <v>2.2499999999999999E-2</v>
      </c>
      <c r="I133" t="s">
        <v>1413</v>
      </c>
      <c r="J133" s="2" t="s">
        <v>2124</v>
      </c>
      <c r="K133">
        <v>1</v>
      </c>
      <c r="L133">
        <v>1</v>
      </c>
      <c r="M133" t="s">
        <v>18</v>
      </c>
      <c r="N133" t="str">
        <f t="shared" si="2"/>
        <v>POULTRY SLAUGHTERING AND PROCESSING (2015)</v>
      </c>
    </row>
    <row r="134" spans="1:14" x14ac:dyDescent="0.45">
      <c r="A134" s="4">
        <v>2020</v>
      </c>
      <c r="B134" t="s">
        <v>222</v>
      </c>
      <c r="C134" t="s">
        <v>222</v>
      </c>
      <c r="D134" t="s">
        <v>219</v>
      </c>
      <c r="E134" t="s">
        <v>216</v>
      </c>
      <c r="F134" t="s">
        <v>24</v>
      </c>
      <c r="G134">
        <v>28</v>
      </c>
      <c r="H134">
        <v>2.2499999999999999E-2</v>
      </c>
      <c r="I134" t="s">
        <v>1413</v>
      </c>
      <c r="J134" s="2" t="s">
        <v>2124</v>
      </c>
      <c r="K134">
        <v>1</v>
      </c>
      <c r="L134">
        <v>1</v>
      </c>
      <c r="M134" t="s">
        <v>18</v>
      </c>
      <c r="N134" t="str">
        <f t="shared" si="2"/>
        <v>DAIRY PRODUCTS (2020)</v>
      </c>
    </row>
    <row r="135" spans="1:14" x14ac:dyDescent="0.45">
      <c r="A135" s="4">
        <v>2021</v>
      </c>
      <c r="B135" t="s">
        <v>223</v>
      </c>
      <c r="C135" t="s">
        <v>222</v>
      </c>
      <c r="D135" t="s">
        <v>219</v>
      </c>
      <c r="E135" t="s">
        <v>216</v>
      </c>
      <c r="F135" t="s">
        <v>24</v>
      </c>
      <c r="G135">
        <v>28</v>
      </c>
      <c r="H135">
        <v>2.2499999999999999E-2</v>
      </c>
      <c r="I135" t="s">
        <v>1413</v>
      </c>
      <c r="J135" s="2" t="s">
        <v>2124</v>
      </c>
      <c r="K135">
        <v>1</v>
      </c>
      <c r="L135">
        <v>1</v>
      </c>
      <c r="M135" t="s">
        <v>18</v>
      </c>
      <c r="N135" t="str">
        <f t="shared" si="2"/>
        <v>CREAMERY BUTTER (2021)</v>
      </c>
    </row>
    <row r="136" spans="1:14" x14ac:dyDescent="0.45">
      <c r="A136" s="4">
        <v>2022</v>
      </c>
      <c r="B136" t="s">
        <v>224</v>
      </c>
      <c r="C136" t="s">
        <v>222</v>
      </c>
      <c r="D136" t="s">
        <v>219</v>
      </c>
      <c r="E136" t="s">
        <v>216</v>
      </c>
      <c r="F136" t="s">
        <v>24</v>
      </c>
      <c r="G136">
        <v>28</v>
      </c>
      <c r="H136">
        <v>2.2499999999999999E-2</v>
      </c>
      <c r="I136" t="s">
        <v>1413</v>
      </c>
      <c r="J136" s="2" t="s">
        <v>2124</v>
      </c>
      <c r="K136">
        <v>1</v>
      </c>
      <c r="L136">
        <v>1</v>
      </c>
      <c r="M136" t="s">
        <v>18</v>
      </c>
      <c r="N136" t="str">
        <f t="shared" si="2"/>
        <v>CHEESE; NATURAL AND PROCESSED (2022)</v>
      </c>
    </row>
    <row r="137" spans="1:14" x14ac:dyDescent="0.45">
      <c r="A137" s="4">
        <v>2023</v>
      </c>
      <c r="B137" t="s">
        <v>225</v>
      </c>
      <c r="C137" t="s">
        <v>222</v>
      </c>
      <c r="D137" t="s">
        <v>219</v>
      </c>
      <c r="E137" t="s">
        <v>216</v>
      </c>
      <c r="F137" t="s">
        <v>24</v>
      </c>
      <c r="G137">
        <v>28</v>
      </c>
      <c r="H137">
        <v>2.2499999999999999E-2</v>
      </c>
      <c r="I137" t="s">
        <v>1413</v>
      </c>
      <c r="J137" s="2" t="s">
        <v>2124</v>
      </c>
      <c r="K137">
        <v>1</v>
      </c>
      <c r="L137">
        <v>1</v>
      </c>
      <c r="M137" t="s">
        <v>18</v>
      </c>
      <c r="N137" t="str">
        <f t="shared" si="2"/>
        <v>DRY, CONDENSED, EVAPORATED PRODUCTS (2023)</v>
      </c>
    </row>
    <row r="138" spans="1:14" x14ac:dyDescent="0.45">
      <c r="A138" s="4">
        <v>2024</v>
      </c>
      <c r="B138" t="s">
        <v>226</v>
      </c>
      <c r="C138" t="s">
        <v>222</v>
      </c>
      <c r="D138" t="s">
        <v>219</v>
      </c>
      <c r="E138" t="s">
        <v>216</v>
      </c>
      <c r="F138" t="s">
        <v>24</v>
      </c>
      <c r="G138">
        <v>28</v>
      </c>
      <c r="H138">
        <v>2.2499999999999999E-2</v>
      </c>
      <c r="I138" t="s">
        <v>1413</v>
      </c>
      <c r="J138" s="2" t="s">
        <v>2124</v>
      </c>
      <c r="K138">
        <v>1</v>
      </c>
      <c r="L138">
        <v>1</v>
      </c>
      <c r="M138" t="s">
        <v>18</v>
      </c>
      <c r="N138" t="str">
        <f t="shared" si="2"/>
        <v>ICE CREAM AND FROZEN DESERTS (2024)</v>
      </c>
    </row>
    <row r="139" spans="1:14" x14ac:dyDescent="0.45">
      <c r="A139" s="4">
        <v>2026</v>
      </c>
      <c r="B139" t="s">
        <v>227</v>
      </c>
      <c r="C139" t="s">
        <v>222</v>
      </c>
      <c r="D139" t="s">
        <v>219</v>
      </c>
      <c r="E139" t="s">
        <v>216</v>
      </c>
      <c r="F139" t="s">
        <v>24</v>
      </c>
      <c r="G139">
        <v>28</v>
      </c>
      <c r="H139">
        <v>2.2499999999999999E-2</v>
      </c>
      <c r="I139" t="s">
        <v>1413</v>
      </c>
      <c r="J139" s="2" t="s">
        <v>2124</v>
      </c>
      <c r="K139">
        <v>1</v>
      </c>
      <c r="L139">
        <v>1</v>
      </c>
      <c r="M139" t="s">
        <v>18</v>
      </c>
      <c r="N139" t="str">
        <f t="shared" si="2"/>
        <v>FLUID MILK (2026)</v>
      </c>
    </row>
    <row r="140" spans="1:14" x14ac:dyDescent="0.45">
      <c r="A140" s="4">
        <v>2030</v>
      </c>
      <c r="B140" t="s">
        <v>228</v>
      </c>
      <c r="C140" t="s">
        <v>228</v>
      </c>
      <c r="D140" t="s">
        <v>219</v>
      </c>
      <c r="E140" t="s">
        <v>216</v>
      </c>
      <c r="F140" t="s">
        <v>24</v>
      </c>
      <c r="G140">
        <v>28</v>
      </c>
      <c r="H140">
        <v>2.2499999999999999E-2</v>
      </c>
      <c r="I140" t="s">
        <v>1413</v>
      </c>
      <c r="J140" s="2" t="s">
        <v>2124</v>
      </c>
      <c r="K140">
        <v>1</v>
      </c>
      <c r="L140">
        <v>1</v>
      </c>
      <c r="M140" t="s">
        <v>18</v>
      </c>
      <c r="N140" t="str">
        <f t="shared" si="2"/>
        <v>PRESERVED FRUITS AND VEGETABLES (2030)</v>
      </c>
    </row>
    <row r="141" spans="1:14" x14ac:dyDescent="0.45">
      <c r="A141" s="4">
        <v>2032</v>
      </c>
      <c r="B141" t="s">
        <v>229</v>
      </c>
      <c r="C141" t="s">
        <v>228</v>
      </c>
      <c r="D141" t="s">
        <v>219</v>
      </c>
      <c r="E141" t="s">
        <v>216</v>
      </c>
      <c r="F141" t="s">
        <v>24</v>
      </c>
      <c r="G141">
        <v>28</v>
      </c>
      <c r="H141">
        <v>2.2499999999999999E-2</v>
      </c>
      <c r="I141" t="s">
        <v>1413</v>
      </c>
      <c r="J141" s="2" t="s">
        <v>2124</v>
      </c>
      <c r="K141">
        <v>1</v>
      </c>
      <c r="L141">
        <v>1</v>
      </c>
      <c r="M141" t="s">
        <v>18</v>
      </c>
      <c r="N141" t="str">
        <f t="shared" si="2"/>
        <v>CANNED SPECIALTIES (2032)</v>
      </c>
    </row>
    <row r="142" spans="1:14" x14ac:dyDescent="0.45">
      <c r="A142" s="4">
        <v>2033</v>
      </c>
      <c r="B142" t="s">
        <v>230</v>
      </c>
      <c r="C142" t="s">
        <v>228</v>
      </c>
      <c r="D142" t="s">
        <v>219</v>
      </c>
      <c r="E142" t="s">
        <v>216</v>
      </c>
      <c r="F142" t="s">
        <v>24</v>
      </c>
      <c r="G142">
        <v>28</v>
      </c>
      <c r="H142">
        <v>2.2499999999999999E-2</v>
      </c>
      <c r="I142" t="s">
        <v>1413</v>
      </c>
      <c r="J142" s="2" t="s">
        <v>2124</v>
      </c>
      <c r="K142">
        <v>1</v>
      </c>
      <c r="L142">
        <v>1</v>
      </c>
      <c r="M142" t="s">
        <v>18</v>
      </c>
      <c r="N142" t="str">
        <f t="shared" si="2"/>
        <v>CANNED FRUITS AND SPECIALTIES (2033)</v>
      </c>
    </row>
    <row r="143" spans="1:14" x14ac:dyDescent="0.45">
      <c r="A143" s="4">
        <v>2034</v>
      </c>
      <c r="B143" t="s">
        <v>231</v>
      </c>
      <c r="C143" t="s">
        <v>228</v>
      </c>
      <c r="D143" t="s">
        <v>219</v>
      </c>
      <c r="E143" t="s">
        <v>216</v>
      </c>
      <c r="F143" t="s">
        <v>24</v>
      </c>
      <c r="G143">
        <v>28</v>
      </c>
      <c r="H143">
        <v>2.2499999999999999E-2</v>
      </c>
      <c r="I143" t="s">
        <v>1413</v>
      </c>
      <c r="J143" s="2" t="s">
        <v>2124</v>
      </c>
      <c r="K143">
        <v>1</v>
      </c>
      <c r="L143">
        <v>1</v>
      </c>
      <c r="M143" t="s">
        <v>18</v>
      </c>
      <c r="N143" t="str">
        <f t="shared" si="2"/>
        <v>DEHYDRATED FRUITS, VEGETABLES, SOUPS (2034)</v>
      </c>
    </row>
    <row r="144" spans="1:14" x14ac:dyDescent="0.45">
      <c r="A144" s="4">
        <v>2035</v>
      </c>
      <c r="B144" t="s">
        <v>232</v>
      </c>
      <c r="C144" t="s">
        <v>228</v>
      </c>
      <c r="D144" t="s">
        <v>219</v>
      </c>
      <c r="E144" t="s">
        <v>216</v>
      </c>
      <c r="F144" t="s">
        <v>24</v>
      </c>
      <c r="G144">
        <v>28</v>
      </c>
      <c r="H144">
        <v>2.2499999999999999E-2</v>
      </c>
      <c r="I144" t="s">
        <v>1413</v>
      </c>
      <c r="J144" s="2" t="s">
        <v>2124</v>
      </c>
      <c r="K144">
        <v>1</v>
      </c>
      <c r="L144">
        <v>1</v>
      </c>
      <c r="M144" t="s">
        <v>18</v>
      </c>
      <c r="N144" t="str">
        <f t="shared" si="2"/>
        <v>PICKLES, SAUCES, AND SALAD DRESSINGS (2035)</v>
      </c>
    </row>
    <row r="145" spans="1:14" x14ac:dyDescent="0.45">
      <c r="A145" s="4">
        <v>2037</v>
      </c>
      <c r="B145" t="s">
        <v>233</v>
      </c>
      <c r="C145" t="s">
        <v>228</v>
      </c>
      <c r="D145" t="s">
        <v>219</v>
      </c>
      <c r="E145" t="s">
        <v>216</v>
      </c>
      <c r="F145" t="s">
        <v>24</v>
      </c>
      <c r="G145">
        <v>28</v>
      </c>
      <c r="H145">
        <v>2.2499999999999999E-2</v>
      </c>
      <c r="I145" t="s">
        <v>1413</v>
      </c>
      <c r="J145" s="2" t="s">
        <v>2124</v>
      </c>
      <c r="K145">
        <v>1</v>
      </c>
      <c r="L145">
        <v>1</v>
      </c>
      <c r="M145" t="s">
        <v>18</v>
      </c>
      <c r="N145" t="str">
        <f t="shared" si="2"/>
        <v>FROZEN FRUITS AND VEGETABLES (2037)</v>
      </c>
    </row>
    <row r="146" spans="1:14" x14ac:dyDescent="0.45">
      <c r="A146" s="4">
        <v>2038</v>
      </c>
      <c r="B146" t="s">
        <v>234</v>
      </c>
      <c r="C146" t="s">
        <v>228</v>
      </c>
      <c r="D146" t="s">
        <v>219</v>
      </c>
      <c r="E146" t="s">
        <v>216</v>
      </c>
      <c r="F146" t="s">
        <v>24</v>
      </c>
      <c r="G146">
        <v>28</v>
      </c>
      <c r="H146">
        <v>2.2499999999999999E-2</v>
      </c>
      <c r="I146" t="s">
        <v>1413</v>
      </c>
      <c r="J146" s="2" t="s">
        <v>2124</v>
      </c>
      <c r="K146">
        <v>1</v>
      </c>
      <c r="L146">
        <v>1</v>
      </c>
      <c r="M146" t="s">
        <v>18</v>
      </c>
      <c r="N146" t="str">
        <f t="shared" si="2"/>
        <v>FROZEN SPECIALTIES, NEC (2038)</v>
      </c>
    </row>
    <row r="147" spans="1:14" x14ac:dyDescent="0.45">
      <c r="A147" s="4">
        <v>2040</v>
      </c>
      <c r="B147" t="s">
        <v>235</v>
      </c>
      <c r="C147" t="s">
        <v>235</v>
      </c>
      <c r="D147" t="s">
        <v>219</v>
      </c>
      <c r="E147" t="s">
        <v>216</v>
      </c>
      <c r="F147" t="s">
        <v>24</v>
      </c>
      <c r="G147">
        <v>28</v>
      </c>
      <c r="H147">
        <v>2.2499999999999999E-2</v>
      </c>
      <c r="I147" t="s">
        <v>1413</v>
      </c>
      <c r="J147" s="2" t="s">
        <v>2124</v>
      </c>
      <c r="K147">
        <v>1</v>
      </c>
      <c r="L147">
        <v>1</v>
      </c>
      <c r="M147" t="s">
        <v>18</v>
      </c>
      <c r="N147" t="str">
        <f t="shared" si="2"/>
        <v>GRAIN MILL PRODUCTS (2040)</v>
      </c>
    </row>
    <row r="148" spans="1:14" x14ac:dyDescent="0.45">
      <c r="A148" s="4">
        <v>2041</v>
      </c>
      <c r="B148" t="s">
        <v>236</v>
      </c>
      <c r="C148" t="s">
        <v>235</v>
      </c>
      <c r="D148" t="s">
        <v>219</v>
      </c>
      <c r="E148" t="s">
        <v>216</v>
      </c>
      <c r="F148" t="s">
        <v>24</v>
      </c>
      <c r="G148">
        <v>28</v>
      </c>
      <c r="H148">
        <v>2.2499999999999999E-2</v>
      </c>
      <c r="I148" t="s">
        <v>1413</v>
      </c>
      <c r="J148" s="2" t="s">
        <v>2124</v>
      </c>
      <c r="K148">
        <v>1</v>
      </c>
      <c r="L148">
        <v>1</v>
      </c>
      <c r="M148" t="s">
        <v>18</v>
      </c>
      <c r="N148" t="str">
        <f t="shared" si="2"/>
        <v>FLOUR AND OTHER GRAIN MILL PRODUCTS (2041)</v>
      </c>
    </row>
    <row r="149" spans="1:14" x14ac:dyDescent="0.45">
      <c r="A149" s="4">
        <v>2043</v>
      </c>
      <c r="B149" t="s">
        <v>237</v>
      </c>
      <c r="C149" t="s">
        <v>235</v>
      </c>
      <c r="D149" t="s">
        <v>219</v>
      </c>
      <c r="E149" t="s">
        <v>216</v>
      </c>
      <c r="F149" t="s">
        <v>24</v>
      </c>
      <c r="G149">
        <v>28</v>
      </c>
      <c r="H149">
        <v>2.2499999999999999E-2</v>
      </c>
      <c r="I149" t="s">
        <v>1413</v>
      </c>
      <c r="J149" s="2" t="s">
        <v>2124</v>
      </c>
      <c r="K149">
        <v>1</v>
      </c>
      <c r="L149">
        <v>1</v>
      </c>
      <c r="M149" t="s">
        <v>18</v>
      </c>
      <c r="N149" t="str">
        <f t="shared" si="2"/>
        <v>CEREAL BREAKFAST FOODS (2043)</v>
      </c>
    </row>
    <row r="150" spans="1:14" x14ac:dyDescent="0.45">
      <c r="A150" s="4">
        <v>2044</v>
      </c>
      <c r="B150" t="s">
        <v>238</v>
      </c>
      <c r="C150" t="s">
        <v>235</v>
      </c>
      <c r="D150" t="s">
        <v>219</v>
      </c>
      <c r="E150" t="s">
        <v>216</v>
      </c>
      <c r="F150" t="s">
        <v>24</v>
      </c>
      <c r="G150">
        <v>28</v>
      </c>
      <c r="H150">
        <v>2.2499999999999999E-2</v>
      </c>
      <c r="I150" t="s">
        <v>1413</v>
      </c>
      <c r="J150" s="2" t="s">
        <v>2124</v>
      </c>
      <c r="K150">
        <v>1</v>
      </c>
      <c r="L150">
        <v>1</v>
      </c>
      <c r="M150" t="s">
        <v>18</v>
      </c>
      <c r="N150" t="str">
        <f t="shared" si="2"/>
        <v>RICE MILLING (2044)</v>
      </c>
    </row>
    <row r="151" spans="1:14" x14ac:dyDescent="0.45">
      <c r="A151" s="4">
        <v>2045</v>
      </c>
      <c r="B151" t="s">
        <v>239</v>
      </c>
      <c r="C151" t="s">
        <v>235</v>
      </c>
      <c r="D151" t="s">
        <v>219</v>
      </c>
      <c r="E151" t="s">
        <v>216</v>
      </c>
      <c r="F151" t="s">
        <v>24</v>
      </c>
      <c r="G151">
        <v>28</v>
      </c>
      <c r="H151">
        <v>2.2499999999999999E-2</v>
      </c>
      <c r="I151" t="s">
        <v>1413</v>
      </c>
      <c r="J151" s="2" t="s">
        <v>2124</v>
      </c>
      <c r="K151">
        <v>1</v>
      </c>
      <c r="L151">
        <v>1</v>
      </c>
      <c r="M151" t="s">
        <v>18</v>
      </c>
      <c r="N151" t="str">
        <f t="shared" si="2"/>
        <v>PREPARED FLOUR MIXES AND DOUGHS (2045)</v>
      </c>
    </row>
    <row r="152" spans="1:14" x14ac:dyDescent="0.45">
      <c r="A152" s="4">
        <v>2046</v>
      </c>
      <c r="B152" t="s">
        <v>240</v>
      </c>
      <c r="C152" t="s">
        <v>235</v>
      </c>
      <c r="D152" t="s">
        <v>219</v>
      </c>
      <c r="E152" t="s">
        <v>216</v>
      </c>
      <c r="F152" t="s">
        <v>24</v>
      </c>
      <c r="G152">
        <v>28</v>
      </c>
      <c r="H152">
        <v>2.2499999999999999E-2</v>
      </c>
      <c r="I152" t="s">
        <v>1413</v>
      </c>
      <c r="J152" s="2" t="s">
        <v>2124</v>
      </c>
      <c r="K152">
        <v>1</v>
      </c>
      <c r="L152">
        <v>1</v>
      </c>
      <c r="M152" t="s">
        <v>18</v>
      </c>
      <c r="N152" t="str">
        <f t="shared" si="2"/>
        <v>WET CORN MILLING (2046)</v>
      </c>
    </row>
    <row r="153" spans="1:14" x14ac:dyDescent="0.45">
      <c r="A153" s="4">
        <v>2047</v>
      </c>
      <c r="B153" t="s">
        <v>241</v>
      </c>
      <c r="C153" t="s">
        <v>235</v>
      </c>
      <c r="D153" t="s">
        <v>219</v>
      </c>
      <c r="E153" t="s">
        <v>216</v>
      </c>
      <c r="F153" t="s">
        <v>24</v>
      </c>
      <c r="G153">
        <v>28</v>
      </c>
      <c r="H153">
        <v>2.2499999999999999E-2</v>
      </c>
      <c r="I153" t="s">
        <v>1413</v>
      </c>
      <c r="J153" s="2" t="s">
        <v>2124</v>
      </c>
      <c r="K153">
        <v>1</v>
      </c>
      <c r="L153">
        <v>1</v>
      </c>
      <c r="M153" t="s">
        <v>18</v>
      </c>
      <c r="N153" t="str">
        <f t="shared" si="2"/>
        <v>DOG AND CAT FOOD (2047)</v>
      </c>
    </row>
    <row r="154" spans="1:14" x14ac:dyDescent="0.45">
      <c r="A154" s="4">
        <v>2048</v>
      </c>
      <c r="B154" t="s">
        <v>242</v>
      </c>
      <c r="C154" t="s">
        <v>235</v>
      </c>
      <c r="D154" t="s">
        <v>219</v>
      </c>
      <c r="E154" t="s">
        <v>216</v>
      </c>
      <c r="F154" t="s">
        <v>24</v>
      </c>
      <c r="G154">
        <v>28</v>
      </c>
      <c r="H154">
        <v>2.2499999999999999E-2</v>
      </c>
      <c r="I154" t="s">
        <v>1413</v>
      </c>
      <c r="J154" s="2" t="s">
        <v>2124</v>
      </c>
      <c r="K154">
        <v>1</v>
      </c>
      <c r="L154">
        <v>1</v>
      </c>
      <c r="M154" t="s">
        <v>18</v>
      </c>
      <c r="N154" t="str">
        <f t="shared" si="2"/>
        <v>PREPARED FEEDS, NEC (2048)</v>
      </c>
    </row>
    <row r="155" spans="1:14" x14ac:dyDescent="0.45">
      <c r="A155" s="4">
        <v>2050</v>
      </c>
      <c r="B155" t="s">
        <v>243</v>
      </c>
      <c r="C155" t="s">
        <v>243</v>
      </c>
      <c r="D155" t="s">
        <v>219</v>
      </c>
      <c r="E155" t="s">
        <v>216</v>
      </c>
      <c r="F155" t="s">
        <v>24</v>
      </c>
      <c r="G155">
        <v>28</v>
      </c>
      <c r="H155">
        <v>2.2499999999999999E-2</v>
      </c>
      <c r="I155" t="s">
        <v>1413</v>
      </c>
      <c r="J155" s="2" t="s">
        <v>2124</v>
      </c>
      <c r="K155">
        <v>1</v>
      </c>
      <c r="L155">
        <v>1</v>
      </c>
      <c r="M155" t="s">
        <v>18</v>
      </c>
      <c r="N155" t="str">
        <f t="shared" si="2"/>
        <v>BAKERY PRODUCTS (2050)</v>
      </c>
    </row>
    <row r="156" spans="1:14" x14ac:dyDescent="0.45">
      <c r="A156" s="4">
        <v>2051</v>
      </c>
      <c r="B156" t="s">
        <v>244</v>
      </c>
      <c r="C156" t="s">
        <v>243</v>
      </c>
      <c r="D156" t="s">
        <v>219</v>
      </c>
      <c r="E156" t="s">
        <v>216</v>
      </c>
      <c r="F156" t="s">
        <v>24</v>
      </c>
      <c r="G156">
        <v>28</v>
      </c>
      <c r="H156">
        <v>2.2499999999999999E-2</v>
      </c>
      <c r="I156" t="s">
        <v>1413</v>
      </c>
      <c r="J156" s="2" t="s">
        <v>2124</v>
      </c>
      <c r="K156">
        <v>1</v>
      </c>
      <c r="L156">
        <v>1</v>
      </c>
      <c r="M156" t="s">
        <v>18</v>
      </c>
      <c r="N156" t="str">
        <f t="shared" si="2"/>
        <v>BREAD, CAKE, AND RELATED PRODUCTS (2051)</v>
      </c>
    </row>
    <row r="157" spans="1:14" x14ac:dyDescent="0.45">
      <c r="A157" s="4">
        <v>2052</v>
      </c>
      <c r="B157" t="s">
        <v>245</v>
      </c>
      <c r="C157" t="s">
        <v>243</v>
      </c>
      <c r="D157" t="s">
        <v>219</v>
      </c>
      <c r="E157" t="s">
        <v>216</v>
      </c>
      <c r="F157" t="s">
        <v>24</v>
      </c>
      <c r="G157">
        <v>28</v>
      </c>
      <c r="H157">
        <v>2.2499999999999999E-2</v>
      </c>
      <c r="I157" t="s">
        <v>1413</v>
      </c>
      <c r="J157" s="2" t="s">
        <v>2124</v>
      </c>
      <c r="K157">
        <v>1</v>
      </c>
      <c r="L157">
        <v>1</v>
      </c>
      <c r="M157" t="s">
        <v>18</v>
      </c>
      <c r="N157" t="str">
        <f t="shared" si="2"/>
        <v>COOKIES AND CRACKERS (2052)</v>
      </c>
    </row>
    <row r="158" spans="1:14" x14ac:dyDescent="0.45">
      <c r="A158" s="4">
        <v>2053</v>
      </c>
      <c r="B158" t="s">
        <v>246</v>
      </c>
      <c r="C158" t="s">
        <v>243</v>
      </c>
      <c r="D158" t="s">
        <v>219</v>
      </c>
      <c r="E158" t="s">
        <v>216</v>
      </c>
      <c r="F158" t="s">
        <v>24</v>
      </c>
      <c r="G158">
        <v>28</v>
      </c>
      <c r="H158">
        <v>2.2499999999999999E-2</v>
      </c>
      <c r="I158" t="s">
        <v>1413</v>
      </c>
      <c r="J158" s="2" t="s">
        <v>2124</v>
      </c>
      <c r="K158">
        <v>1</v>
      </c>
      <c r="L158">
        <v>1</v>
      </c>
      <c r="M158" t="s">
        <v>18</v>
      </c>
      <c r="N158" t="str">
        <f t="shared" si="2"/>
        <v>FROZEN BAKERY PRODUCTS, EXCEPT BREAD (2053)</v>
      </c>
    </row>
    <row r="159" spans="1:14" x14ac:dyDescent="0.45">
      <c r="A159" s="4">
        <v>2060</v>
      </c>
      <c r="B159" t="s">
        <v>247</v>
      </c>
      <c r="C159" t="s">
        <v>247</v>
      </c>
      <c r="D159" t="s">
        <v>219</v>
      </c>
      <c r="E159" t="s">
        <v>216</v>
      </c>
      <c r="F159" t="s">
        <v>24</v>
      </c>
      <c r="G159">
        <v>28</v>
      </c>
      <c r="H159">
        <v>2.2499999999999999E-2</v>
      </c>
      <c r="I159" t="s">
        <v>1413</v>
      </c>
      <c r="J159" s="2" t="s">
        <v>2124</v>
      </c>
      <c r="K159">
        <v>1</v>
      </c>
      <c r="L159">
        <v>1</v>
      </c>
      <c r="M159" t="s">
        <v>18</v>
      </c>
      <c r="N159" t="str">
        <f t="shared" si="2"/>
        <v>SUGAR AND CONFECTIONERY PRODUCTS (2060)</v>
      </c>
    </row>
    <row r="160" spans="1:14" x14ac:dyDescent="0.45">
      <c r="A160" s="4">
        <v>2061</v>
      </c>
      <c r="B160" t="s">
        <v>248</v>
      </c>
      <c r="C160" t="s">
        <v>247</v>
      </c>
      <c r="D160" t="s">
        <v>219</v>
      </c>
      <c r="E160" t="s">
        <v>216</v>
      </c>
      <c r="F160" t="s">
        <v>24</v>
      </c>
      <c r="G160">
        <v>28</v>
      </c>
      <c r="H160">
        <v>2.2499999999999999E-2</v>
      </c>
      <c r="I160" t="s">
        <v>1413</v>
      </c>
      <c r="J160" s="2" t="s">
        <v>2124</v>
      </c>
      <c r="K160">
        <v>1</v>
      </c>
      <c r="L160">
        <v>1</v>
      </c>
      <c r="M160" t="s">
        <v>18</v>
      </c>
      <c r="N160" t="str">
        <f t="shared" si="2"/>
        <v>RAW CANE SUGAR (2061)</v>
      </c>
    </row>
    <row r="161" spans="1:14" x14ac:dyDescent="0.45">
      <c r="A161" s="4">
        <v>2062</v>
      </c>
      <c r="B161" t="s">
        <v>249</v>
      </c>
      <c r="C161" t="s">
        <v>247</v>
      </c>
      <c r="D161" t="s">
        <v>219</v>
      </c>
      <c r="E161" t="s">
        <v>216</v>
      </c>
      <c r="F161" t="s">
        <v>24</v>
      </c>
      <c r="G161">
        <v>28</v>
      </c>
      <c r="H161">
        <v>2.2499999999999999E-2</v>
      </c>
      <c r="I161" t="s">
        <v>1413</v>
      </c>
      <c r="J161" s="2" t="s">
        <v>2124</v>
      </c>
      <c r="K161">
        <v>1</v>
      </c>
      <c r="L161">
        <v>1</v>
      </c>
      <c r="M161" t="s">
        <v>18</v>
      </c>
      <c r="N161" t="str">
        <f t="shared" si="2"/>
        <v>CANE SUGAR REFINING (2062)</v>
      </c>
    </row>
    <row r="162" spans="1:14" x14ac:dyDescent="0.45">
      <c r="A162" s="4">
        <v>2063</v>
      </c>
      <c r="B162" t="s">
        <v>250</v>
      </c>
      <c r="C162" t="s">
        <v>247</v>
      </c>
      <c r="D162" t="s">
        <v>219</v>
      </c>
      <c r="E162" t="s">
        <v>216</v>
      </c>
      <c r="F162" t="s">
        <v>24</v>
      </c>
      <c r="G162">
        <v>28</v>
      </c>
      <c r="H162">
        <v>2.2499999999999999E-2</v>
      </c>
      <c r="I162" t="s">
        <v>1413</v>
      </c>
      <c r="J162" s="2" t="s">
        <v>2124</v>
      </c>
      <c r="K162">
        <v>1</v>
      </c>
      <c r="L162">
        <v>1</v>
      </c>
      <c r="M162" t="s">
        <v>18</v>
      </c>
      <c r="N162" t="str">
        <f t="shared" si="2"/>
        <v>BEET SUGAR (2063)</v>
      </c>
    </row>
    <row r="163" spans="1:14" x14ac:dyDescent="0.45">
      <c r="A163" s="4">
        <v>2064</v>
      </c>
      <c r="B163" t="s">
        <v>251</v>
      </c>
      <c r="C163" t="s">
        <v>247</v>
      </c>
      <c r="D163" t="s">
        <v>219</v>
      </c>
      <c r="E163" t="s">
        <v>216</v>
      </c>
      <c r="F163" t="s">
        <v>24</v>
      </c>
      <c r="G163">
        <v>28</v>
      </c>
      <c r="H163">
        <v>2.2499999999999999E-2</v>
      </c>
      <c r="I163" t="s">
        <v>1413</v>
      </c>
      <c r="J163" s="2" t="s">
        <v>2124</v>
      </c>
      <c r="K163">
        <v>1</v>
      </c>
      <c r="L163">
        <v>1</v>
      </c>
      <c r="M163" t="s">
        <v>18</v>
      </c>
      <c r="N163" t="str">
        <f t="shared" si="2"/>
        <v>CANDY AND OTHER CONFECTIONERY PRODUCTS (2064)</v>
      </c>
    </row>
    <row r="164" spans="1:14" x14ac:dyDescent="0.45">
      <c r="A164" s="4">
        <v>2066</v>
      </c>
      <c r="B164" t="s">
        <v>252</v>
      </c>
      <c r="C164" t="s">
        <v>247</v>
      </c>
      <c r="D164" t="s">
        <v>219</v>
      </c>
      <c r="E164" t="s">
        <v>216</v>
      </c>
      <c r="F164" t="s">
        <v>24</v>
      </c>
      <c r="G164">
        <v>28</v>
      </c>
      <c r="H164">
        <v>2.2499999999999999E-2</v>
      </c>
      <c r="I164" t="s">
        <v>1413</v>
      </c>
      <c r="J164" s="2" t="s">
        <v>2124</v>
      </c>
      <c r="K164">
        <v>1</v>
      </c>
      <c r="L164">
        <v>1</v>
      </c>
      <c r="M164" t="s">
        <v>18</v>
      </c>
      <c r="N164" t="str">
        <f t="shared" si="2"/>
        <v>CHOCOLATE AND COCOA PRODUCTS (2066)</v>
      </c>
    </row>
    <row r="165" spans="1:14" x14ac:dyDescent="0.45">
      <c r="A165" s="4">
        <v>2067</v>
      </c>
      <c r="B165" t="s">
        <v>253</v>
      </c>
      <c r="C165" t="s">
        <v>247</v>
      </c>
      <c r="D165" t="s">
        <v>219</v>
      </c>
      <c r="E165" t="s">
        <v>216</v>
      </c>
      <c r="F165" t="s">
        <v>24</v>
      </c>
      <c r="G165">
        <v>28</v>
      </c>
      <c r="H165">
        <v>2.2499999999999999E-2</v>
      </c>
      <c r="I165" t="s">
        <v>1413</v>
      </c>
      <c r="J165" s="2" t="s">
        <v>2124</v>
      </c>
      <c r="K165">
        <v>1</v>
      </c>
      <c r="L165">
        <v>1</v>
      </c>
      <c r="M165" t="s">
        <v>18</v>
      </c>
      <c r="N165" t="str">
        <f t="shared" si="2"/>
        <v>CHEWING GUM (2067)</v>
      </c>
    </row>
    <row r="166" spans="1:14" x14ac:dyDescent="0.45">
      <c r="A166" s="4">
        <v>2068</v>
      </c>
      <c r="B166" t="s">
        <v>254</v>
      </c>
      <c r="C166" t="s">
        <v>247</v>
      </c>
      <c r="D166" t="s">
        <v>219</v>
      </c>
      <c r="E166" t="s">
        <v>216</v>
      </c>
      <c r="F166" t="s">
        <v>24</v>
      </c>
      <c r="G166">
        <v>28</v>
      </c>
      <c r="H166">
        <v>2.2499999999999999E-2</v>
      </c>
      <c r="I166" t="s">
        <v>1413</v>
      </c>
      <c r="J166" s="2" t="s">
        <v>2124</v>
      </c>
      <c r="K166">
        <v>1</v>
      </c>
      <c r="L166">
        <v>1</v>
      </c>
      <c r="M166" t="s">
        <v>18</v>
      </c>
      <c r="N166" t="str">
        <f t="shared" si="2"/>
        <v>SALTED AND ROASTED NUTS AND SEEDS (2068)</v>
      </c>
    </row>
    <row r="167" spans="1:14" x14ac:dyDescent="0.45">
      <c r="A167" s="4">
        <v>2070</v>
      </c>
      <c r="B167" t="s">
        <v>255</v>
      </c>
      <c r="C167" t="s">
        <v>255</v>
      </c>
      <c r="D167" t="s">
        <v>219</v>
      </c>
      <c r="E167" t="s">
        <v>216</v>
      </c>
      <c r="F167" t="s">
        <v>24</v>
      </c>
      <c r="G167">
        <v>28</v>
      </c>
      <c r="H167">
        <v>2.2499999999999999E-2</v>
      </c>
      <c r="I167" t="s">
        <v>1413</v>
      </c>
      <c r="J167" s="2" t="s">
        <v>2124</v>
      </c>
      <c r="K167">
        <v>1</v>
      </c>
      <c r="L167">
        <v>1</v>
      </c>
      <c r="M167" t="s">
        <v>18</v>
      </c>
      <c r="N167" t="str">
        <f t="shared" si="2"/>
        <v>FATS AND OILS (2070)</v>
      </c>
    </row>
    <row r="168" spans="1:14" x14ac:dyDescent="0.45">
      <c r="A168" s="4">
        <v>2074</v>
      </c>
      <c r="B168" t="s">
        <v>256</v>
      </c>
      <c r="C168" t="s">
        <v>255</v>
      </c>
      <c r="D168" t="s">
        <v>219</v>
      </c>
      <c r="E168" t="s">
        <v>216</v>
      </c>
      <c r="F168" t="s">
        <v>24</v>
      </c>
      <c r="G168">
        <v>28</v>
      </c>
      <c r="H168">
        <v>2.2499999999999999E-2</v>
      </c>
      <c r="I168" t="s">
        <v>1413</v>
      </c>
      <c r="J168" s="2" t="s">
        <v>2124</v>
      </c>
      <c r="K168">
        <v>1</v>
      </c>
      <c r="L168">
        <v>1</v>
      </c>
      <c r="M168" t="s">
        <v>18</v>
      </c>
      <c r="N168" t="str">
        <f t="shared" si="2"/>
        <v>COTTONSEED OIL MILLS (2074)</v>
      </c>
    </row>
    <row r="169" spans="1:14" x14ac:dyDescent="0.45">
      <c r="A169" s="4">
        <v>2075</v>
      </c>
      <c r="B169" t="s">
        <v>257</v>
      </c>
      <c r="C169" t="s">
        <v>255</v>
      </c>
      <c r="D169" t="s">
        <v>219</v>
      </c>
      <c r="E169" t="s">
        <v>216</v>
      </c>
      <c r="F169" t="s">
        <v>24</v>
      </c>
      <c r="G169">
        <v>28</v>
      </c>
      <c r="H169">
        <v>2.2499999999999999E-2</v>
      </c>
      <c r="I169" t="s">
        <v>1413</v>
      </c>
      <c r="J169" s="2" t="s">
        <v>2124</v>
      </c>
      <c r="K169">
        <v>1</v>
      </c>
      <c r="L169">
        <v>1</v>
      </c>
      <c r="M169" t="s">
        <v>18</v>
      </c>
      <c r="N169" t="str">
        <f t="shared" si="2"/>
        <v>SOYBEAN OIL MILLS (2075)</v>
      </c>
    </row>
    <row r="170" spans="1:14" x14ac:dyDescent="0.45">
      <c r="A170" s="4">
        <v>2076</v>
      </c>
      <c r="B170" t="s">
        <v>258</v>
      </c>
      <c r="C170" t="s">
        <v>255</v>
      </c>
      <c r="D170" t="s">
        <v>219</v>
      </c>
      <c r="E170" t="s">
        <v>216</v>
      </c>
      <c r="F170" t="s">
        <v>24</v>
      </c>
      <c r="G170">
        <v>28</v>
      </c>
      <c r="H170">
        <v>2.2499999999999999E-2</v>
      </c>
      <c r="I170" t="s">
        <v>1413</v>
      </c>
      <c r="J170" s="2" t="s">
        <v>2124</v>
      </c>
      <c r="K170">
        <v>1</v>
      </c>
      <c r="L170">
        <v>1</v>
      </c>
      <c r="M170" t="s">
        <v>18</v>
      </c>
      <c r="N170" t="str">
        <f t="shared" si="2"/>
        <v>VEGETABLE OIL MILLS, NEC (2076)</v>
      </c>
    </row>
    <row r="171" spans="1:14" x14ac:dyDescent="0.45">
      <c r="A171" s="4">
        <v>2077</v>
      </c>
      <c r="B171" t="s">
        <v>259</v>
      </c>
      <c r="C171" t="s">
        <v>255</v>
      </c>
      <c r="D171" t="s">
        <v>219</v>
      </c>
      <c r="E171" t="s">
        <v>216</v>
      </c>
      <c r="F171" t="s">
        <v>24</v>
      </c>
      <c r="G171">
        <v>28</v>
      </c>
      <c r="H171">
        <v>2.2499999999999999E-2</v>
      </c>
      <c r="I171" t="s">
        <v>1413</v>
      </c>
      <c r="J171" s="2" t="s">
        <v>2124</v>
      </c>
      <c r="K171">
        <v>1</v>
      </c>
      <c r="L171">
        <v>1</v>
      </c>
      <c r="M171" t="s">
        <v>18</v>
      </c>
      <c r="N171" t="str">
        <f t="shared" si="2"/>
        <v>ANIMAL AND MARINE FATS AND OILS (2077)</v>
      </c>
    </row>
    <row r="172" spans="1:14" x14ac:dyDescent="0.45">
      <c r="A172" s="4">
        <v>2079</v>
      </c>
      <c r="B172" t="s">
        <v>260</v>
      </c>
      <c r="C172" t="s">
        <v>255</v>
      </c>
      <c r="D172" t="s">
        <v>219</v>
      </c>
      <c r="E172" t="s">
        <v>216</v>
      </c>
      <c r="F172" t="s">
        <v>24</v>
      </c>
      <c r="G172">
        <v>28</v>
      </c>
      <c r="H172">
        <v>2.2499999999999999E-2</v>
      </c>
      <c r="I172" t="s">
        <v>1413</v>
      </c>
      <c r="J172" s="2" t="s">
        <v>2124</v>
      </c>
      <c r="K172">
        <v>1</v>
      </c>
      <c r="L172">
        <v>1</v>
      </c>
      <c r="M172" t="s">
        <v>18</v>
      </c>
      <c r="N172" t="str">
        <f t="shared" si="2"/>
        <v>EDIBLE FATS AND OILS (2079)</v>
      </c>
    </row>
    <row r="173" spans="1:14" x14ac:dyDescent="0.45">
      <c r="A173" s="4">
        <v>2080</v>
      </c>
      <c r="B173" t="s">
        <v>261</v>
      </c>
      <c r="C173" t="s">
        <v>261</v>
      </c>
      <c r="D173" t="s">
        <v>219</v>
      </c>
      <c r="E173" t="s">
        <v>216</v>
      </c>
      <c r="F173" t="s">
        <v>24</v>
      </c>
      <c r="G173">
        <v>28</v>
      </c>
      <c r="H173">
        <v>2.2499999999999999E-2</v>
      </c>
      <c r="I173" t="s">
        <v>1413</v>
      </c>
      <c r="J173" s="2" t="s">
        <v>2124</v>
      </c>
      <c r="K173">
        <v>1</v>
      </c>
      <c r="L173">
        <v>1</v>
      </c>
      <c r="M173" t="s">
        <v>18</v>
      </c>
      <c r="N173" t="str">
        <f t="shared" si="2"/>
        <v>BEVERAGES (2080)</v>
      </c>
    </row>
    <row r="174" spans="1:14" x14ac:dyDescent="0.45">
      <c r="A174" s="4">
        <v>2082</v>
      </c>
      <c r="B174" t="s">
        <v>262</v>
      </c>
      <c r="C174" t="s">
        <v>261</v>
      </c>
      <c r="D174" t="s">
        <v>219</v>
      </c>
      <c r="E174" t="s">
        <v>216</v>
      </c>
      <c r="F174" t="s">
        <v>24</v>
      </c>
      <c r="G174">
        <v>28</v>
      </c>
      <c r="H174">
        <v>2.2499999999999999E-2</v>
      </c>
      <c r="I174" t="s">
        <v>1413</v>
      </c>
      <c r="J174" s="2" t="s">
        <v>2124</v>
      </c>
      <c r="K174">
        <v>1</v>
      </c>
      <c r="L174">
        <v>1</v>
      </c>
      <c r="M174" t="s">
        <v>18</v>
      </c>
      <c r="N174" t="str">
        <f t="shared" si="2"/>
        <v>MALT BEVERAGES (2082)</v>
      </c>
    </row>
    <row r="175" spans="1:14" x14ac:dyDescent="0.45">
      <c r="A175" s="4">
        <v>2083</v>
      </c>
      <c r="B175" t="s">
        <v>263</v>
      </c>
      <c r="C175" t="s">
        <v>261</v>
      </c>
      <c r="D175" t="s">
        <v>219</v>
      </c>
      <c r="E175" t="s">
        <v>216</v>
      </c>
      <c r="F175" t="s">
        <v>24</v>
      </c>
      <c r="G175">
        <v>28</v>
      </c>
      <c r="H175">
        <v>2.2499999999999999E-2</v>
      </c>
      <c r="I175" t="s">
        <v>1413</v>
      </c>
      <c r="J175" s="2" t="s">
        <v>2124</v>
      </c>
      <c r="K175">
        <v>1</v>
      </c>
      <c r="L175">
        <v>1</v>
      </c>
      <c r="M175" t="s">
        <v>18</v>
      </c>
      <c r="N175" t="str">
        <f t="shared" si="2"/>
        <v>MALT (2083)</v>
      </c>
    </row>
    <row r="176" spans="1:14" x14ac:dyDescent="0.45">
      <c r="A176" s="4">
        <v>2084</v>
      </c>
      <c r="B176" t="s">
        <v>264</v>
      </c>
      <c r="C176" t="s">
        <v>261</v>
      </c>
      <c r="D176" t="s">
        <v>219</v>
      </c>
      <c r="E176" t="s">
        <v>216</v>
      </c>
      <c r="F176" t="s">
        <v>24</v>
      </c>
      <c r="G176">
        <v>28</v>
      </c>
      <c r="H176">
        <v>2.2499999999999999E-2</v>
      </c>
      <c r="I176" t="s">
        <v>1413</v>
      </c>
      <c r="J176" s="2" t="s">
        <v>2124</v>
      </c>
      <c r="K176">
        <v>1</v>
      </c>
      <c r="L176">
        <v>1</v>
      </c>
      <c r="M176" t="s">
        <v>18</v>
      </c>
      <c r="N176" t="str">
        <f t="shared" si="2"/>
        <v>WINES, BRANDY, AND BRANDY SPIRITS (2084)</v>
      </c>
    </row>
    <row r="177" spans="1:14" x14ac:dyDescent="0.45">
      <c r="A177" s="4">
        <v>2085</v>
      </c>
      <c r="B177" t="s">
        <v>265</v>
      </c>
      <c r="C177" t="s">
        <v>261</v>
      </c>
      <c r="D177" t="s">
        <v>219</v>
      </c>
      <c r="E177" t="s">
        <v>216</v>
      </c>
      <c r="F177" t="s">
        <v>24</v>
      </c>
      <c r="G177">
        <v>28</v>
      </c>
      <c r="H177">
        <v>2.2499999999999999E-2</v>
      </c>
      <c r="I177" t="s">
        <v>1413</v>
      </c>
      <c r="J177" s="2" t="s">
        <v>2124</v>
      </c>
      <c r="K177">
        <v>1</v>
      </c>
      <c r="L177">
        <v>1</v>
      </c>
      <c r="M177" t="s">
        <v>18</v>
      </c>
      <c r="N177" t="str">
        <f t="shared" si="2"/>
        <v>DISTILLED AND BLENDED LIQUORS (2085)</v>
      </c>
    </row>
    <row r="178" spans="1:14" x14ac:dyDescent="0.45">
      <c r="A178" s="4">
        <v>2086</v>
      </c>
      <c r="B178" t="s">
        <v>266</v>
      </c>
      <c r="C178" t="s">
        <v>261</v>
      </c>
      <c r="D178" t="s">
        <v>219</v>
      </c>
      <c r="E178" t="s">
        <v>216</v>
      </c>
      <c r="F178" t="s">
        <v>24</v>
      </c>
      <c r="G178">
        <v>28</v>
      </c>
      <c r="H178">
        <v>2.2499999999999999E-2</v>
      </c>
      <c r="I178" t="s">
        <v>1413</v>
      </c>
      <c r="J178" s="2" t="s">
        <v>2124</v>
      </c>
      <c r="K178">
        <v>1</v>
      </c>
      <c r="L178">
        <v>1</v>
      </c>
      <c r="M178" t="s">
        <v>18</v>
      </c>
      <c r="N178" t="str">
        <f t="shared" si="2"/>
        <v>BOTTLED AND CANNED SOFT DRINKS (2086)</v>
      </c>
    </row>
    <row r="179" spans="1:14" x14ac:dyDescent="0.45">
      <c r="A179" s="4">
        <v>2087</v>
      </c>
      <c r="B179" t="s">
        <v>267</v>
      </c>
      <c r="C179" t="s">
        <v>261</v>
      </c>
      <c r="D179" t="s">
        <v>219</v>
      </c>
      <c r="E179" t="s">
        <v>216</v>
      </c>
      <c r="F179" t="s">
        <v>24</v>
      </c>
      <c r="G179">
        <v>28</v>
      </c>
      <c r="H179">
        <v>2.2499999999999999E-2</v>
      </c>
      <c r="I179" t="s">
        <v>1413</v>
      </c>
      <c r="J179" s="2" t="s">
        <v>2124</v>
      </c>
      <c r="K179">
        <v>1</v>
      </c>
      <c r="L179">
        <v>1</v>
      </c>
      <c r="M179" t="s">
        <v>18</v>
      </c>
      <c r="N179" t="str">
        <f t="shared" si="2"/>
        <v>FLAVORING EXTRACTS AND SYRUPS, NEC (2087)</v>
      </c>
    </row>
    <row r="180" spans="1:14" x14ac:dyDescent="0.45">
      <c r="A180" s="4">
        <v>2090</v>
      </c>
      <c r="B180" t="s">
        <v>268</v>
      </c>
      <c r="C180" t="s">
        <v>268</v>
      </c>
      <c r="D180" t="s">
        <v>219</v>
      </c>
      <c r="E180" t="s">
        <v>216</v>
      </c>
      <c r="F180" t="s">
        <v>24</v>
      </c>
      <c r="G180">
        <v>28</v>
      </c>
      <c r="H180">
        <v>2.2499999999999999E-2</v>
      </c>
      <c r="I180" t="s">
        <v>1413</v>
      </c>
      <c r="J180" s="2" t="s">
        <v>2124</v>
      </c>
      <c r="K180">
        <v>1</v>
      </c>
      <c r="L180">
        <v>1</v>
      </c>
      <c r="M180" t="s">
        <v>18</v>
      </c>
      <c r="N180" t="str">
        <f t="shared" si="2"/>
        <v>MISCELLANEOUS FOOD AND KINDRED PRODUCTS (2090)</v>
      </c>
    </row>
    <row r="181" spans="1:14" x14ac:dyDescent="0.45">
      <c r="A181" s="4">
        <v>2091</v>
      </c>
      <c r="B181" t="s">
        <v>269</v>
      </c>
      <c r="C181" t="s">
        <v>268</v>
      </c>
      <c r="D181" t="s">
        <v>219</v>
      </c>
      <c r="E181" t="s">
        <v>216</v>
      </c>
      <c r="F181" t="s">
        <v>24</v>
      </c>
      <c r="G181">
        <v>28</v>
      </c>
      <c r="H181">
        <v>2.2499999999999999E-2</v>
      </c>
      <c r="I181" t="s">
        <v>1413</v>
      </c>
      <c r="J181" s="2" t="s">
        <v>2124</v>
      </c>
      <c r="K181">
        <v>1</v>
      </c>
      <c r="L181">
        <v>1</v>
      </c>
      <c r="M181" t="s">
        <v>18</v>
      </c>
      <c r="N181" t="str">
        <f t="shared" si="2"/>
        <v>CANNED AND CURED FISH AND SEAFOODS (2091)</v>
      </c>
    </row>
    <row r="182" spans="1:14" x14ac:dyDescent="0.45">
      <c r="A182" s="4">
        <v>2092</v>
      </c>
      <c r="B182" t="s">
        <v>270</v>
      </c>
      <c r="C182" t="s">
        <v>268</v>
      </c>
      <c r="D182" t="s">
        <v>219</v>
      </c>
      <c r="E182" t="s">
        <v>216</v>
      </c>
      <c r="F182" t="s">
        <v>24</v>
      </c>
      <c r="G182">
        <v>28</v>
      </c>
      <c r="H182">
        <v>2.2499999999999999E-2</v>
      </c>
      <c r="I182" t="s">
        <v>1413</v>
      </c>
      <c r="J182" s="2" t="s">
        <v>2124</v>
      </c>
      <c r="K182">
        <v>1</v>
      </c>
      <c r="L182">
        <v>1</v>
      </c>
      <c r="M182" t="s">
        <v>18</v>
      </c>
      <c r="N182" t="str">
        <f t="shared" si="2"/>
        <v>FRESH OR FROZEN PACKAGED FISH (2092)</v>
      </c>
    </row>
    <row r="183" spans="1:14" x14ac:dyDescent="0.45">
      <c r="A183" s="4">
        <v>2095</v>
      </c>
      <c r="B183" t="s">
        <v>271</v>
      </c>
      <c r="C183" t="s">
        <v>268</v>
      </c>
      <c r="D183" t="s">
        <v>219</v>
      </c>
      <c r="E183" t="s">
        <v>216</v>
      </c>
      <c r="F183" t="s">
        <v>24</v>
      </c>
      <c r="G183">
        <v>28</v>
      </c>
      <c r="H183">
        <v>2.2499999999999999E-2</v>
      </c>
      <c r="I183" t="s">
        <v>1413</v>
      </c>
      <c r="J183" s="2" t="s">
        <v>2124</v>
      </c>
      <c r="K183">
        <v>1</v>
      </c>
      <c r="L183">
        <v>1</v>
      </c>
      <c r="M183" t="s">
        <v>18</v>
      </c>
      <c r="N183" t="str">
        <f t="shared" si="2"/>
        <v>ROASTED COFFEE (2095)</v>
      </c>
    </row>
    <row r="184" spans="1:14" x14ac:dyDescent="0.45">
      <c r="A184" s="4">
        <v>2096</v>
      </c>
      <c r="B184" t="s">
        <v>272</v>
      </c>
      <c r="C184" t="s">
        <v>268</v>
      </c>
      <c r="D184" t="s">
        <v>219</v>
      </c>
      <c r="E184" t="s">
        <v>216</v>
      </c>
      <c r="F184" t="s">
        <v>24</v>
      </c>
      <c r="G184">
        <v>28</v>
      </c>
      <c r="H184">
        <v>2.2499999999999999E-2</v>
      </c>
      <c r="I184" t="s">
        <v>1413</v>
      </c>
      <c r="J184" s="2" t="s">
        <v>2124</v>
      </c>
      <c r="K184">
        <v>1</v>
      </c>
      <c r="L184">
        <v>1</v>
      </c>
      <c r="M184" t="s">
        <v>18</v>
      </c>
      <c r="N184" t="str">
        <f t="shared" si="2"/>
        <v>POTATO CHIPS AND SIMILAR SNACKS (2096)</v>
      </c>
    </row>
    <row r="185" spans="1:14" x14ac:dyDescent="0.45">
      <c r="A185" s="4">
        <v>2097</v>
      </c>
      <c r="B185" t="s">
        <v>273</v>
      </c>
      <c r="C185" t="s">
        <v>268</v>
      </c>
      <c r="D185" t="s">
        <v>219</v>
      </c>
      <c r="E185" t="s">
        <v>216</v>
      </c>
      <c r="F185" t="s">
        <v>24</v>
      </c>
      <c r="G185">
        <v>28</v>
      </c>
      <c r="H185">
        <v>2.2499999999999999E-2</v>
      </c>
      <c r="I185" t="s">
        <v>1413</v>
      </c>
      <c r="J185" s="2" t="s">
        <v>2124</v>
      </c>
      <c r="K185">
        <v>1</v>
      </c>
      <c r="L185">
        <v>1</v>
      </c>
      <c r="M185" t="s">
        <v>18</v>
      </c>
      <c r="N185" t="str">
        <f t="shared" si="2"/>
        <v>MANUFACTURED ICE (2097)</v>
      </c>
    </row>
    <row r="186" spans="1:14" x14ac:dyDescent="0.45">
      <c r="A186" s="4">
        <v>2098</v>
      </c>
      <c r="B186" t="s">
        <v>274</v>
      </c>
      <c r="C186" t="s">
        <v>268</v>
      </c>
      <c r="D186" t="s">
        <v>219</v>
      </c>
      <c r="E186" t="s">
        <v>216</v>
      </c>
      <c r="F186" t="s">
        <v>24</v>
      </c>
      <c r="G186">
        <v>28</v>
      </c>
      <c r="H186">
        <v>2.2499999999999999E-2</v>
      </c>
      <c r="I186" t="s">
        <v>1413</v>
      </c>
      <c r="J186" s="2" t="s">
        <v>2124</v>
      </c>
      <c r="K186">
        <v>1</v>
      </c>
      <c r="L186">
        <v>1</v>
      </c>
      <c r="M186" t="s">
        <v>18</v>
      </c>
      <c r="N186" t="str">
        <f t="shared" si="2"/>
        <v>MACARONI AND SPAGHETTI (2098)</v>
      </c>
    </row>
    <row r="187" spans="1:14" x14ac:dyDescent="0.45">
      <c r="A187" s="4">
        <v>2099</v>
      </c>
      <c r="B187" t="s">
        <v>275</v>
      </c>
      <c r="C187" t="s">
        <v>268</v>
      </c>
      <c r="D187" t="s">
        <v>219</v>
      </c>
      <c r="E187" t="s">
        <v>216</v>
      </c>
      <c r="F187" t="s">
        <v>24</v>
      </c>
      <c r="G187">
        <v>28</v>
      </c>
      <c r="H187">
        <v>2.2499999999999999E-2</v>
      </c>
      <c r="I187" t="s">
        <v>1413</v>
      </c>
      <c r="J187" s="2" t="s">
        <v>2124</v>
      </c>
      <c r="K187">
        <v>1</v>
      </c>
      <c r="L187">
        <v>1</v>
      </c>
      <c r="M187" t="s">
        <v>18</v>
      </c>
      <c r="N187" t="str">
        <f t="shared" si="2"/>
        <v>FOOD PREPARATIONS, NEC (2099)</v>
      </c>
    </row>
    <row r="188" spans="1:14" x14ac:dyDescent="0.45">
      <c r="A188" s="4">
        <v>2100</v>
      </c>
      <c r="B188" t="s">
        <v>276</v>
      </c>
      <c r="C188" t="s">
        <v>276</v>
      </c>
      <c r="D188" t="s">
        <v>276</v>
      </c>
      <c r="E188" t="s">
        <v>216</v>
      </c>
      <c r="F188" t="s">
        <v>24</v>
      </c>
      <c r="G188">
        <v>28</v>
      </c>
      <c r="H188">
        <v>2.2499999999999999E-2</v>
      </c>
      <c r="I188" t="s">
        <v>1413</v>
      </c>
      <c r="J188" s="2" t="s">
        <v>2124</v>
      </c>
      <c r="K188">
        <v>1</v>
      </c>
      <c r="L188">
        <v>1</v>
      </c>
      <c r="M188" t="s">
        <v>18</v>
      </c>
      <c r="N188" t="str">
        <f t="shared" si="2"/>
        <v>TOBACCO PRODUCTS (2100)</v>
      </c>
    </row>
    <row r="189" spans="1:14" x14ac:dyDescent="0.45">
      <c r="A189" s="4">
        <v>2111</v>
      </c>
      <c r="B189" t="s">
        <v>277</v>
      </c>
      <c r="C189" t="s">
        <v>277</v>
      </c>
      <c r="D189" t="s">
        <v>276</v>
      </c>
      <c r="E189" t="s">
        <v>216</v>
      </c>
      <c r="F189" t="s">
        <v>24</v>
      </c>
      <c r="G189">
        <v>28</v>
      </c>
      <c r="H189">
        <v>2.2499999999999999E-2</v>
      </c>
      <c r="I189" t="s">
        <v>1413</v>
      </c>
      <c r="J189" s="2" t="s">
        <v>2124</v>
      </c>
      <c r="K189">
        <v>1</v>
      </c>
      <c r="L189">
        <v>1</v>
      </c>
      <c r="M189" t="s">
        <v>18</v>
      </c>
      <c r="N189" t="str">
        <f t="shared" si="2"/>
        <v>CIGARETTES (2111)</v>
      </c>
    </row>
    <row r="190" spans="1:14" x14ac:dyDescent="0.45">
      <c r="A190" s="4">
        <v>2121</v>
      </c>
      <c r="B190" t="s">
        <v>278</v>
      </c>
      <c r="C190" t="s">
        <v>278</v>
      </c>
      <c r="D190" t="s">
        <v>276</v>
      </c>
      <c r="E190" t="s">
        <v>216</v>
      </c>
      <c r="F190" t="s">
        <v>24</v>
      </c>
      <c r="G190">
        <v>28</v>
      </c>
      <c r="H190">
        <v>2.2499999999999999E-2</v>
      </c>
      <c r="I190" t="s">
        <v>1413</v>
      </c>
      <c r="J190" s="2" t="s">
        <v>2124</v>
      </c>
      <c r="K190">
        <v>1</v>
      </c>
      <c r="L190">
        <v>1</v>
      </c>
      <c r="M190" t="s">
        <v>18</v>
      </c>
      <c r="N190" t="str">
        <f t="shared" si="2"/>
        <v>CIGARS (2121)</v>
      </c>
    </row>
    <row r="191" spans="1:14" x14ac:dyDescent="0.45">
      <c r="A191" s="4">
        <v>2131</v>
      </c>
      <c r="B191" t="s">
        <v>279</v>
      </c>
      <c r="C191" t="s">
        <v>279</v>
      </c>
      <c r="D191" t="s">
        <v>276</v>
      </c>
      <c r="E191" t="s">
        <v>216</v>
      </c>
      <c r="F191" t="s">
        <v>24</v>
      </c>
      <c r="G191">
        <v>28</v>
      </c>
      <c r="H191">
        <v>2.2499999999999999E-2</v>
      </c>
      <c r="I191" t="s">
        <v>1413</v>
      </c>
      <c r="J191" s="2" t="s">
        <v>2124</v>
      </c>
      <c r="K191">
        <v>1</v>
      </c>
      <c r="L191">
        <v>1</v>
      </c>
      <c r="M191" t="s">
        <v>18</v>
      </c>
      <c r="N191" t="str">
        <f t="shared" si="2"/>
        <v>CHEWING AND SMOKING TOBACCO (2131)</v>
      </c>
    </row>
    <row r="192" spans="1:14" x14ac:dyDescent="0.45">
      <c r="A192" s="4">
        <v>2141</v>
      </c>
      <c r="B192" t="s">
        <v>280</v>
      </c>
      <c r="C192" t="s">
        <v>280</v>
      </c>
      <c r="D192" t="s">
        <v>276</v>
      </c>
      <c r="E192" t="s">
        <v>216</v>
      </c>
      <c r="F192" t="s">
        <v>24</v>
      </c>
      <c r="G192">
        <v>28</v>
      </c>
      <c r="H192">
        <v>2.2499999999999999E-2</v>
      </c>
      <c r="I192" t="s">
        <v>1413</v>
      </c>
      <c r="J192" s="2" t="s">
        <v>2124</v>
      </c>
      <c r="K192">
        <v>1</v>
      </c>
      <c r="L192">
        <v>1</v>
      </c>
      <c r="M192" t="s">
        <v>18</v>
      </c>
      <c r="N192" t="str">
        <f t="shared" si="2"/>
        <v>TOBACCO STEMMING AND REDRYING (2141)</v>
      </c>
    </row>
    <row r="193" spans="1:14" x14ac:dyDescent="0.45">
      <c r="A193" s="4">
        <v>2200</v>
      </c>
      <c r="B193" t="s">
        <v>281</v>
      </c>
      <c r="C193" t="s">
        <v>281</v>
      </c>
      <c r="D193" t="s">
        <v>281</v>
      </c>
      <c r="E193" t="s">
        <v>216</v>
      </c>
      <c r="F193" t="s">
        <v>24</v>
      </c>
      <c r="G193">
        <v>28</v>
      </c>
      <c r="H193">
        <v>2.2499999999999999E-2</v>
      </c>
      <c r="I193" t="s">
        <v>1413</v>
      </c>
      <c r="J193" s="2" t="s">
        <v>2124</v>
      </c>
      <c r="K193">
        <v>1</v>
      </c>
      <c r="L193">
        <v>1</v>
      </c>
      <c r="M193" t="s">
        <v>18</v>
      </c>
      <c r="N193" t="str">
        <f t="shared" si="2"/>
        <v>TEXTILE MILL PRODUCTS (2200)</v>
      </c>
    </row>
    <row r="194" spans="1:14" x14ac:dyDescent="0.45">
      <c r="A194" s="4">
        <v>2211</v>
      </c>
      <c r="B194" t="s">
        <v>282</v>
      </c>
      <c r="C194" t="s">
        <v>282</v>
      </c>
      <c r="D194" t="s">
        <v>281</v>
      </c>
      <c r="E194" t="s">
        <v>216</v>
      </c>
      <c r="F194" t="s">
        <v>24</v>
      </c>
      <c r="G194">
        <v>28</v>
      </c>
      <c r="H194">
        <v>2.2499999999999999E-2</v>
      </c>
      <c r="I194" t="s">
        <v>1413</v>
      </c>
      <c r="J194" s="2" t="s">
        <v>2124</v>
      </c>
      <c r="K194">
        <v>1</v>
      </c>
      <c r="L194">
        <v>1</v>
      </c>
      <c r="M194" t="s">
        <v>18</v>
      </c>
      <c r="N194" t="str">
        <f t="shared" si="2"/>
        <v>BROADWOVEN FABRIC MILLS, COTTON (2211)</v>
      </c>
    </row>
    <row r="195" spans="1:14" x14ac:dyDescent="0.45">
      <c r="A195" s="4">
        <v>2221</v>
      </c>
      <c r="B195" t="s">
        <v>283</v>
      </c>
      <c r="C195" t="s">
        <v>283</v>
      </c>
      <c r="D195" t="s">
        <v>281</v>
      </c>
      <c r="E195" t="s">
        <v>216</v>
      </c>
      <c r="F195" t="s">
        <v>24</v>
      </c>
      <c r="G195">
        <v>28</v>
      </c>
      <c r="H195">
        <v>2.2499999999999999E-2</v>
      </c>
      <c r="I195" t="s">
        <v>1413</v>
      </c>
      <c r="J195" s="2" t="s">
        <v>2124</v>
      </c>
      <c r="K195">
        <v>1</v>
      </c>
      <c r="L195">
        <v>1</v>
      </c>
      <c r="M195" t="s">
        <v>18</v>
      </c>
      <c r="N195" t="str">
        <f t="shared" ref="N195:N258" si="3">B195&amp;" ("&amp;A195&amp;")"</f>
        <v>BROADWOVEN FABRIC MILLS, MANMADE (2221)</v>
      </c>
    </row>
    <row r="196" spans="1:14" x14ac:dyDescent="0.45">
      <c r="A196" s="4">
        <v>2231</v>
      </c>
      <c r="B196" t="s">
        <v>284</v>
      </c>
      <c r="C196" t="s">
        <v>284</v>
      </c>
      <c r="D196" t="s">
        <v>281</v>
      </c>
      <c r="E196" t="s">
        <v>216</v>
      </c>
      <c r="F196" t="s">
        <v>24</v>
      </c>
      <c r="G196">
        <v>28</v>
      </c>
      <c r="H196">
        <v>2.2499999999999999E-2</v>
      </c>
      <c r="I196" t="s">
        <v>1413</v>
      </c>
      <c r="J196" s="2" t="s">
        <v>2124</v>
      </c>
      <c r="K196">
        <v>1</v>
      </c>
      <c r="L196">
        <v>1</v>
      </c>
      <c r="M196" t="s">
        <v>18</v>
      </c>
      <c r="N196" t="str">
        <f t="shared" si="3"/>
        <v>BROADWOVEN FABRIC MILLS, WOOL (2231)</v>
      </c>
    </row>
    <row r="197" spans="1:14" x14ac:dyDescent="0.45">
      <c r="A197" s="4">
        <v>2241</v>
      </c>
      <c r="B197" t="s">
        <v>285</v>
      </c>
      <c r="C197" t="s">
        <v>285</v>
      </c>
      <c r="D197" t="s">
        <v>281</v>
      </c>
      <c r="E197" t="s">
        <v>216</v>
      </c>
      <c r="F197" t="s">
        <v>24</v>
      </c>
      <c r="G197">
        <v>28</v>
      </c>
      <c r="H197">
        <v>2.2499999999999999E-2</v>
      </c>
      <c r="I197" t="s">
        <v>1413</v>
      </c>
      <c r="J197" s="2" t="s">
        <v>2124</v>
      </c>
      <c r="K197">
        <v>1</v>
      </c>
      <c r="L197">
        <v>1</v>
      </c>
      <c r="M197" t="s">
        <v>18</v>
      </c>
      <c r="N197" t="str">
        <f t="shared" si="3"/>
        <v>NARROW FABRIC MILLS (2241)</v>
      </c>
    </row>
    <row r="198" spans="1:14" x14ac:dyDescent="0.45">
      <c r="A198" s="4">
        <v>2250</v>
      </c>
      <c r="B198" t="s">
        <v>286</v>
      </c>
      <c r="C198" t="s">
        <v>286</v>
      </c>
      <c r="D198" t="s">
        <v>281</v>
      </c>
      <c r="E198" t="s">
        <v>216</v>
      </c>
      <c r="F198" t="s">
        <v>24</v>
      </c>
      <c r="G198">
        <v>28</v>
      </c>
      <c r="H198">
        <v>2.2499999999999999E-2</v>
      </c>
      <c r="I198" t="s">
        <v>1413</v>
      </c>
      <c r="J198" s="2" t="s">
        <v>2124</v>
      </c>
      <c r="K198">
        <v>1</v>
      </c>
      <c r="L198">
        <v>1</v>
      </c>
      <c r="M198" t="s">
        <v>18</v>
      </c>
      <c r="N198" t="str">
        <f t="shared" si="3"/>
        <v>KNITTING MILLS (2250)</v>
      </c>
    </row>
    <row r="199" spans="1:14" x14ac:dyDescent="0.45">
      <c r="A199" s="4">
        <v>2251</v>
      </c>
      <c r="B199" t="s">
        <v>287</v>
      </c>
      <c r="C199" t="s">
        <v>286</v>
      </c>
      <c r="D199" t="s">
        <v>281</v>
      </c>
      <c r="E199" t="s">
        <v>216</v>
      </c>
      <c r="F199" t="s">
        <v>25</v>
      </c>
      <c r="G199">
        <v>26</v>
      </c>
      <c r="H199">
        <v>2.4300000000000002E-2</v>
      </c>
      <c r="I199" t="s">
        <v>1413</v>
      </c>
      <c r="J199" s="2" t="s">
        <v>2125</v>
      </c>
      <c r="K199">
        <v>1</v>
      </c>
      <c r="L199">
        <v>1</v>
      </c>
      <c r="M199" t="s">
        <v>18</v>
      </c>
      <c r="N199" t="str">
        <f t="shared" si="3"/>
        <v>WOMEN'S HOSIERY, EXCEPT SOCKS (2251)</v>
      </c>
    </row>
    <row r="200" spans="1:14" x14ac:dyDescent="0.45">
      <c r="A200" s="4">
        <v>2252</v>
      </c>
      <c r="B200" t="s">
        <v>288</v>
      </c>
      <c r="C200" t="s">
        <v>286</v>
      </c>
      <c r="D200" t="s">
        <v>281</v>
      </c>
      <c r="E200" t="s">
        <v>216</v>
      </c>
      <c r="F200" t="s">
        <v>25</v>
      </c>
      <c r="G200">
        <v>26</v>
      </c>
      <c r="H200">
        <v>2.4300000000000002E-2</v>
      </c>
      <c r="I200" t="s">
        <v>1413</v>
      </c>
      <c r="J200" s="2" t="s">
        <v>2125</v>
      </c>
      <c r="K200">
        <v>1</v>
      </c>
      <c r="L200">
        <v>1</v>
      </c>
      <c r="M200" t="s">
        <v>18</v>
      </c>
      <c r="N200" t="str">
        <f t="shared" si="3"/>
        <v>HOSIERY, NEC (2252)</v>
      </c>
    </row>
    <row r="201" spans="1:14" x14ac:dyDescent="0.45">
      <c r="A201" s="4">
        <v>2253</v>
      </c>
      <c r="B201" t="s">
        <v>289</v>
      </c>
      <c r="C201" t="s">
        <v>286</v>
      </c>
      <c r="D201" t="s">
        <v>281</v>
      </c>
      <c r="E201" t="s">
        <v>216</v>
      </c>
      <c r="F201" t="s">
        <v>24</v>
      </c>
      <c r="G201">
        <v>28</v>
      </c>
      <c r="H201">
        <v>2.2499999999999999E-2</v>
      </c>
      <c r="I201" t="s">
        <v>1413</v>
      </c>
      <c r="J201" s="2" t="s">
        <v>2124</v>
      </c>
      <c r="K201">
        <v>1</v>
      </c>
      <c r="L201">
        <v>1</v>
      </c>
      <c r="M201" t="s">
        <v>18</v>
      </c>
      <c r="N201" t="str">
        <f t="shared" si="3"/>
        <v>KNIT OUTERWEAR MILLS (2253)</v>
      </c>
    </row>
    <row r="202" spans="1:14" x14ac:dyDescent="0.45">
      <c r="A202" s="4">
        <v>2254</v>
      </c>
      <c r="B202" t="s">
        <v>290</v>
      </c>
      <c r="C202" t="s">
        <v>286</v>
      </c>
      <c r="D202" t="s">
        <v>281</v>
      </c>
      <c r="E202" t="s">
        <v>216</v>
      </c>
      <c r="F202" t="s">
        <v>24</v>
      </c>
      <c r="G202">
        <v>28</v>
      </c>
      <c r="H202">
        <v>2.2499999999999999E-2</v>
      </c>
      <c r="I202" t="s">
        <v>1413</v>
      </c>
      <c r="J202" s="2" t="s">
        <v>2124</v>
      </c>
      <c r="K202">
        <v>1</v>
      </c>
      <c r="L202">
        <v>1</v>
      </c>
      <c r="M202" t="s">
        <v>18</v>
      </c>
      <c r="N202" t="str">
        <f t="shared" si="3"/>
        <v>KNIT UNDERWEAR MILLS (2254)</v>
      </c>
    </row>
    <row r="203" spans="1:14" x14ac:dyDescent="0.45">
      <c r="A203" s="4">
        <v>2257</v>
      </c>
      <c r="B203" t="s">
        <v>291</v>
      </c>
      <c r="C203" t="s">
        <v>286</v>
      </c>
      <c r="D203" t="s">
        <v>281</v>
      </c>
      <c r="E203" t="s">
        <v>216</v>
      </c>
      <c r="F203" t="s">
        <v>24</v>
      </c>
      <c r="G203">
        <v>28</v>
      </c>
      <c r="H203">
        <v>2.2499999999999999E-2</v>
      </c>
      <c r="I203" t="s">
        <v>1413</v>
      </c>
      <c r="J203" s="2" t="s">
        <v>2124</v>
      </c>
      <c r="K203">
        <v>1</v>
      </c>
      <c r="L203">
        <v>1</v>
      </c>
      <c r="M203" t="s">
        <v>18</v>
      </c>
      <c r="N203" t="str">
        <f t="shared" si="3"/>
        <v>WEFT KNIT FABRIC MILLS (2257)</v>
      </c>
    </row>
    <row r="204" spans="1:14" x14ac:dyDescent="0.45">
      <c r="A204" s="4">
        <v>2258</v>
      </c>
      <c r="B204" t="s">
        <v>292</v>
      </c>
      <c r="C204" t="s">
        <v>286</v>
      </c>
      <c r="D204" t="s">
        <v>281</v>
      </c>
      <c r="E204" t="s">
        <v>216</v>
      </c>
      <c r="F204" t="s">
        <v>24</v>
      </c>
      <c r="G204">
        <v>28</v>
      </c>
      <c r="H204">
        <v>2.2499999999999999E-2</v>
      </c>
      <c r="I204" t="s">
        <v>1413</v>
      </c>
      <c r="J204" s="2" t="s">
        <v>2124</v>
      </c>
      <c r="K204">
        <v>1</v>
      </c>
      <c r="L204">
        <v>1</v>
      </c>
      <c r="M204" t="s">
        <v>18</v>
      </c>
      <c r="N204" t="str">
        <f t="shared" si="3"/>
        <v>LACE AND WARP KNIT FABRIC MILLS (2258)</v>
      </c>
    </row>
    <row r="205" spans="1:14" x14ac:dyDescent="0.45">
      <c r="A205" s="4">
        <v>2259</v>
      </c>
      <c r="B205" t="s">
        <v>293</v>
      </c>
      <c r="C205" t="s">
        <v>286</v>
      </c>
      <c r="D205" t="s">
        <v>281</v>
      </c>
      <c r="E205" t="s">
        <v>216</v>
      </c>
      <c r="F205" t="s">
        <v>24</v>
      </c>
      <c r="G205">
        <v>28</v>
      </c>
      <c r="H205">
        <v>2.2499999999999999E-2</v>
      </c>
      <c r="I205" t="s">
        <v>1413</v>
      </c>
      <c r="J205" s="2" t="s">
        <v>2124</v>
      </c>
      <c r="K205">
        <v>1</v>
      </c>
      <c r="L205">
        <v>1</v>
      </c>
      <c r="M205" t="s">
        <v>18</v>
      </c>
      <c r="N205" t="str">
        <f t="shared" si="3"/>
        <v>KNITTING MILLS, NEC (2259)</v>
      </c>
    </row>
    <row r="206" spans="1:14" x14ac:dyDescent="0.45">
      <c r="A206" s="4">
        <v>2261</v>
      </c>
      <c r="B206" t="s">
        <v>294</v>
      </c>
      <c r="C206" t="s">
        <v>295</v>
      </c>
      <c r="D206" t="s">
        <v>281</v>
      </c>
      <c r="E206" t="s">
        <v>216</v>
      </c>
      <c r="F206" t="s">
        <v>24</v>
      </c>
      <c r="G206">
        <v>28</v>
      </c>
      <c r="H206">
        <v>2.2499999999999999E-2</v>
      </c>
      <c r="I206" t="s">
        <v>1413</v>
      </c>
      <c r="J206" s="2" t="s">
        <v>2124</v>
      </c>
      <c r="K206">
        <v>1</v>
      </c>
      <c r="L206">
        <v>1</v>
      </c>
      <c r="M206" t="s">
        <v>18</v>
      </c>
      <c r="N206" t="str">
        <f t="shared" si="3"/>
        <v>FINISHING PLANTS, COTTON (2261)</v>
      </c>
    </row>
    <row r="207" spans="1:14" x14ac:dyDescent="0.45">
      <c r="A207" s="4">
        <v>2262</v>
      </c>
      <c r="B207" t="s">
        <v>296</v>
      </c>
      <c r="C207" t="s">
        <v>295</v>
      </c>
      <c r="D207" t="s">
        <v>281</v>
      </c>
      <c r="E207" t="s">
        <v>216</v>
      </c>
      <c r="F207" t="s">
        <v>24</v>
      </c>
      <c r="G207">
        <v>28</v>
      </c>
      <c r="H207">
        <v>2.2499999999999999E-2</v>
      </c>
      <c r="I207" t="s">
        <v>1413</v>
      </c>
      <c r="J207" s="2" t="s">
        <v>2124</v>
      </c>
      <c r="K207">
        <v>1</v>
      </c>
      <c r="L207">
        <v>1</v>
      </c>
      <c r="M207" t="s">
        <v>18</v>
      </c>
      <c r="N207" t="str">
        <f t="shared" si="3"/>
        <v>FINISHING PLANTS, MANMADE (2262)</v>
      </c>
    </row>
    <row r="208" spans="1:14" x14ac:dyDescent="0.45">
      <c r="A208" s="4">
        <v>2269</v>
      </c>
      <c r="B208" t="s">
        <v>297</v>
      </c>
      <c r="C208" t="s">
        <v>295</v>
      </c>
      <c r="D208" t="s">
        <v>281</v>
      </c>
      <c r="E208" t="s">
        <v>216</v>
      </c>
      <c r="F208" t="s">
        <v>24</v>
      </c>
      <c r="G208">
        <v>28</v>
      </c>
      <c r="H208">
        <v>2.2499999999999999E-2</v>
      </c>
      <c r="I208" t="s">
        <v>1413</v>
      </c>
      <c r="J208" s="2" t="s">
        <v>2124</v>
      </c>
      <c r="K208">
        <v>1</v>
      </c>
      <c r="L208">
        <v>1</v>
      </c>
      <c r="M208" t="s">
        <v>18</v>
      </c>
      <c r="N208" t="str">
        <f t="shared" si="3"/>
        <v>FINISHING PLANTS, NEC (2269)</v>
      </c>
    </row>
    <row r="209" spans="1:14" x14ac:dyDescent="0.45">
      <c r="A209" s="4">
        <v>2273</v>
      </c>
      <c r="B209" t="s">
        <v>298</v>
      </c>
      <c r="C209" t="s">
        <v>298</v>
      </c>
      <c r="D209" t="s">
        <v>281</v>
      </c>
      <c r="E209" t="s">
        <v>216</v>
      </c>
      <c r="F209" t="s">
        <v>24</v>
      </c>
      <c r="G209">
        <v>28</v>
      </c>
      <c r="H209">
        <v>2.2499999999999999E-2</v>
      </c>
      <c r="I209" t="s">
        <v>1413</v>
      </c>
      <c r="J209" s="2" t="s">
        <v>2124</v>
      </c>
      <c r="K209">
        <v>1</v>
      </c>
      <c r="L209">
        <v>1</v>
      </c>
      <c r="M209" t="s">
        <v>18</v>
      </c>
      <c r="N209" t="str">
        <f t="shared" si="3"/>
        <v>CARPETS AND RUGS (2273)</v>
      </c>
    </row>
    <row r="210" spans="1:14" x14ac:dyDescent="0.45">
      <c r="A210" s="4">
        <v>2281</v>
      </c>
      <c r="B210" t="s">
        <v>299</v>
      </c>
      <c r="C210" t="s">
        <v>300</v>
      </c>
      <c r="D210" t="s">
        <v>281</v>
      </c>
      <c r="E210" t="s">
        <v>216</v>
      </c>
      <c r="F210" t="s">
        <v>24</v>
      </c>
      <c r="G210">
        <v>28</v>
      </c>
      <c r="H210">
        <v>2.2499999999999999E-2</v>
      </c>
      <c r="I210" t="s">
        <v>1413</v>
      </c>
      <c r="J210" s="2" t="s">
        <v>2124</v>
      </c>
      <c r="K210">
        <v>1</v>
      </c>
      <c r="L210">
        <v>1</v>
      </c>
      <c r="M210" t="s">
        <v>18</v>
      </c>
      <c r="N210" t="str">
        <f t="shared" si="3"/>
        <v>YARN SPINNING MILLS (2281)</v>
      </c>
    </row>
    <row r="211" spans="1:14" x14ac:dyDescent="0.45">
      <c r="A211" s="4">
        <v>2282</v>
      </c>
      <c r="B211" t="s">
        <v>301</v>
      </c>
      <c r="C211" t="s">
        <v>300</v>
      </c>
      <c r="D211" t="s">
        <v>281</v>
      </c>
      <c r="E211" t="s">
        <v>216</v>
      </c>
      <c r="F211" t="s">
        <v>24</v>
      </c>
      <c r="G211">
        <v>28</v>
      </c>
      <c r="H211">
        <v>2.2499999999999999E-2</v>
      </c>
      <c r="I211" t="s">
        <v>1413</v>
      </c>
      <c r="J211" s="2" t="s">
        <v>2124</v>
      </c>
      <c r="K211">
        <v>1</v>
      </c>
      <c r="L211">
        <v>1</v>
      </c>
      <c r="M211" t="s">
        <v>18</v>
      </c>
      <c r="N211" t="str">
        <f t="shared" si="3"/>
        <v>THROWING AND WINDING MILLS (2282)</v>
      </c>
    </row>
    <row r="212" spans="1:14" x14ac:dyDescent="0.45">
      <c r="A212" s="4">
        <v>2284</v>
      </c>
      <c r="B212" t="s">
        <v>302</v>
      </c>
      <c r="C212" t="s">
        <v>300</v>
      </c>
      <c r="D212" t="s">
        <v>281</v>
      </c>
      <c r="E212" t="s">
        <v>216</v>
      </c>
      <c r="F212" t="s">
        <v>24</v>
      </c>
      <c r="G212">
        <v>28</v>
      </c>
      <c r="H212">
        <v>2.2499999999999999E-2</v>
      </c>
      <c r="I212" t="s">
        <v>1413</v>
      </c>
      <c r="J212" s="2" t="s">
        <v>2124</v>
      </c>
      <c r="K212">
        <v>1</v>
      </c>
      <c r="L212">
        <v>1</v>
      </c>
      <c r="M212" t="s">
        <v>18</v>
      </c>
      <c r="N212" t="str">
        <f t="shared" si="3"/>
        <v>THREAD MILLS (2284)</v>
      </c>
    </row>
    <row r="213" spans="1:14" x14ac:dyDescent="0.45">
      <c r="A213" s="4">
        <v>2295</v>
      </c>
      <c r="B213" t="s">
        <v>303</v>
      </c>
      <c r="C213" t="s">
        <v>304</v>
      </c>
      <c r="D213" t="s">
        <v>281</v>
      </c>
      <c r="E213" t="s">
        <v>216</v>
      </c>
      <c r="F213" t="s">
        <v>24</v>
      </c>
      <c r="G213">
        <v>28</v>
      </c>
      <c r="H213">
        <v>2.2499999999999999E-2</v>
      </c>
      <c r="I213" t="s">
        <v>1413</v>
      </c>
      <c r="J213" s="2" t="s">
        <v>2124</v>
      </c>
      <c r="K213">
        <v>1</v>
      </c>
      <c r="L213">
        <v>1</v>
      </c>
      <c r="M213" t="s">
        <v>18</v>
      </c>
      <c r="N213" t="str">
        <f t="shared" si="3"/>
        <v>COATED FABRICS, NOT RUBBERIZED (2295)</v>
      </c>
    </row>
    <row r="214" spans="1:14" x14ac:dyDescent="0.45">
      <c r="A214" s="4">
        <v>2296</v>
      </c>
      <c r="B214" t="s">
        <v>305</v>
      </c>
      <c r="C214" t="s">
        <v>304</v>
      </c>
      <c r="D214" t="s">
        <v>281</v>
      </c>
      <c r="E214" t="s">
        <v>216</v>
      </c>
      <c r="F214" t="s">
        <v>24</v>
      </c>
      <c r="G214">
        <v>28</v>
      </c>
      <c r="H214">
        <v>2.2499999999999999E-2</v>
      </c>
      <c r="I214" t="s">
        <v>1413</v>
      </c>
      <c r="J214" s="2" t="s">
        <v>2124</v>
      </c>
      <c r="K214">
        <v>1</v>
      </c>
      <c r="L214">
        <v>1</v>
      </c>
      <c r="M214" t="s">
        <v>18</v>
      </c>
      <c r="N214" t="str">
        <f t="shared" si="3"/>
        <v>TIRE CORD AND FABRICS (2296)</v>
      </c>
    </row>
    <row r="215" spans="1:14" x14ac:dyDescent="0.45">
      <c r="A215" s="4">
        <v>2297</v>
      </c>
      <c r="B215" t="s">
        <v>306</v>
      </c>
      <c r="C215" t="s">
        <v>304</v>
      </c>
      <c r="D215" t="s">
        <v>281</v>
      </c>
      <c r="E215" t="s">
        <v>216</v>
      </c>
      <c r="F215" t="s">
        <v>24</v>
      </c>
      <c r="G215">
        <v>28</v>
      </c>
      <c r="H215">
        <v>2.2499999999999999E-2</v>
      </c>
      <c r="I215" t="s">
        <v>1413</v>
      </c>
      <c r="J215" s="2" t="s">
        <v>2124</v>
      </c>
      <c r="K215">
        <v>1</v>
      </c>
      <c r="L215">
        <v>1</v>
      </c>
      <c r="M215" t="s">
        <v>18</v>
      </c>
      <c r="N215" t="str">
        <f t="shared" si="3"/>
        <v>NONWOVEN FABRICS (2297)</v>
      </c>
    </row>
    <row r="216" spans="1:14" x14ac:dyDescent="0.45">
      <c r="A216" s="4">
        <v>2298</v>
      </c>
      <c r="B216" t="s">
        <v>307</v>
      </c>
      <c r="C216" t="s">
        <v>304</v>
      </c>
      <c r="D216" t="s">
        <v>281</v>
      </c>
      <c r="E216" t="s">
        <v>216</v>
      </c>
      <c r="F216" t="s">
        <v>24</v>
      </c>
      <c r="G216">
        <v>28</v>
      </c>
      <c r="H216">
        <v>2.2499999999999999E-2</v>
      </c>
      <c r="I216" t="s">
        <v>1413</v>
      </c>
      <c r="J216" s="2" t="s">
        <v>2124</v>
      </c>
      <c r="K216">
        <v>1</v>
      </c>
      <c r="L216">
        <v>1</v>
      </c>
      <c r="M216" t="s">
        <v>18</v>
      </c>
      <c r="N216" t="str">
        <f t="shared" si="3"/>
        <v>CORDAGE AND TWINE (2298)</v>
      </c>
    </row>
    <row r="217" spans="1:14" x14ac:dyDescent="0.45">
      <c r="A217" s="4">
        <v>2299</v>
      </c>
      <c r="B217" t="s">
        <v>308</v>
      </c>
      <c r="C217" t="s">
        <v>304</v>
      </c>
      <c r="D217" t="s">
        <v>281</v>
      </c>
      <c r="E217" t="s">
        <v>216</v>
      </c>
      <c r="F217" t="s">
        <v>24</v>
      </c>
      <c r="G217">
        <v>28</v>
      </c>
      <c r="H217">
        <v>2.2499999999999999E-2</v>
      </c>
      <c r="I217" t="s">
        <v>1413</v>
      </c>
      <c r="J217" s="2" t="s">
        <v>2124</v>
      </c>
      <c r="K217">
        <v>1</v>
      </c>
      <c r="L217">
        <v>1</v>
      </c>
      <c r="M217" t="s">
        <v>18</v>
      </c>
      <c r="N217" t="str">
        <f t="shared" si="3"/>
        <v>TEXTILE GOODS, NEC (2299)</v>
      </c>
    </row>
    <row r="218" spans="1:14" x14ac:dyDescent="0.45">
      <c r="A218" s="4">
        <v>2300</v>
      </c>
      <c r="B218" t="s">
        <v>309</v>
      </c>
      <c r="C218" t="s">
        <v>309</v>
      </c>
      <c r="D218" t="s">
        <v>309</v>
      </c>
      <c r="E218" t="s">
        <v>216</v>
      </c>
      <c r="F218" t="s">
        <v>25</v>
      </c>
      <c r="G218">
        <v>26</v>
      </c>
      <c r="H218">
        <v>2.4300000000000002E-2</v>
      </c>
      <c r="I218" t="s">
        <v>1413</v>
      </c>
      <c r="J218" s="2" t="s">
        <v>2125</v>
      </c>
      <c r="K218">
        <v>1</v>
      </c>
      <c r="L218">
        <v>1</v>
      </c>
      <c r="M218" t="s">
        <v>18</v>
      </c>
      <c r="N218" t="str">
        <f t="shared" si="3"/>
        <v>APPAREL AND OTHER TEXTILE PRODUCTS (2300)</v>
      </c>
    </row>
    <row r="219" spans="1:14" x14ac:dyDescent="0.45">
      <c r="A219" s="4">
        <v>2311</v>
      </c>
      <c r="B219" t="s">
        <v>310</v>
      </c>
      <c r="C219" t="s">
        <v>311</v>
      </c>
      <c r="D219" t="s">
        <v>309</v>
      </c>
      <c r="E219" t="s">
        <v>216</v>
      </c>
      <c r="F219" t="s">
        <v>25</v>
      </c>
      <c r="G219">
        <v>26</v>
      </c>
      <c r="H219">
        <v>2.4300000000000002E-2</v>
      </c>
      <c r="I219" t="s">
        <v>1413</v>
      </c>
      <c r="J219" s="2" t="s">
        <v>2125</v>
      </c>
      <c r="K219">
        <v>1</v>
      </c>
      <c r="L219">
        <v>1</v>
      </c>
      <c r="M219" t="s">
        <v>18</v>
      </c>
      <c r="N219" t="str">
        <f t="shared" si="3"/>
        <v>MEN'S AND BOY'S SUITS AND COATS (2311)</v>
      </c>
    </row>
    <row r="220" spans="1:14" x14ac:dyDescent="0.45">
      <c r="A220" s="4">
        <v>2320</v>
      </c>
      <c r="B220" t="s">
        <v>312</v>
      </c>
      <c r="C220" t="s">
        <v>312</v>
      </c>
      <c r="D220" t="s">
        <v>309</v>
      </c>
      <c r="E220" t="s">
        <v>216</v>
      </c>
      <c r="F220" t="s">
        <v>25</v>
      </c>
      <c r="G220">
        <v>26</v>
      </c>
      <c r="H220">
        <v>2.4300000000000002E-2</v>
      </c>
      <c r="I220" t="s">
        <v>1413</v>
      </c>
      <c r="J220" s="2" t="s">
        <v>2125</v>
      </c>
      <c r="K220">
        <v>1</v>
      </c>
      <c r="L220">
        <v>1</v>
      </c>
      <c r="M220" t="s">
        <v>18</v>
      </c>
      <c r="N220" t="str">
        <f t="shared" si="3"/>
        <v>MEN'S AND BOYS' FURNISHINGS (2320)</v>
      </c>
    </row>
    <row r="221" spans="1:14" x14ac:dyDescent="0.45">
      <c r="A221" s="4">
        <v>2321</v>
      </c>
      <c r="B221" t="s">
        <v>313</v>
      </c>
      <c r="C221" t="s">
        <v>312</v>
      </c>
      <c r="D221" t="s">
        <v>309</v>
      </c>
      <c r="E221" t="s">
        <v>216</v>
      </c>
      <c r="F221" t="s">
        <v>25</v>
      </c>
      <c r="G221">
        <v>26</v>
      </c>
      <c r="H221">
        <v>2.4300000000000002E-2</v>
      </c>
      <c r="I221" t="s">
        <v>1413</v>
      </c>
      <c r="J221" s="2" t="s">
        <v>2125</v>
      </c>
      <c r="K221">
        <v>1</v>
      </c>
      <c r="L221">
        <v>1</v>
      </c>
      <c r="M221" t="s">
        <v>18</v>
      </c>
      <c r="N221" t="str">
        <f t="shared" si="3"/>
        <v>MEN'S AND BOY'S FURNISHINGS (2321)</v>
      </c>
    </row>
    <row r="222" spans="1:14" x14ac:dyDescent="0.45">
      <c r="A222" s="4">
        <v>2322</v>
      </c>
      <c r="B222" t="s">
        <v>314</v>
      </c>
      <c r="C222" t="s">
        <v>312</v>
      </c>
      <c r="D222" t="s">
        <v>309</v>
      </c>
      <c r="E222" t="s">
        <v>216</v>
      </c>
      <c r="F222" t="s">
        <v>25</v>
      </c>
      <c r="G222">
        <v>26</v>
      </c>
      <c r="H222">
        <v>2.4300000000000002E-2</v>
      </c>
      <c r="I222" t="s">
        <v>1413</v>
      </c>
      <c r="J222" s="2" t="s">
        <v>2125</v>
      </c>
      <c r="K222">
        <v>1</v>
      </c>
      <c r="L222">
        <v>1</v>
      </c>
      <c r="M222" t="s">
        <v>18</v>
      </c>
      <c r="N222" t="str">
        <f t="shared" si="3"/>
        <v>MEN'S AND BOY'S UNDERWEAR AND NIGHTWEAR (2322)</v>
      </c>
    </row>
    <row r="223" spans="1:14" x14ac:dyDescent="0.45">
      <c r="A223" s="4">
        <v>2323</v>
      </c>
      <c r="B223" t="s">
        <v>315</v>
      </c>
      <c r="C223" t="s">
        <v>312</v>
      </c>
      <c r="D223" t="s">
        <v>309</v>
      </c>
      <c r="E223" t="s">
        <v>216</v>
      </c>
      <c r="F223" t="s">
        <v>25</v>
      </c>
      <c r="G223">
        <v>26</v>
      </c>
      <c r="H223">
        <v>2.4300000000000002E-2</v>
      </c>
      <c r="I223" t="s">
        <v>1413</v>
      </c>
      <c r="J223" s="2" t="s">
        <v>2125</v>
      </c>
      <c r="K223">
        <v>1</v>
      </c>
      <c r="L223">
        <v>1</v>
      </c>
      <c r="M223" t="s">
        <v>18</v>
      </c>
      <c r="N223" t="str">
        <f t="shared" si="3"/>
        <v>MEN'S AND BOY'S NECKWEAR (2323)</v>
      </c>
    </row>
    <row r="224" spans="1:14" x14ac:dyDescent="0.45">
      <c r="A224" s="4">
        <v>2325</v>
      </c>
      <c r="B224" t="s">
        <v>316</v>
      </c>
      <c r="C224" t="s">
        <v>312</v>
      </c>
      <c r="D224" t="s">
        <v>309</v>
      </c>
      <c r="E224" t="s">
        <v>216</v>
      </c>
      <c r="F224" t="s">
        <v>25</v>
      </c>
      <c r="G224">
        <v>26</v>
      </c>
      <c r="H224">
        <v>2.4300000000000002E-2</v>
      </c>
      <c r="I224" t="s">
        <v>1413</v>
      </c>
      <c r="J224" s="2" t="s">
        <v>2125</v>
      </c>
      <c r="K224">
        <v>1</v>
      </c>
      <c r="L224">
        <v>1</v>
      </c>
      <c r="M224" t="s">
        <v>18</v>
      </c>
      <c r="N224" t="str">
        <f t="shared" si="3"/>
        <v>MEN'S AND BOY'S TROUSERS AND SLACKS (2325)</v>
      </c>
    </row>
    <row r="225" spans="1:14" x14ac:dyDescent="0.45">
      <c r="A225" s="4">
        <v>2326</v>
      </c>
      <c r="B225" t="s">
        <v>317</v>
      </c>
      <c r="C225" t="s">
        <v>312</v>
      </c>
      <c r="D225" t="s">
        <v>309</v>
      </c>
      <c r="E225" t="s">
        <v>216</v>
      </c>
      <c r="F225" t="s">
        <v>25</v>
      </c>
      <c r="G225">
        <v>26</v>
      </c>
      <c r="H225">
        <v>2.4300000000000002E-2</v>
      </c>
      <c r="I225" t="s">
        <v>1413</v>
      </c>
      <c r="J225" s="2" t="s">
        <v>2125</v>
      </c>
      <c r="K225">
        <v>1</v>
      </c>
      <c r="L225">
        <v>1</v>
      </c>
      <c r="M225" t="s">
        <v>18</v>
      </c>
      <c r="N225" t="str">
        <f t="shared" si="3"/>
        <v>MEN'S AND BOY'S WORK CLOTHING (2326)</v>
      </c>
    </row>
    <row r="226" spans="1:14" x14ac:dyDescent="0.45">
      <c r="A226" s="4">
        <v>2329</v>
      </c>
      <c r="B226" t="s">
        <v>318</v>
      </c>
      <c r="C226" t="s">
        <v>312</v>
      </c>
      <c r="D226" t="s">
        <v>309</v>
      </c>
      <c r="E226" t="s">
        <v>216</v>
      </c>
      <c r="F226" t="s">
        <v>25</v>
      </c>
      <c r="G226">
        <v>26</v>
      </c>
      <c r="H226">
        <v>2.4300000000000002E-2</v>
      </c>
      <c r="I226" t="s">
        <v>1413</v>
      </c>
      <c r="J226" s="2" t="s">
        <v>2125</v>
      </c>
      <c r="K226">
        <v>1</v>
      </c>
      <c r="L226">
        <v>1</v>
      </c>
      <c r="M226" t="s">
        <v>18</v>
      </c>
      <c r="N226" t="str">
        <f t="shared" si="3"/>
        <v>MEN'S AND BOY'S CLOTHING, NEC (2329)</v>
      </c>
    </row>
    <row r="227" spans="1:14" x14ac:dyDescent="0.45">
      <c r="A227" s="4">
        <v>2330</v>
      </c>
      <c r="B227" t="s">
        <v>319</v>
      </c>
      <c r="C227" t="s">
        <v>319</v>
      </c>
      <c r="D227" t="s">
        <v>309</v>
      </c>
      <c r="E227" t="s">
        <v>216</v>
      </c>
      <c r="F227" t="s">
        <v>25</v>
      </c>
      <c r="G227">
        <v>26</v>
      </c>
      <c r="H227">
        <v>2.4300000000000002E-2</v>
      </c>
      <c r="I227" t="s">
        <v>1413</v>
      </c>
      <c r="J227" s="2" t="s">
        <v>2125</v>
      </c>
      <c r="K227">
        <v>1</v>
      </c>
      <c r="L227">
        <v>1</v>
      </c>
      <c r="M227" t="s">
        <v>18</v>
      </c>
      <c r="N227" t="str">
        <f t="shared" si="3"/>
        <v>WOMEN'S &amp; MISSES' OUTERWEAR (2330)</v>
      </c>
    </row>
    <row r="228" spans="1:14" x14ac:dyDescent="0.45">
      <c r="A228" s="4">
        <v>2331</v>
      </c>
      <c r="B228" t="s">
        <v>320</v>
      </c>
      <c r="C228" t="s">
        <v>319</v>
      </c>
      <c r="D228" t="s">
        <v>309</v>
      </c>
      <c r="E228" t="s">
        <v>216</v>
      </c>
      <c r="F228" t="s">
        <v>25</v>
      </c>
      <c r="G228">
        <v>26</v>
      </c>
      <c r="H228">
        <v>2.4300000000000002E-2</v>
      </c>
      <c r="I228" t="s">
        <v>1413</v>
      </c>
      <c r="J228" s="2" t="s">
        <v>2125</v>
      </c>
      <c r="K228">
        <v>1</v>
      </c>
      <c r="L228">
        <v>1</v>
      </c>
      <c r="M228" t="s">
        <v>18</v>
      </c>
      <c r="N228" t="str">
        <f t="shared" si="3"/>
        <v>WOMEN'S AND MISSES' BLOUSES AND SHIRTS (2331)</v>
      </c>
    </row>
    <row r="229" spans="1:14" x14ac:dyDescent="0.45">
      <c r="A229" s="4">
        <v>2335</v>
      </c>
      <c r="B229" t="s">
        <v>321</v>
      </c>
      <c r="C229" t="s">
        <v>319</v>
      </c>
      <c r="D229" t="s">
        <v>309</v>
      </c>
      <c r="E229" t="s">
        <v>216</v>
      </c>
      <c r="F229" t="s">
        <v>25</v>
      </c>
      <c r="G229">
        <v>26</v>
      </c>
      <c r="H229">
        <v>2.4300000000000002E-2</v>
      </c>
      <c r="I229" t="s">
        <v>1413</v>
      </c>
      <c r="J229" s="2" t="s">
        <v>2125</v>
      </c>
      <c r="K229">
        <v>1</v>
      </c>
      <c r="L229">
        <v>1</v>
      </c>
      <c r="M229" t="s">
        <v>18</v>
      </c>
      <c r="N229" t="str">
        <f t="shared" si="3"/>
        <v>WOMEN'S, JUNIOR'S, AND MISSES' DRESSES (2335)</v>
      </c>
    </row>
    <row r="230" spans="1:14" x14ac:dyDescent="0.45">
      <c r="A230" s="4">
        <v>2337</v>
      </c>
      <c r="B230" t="s">
        <v>322</v>
      </c>
      <c r="C230" t="s">
        <v>319</v>
      </c>
      <c r="D230" t="s">
        <v>309</v>
      </c>
      <c r="E230" t="s">
        <v>216</v>
      </c>
      <c r="F230" t="s">
        <v>25</v>
      </c>
      <c r="G230">
        <v>26</v>
      </c>
      <c r="H230">
        <v>2.4300000000000002E-2</v>
      </c>
      <c r="I230" t="s">
        <v>1413</v>
      </c>
      <c r="J230" s="2" t="s">
        <v>2125</v>
      </c>
      <c r="K230">
        <v>1</v>
      </c>
      <c r="L230">
        <v>1</v>
      </c>
      <c r="M230" t="s">
        <v>18</v>
      </c>
      <c r="N230" t="str">
        <f t="shared" si="3"/>
        <v>WOMEN'S AND MISSES' SUITS AND COATS (2337)</v>
      </c>
    </row>
    <row r="231" spans="1:14" x14ac:dyDescent="0.45">
      <c r="A231" s="4">
        <v>2339</v>
      </c>
      <c r="B231" t="s">
        <v>323</v>
      </c>
      <c r="C231" t="s">
        <v>319</v>
      </c>
      <c r="D231" t="s">
        <v>309</v>
      </c>
      <c r="E231" t="s">
        <v>216</v>
      </c>
      <c r="F231" t="s">
        <v>25</v>
      </c>
      <c r="G231">
        <v>26</v>
      </c>
      <c r="H231">
        <v>2.4300000000000002E-2</v>
      </c>
      <c r="I231" t="s">
        <v>1413</v>
      </c>
      <c r="J231" s="2" t="s">
        <v>2125</v>
      </c>
      <c r="K231">
        <v>1</v>
      </c>
      <c r="L231">
        <v>1</v>
      </c>
      <c r="M231" t="s">
        <v>18</v>
      </c>
      <c r="N231" t="str">
        <f t="shared" si="3"/>
        <v>WOMEN'S AND MISSES' OUTERWEAR, NEC (2339)</v>
      </c>
    </row>
    <row r="232" spans="1:14" x14ac:dyDescent="0.45">
      <c r="A232" s="4">
        <v>2340</v>
      </c>
      <c r="B232" t="s">
        <v>324</v>
      </c>
      <c r="C232" t="s">
        <v>324</v>
      </c>
      <c r="D232" t="s">
        <v>309</v>
      </c>
      <c r="E232" t="s">
        <v>216</v>
      </c>
      <c r="F232" t="s">
        <v>25</v>
      </c>
      <c r="G232">
        <v>26</v>
      </c>
      <c r="H232">
        <v>2.4300000000000002E-2</v>
      </c>
      <c r="I232" t="s">
        <v>1413</v>
      </c>
      <c r="J232" s="2" t="s">
        <v>2125</v>
      </c>
      <c r="K232">
        <v>1</v>
      </c>
      <c r="L232">
        <v>1</v>
      </c>
      <c r="M232" t="s">
        <v>18</v>
      </c>
      <c r="N232" t="str">
        <f t="shared" si="3"/>
        <v>WOMEN'S AND CHILDREN'S UNDERGARMENTS (2340)</v>
      </c>
    </row>
    <row r="233" spans="1:14" x14ac:dyDescent="0.45">
      <c r="A233" s="4">
        <v>2341</v>
      </c>
      <c r="B233" t="s">
        <v>325</v>
      </c>
      <c r="C233" t="s">
        <v>324</v>
      </c>
      <c r="D233" t="s">
        <v>309</v>
      </c>
      <c r="E233" t="s">
        <v>216</v>
      </c>
      <c r="F233" t="s">
        <v>25</v>
      </c>
      <c r="G233">
        <v>26</v>
      </c>
      <c r="H233">
        <v>2.4300000000000002E-2</v>
      </c>
      <c r="I233" t="s">
        <v>1413</v>
      </c>
      <c r="J233" s="2" t="s">
        <v>2125</v>
      </c>
      <c r="K233">
        <v>1</v>
      </c>
      <c r="L233">
        <v>1</v>
      </c>
      <c r="M233" t="s">
        <v>18</v>
      </c>
      <c r="N233" t="str">
        <f t="shared" si="3"/>
        <v>WOMEN'S AND CHILDREN'S UNDERWEAR (2341)</v>
      </c>
    </row>
    <row r="234" spans="1:14" x14ac:dyDescent="0.45">
      <c r="A234" s="4">
        <v>2342</v>
      </c>
      <c r="B234" t="s">
        <v>326</v>
      </c>
      <c r="C234" t="s">
        <v>324</v>
      </c>
      <c r="D234" t="s">
        <v>309</v>
      </c>
      <c r="E234" t="s">
        <v>216</v>
      </c>
      <c r="F234" t="s">
        <v>25</v>
      </c>
      <c r="G234">
        <v>26</v>
      </c>
      <c r="H234">
        <v>2.4300000000000002E-2</v>
      </c>
      <c r="I234" t="s">
        <v>1413</v>
      </c>
      <c r="J234" s="2" t="s">
        <v>2125</v>
      </c>
      <c r="K234">
        <v>1</v>
      </c>
      <c r="L234">
        <v>1</v>
      </c>
      <c r="M234" t="s">
        <v>18</v>
      </c>
      <c r="N234" t="str">
        <f t="shared" si="3"/>
        <v>BRAS, GIRDLES, AND ALLIED GARMENTS (2342)</v>
      </c>
    </row>
    <row r="235" spans="1:14" x14ac:dyDescent="0.45">
      <c r="A235" s="4">
        <v>2353</v>
      </c>
      <c r="B235" t="s">
        <v>327</v>
      </c>
      <c r="C235" t="s">
        <v>327</v>
      </c>
      <c r="D235" t="s">
        <v>309</v>
      </c>
      <c r="E235" t="s">
        <v>216</v>
      </c>
      <c r="F235" t="s">
        <v>25</v>
      </c>
      <c r="G235">
        <v>26</v>
      </c>
      <c r="H235">
        <v>2.4300000000000002E-2</v>
      </c>
      <c r="I235" t="s">
        <v>1413</v>
      </c>
      <c r="J235" s="2" t="s">
        <v>2125</v>
      </c>
      <c r="K235">
        <v>1</v>
      </c>
      <c r="L235">
        <v>1</v>
      </c>
      <c r="M235" t="s">
        <v>18</v>
      </c>
      <c r="N235" t="str">
        <f t="shared" si="3"/>
        <v>HATS, CAPS, AND MILLINERY (2353)</v>
      </c>
    </row>
    <row r="236" spans="1:14" x14ac:dyDescent="0.45">
      <c r="A236" s="4">
        <v>2361</v>
      </c>
      <c r="B236" t="s">
        <v>328</v>
      </c>
      <c r="C236" t="s">
        <v>329</v>
      </c>
      <c r="D236" t="s">
        <v>309</v>
      </c>
      <c r="E236" t="s">
        <v>216</v>
      </c>
      <c r="F236" t="s">
        <v>25</v>
      </c>
      <c r="G236">
        <v>26</v>
      </c>
      <c r="H236">
        <v>2.4300000000000002E-2</v>
      </c>
      <c r="I236" t="s">
        <v>1413</v>
      </c>
      <c r="J236" s="2" t="s">
        <v>2125</v>
      </c>
      <c r="K236">
        <v>1</v>
      </c>
      <c r="L236">
        <v>1</v>
      </c>
      <c r="M236" t="s">
        <v>18</v>
      </c>
      <c r="N236" t="str">
        <f t="shared" si="3"/>
        <v>GIRL'S AND CHILDREN'S DRESSES, BLOUSES (2361)</v>
      </c>
    </row>
    <row r="237" spans="1:14" x14ac:dyDescent="0.45">
      <c r="A237" s="4">
        <v>2369</v>
      </c>
      <c r="B237" t="s">
        <v>330</v>
      </c>
      <c r="C237" t="s">
        <v>329</v>
      </c>
      <c r="D237" t="s">
        <v>309</v>
      </c>
      <c r="E237" t="s">
        <v>216</v>
      </c>
      <c r="F237" t="s">
        <v>25</v>
      </c>
      <c r="G237">
        <v>26</v>
      </c>
      <c r="H237">
        <v>2.4300000000000002E-2</v>
      </c>
      <c r="I237" t="s">
        <v>1413</v>
      </c>
      <c r="J237" s="2" t="s">
        <v>2125</v>
      </c>
      <c r="K237">
        <v>1</v>
      </c>
      <c r="L237">
        <v>1</v>
      </c>
      <c r="M237" t="s">
        <v>18</v>
      </c>
      <c r="N237" t="str">
        <f t="shared" si="3"/>
        <v>GIRL'S AND CHILDREN'S OUTERWEAR, NEC (2369)</v>
      </c>
    </row>
    <row r="238" spans="1:14" x14ac:dyDescent="0.45">
      <c r="A238" s="4">
        <v>2371</v>
      </c>
      <c r="B238" t="s">
        <v>331</v>
      </c>
      <c r="C238" t="s">
        <v>331</v>
      </c>
      <c r="D238" t="s">
        <v>309</v>
      </c>
      <c r="E238" t="s">
        <v>216</v>
      </c>
      <c r="F238" t="s">
        <v>25</v>
      </c>
      <c r="G238">
        <v>26</v>
      </c>
      <c r="H238">
        <v>2.4300000000000002E-2</v>
      </c>
      <c r="I238" t="s">
        <v>1413</v>
      </c>
      <c r="J238" s="2" t="s">
        <v>2125</v>
      </c>
      <c r="K238">
        <v>1</v>
      </c>
      <c r="L238">
        <v>1</v>
      </c>
      <c r="M238" t="s">
        <v>18</v>
      </c>
      <c r="N238" t="str">
        <f t="shared" si="3"/>
        <v>FUR GOODS (2371)</v>
      </c>
    </row>
    <row r="239" spans="1:14" x14ac:dyDescent="0.45">
      <c r="A239" s="4">
        <v>2381</v>
      </c>
      <c r="B239" t="s">
        <v>332</v>
      </c>
      <c r="C239" t="s">
        <v>333</v>
      </c>
      <c r="D239" t="s">
        <v>309</v>
      </c>
      <c r="E239" t="s">
        <v>216</v>
      </c>
      <c r="F239" t="s">
        <v>25</v>
      </c>
      <c r="G239">
        <v>26</v>
      </c>
      <c r="H239">
        <v>2.4300000000000002E-2</v>
      </c>
      <c r="I239" t="s">
        <v>1413</v>
      </c>
      <c r="J239" s="2" t="s">
        <v>2125</v>
      </c>
      <c r="K239">
        <v>1</v>
      </c>
      <c r="L239">
        <v>1</v>
      </c>
      <c r="M239" t="s">
        <v>18</v>
      </c>
      <c r="N239" t="str">
        <f t="shared" si="3"/>
        <v>FABRIC DRESS AND WORK GLOVES (2381)</v>
      </c>
    </row>
    <row r="240" spans="1:14" x14ac:dyDescent="0.45">
      <c r="A240" s="4">
        <v>2384</v>
      </c>
      <c r="B240" t="s">
        <v>334</v>
      </c>
      <c r="C240" t="s">
        <v>333</v>
      </c>
      <c r="D240" t="s">
        <v>309</v>
      </c>
      <c r="E240" t="s">
        <v>216</v>
      </c>
      <c r="F240" t="s">
        <v>25</v>
      </c>
      <c r="G240">
        <v>26</v>
      </c>
      <c r="H240">
        <v>2.4300000000000002E-2</v>
      </c>
      <c r="I240" t="s">
        <v>1413</v>
      </c>
      <c r="J240" s="2" t="s">
        <v>2125</v>
      </c>
      <c r="K240">
        <v>1</v>
      </c>
      <c r="L240">
        <v>1</v>
      </c>
      <c r="M240" t="s">
        <v>18</v>
      </c>
      <c r="N240" t="str">
        <f t="shared" si="3"/>
        <v>ROBES AND DRESSING GOWNS (2384)</v>
      </c>
    </row>
    <row r="241" spans="1:14" x14ac:dyDescent="0.45">
      <c r="A241" s="4">
        <v>2385</v>
      </c>
      <c r="B241" t="s">
        <v>335</v>
      </c>
      <c r="C241" t="s">
        <v>333</v>
      </c>
      <c r="D241" t="s">
        <v>309</v>
      </c>
      <c r="E241" t="s">
        <v>216</v>
      </c>
      <c r="F241" t="s">
        <v>25</v>
      </c>
      <c r="G241">
        <v>26</v>
      </c>
      <c r="H241">
        <v>2.4300000000000002E-2</v>
      </c>
      <c r="I241" t="s">
        <v>1413</v>
      </c>
      <c r="J241" s="2" t="s">
        <v>2125</v>
      </c>
      <c r="K241">
        <v>1</v>
      </c>
      <c r="L241">
        <v>1</v>
      </c>
      <c r="M241" t="s">
        <v>18</v>
      </c>
      <c r="N241" t="str">
        <f t="shared" si="3"/>
        <v>WATERPROOF OUTERWEAR (2385)</v>
      </c>
    </row>
    <row r="242" spans="1:14" x14ac:dyDescent="0.45">
      <c r="A242" s="4">
        <v>2386</v>
      </c>
      <c r="B242" t="s">
        <v>336</v>
      </c>
      <c r="C242" t="s">
        <v>333</v>
      </c>
      <c r="D242" t="s">
        <v>309</v>
      </c>
      <c r="E242" t="s">
        <v>216</v>
      </c>
      <c r="F242" t="s">
        <v>25</v>
      </c>
      <c r="G242">
        <v>26</v>
      </c>
      <c r="H242">
        <v>2.4300000000000002E-2</v>
      </c>
      <c r="I242" t="s">
        <v>1413</v>
      </c>
      <c r="J242" s="2" t="s">
        <v>2125</v>
      </c>
      <c r="K242">
        <v>1</v>
      </c>
      <c r="L242">
        <v>1</v>
      </c>
      <c r="M242" t="s">
        <v>18</v>
      </c>
      <c r="N242" t="str">
        <f t="shared" si="3"/>
        <v>LEATHER AND SHEEP-LINED CLOTHING (2386)</v>
      </c>
    </row>
    <row r="243" spans="1:14" x14ac:dyDescent="0.45">
      <c r="A243" s="4">
        <v>2387</v>
      </c>
      <c r="B243" t="s">
        <v>337</v>
      </c>
      <c r="C243" t="s">
        <v>333</v>
      </c>
      <c r="D243" t="s">
        <v>309</v>
      </c>
      <c r="E243" t="s">
        <v>216</v>
      </c>
      <c r="F243" t="s">
        <v>25</v>
      </c>
      <c r="G243">
        <v>26</v>
      </c>
      <c r="H243">
        <v>2.4300000000000002E-2</v>
      </c>
      <c r="I243" t="s">
        <v>1413</v>
      </c>
      <c r="J243" s="2" t="s">
        <v>2125</v>
      </c>
      <c r="K243">
        <v>1</v>
      </c>
      <c r="L243">
        <v>1</v>
      </c>
      <c r="M243" t="s">
        <v>18</v>
      </c>
      <c r="N243" t="str">
        <f t="shared" si="3"/>
        <v>APPAREL BELTS (2387)</v>
      </c>
    </row>
    <row r="244" spans="1:14" x14ac:dyDescent="0.45">
      <c r="A244" s="4">
        <v>2389</v>
      </c>
      <c r="B244" t="s">
        <v>338</v>
      </c>
      <c r="C244" t="s">
        <v>333</v>
      </c>
      <c r="D244" t="s">
        <v>309</v>
      </c>
      <c r="E244" t="s">
        <v>216</v>
      </c>
      <c r="F244" t="s">
        <v>25</v>
      </c>
      <c r="G244">
        <v>26</v>
      </c>
      <c r="H244">
        <v>2.4300000000000002E-2</v>
      </c>
      <c r="I244" t="s">
        <v>1413</v>
      </c>
      <c r="J244" s="2" t="s">
        <v>2125</v>
      </c>
      <c r="K244">
        <v>1</v>
      </c>
      <c r="L244">
        <v>1</v>
      </c>
      <c r="M244" t="s">
        <v>18</v>
      </c>
      <c r="N244" t="str">
        <f t="shared" si="3"/>
        <v>APPAREL AND ACCESSORIES, NEC (2389)</v>
      </c>
    </row>
    <row r="245" spans="1:14" x14ac:dyDescent="0.45">
      <c r="A245" s="4">
        <v>2390</v>
      </c>
      <c r="B245" t="s">
        <v>339</v>
      </c>
      <c r="C245" t="s">
        <v>339</v>
      </c>
      <c r="D245" t="s">
        <v>309</v>
      </c>
      <c r="E245" t="s">
        <v>216</v>
      </c>
      <c r="F245" t="s">
        <v>25</v>
      </c>
      <c r="G245">
        <v>26</v>
      </c>
      <c r="H245">
        <v>2.4300000000000002E-2</v>
      </c>
      <c r="I245" t="s">
        <v>1413</v>
      </c>
      <c r="J245" s="2" t="s">
        <v>2125</v>
      </c>
      <c r="K245">
        <v>1</v>
      </c>
      <c r="L245">
        <v>1</v>
      </c>
      <c r="M245" t="s">
        <v>18</v>
      </c>
      <c r="N245" t="str">
        <f t="shared" si="3"/>
        <v>MISCELLANEOUS FABRICATED TEXTILE PRODUCT (2390)</v>
      </c>
    </row>
    <row r="246" spans="1:14" x14ac:dyDescent="0.45">
      <c r="A246" s="4">
        <v>2391</v>
      </c>
      <c r="B246" t="s">
        <v>340</v>
      </c>
      <c r="C246" t="s">
        <v>339</v>
      </c>
      <c r="D246" t="s">
        <v>309</v>
      </c>
      <c r="E246" t="s">
        <v>216</v>
      </c>
      <c r="F246" t="s">
        <v>25</v>
      </c>
      <c r="G246">
        <v>26</v>
      </c>
      <c r="H246">
        <v>2.4300000000000002E-2</v>
      </c>
      <c r="I246" t="s">
        <v>1413</v>
      </c>
      <c r="J246" s="2" t="s">
        <v>2125</v>
      </c>
      <c r="K246">
        <v>1</v>
      </c>
      <c r="L246">
        <v>1</v>
      </c>
      <c r="M246" t="s">
        <v>18</v>
      </c>
      <c r="N246" t="str">
        <f t="shared" si="3"/>
        <v>CURTAINS AND DRAPERIES (2391)</v>
      </c>
    </row>
    <row r="247" spans="1:14" x14ac:dyDescent="0.45">
      <c r="A247" s="4">
        <v>2392</v>
      </c>
      <c r="B247" t="s">
        <v>341</v>
      </c>
      <c r="C247" t="s">
        <v>339</v>
      </c>
      <c r="D247" t="s">
        <v>309</v>
      </c>
      <c r="E247" t="s">
        <v>216</v>
      </c>
      <c r="F247" t="s">
        <v>25</v>
      </c>
      <c r="G247">
        <v>26</v>
      </c>
      <c r="H247">
        <v>2.4300000000000002E-2</v>
      </c>
      <c r="I247" t="s">
        <v>1413</v>
      </c>
      <c r="J247" s="2" t="s">
        <v>2125</v>
      </c>
      <c r="K247">
        <v>1</v>
      </c>
      <c r="L247">
        <v>1</v>
      </c>
      <c r="M247" t="s">
        <v>18</v>
      </c>
      <c r="N247" t="str">
        <f t="shared" si="3"/>
        <v>HOUSEHOLD FURNISHINGS, NEC (2392)</v>
      </c>
    </row>
    <row r="248" spans="1:14" x14ac:dyDescent="0.45">
      <c r="A248" s="4">
        <v>2393</v>
      </c>
      <c r="B248" t="s">
        <v>342</v>
      </c>
      <c r="C248" t="s">
        <v>339</v>
      </c>
      <c r="D248" t="s">
        <v>309</v>
      </c>
      <c r="E248" t="s">
        <v>216</v>
      </c>
      <c r="F248" t="s">
        <v>25</v>
      </c>
      <c r="G248">
        <v>26</v>
      </c>
      <c r="H248">
        <v>2.4300000000000002E-2</v>
      </c>
      <c r="I248" t="s">
        <v>1413</v>
      </c>
      <c r="J248" s="2" t="s">
        <v>2125</v>
      </c>
      <c r="K248">
        <v>1</v>
      </c>
      <c r="L248">
        <v>1</v>
      </c>
      <c r="M248" t="s">
        <v>18</v>
      </c>
      <c r="N248" t="str">
        <f t="shared" si="3"/>
        <v>TEXTILE BAGS (2393)</v>
      </c>
    </row>
    <row r="249" spans="1:14" x14ac:dyDescent="0.45">
      <c r="A249" s="4">
        <v>2394</v>
      </c>
      <c r="B249" t="s">
        <v>343</v>
      </c>
      <c r="C249" t="s">
        <v>339</v>
      </c>
      <c r="D249" t="s">
        <v>309</v>
      </c>
      <c r="E249" t="s">
        <v>216</v>
      </c>
      <c r="F249" t="s">
        <v>25</v>
      </c>
      <c r="G249">
        <v>26</v>
      </c>
      <c r="H249">
        <v>2.4300000000000002E-2</v>
      </c>
      <c r="I249" t="s">
        <v>1413</v>
      </c>
      <c r="J249" s="2" t="s">
        <v>2125</v>
      </c>
      <c r="K249">
        <v>1</v>
      </c>
      <c r="L249">
        <v>1</v>
      </c>
      <c r="M249" t="s">
        <v>18</v>
      </c>
      <c r="N249" t="str">
        <f t="shared" si="3"/>
        <v>CANVAS AND RELATED PRODUCTS (2394)</v>
      </c>
    </row>
    <row r="250" spans="1:14" x14ac:dyDescent="0.45">
      <c r="A250" s="4">
        <v>2395</v>
      </c>
      <c r="B250" t="s">
        <v>344</v>
      </c>
      <c r="C250" t="s">
        <v>339</v>
      </c>
      <c r="D250" t="s">
        <v>309</v>
      </c>
      <c r="E250" t="s">
        <v>216</v>
      </c>
      <c r="F250" t="s">
        <v>25</v>
      </c>
      <c r="G250">
        <v>26</v>
      </c>
      <c r="H250">
        <v>2.4300000000000002E-2</v>
      </c>
      <c r="I250" t="s">
        <v>1413</v>
      </c>
      <c r="J250" s="2" t="s">
        <v>2125</v>
      </c>
      <c r="K250">
        <v>1</v>
      </c>
      <c r="L250">
        <v>1</v>
      </c>
      <c r="M250" t="s">
        <v>18</v>
      </c>
      <c r="N250" t="str">
        <f t="shared" si="3"/>
        <v>PLEATING AND STITCHING (2395)</v>
      </c>
    </row>
    <row r="251" spans="1:14" x14ac:dyDescent="0.45">
      <c r="A251" s="4">
        <v>2396</v>
      </c>
      <c r="B251" t="s">
        <v>345</v>
      </c>
      <c r="C251" t="s">
        <v>339</v>
      </c>
      <c r="D251" t="s">
        <v>309</v>
      </c>
      <c r="E251" t="s">
        <v>216</v>
      </c>
      <c r="F251" t="s">
        <v>25</v>
      </c>
      <c r="G251">
        <v>26</v>
      </c>
      <c r="H251">
        <v>2.4300000000000002E-2</v>
      </c>
      <c r="I251" t="s">
        <v>1413</v>
      </c>
      <c r="J251" s="2" t="s">
        <v>2125</v>
      </c>
      <c r="K251">
        <v>1</v>
      </c>
      <c r="L251">
        <v>1</v>
      </c>
      <c r="M251" t="s">
        <v>18</v>
      </c>
      <c r="N251" t="str">
        <f t="shared" si="3"/>
        <v>AUTOMOTIVE AND APPAREL TRIMMINGS (2396)</v>
      </c>
    </row>
    <row r="252" spans="1:14" x14ac:dyDescent="0.45">
      <c r="A252" s="4">
        <v>2397</v>
      </c>
      <c r="B252" t="s">
        <v>346</v>
      </c>
      <c r="C252" t="s">
        <v>339</v>
      </c>
      <c r="D252" t="s">
        <v>309</v>
      </c>
      <c r="E252" t="s">
        <v>216</v>
      </c>
      <c r="F252" t="s">
        <v>25</v>
      </c>
      <c r="G252">
        <v>26</v>
      </c>
      <c r="H252">
        <v>2.4300000000000002E-2</v>
      </c>
      <c r="I252" t="s">
        <v>1413</v>
      </c>
      <c r="J252" s="2" t="s">
        <v>2125</v>
      </c>
      <c r="K252">
        <v>1</v>
      </c>
      <c r="L252">
        <v>1</v>
      </c>
      <c r="M252" t="s">
        <v>18</v>
      </c>
      <c r="N252" t="str">
        <f t="shared" si="3"/>
        <v>SCHIFFLI MACHINE EMBROIDERIES (2397)</v>
      </c>
    </row>
    <row r="253" spans="1:14" x14ac:dyDescent="0.45">
      <c r="A253" s="4">
        <v>2399</v>
      </c>
      <c r="B253" t="s">
        <v>347</v>
      </c>
      <c r="C253" t="s">
        <v>339</v>
      </c>
      <c r="D253" t="s">
        <v>309</v>
      </c>
      <c r="E253" t="s">
        <v>216</v>
      </c>
      <c r="F253" t="s">
        <v>25</v>
      </c>
      <c r="G253">
        <v>26</v>
      </c>
      <c r="H253">
        <v>2.4300000000000002E-2</v>
      </c>
      <c r="I253" t="s">
        <v>1413</v>
      </c>
      <c r="J253" s="2" t="s">
        <v>2125</v>
      </c>
      <c r="K253">
        <v>1</v>
      </c>
      <c r="L253">
        <v>1</v>
      </c>
      <c r="M253" t="s">
        <v>18</v>
      </c>
      <c r="N253" t="str">
        <f t="shared" si="3"/>
        <v>FABRICATED TEXTILE PRODUCTS, NEC (2399)</v>
      </c>
    </row>
    <row r="254" spans="1:14" x14ac:dyDescent="0.45">
      <c r="A254" s="4">
        <v>2400</v>
      </c>
      <c r="B254" t="s">
        <v>348</v>
      </c>
      <c r="C254" t="s">
        <v>348</v>
      </c>
      <c r="D254" t="s">
        <v>348</v>
      </c>
      <c r="E254" t="s">
        <v>216</v>
      </c>
      <c r="F254" t="s">
        <v>22</v>
      </c>
      <c r="G254">
        <v>21</v>
      </c>
      <c r="H254">
        <v>2.6987648668974538E-2</v>
      </c>
      <c r="I254" t="s">
        <v>1413</v>
      </c>
      <c r="J254" s="2" t="s">
        <v>2126</v>
      </c>
      <c r="K254">
        <v>1</v>
      </c>
      <c r="L254">
        <v>1</v>
      </c>
      <c r="M254" t="s">
        <v>18</v>
      </c>
      <c r="N254" t="str">
        <f t="shared" si="3"/>
        <v>LUMBER AND WOOD PRODUCTS (2400)</v>
      </c>
    </row>
    <row r="255" spans="1:14" x14ac:dyDescent="0.45">
      <c r="A255" s="4">
        <v>2411</v>
      </c>
      <c r="B255" t="s">
        <v>349</v>
      </c>
      <c r="C255" t="s">
        <v>349</v>
      </c>
      <c r="D255" t="s">
        <v>348</v>
      </c>
      <c r="E255" t="s">
        <v>216</v>
      </c>
      <c r="F255" t="s">
        <v>22</v>
      </c>
      <c r="G255">
        <v>21</v>
      </c>
      <c r="H255">
        <v>2.6987648668974538E-2</v>
      </c>
      <c r="I255" t="s">
        <v>1413</v>
      </c>
      <c r="J255" s="2" t="s">
        <v>2126</v>
      </c>
      <c r="K255">
        <v>1</v>
      </c>
      <c r="L255">
        <v>1</v>
      </c>
      <c r="M255" t="s">
        <v>18</v>
      </c>
      <c r="N255" t="str">
        <f t="shared" si="3"/>
        <v>LOGGING (2411)</v>
      </c>
    </row>
    <row r="256" spans="1:14" x14ac:dyDescent="0.45">
      <c r="A256" s="4">
        <v>2421</v>
      </c>
      <c r="B256" t="s">
        <v>350</v>
      </c>
      <c r="C256" t="s">
        <v>351</v>
      </c>
      <c r="D256" t="s">
        <v>348</v>
      </c>
      <c r="E256" t="s">
        <v>216</v>
      </c>
      <c r="F256" t="s">
        <v>22</v>
      </c>
      <c r="G256">
        <v>21</v>
      </c>
      <c r="H256">
        <v>2.6987648668974538E-2</v>
      </c>
      <c r="I256" t="s">
        <v>1413</v>
      </c>
      <c r="J256" s="2" t="s">
        <v>2126</v>
      </c>
      <c r="K256">
        <v>1</v>
      </c>
      <c r="L256">
        <v>1</v>
      </c>
      <c r="M256" t="s">
        <v>18</v>
      </c>
      <c r="N256" t="str">
        <f t="shared" si="3"/>
        <v>SAWMILLS AND PLANING MILLS, GENERAL (2421)</v>
      </c>
    </row>
    <row r="257" spans="1:14" x14ac:dyDescent="0.45">
      <c r="A257" s="4">
        <v>2426</v>
      </c>
      <c r="B257" t="s">
        <v>352</v>
      </c>
      <c r="C257" t="s">
        <v>351</v>
      </c>
      <c r="D257" t="s">
        <v>348</v>
      </c>
      <c r="E257" t="s">
        <v>216</v>
      </c>
      <c r="F257" t="s">
        <v>22</v>
      </c>
      <c r="G257">
        <v>21</v>
      </c>
      <c r="H257">
        <v>2.6987648668974538E-2</v>
      </c>
      <c r="I257" t="s">
        <v>1413</v>
      </c>
      <c r="J257" s="2" t="s">
        <v>2126</v>
      </c>
      <c r="K257">
        <v>1</v>
      </c>
      <c r="L257">
        <v>1</v>
      </c>
      <c r="M257" t="s">
        <v>18</v>
      </c>
      <c r="N257" t="str">
        <f t="shared" si="3"/>
        <v>HARDWOOD DIMENSION AND FLOORING MILLS (2426)</v>
      </c>
    </row>
    <row r="258" spans="1:14" x14ac:dyDescent="0.45">
      <c r="A258" s="4">
        <v>2429</v>
      </c>
      <c r="B258" t="s">
        <v>353</v>
      </c>
      <c r="C258" t="s">
        <v>351</v>
      </c>
      <c r="D258" t="s">
        <v>348</v>
      </c>
      <c r="E258" t="s">
        <v>216</v>
      </c>
      <c r="F258" t="s">
        <v>22</v>
      </c>
      <c r="G258">
        <v>21</v>
      </c>
      <c r="H258">
        <v>2.6987648668974538E-2</v>
      </c>
      <c r="I258" t="s">
        <v>1413</v>
      </c>
      <c r="J258" s="2" t="s">
        <v>2126</v>
      </c>
      <c r="K258">
        <v>1</v>
      </c>
      <c r="L258">
        <v>1</v>
      </c>
      <c r="M258" t="s">
        <v>18</v>
      </c>
      <c r="N258" t="str">
        <f t="shared" si="3"/>
        <v>SPECIAL PRODUCT SAWMILLS, NEC (2429)</v>
      </c>
    </row>
    <row r="259" spans="1:14" x14ac:dyDescent="0.45">
      <c r="A259" s="4">
        <v>2430</v>
      </c>
      <c r="B259" t="s">
        <v>354</v>
      </c>
      <c r="C259" t="s">
        <v>354</v>
      </c>
      <c r="D259" t="s">
        <v>348</v>
      </c>
      <c r="E259" t="s">
        <v>216</v>
      </c>
      <c r="F259" t="s">
        <v>22</v>
      </c>
      <c r="G259">
        <v>21</v>
      </c>
      <c r="H259">
        <v>2.6987648668974538E-2</v>
      </c>
      <c r="I259" t="s">
        <v>1413</v>
      </c>
      <c r="J259" s="2" t="s">
        <v>2126</v>
      </c>
      <c r="K259">
        <v>1</v>
      </c>
      <c r="L259">
        <v>1</v>
      </c>
      <c r="M259" t="s">
        <v>18</v>
      </c>
      <c r="N259" t="str">
        <f t="shared" ref="N259:N322" si="4">B259&amp;" ("&amp;A259&amp;")"</f>
        <v>MILLWORK, PLYWOOD &amp; STRUCTURAL MEMBERS (2430)</v>
      </c>
    </row>
    <row r="260" spans="1:14" x14ac:dyDescent="0.45">
      <c r="A260" s="4">
        <v>2431</v>
      </c>
      <c r="B260" t="s">
        <v>355</v>
      </c>
      <c r="C260" t="s">
        <v>354</v>
      </c>
      <c r="D260" t="s">
        <v>348</v>
      </c>
      <c r="E260" t="s">
        <v>216</v>
      </c>
      <c r="F260" t="s">
        <v>22</v>
      </c>
      <c r="G260">
        <v>21</v>
      </c>
      <c r="H260">
        <v>2.6987648668974538E-2</v>
      </c>
      <c r="I260" t="s">
        <v>1413</v>
      </c>
      <c r="J260" s="2" t="s">
        <v>2126</v>
      </c>
      <c r="K260">
        <v>1</v>
      </c>
      <c r="L260">
        <v>1</v>
      </c>
      <c r="M260" t="s">
        <v>18</v>
      </c>
      <c r="N260" t="str">
        <f t="shared" si="4"/>
        <v>MILLWORK (2431)</v>
      </c>
    </row>
    <row r="261" spans="1:14" x14ac:dyDescent="0.45">
      <c r="A261" s="4">
        <v>2434</v>
      </c>
      <c r="B261" t="s">
        <v>356</v>
      </c>
      <c r="C261" t="s">
        <v>354</v>
      </c>
      <c r="D261" t="s">
        <v>348</v>
      </c>
      <c r="E261" t="s">
        <v>216</v>
      </c>
      <c r="F261" t="s">
        <v>22</v>
      </c>
      <c r="G261">
        <v>21</v>
      </c>
      <c r="H261">
        <v>2.6987648668974538E-2</v>
      </c>
      <c r="I261" t="s">
        <v>1413</v>
      </c>
      <c r="J261" s="2" t="s">
        <v>2126</v>
      </c>
      <c r="K261">
        <v>1</v>
      </c>
      <c r="L261">
        <v>1</v>
      </c>
      <c r="M261" t="s">
        <v>18</v>
      </c>
      <c r="N261" t="str">
        <f t="shared" si="4"/>
        <v>WOOD KITCHEN CABINETS (2434)</v>
      </c>
    </row>
    <row r="262" spans="1:14" x14ac:dyDescent="0.45">
      <c r="A262" s="4">
        <v>2435</v>
      </c>
      <c r="B262" t="s">
        <v>357</v>
      </c>
      <c r="C262" t="s">
        <v>354</v>
      </c>
      <c r="D262" t="s">
        <v>348</v>
      </c>
      <c r="E262" t="s">
        <v>216</v>
      </c>
      <c r="F262" t="s">
        <v>22</v>
      </c>
      <c r="G262">
        <v>21</v>
      </c>
      <c r="H262">
        <v>2.6987648668974538E-2</v>
      </c>
      <c r="I262" t="s">
        <v>1413</v>
      </c>
      <c r="J262" s="2" t="s">
        <v>2126</v>
      </c>
      <c r="K262">
        <v>1</v>
      </c>
      <c r="L262">
        <v>1</v>
      </c>
      <c r="M262" t="s">
        <v>18</v>
      </c>
      <c r="N262" t="str">
        <f t="shared" si="4"/>
        <v>HARDWOOD VENEER AND PLYWOOD (2435)</v>
      </c>
    </row>
    <row r="263" spans="1:14" x14ac:dyDescent="0.45">
      <c r="A263" s="4">
        <v>2436</v>
      </c>
      <c r="B263" t="s">
        <v>358</v>
      </c>
      <c r="C263" t="s">
        <v>354</v>
      </c>
      <c r="D263" t="s">
        <v>348</v>
      </c>
      <c r="E263" t="s">
        <v>216</v>
      </c>
      <c r="F263" t="s">
        <v>22</v>
      </c>
      <c r="G263">
        <v>21</v>
      </c>
      <c r="H263">
        <v>2.6987648668974538E-2</v>
      </c>
      <c r="I263" t="s">
        <v>1413</v>
      </c>
      <c r="J263" s="2" t="s">
        <v>2126</v>
      </c>
      <c r="K263">
        <v>1</v>
      </c>
      <c r="L263">
        <v>1</v>
      </c>
      <c r="M263" t="s">
        <v>18</v>
      </c>
      <c r="N263" t="str">
        <f t="shared" si="4"/>
        <v>SOFTWOOD VENEER AND PLYWOOD (2436)</v>
      </c>
    </row>
    <row r="264" spans="1:14" x14ac:dyDescent="0.45">
      <c r="A264" s="4">
        <v>2439</v>
      </c>
      <c r="B264" t="s">
        <v>359</v>
      </c>
      <c r="C264" t="s">
        <v>354</v>
      </c>
      <c r="D264" t="s">
        <v>348</v>
      </c>
      <c r="E264" t="s">
        <v>216</v>
      </c>
      <c r="F264" t="s">
        <v>22</v>
      </c>
      <c r="G264">
        <v>21</v>
      </c>
      <c r="H264">
        <v>2.6987648668974538E-2</v>
      </c>
      <c r="I264" t="s">
        <v>1413</v>
      </c>
      <c r="J264" s="2" t="s">
        <v>2126</v>
      </c>
      <c r="K264">
        <v>1</v>
      </c>
      <c r="L264">
        <v>1</v>
      </c>
      <c r="M264" t="s">
        <v>18</v>
      </c>
      <c r="N264" t="str">
        <f t="shared" si="4"/>
        <v>STRUCTURAL WOOD MEMBERS, NEC (2439)</v>
      </c>
    </row>
    <row r="265" spans="1:14" x14ac:dyDescent="0.45">
      <c r="A265" s="4">
        <v>2441</v>
      </c>
      <c r="B265" t="s">
        <v>360</v>
      </c>
      <c r="C265" t="s">
        <v>361</v>
      </c>
      <c r="D265" t="s">
        <v>348</v>
      </c>
      <c r="E265" t="s">
        <v>216</v>
      </c>
      <c r="F265" t="s">
        <v>22</v>
      </c>
      <c r="G265">
        <v>21</v>
      </c>
      <c r="H265">
        <v>2.6987648668974538E-2</v>
      </c>
      <c r="I265" t="s">
        <v>1413</v>
      </c>
      <c r="J265" s="2" t="s">
        <v>2126</v>
      </c>
      <c r="K265">
        <v>1</v>
      </c>
      <c r="L265">
        <v>1</v>
      </c>
      <c r="M265" t="s">
        <v>18</v>
      </c>
      <c r="N265" t="str">
        <f t="shared" si="4"/>
        <v>NAILED WOOD BOXES AND SHOOK (2441)</v>
      </c>
    </row>
    <row r="266" spans="1:14" x14ac:dyDescent="0.45">
      <c r="A266" s="4">
        <v>2448</v>
      </c>
      <c r="B266" t="s">
        <v>362</v>
      </c>
      <c r="C266" t="s">
        <v>361</v>
      </c>
      <c r="D266" t="s">
        <v>348</v>
      </c>
      <c r="E266" t="s">
        <v>216</v>
      </c>
      <c r="F266" t="s">
        <v>22</v>
      </c>
      <c r="G266">
        <v>21</v>
      </c>
      <c r="H266">
        <v>2.6987648668974538E-2</v>
      </c>
      <c r="I266" t="s">
        <v>1413</v>
      </c>
      <c r="J266" s="2" t="s">
        <v>2126</v>
      </c>
      <c r="K266">
        <v>1</v>
      </c>
      <c r="L266">
        <v>1</v>
      </c>
      <c r="M266" t="s">
        <v>18</v>
      </c>
      <c r="N266" t="str">
        <f t="shared" si="4"/>
        <v>WOOD PALLETS AND SKIDS (2448)</v>
      </c>
    </row>
    <row r="267" spans="1:14" x14ac:dyDescent="0.45">
      <c r="A267" s="4">
        <v>2449</v>
      </c>
      <c r="B267" t="s">
        <v>363</v>
      </c>
      <c r="C267" t="s">
        <v>361</v>
      </c>
      <c r="D267" t="s">
        <v>348</v>
      </c>
      <c r="E267" t="s">
        <v>216</v>
      </c>
      <c r="F267" t="s">
        <v>22</v>
      </c>
      <c r="G267">
        <v>21</v>
      </c>
      <c r="H267">
        <v>2.6987648668974538E-2</v>
      </c>
      <c r="I267" t="s">
        <v>1413</v>
      </c>
      <c r="J267" s="2" t="s">
        <v>2126</v>
      </c>
      <c r="K267">
        <v>1</v>
      </c>
      <c r="L267">
        <v>1</v>
      </c>
      <c r="M267" t="s">
        <v>18</v>
      </c>
      <c r="N267" t="str">
        <f t="shared" si="4"/>
        <v>WOOD CONTAINERS, NEC (2449)</v>
      </c>
    </row>
    <row r="268" spans="1:14" x14ac:dyDescent="0.45">
      <c r="A268" s="4">
        <v>2451</v>
      </c>
      <c r="B268" t="s">
        <v>364</v>
      </c>
      <c r="C268" t="s">
        <v>365</v>
      </c>
      <c r="D268" t="s">
        <v>348</v>
      </c>
      <c r="E268" t="s">
        <v>216</v>
      </c>
      <c r="F268" t="s">
        <v>22</v>
      </c>
      <c r="G268">
        <v>21</v>
      </c>
      <c r="H268">
        <v>2.6987648668974538E-2</v>
      </c>
      <c r="I268" t="s">
        <v>1413</v>
      </c>
      <c r="J268" s="2" t="s">
        <v>2126</v>
      </c>
      <c r="K268">
        <v>1</v>
      </c>
      <c r="L268">
        <v>1</v>
      </c>
      <c r="M268" t="s">
        <v>18</v>
      </c>
      <c r="N268" t="str">
        <f t="shared" si="4"/>
        <v>MOBILE HOMES (2451)</v>
      </c>
    </row>
    <row r="269" spans="1:14" x14ac:dyDescent="0.45">
      <c r="A269" s="4">
        <v>2452</v>
      </c>
      <c r="B269" t="s">
        <v>366</v>
      </c>
      <c r="C269" t="s">
        <v>365</v>
      </c>
      <c r="D269" t="s">
        <v>348</v>
      </c>
      <c r="E269" t="s">
        <v>216</v>
      </c>
      <c r="F269" t="s">
        <v>22</v>
      </c>
      <c r="G269">
        <v>21</v>
      </c>
      <c r="H269">
        <v>2.6987648668974538E-2</v>
      </c>
      <c r="I269" t="s">
        <v>1413</v>
      </c>
      <c r="J269" s="2" t="s">
        <v>2126</v>
      </c>
      <c r="K269">
        <v>1</v>
      </c>
      <c r="L269">
        <v>1</v>
      </c>
      <c r="M269" t="s">
        <v>18</v>
      </c>
      <c r="N269" t="str">
        <f t="shared" si="4"/>
        <v>PREFABRICATED WOOD BUILDINGS (2452)</v>
      </c>
    </row>
    <row r="270" spans="1:14" x14ac:dyDescent="0.45">
      <c r="A270" s="4">
        <v>2491</v>
      </c>
      <c r="B270" t="s">
        <v>367</v>
      </c>
      <c r="C270" t="s">
        <v>368</v>
      </c>
      <c r="D270" t="s">
        <v>348</v>
      </c>
      <c r="E270" t="s">
        <v>216</v>
      </c>
      <c r="F270" t="s">
        <v>22</v>
      </c>
      <c r="G270">
        <v>21</v>
      </c>
      <c r="H270">
        <v>2.6987648668974538E-2</v>
      </c>
      <c r="I270" t="s">
        <v>1413</v>
      </c>
      <c r="J270" s="2" t="s">
        <v>2126</v>
      </c>
      <c r="K270">
        <v>1</v>
      </c>
      <c r="L270">
        <v>1</v>
      </c>
      <c r="M270" t="s">
        <v>18</v>
      </c>
      <c r="N270" t="str">
        <f t="shared" si="4"/>
        <v>WOOD PRESERVING (2491)</v>
      </c>
    </row>
    <row r="271" spans="1:14" x14ac:dyDescent="0.45">
      <c r="A271" s="4">
        <v>2493</v>
      </c>
      <c r="B271" t="s">
        <v>369</v>
      </c>
      <c r="C271" t="s">
        <v>368</v>
      </c>
      <c r="D271" t="s">
        <v>348</v>
      </c>
      <c r="E271" t="s">
        <v>216</v>
      </c>
      <c r="F271" t="s">
        <v>22</v>
      </c>
      <c r="G271">
        <v>21</v>
      </c>
      <c r="H271">
        <v>2.6987648668974538E-2</v>
      </c>
      <c r="I271" t="s">
        <v>1413</v>
      </c>
      <c r="J271" s="2" t="s">
        <v>2126</v>
      </c>
      <c r="K271">
        <v>1</v>
      </c>
      <c r="L271">
        <v>1</v>
      </c>
      <c r="M271" t="s">
        <v>18</v>
      </c>
      <c r="N271" t="str">
        <f t="shared" si="4"/>
        <v>RECONSTITUTED WOOD PRODUCTS (2493)</v>
      </c>
    </row>
    <row r="272" spans="1:14" x14ac:dyDescent="0.45">
      <c r="A272" s="4">
        <v>2499</v>
      </c>
      <c r="B272" t="s">
        <v>370</v>
      </c>
      <c r="C272" t="s">
        <v>368</v>
      </c>
      <c r="D272" t="s">
        <v>348</v>
      </c>
      <c r="E272" t="s">
        <v>216</v>
      </c>
      <c r="F272" t="s">
        <v>22</v>
      </c>
      <c r="G272">
        <v>21</v>
      </c>
      <c r="H272">
        <v>2.6987648668974538E-2</v>
      </c>
      <c r="I272" t="s">
        <v>1413</v>
      </c>
      <c r="J272" s="2" t="s">
        <v>2126</v>
      </c>
      <c r="K272">
        <v>1</v>
      </c>
      <c r="L272">
        <v>1</v>
      </c>
      <c r="M272" t="s">
        <v>18</v>
      </c>
      <c r="N272" t="str">
        <f t="shared" si="4"/>
        <v>WOOD PRODUCTS, NEC (2499)</v>
      </c>
    </row>
    <row r="273" spans="1:14" x14ac:dyDescent="0.45">
      <c r="A273" s="4">
        <v>2510</v>
      </c>
      <c r="B273" t="s">
        <v>371</v>
      </c>
      <c r="C273" t="s">
        <v>371</v>
      </c>
      <c r="D273" t="s">
        <v>372</v>
      </c>
      <c r="E273" t="s">
        <v>216</v>
      </c>
      <c r="F273" t="s">
        <v>22</v>
      </c>
      <c r="G273">
        <v>21</v>
      </c>
      <c r="H273">
        <v>2.6987648668974538E-2</v>
      </c>
      <c r="I273" t="s">
        <v>1413</v>
      </c>
      <c r="J273" s="2" t="s">
        <v>2126</v>
      </c>
      <c r="K273">
        <v>1</v>
      </c>
      <c r="L273">
        <v>1</v>
      </c>
      <c r="M273" t="s">
        <v>18</v>
      </c>
      <c r="N273" t="str">
        <f t="shared" si="4"/>
        <v>HOUSEHOLD FURNITURE (2510)</v>
      </c>
    </row>
    <row r="274" spans="1:14" x14ac:dyDescent="0.45">
      <c r="A274" s="4">
        <v>2511</v>
      </c>
      <c r="B274" t="s">
        <v>373</v>
      </c>
      <c r="C274" t="s">
        <v>371</v>
      </c>
      <c r="D274" t="s">
        <v>372</v>
      </c>
      <c r="E274" t="s">
        <v>216</v>
      </c>
      <c r="F274" t="s">
        <v>22</v>
      </c>
      <c r="G274">
        <v>21</v>
      </c>
      <c r="H274">
        <v>2.6987648668974538E-2</v>
      </c>
      <c r="I274" t="s">
        <v>1413</v>
      </c>
      <c r="J274" s="2" t="s">
        <v>2126</v>
      </c>
      <c r="K274">
        <v>1</v>
      </c>
      <c r="L274">
        <v>1</v>
      </c>
      <c r="M274" t="s">
        <v>18</v>
      </c>
      <c r="N274" t="str">
        <f t="shared" si="4"/>
        <v>WOOD HOUSEHOLD FURNITURE (2511)</v>
      </c>
    </row>
    <row r="275" spans="1:14" x14ac:dyDescent="0.45">
      <c r="A275" s="4">
        <v>2512</v>
      </c>
      <c r="B275" t="s">
        <v>374</v>
      </c>
      <c r="C275" t="s">
        <v>371</v>
      </c>
      <c r="D275" t="s">
        <v>372</v>
      </c>
      <c r="E275" t="s">
        <v>216</v>
      </c>
      <c r="F275" t="s">
        <v>22</v>
      </c>
      <c r="G275">
        <v>21</v>
      </c>
      <c r="H275">
        <v>2.6987648668974538E-2</v>
      </c>
      <c r="I275" t="s">
        <v>1413</v>
      </c>
      <c r="J275" s="2" t="s">
        <v>2126</v>
      </c>
      <c r="K275">
        <v>1</v>
      </c>
      <c r="L275">
        <v>1</v>
      </c>
      <c r="M275" t="s">
        <v>18</v>
      </c>
      <c r="N275" t="str">
        <f t="shared" si="4"/>
        <v>UPHOLSTERED HOUSEHOLD FURNITURE (2512)</v>
      </c>
    </row>
    <row r="276" spans="1:14" x14ac:dyDescent="0.45">
      <c r="A276" s="4">
        <v>2514</v>
      </c>
      <c r="B276" t="s">
        <v>375</v>
      </c>
      <c r="C276" t="s">
        <v>371</v>
      </c>
      <c r="D276" t="s">
        <v>372</v>
      </c>
      <c r="E276" t="s">
        <v>216</v>
      </c>
      <c r="F276" t="s">
        <v>22</v>
      </c>
      <c r="G276">
        <v>21</v>
      </c>
      <c r="H276">
        <v>2.6987648668974538E-2</v>
      </c>
      <c r="I276" t="s">
        <v>1413</v>
      </c>
      <c r="J276" s="2" t="s">
        <v>2126</v>
      </c>
      <c r="K276">
        <v>1</v>
      </c>
      <c r="L276">
        <v>1</v>
      </c>
      <c r="M276" t="s">
        <v>18</v>
      </c>
      <c r="N276" t="str">
        <f t="shared" si="4"/>
        <v>METAL HOUSEHOLD FURNITURE (2514)</v>
      </c>
    </row>
    <row r="277" spans="1:14" x14ac:dyDescent="0.45">
      <c r="A277" s="4">
        <v>2515</v>
      </c>
      <c r="B277" t="s">
        <v>376</v>
      </c>
      <c r="C277" t="s">
        <v>371</v>
      </c>
      <c r="D277" t="s">
        <v>372</v>
      </c>
      <c r="E277" t="s">
        <v>216</v>
      </c>
      <c r="F277" t="s">
        <v>22</v>
      </c>
      <c r="G277">
        <v>21</v>
      </c>
      <c r="H277">
        <v>2.6987648668974538E-2</v>
      </c>
      <c r="I277" t="s">
        <v>1413</v>
      </c>
      <c r="J277" s="2" t="s">
        <v>2126</v>
      </c>
      <c r="K277">
        <v>1</v>
      </c>
      <c r="L277">
        <v>1</v>
      </c>
      <c r="M277" t="s">
        <v>18</v>
      </c>
      <c r="N277" t="str">
        <f t="shared" si="4"/>
        <v>MATTRESSES AND BEDSPRINGS (2515)</v>
      </c>
    </row>
    <row r="278" spans="1:14" x14ac:dyDescent="0.45">
      <c r="A278" s="4">
        <v>2517</v>
      </c>
      <c r="B278" t="s">
        <v>377</v>
      </c>
      <c r="C278" t="s">
        <v>371</v>
      </c>
      <c r="D278" t="s">
        <v>372</v>
      </c>
      <c r="E278" t="s">
        <v>216</v>
      </c>
      <c r="F278" t="s">
        <v>22</v>
      </c>
      <c r="G278">
        <v>21</v>
      </c>
      <c r="H278">
        <v>2.6987648668974538E-2</v>
      </c>
      <c r="I278" t="s">
        <v>1413</v>
      </c>
      <c r="J278" s="2" t="s">
        <v>2126</v>
      </c>
      <c r="K278">
        <v>1</v>
      </c>
      <c r="L278">
        <v>1</v>
      </c>
      <c r="M278" t="s">
        <v>18</v>
      </c>
      <c r="N278" t="str">
        <f t="shared" si="4"/>
        <v>WOOD TELEVISION AND RADIO CABINETS (2517)</v>
      </c>
    </row>
    <row r="279" spans="1:14" x14ac:dyDescent="0.45">
      <c r="A279" s="4">
        <v>2519</v>
      </c>
      <c r="B279" t="s">
        <v>378</v>
      </c>
      <c r="C279" t="s">
        <v>371</v>
      </c>
      <c r="D279" t="s">
        <v>372</v>
      </c>
      <c r="E279" t="s">
        <v>216</v>
      </c>
      <c r="F279" t="s">
        <v>22</v>
      </c>
      <c r="G279">
        <v>21</v>
      </c>
      <c r="H279">
        <v>2.6987648668974538E-2</v>
      </c>
      <c r="I279" t="s">
        <v>1413</v>
      </c>
      <c r="J279" s="2" t="s">
        <v>2126</v>
      </c>
      <c r="K279">
        <v>1</v>
      </c>
      <c r="L279">
        <v>1</v>
      </c>
      <c r="M279" t="s">
        <v>18</v>
      </c>
      <c r="N279" t="str">
        <f t="shared" si="4"/>
        <v>HOUSEHOLD FURNITURE, NEC (2519)</v>
      </c>
    </row>
    <row r="280" spans="1:14" x14ac:dyDescent="0.45">
      <c r="A280" s="4">
        <v>2521</v>
      </c>
      <c r="B280" t="s">
        <v>379</v>
      </c>
      <c r="C280" t="s">
        <v>380</v>
      </c>
      <c r="D280" t="s">
        <v>372</v>
      </c>
      <c r="E280" t="s">
        <v>216</v>
      </c>
      <c r="F280" t="s">
        <v>22</v>
      </c>
      <c r="G280">
        <v>21</v>
      </c>
      <c r="H280">
        <v>2.6987648668974538E-2</v>
      </c>
      <c r="I280" t="s">
        <v>1413</v>
      </c>
      <c r="J280" s="2" t="s">
        <v>2126</v>
      </c>
      <c r="K280">
        <v>1</v>
      </c>
      <c r="L280">
        <v>1</v>
      </c>
      <c r="M280" t="s">
        <v>18</v>
      </c>
      <c r="N280" t="str">
        <f t="shared" si="4"/>
        <v>WOOD OFFICE FURNITURE (2521)</v>
      </c>
    </row>
    <row r="281" spans="1:14" x14ac:dyDescent="0.45">
      <c r="A281" s="4">
        <v>2522</v>
      </c>
      <c r="B281" t="s">
        <v>381</v>
      </c>
      <c r="C281" t="s">
        <v>380</v>
      </c>
      <c r="D281" t="s">
        <v>372</v>
      </c>
      <c r="E281" t="s">
        <v>216</v>
      </c>
      <c r="F281" t="s">
        <v>22</v>
      </c>
      <c r="G281">
        <v>21</v>
      </c>
      <c r="H281">
        <v>2.6987648668974538E-2</v>
      </c>
      <c r="I281" t="s">
        <v>1413</v>
      </c>
      <c r="J281" s="2" t="s">
        <v>2126</v>
      </c>
      <c r="K281">
        <v>1</v>
      </c>
      <c r="L281">
        <v>1</v>
      </c>
      <c r="M281" t="s">
        <v>18</v>
      </c>
      <c r="N281" t="str">
        <f t="shared" si="4"/>
        <v>OFFICE FURNITURE, EXCEPT WOOD (2522)</v>
      </c>
    </row>
    <row r="282" spans="1:14" x14ac:dyDescent="0.45">
      <c r="A282" s="4">
        <v>2531</v>
      </c>
      <c r="B282" t="s">
        <v>382</v>
      </c>
      <c r="C282" t="s">
        <v>383</v>
      </c>
      <c r="D282" t="s">
        <v>372</v>
      </c>
      <c r="E282" t="s">
        <v>216</v>
      </c>
      <c r="F282" t="s">
        <v>22</v>
      </c>
      <c r="G282">
        <v>21</v>
      </c>
      <c r="H282">
        <v>2.6987648668974538E-2</v>
      </c>
      <c r="I282" t="s">
        <v>1413</v>
      </c>
      <c r="J282" s="2" t="s">
        <v>2126</v>
      </c>
      <c r="K282">
        <v>1</v>
      </c>
      <c r="L282">
        <v>1</v>
      </c>
      <c r="M282" t="s">
        <v>18</v>
      </c>
      <c r="N282" t="str">
        <f t="shared" si="4"/>
        <v>PUBLIC BUILDING AND RELATED FURNITURE (2531)</v>
      </c>
    </row>
    <row r="283" spans="1:14" x14ac:dyDescent="0.45">
      <c r="A283" s="4">
        <v>2540</v>
      </c>
      <c r="B283" t="s">
        <v>384</v>
      </c>
      <c r="C283" t="s">
        <v>384</v>
      </c>
      <c r="D283" t="s">
        <v>372</v>
      </c>
      <c r="E283" t="s">
        <v>216</v>
      </c>
      <c r="F283" t="s">
        <v>22</v>
      </c>
      <c r="G283">
        <v>21</v>
      </c>
      <c r="H283">
        <v>2.6987648668974538E-2</v>
      </c>
      <c r="I283" t="s">
        <v>1413</v>
      </c>
      <c r="J283" s="2" t="s">
        <v>2126</v>
      </c>
      <c r="K283">
        <v>1</v>
      </c>
      <c r="L283">
        <v>1</v>
      </c>
      <c r="M283" t="s">
        <v>18</v>
      </c>
      <c r="N283" t="str">
        <f t="shared" si="4"/>
        <v>PARTITIONS AND FIXTURES (2540)</v>
      </c>
    </row>
    <row r="284" spans="1:14" x14ac:dyDescent="0.45">
      <c r="A284" s="4">
        <v>2541</v>
      </c>
      <c r="B284" t="s">
        <v>385</v>
      </c>
      <c r="C284" t="s">
        <v>384</v>
      </c>
      <c r="D284" t="s">
        <v>372</v>
      </c>
      <c r="E284" t="s">
        <v>216</v>
      </c>
      <c r="F284" t="s">
        <v>22</v>
      </c>
      <c r="G284">
        <v>21</v>
      </c>
      <c r="H284">
        <v>2.6987648668974538E-2</v>
      </c>
      <c r="I284" t="s">
        <v>1413</v>
      </c>
      <c r="J284" s="2" t="s">
        <v>2126</v>
      </c>
      <c r="K284">
        <v>1</v>
      </c>
      <c r="L284">
        <v>1</v>
      </c>
      <c r="M284" t="s">
        <v>18</v>
      </c>
      <c r="N284" t="str">
        <f t="shared" si="4"/>
        <v>WOOD PARTITIONS AND FIXTURES (2541)</v>
      </c>
    </row>
    <row r="285" spans="1:14" x14ac:dyDescent="0.45">
      <c r="A285" s="4">
        <v>2542</v>
      </c>
      <c r="B285" t="s">
        <v>386</v>
      </c>
      <c r="C285" t="s">
        <v>384</v>
      </c>
      <c r="D285" t="s">
        <v>372</v>
      </c>
      <c r="E285" t="s">
        <v>216</v>
      </c>
      <c r="F285" t="s">
        <v>22</v>
      </c>
      <c r="G285">
        <v>21</v>
      </c>
      <c r="H285">
        <v>2.6987648668974538E-2</v>
      </c>
      <c r="I285" t="s">
        <v>1413</v>
      </c>
      <c r="J285" s="2" t="s">
        <v>2126</v>
      </c>
      <c r="K285">
        <v>1</v>
      </c>
      <c r="L285">
        <v>1</v>
      </c>
      <c r="M285" t="s">
        <v>18</v>
      </c>
      <c r="N285" t="str">
        <f t="shared" si="4"/>
        <v>PARTITIONS AND FIXTURES, EXCEPT WOOD (2542)</v>
      </c>
    </row>
    <row r="286" spans="1:14" x14ac:dyDescent="0.45">
      <c r="A286" s="4">
        <v>2590</v>
      </c>
      <c r="B286" t="s">
        <v>387</v>
      </c>
      <c r="C286" t="s">
        <v>387</v>
      </c>
      <c r="D286" t="s">
        <v>372</v>
      </c>
      <c r="E286" t="s">
        <v>216</v>
      </c>
      <c r="F286" t="s">
        <v>22</v>
      </c>
      <c r="G286">
        <v>21</v>
      </c>
      <c r="H286">
        <v>2.6987648668974538E-2</v>
      </c>
      <c r="I286" t="s">
        <v>1413</v>
      </c>
      <c r="J286" s="2" t="s">
        <v>2126</v>
      </c>
      <c r="K286">
        <v>1</v>
      </c>
      <c r="L286">
        <v>1</v>
      </c>
      <c r="M286" t="s">
        <v>18</v>
      </c>
      <c r="N286" t="str">
        <f t="shared" si="4"/>
        <v>MISCELLANEOUS FURNITURE AND FIXTURES (2590)</v>
      </c>
    </row>
    <row r="287" spans="1:14" x14ac:dyDescent="0.45">
      <c r="A287" s="4">
        <v>2591</v>
      </c>
      <c r="B287" t="s">
        <v>388</v>
      </c>
      <c r="C287" t="s">
        <v>387</v>
      </c>
      <c r="D287" t="s">
        <v>372</v>
      </c>
      <c r="E287" t="s">
        <v>216</v>
      </c>
      <c r="F287" t="s">
        <v>22</v>
      </c>
      <c r="G287">
        <v>21</v>
      </c>
      <c r="H287">
        <v>2.6987648668974538E-2</v>
      </c>
      <c r="I287" t="s">
        <v>1413</v>
      </c>
      <c r="J287" s="2" t="s">
        <v>2126</v>
      </c>
      <c r="K287">
        <v>1</v>
      </c>
      <c r="L287">
        <v>1</v>
      </c>
      <c r="M287" t="s">
        <v>18</v>
      </c>
      <c r="N287" t="str">
        <f t="shared" si="4"/>
        <v>DRAPERY HARDWARE AND BLINDS AND SHADES (2591)</v>
      </c>
    </row>
    <row r="288" spans="1:14" x14ac:dyDescent="0.45">
      <c r="A288" s="4">
        <v>2599</v>
      </c>
      <c r="B288" t="s">
        <v>389</v>
      </c>
      <c r="C288" t="s">
        <v>387</v>
      </c>
      <c r="D288" t="s">
        <v>372</v>
      </c>
      <c r="E288" t="s">
        <v>216</v>
      </c>
      <c r="F288" t="s">
        <v>22</v>
      </c>
      <c r="G288">
        <v>21</v>
      </c>
      <c r="H288">
        <v>2.6987648668974538E-2</v>
      </c>
      <c r="I288" t="s">
        <v>1413</v>
      </c>
      <c r="J288" s="2" t="s">
        <v>2126</v>
      </c>
      <c r="K288">
        <v>1</v>
      </c>
      <c r="L288">
        <v>1</v>
      </c>
      <c r="M288" t="s">
        <v>18</v>
      </c>
      <c r="N288" t="str">
        <f t="shared" si="4"/>
        <v>FURNITURE AND FIXTURES, NEC (2599)</v>
      </c>
    </row>
    <row r="289" spans="1:14" x14ac:dyDescent="0.45">
      <c r="A289" s="4">
        <v>2600</v>
      </c>
      <c r="B289" t="s">
        <v>390</v>
      </c>
      <c r="C289" t="s">
        <v>390</v>
      </c>
      <c r="D289" t="s">
        <v>390</v>
      </c>
      <c r="E289" t="s">
        <v>216</v>
      </c>
      <c r="F289" t="s">
        <v>24</v>
      </c>
      <c r="G289">
        <v>28</v>
      </c>
      <c r="H289">
        <v>2.2499999999999999E-2</v>
      </c>
      <c r="I289" t="s">
        <v>1413</v>
      </c>
      <c r="J289" s="2" t="s">
        <v>2124</v>
      </c>
      <c r="K289">
        <v>1</v>
      </c>
      <c r="L289">
        <v>1</v>
      </c>
      <c r="M289" t="s">
        <v>18</v>
      </c>
      <c r="N289" t="str">
        <f t="shared" si="4"/>
        <v>PAPER AND ALLIED PRODUCTS (2600)</v>
      </c>
    </row>
    <row r="290" spans="1:14" x14ac:dyDescent="0.45">
      <c r="A290" s="4">
        <v>2611</v>
      </c>
      <c r="B290" t="s">
        <v>391</v>
      </c>
      <c r="C290" t="s">
        <v>391</v>
      </c>
      <c r="D290" t="s">
        <v>390</v>
      </c>
      <c r="E290" t="s">
        <v>216</v>
      </c>
      <c r="F290" t="s">
        <v>24</v>
      </c>
      <c r="G290">
        <v>28</v>
      </c>
      <c r="H290">
        <v>2.2499999999999999E-2</v>
      </c>
      <c r="I290" t="s">
        <v>1413</v>
      </c>
      <c r="J290" s="2" t="s">
        <v>2124</v>
      </c>
      <c r="K290">
        <v>1</v>
      </c>
      <c r="L290">
        <v>1</v>
      </c>
      <c r="M290" t="s">
        <v>18</v>
      </c>
      <c r="N290" t="str">
        <f t="shared" si="4"/>
        <v>PULP MILLS (2611)</v>
      </c>
    </row>
    <row r="291" spans="1:14" x14ac:dyDescent="0.45">
      <c r="A291" s="4">
        <v>2621</v>
      </c>
      <c r="B291" t="s">
        <v>392</v>
      </c>
      <c r="C291" t="s">
        <v>392</v>
      </c>
      <c r="D291" t="s">
        <v>390</v>
      </c>
      <c r="E291" t="s">
        <v>216</v>
      </c>
      <c r="F291" t="s">
        <v>24</v>
      </c>
      <c r="G291">
        <v>28</v>
      </c>
      <c r="H291">
        <v>2.2499999999999999E-2</v>
      </c>
      <c r="I291" t="s">
        <v>1413</v>
      </c>
      <c r="J291" s="2" t="s">
        <v>2124</v>
      </c>
      <c r="K291">
        <v>1</v>
      </c>
      <c r="L291">
        <v>1</v>
      </c>
      <c r="M291" t="s">
        <v>18</v>
      </c>
      <c r="N291" t="str">
        <f t="shared" si="4"/>
        <v>PAPER MILLS (2621)</v>
      </c>
    </row>
    <row r="292" spans="1:14" x14ac:dyDescent="0.45">
      <c r="A292" s="4">
        <v>2631</v>
      </c>
      <c r="B292" t="s">
        <v>393</v>
      </c>
      <c r="C292" t="s">
        <v>393</v>
      </c>
      <c r="D292" t="s">
        <v>390</v>
      </c>
      <c r="E292" t="s">
        <v>216</v>
      </c>
      <c r="F292" t="s">
        <v>24</v>
      </c>
      <c r="G292">
        <v>28</v>
      </c>
      <c r="H292">
        <v>2.2499999999999999E-2</v>
      </c>
      <c r="I292" t="s">
        <v>1413</v>
      </c>
      <c r="J292" s="2" t="s">
        <v>2124</v>
      </c>
      <c r="K292">
        <v>1</v>
      </c>
      <c r="L292">
        <v>1</v>
      </c>
      <c r="M292" t="s">
        <v>18</v>
      </c>
      <c r="N292" t="str">
        <f t="shared" si="4"/>
        <v>PAPERBOARD MILLS (2631)</v>
      </c>
    </row>
    <row r="293" spans="1:14" x14ac:dyDescent="0.45">
      <c r="A293" s="4">
        <v>2650</v>
      </c>
      <c r="B293" t="s">
        <v>394</v>
      </c>
      <c r="C293" t="s">
        <v>394</v>
      </c>
      <c r="D293" t="s">
        <v>390</v>
      </c>
      <c r="E293" t="s">
        <v>216</v>
      </c>
      <c r="F293" t="s">
        <v>24</v>
      </c>
      <c r="G293">
        <v>28</v>
      </c>
      <c r="H293">
        <v>2.2499999999999999E-2</v>
      </c>
      <c r="I293" t="s">
        <v>1413</v>
      </c>
      <c r="J293" s="2" t="s">
        <v>2124</v>
      </c>
      <c r="K293">
        <v>1</v>
      </c>
      <c r="L293">
        <v>1</v>
      </c>
      <c r="M293" t="s">
        <v>18</v>
      </c>
      <c r="N293" t="str">
        <f t="shared" si="4"/>
        <v>PAPERBOARD CONTAINERS AND BOXES (2650)</v>
      </c>
    </row>
    <row r="294" spans="1:14" x14ac:dyDescent="0.45">
      <c r="A294" s="4">
        <v>2652</v>
      </c>
      <c r="B294" t="s">
        <v>395</v>
      </c>
      <c r="C294" t="s">
        <v>394</v>
      </c>
      <c r="D294" t="s">
        <v>390</v>
      </c>
      <c r="E294" t="s">
        <v>216</v>
      </c>
      <c r="F294" t="s">
        <v>24</v>
      </c>
      <c r="G294">
        <v>28</v>
      </c>
      <c r="H294">
        <v>2.2499999999999999E-2</v>
      </c>
      <c r="I294" t="s">
        <v>1413</v>
      </c>
      <c r="J294" s="2" t="s">
        <v>2124</v>
      </c>
      <c r="K294">
        <v>1</v>
      </c>
      <c r="L294">
        <v>1</v>
      </c>
      <c r="M294" t="s">
        <v>18</v>
      </c>
      <c r="N294" t="str">
        <f t="shared" si="4"/>
        <v>SETUP PAPERBOARD BOXES (2652)</v>
      </c>
    </row>
    <row r="295" spans="1:14" x14ac:dyDescent="0.45">
      <c r="A295" s="4">
        <v>2653</v>
      </c>
      <c r="B295" t="s">
        <v>396</v>
      </c>
      <c r="C295" t="s">
        <v>394</v>
      </c>
      <c r="D295" t="s">
        <v>390</v>
      </c>
      <c r="E295" t="s">
        <v>216</v>
      </c>
      <c r="F295" t="s">
        <v>24</v>
      </c>
      <c r="G295">
        <v>28</v>
      </c>
      <c r="H295">
        <v>2.2499999999999999E-2</v>
      </c>
      <c r="I295" t="s">
        <v>1413</v>
      </c>
      <c r="J295" s="2" t="s">
        <v>2124</v>
      </c>
      <c r="K295">
        <v>1</v>
      </c>
      <c r="L295">
        <v>1</v>
      </c>
      <c r="M295" t="s">
        <v>18</v>
      </c>
      <c r="N295" t="str">
        <f t="shared" si="4"/>
        <v>CORRUGATED AND SOLID FIBER BOXES (2653)</v>
      </c>
    </row>
    <row r="296" spans="1:14" x14ac:dyDescent="0.45">
      <c r="A296" s="4">
        <v>2655</v>
      </c>
      <c r="B296" t="s">
        <v>397</v>
      </c>
      <c r="C296" t="s">
        <v>394</v>
      </c>
      <c r="D296" t="s">
        <v>390</v>
      </c>
      <c r="E296" t="s">
        <v>216</v>
      </c>
      <c r="F296" t="s">
        <v>24</v>
      </c>
      <c r="G296">
        <v>28</v>
      </c>
      <c r="H296">
        <v>2.2499999999999999E-2</v>
      </c>
      <c r="I296" t="s">
        <v>1413</v>
      </c>
      <c r="J296" s="2" t="s">
        <v>2124</v>
      </c>
      <c r="K296">
        <v>1</v>
      </c>
      <c r="L296">
        <v>1</v>
      </c>
      <c r="M296" t="s">
        <v>18</v>
      </c>
      <c r="N296" t="str">
        <f t="shared" si="4"/>
        <v>FIBER CANS, DRUMS, AND SIMILAR PRODUCTS (2655)</v>
      </c>
    </row>
    <row r="297" spans="1:14" x14ac:dyDescent="0.45">
      <c r="A297" s="4">
        <v>2656</v>
      </c>
      <c r="B297" t="s">
        <v>398</v>
      </c>
      <c r="C297" t="s">
        <v>394</v>
      </c>
      <c r="D297" t="s">
        <v>390</v>
      </c>
      <c r="E297" t="s">
        <v>216</v>
      </c>
      <c r="F297" t="s">
        <v>24</v>
      </c>
      <c r="G297">
        <v>28</v>
      </c>
      <c r="H297">
        <v>2.2499999999999999E-2</v>
      </c>
      <c r="I297" t="s">
        <v>1413</v>
      </c>
      <c r="J297" s="2" t="s">
        <v>2124</v>
      </c>
      <c r="K297">
        <v>1</v>
      </c>
      <c r="L297">
        <v>1</v>
      </c>
      <c r="M297" t="s">
        <v>18</v>
      </c>
      <c r="N297" t="str">
        <f t="shared" si="4"/>
        <v>SANITARY FOOD CONTAINERS (2656)</v>
      </c>
    </row>
    <row r="298" spans="1:14" x14ac:dyDescent="0.45">
      <c r="A298" s="4">
        <v>2657</v>
      </c>
      <c r="B298" t="s">
        <v>399</v>
      </c>
      <c r="C298" t="s">
        <v>394</v>
      </c>
      <c r="D298" t="s">
        <v>390</v>
      </c>
      <c r="E298" t="s">
        <v>216</v>
      </c>
      <c r="F298" t="s">
        <v>24</v>
      </c>
      <c r="G298">
        <v>28</v>
      </c>
      <c r="H298">
        <v>2.2499999999999999E-2</v>
      </c>
      <c r="I298" t="s">
        <v>1413</v>
      </c>
      <c r="J298" s="2" t="s">
        <v>2124</v>
      </c>
      <c r="K298">
        <v>1</v>
      </c>
      <c r="L298">
        <v>1</v>
      </c>
      <c r="M298" t="s">
        <v>18</v>
      </c>
      <c r="N298" t="str">
        <f t="shared" si="4"/>
        <v>FOLDING PAPERBOARD BOXES (2657)</v>
      </c>
    </row>
    <row r="299" spans="1:14" x14ac:dyDescent="0.45">
      <c r="A299" s="4">
        <v>2670</v>
      </c>
      <c r="B299" t="s">
        <v>400</v>
      </c>
      <c r="C299" t="s">
        <v>400</v>
      </c>
      <c r="D299" t="s">
        <v>390</v>
      </c>
      <c r="E299" t="s">
        <v>216</v>
      </c>
      <c r="F299" t="s">
        <v>24</v>
      </c>
      <c r="G299">
        <v>28</v>
      </c>
      <c r="H299">
        <v>2.2499999999999999E-2</v>
      </c>
      <c r="I299" t="s">
        <v>1413</v>
      </c>
      <c r="J299" s="2" t="s">
        <v>2124</v>
      </c>
      <c r="K299">
        <v>1</v>
      </c>
      <c r="L299">
        <v>1</v>
      </c>
      <c r="M299" t="s">
        <v>18</v>
      </c>
      <c r="N299" t="str">
        <f t="shared" si="4"/>
        <v>MISCELLANEOUS CONVERTED PAPER PRODUCTS (2670)</v>
      </c>
    </row>
    <row r="300" spans="1:14" x14ac:dyDescent="0.45">
      <c r="A300" s="4">
        <v>2671</v>
      </c>
      <c r="B300" t="s">
        <v>401</v>
      </c>
      <c r="C300" t="s">
        <v>400</v>
      </c>
      <c r="D300" t="s">
        <v>390</v>
      </c>
      <c r="E300" t="s">
        <v>216</v>
      </c>
      <c r="F300" t="s">
        <v>24</v>
      </c>
      <c r="G300">
        <v>28</v>
      </c>
      <c r="H300">
        <v>2.2499999999999999E-2</v>
      </c>
      <c r="I300" t="s">
        <v>1413</v>
      </c>
      <c r="J300" s="2" t="s">
        <v>2124</v>
      </c>
      <c r="K300">
        <v>1</v>
      </c>
      <c r="L300">
        <v>1</v>
      </c>
      <c r="M300" t="s">
        <v>18</v>
      </c>
      <c r="N300" t="str">
        <f t="shared" si="4"/>
        <v>PAPER; COATED AND LAMINATED PACKAGING (2671)</v>
      </c>
    </row>
    <row r="301" spans="1:14" x14ac:dyDescent="0.45">
      <c r="A301" s="4">
        <v>2672</v>
      </c>
      <c r="B301" t="s">
        <v>402</v>
      </c>
      <c r="C301" t="s">
        <v>400</v>
      </c>
      <c r="D301" t="s">
        <v>390</v>
      </c>
      <c r="E301" t="s">
        <v>216</v>
      </c>
      <c r="F301" t="s">
        <v>24</v>
      </c>
      <c r="G301">
        <v>28</v>
      </c>
      <c r="H301">
        <v>2.2499999999999999E-2</v>
      </c>
      <c r="I301" t="s">
        <v>1413</v>
      </c>
      <c r="J301" s="2" t="s">
        <v>2124</v>
      </c>
      <c r="K301">
        <v>1</v>
      </c>
      <c r="L301">
        <v>1</v>
      </c>
      <c r="M301" t="s">
        <v>18</v>
      </c>
      <c r="N301" t="str">
        <f t="shared" si="4"/>
        <v>PAPER; COATED AND LAMINATED, NEC (2672)</v>
      </c>
    </row>
    <row r="302" spans="1:14" x14ac:dyDescent="0.45">
      <c r="A302" s="4">
        <v>2673</v>
      </c>
      <c r="B302" t="s">
        <v>403</v>
      </c>
      <c r="C302" t="s">
        <v>400</v>
      </c>
      <c r="D302" t="s">
        <v>390</v>
      </c>
      <c r="E302" t="s">
        <v>216</v>
      </c>
      <c r="F302" t="s">
        <v>24</v>
      </c>
      <c r="G302">
        <v>28</v>
      </c>
      <c r="H302">
        <v>2.2499999999999999E-2</v>
      </c>
      <c r="I302" t="s">
        <v>1413</v>
      </c>
      <c r="J302" s="2" t="s">
        <v>2124</v>
      </c>
      <c r="K302">
        <v>1</v>
      </c>
      <c r="L302">
        <v>1</v>
      </c>
      <c r="M302" t="s">
        <v>18</v>
      </c>
      <c r="N302" t="str">
        <f t="shared" si="4"/>
        <v>BAGS: PLASTIC, LAMINATED, AND COATED (2673)</v>
      </c>
    </row>
    <row r="303" spans="1:14" x14ac:dyDescent="0.45">
      <c r="A303" s="4">
        <v>2674</v>
      </c>
      <c r="B303" t="s">
        <v>404</v>
      </c>
      <c r="C303" t="s">
        <v>400</v>
      </c>
      <c r="D303" t="s">
        <v>390</v>
      </c>
      <c r="E303" t="s">
        <v>216</v>
      </c>
      <c r="F303" t="s">
        <v>24</v>
      </c>
      <c r="G303">
        <v>28</v>
      </c>
      <c r="H303">
        <v>2.2499999999999999E-2</v>
      </c>
      <c r="I303" t="s">
        <v>1413</v>
      </c>
      <c r="J303" s="2" t="s">
        <v>2124</v>
      </c>
      <c r="K303">
        <v>1</v>
      </c>
      <c r="L303">
        <v>1</v>
      </c>
      <c r="M303" t="s">
        <v>18</v>
      </c>
      <c r="N303" t="str">
        <f t="shared" si="4"/>
        <v>BAGS: UNCOATED PAPER AND MULTIWALL (2674)</v>
      </c>
    </row>
    <row r="304" spans="1:14" x14ac:dyDescent="0.45">
      <c r="A304" s="4">
        <v>2675</v>
      </c>
      <c r="B304" t="s">
        <v>405</v>
      </c>
      <c r="C304" t="s">
        <v>400</v>
      </c>
      <c r="D304" t="s">
        <v>390</v>
      </c>
      <c r="E304" t="s">
        <v>216</v>
      </c>
      <c r="F304" t="s">
        <v>24</v>
      </c>
      <c r="G304">
        <v>28</v>
      </c>
      <c r="H304">
        <v>2.2499999999999999E-2</v>
      </c>
      <c r="I304" t="s">
        <v>1413</v>
      </c>
      <c r="J304" s="2" t="s">
        <v>2124</v>
      </c>
      <c r="K304">
        <v>1</v>
      </c>
      <c r="L304">
        <v>1</v>
      </c>
      <c r="M304" t="s">
        <v>18</v>
      </c>
      <c r="N304" t="str">
        <f t="shared" si="4"/>
        <v>DIE-CUT PAPER AND BOARD (2675)</v>
      </c>
    </row>
    <row r="305" spans="1:14" x14ac:dyDescent="0.45">
      <c r="A305" s="4">
        <v>2676</v>
      </c>
      <c r="B305" t="s">
        <v>406</v>
      </c>
      <c r="C305" t="s">
        <v>400</v>
      </c>
      <c r="D305" t="s">
        <v>390</v>
      </c>
      <c r="E305" t="s">
        <v>216</v>
      </c>
      <c r="F305" t="s">
        <v>24</v>
      </c>
      <c r="G305">
        <v>28</v>
      </c>
      <c r="H305">
        <v>2.2499999999999999E-2</v>
      </c>
      <c r="I305" t="s">
        <v>1413</v>
      </c>
      <c r="J305" s="2" t="s">
        <v>2124</v>
      </c>
      <c r="K305">
        <v>1</v>
      </c>
      <c r="L305">
        <v>1</v>
      </c>
      <c r="M305" t="s">
        <v>18</v>
      </c>
      <c r="N305" t="str">
        <f t="shared" si="4"/>
        <v>SANITARY PAPER PRODUCTS (2676)</v>
      </c>
    </row>
    <row r="306" spans="1:14" x14ac:dyDescent="0.45">
      <c r="A306" s="4">
        <v>2677</v>
      </c>
      <c r="B306" t="s">
        <v>407</v>
      </c>
      <c r="C306" t="s">
        <v>400</v>
      </c>
      <c r="D306" t="s">
        <v>390</v>
      </c>
      <c r="E306" t="s">
        <v>216</v>
      </c>
      <c r="F306" t="s">
        <v>24</v>
      </c>
      <c r="G306">
        <v>28</v>
      </c>
      <c r="H306">
        <v>2.2499999999999999E-2</v>
      </c>
      <c r="I306" t="s">
        <v>1413</v>
      </c>
      <c r="J306" s="2" t="s">
        <v>2124</v>
      </c>
      <c r="K306">
        <v>1</v>
      </c>
      <c r="L306">
        <v>1</v>
      </c>
      <c r="M306" t="s">
        <v>18</v>
      </c>
      <c r="N306" t="str">
        <f t="shared" si="4"/>
        <v>ENVELOPES (2677)</v>
      </c>
    </row>
    <row r="307" spans="1:14" x14ac:dyDescent="0.45">
      <c r="A307" s="4">
        <v>2678</v>
      </c>
      <c r="B307" t="s">
        <v>408</v>
      </c>
      <c r="C307" t="s">
        <v>400</v>
      </c>
      <c r="D307" t="s">
        <v>390</v>
      </c>
      <c r="E307" t="s">
        <v>216</v>
      </c>
      <c r="F307" t="s">
        <v>24</v>
      </c>
      <c r="G307">
        <v>28</v>
      </c>
      <c r="H307">
        <v>2.2499999999999999E-2</v>
      </c>
      <c r="I307" t="s">
        <v>1413</v>
      </c>
      <c r="J307" s="2" t="s">
        <v>2124</v>
      </c>
      <c r="K307">
        <v>1</v>
      </c>
      <c r="L307">
        <v>1</v>
      </c>
      <c r="M307" t="s">
        <v>18</v>
      </c>
      <c r="N307" t="str">
        <f t="shared" si="4"/>
        <v>STATIONERY PRODUCTS (2678)</v>
      </c>
    </row>
    <row r="308" spans="1:14" x14ac:dyDescent="0.45">
      <c r="A308" s="4">
        <v>2679</v>
      </c>
      <c r="B308" t="s">
        <v>409</v>
      </c>
      <c r="C308" t="s">
        <v>400</v>
      </c>
      <c r="D308" t="s">
        <v>390</v>
      </c>
      <c r="E308" t="s">
        <v>216</v>
      </c>
      <c r="F308" t="s">
        <v>24</v>
      </c>
      <c r="G308">
        <v>28</v>
      </c>
      <c r="H308">
        <v>2.2499999999999999E-2</v>
      </c>
      <c r="I308" t="s">
        <v>1413</v>
      </c>
      <c r="J308" s="2" t="s">
        <v>2124</v>
      </c>
      <c r="K308">
        <v>1</v>
      </c>
      <c r="L308">
        <v>1</v>
      </c>
      <c r="M308" t="s">
        <v>18</v>
      </c>
      <c r="N308" t="str">
        <f t="shared" si="4"/>
        <v>CONVERTED PAPER PRODUCTS, NEC (2679)</v>
      </c>
    </row>
    <row r="309" spans="1:14" x14ac:dyDescent="0.45">
      <c r="A309" s="4">
        <v>2711</v>
      </c>
      <c r="B309" t="s">
        <v>410</v>
      </c>
      <c r="C309" t="s">
        <v>410</v>
      </c>
      <c r="D309" t="s">
        <v>411</v>
      </c>
      <c r="E309" t="s">
        <v>216</v>
      </c>
      <c r="F309" t="s">
        <v>24</v>
      </c>
      <c r="G309">
        <v>28</v>
      </c>
      <c r="H309">
        <v>2.2499999999999999E-2</v>
      </c>
      <c r="I309" t="s">
        <v>1413</v>
      </c>
      <c r="J309" s="2" t="s">
        <v>2124</v>
      </c>
      <c r="K309">
        <v>1</v>
      </c>
      <c r="L309">
        <v>1</v>
      </c>
      <c r="M309" t="s">
        <v>18</v>
      </c>
      <c r="N309" t="str">
        <f t="shared" si="4"/>
        <v>NEWSPAPERS (2711)</v>
      </c>
    </row>
    <row r="310" spans="1:14" x14ac:dyDescent="0.45">
      <c r="A310" s="4">
        <v>2721</v>
      </c>
      <c r="B310" t="s">
        <v>412</v>
      </c>
      <c r="C310" t="s">
        <v>412</v>
      </c>
      <c r="D310" t="s">
        <v>411</v>
      </c>
      <c r="E310" t="s">
        <v>216</v>
      </c>
      <c r="F310" t="s">
        <v>24</v>
      </c>
      <c r="G310">
        <v>28</v>
      </c>
      <c r="H310">
        <v>2.2499999999999999E-2</v>
      </c>
      <c r="I310" t="s">
        <v>1413</v>
      </c>
      <c r="J310" s="2" t="s">
        <v>2124</v>
      </c>
      <c r="K310">
        <v>1</v>
      </c>
      <c r="L310">
        <v>1</v>
      </c>
      <c r="M310" t="s">
        <v>18</v>
      </c>
      <c r="N310" t="str">
        <f t="shared" si="4"/>
        <v>PERIODICALS (2721)</v>
      </c>
    </row>
    <row r="311" spans="1:14" x14ac:dyDescent="0.45">
      <c r="A311" s="4">
        <v>2731</v>
      </c>
      <c r="B311" t="s">
        <v>413</v>
      </c>
      <c r="C311" t="s">
        <v>414</v>
      </c>
      <c r="D311" t="s">
        <v>411</v>
      </c>
      <c r="E311" t="s">
        <v>216</v>
      </c>
      <c r="F311" t="s">
        <v>24</v>
      </c>
      <c r="G311">
        <v>28</v>
      </c>
      <c r="H311">
        <v>2.2499999999999999E-2</v>
      </c>
      <c r="I311" t="s">
        <v>1413</v>
      </c>
      <c r="J311" s="2" t="s">
        <v>2124</v>
      </c>
      <c r="K311">
        <v>1</v>
      </c>
      <c r="L311">
        <v>1</v>
      </c>
      <c r="M311" t="s">
        <v>18</v>
      </c>
      <c r="N311" t="str">
        <f t="shared" si="4"/>
        <v>BOOK PUBLISHING (2731)</v>
      </c>
    </row>
    <row r="312" spans="1:14" x14ac:dyDescent="0.45">
      <c r="A312" s="4">
        <v>2732</v>
      </c>
      <c r="B312" t="s">
        <v>415</v>
      </c>
      <c r="C312" t="s">
        <v>414</v>
      </c>
      <c r="D312" t="s">
        <v>411</v>
      </c>
      <c r="E312" t="s">
        <v>216</v>
      </c>
      <c r="F312" t="s">
        <v>24</v>
      </c>
      <c r="G312">
        <v>28</v>
      </c>
      <c r="H312">
        <v>2.2499999999999999E-2</v>
      </c>
      <c r="I312" t="s">
        <v>1413</v>
      </c>
      <c r="J312" s="2" t="s">
        <v>2124</v>
      </c>
      <c r="K312">
        <v>1</v>
      </c>
      <c r="L312">
        <v>1</v>
      </c>
      <c r="M312" t="s">
        <v>18</v>
      </c>
      <c r="N312" t="str">
        <f t="shared" si="4"/>
        <v>BOOK PRINTING (2732)</v>
      </c>
    </row>
    <row r="313" spans="1:14" x14ac:dyDescent="0.45">
      <c r="A313" s="4">
        <v>2741</v>
      </c>
      <c r="B313" t="s">
        <v>416</v>
      </c>
      <c r="C313" t="s">
        <v>416</v>
      </c>
      <c r="D313" t="s">
        <v>411</v>
      </c>
      <c r="E313" t="s">
        <v>216</v>
      </c>
      <c r="F313" t="s">
        <v>24</v>
      </c>
      <c r="G313">
        <v>28</v>
      </c>
      <c r="H313">
        <v>2.2499999999999999E-2</v>
      </c>
      <c r="I313" t="s">
        <v>1413</v>
      </c>
      <c r="J313" s="2" t="s">
        <v>2124</v>
      </c>
      <c r="K313">
        <v>1</v>
      </c>
      <c r="L313">
        <v>1</v>
      </c>
      <c r="M313" t="s">
        <v>18</v>
      </c>
      <c r="N313" t="str">
        <f t="shared" si="4"/>
        <v>MISCELLANEOUS PUBLISHING (2741)</v>
      </c>
    </row>
    <row r="314" spans="1:14" x14ac:dyDescent="0.45">
      <c r="A314" s="4">
        <v>2750</v>
      </c>
      <c r="B314" t="s">
        <v>417</v>
      </c>
      <c r="C314" t="s">
        <v>417</v>
      </c>
      <c r="D314" t="s">
        <v>411</v>
      </c>
      <c r="E314" t="s">
        <v>216</v>
      </c>
      <c r="F314" t="s">
        <v>24</v>
      </c>
      <c r="G314">
        <v>28</v>
      </c>
      <c r="H314">
        <v>2.2499999999999999E-2</v>
      </c>
      <c r="I314" t="s">
        <v>1413</v>
      </c>
      <c r="J314" s="2" t="s">
        <v>2124</v>
      </c>
      <c r="K314">
        <v>1</v>
      </c>
      <c r="L314">
        <v>1</v>
      </c>
      <c r="M314" t="s">
        <v>18</v>
      </c>
      <c r="N314" t="str">
        <f t="shared" si="4"/>
        <v>COMMERCIAL PRINTING (2750)</v>
      </c>
    </row>
    <row r="315" spans="1:14" x14ac:dyDescent="0.45">
      <c r="A315" s="4">
        <v>2752</v>
      </c>
      <c r="B315" t="s">
        <v>418</v>
      </c>
      <c r="C315" t="s">
        <v>417</v>
      </c>
      <c r="D315" t="s">
        <v>411</v>
      </c>
      <c r="E315" t="s">
        <v>216</v>
      </c>
      <c r="F315" t="s">
        <v>24</v>
      </c>
      <c r="G315">
        <v>28</v>
      </c>
      <c r="H315">
        <v>2.2499999999999999E-2</v>
      </c>
      <c r="I315" t="s">
        <v>1413</v>
      </c>
      <c r="J315" s="2" t="s">
        <v>2124</v>
      </c>
      <c r="K315">
        <v>1</v>
      </c>
      <c r="L315">
        <v>1</v>
      </c>
      <c r="M315" t="s">
        <v>18</v>
      </c>
      <c r="N315" t="str">
        <f t="shared" si="4"/>
        <v>COMMERCIAL PRINTING, LITHOGRAPHIC (2752)</v>
      </c>
    </row>
    <row r="316" spans="1:14" x14ac:dyDescent="0.45">
      <c r="A316" s="4">
        <v>2754</v>
      </c>
      <c r="B316" t="s">
        <v>419</v>
      </c>
      <c r="C316" t="s">
        <v>417</v>
      </c>
      <c r="D316" t="s">
        <v>411</v>
      </c>
      <c r="E316" t="s">
        <v>216</v>
      </c>
      <c r="F316" t="s">
        <v>24</v>
      </c>
      <c r="G316">
        <v>28</v>
      </c>
      <c r="H316">
        <v>2.2499999999999999E-2</v>
      </c>
      <c r="I316" t="s">
        <v>1413</v>
      </c>
      <c r="J316" s="2" t="s">
        <v>2124</v>
      </c>
      <c r="K316">
        <v>1</v>
      </c>
      <c r="L316">
        <v>1</v>
      </c>
      <c r="M316" t="s">
        <v>18</v>
      </c>
      <c r="N316" t="str">
        <f t="shared" si="4"/>
        <v>COMMERCIAL PRINTING, GRAVURE (2754)</v>
      </c>
    </row>
    <row r="317" spans="1:14" x14ac:dyDescent="0.45">
      <c r="A317" s="4">
        <v>2759</v>
      </c>
      <c r="B317" t="s">
        <v>420</v>
      </c>
      <c r="C317" t="s">
        <v>417</v>
      </c>
      <c r="D317" t="s">
        <v>411</v>
      </c>
      <c r="E317" t="s">
        <v>216</v>
      </c>
      <c r="F317" t="s">
        <v>24</v>
      </c>
      <c r="G317">
        <v>28</v>
      </c>
      <c r="H317">
        <v>2.2499999999999999E-2</v>
      </c>
      <c r="I317" t="s">
        <v>1413</v>
      </c>
      <c r="J317" s="2" t="s">
        <v>2124</v>
      </c>
      <c r="K317">
        <v>1</v>
      </c>
      <c r="L317">
        <v>1</v>
      </c>
      <c r="M317" t="s">
        <v>18</v>
      </c>
      <c r="N317" t="str">
        <f t="shared" si="4"/>
        <v>COMMERCIAL PRINTING, NEC (2759)</v>
      </c>
    </row>
    <row r="318" spans="1:14" x14ac:dyDescent="0.45">
      <c r="A318" s="4">
        <v>2761</v>
      </c>
      <c r="B318" t="s">
        <v>421</v>
      </c>
      <c r="C318" t="s">
        <v>421</v>
      </c>
      <c r="D318" t="s">
        <v>411</v>
      </c>
      <c r="E318" t="s">
        <v>216</v>
      </c>
      <c r="F318" t="s">
        <v>24</v>
      </c>
      <c r="G318">
        <v>28</v>
      </c>
      <c r="H318">
        <v>2.2499999999999999E-2</v>
      </c>
      <c r="I318" t="s">
        <v>1413</v>
      </c>
      <c r="J318" s="2" t="s">
        <v>2124</v>
      </c>
      <c r="K318">
        <v>1</v>
      </c>
      <c r="L318">
        <v>1</v>
      </c>
      <c r="M318" t="s">
        <v>18</v>
      </c>
      <c r="N318" t="str">
        <f t="shared" si="4"/>
        <v>MANIFOLD BUSINESS FORMS (2761)</v>
      </c>
    </row>
    <row r="319" spans="1:14" x14ac:dyDescent="0.45">
      <c r="A319" s="4">
        <v>2771</v>
      </c>
      <c r="B319" t="s">
        <v>422</v>
      </c>
      <c r="C319" t="s">
        <v>422</v>
      </c>
      <c r="D319" t="s">
        <v>411</v>
      </c>
      <c r="E319" t="s">
        <v>216</v>
      </c>
      <c r="F319" t="s">
        <v>24</v>
      </c>
      <c r="G319">
        <v>28</v>
      </c>
      <c r="H319">
        <v>2.2499999999999999E-2</v>
      </c>
      <c r="I319" t="s">
        <v>1413</v>
      </c>
      <c r="J319" s="2" t="s">
        <v>2124</v>
      </c>
      <c r="K319">
        <v>1</v>
      </c>
      <c r="L319">
        <v>1</v>
      </c>
      <c r="M319" t="s">
        <v>18</v>
      </c>
      <c r="N319" t="str">
        <f t="shared" si="4"/>
        <v>GREETING CARDS (2771)</v>
      </c>
    </row>
    <row r="320" spans="1:14" x14ac:dyDescent="0.45">
      <c r="A320" s="4">
        <v>2780</v>
      </c>
      <c r="B320" t="s">
        <v>423</v>
      </c>
      <c r="C320" t="s">
        <v>423</v>
      </c>
      <c r="D320" t="s">
        <v>411</v>
      </c>
      <c r="E320" t="s">
        <v>216</v>
      </c>
      <c r="F320" t="s">
        <v>24</v>
      </c>
      <c r="G320">
        <v>28</v>
      </c>
      <c r="H320">
        <v>2.2499999999999999E-2</v>
      </c>
      <c r="I320" t="s">
        <v>1413</v>
      </c>
      <c r="J320" s="2" t="s">
        <v>2124</v>
      </c>
      <c r="K320">
        <v>1</v>
      </c>
      <c r="L320">
        <v>1</v>
      </c>
      <c r="M320" t="s">
        <v>18</v>
      </c>
      <c r="N320" t="str">
        <f t="shared" si="4"/>
        <v>BLANKBOOKS AND BOOKBINDING (2780)</v>
      </c>
    </row>
    <row r="321" spans="1:14" x14ac:dyDescent="0.45">
      <c r="A321" s="4">
        <v>2782</v>
      </c>
      <c r="B321" t="s">
        <v>424</v>
      </c>
      <c r="C321" t="s">
        <v>423</v>
      </c>
      <c r="D321" t="s">
        <v>411</v>
      </c>
      <c r="E321" t="s">
        <v>216</v>
      </c>
      <c r="F321" t="s">
        <v>24</v>
      </c>
      <c r="G321">
        <v>28</v>
      </c>
      <c r="H321">
        <v>2.2499999999999999E-2</v>
      </c>
      <c r="I321" t="s">
        <v>1413</v>
      </c>
      <c r="J321" s="2" t="s">
        <v>2124</v>
      </c>
      <c r="K321">
        <v>1</v>
      </c>
      <c r="L321">
        <v>1</v>
      </c>
      <c r="M321" t="s">
        <v>18</v>
      </c>
      <c r="N321" t="str">
        <f t="shared" si="4"/>
        <v>BLANKBOOKS AND LOOSELEAF BINDERS (2782)</v>
      </c>
    </row>
    <row r="322" spans="1:14" x14ac:dyDescent="0.45">
      <c r="A322" s="4">
        <v>2789</v>
      </c>
      <c r="B322" t="s">
        <v>425</v>
      </c>
      <c r="C322" t="s">
        <v>423</v>
      </c>
      <c r="D322" t="s">
        <v>411</v>
      </c>
      <c r="E322" t="s">
        <v>216</v>
      </c>
      <c r="F322" t="s">
        <v>24</v>
      </c>
      <c r="G322">
        <v>28</v>
      </c>
      <c r="H322">
        <v>2.2499999999999999E-2</v>
      </c>
      <c r="I322" t="s">
        <v>1413</v>
      </c>
      <c r="J322" s="2" t="s">
        <v>2124</v>
      </c>
      <c r="K322">
        <v>1</v>
      </c>
      <c r="L322">
        <v>1</v>
      </c>
      <c r="M322" t="s">
        <v>18</v>
      </c>
      <c r="N322" t="str">
        <f t="shared" si="4"/>
        <v>BOOKBINDING AND RELATED WORK (2789)</v>
      </c>
    </row>
    <row r="323" spans="1:14" x14ac:dyDescent="0.45">
      <c r="A323" s="4">
        <v>2790</v>
      </c>
      <c r="B323" t="s">
        <v>426</v>
      </c>
      <c r="C323" t="s">
        <v>426</v>
      </c>
      <c r="D323" t="s">
        <v>411</v>
      </c>
      <c r="E323" t="s">
        <v>216</v>
      </c>
      <c r="F323" t="s">
        <v>24</v>
      </c>
      <c r="G323">
        <v>28</v>
      </c>
      <c r="H323">
        <v>2.2499999999999999E-2</v>
      </c>
      <c r="I323" t="s">
        <v>1413</v>
      </c>
      <c r="J323" s="2" t="s">
        <v>2124</v>
      </c>
      <c r="K323">
        <v>1</v>
      </c>
      <c r="L323">
        <v>1</v>
      </c>
      <c r="M323" t="s">
        <v>18</v>
      </c>
      <c r="N323" t="str">
        <f t="shared" ref="N323:N386" si="5">B323&amp;" ("&amp;A323&amp;")"</f>
        <v>PRINTING TRADE SERVICES (2790)</v>
      </c>
    </row>
    <row r="324" spans="1:14" x14ac:dyDescent="0.45">
      <c r="A324" s="4">
        <v>2791</v>
      </c>
      <c r="B324" t="s">
        <v>427</v>
      </c>
      <c r="C324" t="s">
        <v>426</v>
      </c>
      <c r="D324" t="s">
        <v>411</v>
      </c>
      <c r="E324" t="s">
        <v>216</v>
      </c>
      <c r="F324" t="s">
        <v>24</v>
      </c>
      <c r="G324">
        <v>28</v>
      </c>
      <c r="H324">
        <v>2.2499999999999999E-2</v>
      </c>
      <c r="I324" t="s">
        <v>1413</v>
      </c>
      <c r="J324" s="2" t="s">
        <v>2124</v>
      </c>
      <c r="K324">
        <v>1</v>
      </c>
      <c r="L324">
        <v>1</v>
      </c>
      <c r="M324" t="s">
        <v>18</v>
      </c>
      <c r="N324" t="str">
        <f t="shared" si="5"/>
        <v>TYPESETTING (2791)</v>
      </c>
    </row>
    <row r="325" spans="1:14" x14ac:dyDescent="0.45">
      <c r="A325" s="4">
        <v>2796</v>
      </c>
      <c r="B325" t="s">
        <v>428</v>
      </c>
      <c r="C325" t="s">
        <v>426</v>
      </c>
      <c r="D325" t="s">
        <v>411</v>
      </c>
      <c r="E325" t="s">
        <v>216</v>
      </c>
      <c r="F325" t="s">
        <v>24</v>
      </c>
      <c r="G325">
        <v>28</v>
      </c>
      <c r="H325">
        <v>2.2499999999999999E-2</v>
      </c>
      <c r="I325" t="s">
        <v>1413</v>
      </c>
      <c r="J325" s="2" t="s">
        <v>2124</v>
      </c>
      <c r="K325">
        <v>1</v>
      </c>
      <c r="L325">
        <v>1</v>
      </c>
      <c r="M325" t="s">
        <v>18</v>
      </c>
      <c r="N325" t="str">
        <f t="shared" si="5"/>
        <v>PLATEMAKING SERVICES (2796)</v>
      </c>
    </row>
    <row r="326" spans="1:14" x14ac:dyDescent="0.45">
      <c r="A326" s="4">
        <v>2800</v>
      </c>
      <c r="B326" t="s">
        <v>429</v>
      </c>
      <c r="C326" t="s">
        <v>429</v>
      </c>
      <c r="D326" t="s">
        <v>429</v>
      </c>
      <c r="E326" t="s">
        <v>216</v>
      </c>
      <c r="F326" t="s">
        <v>24</v>
      </c>
      <c r="G326">
        <v>28</v>
      </c>
      <c r="H326">
        <v>2.2499999999999999E-2</v>
      </c>
      <c r="I326" t="s">
        <v>1413</v>
      </c>
      <c r="J326" s="2" t="s">
        <v>2124</v>
      </c>
      <c r="K326">
        <v>1</v>
      </c>
      <c r="L326">
        <v>1</v>
      </c>
      <c r="M326" t="s">
        <v>18</v>
      </c>
      <c r="N326" t="str">
        <f t="shared" si="5"/>
        <v>CHEMICALS AND ALLIED PRODUCTS (2800)</v>
      </c>
    </row>
    <row r="327" spans="1:14" x14ac:dyDescent="0.45">
      <c r="A327" s="4">
        <v>2810</v>
      </c>
      <c r="B327" t="s">
        <v>430</v>
      </c>
      <c r="C327" t="s">
        <v>430</v>
      </c>
      <c r="D327" t="s">
        <v>429</v>
      </c>
      <c r="E327" t="s">
        <v>216</v>
      </c>
      <c r="F327" t="s">
        <v>24</v>
      </c>
      <c r="G327">
        <v>28</v>
      </c>
      <c r="H327">
        <v>2.2499999999999999E-2</v>
      </c>
      <c r="I327" t="s">
        <v>1413</v>
      </c>
      <c r="J327" s="2" t="s">
        <v>2124</v>
      </c>
      <c r="K327">
        <v>1</v>
      </c>
      <c r="L327">
        <v>1</v>
      </c>
      <c r="M327" t="s">
        <v>18</v>
      </c>
      <c r="N327" t="str">
        <f t="shared" si="5"/>
        <v>INDUSTRIAL INORGANIC CHEMICALS (2810)</v>
      </c>
    </row>
    <row r="328" spans="1:14" x14ac:dyDescent="0.45">
      <c r="A328" s="4">
        <v>2812</v>
      </c>
      <c r="B328" t="s">
        <v>431</v>
      </c>
      <c r="C328" t="s">
        <v>430</v>
      </c>
      <c r="D328" t="s">
        <v>429</v>
      </c>
      <c r="E328" t="s">
        <v>216</v>
      </c>
      <c r="F328" t="s">
        <v>24</v>
      </c>
      <c r="G328">
        <v>28</v>
      </c>
      <c r="H328">
        <v>2.2499999999999999E-2</v>
      </c>
      <c r="I328" t="s">
        <v>1413</v>
      </c>
      <c r="J328" s="2" t="s">
        <v>2124</v>
      </c>
      <c r="K328">
        <v>1</v>
      </c>
      <c r="L328">
        <v>1</v>
      </c>
      <c r="M328" t="s">
        <v>18</v>
      </c>
      <c r="N328" t="str">
        <f t="shared" si="5"/>
        <v>ALKALIES AND CHLORINE (2812)</v>
      </c>
    </row>
    <row r="329" spans="1:14" x14ac:dyDescent="0.45">
      <c r="A329" s="4">
        <v>2813</v>
      </c>
      <c r="B329" t="s">
        <v>432</v>
      </c>
      <c r="C329" t="s">
        <v>430</v>
      </c>
      <c r="D329" t="s">
        <v>429</v>
      </c>
      <c r="E329" t="s">
        <v>216</v>
      </c>
      <c r="F329" t="s">
        <v>24</v>
      </c>
      <c r="G329">
        <v>28</v>
      </c>
      <c r="H329">
        <v>2.2499999999999999E-2</v>
      </c>
      <c r="I329" t="s">
        <v>1413</v>
      </c>
      <c r="J329" s="2" t="s">
        <v>2124</v>
      </c>
      <c r="K329">
        <v>1</v>
      </c>
      <c r="L329">
        <v>1</v>
      </c>
      <c r="M329" t="s">
        <v>18</v>
      </c>
      <c r="N329" t="str">
        <f t="shared" si="5"/>
        <v>INDUSTRIAL GASES (2813)</v>
      </c>
    </row>
    <row r="330" spans="1:14" x14ac:dyDescent="0.45">
      <c r="A330" s="4">
        <v>2816</v>
      </c>
      <c r="B330" t="s">
        <v>433</v>
      </c>
      <c r="C330" t="s">
        <v>430</v>
      </c>
      <c r="D330" t="s">
        <v>429</v>
      </c>
      <c r="E330" t="s">
        <v>216</v>
      </c>
      <c r="F330" t="s">
        <v>24</v>
      </c>
      <c r="G330">
        <v>28</v>
      </c>
      <c r="H330">
        <v>2.2499999999999999E-2</v>
      </c>
      <c r="I330" t="s">
        <v>1413</v>
      </c>
      <c r="J330" s="2" t="s">
        <v>2124</v>
      </c>
      <c r="K330">
        <v>1</v>
      </c>
      <c r="L330">
        <v>1</v>
      </c>
      <c r="M330" t="s">
        <v>18</v>
      </c>
      <c r="N330" t="str">
        <f t="shared" si="5"/>
        <v>INORGANIC PIGMENTS (2816)</v>
      </c>
    </row>
    <row r="331" spans="1:14" x14ac:dyDescent="0.45">
      <c r="A331" s="4">
        <v>2819</v>
      </c>
      <c r="B331" t="s">
        <v>434</v>
      </c>
      <c r="C331" t="s">
        <v>430</v>
      </c>
      <c r="D331" t="s">
        <v>429</v>
      </c>
      <c r="E331" t="s">
        <v>216</v>
      </c>
      <c r="F331" t="s">
        <v>24</v>
      </c>
      <c r="G331">
        <v>28</v>
      </c>
      <c r="H331">
        <v>2.2499999999999999E-2</v>
      </c>
      <c r="I331" t="s">
        <v>1413</v>
      </c>
      <c r="J331" s="2" t="s">
        <v>2124</v>
      </c>
      <c r="K331">
        <v>1</v>
      </c>
      <c r="L331">
        <v>1</v>
      </c>
      <c r="M331" t="s">
        <v>18</v>
      </c>
      <c r="N331" t="str">
        <f t="shared" si="5"/>
        <v>INDUSTRIAL INORGANIC CHEMICALS, NEC (2819)</v>
      </c>
    </row>
    <row r="332" spans="1:14" x14ac:dyDescent="0.45">
      <c r="A332" s="4">
        <v>2820</v>
      </c>
      <c r="B332" t="s">
        <v>435</v>
      </c>
      <c r="C332" t="s">
        <v>435</v>
      </c>
      <c r="D332" t="s">
        <v>429</v>
      </c>
      <c r="E332" t="s">
        <v>216</v>
      </c>
      <c r="F332" t="s">
        <v>24</v>
      </c>
      <c r="G332">
        <v>28</v>
      </c>
      <c r="H332">
        <v>2.2499999999999999E-2</v>
      </c>
      <c r="I332" t="s">
        <v>1413</v>
      </c>
      <c r="J332" s="2" t="s">
        <v>2124</v>
      </c>
      <c r="K332">
        <v>1</v>
      </c>
      <c r="L332">
        <v>1</v>
      </c>
      <c r="M332" t="s">
        <v>18</v>
      </c>
      <c r="N332" t="str">
        <f t="shared" si="5"/>
        <v>PLASTICS MATERIALS AND SYNTHETICS (2820)</v>
      </c>
    </row>
    <row r="333" spans="1:14" x14ac:dyDescent="0.45">
      <c r="A333" s="4">
        <v>2821</v>
      </c>
      <c r="B333" t="s">
        <v>436</v>
      </c>
      <c r="C333" t="s">
        <v>435</v>
      </c>
      <c r="D333" t="s">
        <v>429</v>
      </c>
      <c r="E333" t="s">
        <v>216</v>
      </c>
      <c r="F333" t="s">
        <v>24</v>
      </c>
      <c r="G333">
        <v>28</v>
      </c>
      <c r="H333">
        <v>2.2499999999999999E-2</v>
      </c>
      <c r="I333" t="s">
        <v>1413</v>
      </c>
      <c r="J333" s="2" t="s">
        <v>2124</v>
      </c>
      <c r="K333">
        <v>1</v>
      </c>
      <c r="L333">
        <v>1</v>
      </c>
      <c r="M333" t="s">
        <v>18</v>
      </c>
      <c r="N333" t="str">
        <f t="shared" si="5"/>
        <v>PLASTICS MATERIALS AND RESINS (2821)</v>
      </c>
    </row>
    <row r="334" spans="1:14" x14ac:dyDescent="0.45">
      <c r="A334" s="4">
        <v>2822</v>
      </c>
      <c r="B334" t="s">
        <v>437</v>
      </c>
      <c r="C334" t="s">
        <v>435</v>
      </c>
      <c r="D334" t="s">
        <v>429</v>
      </c>
      <c r="E334" t="s">
        <v>216</v>
      </c>
      <c r="F334" t="s">
        <v>24</v>
      </c>
      <c r="G334">
        <v>28</v>
      </c>
      <c r="H334">
        <v>2.2499999999999999E-2</v>
      </c>
      <c r="I334" t="s">
        <v>1413</v>
      </c>
      <c r="J334" s="2" t="s">
        <v>2124</v>
      </c>
      <c r="K334">
        <v>1</v>
      </c>
      <c r="L334">
        <v>1</v>
      </c>
      <c r="M334" t="s">
        <v>18</v>
      </c>
      <c r="N334" t="str">
        <f t="shared" si="5"/>
        <v>SYNTHETIC RUBBER (2822)</v>
      </c>
    </row>
    <row r="335" spans="1:14" x14ac:dyDescent="0.45">
      <c r="A335" s="4">
        <v>2823</v>
      </c>
      <c r="B335" t="s">
        <v>438</v>
      </c>
      <c r="C335" t="s">
        <v>435</v>
      </c>
      <c r="D335" t="s">
        <v>429</v>
      </c>
      <c r="E335" t="s">
        <v>216</v>
      </c>
      <c r="F335" t="s">
        <v>24</v>
      </c>
      <c r="G335">
        <v>28</v>
      </c>
      <c r="H335">
        <v>2.2499999999999999E-2</v>
      </c>
      <c r="I335" t="s">
        <v>1413</v>
      </c>
      <c r="J335" s="2" t="s">
        <v>2124</v>
      </c>
      <c r="K335">
        <v>1</v>
      </c>
      <c r="L335">
        <v>1</v>
      </c>
      <c r="M335" t="s">
        <v>18</v>
      </c>
      <c r="N335" t="str">
        <f t="shared" si="5"/>
        <v>CELLULOSIC MANMADE FIBERS (2823)</v>
      </c>
    </row>
    <row r="336" spans="1:14" x14ac:dyDescent="0.45">
      <c r="A336" s="4">
        <v>2824</v>
      </c>
      <c r="B336" t="s">
        <v>439</v>
      </c>
      <c r="C336" t="s">
        <v>435</v>
      </c>
      <c r="D336" t="s">
        <v>429</v>
      </c>
      <c r="E336" t="s">
        <v>216</v>
      </c>
      <c r="F336" t="s">
        <v>24</v>
      </c>
      <c r="G336">
        <v>28</v>
      </c>
      <c r="H336">
        <v>2.2499999999999999E-2</v>
      </c>
      <c r="I336" t="s">
        <v>1413</v>
      </c>
      <c r="J336" s="2" t="s">
        <v>2124</v>
      </c>
      <c r="K336">
        <v>1</v>
      </c>
      <c r="L336">
        <v>1</v>
      </c>
      <c r="M336" t="s">
        <v>18</v>
      </c>
      <c r="N336" t="str">
        <f t="shared" si="5"/>
        <v>ORGANIC FIBERS, NONCELLULOSIC (2824)</v>
      </c>
    </row>
    <row r="337" spans="1:14" x14ac:dyDescent="0.45">
      <c r="A337" s="4">
        <v>2833</v>
      </c>
      <c r="B337" t="s">
        <v>440</v>
      </c>
      <c r="C337" t="s">
        <v>441</v>
      </c>
      <c r="D337" t="s">
        <v>429</v>
      </c>
      <c r="E337" t="s">
        <v>216</v>
      </c>
      <c r="F337" t="s">
        <v>29</v>
      </c>
      <c r="G337">
        <v>1</v>
      </c>
      <c r="H337">
        <v>6.8599999999999994E-2</v>
      </c>
      <c r="I337" t="s">
        <v>1413</v>
      </c>
      <c r="J337" s="2" t="s">
        <v>2127</v>
      </c>
      <c r="K337">
        <v>1</v>
      </c>
      <c r="L337">
        <v>1</v>
      </c>
      <c r="M337" t="s">
        <v>18</v>
      </c>
      <c r="N337" t="str">
        <f t="shared" si="5"/>
        <v>MEDICINALS AND BOTANICALS (2833)</v>
      </c>
    </row>
    <row r="338" spans="1:14" x14ac:dyDescent="0.45">
      <c r="A338" s="4">
        <v>2834</v>
      </c>
      <c r="B338" t="s">
        <v>442</v>
      </c>
      <c r="C338" t="s">
        <v>441</v>
      </c>
      <c r="D338" t="s">
        <v>429</v>
      </c>
      <c r="E338" t="s">
        <v>216</v>
      </c>
      <c r="F338" t="s">
        <v>29</v>
      </c>
      <c r="G338">
        <v>1</v>
      </c>
      <c r="H338">
        <v>6.8599999999999994E-2</v>
      </c>
      <c r="I338" t="s">
        <v>1413</v>
      </c>
      <c r="J338" s="2" t="s">
        <v>2127</v>
      </c>
      <c r="K338">
        <v>1</v>
      </c>
      <c r="L338">
        <v>1</v>
      </c>
      <c r="M338" t="s">
        <v>18</v>
      </c>
      <c r="N338" t="str">
        <f t="shared" si="5"/>
        <v>PHARMACEUTICAL PREPARATIONS (2834)</v>
      </c>
    </row>
    <row r="339" spans="1:14" x14ac:dyDescent="0.45">
      <c r="A339" s="4">
        <v>2835</v>
      </c>
      <c r="B339" t="s">
        <v>443</v>
      </c>
      <c r="C339" t="s">
        <v>441</v>
      </c>
      <c r="D339" t="s">
        <v>429</v>
      </c>
      <c r="E339" t="s">
        <v>216</v>
      </c>
      <c r="F339" t="s">
        <v>29</v>
      </c>
      <c r="G339">
        <v>1</v>
      </c>
      <c r="H339">
        <v>6.8599999999999994E-2</v>
      </c>
      <c r="I339" t="s">
        <v>1413</v>
      </c>
      <c r="J339" s="2" t="s">
        <v>2127</v>
      </c>
      <c r="K339">
        <v>1</v>
      </c>
      <c r="L339">
        <v>1</v>
      </c>
      <c r="M339" t="s">
        <v>18</v>
      </c>
      <c r="N339" t="str">
        <f t="shared" si="5"/>
        <v>DIAGNOSTIC SUBSTANCES (2835)</v>
      </c>
    </row>
    <row r="340" spans="1:14" x14ac:dyDescent="0.45">
      <c r="A340" s="4">
        <v>2836</v>
      </c>
      <c r="B340" t="s">
        <v>444</v>
      </c>
      <c r="C340" t="s">
        <v>441</v>
      </c>
      <c r="D340" t="s">
        <v>429</v>
      </c>
      <c r="E340" t="s">
        <v>216</v>
      </c>
      <c r="F340" t="s">
        <v>29</v>
      </c>
      <c r="G340">
        <v>1</v>
      </c>
      <c r="H340">
        <v>6.8599999999999994E-2</v>
      </c>
      <c r="I340" t="s">
        <v>1413</v>
      </c>
      <c r="J340" s="2" t="s">
        <v>2127</v>
      </c>
      <c r="K340">
        <v>1</v>
      </c>
      <c r="L340">
        <v>1</v>
      </c>
      <c r="M340" t="s">
        <v>18</v>
      </c>
      <c r="N340" t="str">
        <f t="shared" si="5"/>
        <v>BIOLOGICAL PRODUCTS, EXCEPT DIAGNOSTIC (2836)</v>
      </c>
    </row>
    <row r="341" spans="1:14" x14ac:dyDescent="0.45">
      <c r="A341" s="4">
        <v>2840</v>
      </c>
      <c r="B341" t="s">
        <v>445</v>
      </c>
      <c r="C341" t="s">
        <v>445</v>
      </c>
      <c r="D341" t="s">
        <v>429</v>
      </c>
      <c r="E341" t="s">
        <v>216</v>
      </c>
      <c r="F341" t="s">
        <v>24</v>
      </c>
      <c r="G341">
        <v>28</v>
      </c>
      <c r="H341">
        <v>2.2499999999999999E-2</v>
      </c>
      <c r="I341" t="s">
        <v>1413</v>
      </c>
      <c r="J341" s="2" t="s">
        <v>2124</v>
      </c>
      <c r="K341">
        <v>1</v>
      </c>
      <c r="L341">
        <v>1</v>
      </c>
      <c r="M341" t="s">
        <v>18</v>
      </c>
      <c r="N341" t="str">
        <f t="shared" si="5"/>
        <v>SOAP, CLEANERS, AND TOILET GOODS (2840)</v>
      </c>
    </row>
    <row r="342" spans="1:14" x14ac:dyDescent="0.45">
      <c r="A342" s="4">
        <v>2841</v>
      </c>
      <c r="B342" t="s">
        <v>446</v>
      </c>
      <c r="C342" t="s">
        <v>445</v>
      </c>
      <c r="D342" t="s">
        <v>429</v>
      </c>
      <c r="E342" t="s">
        <v>216</v>
      </c>
      <c r="F342" t="s">
        <v>24</v>
      </c>
      <c r="G342">
        <v>28</v>
      </c>
      <c r="H342">
        <v>2.2499999999999999E-2</v>
      </c>
      <c r="I342" t="s">
        <v>1413</v>
      </c>
      <c r="J342" s="2" t="s">
        <v>2124</v>
      </c>
      <c r="K342">
        <v>1</v>
      </c>
      <c r="L342">
        <v>1</v>
      </c>
      <c r="M342" t="s">
        <v>18</v>
      </c>
      <c r="N342" t="str">
        <f t="shared" si="5"/>
        <v>SOAP AND OTHER DETERGENTS (2841)</v>
      </c>
    </row>
    <row r="343" spans="1:14" x14ac:dyDescent="0.45">
      <c r="A343" s="4">
        <v>2842</v>
      </c>
      <c r="B343" t="s">
        <v>447</v>
      </c>
      <c r="C343" t="s">
        <v>445</v>
      </c>
      <c r="D343" t="s">
        <v>429</v>
      </c>
      <c r="E343" t="s">
        <v>216</v>
      </c>
      <c r="F343" t="s">
        <v>24</v>
      </c>
      <c r="G343">
        <v>28</v>
      </c>
      <c r="H343">
        <v>2.2499999999999999E-2</v>
      </c>
      <c r="I343" t="s">
        <v>1413</v>
      </c>
      <c r="J343" s="2" t="s">
        <v>2124</v>
      </c>
      <c r="K343">
        <v>1</v>
      </c>
      <c r="L343">
        <v>1</v>
      </c>
      <c r="M343" t="s">
        <v>18</v>
      </c>
      <c r="N343" t="str">
        <f t="shared" si="5"/>
        <v>POLISHES AND SANITATION GOODS (2842)</v>
      </c>
    </row>
    <row r="344" spans="1:14" x14ac:dyDescent="0.45">
      <c r="A344" s="4">
        <v>2843</v>
      </c>
      <c r="B344" t="s">
        <v>448</v>
      </c>
      <c r="C344" t="s">
        <v>445</v>
      </c>
      <c r="D344" t="s">
        <v>429</v>
      </c>
      <c r="E344" t="s">
        <v>216</v>
      </c>
      <c r="F344" t="s">
        <v>24</v>
      </c>
      <c r="G344">
        <v>28</v>
      </c>
      <c r="H344">
        <v>2.2499999999999999E-2</v>
      </c>
      <c r="I344" t="s">
        <v>1413</v>
      </c>
      <c r="J344" s="2" t="s">
        <v>2124</v>
      </c>
      <c r="K344">
        <v>1</v>
      </c>
      <c r="L344">
        <v>1</v>
      </c>
      <c r="M344" t="s">
        <v>18</v>
      </c>
      <c r="N344" t="str">
        <f t="shared" si="5"/>
        <v>SURFACE ACTIVE AGENTS (2843)</v>
      </c>
    </row>
    <row r="345" spans="1:14" x14ac:dyDescent="0.45">
      <c r="A345" s="4">
        <v>2844</v>
      </c>
      <c r="B345" t="s">
        <v>449</v>
      </c>
      <c r="C345" t="s">
        <v>445</v>
      </c>
      <c r="D345" t="s">
        <v>429</v>
      </c>
      <c r="E345" t="s">
        <v>216</v>
      </c>
      <c r="F345" t="s">
        <v>24</v>
      </c>
      <c r="G345">
        <v>28</v>
      </c>
      <c r="H345">
        <v>2.2499999999999999E-2</v>
      </c>
      <c r="I345" t="s">
        <v>1413</v>
      </c>
      <c r="J345" s="2" t="s">
        <v>2124</v>
      </c>
      <c r="K345">
        <v>1</v>
      </c>
      <c r="L345">
        <v>1</v>
      </c>
      <c r="M345" t="s">
        <v>18</v>
      </c>
      <c r="N345" t="str">
        <f t="shared" si="5"/>
        <v>TOILET PREPARATIONS (2844)</v>
      </c>
    </row>
    <row r="346" spans="1:14" x14ac:dyDescent="0.45">
      <c r="A346" s="4">
        <v>2851</v>
      </c>
      <c r="B346" t="s">
        <v>450</v>
      </c>
      <c r="C346" t="s">
        <v>450</v>
      </c>
      <c r="D346" t="s">
        <v>429</v>
      </c>
      <c r="E346" t="s">
        <v>216</v>
      </c>
      <c r="F346" t="s">
        <v>24</v>
      </c>
      <c r="G346">
        <v>28</v>
      </c>
      <c r="H346">
        <v>2.2499999999999999E-2</v>
      </c>
      <c r="I346" t="s">
        <v>1413</v>
      </c>
      <c r="J346" s="2" t="s">
        <v>2124</v>
      </c>
      <c r="K346">
        <v>1</v>
      </c>
      <c r="L346">
        <v>1</v>
      </c>
      <c r="M346" t="s">
        <v>18</v>
      </c>
      <c r="N346" t="str">
        <f t="shared" si="5"/>
        <v>PAINTS AND ALLIED PRODUCTS (2851)</v>
      </c>
    </row>
    <row r="347" spans="1:14" x14ac:dyDescent="0.45">
      <c r="A347" s="4">
        <v>2860</v>
      </c>
      <c r="B347" t="s">
        <v>451</v>
      </c>
      <c r="C347" t="s">
        <v>451</v>
      </c>
      <c r="D347" t="s">
        <v>429</v>
      </c>
      <c r="E347" t="s">
        <v>216</v>
      </c>
      <c r="F347" t="s">
        <v>24</v>
      </c>
      <c r="G347">
        <v>28</v>
      </c>
      <c r="H347">
        <v>2.2499999999999999E-2</v>
      </c>
      <c r="I347" t="s">
        <v>1413</v>
      </c>
      <c r="J347" s="2" t="s">
        <v>2124</v>
      </c>
      <c r="K347">
        <v>1</v>
      </c>
      <c r="L347">
        <v>1</v>
      </c>
      <c r="M347" t="s">
        <v>18</v>
      </c>
      <c r="N347" t="str">
        <f t="shared" si="5"/>
        <v>INDUSTRIAL ORGANIC CHEMICALS (2860)</v>
      </c>
    </row>
    <row r="348" spans="1:14" x14ac:dyDescent="0.45">
      <c r="A348" s="4">
        <v>2861</v>
      </c>
      <c r="B348" t="s">
        <v>452</v>
      </c>
      <c r="C348" t="s">
        <v>451</v>
      </c>
      <c r="D348" t="s">
        <v>429</v>
      </c>
      <c r="E348" t="s">
        <v>216</v>
      </c>
      <c r="F348" t="s">
        <v>24</v>
      </c>
      <c r="G348">
        <v>28</v>
      </c>
      <c r="H348">
        <v>2.2499999999999999E-2</v>
      </c>
      <c r="I348" t="s">
        <v>1413</v>
      </c>
      <c r="J348" s="2" t="s">
        <v>2124</v>
      </c>
      <c r="K348">
        <v>1</v>
      </c>
      <c r="L348">
        <v>1</v>
      </c>
      <c r="M348" t="s">
        <v>18</v>
      </c>
      <c r="N348" t="str">
        <f t="shared" si="5"/>
        <v>GUM AND WOOD CHEMICALS (2861)</v>
      </c>
    </row>
    <row r="349" spans="1:14" x14ac:dyDescent="0.45">
      <c r="A349" s="4">
        <v>2865</v>
      </c>
      <c r="B349" t="s">
        <v>453</v>
      </c>
      <c r="C349" t="s">
        <v>451</v>
      </c>
      <c r="D349" t="s">
        <v>429</v>
      </c>
      <c r="E349" t="s">
        <v>216</v>
      </c>
      <c r="F349" t="s">
        <v>24</v>
      </c>
      <c r="G349">
        <v>28</v>
      </c>
      <c r="H349">
        <v>2.2499999999999999E-2</v>
      </c>
      <c r="I349" t="s">
        <v>1413</v>
      </c>
      <c r="J349" s="2" t="s">
        <v>2124</v>
      </c>
      <c r="K349">
        <v>1</v>
      </c>
      <c r="L349">
        <v>1</v>
      </c>
      <c r="M349" t="s">
        <v>18</v>
      </c>
      <c r="N349" t="str">
        <f t="shared" si="5"/>
        <v>CYCLIC CRUDES AND INTERMEDIATES (2865)</v>
      </c>
    </row>
    <row r="350" spans="1:14" x14ac:dyDescent="0.45">
      <c r="A350" s="4">
        <v>2869</v>
      </c>
      <c r="B350" t="s">
        <v>454</v>
      </c>
      <c r="C350" t="s">
        <v>451</v>
      </c>
      <c r="D350" t="s">
        <v>429</v>
      </c>
      <c r="E350" t="s">
        <v>216</v>
      </c>
      <c r="F350" t="s">
        <v>24</v>
      </c>
      <c r="G350">
        <v>28</v>
      </c>
      <c r="H350">
        <v>2.2499999999999999E-2</v>
      </c>
      <c r="I350" t="s">
        <v>1413</v>
      </c>
      <c r="J350" s="2" t="s">
        <v>2124</v>
      </c>
      <c r="K350">
        <v>1</v>
      </c>
      <c r="L350">
        <v>1</v>
      </c>
      <c r="M350" t="s">
        <v>18</v>
      </c>
      <c r="N350" t="str">
        <f t="shared" si="5"/>
        <v>INDUSTRIAL ORGANIC CHEMICALS, NEC (2869)</v>
      </c>
    </row>
    <row r="351" spans="1:14" x14ac:dyDescent="0.45">
      <c r="A351" s="4">
        <v>2870</v>
      </c>
      <c r="B351" t="s">
        <v>455</v>
      </c>
      <c r="C351" t="s">
        <v>455</v>
      </c>
      <c r="D351" t="s">
        <v>429</v>
      </c>
      <c r="E351" t="s">
        <v>216</v>
      </c>
      <c r="F351" t="s">
        <v>24</v>
      </c>
      <c r="G351">
        <v>28</v>
      </c>
      <c r="H351">
        <v>2.2499999999999999E-2</v>
      </c>
      <c r="I351" t="s">
        <v>1413</v>
      </c>
      <c r="J351" s="2" t="s">
        <v>2124</v>
      </c>
      <c r="K351">
        <v>1</v>
      </c>
      <c r="L351">
        <v>1</v>
      </c>
      <c r="M351" t="s">
        <v>18</v>
      </c>
      <c r="N351" t="str">
        <f t="shared" si="5"/>
        <v>AGRICULTURAL CHEMICALS (2870)</v>
      </c>
    </row>
    <row r="352" spans="1:14" x14ac:dyDescent="0.45">
      <c r="A352" s="4">
        <v>2873</v>
      </c>
      <c r="B352" t="s">
        <v>456</v>
      </c>
      <c r="C352" t="s">
        <v>455</v>
      </c>
      <c r="D352" t="s">
        <v>429</v>
      </c>
      <c r="E352" t="s">
        <v>216</v>
      </c>
      <c r="F352" t="s">
        <v>24</v>
      </c>
      <c r="G352">
        <v>28</v>
      </c>
      <c r="H352">
        <v>2.2499999999999999E-2</v>
      </c>
      <c r="I352" t="s">
        <v>1413</v>
      </c>
      <c r="J352" s="2" t="s">
        <v>2124</v>
      </c>
      <c r="K352">
        <v>1</v>
      </c>
      <c r="L352">
        <v>1</v>
      </c>
      <c r="M352" t="s">
        <v>18</v>
      </c>
      <c r="N352" t="str">
        <f t="shared" si="5"/>
        <v>NITROGENOUS FERTILIZERS (2873)</v>
      </c>
    </row>
    <row r="353" spans="1:14" x14ac:dyDescent="0.45">
      <c r="A353" s="4">
        <v>2874</v>
      </c>
      <c r="B353" t="s">
        <v>457</v>
      </c>
      <c r="C353" t="s">
        <v>455</v>
      </c>
      <c r="D353" t="s">
        <v>429</v>
      </c>
      <c r="E353" t="s">
        <v>216</v>
      </c>
      <c r="F353" t="s">
        <v>24</v>
      </c>
      <c r="G353">
        <v>28</v>
      </c>
      <c r="H353">
        <v>2.2499999999999999E-2</v>
      </c>
      <c r="I353" t="s">
        <v>1413</v>
      </c>
      <c r="J353" s="2" t="s">
        <v>2124</v>
      </c>
      <c r="K353">
        <v>1</v>
      </c>
      <c r="L353">
        <v>1</v>
      </c>
      <c r="M353" t="s">
        <v>18</v>
      </c>
      <c r="N353" t="str">
        <f t="shared" si="5"/>
        <v>PHOSPHATIC FERTILIZERS (2874)</v>
      </c>
    </row>
    <row r="354" spans="1:14" x14ac:dyDescent="0.45">
      <c r="A354" s="4">
        <v>2875</v>
      </c>
      <c r="B354" t="s">
        <v>458</v>
      </c>
      <c r="C354" t="s">
        <v>455</v>
      </c>
      <c r="D354" t="s">
        <v>429</v>
      </c>
      <c r="E354" t="s">
        <v>216</v>
      </c>
      <c r="F354" t="s">
        <v>24</v>
      </c>
      <c r="G354">
        <v>28</v>
      </c>
      <c r="H354">
        <v>2.2499999999999999E-2</v>
      </c>
      <c r="I354" t="s">
        <v>1413</v>
      </c>
      <c r="J354" s="2" t="s">
        <v>2124</v>
      </c>
      <c r="K354">
        <v>1</v>
      </c>
      <c r="L354">
        <v>1</v>
      </c>
      <c r="M354" t="s">
        <v>18</v>
      </c>
      <c r="N354" t="str">
        <f t="shared" si="5"/>
        <v>FERTILIZERS, MIXING ONLY (2875)</v>
      </c>
    </row>
    <row r="355" spans="1:14" x14ac:dyDescent="0.45">
      <c r="A355" s="4">
        <v>2879</v>
      </c>
      <c r="B355" t="s">
        <v>459</v>
      </c>
      <c r="C355" t="s">
        <v>455</v>
      </c>
      <c r="D355" t="s">
        <v>429</v>
      </c>
      <c r="E355" t="s">
        <v>216</v>
      </c>
      <c r="F355" t="s">
        <v>24</v>
      </c>
      <c r="G355">
        <v>28</v>
      </c>
      <c r="H355">
        <v>2.2499999999999999E-2</v>
      </c>
      <c r="I355" t="s">
        <v>1413</v>
      </c>
      <c r="J355" s="2" t="s">
        <v>2124</v>
      </c>
      <c r="K355">
        <v>1</v>
      </c>
      <c r="L355">
        <v>1</v>
      </c>
      <c r="M355" t="s">
        <v>18</v>
      </c>
      <c r="N355" t="str">
        <f t="shared" si="5"/>
        <v>AGRICULTURAL CHEMICALS, NEC (2879)</v>
      </c>
    </row>
    <row r="356" spans="1:14" x14ac:dyDescent="0.45">
      <c r="A356" s="4">
        <v>2890</v>
      </c>
      <c r="B356" t="s">
        <v>460</v>
      </c>
      <c r="C356" t="s">
        <v>460</v>
      </c>
      <c r="D356" t="s">
        <v>429</v>
      </c>
      <c r="E356" t="s">
        <v>216</v>
      </c>
      <c r="F356" t="s">
        <v>24</v>
      </c>
      <c r="G356">
        <v>28</v>
      </c>
      <c r="H356">
        <v>2.2499999999999999E-2</v>
      </c>
      <c r="I356" t="s">
        <v>1413</v>
      </c>
      <c r="J356" s="2" t="s">
        <v>2124</v>
      </c>
      <c r="K356">
        <v>1</v>
      </c>
      <c r="L356">
        <v>1</v>
      </c>
      <c r="M356" t="s">
        <v>18</v>
      </c>
      <c r="N356" t="str">
        <f t="shared" si="5"/>
        <v>MISCELLANEOUS CHEMICAL PRODUCTS (2890)</v>
      </c>
    </row>
    <row r="357" spans="1:14" x14ac:dyDescent="0.45">
      <c r="A357" s="4">
        <v>2891</v>
      </c>
      <c r="B357" t="s">
        <v>461</v>
      </c>
      <c r="C357" t="s">
        <v>460</v>
      </c>
      <c r="D357" t="s">
        <v>429</v>
      </c>
      <c r="E357" t="s">
        <v>216</v>
      </c>
      <c r="F357" t="s">
        <v>24</v>
      </c>
      <c r="G357">
        <v>28</v>
      </c>
      <c r="H357">
        <v>2.2499999999999999E-2</v>
      </c>
      <c r="I357" t="s">
        <v>1413</v>
      </c>
      <c r="J357" s="2" t="s">
        <v>2124</v>
      </c>
      <c r="K357">
        <v>1</v>
      </c>
      <c r="L357">
        <v>1</v>
      </c>
      <c r="M357" t="s">
        <v>18</v>
      </c>
      <c r="N357" t="str">
        <f t="shared" si="5"/>
        <v>ADHESIVES AND SEALANTS (2891)</v>
      </c>
    </row>
    <row r="358" spans="1:14" x14ac:dyDescent="0.45">
      <c r="A358" s="4">
        <v>2892</v>
      </c>
      <c r="B358" t="s">
        <v>462</v>
      </c>
      <c r="C358" t="s">
        <v>460</v>
      </c>
      <c r="D358" t="s">
        <v>429</v>
      </c>
      <c r="E358" t="s">
        <v>216</v>
      </c>
      <c r="F358" t="s">
        <v>24</v>
      </c>
      <c r="G358">
        <v>28</v>
      </c>
      <c r="H358">
        <v>2.2499999999999999E-2</v>
      </c>
      <c r="I358" t="s">
        <v>1413</v>
      </c>
      <c r="J358" s="2" t="s">
        <v>2124</v>
      </c>
      <c r="K358">
        <v>1</v>
      </c>
      <c r="L358">
        <v>1</v>
      </c>
      <c r="M358" t="s">
        <v>18</v>
      </c>
      <c r="N358" t="str">
        <f t="shared" si="5"/>
        <v>EXPLOSIVES (2892)</v>
      </c>
    </row>
    <row r="359" spans="1:14" x14ac:dyDescent="0.45">
      <c r="A359" s="4">
        <v>2893</v>
      </c>
      <c r="B359" t="s">
        <v>463</v>
      </c>
      <c r="C359" t="s">
        <v>460</v>
      </c>
      <c r="D359" t="s">
        <v>429</v>
      </c>
      <c r="E359" t="s">
        <v>216</v>
      </c>
      <c r="F359" t="s">
        <v>24</v>
      </c>
      <c r="G359">
        <v>28</v>
      </c>
      <c r="H359">
        <v>2.2499999999999999E-2</v>
      </c>
      <c r="I359" t="s">
        <v>1413</v>
      </c>
      <c r="J359" s="2" t="s">
        <v>2124</v>
      </c>
      <c r="K359">
        <v>1</v>
      </c>
      <c r="L359">
        <v>1</v>
      </c>
      <c r="M359" t="s">
        <v>18</v>
      </c>
      <c r="N359" t="str">
        <f t="shared" si="5"/>
        <v>PRINTING INK (2893)</v>
      </c>
    </row>
    <row r="360" spans="1:14" x14ac:dyDescent="0.45">
      <c r="A360" s="4">
        <v>2895</v>
      </c>
      <c r="B360" t="s">
        <v>464</v>
      </c>
      <c r="C360" t="s">
        <v>460</v>
      </c>
      <c r="D360" t="s">
        <v>429</v>
      </c>
      <c r="E360" t="s">
        <v>216</v>
      </c>
      <c r="F360" t="s">
        <v>24</v>
      </c>
      <c r="G360">
        <v>28</v>
      </c>
      <c r="H360">
        <v>2.2499999999999999E-2</v>
      </c>
      <c r="I360" t="s">
        <v>1413</v>
      </c>
      <c r="J360" s="2" t="s">
        <v>2124</v>
      </c>
      <c r="K360">
        <v>1</v>
      </c>
      <c r="L360">
        <v>1</v>
      </c>
      <c r="M360" t="s">
        <v>18</v>
      </c>
      <c r="N360" t="str">
        <f t="shared" si="5"/>
        <v>CARBON BLACK (2895)</v>
      </c>
    </row>
    <row r="361" spans="1:14" x14ac:dyDescent="0.45">
      <c r="A361" s="4">
        <v>2899</v>
      </c>
      <c r="B361" t="s">
        <v>465</v>
      </c>
      <c r="C361" t="s">
        <v>460</v>
      </c>
      <c r="D361" t="s">
        <v>429</v>
      </c>
      <c r="E361" t="s">
        <v>216</v>
      </c>
      <c r="F361" t="s">
        <v>24</v>
      </c>
      <c r="G361">
        <v>28</v>
      </c>
      <c r="H361">
        <v>2.2499999999999999E-2</v>
      </c>
      <c r="I361" t="s">
        <v>1413</v>
      </c>
      <c r="J361" s="2" t="s">
        <v>2124</v>
      </c>
      <c r="K361">
        <v>1</v>
      </c>
      <c r="L361">
        <v>1</v>
      </c>
      <c r="M361" t="s">
        <v>18</v>
      </c>
      <c r="N361" t="str">
        <f t="shared" si="5"/>
        <v>CHEMICAL PREPARATIONS, NEC (2899)</v>
      </c>
    </row>
    <row r="362" spans="1:14" x14ac:dyDescent="0.45">
      <c r="A362" s="4">
        <v>2911</v>
      </c>
      <c r="B362" t="s">
        <v>466</v>
      </c>
      <c r="C362" t="s">
        <v>466</v>
      </c>
      <c r="D362" t="s">
        <v>467</v>
      </c>
      <c r="E362" t="s">
        <v>216</v>
      </c>
      <c r="F362" t="s">
        <v>24</v>
      </c>
      <c r="G362">
        <v>28</v>
      </c>
      <c r="H362">
        <v>2.2499999999999999E-2</v>
      </c>
      <c r="I362" t="s">
        <v>1413</v>
      </c>
      <c r="J362" s="2" t="s">
        <v>2124</v>
      </c>
      <c r="K362">
        <v>1</v>
      </c>
      <c r="L362">
        <v>1</v>
      </c>
      <c r="M362" t="s">
        <v>18</v>
      </c>
      <c r="N362" t="str">
        <f t="shared" si="5"/>
        <v>PETROLEUM REFINING (2911)</v>
      </c>
    </row>
    <row r="363" spans="1:14" x14ac:dyDescent="0.45">
      <c r="A363" s="4">
        <v>2951</v>
      </c>
      <c r="B363" t="s">
        <v>468</v>
      </c>
      <c r="C363" t="s">
        <v>469</v>
      </c>
      <c r="D363" t="s">
        <v>467</v>
      </c>
      <c r="E363" t="s">
        <v>216</v>
      </c>
      <c r="F363" t="s">
        <v>24</v>
      </c>
      <c r="G363">
        <v>28</v>
      </c>
      <c r="H363">
        <v>2.2499999999999999E-2</v>
      </c>
      <c r="I363" t="s">
        <v>1413</v>
      </c>
      <c r="J363" s="2" t="s">
        <v>2124</v>
      </c>
      <c r="K363">
        <v>1</v>
      </c>
      <c r="L363">
        <v>1</v>
      </c>
      <c r="M363" t="s">
        <v>18</v>
      </c>
      <c r="N363" t="str">
        <f t="shared" si="5"/>
        <v>ASPHALT PAVING MIXTURES AND BLOCKS (2951)</v>
      </c>
    </row>
    <row r="364" spans="1:14" x14ac:dyDescent="0.45">
      <c r="A364" s="4">
        <v>2952</v>
      </c>
      <c r="B364" t="s">
        <v>470</v>
      </c>
      <c r="C364" t="s">
        <v>469</v>
      </c>
      <c r="D364" t="s">
        <v>467</v>
      </c>
      <c r="E364" t="s">
        <v>216</v>
      </c>
      <c r="F364" t="s">
        <v>24</v>
      </c>
      <c r="G364">
        <v>28</v>
      </c>
      <c r="H364">
        <v>2.2499999999999999E-2</v>
      </c>
      <c r="I364" t="s">
        <v>1413</v>
      </c>
      <c r="J364" s="2" t="s">
        <v>2124</v>
      </c>
      <c r="K364">
        <v>1</v>
      </c>
      <c r="L364">
        <v>1</v>
      </c>
      <c r="M364" t="s">
        <v>18</v>
      </c>
      <c r="N364" t="str">
        <f t="shared" si="5"/>
        <v>ASPHALT FELTS AND COATINGS (2952)</v>
      </c>
    </row>
    <row r="365" spans="1:14" x14ac:dyDescent="0.45">
      <c r="A365" s="4">
        <v>2990</v>
      </c>
      <c r="B365" t="s">
        <v>471</v>
      </c>
      <c r="C365" t="s">
        <v>471</v>
      </c>
      <c r="D365" t="s">
        <v>467</v>
      </c>
      <c r="E365" t="s">
        <v>216</v>
      </c>
      <c r="F365" t="s">
        <v>24</v>
      </c>
      <c r="G365">
        <v>28</v>
      </c>
      <c r="H365">
        <v>2.2499999999999999E-2</v>
      </c>
      <c r="I365" t="s">
        <v>1413</v>
      </c>
      <c r="J365" s="2" t="s">
        <v>2124</v>
      </c>
      <c r="K365">
        <v>1</v>
      </c>
      <c r="L365">
        <v>1</v>
      </c>
      <c r="M365" t="s">
        <v>18</v>
      </c>
      <c r="N365" t="str">
        <f t="shared" si="5"/>
        <v>MISCELLANEOUS PETROLEUM AND COAL PRODUCT (2990)</v>
      </c>
    </row>
    <row r="366" spans="1:14" x14ac:dyDescent="0.45">
      <c r="A366" s="4">
        <v>2992</v>
      </c>
      <c r="B366" t="s">
        <v>472</v>
      </c>
      <c r="C366" t="s">
        <v>471</v>
      </c>
      <c r="D366" t="s">
        <v>467</v>
      </c>
      <c r="E366" t="s">
        <v>216</v>
      </c>
      <c r="F366" t="s">
        <v>24</v>
      </c>
      <c r="G366">
        <v>28</v>
      </c>
      <c r="H366">
        <v>2.2499999999999999E-2</v>
      </c>
      <c r="I366" t="s">
        <v>1413</v>
      </c>
      <c r="J366" s="2" t="s">
        <v>2124</v>
      </c>
      <c r="K366">
        <v>1</v>
      </c>
      <c r="L366">
        <v>1</v>
      </c>
      <c r="M366" t="s">
        <v>18</v>
      </c>
      <c r="N366" t="str">
        <f t="shared" si="5"/>
        <v>LUBRICATING OILS AND GREASES (2992)</v>
      </c>
    </row>
    <row r="367" spans="1:14" x14ac:dyDescent="0.45">
      <c r="A367" s="4">
        <v>2999</v>
      </c>
      <c r="B367" t="s">
        <v>473</v>
      </c>
      <c r="C367" t="s">
        <v>471</v>
      </c>
      <c r="D367" t="s">
        <v>467</v>
      </c>
      <c r="E367" t="s">
        <v>216</v>
      </c>
      <c r="F367" t="s">
        <v>24</v>
      </c>
      <c r="G367">
        <v>28</v>
      </c>
      <c r="H367">
        <v>2.2499999999999999E-2</v>
      </c>
      <c r="I367" t="s">
        <v>1413</v>
      </c>
      <c r="J367" s="2" t="s">
        <v>2124</v>
      </c>
      <c r="K367">
        <v>1</v>
      </c>
      <c r="L367">
        <v>1</v>
      </c>
      <c r="M367" t="s">
        <v>18</v>
      </c>
      <c r="N367" t="str">
        <f t="shared" si="5"/>
        <v>PETROLEUM AND COAL PRODUCTS, NEC (2999)</v>
      </c>
    </row>
    <row r="368" spans="1:14" x14ac:dyDescent="0.45">
      <c r="A368" s="4">
        <v>3011</v>
      </c>
      <c r="B368" t="s">
        <v>474</v>
      </c>
      <c r="C368" t="s">
        <v>474</v>
      </c>
      <c r="D368" t="s">
        <v>475</v>
      </c>
      <c r="E368" t="s">
        <v>216</v>
      </c>
      <c r="F368" t="s">
        <v>24</v>
      </c>
      <c r="G368">
        <v>28</v>
      </c>
      <c r="H368">
        <v>2.2499999999999999E-2</v>
      </c>
      <c r="I368" t="s">
        <v>1413</v>
      </c>
      <c r="J368" s="2" t="s">
        <v>2124</v>
      </c>
      <c r="K368">
        <v>1</v>
      </c>
      <c r="L368">
        <v>1</v>
      </c>
      <c r="M368" t="s">
        <v>18</v>
      </c>
      <c r="N368" t="str">
        <f t="shared" si="5"/>
        <v>TIRES AND INNER TUBES (3011)</v>
      </c>
    </row>
    <row r="369" spans="1:14" x14ac:dyDescent="0.45">
      <c r="A369" s="4">
        <v>3021</v>
      </c>
      <c r="B369" t="s">
        <v>476</v>
      </c>
      <c r="C369" t="s">
        <v>476</v>
      </c>
      <c r="D369" t="s">
        <v>475</v>
      </c>
      <c r="E369" t="s">
        <v>216</v>
      </c>
      <c r="F369" t="s">
        <v>22</v>
      </c>
      <c r="G369">
        <v>21</v>
      </c>
      <c r="H369">
        <v>2.6987648668974538E-2</v>
      </c>
      <c r="I369" t="s">
        <v>1413</v>
      </c>
      <c r="J369" s="2" t="s">
        <v>2126</v>
      </c>
      <c r="K369">
        <v>1</v>
      </c>
      <c r="L369">
        <v>1</v>
      </c>
      <c r="M369" t="s">
        <v>18</v>
      </c>
      <c r="N369" t="str">
        <f t="shared" si="5"/>
        <v>RUBBER AND PLASTICS FOOTWEAR (3021)</v>
      </c>
    </row>
    <row r="370" spans="1:14" x14ac:dyDescent="0.45">
      <c r="A370" s="4">
        <v>3050</v>
      </c>
      <c r="B370" t="s">
        <v>477</v>
      </c>
      <c r="C370" t="s">
        <v>477</v>
      </c>
      <c r="D370" t="s">
        <v>475</v>
      </c>
      <c r="E370" t="s">
        <v>216</v>
      </c>
      <c r="F370" t="s">
        <v>22</v>
      </c>
      <c r="G370">
        <v>21</v>
      </c>
      <c r="H370">
        <v>2.6987648668974538E-2</v>
      </c>
      <c r="I370" t="s">
        <v>1413</v>
      </c>
      <c r="J370" s="2" t="s">
        <v>2126</v>
      </c>
      <c r="K370">
        <v>1</v>
      </c>
      <c r="L370">
        <v>1</v>
      </c>
      <c r="M370" t="s">
        <v>18</v>
      </c>
      <c r="N370" t="str">
        <f t="shared" si="5"/>
        <v>HOSE &amp; BELTING &amp; GASKETS &amp; PACKING (3050)</v>
      </c>
    </row>
    <row r="371" spans="1:14" x14ac:dyDescent="0.45">
      <c r="A371" s="4">
        <v>3052</v>
      </c>
      <c r="B371" t="s">
        <v>478</v>
      </c>
      <c r="C371" t="s">
        <v>477</v>
      </c>
      <c r="D371" t="s">
        <v>475</v>
      </c>
      <c r="E371" t="s">
        <v>216</v>
      </c>
      <c r="F371" t="s">
        <v>22</v>
      </c>
      <c r="G371">
        <v>21</v>
      </c>
      <c r="H371">
        <v>2.6987648668974538E-2</v>
      </c>
      <c r="I371" t="s">
        <v>1413</v>
      </c>
      <c r="J371" s="2" t="s">
        <v>2126</v>
      </c>
      <c r="K371">
        <v>1</v>
      </c>
      <c r="L371">
        <v>1</v>
      </c>
      <c r="M371" t="s">
        <v>18</v>
      </c>
      <c r="N371" t="str">
        <f t="shared" si="5"/>
        <v>RUBBER AND PLASTICS HOSE AND BELTINGS (3052)</v>
      </c>
    </row>
    <row r="372" spans="1:14" x14ac:dyDescent="0.45">
      <c r="A372" s="4">
        <v>3053</v>
      </c>
      <c r="B372" t="s">
        <v>479</v>
      </c>
      <c r="C372" t="s">
        <v>477</v>
      </c>
      <c r="D372" t="s">
        <v>475</v>
      </c>
      <c r="E372" t="s">
        <v>216</v>
      </c>
      <c r="F372" t="s">
        <v>22</v>
      </c>
      <c r="G372">
        <v>21</v>
      </c>
      <c r="H372">
        <v>2.6987648668974538E-2</v>
      </c>
      <c r="I372" t="s">
        <v>1413</v>
      </c>
      <c r="J372" s="2" t="s">
        <v>2126</v>
      </c>
      <c r="K372">
        <v>1</v>
      </c>
      <c r="L372">
        <v>1</v>
      </c>
      <c r="M372" t="s">
        <v>18</v>
      </c>
      <c r="N372" t="str">
        <f t="shared" si="5"/>
        <v>GASKETS; PACKING AND SEALING DEVICES (3053)</v>
      </c>
    </row>
    <row r="373" spans="1:14" x14ac:dyDescent="0.45">
      <c r="A373" s="4">
        <v>3060</v>
      </c>
      <c r="B373" t="s">
        <v>480</v>
      </c>
      <c r="C373" t="s">
        <v>480</v>
      </c>
      <c r="D373" t="s">
        <v>475</v>
      </c>
      <c r="E373" t="s">
        <v>216</v>
      </c>
      <c r="F373" t="s">
        <v>22</v>
      </c>
      <c r="G373">
        <v>21</v>
      </c>
      <c r="H373">
        <v>2.6987648668974538E-2</v>
      </c>
      <c r="I373" t="s">
        <v>1413</v>
      </c>
      <c r="J373" s="2" t="s">
        <v>2126</v>
      </c>
      <c r="K373">
        <v>1</v>
      </c>
      <c r="L373">
        <v>1</v>
      </c>
      <c r="M373" t="s">
        <v>18</v>
      </c>
      <c r="N373" t="str">
        <f t="shared" si="5"/>
        <v>FABRICATED RUBBER PRODUCTS, N.E.C. (3060)</v>
      </c>
    </row>
    <row r="374" spans="1:14" x14ac:dyDescent="0.45">
      <c r="A374" s="4">
        <v>3061</v>
      </c>
      <c r="B374" t="s">
        <v>481</v>
      </c>
      <c r="C374" t="s">
        <v>480</v>
      </c>
      <c r="D374" t="s">
        <v>475</v>
      </c>
      <c r="E374" t="s">
        <v>216</v>
      </c>
      <c r="F374" t="s">
        <v>22</v>
      </c>
      <c r="G374">
        <v>21</v>
      </c>
      <c r="H374">
        <v>2.6987648668974538E-2</v>
      </c>
      <c r="I374" t="s">
        <v>1413</v>
      </c>
      <c r="J374" s="2" t="s">
        <v>2126</v>
      </c>
      <c r="K374">
        <v>1</v>
      </c>
      <c r="L374">
        <v>1</v>
      </c>
      <c r="M374" t="s">
        <v>18</v>
      </c>
      <c r="N374" t="str">
        <f t="shared" si="5"/>
        <v>MECHANICAL RUBBER GOODS (3061)</v>
      </c>
    </row>
    <row r="375" spans="1:14" x14ac:dyDescent="0.45">
      <c r="A375" s="4">
        <v>3069</v>
      </c>
      <c r="B375" t="s">
        <v>482</v>
      </c>
      <c r="C375" t="s">
        <v>480</v>
      </c>
      <c r="D375" t="s">
        <v>475</v>
      </c>
      <c r="E375" t="s">
        <v>216</v>
      </c>
      <c r="F375" t="s">
        <v>22</v>
      </c>
      <c r="G375">
        <v>21</v>
      </c>
      <c r="H375">
        <v>2.6987648668974538E-2</v>
      </c>
      <c r="I375" t="s">
        <v>1413</v>
      </c>
      <c r="J375" s="2" t="s">
        <v>2126</v>
      </c>
      <c r="K375">
        <v>1</v>
      </c>
      <c r="L375">
        <v>1</v>
      </c>
      <c r="M375" t="s">
        <v>18</v>
      </c>
      <c r="N375" t="str">
        <f t="shared" si="5"/>
        <v>FABRICATED RUBBER PRODUCTS, NEC (3069)</v>
      </c>
    </row>
    <row r="376" spans="1:14" x14ac:dyDescent="0.45">
      <c r="A376" s="4">
        <v>3080</v>
      </c>
      <c r="B376" t="s">
        <v>483</v>
      </c>
      <c r="C376" t="s">
        <v>483</v>
      </c>
      <c r="D376" t="s">
        <v>475</v>
      </c>
      <c r="E376" t="s">
        <v>216</v>
      </c>
      <c r="F376" t="s">
        <v>22</v>
      </c>
      <c r="G376">
        <v>21</v>
      </c>
      <c r="H376">
        <v>2.6987648668974538E-2</v>
      </c>
      <c r="I376" t="s">
        <v>1413</v>
      </c>
      <c r="J376" s="2" t="s">
        <v>2126</v>
      </c>
      <c r="K376">
        <v>1</v>
      </c>
      <c r="L376">
        <v>1</v>
      </c>
      <c r="M376" t="s">
        <v>18</v>
      </c>
      <c r="N376" t="str">
        <f t="shared" si="5"/>
        <v>MISCELLANEOUS PLASTICS PRODUCTS, N.E.C. (3080)</v>
      </c>
    </row>
    <row r="377" spans="1:14" x14ac:dyDescent="0.45">
      <c r="A377" s="4">
        <v>3081</v>
      </c>
      <c r="B377" t="s">
        <v>484</v>
      </c>
      <c r="C377" t="s">
        <v>483</v>
      </c>
      <c r="D377" t="s">
        <v>475</v>
      </c>
      <c r="E377" t="s">
        <v>216</v>
      </c>
      <c r="F377" t="s">
        <v>22</v>
      </c>
      <c r="G377">
        <v>21</v>
      </c>
      <c r="H377">
        <v>2.6987648668974538E-2</v>
      </c>
      <c r="I377" t="s">
        <v>1413</v>
      </c>
      <c r="J377" s="2" t="s">
        <v>2126</v>
      </c>
      <c r="K377">
        <v>1</v>
      </c>
      <c r="L377">
        <v>1</v>
      </c>
      <c r="M377" t="s">
        <v>18</v>
      </c>
      <c r="N377" t="str">
        <f t="shared" si="5"/>
        <v>UNSUPPORTED PLASTICS FILM AND SHEET (3081)</v>
      </c>
    </row>
    <row r="378" spans="1:14" x14ac:dyDescent="0.45">
      <c r="A378" s="4">
        <v>3082</v>
      </c>
      <c r="B378" t="s">
        <v>485</v>
      </c>
      <c r="C378" t="s">
        <v>483</v>
      </c>
      <c r="D378" t="s">
        <v>475</v>
      </c>
      <c r="E378" t="s">
        <v>216</v>
      </c>
      <c r="F378" t="s">
        <v>22</v>
      </c>
      <c r="G378">
        <v>21</v>
      </c>
      <c r="H378">
        <v>2.6987648668974538E-2</v>
      </c>
      <c r="I378" t="s">
        <v>1413</v>
      </c>
      <c r="J378" s="2" t="s">
        <v>2126</v>
      </c>
      <c r="K378">
        <v>1</v>
      </c>
      <c r="L378">
        <v>1</v>
      </c>
      <c r="M378" t="s">
        <v>18</v>
      </c>
      <c r="N378" t="str">
        <f t="shared" si="5"/>
        <v>UNSUPPORTED PLASTICS PROFILE SHAPES (3082)</v>
      </c>
    </row>
    <row r="379" spans="1:14" x14ac:dyDescent="0.45">
      <c r="A379" s="4">
        <v>3083</v>
      </c>
      <c r="B379" t="s">
        <v>486</v>
      </c>
      <c r="C379" t="s">
        <v>483</v>
      </c>
      <c r="D379" t="s">
        <v>475</v>
      </c>
      <c r="E379" t="s">
        <v>216</v>
      </c>
      <c r="F379" t="s">
        <v>22</v>
      </c>
      <c r="G379">
        <v>21</v>
      </c>
      <c r="H379">
        <v>2.6987648668974538E-2</v>
      </c>
      <c r="I379" t="s">
        <v>1413</v>
      </c>
      <c r="J379" s="2" t="s">
        <v>2126</v>
      </c>
      <c r="K379">
        <v>1</v>
      </c>
      <c r="L379">
        <v>1</v>
      </c>
      <c r="M379" t="s">
        <v>18</v>
      </c>
      <c r="N379" t="str">
        <f t="shared" si="5"/>
        <v>LAMINATED PLASTICS PLATE AND SHEET (3083)</v>
      </c>
    </row>
    <row r="380" spans="1:14" x14ac:dyDescent="0.45">
      <c r="A380" s="4">
        <v>3084</v>
      </c>
      <c r="B380" t="s">
        <v>487</v>
      </c>
      <c r="C380" t="s">
        <v>483</v>
      </c>
      <c r="D380" t="s">
        <v>475</v>
      </c>
      <c r="E380" t="s">
        <v>216</v>
      </c>
      <c r="F380" t="s">
        <v>22</v>
      </c>
      <c r="G380">
        <v>21</v>
      </c>
      <c r="H380">
        <v>2.6987648668974538E-2</v>
      </c>
      <c r="I380" t="s">
        <v>1413</v>
      </c>
      <c r="J380" s="2" t="s">
        <v>2126</v>
      </c>
      <c r="K380">
        <v>1</v>
      </c>
      <c r="L380">
        <v>1</v>
      </c>
      <c r="M380" t="s">
        <v>18</v>
      </c>
      <c r="N380" t="str">
        <f t="shared" si="5"/>
        <v>PLASTICS PIPE (3084)</v>
      </c>
    </row>
    <row r="381" spans="1:14" x14ac:dyDescent="0.45">
      <c r="A381" s="4">
        <v>3085</v>
      </c>
      <c r="B381" t="s">
        <v>488</v>
      </c>
      <c r="C381" t="s">
        <v>483</v>
      </c>
      <c r="D381" t="s">
        <v>475</v>
      </c>
      <c r="E381" t="s">
        <v>216</v>
      </c>
      <c r="F381" t="s">
        <v>22</v>
      </c>
      <c r="G381">
        <v>21</v>
      </c>
      <c r="H381">
        <v>2.6987648668974538E-2</v>
      </c>
      <c r="I381" t="s">
        <v>1413</v>
      </c>
      <c r="J381" s="2" t="s">
        <v>2126</v>
      </c>
      <c r="K381">
        <v>1</v>
      </c>
      <c r="L381">
        <v>1</v>
      </c>
      <c r="M381" t="s">
        <v>18</v>
      </c>
      <c r="N381" t="str">
        <f t="shared" si="5"/>
        <v>PLASTICS BOTTLES (3085)</v>
      </c>
    </row>
    <row r="382" spans="1:14" x14ac:dyDescent="0.45">
      <c r="A382" s="4">
        <v>3086</v>
      </c>
      <c r="B382" t="s">
        <v>489</v>
      </c>
      <c r="C382" t="s">
        <v>483</v>
      </c>
      <c r="D382" t="s">
        <v>475</v>
      </c>
      <c r="E382" t="s">
        <v>216</v>
      </c>
      <c r="F382" t="s">
        <v>22</v>
      </c>
      <c r="G382">
        <v>21</v>
      </c>
      <c r="H382">
        <v>2.6987648668974538E-2</v>
      </c>
      <c r="I382" t="s">
        <v>1413</v>
      </c>
      <c r="J382" s="2" t="s">
        <v>2126</v>
      </c>
      <c r="K382">
        <v>1</v>
      </c>
      <c r="L382">
        <v>1</v>
      </c>
      <c r="M382" t="s">
        <v>18</v>
      </c>
      <c r="N382" t="str">
        <f t="shared" si="5"/>
        <v>PLASTICS FOAM PRODUCTS (3086)</v>
      </c>
    </row>
    <row r="383" spans="1:14" x14ac:dyDescent="0.45">
      <c r="A383" s="4">
        <v>3087</v>
      </c>
      <c r="B383" t="s">
        <v>490</v>
      </c>
      <c r="C383" t="s">
        <v>483</v>
      </c>
      <c r="D383" t="s">
        <v>475</v>
      </c>
      <c r="E383" t="s">
        <v>216</v>
      </c>
      <c r="F383" t="s">
        <v>22</v>
      </c>
      <c r="G383">
        <v>21</v>
      </c>
      <c r="H383">
        <v>2.6987648668974538E-2</v>
      </c>
      <c r="I383" t="s">
        <v>1413</v>
      </c>
      <c r="J383" s="2" t="s">
        <v>2126</v>
      </c>
      <c r="K383">
        <v>1</v>
      </c>
      <c r="L383">
        <v>1</v>
      </c>
      <c r="M383" t="s">
        <v>18</v>
      </c>
      <c r="N383" t="str">
        <f t="shared" si="5"/>
        <v>CUSTOM COMPOUND PURCHASED RESINS (3087)</v>
      </c>
    </row>
    <row r="384" spans="1:14" x14ac:dyDescent="0.45">
      <c r="A384" s="4">
        <v>3088</v>
      </c>
      <c r="B384" t="s">
        <v>491</v>
      </c>
      <c r="C384" t="s">
        <v>483</v>
      </c>
      <c r="D384" t="s">
        <v>475</v>
      </c>
      <c r="E384" t="s">
        <v>216</v>
      </c>
      <c r="F384" t="s">
        <v>22</v>
      </c>
      <c r="G384">
        <v>21</v>
      </c>
      <c r="H384">
        <v>2.6987648668974538E-2</v>
      </c>
      <c r="I384" t="s">
        <v>1413</v>
      </c>
      <c r="J384" s="2" t="s">
        <v>2126</v>
      </c>
      <c r="K384">
        <v>1</v>
      </c>
      <c r="L384">
        <v>1</v>
      </c>
      <c r="M384" t="s">
        <v>18</v>
      </c>
      <c r="N384" t="str">
        <f t="shared" si="5"/>
        <v>PLASTICS PLUMBING FIXTURES (3088)</v>
      </c>
    </row>
    <row r="385" spans="1:14" x14ac:dyDescent="0.45">
      <c r="A385" s="4">
        <v>3089</v>
      </c>
      <c r="B385" t="s">
        <v>492</v>
      </c>
      <c r="C385" t="s">
        <v>483</v>
      </c>
      <c r="D385" t="s">
        <v>475</v>
      </c>
      <c r="E385" t="s">
        <v>216</v>
      </c>
      <c r="F385" t="s">
        <v>22</v>
      </c>
      <c r="G385">
        <v>21</v>
      </c>
      <c r="H385">
        <v>2.6987648668974538E-2</v>
      </c>
      <c r="I385" t="s">
        <v>1413</v>
      </c>
      <c r="J385" s="2" t="s">
        <v>2126</v>
      </c>
      <c r="K385">
        <v>1</v>
      </c>
      <c r="L385">
        <v>1</v>
      </c>
      <c r="M385" t="s">
        <v>18</v>
      </c>
      <c r="N385" t="str">
        <f t="shared" si="5"/>
        <v>PLASTICS PRODUCTS, NEC (3089)</v>
      </c>
    </row>
    <row r="386" spans="1:14" x14ac:dyDescent="0.45">
      <c r="A386" s="4">
        <v>3100</v>
      </c>
      <c r="B386" t="s">
        <v>493</v>
      </c>
      <c r="C386" t="s">
        <v>493</v>
      </c>
      <c r="D386" t="s">
        <v>493</v>
      </c>
      <c r="E386" t="s">
        <v>216</v>
      </c>
      <c r="F386" t="s">
        <v>22</v>
      </c>
      <c r="G386">
        <v>21</v>
      </c>
      <c r="H386">
        <v>2.6987648668974538E-2</v>
      </c>
      <c r="I386" t="s">
        <v>1413</v>
      </c>
      <c r="J386" s="2" t="s">
        <v>2126</v>
      </c>
      <c r="K386">
        <v>1</v>
      </c>
      <c r="L386">
        <v>1</v>
      </c>
      <c r="M386" t="s">
        <v>18</v>
      </c>
      <c r="N386" t="str">
        <f t="shared" si="5"/>
        <v>LEATHER AND LEATHER PRODUCTS (3100)</v>
      </c>
    </row>
    <row r="387" spans="1:14" x14ac:dyDescent="0.45">
      <c r="A387" s="4">
        <v>3111</v>
      </c>
      <c r="B387" t="s">
        <v>494</v>
      </c>
      <c r="C387" t="s">
        <v>495</v>
      </c>
      <c r="D387" t="s">
        <v>493</v>
      </c>
      <c r="E387" t="s">
        <v>216</v>
      </c>
      <c r="F387" t="s">
        <v>22</v>
      </c>
      <c r="G387">
        <v>21</v>
      </c>
      <c r="H387">
        <v>2.6987648668974538E-2</v>
      </c>
      <c r="I387" t="s">
        <v>1413</v>
      </c>
      <c r="J387" s="2" t="s">
        <v>2126</v>
      </c>
      <c r="K387">
        <v>1</v>
      </c>
      <c r="L387">
        <v>1</v>
      </c>
      <c r="M387" t="s">
        <v>18</v>
      </c>
      <c r="N387" t="str">
        <f t="shared" ref="N387:N450" si="6">B387&amp;" ("&amp;A387&amp;")"</f>
        <v>LEATHER TANNING AND FINISHING (3111)</v>
      </c>
    </row>
    <row r="388" spans="1:14" x14ac:dyDescent="0.45">
      <c r="A388" s="4">
        <v>3131</v>
      </c>
      <c r="B388" t="s">
        <v>496</v>
      </c>
      <c r="C388" t="s">
        <v>496</v>
      </c>
      <c r="D388" t="s">
        <v>309</v>
      </c>
      <c r="E388" t="s">
        <v>216</v>
      </c>
      <c r="F388" t="s">
        <v>25</v>
      </c>
      <c r="G388">
        <v>26</v>
      </c>
      <c r="H388">
        <v>2.4300000000000002E-2</v>
      </c>
      <c r="I388" t="s">
        <v>1413</v>
      </c>
      <c r="J388" s="2" t="s">
        <v>2125</v>
      </c>
      <c r="K388">
        <v>1</v>
      </c>
      <c r="L388">
        <v>1</v>
      </c>
      <c r="M388" t="s">
        <v>18</v>
      </c>
      <c r="N388" t="str">
        <f t="shared" si="6"/>
        <v>FOOTWEAR CUT STOCK (3131)</v>
      </c>
    </row>
    <row r="389" spans="1:14" x14ac:dyDescent="0.45">
      <c r="A389" s="4">
        <v>3140</v>
      </c>
      <c r="B389" t="s">
        <v>497</v>
      </c>
      <c r="C389" t="s">
        <v>497</v>
      </c>
      <c r="D389" t="s">
        <v>309</v>
      </c>
      <c r="E389" t="s">
        <v>216</v>
      </c>
      <c r="F389" t="s">
        <v>25</v>
      </c>
      <c r="G389">
        <v>26</v>
      </c>
      <c r="H389">
        <v>2.4300000000000002E-2</v>
      </c>
      <c r="I389" t="s">
        <v>1413</v>
      </c>
      <c r="J389" s="2" t="s">
        <v>2125</v>
      </c>
      <c r="K389">
        <v>1</v>
      </c>
      <c r="L389">
        <v>1</v>
      </c>
      <c r="M389" t="s">
        <v>18</v>
      </c>
      <c r="N389" t="str">
        <f t="shared" si="6"/>
        <v>FOOTWEAR, EXCEPT RUBBER (3140)</v>
      </c>
    </row>
    <row r="390" spans="1:14" x14ac:dyDescent="0.45">
      <c r="A390" s="4">
        <v>3142</v>
      </c>
      <c r="B390" t="s">
        <v>498</v>
      </c>
      <c r="C390" t="s">
        <v>497</v>
      </c>
      <c r="D390" t="s">
        <v>309</v>
      </c>
      <c r="E390" t="s">
        <v>216</v>
      </c>
      <c r="F390" t="s">
        <v>25</v>
      </c>
      <c r="G390">
        <v>26</v>
      </c>
      <c r="H390">
        <v>2.4300000000000002E-2</v>
      </c>
      <c r="I390" t="s">
        <v>1413</v>
      </c>
      <c r="J390" s="2" t="s">
        <v>2125</v>
      </c>
      <c r="K390">
        <v>1</v>
      </c>
      <c r="L390">
        <v>1</v>
      </c>
      <c r="M390" t="s">
        <v>18</v>
      </c>
      <c r="N390" t="str">
        <f t="shared" si="6"/>
        <v>HOUSE SLIPPERS (3142)</v>
      </c>
    </row>
    <row r="391" spans="1:14" x14ac:dyDescent="0.45">
      <c r="A391" s="4">
        <v>3143</v>
      </c>
      <c r="B391" t="s">
        <v>499</v>
      </c>
      <c r="C391" t="s">
        <v>497</v>
      </c>
      <c r="D391" t="s">
        <v>309</v>
      </c>
      <c r="E391" t="s">
        <v>216</v>
      </c>
      <c r="F391" t="s">
        <v>25</v>
      </c>
      <c r="G391">
        <v>26</v>
      </c>
      <c r="H391">
        <v>2.4300000000000002E-2</v>
      </c>
      <c r="I391" t="s">
        <v>1413</v>
      </c>
      <c r="J391" s="2" t="s">
        <v>2125</v>
      </c>
      <c r="K391">
        <v>1</v>
      </c>
      <c r="L391">
        <v>1</v>
      </c>
      <c r="M391" t="s">
        <v>18</v>
      </c>
      <c r="N391" t="str">
        <f t="shared" si="6"/>
        <v>MEN'S FOOTWEAR, EXCEPT ATHLETIC (3143)</v>
      </c>
    </row>
    <row r="392" spans="1:14" x14ac:dyDescent="0.45">
      <c r="A392" s="4">
        <v>3144</v>
      </c>
      <c r="B392" t="s">
        <v>500</v>
      </c>
      <c r="C392" t="s">
        <v>497</v>
      </c>
      <c r="D392" t="s">
        <v>309</v>
      </c>
      <c r="E392" t="s">
        <v>216</v>
      </c>
      <c r="F392" t="s">
        <v>25</v>
      </c>
      <c r="G392">
        <v>26</v>
      </c>
      <c r="H392">
        <v>2.4300000000000002E-2</v>
      </c>
      <c r="I392" t="s">
        <v>1413</v>
      </c>
      <c r="J392" s="2" t="s">
        <v>2125</v>
      </c>
      <c r="K392">
        <v>1</v>
      </c>
      <c r="L392">
        <v>1</v>
      </c>
      <c r="M392" t="s">
        <v>18</v>
      </c>
      <c r="N392" t="str">
        <f t="shared" si="6"/>
        <v>WOMEN'S FOOTWEAR, EXCEPT ATHLETIC (3144)</v>
      </c>
    </row>
    <row r="393" spans="1:14" x14ac:dyDescent="0.45">
      <c r="A393" s="4">
        <v>3149</v>
      </c>
      <c r="B393" t="s">
        <v>501</v>
      </c>
      <c r="C393" t="s">
        <v>497</v>
      </c>
      <c r="D393" t="s">
        <v>309</v>
      </c>
      <c r="E393" t="s">
        <v>216</v>
      </c>
      <c r="F393" t="s">
        <v>25</v>
      </c>
      <c r="G393">
        <v>26</v>
      </c>
      <c r="H393">
        <v>2.4300000000000002E-2</v>
      </c>
      <c r="I393" t="s">
        <v>1413</v>
      </c>
      <c r="J393" s="2" t="s">
        <v>2125</v>
      </c>
      <c r="K393">
        <v>1</v>
      </c>
      <c r="L393">
        <v>1</v>
      </c>
      <c r="M393" t="s">
        <v>18</v>
      </c>
      <c r="N393" t="str">
        <f t="shared" si="6"/>
        <v>FOOTWEAR, EXCEPT RUBBER, NEC (3149)</v>
      </c>
    </row>
    <row r="394" spans="1:14" x14ac:dyDescent="0.45">
      <c r="A394" s="4">
        <v>3151</v>
      </c>
      <c r="B394" t="s">
        <v>502</v>
      </c>
      <c r="C394" t="s">
        <v>502</v>
      </c>
      <c r="D394" t="s">
        <v>309</v>
      </c>
      <c r="E394" t="s">
        <v>216</v>
      </c>
      <c r="F394" t="s">
        <v>25</v>
      </c>
      <c r="G394">
        <v>26</v>
      </c>
      <c r="H394">
        <v>2.4300000000000002E-2</v>
      </c>
      <c r="I394" t="s">
        <v>1413</v>
      </c>
      <c r="J394" s="2" t="s">
        <v>2125</v>
      </c>
      <c r="K394">
        <v>1</v>
      </c>
      <c r="L394">
        <v>1</v>
      </c>
      <c r="M394" t="s">
        <v>18</v>
      </c>
      <c r="N394" t="str">
        <f t="shared" si="6"/>
        <v>LEATHER GLOVES AND MITTENS (3151)</v>
      </c>
    </row>
    <row r="395" spans="1:14" x14ac:dyDescent="0.45">
      <c r="A395" s="4">
        <v>3161</v>
      </c>
      <c r="B395" t="s">
        <v>503</v>
      </c>
      <c r="C395" t="s">
        <v>503</v>
      </c>
      <c r="D395" t="s">
        <v>309</v>
      </c>
      <c r="E395" t="s">
        <v>216</v>
      </c>
      <c r="F395" t="s">
        <v>25</v>
      </c>
      <c r="G395">
        <v>26</v>
      </c>
      <c r="H395">
        <v>2.4300000000000002E-2</v>
      </c>
      <c r="I395" t="s">
        <v>1413</v>
      </c>
      <c r="J395" s="2" t="s">
        <v>2125</v>
      </c>
      <c r="K395">
        <v>1</v>
      </c>
      <c r="L395">
        <v>1</v>
      </c>
      <c r="M395" t="s">
        <v>18</v>
      </c>
      <c r="N395" t="str">
        <f t="shared" si="6"/>
        <v>LUGGAGE (3161)</v>
      </c>
    </row>
    <row r="396" spans="1:14" x14ac:dyDescent="0.45">
      <c r="A396" s="4">
        <v>3171</v>
      </c>
      <c r="B396" t="s">
        <v>504</v>
      </c>
      <c r="C396" t="s">
        <v>505</v>
      </c>
      <c r="D396" t="s">
        <v>309</v>
      </c>
      <c r="E396" t="s">
        <v>216</v>
      </c>
      <c r="F396" t="s">
        <v>25</v>
      </c>
      <c r="G396">
        <v>26</v>
      </c>
      <c r="H396">
        <v>2.4300000000000002E-2</v>
      </c>
      <c r="I396" t="s">
        <v>1413</v>
      </c>
      <c r="J396" s="2" t="s">
        <v>2125</v>
      </c>
      <c r="K396">
        <v>1</v>
      </c>
      <c r="L396">
        <v>1</v>
      </c>
      <c r="M396" t="s">
        <v>18</v>
      </c>
      <c r="N396" t="str">
        <f t="shared" si="6"/>
        <v>WOMEN'S HANDBAGS AND PURSES (3171)</v>
      </c>
    </row>
    <row r="397" spans="1:14" x14ac:dyDescent="0.45">
      <c r="A397" s="4">
        <v>3172</v>
      </c>
      <c r="B397" t="s">
        <v>506</v>
      </c>
      <c r="C397" t="s">
        <v>505</v>
      </c>
      <c r="D397" t="s">
        <v>309</v>
      </c>
      <c r="E397" t="s">
        <v>216</v>
      </c>
      <c r="F397" t="s">
        <v>25</v>
      </c>
      <c r="G397">
        <v>26</v>
      </c>
      <c r="H397">
        <v>2.4300000000000002E-2</v>
      </c>
      <c r="I397" t="s">
        <v>1413</v>
      </c>
      <c r="J397" s="2" t="s">
        <v>2125</v>
      </c>
      <c r="K397">
        <v>1</v>
      </c>
      <c r="L397">
        <v>1</v>
      </c>
      <c r="M397" t="s">
        <v>18</v>
      </c>
      <c r="N397" t="str">
        <f t="shared" si="6"/>
        <v>PERSONAL LEATHER GOODS, NEC (3172)</v>
      </c>
    </row>
    <row r="398" spans="1:14" x14ac:dyDescent="0.45">
      <c r="A398" s="4">
        <v>3199</v>
      </c>
      <c r="B398" t="s">
        <v>507</v>
      </c>
      <c r="C398" t="s">
        <v>508</v>
      </c>
      <c r="D398" t="s">
        <v>309</v>
      </c>
      <c r="E398" t="s">
        <v>216</v>
      </c>
      <c r="F398" t="s">
        <v>25</v>
      </c>
      <c r="G398">
        <v>26</v>
      </c>
      <c r="H398">
        <v>2.4300000000000002E-2</v>
      </c>
      <c r="I398" t="s">
        <v>1413</v>
      </c>
      <c r="J398" s="2" t="s">
        <v>2125</v>
      </c>
      <c r="K398">
        <v>1</v>
      </c>
      <c r="L398">
        <v>1</v>
      </c>
      <c r="M398" t="s">
        <v>18</v>
      </c>
      <c r="N398" t="str">
        <f t="shared" si="6"/>
        <v>LEATHER GOODS, NEC (3199)</v>
      </c>
    </row>
    <row r="399" spans="1:14" x14ac:dyDescent="0.45">
      <c r="A399" s="4">
        <v>3211</v>
      </c>
      <c r="B399" t="s">
        <v>509</v>
      </c>
      <c r="C399" t="s">
        <v>509</v>
      </c>
      <c r="D399" t="s">
        <v>510</v>
      </c>
      <c r="E399" t="s">
        <v>216</v>
      </c>
      <c r="F399" t="s">
        <v>22</v>
      </c>
      <c r="G399">
        <v>21</v>
      </c>
      <c r="H399">
        <v>2.6987648668974538E-2</v>
      </c>
      <c r="I399" t="s">
        <v>1413</v>
      </c>
      <c r="J399" s="2" t="s">
        <v>2126</v>
      </c>
      <c r="K399">
        <v>1</v>
      </c>
      <c r="L399">
        <v>1</v>
      </c>
      <c r="M399" t="s">
        <v>18</v>
      </c>
      <c r="N399" t="str">
        <f t="shared" si="6"/>
        <v>FLAT GLASS (3211)</v>
      </c>
    </row>
    <row r="400" spans="1:14" x14ac:dyDescent="0.45">
      <c r="A400" s="4">
        <v>3220</v>
      </c>
      <c r="B400" t="s">
        <v>511</v>
      </c>
      <c r="C400" t="s">
        <v>511</v>
      </c>
      <c r="D400" t="s">
        <v>510</v>
      </c>
      <c r="E400" t="s">
        <v>216</v>
      </c>
      <c r="F400" t="s">
        <v>22</v>
      </c>
      <c r="G400">
        <v>21</v>
      </c>
      <c r="H400">
        <v>2.6987648668974538E-2</v>
      </c>
      <c r="I400" t="s">
        <v>1413</v>
      </c>
      <c r="J400" s="2" t="s">
        <v>2126</v>
      </c>
      <c r="K400">
        <v>1</v>
      </c>
      <c r="L400">
        <v>1</v>
      </c>
      <c r="M400" t="s">
        <v>18</v>
      </c>
      <c r="N400" t="str">
        <f t="shared" si="6"/>
        <v>GLASS AND GLASSWARE, PRESSED OR BLOWN (3220)</v>
      </c>
    </row>
    <row r="401" spans="1:14" x14ac:dyDescent="0.45">
      <c r="A401" s="4">
        <v>3221</v>
      </c>
      <c r="B401" t="s">
        <v>512</v>
      </c>
      <c r="C401" t="s">
        <v>511</v>
      </c>
      <c r="D401" t="s">
        <v>510</v>
      </c>
      <c r="E401" t="s">
        <v>216</v>
      </c>
      <c r="F401" t="s">
        <v>22</v>
      </c>
      <c r="G401">
        <v>21</v>
      </c>
      <c r="H401">
        <v>2.6987648668974538E-2</v>
      </c>
      <c r="I401" t="s">
        <v>1413</v>
      </c>
      <c r="J401" s="2" t="s">
        <v>2126</v>
      </c>
      <c r="K401">
        <v>1</v>
      </c>
      <c r="L401">
        <v>1</v>
      </c>
      <c r="M401" t="s">
        <v>18</v>
      </c>
      <c r="N401" t="str">
        <f t="shared" si="6"/>
        <v>GLASS CONTAINERS (3221)</v>
      </c>
    </row>
    <row r="402" spans="1:14" x14ac:dyDescent="0.45">
      <c r="A402" s="4">
        <v>3229</v>
      </c>
      <c r="B402" t="s">
        <v>513</v>
      </c>
      <c r="C402" t="s">
        <v>511</v>
      </c>
      <c r="D402" t="s">
        <v>510</v>
      </c>
      <c r="E402" t="s">
        <v>216</v>
      </c>
      <c r="F402" t="s">
        <v>22</v>
      </c>
      <c r="G402">
        <v>21</v>
      </c>
      <c r="H402">
        <v>2.6987648668974538E-2</v>
      </c>
      <c r="I402" t="s">
        <v>1413</v>
      </c>
      <c r="J402" s="2" t="s">
        <v>2126</v>
      </c>
      <c r="K402">
        <v>1</v>
      </c>
      <c r="L402">
        <v>1</v>
      </c>
      <c r="M402" t="s">
        <v>18</v>
      </c>
      <c r="N402" t="str">
        <f t="shared" si="6"/>
        <v>PRESSED AND BLOWN GLASS, NEC (3229)</v>
      </c>
    </row>
    <row r="403" spans="1:14" x14ac:dyDescent="0.45">
      <c r="A403" s="4">
        <v>3231</v>
      </c>
      <c r="B403" t="s">
        <v>514</v>
      </c>
      <c r="C403" t="s">
        <v>514</v>
      </c>
      <c r="D403" t="s">
        <v>510</v>
      </c>
      <c r="E403" t="s">
        <v>216</v>
      </c>
      <c r="F403" t="s">
        <v>22</v>
      </c>
      <c r="G403">
        <v>21</v>
      </c>
      <c r="H403">
        <v>2.6987648668974538E-2</v>
      </c>
      <c r="I403" t="s">
        <v>1413</v>
      </c>
      <c r="J403" s="2" t="s">
        <v>2126</v>
      </c>
      <c r="K403">
        <v>1</v>
      </c>
      <c r="L403">
        <v>1</v>
      </c>
      <c r="M403" t="s">
        <v>18</v>
      </c>
      <c r="N403" t="str">
        <f t="shared" si="6"/>
        <v>PRODUCTS OF PURCHASED GLASS (3231)</v>
      </c>
    </row>
    <row r="404" spans="1:14" x14ac:dyDescent="0.45">
      <c r="A404" s="4">
        <v>3241</v>
      </c>
      <c r="B404" t="s">
        <v>515</v>
      </c>
      <c r="C404" t="s">
        <v>515</v>
      </c>
      <c r="D404" t="s">
        <v>510</v>
      </c>
      <c r="E404" t="s">
        <v>216</v>
      </c>
      <c r="F404" t="s">
        <v>22</v>
      </c>
      <c r="G404">
        <v>21</v>
      </c>
      <c r="H404">
        <v>2.6987648668974538E-2</v>
      </c>
      <c r="I404" t="s">
        <v>1413</v>
      </c>
      <c r="J404" s="2" t="s">
        <v>2126</v>
      </c>
      <c r="K404">
        <v>1</v>
      </c>
      <c r="L404">
        <v>1</v>
      </c>
      <c r="M404" t="s">
        <v>18</v>
      </c>
      <c r="N404" t="str">
        <f t="shared" si="6"/>
        <v>CEMENT, HYDRAULIC (3241)</v>
      </c>
    </row>
    <row r="405" spans="1:14" x14ac:dyDescent="0.45">
      <c r="A405" s="4">
        <v>3250</v>
      </c>
      <c r="B405" t="s">
        <v>516</v>
      </c>
      <c r="C405" t="s">
        <v>516</v>
      </c>
      <c r="D405" t="s">
        <v>510</v>
      </c>
      <c r="E405" t="s">
        <v>216</v>
      </c>
      <c r="F405" t="s">
        <v>22</v>
      </c>
      <c r="G405">
        <v>21</v>
      </c>
      <c r="H405">
        <v>2.6987648668974538E-2</v>
      </c>
      <c r="I405" t="s">
        <v>1413</v>
      </c>
      <c r="J405" s="2" t="s">
        <v>2126</v>
      </c>
      <c r="K405">
        <v>1</v>
      </c>
      <c r="L405">
        <v>1</v>
      </c>
      <c r="M405" t="s">
        <v>18</v>
      </c>
      <c r="N405" t="str">
        <f t="shared" si="6"/>
        <v>STRUCTURAL CLAY PRODUCTS (3250)</v>
      </c>
    </row>
    <row r="406" spans="1:14" x14ac:dyDescent="0.45">
      <c r="A406" s="4">
        <v>3251</v>
      </c>
      <c r="B406" t="s">
        <v>517</v>
      </c>
      <c r="C406" t="s">
        <v>516</v>
      </c>
      <c r="D406" t="s">
        <v>510</v>
      </c>
      <c r="E406" t="s">
        <v>216</v>
      </c>
      <c r="F406" t="s">
        <v>22</v>
      </c>
      <c r="G406">
        <v>21</v>
      </c>
      <c r="H406">
        <v>2.6987648668974538E-2</v>
      </c>
      <c r="I406" t="s">
        <v>1413</v>
      </c>
      <c r="J406" s="2" t="s">
        <v>2126</v>
      </c>
      <c r="K406">
        <v>1</v>
      </c>
      <c r="L406">
        <v>1</v>
      </c>
      <c r="M406" t="s">
        <v>18</v>
      </c>
      <c r="N406" t="str">
        <f t="shared" si="6"/>
        <v>BRICK AND STRUCTURAL CLAY TILE (3251)</v>
      </c>
    </row>
    <row r="407" spans="1:14" x14ac:dyDescent="0.45">
      <c r="A407" s="4">
        <v>3253</v>
      </c>
      <c r="B407" t="s">
        <v>518</v>
      </c>
      <c r="C407" t="s">
        <v>516</v>
      </c>
      <c r="D407" t="s">
        <v>510</v>
      </c>
      <c r="E407" t="s">
        <v>216</v>
      </c>
      <c r="F407" t="s">
        <v>22</v>
      </c>
      <c r="G407">
        <v>21</v>
      </c>
      <c r="H407">
        <v>2.6987648668974538E-2</v>
      </c>
      <c r="I407" t="s">
        <v>1413</v>
      </c>
      <c r="J407" s="2" t="s">
        <v>2126</v>
      </c>
      <c r="K407">
        <v>1</v>
      </c>
      <c r="L407">
        <v>1</v>
      </c>
      <c r="M407" t="s">
        <v>18</v>
      </c>
      <c r="N407" t="str">
        <f t="shared" si="6"/>
        <v>CERAMIC WALL AND FLOOR TILE (3253)</v>
      </c>
    </row>
    <row r="408" spans="1:14" x14ac:dyDescent="0.45">
      <c r="A408" s="4">
        <v>3255</v>
      </c>
      <c r="B408" t="s">
        <v>519</v>
      </c>
      <c r="C408" t="s">
        <v>516</v>
      </c>
      <c r="D408" t="s">
        <v>510</v>
      </c>
      <c r="E408" t="s">
        <v>216</v>
      </c>
      <c r="F408" t="s">
        <v>22</v>
      </c>
      <c r="G408">
        <v>21</v>
      </c>
      <c r="H408">
        <v>2.6987648668974538E-2</v>
      </c>
      <c r="I408" t="s">
        <v>1413</v>
      </c>
      <c r="J408" s="2" t="s">
        <v>2126</v>
      </c>
      <c r="K408">
        <v>1</v>
      </c>
      <c r="L408">
        <v>1</v>
      </c>
      <c r="M408" t="s">
        <v>18</v>
      </c>
      <c r="N408" t="str">
        <f t="shared" si="6"/>
        <v>CLAY REFRACTORIES (3255)</v>
      </c>
    </row>
    <row r="409" spans="1:14" x14ac:dyDescent="0.45">
      <c r="A409" s="4">
        <v>3259</v>
      </c>
      <c r="B409" t="s">
        <v>520</v>
      </c>
      <c r="C409" t="s">
        <v>516</v>
      </c>
      <c r="D409" t="s">
        <v>510</v>
      </c>
      <c r="E409" t="s">
        <v>216</v>
      </c>
      <c r="F409" t="s">
        <v>22</v>
      </c>
      <c r="G409">
        <v>21</v>
      </c>
      <c r="H409">
        <v>2.6987648668974538E-2</v>
      </c>
      <c r="I409" t="s">
        <v>1413</v>
      </c>
      <c r="J409" s="2" t="s">
        <v>2126</v>
      </c>
      <c r="K409">
        <v>1</v>
      </c>
      <c r="L409">
        <v>1</v>
      </c>
      <c r="M409" t="s">
        <v>18</v>
      </c>
      <c r="N409" t="str">
        <f t="shared" si="6"/>
        <v>STRUCTURAL CLAY PRODUCTS, NEC (3259)</v>
      </c>
    </row>
    <row r="410" spans="1:14" x14ac:dyDescent="0.45">
      <c r="A410" s="4">
        <v>3260</v>
      </c>
      <c r="B410" t="s">
        <v>521</v>
      </c>
      <c r="C410" t="s">
        <v>521</v>
      </c>
      <c r="D410" t="s">
        <v>510</v>
      </c>
      <c r="E410" t="s">
        <v>216</v>
      </c>
      <c r="F410" t="s">
        <v>22</v>
      </c>
      <c r="G410">
        <v>21</v>
      </c>
      <c r="H410">
        <v>2.6987648668974538E-2</v>
      </c>
      <c r="I410" t="s">
        <v>1413</v>
      </c>
      <c r="J410" s="2" t="s">
        <v>2126</v>
      </c>
      <c r="K410">
        <v>1</v>
      </c>
      <c r="L410">
        <v>1</v>
      </c>
      <c r="M410" t="s">
        <v>18</v>
      </c>
      <c r="N410" t="str">
        <f t="shared" si="6"/>
        <v>POTTERY AND RELATED PRODUCTS (3260)</v>
      </c>
    </row>
    <row r="411" spans="1:14" x14ac:dyDescent="0.45">
      <c r="A411" s="4">
        <v>3261</v>
      </c>
      <c r="B411" t="s">
        <v>522</v>
      </c>
      <c r="C411" t="s">
        <v>521</v>
      </c>
      <c r="D411" t="s">
        <v>510</v>
      </c>
      <c r="E411" t="s">
        <v>216</v>
      </c>
      <c r="F411" t="s">
        <v>22</v>
      </c>
      <c r="G411">
        <v>21</v>
      </c>
      <c r="H411">
        <v>2.6987648668974538E-2</v>
      </c>
      <c r="I411" t="s">
        <v>1413</v>
      </c>
      <c r="J411" s="2" t="s">
        <v>2126</v>
      </c>
      <c r="K411">
        <v>1</v>
      </c>
      <c r="L411">
        <v>1</v>
      </c>
      <c r="M411" t="s">
        <v>18</v>
      </c>
      <c r="N411" t="str">
        <f t="shared" si="6"/>
        <v>VITREOUS PLUMBING FIXTURES (3261)</v>
      </c>
    </row>
    <row r="412" spans="1:14" x14ac:dyDescent="0.45">
      <c r="A412" s="4">
        <v>3262</v>
      </c>
      <c r="B412" t="s">
        <v>523</v>
      </c>
      <c r="C412" t="s">
        <v>521</v>
      </c>
      <c r="D412" t="s">
        <v>510</v>
      </c>
      <c r="E412" t="s">
        <v>216</v>
      </c>
      <c r="F412" t="s">
        <v>22</v>
      </c>
      <c r="G412">
        <v>21</v>
      </c>
      <c r="H412">
        <v>2.6987648668974538E-2</v>
      </c>
      <c r="I412" t="s">
        <v>1413</v>
      </c>
      <c r="J412" s="2" t="s">
        <v>2126</v>
      </c>
      <c r="K412">
        <v>1</v>
      </c>
      <c r="L412">
        <v>1</v>
      </c>
      <c r="M412" t="s">
        <v>18</v>
      </c>
      <c r="N412" t="str">
        <f t="shared" si="6"/>
        <v>VITREOUS CHINA TABLE AND KITCHENWARE (3262)</v>
      </c>
    </row>
    <row r="413" spans="1:14" x14ac:dyDescent="0.45">
      <c r="A413" s="4">
        <v>3263</v>
      </c>
      <c r="B413" t="s">
        <v>524</v>
      </c>
      <c r="C413" t="s">
        <v>521</v>
      </c>
      <c r="D413" t="s">
        <v>510</v>
      </c>
      <c r="E413" t="s">
        <v>216</v>
      </c>
      <c r="F413" t="s">
        <v>22</v>
      </c>
      <c r="G413">
        <v>21</v>
      </c>
      <c r="H413">
        <v>2.6987648668974538E-2</v>
      </c>
      <c r="I413" t="s">
        <v>1413</v>
      </c>
      <c r="J413" s="2" t="s">
        <v>2126</v>
      </c>
      <c r="K413">
        <v>1</v>
      </c>
      <c r="L413">
        <v>1</v>
      </c>
      <c r="M413" t="s">
        <v>18</v>
      </c>
      <c r="N413" t="str">
        <f t="shared" si="6"/>
        <v>SEMIVITREOUS TABLE AND KITCHENWARE (3263)</v>
      </c>
    </row>
    <row r="414" spans="1:14" x14ac:dyDescent="0.45">
      <c r="A414" s="4">
        <v>3264</v>
      </c>
      <c r="B414" t="s">
        <v>525</v>
      </c>
      <c r="C414" t="s">
        <v>521</v>
      </c>
      <c r="D414" t="s">
        <v>510</v>
      </c>
      <c r="E414" t="s">
        <v>216</v>
      </c>
      <c r="F414" t="s">
        <v>22</v>
      </c>
      <c r="G414">
        <v>21</v>
      </c>
      <c r="H414">
        <v>2.6987648668974538E-2</v>
      </c>
      <c r="I414" t="s">
        <v>1413</v>
      </c>
      <c r="J414" s="2" t="s">
        <v>2126</v>
      </c>
      <c r="K414">
        <v>1</v>
      </c>
      <c r="L414">
        <v>1</v>
      </c>
      <c r="M414" t="s">
        <v>18</v>
      </c>
      <c r="N414" t="str">
        <f t="shared" si="6"/>
        <v>PORCELAIN ELECTRICAL SUPPLIES (3264)</v>
      </c>
    </row>
    <row r="415" spans="1:14" x14ac:dyDescent="0.45">
      <c r="A415" s="4">
        <v>3269</v>
      </c>
      <c r="B415" t="s">
        <v>526</v>
      </c>
      <c r="C415" t="s">
        <v>521</v>
      </c>
      <c r="D415" t="s">
        <v>510</v>
      </c>
      <c r="E415" t="s">
        <v>216</v>
      </c>
      <c r="F415" t="s">
        <v>22</v>
      </c>
      <c r="G415">
        <v>21</v>
      </c>
      <c r="H415">
        <v>2.6987648668974538E-2</v>
      </c>
      <c r="I415" t="s">
        <v>1413</v>
      </c>
      <c r="J415" s="2" t="s">
        <v>2126</v>
      </c>
      <c r="K415">
        <v>1</v>
      </c>
      <c r="L415">
        <v>1</v>
      </c>
      <c r="M415" t="s">
        <v>18</v>
      </c>
      <c r="N415" t="str">
        <f t="shared" si="6"/>
        <v>POTTERY PRODUCTS, NEC (3269)</v>
      </c>
    </row>
    <row r="416" spans="1:14" x14ac:dyDescent="0.45">
      <c r="A416" s="4">
        <v>3270</v>
      </c>
      <c r="B416" t="s">
        <v>527</v>
      </c>
      <c r="C416" t="s">
        <v>527</v>
      </c>
      <c r="D416" t="s">
        <v>510</v>
      </c>
      <c r="E416" t="s">
        <v>216</v>
      </c>
      <c r="F416" t="s">
        <v>22</v>
      </c>
      <c r="G416">
        <v>21</v>
      </c>
      <c r="H416">
        <v>2.6987648668974538E-2</v>
      </c>
      <c r="I416" t="s">
        <v>1413</v>
      </c>
      <c r="J416" s="2" t="s">
        <v>2126</v>
      </c>
      <c r="K416">
        <v>1</v>
      </c>
      <c r="L416">
        <v>1</v>
      </c>
      <c r="M416" t="s">
        <v>18</v>
      </c>
      <c r="N416" t="str">
        <f t="shared" si="6"/>
        <v>CONCRETE, GYPSUM, AND PLASTER PRODUCTS (3270)</v>
      </c>
    </row>
    <row r="417" spans="1:14" x14ac:dyDescent="0.45">
      <c r="A417" s="4">
        <v>3271</v>
      </c>
      <c r="B417" t="s">
        <v>528</v>
      </c>
      <c r="C417" t="s">
        <v>527</v>
      </c>
      <c r="D417" t="s">
        <v>510</v>
      </c>
      <c r="E417" t="s">
        <v>216</v>
      </c>
      <c r="F417" t="s">
        <v>22</v>
      </c>
      <c r="G417">
        <v>21</v>
      </c>
      <c r="H417">
        <v>2.6987648668974538E-2</v>
      </c>
      <c r="I417" t="s">
        <v>1413</v>
      </c>
      <c r="J417" s="2" t="s">
        <v>2126</v>
      </c>
      <c r="K417">
        <v>1</v>
      </c>
      <c r="L417">
        <v>1</v>
      </c>
      <c r="M417" t="s">
        <v>18</v>
      </c>
      <c r="N417" t="str">
        <f t="shared" si="6"/>
        <v>CONCRETE BLOCK AND BRICK (3271)</v>
      </c>
    </row>
    <row r="418" spans="1:14" x14ac:dyDescent="0.45">
      <c r="A418" s="4">
        <v>3272</v>
      </c>
      <c r="B418" t="s">
        <v>529</v>
      </c>
      <c r="C418" t="s">
        <v>527</v>
      </c>
      <c r="D418" t="s">
        <v>510</v>
      </c>
      <c r="E418" t="s">
        <v>216</v>
      </c>
      <c r="F418" t="s">
        <v>22</v>
      </c>
      <c r="G418">
        <v>21</v>
      </c>
      <c r="H418">
        <v>2.6987648668974538E-2</v>
      </c>
      <c r="I418" t="s">
        <v>1413</v>
      </c>
      <c r="J418" s="2" t="s">
        <v>2126</v>
      </c>
      <c r="K418">
        <v>1</v>
      </c>
      <c r="L418">
        <v>1</v>
      </c>
      <c r="M418" t="s">
        <v>18</v>
      </c>
      <c r="N418" t="str">
        <f t="shared" si="6"/>
        <v>CONCRETE PRODUCTS, NEC (3272)</v>
      </c>
    </row>
    <row r="419" spans="1:14" x14ac:dyDescent="0.45">
      <c r="A419" s="4">
        <v>3273</v>
      </c>
      <c r="B419" t="s">
        <v>530</v>
      </c>
      <c r="C419" t="s">
        <v>527</v>
      </c>
      <c r="D419" t="s">
        <v>510</v>
      </c>
      <c r="E419" t="s">
        <v>216</v>
      </c>
      <c r="F419" t="s">
        <v>22</v>
      </c>
      <c r="G419">
        <v>21</v>
      </c>
      <c r="H419">
        <v>2.6987648668974538E-2</v>
      </c>
      <c r="I419" t="s">
        <v>1413</v>
      </c>
      <c r="J419" s="2" t="s">
        <v>2126</v>
      </c>
      <c r="K419">
        <v>1</v>
      </c>
      <c r="L419">
        <v>1</v>
      </c>
      <c r="M419" t="s">
        <v>18</v>
      </c>
      <c r="N419" t="str">
        <f t="shared" si="6"/>
        <v>READY-MIXED CONCRETE (3273)</v>
      </c>
    </row>
    <row r="420" spans="1:14" x14ac:dyDescent="0.45">
      <c r="A420" s="4">
        <v>3274</v>
      </c>
      <c r="B420" t="s">
        <v>531</v>
      </c>
      <c r="C420" t="s">
        <v>527</v>
      </c>
      <c r="D420" t="s">
        <v>510</v>
      </c>
      <c r="E420" t="s">
        <v>216</v>
      </c>
      <c r="F420" t="s">
        <v>22</v>
      </c>
      <c r="G420">
        <v>21</v>
      </c>
      <c r="H420">
        <v>2.6987648668974538E-2</v>
      </c>
      <c r="I420" t="s">
        <v>1413</v>
      </c>
      <c r="J420" s="2" t="s">
        <v>2126</v>
      </c>
      <c r="K420">
        <v>1</v>
      </c>
      <c r="L420">
        <v>1</v>
      </c>
      <c r="M420" t="s">
        <v>18</v>
      </c>
      <c r="N420" t="str">
        <f t="shared" si="6"/>
        <v>LIME (3274)</v>
      </c>
    </row>
    <row r="421" spans="1:14" x14ac:dyDescent="0.45">
      <c r="A421" s="4">
        <v>3275</v>
      </c>
      <c r="B421" t="s">
        <v>532</v>
      </c>
      <c r="C421" t="s">
        <v>527</v>
      </c>
      <c r="D421" t="s">
        <v>510</v>
      </c>
      <c r="E421" t="s">
        <v>216</v>
      </c>
      <c r="F421" t="s">
        <v>22</v>
      </c>
      <c r="G421">
        <v>21</v>
      </c>
      <c r="H421">
        <v>2.6987648668974538E-2</v>
      </c>
      <c r="I421" t="s">
        <v>1413</v>
      </c>
      <c r="J421" s="2" t="s">
        <v>2126</v>
      </c>
      <c r="K421">
        <v>1</v>
      </c>
      <c r="L421">
        <v>1</v>
      </c>
      <c r="M421" t="s">
        <v>18</v>
      </c>
      <c r="N421" t="str">
        <f t="shared" si="6"/>
        <v>GYPSUM PRODUCTS (3275)</v>
      </c>
    </row>
    <row r="422" spans="1:14" x14ac:dyDescent="0.45">
      <c r="A422" s="4">
        <v>3281</v>
      </c>
      <c r="B422" t="s">
        <v>533</v>
      </c>
      <c r="C422" t="s">
        <v>533</v>
      </c>
      <c r="D422" t="s">
        <v>510</v>
      </c>
      <c r="E422" t="s">
        <v>216</v>
      </c>
      <c r="F422" t="s">
        <v>22</v>
      </c>
      <c r="G422">
        <v>21</v>
      </c>
      <c r="H422">
        <v>2.6987648668974538E-2</v>
      </c>
      <c r="I422" t="s">
        <v>1413</v>
      </c>
      <c r="J422" s="2" t="s">
        <v>2126</v>
      </c>
      <c r="K422">
        <v>1</v>
      </c>
      <c r="L422">
        <v>1</v>
      </c>
      <c r="M422" t="s">
        <v>18</v>
      </c>
      <c r="N422" t="str">
        <f t="shared" si="6"/>
        <v>CUT STONE AND STONE PRODUCTS (3281)</v>
      </c>
    </row>
    <row r="423" spans="1:14" x14ac:dyDescent="0.45">
      <c r="A423" s="4">
        <v>3290</v>
      </c>
      <c r="B423" t="s">
        <v>534</v>
      </c>
      <c r="C423" t="s">
        <v>534</v>
      </c>
      <c r="D423" t="s">
        <v>510</v>
      </c>
      <c r="E423" t="s">
        <v>216</v>
      </c>
      <c r="F423" t="s">
        <v>22</v>
      </c>
      <c r="G423">
        <v>21</v>
      </c>
      <c r="H423">
        <v>2.6987648668974538E-2</v>
      </c>
      <c r="I423" t="s">
        <v>1413</v>
      </c>
      <c r="J423" s="2" t="s">
        <v>2126</v>
      </c>
      <c r="K423">
        <v>1</v>
      </c>
      <c r="L423">
        <v>1</v>
      </c>
      <c r="M423" t="s">
        <v>18</v>
      </c>
      <c r="N423" t="str">
        <f t="shared" si="6"/>
        <v>MISC. NONMETALLIC MINERAL PRODUCTS (3290)</v>
      </c>
    </row>
    <row r="424" spans="1:14" x14ac:dyDescent="0.45">
      <c r="A424" s="4">
        <v>3291</v>
      </c>
      <c r="B424" t="s">
        <v>535</v>
      </c>
      <c r="C424" t="s">
        <v>534</v>
      </c>
      <c r="D424" t="s">
        <v>510</v>
      </c>
      <c r="E424" t="s">
        <v>216</v>
      </c>
      <c r="F424" t="s">
        <v>22</v>
      </c>
      <c r="G424">
        <v>21</v>
      </c>
      <c r="H424">
        <v>2.6987648668974538E-2</v>
      </c>
      <c r="I424" t="s">
        <v>1413</v>
      </c>
      <c r="J424" s="2" t="s">
        <v>2126</v>
      </c>
      <c r="K424">
        <v>1</v>
      </c>
      <c r="L424">
        <v>1</v>
      </c>
      <c r="M424" t="s">
        <v>18</v>
      </c>
      <c r="N424" t="str">
        <f t="shared" si="6"/>
        <v>ABRASIVE PRODUCTS (3291)</v>
      </c>
    </row>
    <row r="425" spans="1:14" x14ac:dyDescent="0.45">
      <c r="A425" s="4">
        <v>3292</v>
      </c>
      <c r="B425" t="s">
        <v>536</v>
      </c>
      <c r="C425" t="s">
        <v>534</v>
      </c>
      <c r="D425" t="s">
        <v>510</v>
      </c>
      <c r="E425" t="s">
        <v>216</v>
      </c>
      <c r="F425" t="s">
        <v>22</v>
      </c>
      <c r="G425">
        <v>21</v>
      </c>
      <c r="H425">
        <v>2.6987648668974538E-2</v>
      </c>
      <c r="I425" t="s">
        <v>1413</v>
      </c>
      <c r="J425" s="2" t="s">
        <v>2126</v>
      </c>
      <c r="K425">
        <v>1</v>
      </c>
      <c r="L425">
        <v>1</v>
      </c>
      <c r="M425" t="s">
        <v>18</v>
      </c>
      <c r="N425" t="str">
        <f t="shared" si="6"/>
        <v>ASBESTOS PRODUCTS (3292)</v>
      </c>
    </row>
    <row r="426" spans="1:14" x14ac:dyDescent="0.45">
      <c r="A426" s="4">
        <v>3295</v>
      </c>
      <c r="B426" t="s">
        <v>537</v>
      </c>
      <c r="C426" t="s">
        <v>534</v>
      </c>
      <c r="D426" t="s">
        <v>510</v>
      </c>
      <c r="E426" t="s">
        <v>216</v>
      </c>
      <c r="F426" t="s">
        <v>22</v>
      </c>
      <c r="G426">
        <v>21</v>
      </c>
      <c r="H426">
        <v>2.6987648668974538E-2</v>
      </c>
      <c r="I426" t="s">
        <v>1413</v>
      </c>
      <c r="J426" s="2" t="s">
        <v>2126</v>
      </c>
      <c r="K426">
        <v>1</v>
      </c>
      <c r="L426">
        <v>1</v>
      </c>
      <c r="M426" t="s">
        <v>18</v>
      </c>
      <c r="N426" t="str">
        <f t="shared" si="6"/>
        <v>MINERALS, GROUND OR TREATED (3295)</v>
      </c>
    </row>
    <row r="427" spans="1:14" x14ac:dyDescent="0.45">
      <c r="A427" s="4">
        <v>3296</v>
      </c>
      <c r="B427" t="s">
        <v>538</v>
      </c>
      <c r="C427" t="s">
        <v>534</v>
      </c>
      <c r="D427" t="s">
        <v>510</v>
      </c>
      <c r="E427" t="s">
        <v>216</v>
      </c>
      <c r="F427" t="s">
        <v>22</v>
      </c>
      <c r="G427">
        <v>21</v>
      </c>
      <c r="H427">
        <v>2.6987648668974538E-2</v>
      </c>
      <c r="I427" t="s">
        <v>1413</v>
      </c>
      <c r="J427" s="2" t="s">
        <v>2126</v>
      </c>
      <c r="K427">
        <v>1</v>
      </c>
      <c r="L427">
        <v>1</v>
      </c>
      <c r="M427" t="s">
        <v>18</v>
      </c>
      <c r="N427" t="str">
        <f t="shared" si="6"/>
        <v>MINERAL WOOL (3296)</v>
      </c>
    </row>
    <row r="428" spans="1:14" x14ac:dyDescent="0.45">
      <c r="A428" s="4">
        <v>3297</v>
      </c>
      <c r="B428" t="s">
        <v>539</v>
      </c>
      <c r="C428" t="s">
        <v>534</v>
      </c>
      <c r="D428" t="s">
        <v>510</v>
      </c>
      <c r="E428" t="s">
        <v>216</v>
      </c>
      <c r="F428" t="s">
        <v>22</v>
      </c>
      <c r="G428">
        <v>21</v>
      </c>
      <c r="H428">
        <v>2.6987648668974538E-2</v>
      </c>
      <c r="I428" t="s">
        <v>1413</v>
      </c>
      <c r="J428" s="2" t="s">
        <v>2126</v>
      </c>
      <c r="K428">
        <v>1</v>
      </c>
      <c r="L428">
        <v>1</v>
      </c>
      <c r="M428" t="s">
        <v>18</v>
      </c>
      <c r="N428" t="str">
        <f t="shared" si="6"/>
        <v>NONCLAY REFRACTORIES (3297)</v>
      </c>
    </row>
    <row r="429" spans="1:14" x14ac:dyDescent="0.45">
      <c r="A429" s="4">
        <v>3299</v>
      </c>
      <c r="B429" t="s">
        <v>540</v>
      </c>
      <c r="C429" t="s">
        <v>534</v>
      </c>
      <c r="D429" t="s">
        <v>510</v>
      </c>
      <c r="E429" t="s">
        <v>216</v>
      </c>
      <c r="F429" t="s">
        <v>22</v>
      </c>
      <c r="G429">
        <v>21</v>
      </c>
      <c r="H429">
        <v>2.6987648668974538E-2</v>
      </c>
      <c r="I429" t="s">
        <v>1413</v>
      </c>
      <c r="J429" s="2" t="s">
        <v>2126</v>
      </c>
      <c r="K429">
        <v>1</v>
      </c>
      <c r="L429">
        <v>1</v>
      </c>
      <c r="M429" t="s">
        <v>18</v>
      </c>
      <c r="N429" t="str">
        <f t="shared" si="6"/>
        <v>NONMETALLIC MINERAL PRODUCTS, (3299)</v>
      </c>
    </row>
    <row r="430" spans="1:14" x14ac:dyDescent="0.45">
      <c r="A430" s="4">
        <v>3310</v>
      </c>
      <c r="B430" t="s">
        <v>541</v>
      </c>
      <c r="C430" t="s">
        <v>541</v>
      </c>
      <c r="D430" t="s">
        <v>542</v>
      </c>
      <c r="E430" t="s">
        <v>216</v>
      </c>
      <c r="F430" t="s">
        <v>22</v>
      </c>
      <c r="G430">
        <v>21</v>
      </c>
      <c r="H430">
        <v>2.6987648668974538E-2</v>
      </c>
      <c r="I430" t="s">
        <v>1413</v>
      </c>
      <c r="J430" s="2" t="s">
        <v>2126</v>
      </c>
      <c r="K430">
        <v>1</v>
      </c>
      <c r="L430">
        <v>1</v>
      </c>
      <c r="M430" t="s">
        <v>18</v>
      </c>
      <c r="N430" t="str">
        <f t="shared" si="6"/>
        <v>BLAST FURNACE AND BASIC STEEL PRODUCTS (3310)</v>
      </c>
    </row>
    <row r="431" spans="1:14" x14ac:dyDescent="0.45">
      <c r="A431" s="4">
        <v>3312</v>
      </c>
      <c r="B431" t="s">
        <v>543</v>
      </c>
      <c r="C431" t="s">
        <v>541</v>
      </c>
      <c r="D431" t="s">
        <v>542</v>
      </c>
      <c r="E431" t="s">
        <v>216</v>
      </c>
      <c r="F431" t="s">
        <v>22</v>
      </c>
      <c r="G431">
        <v>21</v>
      </c>
      <c r="H431">
        <v>2.6987648668974538E-2</v>
      </c>
      <c r="I431" t="s">
        <v>1413</v>
      </c>
      <c r="J431" s="2" t="s">
        <v>2126</v>
      </c>
      <c r="K431">
        <v>1</v>
      </c>
      <c r="L431">
        <v>1</v>
      </c>
      <c r="M431" t="s">
        <v>18</v>
      </c>
      <c r="N431" t="str">
        <f t="shared" si="6"/>
        <v>BLAST FURNACES AND STEEL MILLS (3312)</v>
      </c>
    </row>
    <row r="432" spans="1:14" x14ac:dyDescent="0.45">
      <c r="A432" s="4">
        <v>3313</v>
      </c>
      <c r="B432" t="s">
        <v>544</v>
      </c>
      <c r="C432" t="s">
        <v>541</v>
      </c>
      <c r="D432" t="s">
        <v>542</v>
      </c>
      <c r="E432" t="s">
        <v>216</v>
      </c>
      <c r="F432" t="s">
        <v>22</v>
      </c>
      <c r="G432">
        <v>21</v>
      </c>
      <c r="H432">
        <v>2.6987648668974538E-2</v>
      </c>
      <c r="I432" t="s">
        <v>1413</v>
      </c>
      <c r="J432" s="2" t="s">
        <v>2126</v>
      </c>
      <c r="K432">
        <v>1</v>
      </c>
      <c r="L432">
        <v>1</v>
      </c>
      <c r="M432" t="s">
        <v>18</v>
      </c>
      <c r="N432" t="str">
        <f t="shared" si="6"/>
        <v>ELECTROMETALLURGICAL PRODUCTS (3313)</v>
      </c>
    </row>
    <row r="433" spans="1:14" x14ac:dyDescent="0.45">
      <c r="A433" s="4">
        <v>3315</v>
      </c>
      <c r="B433" t="s">
        <v>545</v>
      </c>
      <c r="C433" t="s">
        <v>541</v>
      </c>
      <c r="D433" t="s">
        <v>542</v>
      </c>
      <c r="E433" t="s">
        <v>216</v>
      </c>
      <c r="F433" t="s">
        <v>22</v>
      </c>
      <c r="G433">
        <v>21</v>
      </c>
      <c r="H433">
        <v>2.6987648668974538E-2</v>
      </c>
      <c r="I433" t="s">
        <v>1413</v>
      </c>
      <c r="J433" s="2" t="s">
        <v>2126</v>
      </c>
      <c r="K433">
        <v>1</v>
      </c>
      <c r="L433">
        <v>1</v>
      </c>
      <c r="M433" t="s">
        <v>18</v>
      </c>
      <c r="N433" t="str">
        <f t="shared" si="6"/>
        <v>STEEL WIRE AND RELATED PRODUCTS (3315)</v>
      </c>
    </row>
    <row r="434" spans="1:14" x14ac:dyDescent="0.45">
      <c r="A434" s="4">
        <v>3316</v>
      </c>
      <c r="B434" t="s">
        <v>546</v>
      </c>
      <c r="C434" t="s">
        <v>541</v>
      </c>
      <c r="D434" t="s">
        <v>542</v>
      </c>
      <c r="E434" t="s">
        <v>216</v>
      </c>
      <c r="F434" t="s">
        <v>22</v>
      </c>
      <c r="G434">
        <v>21</v>
      </c>
      <c r="H434">
        <v>2.6987648668974538E-2</v>
      </c>
      <c r="I434" t="s">
        <v>1413</v>
      </c>
      <c r="J434" s="2" t="s">
        <v>2126</v>
      </c>
      <c r="K434">
        <v>1</v>
      </c>
      <c r="L434">
        <v>1</v>
      </c>
      <c r="M434" t="s">
        <v>18</v>
      </c>
      <c r="N434" t="str">
        <f t="shared" si="6"/>
        <v>COLD FINISHING OF STEEL SHAPES (3316)</v>
      </c>
    </row>
    <row r="435" spans="1:14" x14ac:dyDescent="0.45">
      <c r="A435" s="4">
        <v>3317</v>
      </c>
      <c r="B435" t="s">
        <v>547</v>
      </c>
      <c r="C435" t="s">
        <v>541</v>
      </c>
      <c r="D435" t="s">
        <v>542</v>
      </c>
      <c r="E435" t="s">
        <v>216</v>
      </c>
      <c r="F435" t="s">
        <v>22</v>
      </c>
      <c r="G435">
        <v>21</v>
      </c>
      <c r="H435">
        <v>2.6987648668974538E-2</v>
      </c>
      <c r="I435" t="s">
        <v>1413</v>
      </c>
      <c r="J435" s="2" t="s">
        <v>2126</v>
      </c>
      <c r="K435">
        <v>1</v>
      </c>
      <c r="L435">
        <v>1</v>
      </c>
      <c r="M435" t="s">
        <v>18</v>
      </c>
      <c r="N435" t="str">
        <f t="shared" si="6"/>
        <v>STEEL PIPE AND TUBES (3317)</v>
      </c>
    </row>
    <row r="436" spans="1:14" x14ac:dyDescent="0.45">
      <c r="A436" s="4">
        <v>3320</v>
      </c>
      <c r="B436" t="s">
        <v>548</v>
      </c>
      <c r="C436" t="s">
        <v>548</v>
      </c>
      <c r="D436" t="s">
        <v>542</v>
      </c>
      <c r="E436" t="s">
        <v>216</v>
      </c>
      <c r="F436" t="s">
        <v>22</v>
      </c>
      <c r="G436">
        <v>21</v>
      </c>
      <c r="H436">
        <v>2.6987648668974538E-2</v>
      </c>
      <c r="I436" t="s">
        <v>1413</v>
      </c>
      <c r="J436" s="2" t="s">
        <v>2126</v>
      </c>
      <c r="K436">
        <v>1</v>
      </c>
      <c r="L436">
        <v>1</v>
      </c>
      <c r="M436" t="s">
        <v>18</v>
      </c>
      <c r="N436" t="str">
        <f t="shared" si="6"/>
        <v>IRON AND STEEL FOUNDRIES (3320)</v>
      </c>
    </row>
    <row r="437" spans="1:14" x14ac:dyDescent="0.45">
      <c r="A437" s="4">
        <v>3321</v>
      </c>
      <c r="B437" t="s">
        <v>549</v>
      </c>
      <c r="C437" t="s">
        <v>548</v>
      </c>
      <c r="D437" t="s">
        <v>542</v>
      </c>
      <c r="E437" t="s">
        <v>216</v>
      </c>
      <c r="F437" t="s">
        <v>22</v>
      </c>
      <c r="G437">
        <v>21</v>
      </c>
      <c r="H437">
        <v>2.6987648668974538E-2</v>
      </c>
      <c r="I437" t="s">
        <v>1413</v>
      </c>
      <c r="J437" s="2" t="s">
        <v>2126</v>
      </c>
      <c r="K437">
        <v>1</v>
      </c>
      <c r="L437">
        <v>1</v>
      </c>
      <c r="M437" t="s">
        <v>18</v>
      </c>
      <c r="N437" t="str">
        <f t="shared" si="6"/>
        <v>GRAY AND DUCTILE IRON FOUNDRIES (3321)</v>
      </c>
    </row>
    <row r="438" spans="1:14" x14ac:dyDescent="0.45">
      <c r="A438" s="4">
        <v>3322</v>
      </c>
      <c r="B438" t="s">
        <v>550</v>
      </c>
      <c r="C438" t="s">
        <v>548</v>
      </c>
      <c r="D438" t="s">
        <v>542</v>
      </c>
      <c r="E438" t="s">
        <v>216</v>
      </c>
      <c r="F438" t="s">
        <v>22</v>
      </c>
      <c r="G438">
        <v>21</v>
      </c>
      <c r="H438">
        <v>2.6987648668974538E-2</v>
      </c>
      <c r="I438" t="s">
        <v>1413</v>
      </c>
      <c r="J438" s="2" t="s">
        <v>2126</v>
      </c>
      <c r="K438">
        <v>1</v>
      </c>
      <c r="L438">
        <v>1</v>
      </c>
      <c r="M438" t="s">
        <v>18</v>
      </c>
      <c r="N438" t="str">
        <f t="shared" si="6"/>
        <v>MALLEABLE IRON FOUNDRIES (3322)</v>
      </c>
    </row>
    <row r="439" spans="1:14" x14ac:dyDescent="0.45">
      <c r="A439" s="4">
        <v>3324</v>
      </c>
      <c r="B439" t="s">
        <v>551</v>
      </c>
      <c r="C439" t="s">
        <v>548</v>
      </c>
      <c r="D439" t="s">
        <v>542</v>
      </c>
      <c r="E439" t="s">
        <v>216</v>
      </c>
      <c r="F439" t="s">
        <v>22</v>
      </c>
      <c r="G439">
        <v>21</v>
      </c>
      <c r="H439">
        <v>2.6987648668974538E-2</v>
      </c>
      <c r="I439" t="s">
        <v>1413</v>
      </c>
      <c r="J439" s="2" t="s">
        <v>2126</v>
      </c>
      <c r="K439">
        <v>1</v>
      </c>
      <c r="L439">
        <v>1</v>
      </c>
      <c r="M439" t="s">
        <v>18</v>
      </c>
      <c r="N439" t="str">
        <f t="shared" si="6"/>
        <v>STEEL INVESTMENT FOUNDRIES (3324)</v>
      </c>
    </row>
    <row r="440" spans="1:14" x14ac:dyDescent="0.45">
      <c r="A440" s="4">
        <v>3325</v>
      </c>
      <c r="B440" t="s">
        <v>552</v>
      </c>
      <c r="C440" t="s">
        <v>548</v>
      </c>
      <c r="D440" t="s">
        <v>542</v>
      </c>
      <c r="E440" t="s">
        <v>216</v>
      </c>
      <c r="F440" t="s">
        <v>22</v>
      </c>
      <c r="G440">
        <v>21</v>
      </c>
      <c r="H440">
        <v>2.6987648668974538E-2</v>
      </c>
      <c r="I440" t="s">
        <v>1413</v>
      </c>
      <c r="J440" s="2" t="s">
        <v>2126</v>
      </c>
      <c r="K440">
        <v>1</v>
      </c>
      <c r="L440">
        <v>1</v>
      </c>
      <c r="M440" t="s">
        <v>18</v>
      </c>
      <c r="N440" t="str">
        <f t="shared" si="6"/>
        <v>STEEL FOUNDRIES, NEC (3325)</v>
      </c>
    </row>
    <row r="441" spans="1:14" x14ac:dyDescent="0.45">
      <c r="A441" s="4">
        <v>3330</v>
      </c>
      <c r="B441" t="s">
        <v>553</v>
      </c>
      <c r="C441" t="s">
        <v>553</v>
      </c>
      <c r="D441" t="s">
        <v>542</v>
      </c>
      <c r="E441" t="s">
        <v>216</v>
      </c>
      <c r="F441" t="s">
        <v>22</v>
      </c>
      <c r="G441">
        <v>21</v>
      </c>
      <c r="H441">
        <v>2.6987648668974538E-2</v>
      </c>
      <c r="I441" t="s">
        <v>1413</v>
      </c>
      <c r="J441" s="2" t="s">
        <v>2126</v>
      </c>
      <c r="K441">
        <v>1</v>
      </c>
      <c r="L441">
        <v>1</v>
      </c>
      <c r="M441" t="s">
        <v>18</v>
      </c>
      <c r="N441" t="str">
        <f t="shared" si="6"/>
        <v>PRIMARY NONFERROUS METALS (3330)</v>
      </c>
    </row>
    <row r="442" spans="1:14" x14ac:dyDescent="0.45">
      <c r="A442" s="4">
        <v>3331</v>
      </c>
      <c r="B442" t="s">
        <v>554</v>
      </c>
      <c r="C442" t="s">
        <v>553</v>
      </c>
      <c r="D442" t="s">
        <v>542</v>
      </c>
      <c r="E442" t="s">
        <v>216</v>
      </c>
      <c r="F442" t="s">
        <v>22</v>
      </c>
      <c r="G442">
        <v>21</v>
      </c>
      <c r="H442">
        <v>2.6987648668974538E-2</v>
      </c>
      <c r="I442" t="s">
        <v>1413</v>
      </c>
      <c r="J442" s="2" t="s">
        <v>2126</v>
      </c>
      <c r="K442">
        <v>1</v>
      </c>
      <c r="L442">
        <v>1</v>
      </c>
      <c r="M442" t="s">
        <v>18</v>
      </c>
      <c r="N442" t="str">
        <f t="shared" si="6"/>
        <v>PRIMARY COPPER (3331)</v>
      </c>
    </row>
    <row r="443" spans="1:14" x14ac:dyDescent="0.45">
      <c r="A443" s="4">
        <v>3334</v>
      </c>
      <c r="B443" t="s">
        <v>555</v>
      </c>
      <c r="C443" t="s">
        <v>553</v>
      </c>
      <c r="D443" t="s">
        <v>542</v>
      </c>
      <c r="E443" t="s">
        <v>216</v>
      </c>
      <c r="F443" t="s">
        <v>22</v>
      </c>
      <c r="G443">
        <v>21</v>
      </c>
      <c r="H443">
        <v>2.6987648668974538E-2</v>
      </c>
      <c r="I443" t="s">
        <v>1413</v>
      </c>
      <c r="J443" s="2" t="s">
        <v>2126</v>
      </c>
      <c r="K443">
        <v>1</v>
      </c>
      <c r="L443">
        <v>1</v>
      </c>
      <c r="M443" t="s">
        <v>18</v>
      </c>
      <c r="N443" t="str">
        <f t="shared" si="6"/>
        <v>PRIMARY ALUMINUM (3334)</v>
      </c>
    </row>
    <row r="444" spans="1:14" x14ac:dyDescent="0.45">
      <c r="A444" s="4">
        <v>3339</v>
      </c>
      <c r="B444" t="s">
        <v>556</v>
      </c>
      <c r="C444" t="s">
        <v>553</v>
      </c>
      <c r="D444" t="s">
        <v>542</v>
      </c>
      <c r="E444" t="s">
        <v>216</v>
      </c>
      <c r="F444" t="s">
        <v>22</v>
      </c>
      <c r="G444">
        <v>21</v>
      </c>
      <c r="H444">
        <v>2.6987648668974538E-2</v>
      </c>
      <c r="I444" t="s">
        <v>1413</v>
      </c>
      <c r="J444" s="2" t="s">
        <v>2126</v>
      </c>
      <c r="K444">
        <v>1</v>
      </c>
      <c r="L444">
        <v>1</v>
      </c>
      <c r="M444" t="s">
        <v>18</v>
      </c>
      <c r="N444" t="str">
        <f t="shared" si="6"/>
        <v>PRIMARY NONFERROUS METALS, NEC (3339)</v>
      </c>
    </row>
    <row r="445" spans="1:14" x14ac:dyDescent="0.45">
      <c r="A445" s="4">
        <v>3341</v>
      </c>
      <c r="B445" t="s">
        <v>557</v>
      </c>
      <c r="C445" t="s">
        <v>557</v>
      </c>
      <c r="D445" t="s">
        <v>542</v>
      </c>
      <c r="E445" t="s">
        <v>216</v>
      </c>
      <c r="F445" t="s">
        <v>22</v>
      </c>
      <c r="G445">
        <v>21</v>
      </c>
      <c r="H445">
        <v>2.6987648668974538E-2</v>
      </c>
      <c r="I445" t="s">
        <v>1413</v>
      </c>
      <c r="J445" s="2" t="s">
        <v>2126</v>
      </c>
      <c r="K445">
        <v>1</v>
      </c>
      <c r="L445">
        <v>1</v>
      </c>
      <c r="M445" t="s">
        <v>18</v>
      </c>
      <c r="N445" t="str">
        <f t="shared" si="6"/>
        <v>SECONDARY NONFERROUS METALS (3341)</v>
      </c>
    </row>
    <row r="446" spans="1:14" x14ac:dyDescent="0.45">
      <c r="A446" s="4">
        <v>3350</v>
      </c>
      <c r="B446" t="s">
        <v>558</v>
      </c>
      <c r="C446" t="s">
        <v>558</v>
      </c>
      <c r="D446" t="s">
        <v>542</v>
      </c>
      <c r="E446" t="s">
        <v>216</v>
      </c>
      <c r="F446" t="s">
        <v>22</v>
      </c>
      <c r="G446">
        <v>21</v>
      </c>
      <c r="H446">
        <v>2.6987648668974538E-2</v>
      </c>
      <c r="I446" t="s">
        <v>1413</v>
      </c>
      <c r="J446" s="2" t="s">
        <v>2126</v>
      </c>
      <c r="K446">
        <v>1</v>
      </c>
      <c r="L446">
        <v>1</v>
      </c>
      <c r="M446" t="s">
        <v>18</v>
      </c>
      <c r="N446" t="str">
        <f t="shared" si="6"/>
        <v>NONFERROUS ROLLING AND DRAWING (3350)</v>
      </c>
    </row>
    <row r="447" spans="1:14" x14ac:dyDescent="0.45">
      <c r="A447" s="4">
        <v>3351</v>
      </c>
      <c r="B447" t="s">
        <v>559</v>
      </c>
      <c r="C447" t="s">
        <v>558</v>
      </c>
      <c r="D447" t="s">
        <v>542</v>
      </c>
      <c r="E447" t="s">
        <v>216</v>
      </c>
      <c r="F447" t="s">
        <v>22</v>
      </c>
      <c r="G447">
        <v>21</v>
      </c>
      <c r="H447">
        <v>2.6987648668974538E-2</v>
      </c>
      <c r="I447" t="s">
        <v>1413</v>
      </c>
      <c r="J447" s="2" t="s">
        <v>2126</v>
      </c>
      <c r="K447">
        <v>1</v>
      </c>
      <c r="L447">
        <v>1</v>
      </c>
      <c r="M447" t="s">
        <v>18</v>
      </c>
      <c r="N447" t="str">
        <f t="shared" si="6"/>
        <v>COPPER ROLLING AND DRAWING (3351)</v>
      </c>
    </row>
    <row r="448" spans="1:14" x14ac:dyDescent="0.45">
      <c r="A448" s="4">
        <v>3353</v>
      </c>
      <c r="B448" t="s">
        <v>560</v>
      </c>
      <c r="C448" t="s">
        <v>558</v>
      </c>
      <c r="D448" t="s">
        <v>542</v>
      </c>
      <c r="E448" t="s">
        <v>216</v>
      </c>
      <c r="F448" t="s">
        <v>22</v>
      </c>
      <c r="G448">
        <v>21</v>
      </c>
      <c r="H448">
        <v>2.6987648668974538E-2</v>
      </c>
      <c r="I448" t="s">
        <v>1413</v>
      </c>
      <c r="J448" s="2" t="s">
        <v>2126</v>
      </c>
      <c r="K448">
        <v>1</v>
      </c>
      <c r="L448">
        <v>1</v>
      </c>
      <c r="M448" t="s">
        <v>18</v>
      </c>
      <c r="N448" t="str">
        <f t="shared" si="6"/>
        <v>ALUMINUM SHEET, PLATE, AND FOIL (3353)</v>
      </c>
    </row>
    <row r="449" spans="1:14" x14ac:dyDescent="0.45">
      <c r="A449" s="4">
        <v>3354</v>
      </c>
      <c r="B449" t="s">
        <v>561</v>
      </c>
      <c r="C449" t="s">
        <v>558</v>
      </c>
      <c r="D449" t="s">
        <v>542</v>
      </c>
      <c r="E449" t="s">
        <v>216</v>
      </c>
      <c r="F449" t="s">
        <v>22</v>
      </c>
      <c r="G449">
        <v>21</v>
      </c>
      <c r="H449">
        <v>2.6987648668974538E-2</v>
      </c>
      <c r="I449" t="s">
        <v>1413</v>
      </c>
      <c r="J449" s="2" t="s">
        <v>2126</v>
      </c>
      <c r="K449">
        <v>1</v>
      </c>
      <c r="L449">
        <v>1</v>
      </c>
      <c r="M449" t="s">
        <v>18</v>
      </c>
      <c r="N449" t="str">
        <f t="shared" si="6"/>
        <v>ALUMINUM EXTRUDED PRODUCTS (3354)</v>
      </c>
    </row>
    <row r="450" spans="1:14" x14ac:dyDescent="0.45">
      <c r="A450" s="4">
        <v>3355</v>
      </c>
      <c r="B450" t="s">
        <v>562</v>
      </c>
      <c r="C450" t="s">
        <v>558</v>
      </c>
      <c r="D450" t="s">
        <v>542</v>
      </c>
      <c r="E450" t="s">
        <v>216</v>
      </c>
      <c r="F450" t="s">
        <v>22</v>
      </c>
      <c r="G450">
        <v>21</v>
      </c>
      <c r="H450">
        <v>2.6987648668974538E-2</v>
      </c>
      <c r="I450" t="s">
        <v>1413</v>
      </c>
      <c r="J450" s="2" t="s">
        <v>2126</v>
      </c>
      <c r="K450">
        <v>1</v>
      </c>
      <c r="L450">
        <v>1</v>
      </c>
      <c r="M450" t="s">
        <v>18</v>
      </c>
      <c r="N450" t="str">
        <f t="shared" si="6"/>
        <v>ALUMINUM ROLLING AND DRAWING, NEC (3355)</v>
      </c>
    </row>
    <row r="451" spans="1:14" x14ac:dyDescent="0.45">
      <c r="A451" s="4">
        <v>3356</v>
      </c>
      <c r="B451" t="s">
        <v>563</v>
      </c>
      <c r="C451" t="s">
        <v>558</v>
      </c>
      <c r="D451" t="s">
        <v>542</v>
      </c>
      <c r="E451" t="s">
        <v>216</v>
      </c>
      <c r="F451" t="s">
        <v>22</v>
      </c>
      <c r="G451">
        <v>21</v>
      </c>
      <c r="H451">
        <v>2.6987648668974538E-2</v>
      </c>
      <c r="I451" t="s">
        <v>1413</v>
      </c>
      <c r="J451" s="2" t="s">
        <v>2126</v>
      </c>
      <c r="K451">
        <v>1</v>
      </c>
      <c r="L451">
        <v>1</v>
      </c>
      <c r="M451" t="s">
        <v>18</v>
      </c>
      <c r="N451" t="str">
        <f t="shared" ref="N451:N514" si="7">B451&amp;" ("&amp;A451&amp;")"</f>
        <v>NONFERROUS ROLLING AND DRAWING, NEC (3356)</v>
      </c>
    </row>
    <row r="452" spans="1:14" x14ac:dyDescent="0.45">
      <c r="A452" s="4">
        <v>3357</v>
      </c>
      <c r="B452" t="s">
        <v>564</v>
      </c>
      <c r="C452" t="s">
        <v>558</v>
      </c>
      <c r="D452" t="s">
        <v>542</v>
      </c>
      <c r="E452" t="s">
        <v>216</v>
      </c>
      <c r="F452" t="s">
        <v>22</v>
      </c>
      <c r="G452">
        <v>21</v>
      </c>
      <c r="H452">
        <v>2.6987648668974538E-2</v>
      </c>
      <c r="I452" t="s">
        <v>1413</v>
      </c>
      <c r="J452" s="2" t="s">
        <v>2126</v>
      </c>
      <c r="K452">
        <v>1</v>
      </c>
      <c r="L452">
        <v>1</v>
      </c>
      <c r="M452" t="s">
        <v>18</v>
      </c>
      <c r="N452" t="str">
        <f t="shared" si="7"/>
        <v>NONFERROUS WIREDRAWING AND INSULATING (3357)</v>
      </c>
    </row>
    <row r="453" spans="1:14" x14ac:dyDescent="0.45">
      <c r="A453" s="4">
        <v>3360</v>
      </c>
      <c r="B453" t="s">
        <v>565</v>
      </c>
      <c r="C453" t="s">
        <v>565</v>
      </c>
      <c r="D453" t="s">
        <v>542</v>
      </c>
      <c r="E453" t="s">
        <v>216</v>
      </c>
      <c r="F453" t="s">
        <v>22</v>
      </c>
      <c r="G453">
        <v>21</v>
      </c>
      <c r="H453">
        <v>2.6987648668974538E-2</v>
      </c>
      <c r="I453" t="s">
        <v>1413</v>
      </c>
      <c r="J453" s="2" t="s">
        <v>2126</v>
      </c>
      <c r="K453">
        <v>1</v>
      </c>
      <c r="L453">
        <v>1</v>
      </c>
      <c r="M453" t="s">
        <v>18</v>
      </c>
      <c r="N453" t="str">
        <f t="shared" si="7"/>
        <v>NONFERROUS FOUNDRIES (CASTINGS) (3360)</v>
      </c>
    </row>
    <row r="454" spans="1:14" x14ac:dyDescent="0.45">
      <c r="A454" s="4">
        <v>3363</v>
      </c>
      <c r="B454" t="s">
        <v>566</v>
      </c>
      <c r="C454" t="s">
        <v>565</v>
      </c>
      <c r="D454" t="s">
        <v>542</v>
      </c>
      <c r="E454" t="s">
        <v>216</v>
      </c>
      <c r="F454" t="s">
        <v>22</v>
      </c>
      <c r="G454">
        <v>21</v>
      </c>
      <c r="H454">
        <v>2.6987648668974538E-2</v>
      </c>
      <c r="I454" t="s">
        <v>1413</v>
      </c>
      <c r="J454" s="2" t="s">
        <v>2126</v>
      </c>
      <c r="K454">
        <v>1</v>
      </c>
      <c r="L454">
        <v>1</v>
      </c>
      <c r="M454" t="s">
        <v>18</v>
      </c>
      <c r="N454" t="str">
        <f t="shared" si="7"/>
        <v>ALUMINUM DIE-CASTINGS (3363)</v>
      </c>
    </row>
    <row r="455" spans="1:14" x14ac:dyDescent="0.45">
      <c r="A455" s="4">
        <v>3364</v>
      </c>
      <c r="B455" t="s">
        <v>567</v>
      </c>
      <c r="C455" t="s">
        <v>565</v>
      </c>
      <c r="D455" t="s">
        <v>542</v>
      </c>
      <c r="E455" t="s">
        <v>216</v>
      </c>
      <c r="F455" t="s">
        <v>22</v>
      </c>
      <c r="G455">
        <v>21</v>
      </c>
      <c r="H455">
        <v>2.6987648668974538E-2</v>
      </c>
      <c r="I455" t="s">
        <v>1413</v>
      </c>
      <c r="J455" s="2" t="s">
        <v>2126</v>
      </c>
      <c r="K455">
        <v>1</v>
      </c>
      <c r="L455">
        <v>1</v>
      </c>
      <c r="M455" t="s">
        <v>18</v>
      </c>
      <c r="N455" t="str">
        <f t="shared" si="7"/>
        <v>NONFERROUS DIE-CASTINGS EXCEPT ALUMINUM (3364)</v>
      </c>
    </row>
    <row r="456" spans="1:14" x14ac:dyDescent="0.45">
      <c r="A456" s="4">
        <v>3365</v>
      </c>
      <c r="B456" t="s">
        <v>568</v>
      </c>
      <c r="C456" t="s">
        <v>565</v>
      </c>
      <c r="D456" t="s">
        <v>542</v>
      </c>
      <c r="E456" t="s">
        <v>216</v>
      </c>
      <c r="F456" t="s">
        <v>22</v>
      </c>
      <c r="G456">
        <v>21</v>
      </c>
      <c r="H456">
        <v>2.6987648668974538E-2</v>
      </c>
      <c r="I456" t="s">
        <v>1413</v>
      </c>
      <c r="J456" s="2" t="s">
        <v>2126</v>
      </c>
      <c r="K456">
        <v>1</v>
      </c>
      <c r="L456">
        <v>1</v>
      </c>
      <c r="M456" t="s">
        <v>18</v>
      </c>
      <c r="N456" t="str">
        <f t="shared" si="7"/>
        <v>ALUMINUM FOUNDRIES (3365)</v>
      </c>
    </row>
    <row r="457" spans="1:14" x14ac:dyDescent="0.45">
      <c r="A457" s="4">
        <v>3366</v>
      </c>
      <c r="B457" t="s">
        <v>569</v>
      </c>
      <c r="C457" t="s">
        <v>565</v>
      </c>
      <c r="D457" t="s">
        <v>542</v>
      </c>
      <c r="E457" t="s">
        <v>216</v>
      </c>
      <c r="F457" t="s">
        <v>22</v>
      </c>
      <c r="G457">
        <v>21</v>
      </c>
      <c r="H457">
        <v>2.6987648668974538E-2</v>
      </c>
      <c r="I457" t="s">
        <v>1413</v>
      </c>
      <c r="J457" s="2" t="s">
        <v>2126</v>
      </c>
      <c r="K457">
        <v>1</v>
      </c>
      <c r="L457">
        <v>1</v>
      </c>
      <c r="M457" t="s">
        <v>18</v>
      </c>
      <c r="N457" t="str">
        <f t="shared" si="7"/>
        <v>COPPER FOUNDRIES (3366)</v>
      </c>
    </row>
    <row r="458" spans="1:14" x14ac:dyDescent="0.45">
      <c r="A458" s="4">
        <v>3369</v>
      </c>
      <c r="B458" t="s">
        <v>570</v>
      </c>
      <c r="C458" t="s">
        <v>565</v>
      </c>
      <c r="D458" t="s">
        <v>542</v>
      </c>
      <c r="E458" t="s">
        <v>216</v>
      </c>
      <c r="F458" t="s">
        <v>22</v>
      </c>
      <c r="G458">
        <v>21</v>
      </c>
      <c r="H458">
        <v>2.6987648668974538E-2</v>
      </c>
      <c r="I458" t="s">
        <v>1413</v>
      </c>
      <c r="J458" s="2" t="s">
        <v>2126</v>
      </c>
      <c r="K458">
        <v>1</v>
      </c>
      <c r="L458">
        <v>1</v>
      </c>
      <c r="M458" t="s">
        <v>18</v>
      </c>
      <c r="N458" t="str">
        <f t="shared" si="7"/>
        <v>NONFERROUS FOUNDRIES, NEC (3369)</v>
      </c>
    </row>
    <row r="459" spans="1:14" x14ac:dyDescent="0.45">
      <c r="A459" s="4">
        <v>3390</v>
      </c>
      <c r="B459" t="s">
        <v>571</v>
      </c>
      <c r="C459" t="s">
        <v>571</v>
      </c>
      <c r="D459" t="s">
        <v>542</v>
      </c>
      <c r="E459" t="s">
        <v>216</v>
      </c>
      <c r="F459" t="s">
        <v>22</v>
      </c>
      <c r="G459">
        <v>21</v>
      </c>
      <c r="H459">
        <v>2.6987648668974538E-2</v>
      </c>
      <c r="I459" t="s">
        <v>1413</v>
      </c>
      <c r="J459" s="2" t="s">
        <v>2126</v>
      </c>
      <c r="K459">
        <v>1</v>
      </c>
      <c r="L459">
        <v>1</v>
      </c>
      <c r="M459" t="s">
        <v>18</v>
      </c>
      <c r="N459" t="str">
        <f t="shared" si="7"/>
        <v>MISCELLANEOUS PRIMARY METAL PRODUCTS (3390)</v>
      </c>
    </row>
    <row r="460" spans="1:14" x14ac:dyDescent="0.45">
      <c r="A460" s="4">
        <v>3398</v>
      </c>
      <c r="B460" t="s">
        <v>572</v>
      </c>
      <c r="C460" t="s">
        <v>571</v>
      </c>
      <c r="D460" t="s">
        <v>542</v>
      </c>
      <c r="E460" t="s">
        <v>216</v>
      </c>
      <c r="F460" t="s">
        <v>22</v>
      </c>
      <c r="G460">
        <v>21</v>
      </c>
      <c r="H460">
        <v>2.6987648668974538E-2</v>
      </c>
      <c r="I460" t="s">
        <v>1413</v>
      </c>
      <c r="J460" s="2" t="s">
        <v>2126</v>
      </c>
      <c r="K460">
        <v>1</v>
      </c>
      <c r="L460">
        <v>1</v>
      </c>
      <c r="M460" t="s">
        <v>18</v>
      </c>
      <c r="N460" t="str">
        <f t="shared" si="7"/>
        <v>METAL HEAT TREATING (3398)</v>
      </c>
    </row>
    <row r="461" spans="1:14" x14ac:dyDescent="0.45">
      <c r="A461" s="4">
        <v>3399</v>
      </c>
      <c r="B461" t="s">
        <v>573</v>
      </c>
      <c r="C461" t="s">
        <v>571</v>
      </c>
      <c r="D461" t="s">
        <v>542</v>
      </c>
      <c r="E461" t="s">
        <v>216</v>
      </c>
      <c r="F461" t="s">
        <v>22</v>
      </c>
      <c r="G461">
        <v>21</v>
      </c>
      <c r="H461">
        <v>2.6987648668974538E-2</v>
      </c>
      <c r="I461" t="s">
        <v>1413</v>
      </c>
      <c r="J461" s="2" t="s">
        <v>2126</v>
      </c>
      <c r="K461">
        <v>1</v>
      </c>
      <c r="L461">
        <v>1</v>
      </c>
      <c r="M461" t="s">
        <v>18</v>
      </c>
      <c r="N461" t="str">
        <f t="shared" si="7"/>
        <v>PRIMARY METAL PRODUCTS (3399)</v>
      </c>
    </row>
    <row r="462" spans="1:14" x14ac:dyDescent="0.45">
      <c r="A462" s="4">
        <v>3411</v>
      </c>
      <c r="B462" t="s">
        <v>574</v>
      </c>
      <c r="C462" t="s">
        <v>575</v>
      </c>
      <c r="D462" t="s">
        <v>576</v>
      </c>
      <c r="E462" t="s">
        <v>216</v>
      </c>
      <c r="F462" t="s">
        <v>22</v>
      </c>
      <c r="G462">
        <v>21</v>
      </c>
      <c r="H462">
        <v>2.6987648668974538E-2</v>
      </c>
      <c r="I462" t="s">
        <v>1413</v>
      </c>
      <c r="J462" s="2" t="s">
        <v>2126</v>
      </c>
      <c r="K462">
        <v>1</v>
      </c>
      <c r="L462">
        <v>1</v>
      </c>
      <c r="M462" t="s">
        <v>18</v>
      </c>
      <c r="N462" t="str">
        <f t="shared" si="7"/>
        <v>METAL CANS (3411)</v>
      </c>
    </row>
    <row r="463" spans="1:14" x14ac:dyDescent="0.45">
      <c r="A463" s="4">
        <v>3412</v>
      </c>
      <c r="B463" t="s">
        <v>577</v>
      </c>
      <c r="C463" t="s">
        <v>575</v>
      </c>
      <c r="D463" t="s">
        <v>576</v>
      </c>
      <c r="E463" t="s">
        <v>216</v>
      </c>
      <c r="F463" t="s">
        <v>22</v>
      </c>
      <c r="G463">
        <v>21</v>
      </c>
      <c r="H463">
        <v>2.6987648668974538E-2</v>
      </c>
      <c r="I463" t="s">
        <v>1413</v>
      </c>
      <c r="J463" s="2" t="s">
        <v>2126</v>
      </c>
      <c r="K463">
        <v>1</v>
      </c>
      <c r="L463">
        <v>1</v>
      </c>
      <c r="M463" t="s">
        <v>18</v>
      </c>
      <c r="N463" t="str">
        <f t="shared" si="7"/>
        <v>METAL BARRELS, DRUMS, AND PAILS (3412)</v>
      </c>
    </row>
    <row r="464" spans="1:14" x14ac:dyDescent="0.45">
      <c r="A464" s="4">
        <v>3420</v>
      </c>
      <c r="B464" t="s">
        <v>578</v>
      </c>
      <c r="C464" t="s">
        <v>578</v>
      </c>
      <c r="D464" t="s">
        <v>576</v>
      </c>
      <c r="E464" t="s">
        <v>216</v>
      </c>
      <c r="F464" t="s">
        <v>22</v>
      </c>
      <c r="G464">
        <v>21</v>
      </c>
      <c r="H464">
        <v>2.6987648668974538E-2</v>
      </c>
      <c r="I464" t="s">
        <v>1413</v>
      </c>
      <c r="J464" s="2" t="s">
        <v>2126</v>
      </c>
      <c r="K464">
        <v>1</v>
      </c>
      <c r="L464">
        <v>1</v>
      </c>
      <c r="M464" t="s">
        <v>18</v>
      </c>
      <c r="N464" t="str">
        <f t="shared" si="7"/>
        <v>CUTLERY, HANDTOOLS, AND HARDWARE (3420)</v>
      </c>
    </row>
    <row r="465" spans="1:14" x14ac:dyDescent="0.45">
      <c r="A465" s="4">
        <v>3421</v>
      </c>
      <c r="B465" t="s">
        <v>579</v>
      </c>
      <c r="C465" t="s">
        <v>578</v>
      </c>
      <c r="D465" t="s">
        <v>576</v>
      </c>
      <c r="E465" t="s">
        <v>216</v>
      </c>
      <c r="F465" t="s">
        <v>22</v>
      </c>
      <c r="G465">
        <v>21</v>
      </c>
      <c r="H465">
        <v>2.6987648668974538E-2</v>
      </c>
      <c r="I465" t="s">
        <v>1413</v>
      </c>
      <c r="J465" s="2" t="s">
        <v>2126</v>
      </c>
      <c r="K465">
        <v>1</v>
      </c>
      <c r="L465">
        <v>1</v>
      </c>
      <c r="M465" t="s">
        <v>18</v>
      </c>
      <c r="N465" t="str">
        <f t="shared" si="7"/>
        <v>CUTLERY (3421)</v>
      </c>
    </row>
    <row r="466" spans="1:14" x14ac:dyDescent="0.45">
      <c r="A466" s="4">
        <v>3423</v>
      </c>
      <c r="B466" t="s">
        <v>580</v>
      </c>
      <c r="C466" t="s">
        <v>578</v>
      </c>
      <c r="D466" t="s">
        <v>576</v>
      </c>
      <c r="E466" t="s">
        <v>216</v>
      </c>
      <c r="F466" t="s">
        <v>22</v>
      </c>
      <c r="G466">
        <v>21</v>
      </c>
      <c r="H466">
        <v>2.6987648668974538E-2</v>
      </c>
      <c r="I466" t="s">
        <v>1413</v>
      </c>
      <c r="J466" s="2" t="s">
        <v>2126</v>
      </c>
      <c r="K466">
        <v>1</v>
      </c>
      <c r="L466">
        <v>1</v>
      </c>
      <c r="M466" t="s">
        <v>18</v>
      </c>
      <c r="N466" t="str">
        <f t="shared" si="7"/>
        <v>HAND AND EDGE TOOLS, NEC (3423)</v>
      </c>
    </row>
    <row r="467" spans="1:14" x14ac:dyDescent="0.45">
      <c r="A467" s="4">
        <v>3425</v>
      </c>
      <c r="B467" t="s">
        <v>581</v>
      </c>
      <c r="C467" t="s">
        <v>578</v>
      </c>
      <c r="D467" t="s">
        <v>576</v>
      </c>
      <c r="E467" t="s">
        <v>216</v>
      </c>
      <c r="F467" t="s">
        <v>22</v>
      </c>
      <c r="G467">
        <v>21</v>
      </c>
      <c r="H467">
        <v>2.6987648668974538E-2</v>
      </c>
      <c r="I467" t="s">
        <v>1413</v>
      </c>
      <c r="J467" s="2" t="s">
        <v>2126</v>
      </c>
      <c r="K467">
        <v>1</v>
      </c>
      <c r="L467">
        <v>1</v>
      </c>
      <c r="M467" t="s">
        <v>18</v>
      </c>
      <c r="N467" t="str">
        <f t="shared" si="7"/>
        <v>SAW BLADES AND HANDSAWS (3425)</v>
      </c>
    </row>
    <row r="468" spans="1:14" x14ac:dyDescent="0.45">
      <c r="A468" s="4">
        <v>3429</v>
      </c>
      <c r="B468" t="s">
        <v>582</v>
      </c>
      <c r="C468" t="s">
        <v>578</v>
      </c>
      <c r="D468" t="s">
        <v>576</v>
      </c>
      <c r="E468" t="s">
        <v>216</v>
      </c>
      <c r="F468" t="s">
        <v>22</v>
      </c>
      <c r="G468">
        <v>21</v>
      </c>
      <c r="H468">
        <v>2.6987648668974538E-2</v>
      </c>
      <c r="I468" t="s">
        <v>1413</v>
      </c>
      <c r="J468" s="2" t="s">
        <v>2126</v>
      </c>
      <c r="K468">
        <v>1</v>
      </c>
      <c r="L468">
        <v>1</v>
      </c>
      <c r="M468" t="s">
        <v>18</v>
      </c>
      <c r="N468" t="str">
        <f t="shared" si="7"/>
        <v>HARDWARE, NEC (3429)</v>
      </c>
    </row>
    <row r="469" spans="1:14" x14ac:dyDescent="0.45">
      <c r="A469" s="4">
        <v>3430</v>
      </c>
      <c r="B469" t="s">
        <v>583</v>
      </c>
      <c r="C469" t="s">
        <v>583</v>
      </c>
      <c r="D469" t="s">
        <v>576</v>
      </c>
      <c r="E469" t="s">
        <v>216</v>
      </c>
      <c r="F469" t="s">
        <v>22</v>
      </c>
      <c r="G469">
        <v>21</v>
      </c>
      <c r="H469">
        <v>2.6987648668974538E-2</v>
      </c>
      <c r="I469" t="s">
        <v>1413</v>
      </c>
      <c r="J469" s="2" t="s">
        <v>2126</v>
      </c>
      <c r="K469">
        <v>1</v>
      </c>
      <c r="L469">
        <v>1</v>
      </c>
      <c r="M469" t="s">
        <v>18</v>
      </c>
      <c r="N469" t="str">
        <f t="shared" si="7"/>
        <v>PLUMBING AND HEATING, EXCEPT ELECTRIC (3430)</v>
      </c>
    </row>
    <row r="470" spans="1:14" x14ac:dyDescent="0.45">
      <c r="A470" s="4">
        <v>3431</v>
      </c>
      <c r="B470" t="s">
        <v>584</v>
      </c>
      <c r="C470" t="s">
        <v>583</v>
      </c>
      <c r="D470" t="s">
        <v>576</v>
      </c>
      <c r="E470" t="s">
        <v>216</v>
      </c>
      <c r="F470" t="s">
        <v>22</v>
      </c>
      <c r="G470">
        <v>21</v>
      </c>
      <c r="H470">
        <v>2.6987648668974538E-2</v>
      </c>
      <c r="I470" t="s">
        <v>1413</v>
      </c>
      <c r="J470" s="2" t="s">
        <v>2126</v>
      </c>
      <c r="K470">
        <v>1</v>
      </c>
      <c r="L470">
        <v>1</v>
      </c>
      <c r="M470" t="s">
        <v>18</v>
      </c>
      <c r="N470" t="str">
        <f t="shared" si="7"/>
        <v>METAL SANITARY WARE (3431)</v>
      </c>
    </row>
    <row r="471" spans="1:14" x14ac:dyDescent="0.45">
      <c r="A471" s="4">
        <v>3432</v>
      </c>
      <c r="B471" t="s">
        <v>585</v>
      </c>
      <c r="C471" t="s">
        <v>583</v>
      </c>
      <c r="D471" t="s">
        <v>576</v>
      </c>
      <c r="E471" t="s">
        <v>216</v>
      </c>
      <c r="F471" t="s">
        <v>22</v>
      </c>
      <c r="G471">
        <v>21</v>
      </c>
      <c r="H471">
        <v>2.6987648668974538E-2</v>
      </c>
      <c r="I471" t="s">
        <v>1413</v>
      </c>
      <c r="J471" s="2" t="s">
        <v>2126</v>
      </c>
      <c r="K471">
        <v>1</v>
      </c>
      <c r="L471">
        <v>1</v>
      </c>
      <c r="M471" t="s">
        <v>18</v>
      </c>
      <c r="N471" t="str">
        <f t="shared" si="7"/>
        <v>PLUMBING FIXTURE FITTINGS AND TRIM (3432)</v>
      </c>
    </row>
    <row r="472" spans="1:14" x14ac:dyDescent="0.45">
      <c r="A472" s="4">
        <v>3433</v>
      </c>
      <c r="B472" t="s">
        <v>586</v>
      </c>
      <c r="C472" t="s">
        <v>583</v>
      </c>
      <c r="D472" t="s">
        <v>576</v>
      </c>
      <c r="E472" t="s">
        <v>216</v>
      </c>
      <c r="F472" t="s">
        <v>22</v>
      </c>
      <c r="G472">
        <v>21</v>
      </c>
      <c r="H472">
        <v>2.6987648668974538E-2</v>
      </c>
      <c r="I472" t="s">
        <v>1413</v>
      </c>
      <c r="J472" s="2" t="s">
        <v>2126</v>
      </c>
      <c r="K472">
        <v>1</v>
      </c>
      <c r="L472">
        <v>1</v>
      </c>
      <c r="M472" t="s">
        <v>18</v>
      </c>
      <c r="N472" t="str">
        <f t="shared" si="7"/>
        <v>HEATING EQUIPMENT, EXCEPT ELECTRIC (3433)</v>
      </c>
    </row>
    <row r="473" spans="1:14" x14ac:dyDescent="0.45">
      <c r="A473" s="4">
        <v>3440</v>
      </c>
      <c r="B473" t="s">
        <v>587</v>
      </c>
      <c r="C473" t="s">
        <v>587</v>
      </c>
      <c r="D473" t="s">
        <v>576</v>
      </c>
      <c r="E473" t="s">
        <v>216</v>
      </c>
      <c r="F473" t="s">
        <v>22</v>
      </c>
      <c r="G473">
        <v>21</v>
      </c>
      <c r="H473">
        <v>2.6987648668974538E-2</v>
      </c>
      <c r="I473" t="s">
        <v>1413</v>
      </c>
      <c r="J473" s="2" t="s">
        <v>2126</v>
      </c>
      <c r="K473">
        <v>1</v>
      </c>
      <c r="L473">
        <v>1</v>
      </c>
      <c r="M473" t="s">
        <v>18</v>
      </c>
      <c r="N473" t="str">
        <f t="shared" si="7"/>
        <v>FABRICATED STRUCTURAL METAL PRODUCTS (3440)</v>
      </c>
    </row>
    <row r="474" spans="1:14" x14ac:dyDescent="0.45">
      <c r="A474" s="4">
        <v>3441</v>
      </c>
      <c r="B474" t="s">
        <v>588</v>
      </c>
      <c r="C474" t="s">
        <v>587</v>
      </c>
      <c r="D474" t="s">
        <v>576</v>
      </c>
      <c r="E474" t="s">
        <v>216</v>
      </c>
      <c r="F474" t="s">
        <v>22</v>
      </c>
      <c r="G474">
        <v>21</v>
      </c>
      <c r="H474">
        <v>2.6987648668974538E-2</v>
      </c>
      <c r="I474" t="s">
        <v>1413</v>
      </c>
      <c r="J474" s="2" t="s">
        <v>2126</v>
      </c>
      <c r="K474">
        <v>1</v>
      </c>
      <c r="L474">
        <v>1</v>
      </c>
      <c r="M474" t="s">
        <v>18</v>
      </c>
      <c r="N474" t="str">
        <f t="shared" si="7"/>
        <v>FABRICATED STRUCTURAL METAL (3441)</v>
      </c>
    </row>
    <row r="475" spans="1:14" x14ac:dyDescent="0.45">
      <c r="A475" s="4">
        <v>3442</v>
      </c>
      <c r="B475" t="s">
        <v>589</v>
      </c>
      <c r="C475" t="s">
        <v>587</v>
      </c>
      <c r="D475" t="s">
        <v>576</v>
      </c>
      <c r="E475" t="s">
        <v>216</v>
      </c>
      <c r="F475" t="s">
        <v>22</v>
      </c>
      <c r="G475">
        <v>21</v>
      </c>
      <c r="H475">
        <v>2.6987648668974538E-2</v>
      </c>
      <c r="I475" t="s">
        <v>1413</v>
      </c>
      <c r="J475" s="2" t="s">
        <v>2126</v>
      </c>
      <c r="K475">
        <v>1</v>
      </c>
      <c r="L475">
        <v>1</v>
      </c>
      <c r="M475" t="s">
        <v>18</v>
      </c>
      <c r="N475" t="str">
        <f t="shared" si="7"/>
        <v>METAL DOORS, SASH, AND TRIM (3442)</v>
      </c>
    </row>
    <row r="476" spans="1:14" x14ac:dyDescent="0.45">
      <c r="A476" s="4">
        <v>3443</v>
      </c>
      <c r="B476" t="s">
        <v>590</v>
      </c>
      <c r="C476" t="s">
        <v>587</v>
      </c>
      <c r="D476" t="s">
        <v>576</v>
      </c>
      <c r="E476" t="s">
        <v>216</v>
      </c>
      <c r="F476" t="s">
        <v>22</v>
      </c>
      <c r="G476">
        <v>21</v>
      </c>
      <c r="H476">
        <v>2.6987648668974538E-2</v>
      </c>
      <c r="I476" t="s">
        <v>1413</v>
      </c>
      <c r="J476" s="2" t="s">
        <v>2126</v>
      </c>
      <c r="K476">
        <v>1</v>
      </c>
      <c r="L476">
        <v>1</v>
      </c>
      <c r="M476" t="s">
        <v>18</v>
      </c>
      <c r="N476" t="str">
        <f t="shared" si="7"/>
        <v>FABRICATED PLATE WORK (BOILER SHOP) (3443)</v>
      </c>
    </row>
    <row r="477" spans="1:14" x14ac:dyDescent="0.45">
      <c r="A477" s="4">
        <v>3444</v>
      </c>
      <c r="B477" t="s">
        <v>591</v>
      </c>
      <c r="C477" t="s">
        <v>587</v>
      </c>
      <c r="D477" t="s">
        <v>576</v>
      </c>
      <c r="E477" t="s">
        <v>216</v>
      </c>
      <c r="F477" t="s">
        <v>22</v>
      </c>
      <c r="G477">
        <v>21</v>
      </c>
      <c r="H477">
        <v>2.6987648668974538E-2</v>
      </c>
      <c r="I477" t="s">
        <v>1413</v>
      </c>
      <c r="J477" s="2" t="s">
        <v>2126</v>
      </c>
      <c r="K477">
        <v>1</v>
      </c>
      <c r="L477">
        <v>1</v>
      </c>
      <c r="M477" t="s">
        <v>18</v>
      </c>
      <c r="N477" t="str">
        <f t="shared" si="7"/>
        <v>SHEET METALWORK (3444)</v>
      </c>
    </row>
    <row r="478" spans="1:14" x14ac:dyDescent="0.45">
      <c r="A478" s="4">
        <v>3446</v>
      </c>
      <c r="B478" t="s">
        <v>592</v>
      </c>
      <c r="C478" t="s">
        <v>587</v>
      </c>
      <c r="D478" t="s">
        <v>576</v>
      </c>
      <c r="E478" t="s">
        <v>216</v>
      </c>
      <c r="F478" t="s">
        <v>22</v>
      </c>
      <c r="G478">
        <v>21</v>
      </c>
      <c r="H478">
        <v>2.6987648668974538E-2</v>
      </c>
      <c r="I478" t="s">
        <v>1413</v>
      </c>
      <c r="J478" s="2" t="s">
        <v>2126</v>
      </c>
      <c r="K478">
        <v>1</v>
      </c>
      <c r="L478">
        <v>1</v>
      </c>
      <c r="M478" t="s">
        <v>18</v>
      </c>
      <c r="N478" t="str">
        <f t="shared" si="7"/>
        <v>ARCHITECTURAL METALWORK (3446)</v>
      </c>
    </row>
    <row r="479" spans="1:14" x14ac:dyDescent="0.45">
      <c r="A479" s="4">
        <v>3448</v>
      </c>
      <c r="B479" t="s">
        <v>593</v>
      </c>
      <c r="C479" t="s">
        <v>587</v>
      </c>
      <c r="D479" t="s">
        <v>576</v>
      </c>
      <c r="E479" t="s">
        <v>216</v>
      </c>
      <c r="F479" t="s">
        <v>22</v>
      </c>
      <c r="G479">
        <v>21</v>
      </c>
      <c r="H479">
        <v>2.6987648668974538E-2</v>
      </c>
      <c r="I479" t="s">
        <v>1413</v>
      </c>
      <c r="J479" s="2" t="s">
        <v>2126</v>
      </c>
      <c r="K479">
        <v>1</v>
      </c>
      <c r="L479">
        <v>1</v>
      </c>
      <c r="M479" t="s">
        <v>18</v>
      </c>
      <c r="N479" t="str">
        <f t="shared" si="7"/>
        <v>PREFABRICATED METAL BUILDINGS (3448)</v>
      </c>
    </row>
    <row r="480" spans="1:14" x14ac:dyDescent="0.45">
      <c r="A480" s="4">
        <v>3449</v>
      </c>
      <c r="B480" t="s">
        <v>594</v>
      </c>
      <c r="C480" t="s">
        <v>587</v>
      </c>
      <c r="D480" t="s">
        <v>576</v>
      </c>
      <c r="E480" t="s">
        <v>216</v>
      </c>
      <c r="F480" t="s">
        <v>22</v>
      </c>
      <c r="G480">
        <v>21</v>
      </c>
      <c r="H480">
        <v>2.6987648668974538E-2</v>
      </c>
      <c r="I480" t="s">
        <v>1413</v>
      </c>
      <c r="J480" s="2" t="s">
        <v>2126</v>
      </c>
      <c r="K480">
        <v>1</v>
      </c>
      <c r="L480">
        <v>1</v>
      </c>
      <c r="M480" t="s">
        <v>18</v>
      </c>
      <c r="N480" t="str">
        <f t="shared" si="7"/>
        <v>MISCELLANEOUS METALWORK (3449)</v>
      </c>
    </row>
    <row r="481" spans="1:14" x14ac:dyDescent="0.45">
      <c r="A481" s="4">
        <v>3451</v>
      </c>
      <c r="B481" t="s">
        <v>595</v>
      </c>
      <c r="C481" t="s">
        <v>596</v>
      </c>
      <c r="D481" t="s">
        <v>576</v>
      </c>
      <c r="E481" t="s">
        <v>216</v>
      </c>
      <c r="F481" t="s">
        <v>22</v>
      </c>
      <c r="G481">
        <v>21</v>
      </c>
      <c r="H481">
        <v>2.6987648668974538E-2</v>
      </c>
      <c r="I481" t="s">
        <v>1413</v>
      </c>
      <c r="J481" s="2" t="s">
        <v>2126</v>
      </c>
      <c r="K481">
        <v>1</v>
      </c>
      <c r="L481">
        <v>1</v>
      </c>
      <c r="M481" t="s">
        <v>18</v>
      </c>
      <c r="N481" t="str">
        <f t="shared" si="7"/>
        <v>SCREW MACHINE PRODUCTS (3451)</v>
      </c>
    </row>
    <row r="482" spans="1:14" x14ac:dyDescent="0.45">
      <c r="A482" s="4">
        <v>3452</v>
      </c>
      <c r="B482" t="s">
        <v>597</v>
      </c>
      <c r="C482" t="s">
        <v>596</v>
      </c>
      <c r="D482" t="s">
        <v>576</v>
      </c>
      <c r="E482" t="s">
        <v>216</v>
      </c>
      <c r="F482" t="s">
        <v>22</v>
      </c>
      <c r="G482">
        <v>21</v>
      </c>
      <c r="H482">
        <v>2.6987648668974538E-2</v>
      </c>
      <c r="I482" t="s">
        <v>1413</v>
      </c>
      <c r="J482" s="2" t="s">
        <v>2126</v>
      </c>
      <c r="K482">
        <v>1</v>
      </c>
      <c r="L482">
        <v>1</v>
      </c>
      <c r="M482" t="s">
        <v>18</v>
      </c>
      <c r="N482" t="str">
        <f t="shared" si="7"/>
        <v>BOLTS, NUTS, RIVETS, AND WASHERS (3452)</v>
      </c>
    </row>
    <row r="483" spans="1:14" x14ac:dyDescent="0.45">
      <c r="A483" s="4">
        <v>3460</v>
      </c>
      <c r="B483" t="s">
        <v>598</v>
      </c>
      <c r="C483" t="s">
        <v>598</v>
      </c>
      <c r="D483" t="s">
        <v>576</v>
      </c>
      <c r="E483" t="s">
        <v>216</v>
      </c>
      <c r="F483" t="s">
        <v>22</v>
      </c>
      <c r="G483">
        <v>21</v>
      </c>
      <c r="H483">
        <v>2.6987648668974538E-2</v>
      </c>
      <c r="I483" t="s">
        <v>1413</v>
      </c>
      <c r="J483" s="2" t="s">
        <v>2126</v>
      </c>
      <c r="K483">
        <v>1</v>
      </c>
      <c r="L483">
        <v>1</v>
      </c>
      <c r="M483" t="s">
        <v>18</v>
      </c>
      <c r="N483" t="str">
        <f t="shared" si="7"/>
        <v>METAL FORGINGS AND STAMPINGS (3460)</v>
      </c>
    </row>
    <row r="484" spans="1:14" x14ac:dyDescent="0.45">
      <c r="A484" s="4">
        <v>3462</v>
      </c>
      <c r="B484" t="s">
        <v>599</v>
      </c>
      <c r="C484" t="s">
        <v>598</v>
      </c>
      <c r="D484" t="s">
        <v>576</v>
      </c>
      <c r="E484" t="s">
        <v>216</v>
      </c>
      <c r="F484" t="s">
        <v>22</v>
      </c>
      <c r="G484">
        <v>21</v>
      </c>
      <c r="H484">
        <v>2.6987648668974538E-2</v>
      </c>
      <c r="I484" t="s">
        <v>1413</v>
      </c>
      <c r="J484" s="2" t="s">
        <v>2126</v>
      </c>
      <c r="K484">
        <v>1</v>
      </c>
      <c r="L484">
        <v>1</v>
      </c>
      <c r="M484" t="s">
        <v>18</v>
      </c>
      <c r="N484" t="str">
        <f t="shared" si="7"/>
        <v>IRON AND STEEL FORGINGS (3462)</v>
      </c>
    </row>
    <row r="485" spans="1:14" x14ac:dyDescent="0.45">
      <c r="A485" s="4">
        <v>3463</v>
      </c>
      <c r="B485" t="s">
        <v>600</v>
      </c>
      <c r="C485" t="s">
        <v>598</v>
      </c>
      <c r="D485" t="s">
        <v>576</v>
      </c>
      <c r="E485" t="s">
        <v>216</v>
      </c>
      <c r="F485" t="s">
        <v>22</v>
      </c>
      <c r="G485">
        <v>21</v>
      </c>
      <c r="H485">
        <v>2.6987648668974538E-2</v>
      </c>
      <c r="I485" t="s">
        <v>1413</v>
      </c>
      <c r="J485" s="2" t="s">
        <v>2126</v>
      </c>
      <c r="K485">
        <v>1</v>
      </c>
      <c r="L485">
        <v>1</v>
      </c>
      <c r="M485" t="s">
        <v>18</v>
      </c>
      <c r="N485" t="str">
        <f t="shared" si="7"/>
        <v>NONFERROUS FORGINGS (3463)</v>
      </c>
    </row>
    <row r="486" spans="1:14" x14ac:dyDescent="0.45">
      <c r="A486" s="4">
        <v>3465</v>
      </c>
      <c r="B486" t="s">
        <v>601</v>
      </c>
      <c r="C486" t="s">
        <v>598</v>
      </c>
      <c r="D486" t="s">
        <v>576</v>
      </c>
      <c r="E486" t="s">
        <v>216</v>
      </c>
      <c r="F486" t="s">
        <v>22</v>
      </c>
      <c r="G486">
        <v>21</v>
      </c>
      <c r="H486">
        <v>2.6987648668974538E-2</v>
      </c>
      <c r="I486" t="s">
        <v>1413</v>
      </c>
      <c r="J486" s="2" t="s">
        <v>2126</v>
      </c>
      <c r="K486">
        <v>1</v>
      </c>
      <c r="L486">
        <v>1</v>
      </c>
      <c r="M486" t="s">
        <v>18</v>
      </c>
      <c r="N486" t="str">
        <f t="shared" si="7"/>
        <v>AUTOMOTIVE STAMPINGS (3465)</v>
      </c>
    </row>
    <row r="487" spans="1:14" x14ac:dyDescent="0.45">
      <c r="A487" s="4">
        <v>3466</v>
      </c>
      <c r="B487" t="s">
        <v>602</v>
      </c>
      <c r="C487" t="s">
        <v>598</v>
      </c>
      <c r="D487" t="s">
        <v>576</v>
      </c>
      <c r="E487" t="s">
        <v>216</v>
      </c>
      <c r="F487" t="s">
        <v>22</v>
      </c>
      <c r="G487">
        <v>21</v>
      </c>
      <c r="H487">
        <v>2.6987648668974538E-2</v>
      </c>
      <c r="I487" t="s">
        <v>1413</v>
      </c>
      <c r="J487" s="2" t="s">
        <v>2126</v>
      </c>
      <c r="K487">
        <v>1</v>
      </c>
      <c r="L487">
        <v>1</v>
      </c>
      <c r="M487" t="s">
        <v>18</v>
      </c>
      <c r="N487" t="str">
        <f t="shared" si="7"/>
        <v>CROWNS AND CLOSURES (3466)</v>
      </c>
    </row>
    <row r="488" spans="1:14" x14ac:dyDescent="0.45">
      <c r="A488" s="4">
        <v>3469</v>
      </c>
      <c r="B488" t="s">
        <v>603</v>
      </c>
      <c r="C488" t="s">
        <v>598</v>
      </c>
      <c r="D488" t="s">
        <v>576</v>
      </c>
      <c r="E488" t="s">
        <v>216</v>
      </c>
      <c r="F488" t="s">
        <v>22</v>
      </c>
      <c r="G488">
        <v>21</v>
      </c>
      <c r="H488">
        <v>2.6987648668974538E-2</v>
      </c>
      <c r="I488" t="s">
        <v>1413</v>
      </c>
      <c r="J488" s="2" t="s">
        <v>2126</v>
      </c>
      <c r="K488">
        <v>1</v>
      </c>
      <c r="L488">
        <v>1</v>
      </c>
      <c r="M488" t="s">
        <v>18</v>
      </c>
      <c r="N488" t="str">
        <f t="shared" si="7"/>
        <v>METAL STAMPINGS, NEC (3469)</v>
      </c>
    </row>
    <row r="489" spans="1:14" x14ac:dyDescent="0.45">
      <c r="A489" s="4">
        <v>3470</v>
      </c>
      <c r="B489" t="s">
        <v>604</v>
      </c>
      <c r="C489" t="s">
        <v>604</v>
      </c>
      <c r="D489" t="s">
        <v>576</v>
      </c>
      <c r="E489" t="s">
        <v>216</v>
      </c>
      <c r="F489" t="s">
        <v>22</v>
      </c>
      <c r="G489">
        <v>21</v>
      </c>
      <c r="H489">
        <v>2.6987648668974538E-2</v>
      </c>
      <c r="I489" t="s">
        <v>1413</v>
      </c>
      <c r="J489" s="2" t="s">
        <v>2126</v>
      </c>
      <c r="K489">
        <v>1</v>
      </c>
      <c r="L489">
        <v>1</v>
      </c>
      <c r="M489" t="s">
        <v>18</v>
      </c>
      <c r="N489" t="str">
        <f t="shared" si="7"/>
        <v>METAL SERVICES, N.E.C. (3470)</v>
      </c>
    </row>
    <row r="490" spans="1:14" x14ac:dyDescent="0.45">
      <c r="A490" s="4">
        <v>3471</v>
      </c>
      <c r="B490" t="s">
        <v>605</v>
      </c>
      <c r="C490" t="s">
        <v>604</v>
      </c>
      <c r="D490" t="s">
        <v>576</v>
      </c>
      <c r="E490" t="s">
        <v>216</v>
      </c>
      <c r="F490" t="s">
        <v>22</v>
      </c>
      <c r="G490">
        <v>21</v>
      </c>
      <c r="H490">
        <v>2.6987648668974538E-2</v>
      </c>
      <c r="I490" t="s">
        <v>1413</v>
      </c>
      <c r="J490" s="2" t="s">
        <v>2126</v>
      </c>
      <c r="K490">
        <v>1</v>
      </c>
      <c r="L490">
        <v>1</v>
      </c>
      <c r="M490" t="s">
        <v>18</v>
      </c>
      <c r="N490" t="str">
        <f t="shared" si="7"/>
        <v>PLATING AND POLISHING (3471)</v>
      </c>
    </row>
    <row r="491" spans="1:14" x14ac:dyDescent="0.45">
      <c r="A491" s="4">
        <v>3479</v>
      </c>
      <c r="B491" t="s">
        <v>606</v>
      </c>
      <c r="C491" t="s">
        <v>604</v>
      </c>
      <c r="D491" t="s">
        <v>576</v>
      </c>
      <c r="E491" t="s">
        <v>216</v>
      </c>
      <c r="F491" t="s">
        <v>22</v>
      </c>
      <c r="G491">
        <v>21</v>
      </c>
      <c r="H491">
        <v>2.6987648668974538E-2</v>
      </c>
      <c r="I491" t="s">
        <v>1413</v>
      </c>
      <c r="J491" s="2" t="s">
        <v>2126</v>
      </c>
      <c r="K491">
        <v>1</v>
      </c>
      <c r="L491">
        <v>1</v>
      </c>
      <c r="M491" t="s">
        <v>18</v>
      </c>
      <c r="N491" t="str">
        <f t="shared" si="7"/>
        <v>METAL COATING AND ALLIED SERVICES (3479)</v>
      </c>
    </row>
    <row r="492" spans="1:14" x14ac:dyDescent="0.45">
      <c r="A492" s="4">
        <v>3480</v>
      </c>
      <c r="B492" t="s">
        <v>607</v>
      </c>
      <c r="C492" t="s">
        <v>607</v>
      </c>
      <c r="D492" t="s">
        <v>576</v>
      </c>
      <c r="E492" t="s">
        <v>216</v>
      </c>
      <c r="F492" t="s">
        <v>22</v>
      </c>
      <c r="G492">
        <v>21</v>
      </c>
      <c r="H492">
        <v>2.6987648668974538E-2</v>
      </c>
      <c r="I492" t="s">
        <v>1413</v>
      </c>
      <c r="J492" s="2" t="s">
        <v>2126</v>
      </c>
      <c r="K492">
        <v>1</v>
      </c>
      <c r="L492">
        <v>1</v>
      </c>
      <c r="M492" t="s">
        <v>18</v>
      </c>
      <c r="N492" t="str">
        <f t="shared" si="7"/>
        <v>ORDNANCE AND ACCESSORIES, N.E.C. (3480)</v>
      </c>
    </row>
    <row r="493" spans="1:14" x14ac:dyDescent="0.45">
      <c r="A493" s="4">
        <v>3482</v>
      </c>
      <c r="B493" t="s">
        <v>608</v>
      </c>
      <c r="C493" t="s">
        <v>607</v>
      </c>
      <c r="D493" t="s">
        <v>576</v>
      </c>
      <c r="E493" t="s">
        <v>216</v>
      </c>
      <c r="F493" t="s">
        <v>22</v>
      </c>
      <c r="G493">
        <v>21</v>
      </c>
      <c r="H493">
        <v>2.6987648668974538E-2</v>
      </c>
      <c r="I493" t="s">
        <v>1413</v>
      </c>
      <c r="J493" s="2" t="s">
        <v>2126</v>
      </c>
      <c r="K493">
        <v>1</v>
      </c>
      <c r="L493">
        <v>1</v>
      </c>
      <c r="M493" t="s">
        <v>18</v>
      </c>
      <c r="N493" t="str">
        <f t="shared" si="7"/>
        <v>SMALL ARMS AMMUNITION (3482)</v>
      </c>
    </row>
    <row r="494" spans="1:14" x14ac:dyDescent="0.45">
      <c r="A494" s="4">
        <v>3483</v>
      </c>
      <c r="B494" t="s">
        <v>609</v>
      </c>
      <c r="C494" t="s">
        <v>607</v>
      </c>
      <c r="D494" t="s">
        <v>576</v>
      </c>
      <c r="E494" t="s">
        <v>216</v>
      </c>
      <c r="F494" t="s">
        <v>22</v>
      </c>
      <c r="G494">
        <v>21</v>
      </c>
      <c r="H494">
        <v>2.6987648668974538E-2</v>
      </c>
      <c r="I494" t="s">
        <v>1413</v>
      </c>
      <c r="J494" s="2" t="s">
        <v>2126</v>
      </c>
      <c r="K494">
        <v>1</v>
      </c>
      <c r="L494">
        <v>1</v>
      </c>
      <c r="M494" t="s">
        <v>18</v>
      </c>
      <c r="N494" t="str">
        <f t="shared" si="7"/>
        <v>AMMUNITION, EXCEPT FOR SMALL ARMS, NEC (3483)</v>
      </c>
    </row>
    <row r="495" spans="1:14" x14ac:dyDescent="0.45">
      <c r="A495" s="4">
        <v>3484</v>
      </c>
      <c r="B495" t="s">
        <v>610</v>
      </c>
      <c r="C495" t="s">
        <v>607</v>
      </c>
      <c r="D495" t="s">
        <v>576</v>
      </c>
      <c r="E495" t="s">
        <v>216</v>
      </c>
      <c r="F495" t="s">
        <v>22</v>
      </c>
      <c r="G495">
        <v>21</v>
      </c>
      <c r="H495">
        <v>2.6987648668974538E-2</v>
      </c>
      <c r="I495" t="s">
        <v>1413</v>
      </c>
      <c r="J495" s="2" t="s">
        <v>2126</v>
      </c>
      <c r="K495">
        <v>1</v>
      </c>
      <c r="L495">
        <v>1</v>
      </c>
      <c r="M495" t="s">
        <v>18</v>
      </c>
      <c r="N495" t="str">
        <f t="shared" si="7"/>
        <v>SMALL ARMS (3484)</v>
      </c>
    </row>
    <row r="496" spans="1:14" x14ac:dyDescent="0.45">
      <c r="A496" s="4">
        <v>3489</v>
      </c>
      <c r="B496" t="s">
        <v>611</v>
      </c>
      <c r="C496" t="s">
        <v>607</v>
      </c>
      <c r="D496" t="s">
        <v>576</v>
      </c>
      <c r="E496" t="s">
        <v>216</v>
      </c>
      <c r="F496" t="s">
        <v>22</v>
      </c>
      <c r="G496">
        <v>21</v>
      </c>
      <c r="H496">
        <v>2.6987648668974538E-2</v>
      </c>
      <c r="I496" t="s">
        <v>1413</v>
      </c>
      <c r="J496" s="2" t="s">
        <v>2126</v>
      </c>
      <c r="K496">
        <v>1</v>
      </c>
      <c r="L496">
        <v>1</v>
      </c>
      <c r="M496" t="s">
        <v>18</v>
      </c>
      <c r="N496" t="str">
        <f t="shared" si="7"/>
        <v>ORDNANCE AND ACCESSORIES, NEC (3489)</v>
      </c>
    </row>
    <row r="497" spans="1:14" x14ac:dyDescent="0.45">
      <c r="A497" s="4">
        <v>3490</v>
      </c>
      <c r="B497" t="s">
        <v>612</v>
      </c>
      <c r="C497" t="s">
        <v>612</v>
      </c>
      <c r="D497" t="s">
        <v>576</v>
      </c>
      <c r="E497" t="s">
        <v>216</v>
      </c>
      <c r="F497" t="s">
        <v>22</v>
      </c>
      <c r="G497">
        <v>21</v>
      </c>
      <c r="H497">
        <v>2.6987648668974538E-2</v>
      </c>
      <c r="I497" t="s">
        <v>1413</v>
      </c>
      <c r="J497" s="2" t="s">
        <v>2126</v>
      </c>
      <c r="K497">
        <v>1</v>
      </c>
      <c r="L497">
        <v>1</v>
      </c>
      <c r="M497" t="s">
        <v>18</v>
      </c>
      <c r="N497" t="str">
        <f t="shared" si="7"/>
        <v>MISCELLANEOUS FABRICATED METAL PRODUCTS (3490)</v>
      </c>
    </row>
    <row r="498" spans="1:14" x14ac:dyDescent="0.45">
      <c r="A498" s="4">
        <v>3491</v>
      </c>
      <c r="B498" t="s">
        <v>613</v>
      </c>
      <c r="C498" t="s">
        <v>612</v>
      </c>
      <c r="D498" t="s">
        <v>576</v>
      </c>
      <c r="E498" t="s">
        <v>216</v>
      </c>
      <c r="F498" t="s">
        <v>22</v>
      </c>
      <c r="G498">
        <v>21</v>
      </c>
      <c r="H498">
        <v>2.6987648668974538E-2</v>
      </c>
      <c r="I498" t="s">
        <v>1413</v>
      </c>
      <c r="J498" s="2" t="s">
        <v>2126</v>
      </c>
      <c r="K498">
        <v>1</v>
      </c>
      <c r="L498">
        <v>1</v>
      </c>
      <c r="M498" t="s">
        <v>18</v>
      </c>
      <c r="N498" t="str">
        <f t="shared" si="7"/>
        <v>INDUSTRIAL VALVES (3491)</v>
      </c>
    </row>
    <row r="499" spans="1:14" x14ac:dyDescent="0.45">
      <c r="A499" s="4">
        <v>3492</v>
      </c>
      <c r="B499" t="s">
        <v>614</v>
      </c>
      <c r="C499" t="s">
        <v>612</v>
      </c>
      <c r="D499" t="s">
        <v>576</v>
      </c>
      <c r="E499" t="s">
        <v>216</v>
      </c>
      <c r="F499" t="s">
        <v>22</v>
      </c>
      <c r="G499">
        <v>21</v>
      </c>
      <c r="H499">
        <v>2.6987648668974538E-2</v>
      </c>
      <c r="I499" t="s">
        <v>1413</v>
      </c>
      <c r="J499" s="2" t="s">
        <v>2126</v>
      </c>
      <c r="K499">
        <v>1</v>
      </c>
      <c r="L499">
        <v>1</v>
      </c>
      <c r="M499" t="s">
        <v>18</v>
      </c>
      <c r="N499" t="str">
        <f t="shared" si="7"/>
        <v>FLUID POWER VALVES AND HOSE FITTINGS (3492)</v>
      </c>
    </row>
    <row r="500" spans="1:14" x14ac:dyDescent="0.45">
      <c r="A500" s="4">
        <v>3493</v>
      </c>
      <c r="B500" t="s">
        <v>615</v>
      </c>
      <c r="C500" t="s">
        <v>612</v>
      </c>
      <c r="D500" t="s">
        <v>576</v>
      </c>
      <c r="E500" t="s">
        <v>216</v>
      </c>
      <c r="F500" t="s">
        <v>22</v>
      </c>
      <c r="G500">
        <v>21</v>
      </c>
      <c r="H500">
        <v>2.6987648668974538E-2</v>
      </c>
      <c r="I500" t="s">
        <v>1413</v>
      </c>
      <c r="J500" s="2" t="s">
        <v>2126</v>
      </c>
      <c r="K500">
        <v>1</v>
      </c>
      <c r="L500">
        <v>1</v>
      </c>
      <c r="M500" t="s">
        <v>18</v>
      </c>
      <c r="N500" t="str">
        <f t="shared" si="7"/>
        <v>STEEL SPRINGS, EXCEPT WIRE (3493)</v>
      </c>
    </row>
    <row r="501" spans="1:14" x14ac:dyDescent="0.45">
      <c r="A501" s="4">
        <v>3494</v>
      </c>
      <c r="B501" t="s">
        <v>616</v>
      </c>
      <c r="C501" t="s">
        <v>612</v>
      </c>
      <c r="D501" t="s">
        <v>576</v>
      </c>
      <c r="E501" t="s">
        <v>216</v>
      </c>
      <c r="F501" t="s">
        <v>22</v>
      </c>
      <c r="G501">
        <v>21</v>
      </c>
      <c r="H501">
        <v>2.6987648668974538E-2</v>
      </c>
      <c r="I501" t="s">
        <v>1413</v>
      </c>
      <c r="J501" s="2" t="s">
        <v>2126</v>
      </c>
      <c r="K501">
        <v>1</v>
      </c>
      <c r="L501">
        <v>1</v>
      </c>
      <c r="M501" t="s">
        <v>18</v>
      </c>
      <c r="N501" t="str">
        <f t="shared" si="7"/>
        <v>VALVES AND PIPE FITTINGS, NEC (3494)</v>
      </c>
    </row>
    <row r="502" spans="1:14" x14ac:dyDescent="0.45">
      <c r="A502" s="4">
        <v>3495</v>
      </c>
      <c r="B502" t="s">
        <v>617</v>
      </c>
      <c r="C502" t="s">
        <v>612</v>
      </c>
      <c r="D502" t="s">
        <v>576</v>
      </c>
      <c r="E502" t="s">
        <v>216</v>
      </c>
      <c r="F502" t="s">
        <v>22</v>
      </c>
      <c r="G502">
        <v>21</v>
      </c>
      <c r="H502">
        <v>2.6987648668974538E-2</v>
      </c>
      <c r="I502" t="s">
        <v>1413</v>
      </c>
      <c r="J502" s="2" t="s">
        <v>2126</v>
      </c>
      <c r="K502">
        <v>1</v>
      </c>
      <c r="L502">
        <v>1</v>
      </c>
      <c r="M502" t="s">
        <v>18</v>
      </c>
      <c r="N502" t="str">
        <f t="shared" si="7"/>
        <v>WIRE SPRINGS (3495)</v>
      </c>
    </row>
    <row r="503" spans="1:14" x14ac:dyDescent="0.45">
      <c r="A503" s="4">
        <v>3496</v>
      </c>
      <c r="B503" t="s">
        <v>618</v>
      </c>
      <c r="C503" t="s">
        <v>612</v>
      </c>
      <c r="D503" t="s">
        <v>576</v>
      </c>
      <c r="E503" t="s">
        <v>216</v>
      </c>
      <c r="F503" t="s">
        <v>22</v>
      </c>
      <c r="G503">
        <v>21</v>
      </c>
      <c r="H503">
        <v>2.6987648668974538E-2</v>
      </c>
      <c r="I503" t="s">
        <v>1413</v>
      </c>
      <c r="J503" s="2" t="s">
        <v>2126</v>
      </c>
      <c r="K503">
        <v>1</v>
      </c>
      <c r="L503">
        <v>1</v>
      </c>
      <c r="M503" t="s">
        <v>18</v>
      </c>
      <c r="N503" t="str">
        <f t="shared" si="7"/>
        <v>MISCELLANEOUS FABRICATED WIRE PRODUCTS (3496)</v>
      </c>
    </row>
    <row r="504" spans="1:14" x14ac:dyDescent="0.45">
      <c r="A504" s="4">
        <v>3497</v>
      </c>
      <c r="B504" t="s">
        <v>619</v>
      </c>
      <c r="C504" t="s">
        <v>612</v>
      </c>
      <c r="D504" t="s">
        <v>576</v>
      </c>
      <c r="E504" t="s">
        <v>216</v>
      </c>
      <c r="F504" t="s">
        <v>22</v>
      </c>
      <c r="G504">
        <v>21</v>
      </c>
      <c r="H504">
        <v>2.6987648668974538E-2</v>
      </c>
      <c r="I504" t="s">
        <v>1413</v>
      </c>
      <c r="J504" s="2" t="s">
        <v>2126</v>
      </c>
      <c r="K504">
        <v>1</v>
      </c>
      <c r="L504">
        <v>1</v>
      </c>
      <c r="M504" t="s">
        <v>18</v>
      </c>
      <c r="N504" t="str">
        <f t="shared" si="7"/>
        <v>METAL FOIL AND LEAF (3497)</v>
      </c>
    </row>
    <row r="505" spans="1:14" x14ac:dyDescent="0.45">
      <c r="A505" s="4">
        <v>3498</v>
      </c>
      <c r="B505" t="s">
        <v>620</v>
      </c>
      <c r="C505" t="s">
        <v>612</v>
      </c>
      <c r="D505" t="s">
        <v>576</v>
      </c>
      <c r="E505" t="s">
        <v>216</v>
      </c>
      <c r="F505" t="s">
        <v>22</v>
      </c>
      <c r="G505">
        <v>21</v>
      </c>
      <c r="H505">
        <v>2.6987648668974538E-2</v>
      </c>
      <c r="I505" t="s">
        <v>1413</v>
      </c>
      <c r="J505" s="2" t="s">
        <v>2126</v>
      </c>
      <c r="K505">
        <v>1</v>
      </c>
      <c r="L505">
        <v>1</v>
      </c>
      <c r="M505" t="s">
        <v>18</v>
      </c>
      <c r="N505" t="str">
        <f t="shared" si="7"/>
        <v>FABRICATED PIPE AND FITTINGS (3498)</v>
      </c>
    </row>
    <row r="506" spans="1:14" x14ac:dyDescent="0.45">
      <c r="A506" s="4">
        <v>3499</v>
      </c>
      <c r="B506" t="s">
        <v>621</v>
      </c>
      <c r="C506" t="s">
        <v>612</v>
      </c>
      <c r="D506" t="s">
        <v>576</v>
      </c>
      <c r="E506" t="s">
        <v>216</v>
      </c>
      <c r="F506" t="s">
        <v>22</v>
      </c>
      <c r="G506">
        <v>21</v>
      </c>
      <c r="H506">
        <v>2.6987648668974538E-2</v>
      </c>
      <c r="I506" t="s">
        <v>1413</v>
      </c>
      <c r="J506" s="2" t="s">
        <v>2126</v>
      </c>
      <c r="K506">
        <v>1</v>
      </c>
      <c r="L506">
        <v>1</v>
      </c>
      <c r="M506" t="s">
        <v>18</v>
      </c>
      <c r="N506" t="str">
        <f t="shared" si="7"/>
        <v>FABRICATED METAL PRODUCTS, NEC (3499)</v>
      </c>
    </row>
    <row r="507" spans="1:14" x14ac:dyDescent="0.45">
      <c r="A507" s="4">
        <v>3510</v>
      </c>
      <c r="B507" t="s">
        <v>622</v>
      </c>
      <c r="C507" t="s">
        <v>622</v>
      </c>
      <c r="D507" t="s">
        <v>623</v>
      </c>
      <c r="E507" t="s">
        <v>216</v>
      </c>
      <c r="F507" t="s">
        <v>22</v>
      </c>
      <c r="G507">
        <v>21</v>
      </c>
      <c r="H507">
        <v>2.6987648668974538E-2</v>
      </c>
      <c r="I507" t="s">
        <v>1413</v>
      </c>
      <c r="J507" s="2" t="s">
        <v>2126</v>
      </c>
      <c r="K507">
        <v>1</v>
      </c>
      <c r="L507">
        <v>1</v>
      </c>
      <c r="M507" t="s">
        <v>18</v>
      </c>
      <c r="N507" t="str">
        <f t="shared" si="7"/>
        <v>ENGINES AND TURBINES (3510)</v>
      </c>
    </row>
    <row r="508" spans="1:14" x14ac:dyDescent="0.45">
      <c r="A508" s="4">
        <v>3511</v>
      </c>
      <c r="B508" t="s">
        <v>624</v>
      </c>
      <c r="C508" t="s">
        <v>622</v>
      </c>
      <c r="D508" t="s">
        <v>623</v>
      </c>
      <c r="E508" t="s">
        <v>216</v>
      </c>
      <c r="F508" t="s">
        <v>22</v>
      </c>
      <c r="G508">
        <v>21</v>
      </c>
      <c r="H508">
        <v>2.6987648668974538E-2</v>
      </c>
      <c r="I508" t="s">
        <v>1413</v>
      </c>
      <c r="J508" s="2" t="s">
        <v>2126</v>
      </c>
      <c r="K508">
        <v>1</v>
      </c>
      <c r="L508">
        <v>1</v>
      </c>
      <c r="M508" t="s">
        <v>18</v>
      </c>
      <c r="N508" t="str">
        <f t="shared" si="7"/>
        <v>TURBINES AND TURBINE GENERATOR SETS (3511)</v>
      </c>
    </row>
    <row r="509" spans="1:14" x14ac:dyDescent="0.45">
      <c r="A509" s="4">
        <v>3519</v>
      </c>
      <c r="B509" t="s">
        <v>625</v>
      </c>
      <c r="C509" t="s">
        <v>622</v>
      </c>
      <c r="D509" t="s">
        <v>623</v>
      </c>
      <c r="E509" t="s">
        <v>216</v>
      </c>
      <c r="F509" t="s">
        <v>22</v>
      </c>
      <c r="G509">
        <v>21</v>
      </c>
      <c r="H509">
        <v>2.6987648668974538E-2</v>
      </c>
      <c r="I509" t="s">
        <v>1413</v>
      </c>
      <c r="J509" s="2" t="s">
        <v>2126</v>
      </c>
      <c r="K509">
        <v>1</v>
      </c>
      <c r="L509">
        <v>1</v>
      </c>
      <c r="M509" t="s">
        <v>18</v>
      </c>
      <c r="N509" t="str">
        <f t="shared" si="7"/>
        <v>INTERNAL COMBUSTION ENGINES, NEC (3519)</v>
      </c>
    </row>
    <row r="510" spans="1:14" x14ac:dyDescent="0.45">
      <c r="A510" s="4">
        <v>3523</v>
      </c>
      <c r="B510" t="s">
        <v>626</v>
      </c>
      <c r="C510" t="s">
        <v>627</v>
      </c>
      <c r="D510" t="s">
        <v>623</v>
      </c>
      <c r="E510" t="s">
        <v>216</v>
      </c>
      <c r="F510" t="s">
        <v>22</v>
      </c>
      <c r="G510">
        <v>21</v>
      </c>
      <c r="H510">
        <v>2.6987648668974538E-2</v>
      </c>
      <c r="I510" t="s">
        <v>1413</v>
      </c>
      <c r="J510" s="2" t="s">
        <v>2126</v>
      </c>
      <c r="K510">
        <v>1</v>
      </c>
      <c r="L510">
        <v>1</v>
      </c>
      <c r="M510" t="s">
        <v>18</v>
      </c>
      <c r="N510" t="str">
        <f t="shared" si="7"/>
        <v>FARM MACHINERY AND EQUIPMENT (3523)</v>
      </c>
    </row>
    <row r="511" spans="1:14" x14ac:dyDescent="0.45">
      <c r="A511" s="4">
        <v>3524</v>
      </c>
      <c r="B511" t="s">
        <v>628</v>
      </c>
      <c r="C511" t="s">
        <v>627</v>
      </c>
      <c r="D511" t="s">
        <v>623</v>
      </c>
      <c r="E511" t="s">
        <v>216</v>
      </c>
      <c r="F511" t="s">
        <v>22</v>
      </c>
      <c r="G511">
        <v>21</v>
      </c>
      <c r="H511">
        <v>2.6987648668974538E-2</v>
      </c>
      <c r="I511" t="s">
        <v>1413</v>
      </c>
      <c r="J511" s="2" t="s">
        <v>2126</v>
      </c>
      <c r="K511">
        <v>1</v>
      </c>
      <c r="L511">
        <v>1</v>
      </c>
      <c r="M511" t="s">
        <v>18</v>
      </c>
      <c r="N511" t="str">
        <f t="shared" si="7"/>
        <v>LAWN AND GARDEN EQUIPMENT (3524)</v>
      </c>
    </row>
    <row r="512" spans="1:14" x14ac:dyDescent="0.45">
      <c r="A512" s="4">
        <v>3530</v>
      </c>
      <c r="B512" t="s">
        <v>629</v>
      </c>
      <c r="C512" t="s">
        <v>629</v>
      </c>
      <c r="D512" t="s">
        <v>623</v>
      </c>
      <c r="E512" t="s">
        <v>216</v>
      </c>
      <c r="F512" t="s">
        <v>22</v>
      </c>
      <c r="G512">
        <v>21</v>
      </c>
      <c r="H512">
        <v>2.6987648668974538E-2</v>
      </c>
      <c r="I512" t="s">
        <v>1413</v>
      </c>
      <c r="J512" s="2" t="s">
        <v>2126</v>
      </c>
      <c r="K512">
        <v>1</v>
      </c>
      <c r="L512">
        <v>1</v>
      </c>
      <c r="M512" t="s">
        <v>18</v>
      </c>
      <c r="N512" t="str">
        <f t="shared" si="7"/>
        <v>CONSTRUCTION AND RELATED MACHINERY (3530)</v>
      </c>
    </row>
    <row r="513" spans="1:14" x14ac:dyDescent="0.45">
      <c r="A513" s="4">
        <v>3531</v>
      </c>
      <c r="B513" t="s">
        <v>630</v>
      </c>
      <c r="C513" t="s">
        <v>629</v>
      </c>
      <c r="D513" t="s">
        <v>623</v>
      </c>
      <c r="E513" t="s">
        <v>216</v>
      </c>
      <c r="F513" t="s">
        <v>22</v>
      </c>
      <c r="G513">
        <v>21</v>
      </c>
      <c r="H513">
        <v>2.6987648668974538E-2</v>
      </c>
      <c r="I513" t="s">
        <v>1413</v>
      </c>
      <c r="J513" s="2" t="s">
        <v>2126</v>
      </c>
      <c r="K513">
        <v>1</v>
      </c>
      <c r="L513">
        <v>1</v>
      </c>
      <c r="M513" t="s">
        <v>18</v>
      </c>
      <c r="N513" t="str">
        <f t="shared" si="7"/>
        <v>CONSTRUCTION MACHINERY (3531)</v>
      </c>
    </row>
    <row r="514" spans="1:14" x14ac:dyDescent="0.45">
      <c r="A514" s="4">
        <v>3532</v>
      </c>
      <c r="B514" t="s">
        <v>631</v>
      </c>
      <c r="C514" t="s">
        <v>629</v>
      </c>
      <c r="D514" t="s">
        <v>623</v>
      </c>
      <c r="E514" t="s">
        <v>216</v>
      </c>
      <c r="F514" t="s">
        <v>22</v>
      </c>
      <c r="G514">
        <v>21</v>
      </c>
      <c r="H514">
        <v>2.6987648668974538E-2</v>
      </c>
      <c r="I514" t="s">
        <v>1413</v>
      </c>
      <c r="J514" s="2" t="s">
        <v>2126</v>
      </c>
      <c r="K514">
        <v>1</v>
      </c>
      <c r="L514">
        <v>1</v>
      </c>
      <c r="M514" t="s">
        <v>18</v>
      </c>
      <c r="N514" t="str">
        <f t="shared" si="7"/>
        <v>MINING MACHINERY (3532)</v>
      </c>
    </row>
    <row r="515" spans="1:14" x14ac:dyDescent="0.45">
      <c r="A515" s="4">
        <v>3533</v>
      </c>
      <c r="B515" t="s">
        <v>632</v>
      </c>
      <c r="C515" t="s">
        <v>629</v>
      </c>
      <c r="D515" t="s">
        <v>623</v>
      </c>
      <c r="E515" t="s">
        <v>216</v>
      </c>
      <c r="F515" t="s">
        <v>22</v>
      </c>
      <c r="G515">
        <v>21</v>
      </c>
      <c r="H515">
        <v>2.6987648668974538E-2</v>
      </c>
      <c r="I515" t="s">
        <v>1413</v>
      </c>
      <c r="J515" s="2" t="s">
        <v>2126</v>
      </c>
      <c r="K515">
        <v>1</v>
      </c>
      <c r="L515">
        <v>1</v>
      </c>
      <c r="M515" t="s">
        <v>18</v>
      </c>
      <c r="N515" t="str">
        <f t="shared" ref="N515:N578" si="8">B515&amp;" ("&amp;A515&amp;")"</f>
        <v>OIL AND GAS FIELD MACHINERY (3533)</v>
      </c>
    </row>
    <row r="516" spans="1:14" x14ac:dyDescent="0.45">
      <c r="A516" s="4">
        <v>3534</v>
      </c>
      <c r="B516" t="s">
        <v>633</v>
      </c>
      <c r="C516" t="s">
        <v>629</v>
      </c>
      <c r="D516" t="s">
        <v>623</v>
      </c>
      <c r="E516" t="s">
        <v>216</v>
      </c>
      <c r="F516" t="s">
        <v>22</v>
      </c>
      <c r="G516">
        <v>21</v>
      </c>
      <c r="H516">
        <v>2.6987648668974538E-2</v>
      </c>
      <c r="I516" t="s">
        <v>1413</v>
      </c>
      <c r="J516" s="2" t="s">
        <v>2126</v>
      </c>
      <c r="K516">
        <v>1</v>
      </c>
      <c r="L516">
        <v>1</v>
      </c>
      <c r="M516" t="s">
        <v>18</v>
      </c>
      <c r="N516" t="str">
        <f t="shared" si="8"/>
        <v>ELEVATORS AND MOVING STAIRWAYS (3534)</v>
      </c>
    </row>
    <row r="517" spans="1:14" x14ac:dyDescent="0.45">
      <c r="A517" s="4">
        <v>3535</v>
      </c>
      <c r="B517" t="s">
        <v>634</v>
      </c>
      <c r="C517" t="s">
        <v>629</v>
      </c>
      <c r="D517" t="s">
        <v>623</v>
      </c>
      <c r="E517" t="s">
        <v>216</v>
      </c>
      <c r="F517" t="s">
        <v>22</v>
      </c>
      <c r="G517">
        <v>21</v>
      </c>
      <c r="H517">
        <v>2.6987648668974538E-2</v>
      </c>
      <c r="I517" t="s">
        <v>1413</v>
      </c>
      <c r="J517" s="2" t="s">
        <v>2126</v>
      </c>
      <c r="K517">
        <v>1</v>
      </c>
      <c r="L517">
        <v>1</v>
      </c>
      <c r="M517" t="s">
        <v>18</v>
      </c>
      <c r="N517" t="str">
        <f t="shared" si="8"/>
        <v>CONVEYORS AND CONVEYING EQUIPMENT (3535)</v>
      </c>
    </row>
    <row r="518" spans="1:14" x14ac:dyDescent="0.45">
      <c r="A518" s="4">
        <v>3536</v>
      </c>
      <c r="B518" t="s">
        <v>635</v>
      </c>
      <c r="C518" t="s">
        <v>629</v>
      </c>
      <c r="D518" t="s">
        <v>623</v>
      </c>
      <c r="E518" t="s">
        <v>216</v>
      </c>
      <c r="F518" t="s">
        <v>22</v>
      </c>
      <c r="G518">
        <v>21</v>
      </c>
      <c r="H518">
        <v>2.6987648668974538E-2</v>
      </c>
      <c r="I518" t="s">
        <v>1413</v>
      </c>
      <c r="J518" s="2" t="s">
        <v>2126</v>
      </c>
      <c r="K518">
        <v>1</v>
      </c>
      <c r="L518">
        <v>1</v>
      </c>
      <c r="M518" t="s">
        <v>18</v>
      </c>
      <c r="N518" t="str">
        <f t="shared" si="8"/>
        <v>HOISTS, CRANES, AND MONORAILS (3536)</v>
      </c>
    </row>
    <row r="519" spans="1:14" x14ac:dyDescent="0.45">
      <c r="A519" s="4">
        <v>3537</v>
      </c>
      <c r="B519" t="s">
        <v>636</v>
      </c>
      <c r="C519" t="s">
        <v>629</v>
      </c>
      <c r="D519" t="s">
        <v>623</v>
      </c>
      <c r="E519" t="s">
        <v>216</v>
      </c>
      <c r="F519" t="s">
        <v>22</v>
      </c>
      <c r="G519">
        <v>21</v>
      </c>
      <c r="H519">
        <v>2.6987648668974538E-2</v>
      </c>
      <c r="I519" t="s">
        <v>1413</v>
      </c>
      <c r="J519" s="2" t="s">
        <v>2126</v>
      </c>
      <c r="K519">
        <v>1</v>
      </c>
      <c r="L519">
        <v>1</v>
      </c>
      <c r="M519" t="s">
        <v>18</v>
      </c>
      <c r="N519" t="str">
        <f t="shared" si="8"/>
        <v>INDUSTRIAL TRUCKS AND TRACTORS (3537)</v>
      </c>
    </row>
    <row r="520" spans="1:14" x14ac:dyDescent="0.45">
      <c r="A520" s="4">
        <v>3540</v>
      </c>
      <c r="B520" t="s">
        <v>637</v>
      </c>
      <c r="C520" t="s">
        <v>637</v>
      </c>
      <c r="D520" t="s">
        <v>623</v>
      </c>
      <c r="E520" t="s">
        <v>216</v>
      </c>
      <c r="F520" t="s">
        <v>22</v>
      </c>
      <c r="G520">
        <v>21</v>
      </c>
      <c r="H520">
        <v>2.6987648668974538E-2</v>
      </c>
      <c r="I520" t="s">
        <v>1413</v>
      </c>
      <c r="J520" s="2" t="s">
        <v>2126</v>
      </c>
      <c r="K520">
        <v>1</v>
      </c>
      <c r="L520">
        <v>1</v>
      </c>
      <c r="M520" t="s">
        <v>18</v>
      </c>
      <c r="N520" t="str">
        <f t="shared" si="8"/>
        <v>METALWORKING MACHINERY (3540)</v>
      </c>
    </row>
    <row r="521" spans="1:14" x14ac:dyDescent="0.45">
      <c r="A521" s="4">
        <v>3541</v>
      </c>
      <c r="B521" t="s">
        <v>638</v>
      </c>
      <c r="C521" t="s">
        <v>637</v>
      </c>
      <c r="D521" t="s">
        <v>623</v>
      </c>
      <c r="E521" t="s">
        <v>216</v>
      </c>
      <c r="F521" t="s">
        <v>22</v>
      </c>
      <c r="G521">
        <v>21</v>
      </c>
      <c r="H521">
        <v>2.6987648668974538E-2</v>
      </c>
      <c r="I521" t="s">
        <v>1413</v>
      </c>
      <c r="J521" s="2" t="s">
        <v>2126</v>
      </c>
      <c r="K521">
        <v>1</v>
      </c>
      <c r="L521">
        <v>1</v>
      </c>
      <c r="M521" t="s">
        <v>18</v>
      </c>
      <c r="N521" t="str">
        <f t="shared" si="8"/>
        <v>MACHINE TOOLS, METAL CUTTING TYPE (3541)</v>
      </c>
    </row>
    <row r="522" spans="1:14" x14ac:dyDescent="0.45">
      <c r="A522" s="4">
        <v>3542</v>
      </c>
      <c r="B522" t="s">
        <v>639</v>
      </c>
      <c r="C522" t="s">
        <v>637</v>
      </c>
      <c r="D522" t="s">
        <v>623</v>
      </c>
      <c r="E522" t="s">
        <v>216</v>
      </c>
      <c r="F522" t="s">
        <v>22</v>
      </c>
      <c r="G522">
        <v>21</v>
      </c>
      <c r="H522">
        <v>2.6987648668974538E-2</v>
      </c>
      <c r="I522" t="s">
        <v>1413</v>
      </c>
      <c r="J522" s="2" t="s">
        <v>2126</v>
      </c>
      <c r="K522">
        <v>1</v>
      </c>
      <c r="L522">
        <v>1</v>
      </c>
      <c r="M522" t="s">
        <v>18</v>
      </c>
      <c r="N522" t="str">
        <f t="shared" si="8"/>
        <v>MACHINE TOOLS, METAL FORMING TYPE (3542)</v>
      </c>
    </row>
    <row r="523" spans="1:14" x14ac:dyDescent="0.45">
      <c r="A523" s="4">
        <v>3543</v>
      </c>
      <c r="B523" t="s">
        <v>640</v>
      </c>
      <c r="C523" t="s">
        <v>637</v>
      </c>
      <c r="D523" t="s">
        <v>623</v>
      </c>
      <c r="E523" t="s">
        <v>216</v>
      </c>
      <c r="F523" t="s">
        <v>22</v>
      </c>
      <c r="G523">
        <v>21</v>
      </c>
      <c r="H523">
        <v>2.6987648668974538E-2</v>
      </c>
      <c r="I523" t="s">
        <v>1413</v>
      </c>
      <c r="J523" s="2" t="s">
        <v>2126</v>
      </c>
      <c r="K523">
        <v>1</v>
      </c>
      <c r="L523">
        <v>1</v>
      </c>
      <c r="M523" t="s">
        <v>18</v>
      </c>
      <c r="N523" t="str">
        <f t="shared" si="8"/>
        <v>INDUSTRIAL PATTERNS (3543)</v>
      </c>
    </row>
    <row r="524" spans="1:14" x14ac:dyDescent="0.45">
      <c r="A524" s="4">
        <v>3544</v>
      </c>
      <c r="B524" t="s">
        <v>641</v>
      </c>
      <c r="C524" t="s">
        <v>637</v>
      </c>
      <c r="D524" t="s">
        <v>623</v>
      </c>
      <c r="E524" t="s">
        <v>216</v>
      </c>
      <c r="F524" t="s">
        <v>22</v>
      </c>
      <c r="G524">
        <v>21</v>
      </c>
      <c r="H524">
        <v>2.6987648668974538E-2</v>
      </c>
      <c r="I524" t="s">
        <v>1413</v>
      </c>
      <c r="J524" s="2" t="s">
        <v>2126</v>
      </c>
      <c r="K524">
        <v>1</v>
      </c>
      <c r="L524">
        <v>1</v>
      </c>
      <c r="M524" t="s">
        <v>18</v>
      </c>
      <c r="N524" t="str">
        <f t="shared" si="8"/>
        <v>SPECIAL DIES, TOOLS, JIGS, AND FIXTURES (3544)</v>
      </c>
    </row>
    <row r="525" spans="1:14" x14ac:dyDescent="0.45">
      <c r="A525" s="4">
        <v>3545</v>
      </c>
      <c r="B525" t="s">
        <v>642</v>
      </c>
      <c r="C525" t="s">
        <v>637</v>
      </c>
      <c r="D525" t="s">
        <v>623</v>
      </c>
      <c r="E525" t="s">
        <v>216</v>
      </c>
      <c r="F525" t="s">
        <v>22</v>
      </c>
      <c r="G525">
        <v>21</v>
      </c>
      <c r="H525">
        <v>2.6987648668974538E-2</v>
      </c>
      <c r="I525" t="s">
        <v>1413</v>
      </c>
      <c r="J525" s="2" t="s">
        <v>2126</v>
      </c>
      <c r="K525">
        <v>1</v>
      </c>
      <c r="L525">
        <v>1</v>
      </c>
      <c r="M525" t="s">
        <v>18</v>
      </c>
      <c r="N525" t="str">
        <f t="shared" si="8"/>
        <v>MACHINE TOOL ACCESSORIES (3545)</v>
      </c>
    </row>
    <row r="526" spans="1:14" x14ac:dyDescent="0.45">
      <c r="A526" s="4">
        <v>3546</v>
      </c>
      <c r="B526" t="s">
        <v>643</v>
      </c>
      <c r="C526" t="s">
        <v>637</v>
      </c>
      <c r="D526" t="s">
        <v>623</v>
      </c>
      <c r="E526" t="s">
        <v>216</v>
      </c>
      <c r="F526" t="s">
        <v>22</v>
      </c>
      <c r="G526">
        <v>21</v>
      </c>
      <c r="H526">
        <v>2.6987648668974538E-2</v>
      </c>
      <c r="I526" t="s">
        <v>1413</v>
      </c>
      <c r="J526" s="2" t="s">
        <v>2126</v>
      </c>
      <c r="K526">
        <v>1</v>
      </c>
      <c r="L526">
        <v>1</v>
      </c>
      <c r="M526" t="s">
        <v>18</v>
      </c>
      <c r="N526" t="str">
        <f t="shared" si="8"/>
        <v>POWER-DRIVEN HANDTOOLS (3546)</v>
      </c>
    </row>
    <row r="527" spans="1:14" x14ac:dyDescent="0.45">
      <c r="A527" s="4">
        <v>3547</v>
      </c>
      <c r="B527" t="s">
        <v>644</v>
      </c>
      <c r="C527" t="s">
        <v>637</v>
      </c>
      <c r="D527" t="s">
        <v>623</v>
      </c>
      <c r="E527" t="s">
        <v>216</v>
      </c>
      <c r="F527" t="s">
        <v>22</v>
      </c>
      <c r="G527">
        <v>21</v>
      </c>
      <c r="H527">
        <v>2.6987648668974538E-2</v>
      </c>
      <c r="I527" t="s">
        <v>1413</v>
      </c>
      <c r="J527" s="2" t="s">
        <v>2126</v>
      </c>
      <c r="K527">
        <v>1</v>
      </c>
      <c r="L527">
        <v>1</v>
      </c>
      <c r="M527" t="s">
        <v>18</v>
      </c>
      <c r="N527" t="str">
        <f t="shared" si="8"/>
        <v>ROLLING MILL MACHINERY (3547)</v>
      </c>
    </row>
    <row r="528" spans="1:14" x14ac:dyDescent="0.45">
      <c r="A528" s="4">
        <v>3548</v>
      </c>
      <c r="B528" t="s">
        <v>645</v>
      </c>
      <c r="C528" t="s">
        <v>637</v>
      </c>
      <c r="D528" t="s">
        <v>623</v>
      </c>
      <c r="E528" t="s">
        <v>216</v>
      </c>
      <c r="F528" t="s">
        <v>22</v>
      </c>
      <c r="G528">
        <v>21</v>
      </c>
      <c r="H528">
        <v>2.6987648668974538E-2</v>
      </c>
      <c r="I528" t="s">
        <v>1413</v>
      </c>
      <c r="J528" s="2" t="s">
        <v>2126</v>
      </c>
      <c r="K528">
        <v>1</v>
      </c>
      <c r="L528">
        <v>1</v>
      </c>
      <c r="M528" t="s">
        <v>18</v>
      </c>
      <c r="N528" t="str">
        <f t="shared" si="8"/>
        <v>WELDING APPARATUS (3548)</v>
      </c>
    </row>
    <row r="529" spans="1:14" x14ac:dyDescent="0.45">
      <c r="A529" s="4">
        <v>3549</v>
      </c>
      <c r="B529" t="s">
        <v>646</v>
      </c>
      <c r="C529" t="s">
        <v>637</v>
      </c>
      <c r="D529" t="s">
        <v>623</v>
      </c>
      <c r="E529" t="s">
        <v>216</v>
      </c>
      <c r="F529" t="s">
        <v>22</v>
      </c>
      <c r="G529">
        <v>21</v>
      </c>
      <c r="H529">
        <v>2.6987648668974538E-2</v>
      </c>
      <c r="I529" t="s">
        <v>1413</v>
      </c>
      <c r="J529" s="2" t="s">
        <v>2126</v>
      </c>
      <c r="K529">
        <v>1</v>
      </c>
      <c r="L529">
        <v>1</v>
      </c>
      <c r="M529" t="s">
        <v>18</v>
      </c>
      <c r="N529" t="str">
        <f t="shared" si="8"/>
        <v>METALWORKING MACHINERY, NEC (3549)</v>
      </c>
    </row>
    <row r="530" spans="1:14" x14ac:dyDescent="0.45">
      <c r="A530" s="4">
        <v>3550</v>
      </c>
      <c r="B530" t="s">
        <v>647</v>
      </c>
      <c r="C530" t="s">
        <v>647</v>
      </c>
      <c r="D530" t="s">
        <v>623</v>
      </c>
      <c r="E530" t="s">
        <v>216</v>
      </c>
      <c r="F530" t="s">
        <v>22</v>
      </c>
      <c r="G530">
        <v>21</v>
      </c>
      <c r="H530">
        <v>2.6987648668974538E-2</v>
      </c>
      <c r="I530" t="s">
        <v>1413</v>
      </c>
      <c r="J530" s="2" t="s">
        <v>2126</v>
      </c>
      <c r="K530">
        <v>1</v>
      </c>
      <c r="L530">
        <v>1</v>
      </c>
      <c r="M530" t="s">
        <v>18</v>
      </c>
      <c r="N530" t="str">
        <f t="shared" si="8"/>
        <v>SPECIAL INDUSTRY MACHINERY (3550)</v>
      </c>
    </row>
    <row r="531" spans="1:14" x14ac:dyDescent="0.45">
      <c r="A531" s="4">
        <v>3552</v>
      </c>
      <c r="B531" t="s">
        <v>648</v>
      </c>
      <c r="C531" t="s">
        <v>647</v>
      </c>
      <c r="D531" t="s">
        <v>623</v>
      </c>
      <c r="E531" t="s">
        <v>216</v>
      </c>
      <c r="F531" t="s">
        <v>22</v>
      </c>
      <c r="G531">
        <v>21</v>
      </c>
      <c r="H531">
        <v>2.6987648668974538E-2</v>
      </c>
      <c r="I531" t="s">
        <v>1413</v>
      </c>
      <c r="J531" s="2" t="s">
        <v>2126</v>
      </c>
      <c r="K531">
        <v>1</v>
      </c>
      <c r="L531">
        <v>1</v>
      </c>
      <c r="M531" t="s">
        <v>18</v>
      </c>
      <c r="N531" t="str">
        <f t="shared" si="8"/>
        <v>TEXTILE MACHINERY (3552)</v>
      </c>
    </row>
    <row r="532" spans="1:14" x14ac:dyDescent="0.45">
      <c r="A532" s="4">
        <v>3553</v>
      </c>
      <c r="B532" t="s">
        <v>649</v>
      </c>
      <c r="C532" t="s">
        <v>647</v>
      </c>
      <c r="D532" t="s">
        <v>623</v>
      </c>
      <c r="E532" t="s">
        <v>216</v>
      </c>
      <c r="F532" t="s">
        <v>22</v>
      </c>
      <c r="G532">
        <v>21</v>
      </c>
      <c r="H532">
        <v>2.6987648668974538E-2</v>
      </c>
      <c r="I532" t="s">
        <v>1413</v>
      </c>
      <c r="J532" s="2" t="s">
        <v>2126</v>
      </c>
      <c r="K532">
        <v>1</v>
      </c>
      <c r="L532">
        <v>1</v>
      </c>
      <c r="M532" t="s">
        <v>18</v>
      </c>
      <c r="N532" t="str">
        <f t="shared" si="8"/>
        <v>WOODWORKING MACHINERY (3553)</v>
      </c>
    </row>
    <row r="533" spans="1:14" x14ac:dyDescent="0.45">
      <c r="A533" s="4">
        <v>3554</v>
      </c>
      <c r="B533" t="s">
        <v>650</v>
      </c>
      <c r="C533" t="s">
        <v>647</v>
      </c>
      <c r="D533" t="s">
        <v>623</v>
      </c>
      <c r="E533" t="s">
        <v>216</v>
      </c>
      <c r="F533" t="s">
        <v>22</v>
      </c>
      <c r="G533">
        <v>21</v>
      </c>
      <c r="H533">
        <v>2.6987648668974538E-2</v>
      </c>
      <c r="I533" t="s">
        <v>1413</v>
      </c>
      <c r="J533" s="2" t="s">
        <v>2126</v>
      </c>
      <c r="K533">
        <v>1</v>
      </c>
      <c r="L533">
        <v>1</v>
      </c>
      <c r="M533" t="s">
        <v>18</v>
      </c>
      <c r="N533" t="str">
        <f t="shared" si="8"/>
        <v>PAPER INDUSTRIES MACHINERY (3554)</v>
      </c>
    </row>
    <row r="534" spans="1:14" x14ac:dyDescent="0.45">
      <c r="A534" s="4">
        <v>3555</v>
      </c>
      <c r="B534" t="s">
        <v>651</v>
      </c>
      <c r="C534" t="s">
        <v>647</v>
      </c>
      <c r="D534" t="s">
        <v>623</v>
      </c>
      <c r="E534" t="s">
        <v>216</v>
      </c>
      <c r="F534" t="s">
        <v>22</v>
      </c>
      <c r="G534">
        <v>21</v>
      </c>
      <c r="H534">
        <v>2.6987648668974538E-2</v>
      </c>
      <c r="I534" t="s">
        <v>1413</v>
      </c>
      <c r="J534" s="2" t="s">
        <v>2126</v>
      </c>
      <c r="K534">
        <v>1</v>
      </c>
      <c r="L534">
        <v>1</v>
      </c>
      <c r="M534" t="s">
        <v>18</v>
      </c>
      <c r="N534" t="str">
        <f t="shared" si="8"/>
        <v>PRINTING TRADES MACHINERY (3555)</v>
      </c>
    </row>
    <row r="535" spans="1:14" x14ac:dyDescent="0.45">
      <c r="A535" s="4">
        <v>3556</v>
      </c>
      <c r="B535" t="s">
        <v>652</v>
      </c>
      <c r="C535" t="s">
        <v>647</v>
      </c>
      <c r="D535" t="s">
        <v>623</v>
      </c>
      <c r="E535" t="s">
        <v>216</v>
      </c>
      <c r="F535" t="s">
        <v>22</v>
      </c>
      <c r="G535">
        <v>21</v>
      </c>
      <c r="H535">
        <v>2.6987648668974538E-2</v>
      </c>
      <c r="I535" t="s">
        <v>1413</v>
      </c>
      <c r="J535" s="2" t="s">
        <v>2126</v>
      </c>
      <c r="K535">
        <v>1</v>
      </c>
      <c r="L535">
        <v>1</v>
      </c>
      <c r="M535" t="s">
        <v>18</v>
      </c>
      <c r="N535" t="str">
        <f t="shared" si="8"/>
        <v>FOOD PRODUCTS MACHINERY (3556)</v>
      </c>
    </row>
    <row r="536" spans="1:14" x14ac:dyDescent="0.45">
      <c r="A536" s="4">
        <v>3559</v>
      </c>
      <c r="B536" t="s">
        <v>653</v>
      </c>
      <c r="C536" t="s">
        <v>647</v>
      </c>
      <c r="D536" t="s">
        <v>623</v>
      </c>
      <c r="E536" t="s">
        <v>216</v>
      </c>
      <c r="F536" t="s">
        <v>22</v>
      </c>
      <c r="G536">
        <v>21</v>
      </c>
      <c r="H536">
        <v>2.6987648668974538E-2</v>
      </c>
      <c r="I536" t="s">
        <v>1413</v>
      </c>
      <c r="J536" s="2" t="s">
        <v>2126</v>
      </c>
      <c r="K536">
        <v>1</v>
      </c>
      <c r="L536">
        <v>1</v>
      </c>
      <c r="M536" t="s">
        <v>18</v>
      </c>
      <c r="N536" t="str">
        <f t="shared" si="8"/>
        <v>SPECIAL INDUSTRY MACHINERY, NEC (3559)</v>
      </c>
    </row>
    <row r="537" spans="1:14" x14ac:dyDescent="0.45">
      <c r="A537" s="4">
        <v>3560</v>
      </c>
      <c r="B537" t="s">
        <v>654</v>
      </c>
      <c r="C537" t="s">
        <v>654</v>
      </c>
      <c r="D537" t="s">
        <v>623</v>
      </c>
      <c r="E537" t="s">
        <v>216</v>
      </c>
      <c r="F537" t="s">
        <v>22</v>
      </c>
      <c r="G537">
        <v>21</v>
      </c>
      <c r="H537">
        <v>2.6987648668974538E-2</v>
      </c>
      <c r="I537" t="s">
        <v>1413</v>
      </c>
      <c r="J537" s="2" t="s">
        <v>2126</v>
      </c>
      <c r="K537">
        <v>1</v>
      </c>
      <c r="L537">
        <v>1</v>
      </c>
      <c r="M537" t="s">
        <v>18</v>
      </c>
      <c r="N537" t="str">
        <f t="shared" si="8"/>
        <v>GENERAL INDUSTRIAL MACHINERY (3560)</v>
      </c>
    </row>
    <row r="538" spans="1:14" x14ac:dyDescent="0.45">
      <c r="A538" s="4">
        <v>3561</v>
      </c>
      <c r="B538" t="s">
        <v>655</v>
      </c>
      <c r="C538" t="s">
        <v>654</v>
      </c>
      <c r="D538" t="s">
        <v>623</v>
      </c>
      <c r="E538" t="s">
        <v>216</v>
      </c>
      <c r="F538" t="s">
        <v>22</v>
      </c>
      <c r="G538">
        <v>21</v>
      </c>
      <c r="H538">
        <v>2.6987648668974538E-2</v>
      </c>
      <c r="I538" t="s">
        <v>1413</v>
      </c>
      <c r="J538" s="2" t="s">
        <v>2126</v>
      </c>
      <c r="K538">
        <v>1</v>
      </c>
      <c r="L538">
        <v>1</v>
      </c>
      <c r="M538" t="s">
        <v>18</v>
      </c>
      <c r="N538" t="str">
        <f t="shared" si="8"/>
        <v>PUMPS AND PUMPING EQUIPMENT (3561)</v>
      </c>
    </row>
    <row r="539" spans="1:14" x14ac:dyDescent="0.45">
      <c r="A539" s="4">
        <v>3562</v>
      </c>
      <c r="B539" t="s">
        <v>656</v>
      </c>
      <c r="C539" t="s">
        <v>654</v>
      </c>
      <c r="D539" t="s">
        <v>623</v>
      </c>
      <c r="E539" t="s">
        <v>216</v>
      </c>
      <c r="F539" t="s">
        <v>22</v>
      </c>
      <c r="G539">
        <v>21</v>
      </c>
      <c r="H539">
        <v>2.6987648668974538E-2</v>
      </c>
      <c r="I539" t="s">
        <v>1413</v>
      </c>
      <c r="J539" s="2" t="s">
        <v>2126</v>
      </c>
      <c r="K539">
        <v>1</v>
      </c>
      <c r="L539">
        <v>1</v>
      </c>
      <c r="M539" t="s">
        <v>18</v>
      </c>
      <c r="N539" t="str">
        <f t="shared" si="8"/>
        <v>BALL AND ROLLER BEARINGS (3562)</v>
      </c>
    </row>
    <row r="540" spans="1:14" x14ac:dyDescent="0.45">
      <c r="A540" s="4">
        <v>3563</v>
      </c>
      <c r="B540" t="s">
        <v>657</v>
      </c>
      <c r="C540" t="s">
        <v>654</v>
      </c>
      <c r="D540" t="s">
        <v>623</v>
      </c>
      <c r="E540" t="s">
        <v>216</v>
      </c>
      <c r="F540" t="s">
        <v>22</v>
      </c>
      <c r="G540">
        <v>21</v>
      </c>
      <c r="H540">
        <v>2.6987648668974538E-2</v>
      </c>
      <c r="I540" t="s">
        <v>1413</v>
      </c>
      <c r="J540" s="2" t="s">
        <v>2126</v>
      </c>
      <c r="K540">
        <v>1</v>
      </c>
      <c r="L540">
        <v>1</v>
      </c>
      <c r="M540" t="s">
        <v>18</v>
      </c>
      <c r="N540" t="str">
        <f t="shared" si="8"/>
        <v>AIR AND GAS COMPRESSORS (3563)</v>
      </c>
    </row>
    <row r="541" spans="1:14" x14ac:dyDescent="0.45">
      <c r="A541" s="4">
        <v>3564</v>
      </c>
      <c r="B541" t="s">
        <v>658</v>
      </c>
      <c r="C541" t="s">
        <v>654</v>
      </c>
      <c r="D541" t="s">
        <v>623</v>
      </c>
      <c r="E541" t="s">
        <v>216</v>
      </c>
      <c r="F541" t="s">
        <v>22</v>
      </c>
      <c r="G541">
        <v>21</v>
      </c>
      <c r="H541">
        <v>2.6987648668974538E-2</v>
      </c>
      <c r="I541" t="s">
        <v>1413</v>
      </c>
      <c r="J541" s="2" t="s">
        <v>2126</v>
      </c>
      <c r="K541">
        <v>1</v>
      </c>
      <c r="L541">
        <v>1</v>
      </c>
      <c r="M541" t="s">
        <v>18</v>
      </c>
      <c r="N541" t="str">
        <f t="shared" si="8"/>
        <v>BLOWERS AND FANS (3564)</v>
      </c>
    </row>
    <row r="542" spans="1:14" x14ac:dyDescent="0.45">
      <c r="A542" s="4">
        <v>3565</v>
      </c>
      <c r="B542" t="s">
        <v>659</v>
      </c>
      <c r="C542" t="s">
        <v>654</v>
      </c>
      <c r="D542" t="s">
        <v>623</v>
      </c>
      <c r="E542" t="s">
        <v>216</v>
      </c>
      <c r="F542" t="s">
        <v>22</v>
      </c>
      <c r="G542">
        <v>21</v>
      </c>
      <c r="H542">
        <v>2.6987648668974538E-2</v>
      </c>
      <c r="I542" t="s">
        <v>1413</v>
      </c>
      <c r="J542" s="2" t="s">
        <v>2126</v>
      </c>
      <c r="K542">
        <v>1</v>
      </c>
      <c r="L542">
        <v>1</v>
      </c>
      <c r="M542" t="s">
        <v>18</v>
      </c>
      <c r="N542" t="str">
        <f t="shared" si="8"/>
        <v>PACKAGING MACHINERY (3565)</v>
      </c>
    </row>
    <row r="543" spans="1:14" x14ac:dyDescent="0.45">
      <c r="A543" s="4">
        <v>3566</v>
      </c>
      <c r="B543" t="s">
        <v>660</v>
      </c>
      <c r="C543" t="s">
        <v>654</v>
      </c>
      <c r="D543" t="s">
        <v>623</v>
      </c>
      <c r="E543" t="s">
        <v>216</v>
      </c>
      <c r="F543" t="s">
        <v>22</v>
      </c>
      <c r="G543">
        <v>21</v>
      </c>
      <c r="H543">
        <v>2.6987648668974538E-2</v>
      </c>
      <c r="I543" t="s">
        <v>1413</v>
      </c>
      <c r="J543" s="2" t="s">
        <v>2126</v>
      </c>
      <c r="K543">
        <v>1</v>
      </c>
      <c r="L543">
        <v>1</v>
      </c>
      <c r="M543" t="s">
        <v>18</v>
      </c>
      <c r="N543" t="str">
        <f t="shared" si="8"/>
        <v>SPEED CHANGERS, DRIVES, AND GEARS (3566)</v>
      </c>
    </row>
    <row r="544" spans="1:14" x14ac:dyDescent="0.45">
      <c r="A544" s="4">
        <v>3567</v>
      </c>
      <c r="B544" t="s">
        <v>661</v>
      </c>
      <c r="C544" t="s">
        <v>654</v>
      </c>
      <c r="D544" t="s">
        <v>623</v>
      </c>
      <c r="E544" t="s">
        <v>216</v>
      </c>
      <c r="F544" t="s">
        <v>22</v>
      </c>
      <c r="G544">
        <v>21</v>
      </c>
      <c r="H544">
        <v>2.6987648668974538E-2</v>
      </c>
      <c r="I544" t="s">
        <v>1413</v>
      </c>
      <c r="J544" s="2" t="s">
        <v>2126</v>
      </c>
      <c r="K544">
        <v>1</v>
      </c>
      <c r="L544">
        <v>1</v>
      </c>
      <c r="M544" t="s">
        <v>18</v>
      </c>
      <c r="N544" t="str">
        <f t="shared" si="8"/>
        <v>INDUSTRIAL FURNACES AND OVENS (3567)</v>
      </c>
    </row>
    <row r="545" spans="1:14" x14ac:dyDescent="0.45">
      <c r="A545" s="4">
        <v>3568</v>
      </c>
      <c r="B545" t="s">
        <v>662</v>
      </c>
      <c r="C545" t="s">
        <v>654</v>
      </c>
      <c r="D545" t="s">
        <v>623</v>
      </c>
      <c r="E545" t="s">
        <v>216</v>
      </c>
      <c r="F545" t="s">
        <v>22</v>
      </c>
      <c r="G545">
        <v>21</v>
      </c>
      <c r="H545">
        <v>2.6987648668974538E-2</v>
      </c>
      <c r="I545" t="s">
        <v>1413</v>
      </c>
      <c r="J545" s="2" t="s">
        <v>2126</v>
      </c>
      <c r="K545">
        <v>1</v>
      </c>
      <c r="L545">
        <v>1</v>
      </c>
      <c r="M545" t="s">
        <v>18</v>
      </c>
      <c r="N545" t="str">
        <f t="shared" si="8"/>
        <v>POWER TRANSMISSION EQUIPMENT, NEC (3568)</v>
      </c>
    </row>
    <row r="546" spans="1:14" x14ac:dyDescent="0.45">
      <c r="A546" s="4">
        <v>3569</v>
      </c>
      <c r="B546" t="s">
        <v>663</v>
      </c>
      <c r="C546" t="s">
        <v>654</v>
      </c>
      <c r="D546" t="s">
        <v>623</v>
      </c>
      <c r="E546" t="s">
        <v>216</v>
      </c>
      <c r="F546" t="s">
        <v>22</v>
      </c>
      <c r="G546">
        <v>21</v>
      </c>
      <c r="H546">
        <v>2.6987648668974538E-2</v>
      </c>
      <c r="I546" t="s">
        <v>1413</v>
      </c>
      <c r="J546" s="2" t="s">
        <v>2126</v>
      </c>
      <c r="K546">
        <v>1</v>
      </c>
      <c r="L546">
        <v>1</v>
      </c>
      <c r="M546" t="s">
        <v>18</v>
      </c>
      <c r="N546" t="str">
        <f t="shared" si="8"/>
        <v>GENERAL INDUSTRIAL MACHINERY, (3569)</v>
      </c>
    </row>
    <row r="547" spans="1:14" x14ac:dyDescent="0.45">
      <c r="A547" s="4">
        <v>3570</v>
      </c>
      <c r="B547" t="s">
        <v>664</v>
      </c>
      <c r="C547" t="s">
        <v>664</v>
      </c>
      <c r="D547" t="s">
        <v>623</v>
      </c>
      <c r="E547" t="s">
        <v>216</v>
      </c>
      <c r="F547" t="s">
        <v>22</v>
      </c>
      <c r="G547">
        <v>21</v>
      </c>
      <c r="H547">
        <v>2.6987648668974538E-2</v>
      </c>
      <c r="I547" t="s">
        <v>1413</v>
      </c>
      <c r="J547" s="2" t="s">
        <v>2126</v>
      </c>
      <c r="K547">
        <v>1</v>
      </c>
      <c r="L547">
        <v>1</v>
      </c>
      <c r="M547" t="s">
        <v>18</v>
      </c>
      <c r="N547" t="str">
        <f t="shared" si="8"/>
        <v>COMPUTER AND OFFICE EQUIPMENT (3570)</v>
      </c>
    </row>
    <row r="548" spans="1:14" x14ac:dyDescent="0.45">
      <c r="A548" s="4">
        <v>3571</v>
      </c>
      <c r="B548" t="s">
        <v>665</v>
      </c>
      <c r="C548" t="s">
        <v>664</v>
      </c>
      <c r="D548" t="s">
        <v>623</v>
      </c>
      <c r="E548" t="s">
        <v>216</v>
      </c>
      <c r="F548" t="s">
        <v>22</v>
      </c>
      <c r="G548">
        <v>21</v>
      </c>
      <c r="H548">
        <v>2.6987648668974538E-2</v>
      </c>
      <c r="I548" t="s">
        <v>1413</v>
      </c>
      <c r="J548" s="2" t="s">
        <v>2126</v>
      </c>
      <c r="K548">
        <v>1</v>
      </c>
      <c r="L548">
        <v>1</v>
      </c>
      <c r="M548" t="s">
        <v>18</v>
      </c>
      <c r="N548" t="str">
        <f t="shared" si="8"/>
        <v>ELECTRONIC COMPUTERS (3571)</v>
      </c>
    </row>
    <row r="549" spans="1:14" x14ac:dyDescent="0.45">
      <c r="A549" s="4">
        <v>3572</v>
      </c>
      <c r="B549" t="s">
        <v>666</v>
      </c>
      <c r="C549" t="s">
        <v>664</v>
      </c>
      <c r="D549" t="s">
        <v>623</v>
      </c>
      <c r="E549" t="s">
        <v>216</v>
      </c>
      <c r="F549" t="s">
        <v>22</v>
      </c>
      <c r="G549">
        <v>21</v>
      </c>
      <c r="H549">
        <v>2.6987648668974538E-2</v>
      </c>
      <c r="I549" t="s">
        <v>1413</v>
      </c>
      <c r="J549" s="2" t="s">
        <v>2126</v>
      </c>
      <c r="K549">
        <v>1</v>
      </c>
      <c r="L549">
        <v>1</v>
      </c>
      <c r="M549" t="s">
        <v>18</v>
      </c>
      <c r="N549" t="str">
        <f t="shared" si="8"/>
        <v>COMPUTER STORAGE DEVICES (3572)</v>
      </c>
    </row>
    <row r="550" spans="1:14" x14ac:dyDescent="0.45">
      <c r="A550" s="4">
        <v>3575</v>
      </c>
      <c r="B550" t="s">
        <v>667</v>
      </c>
      <c r="C550" t="s">
        <v>664</v>
      </c>
      <c r="D550" t="s">
        <v>623</v>
      </c>
      <c r="E550" t="s">
        <v>216</v>
      </c>
      <c r="F550" t="s">
        <v>22</v>
      </c>
      <c r="G550">
        <v>21</v>
      </c>
      <c r="H550">
        <v>2.6987648668974538E-2</v>
      </c>
      <c r="I550" t="s">
        <v>1413</v>
      </c>
      <c r="J550" s="2" t="s">
        <v>2126</v>
      </c>
      <c r="K550">
        <v>1</v>
      </c>
      <c r="L550">
        <v>1</v>
      </c>
      <c r="M550" t="s">
        <v>18</v>
      </c>
      <c r="N550" t="str">
        <f t="shared" si="8"/>
        <v>COMPUTER TERMINALS (3575)</v>
      </c>
    </row>
    <row r="551" spans="1:14" x14ac:dyDescent="0.45">
      <c r="A551" s="4">
        <v>3576</v>
      </c>
      <c r="B551" t="s">
        <v>668</v>
      </c>
      <c r="C551" t="s">
        <v>664</v>
      </c>
      <c r="D551" t="s">
        <v>623</v>
      </c>
      <c r="E551" t="s">
        <v>216</v>
      </c>
      <c r="F551" t="s">
        <v>13</v>
      </c>
      <c r="G551">
        <v>22</v>
      </c>
      <c r="H551">
        <v>0.04</v>
      </c>
      <c r="I551" t="s">
        <v>1413</v>
      </c>
      <c r="J551" s="2" t="s">
        <v>2128</v>
      </c>
      <c r="K551">
        <v>1</v>
      </c>
      <c r="L551">
        <v>1</v>
      </c>
      <c r="M551" t="s">
        <v>18</v>
      </c>
      <c r="N551" t="str">
        <f t="shared" si="8"/>
        <v>COMPUTER COMMUNICATIONS EQUIPMENT (3576)</v>
      </c>
    </row>
    <row r="552" spans="1:14" x14ac:dyDescent="0.45">
      <c r="A552" s="4">
        <v>3577</v>
      </c>
      <c r="B552" t="s">
        <v>669</v>
      </c>
      <c r="C552" t="s">
        <v>664</v>
      </c>
      <c r="D552" t="s">
        <v>623</v>
      </c>
      <c r="E552" t="s">
        <v>216</v>
      </c>
      <c r="F552" t="s">
        <v>22</v>
      </c>
      <c r="G552">
        <v>21</v>
      </c>
      <c r="H552">
        <v>2.6987648668974538E-2</v>
      </c>
      <c r="I552" t="s">
        <v>1413</v>
      </c>
      <c r="J552" s="2" t="s">
        <v>2126</v>
      </c>
      <c r="K552">
        <v>1</v>
      </c>
      <c r="L552">
        <v>1</v>
      </c>
      <c r="M552" t="s">
        <v>18</v>
      </c>
      <c r="N552" t="str">
        <f t="shared" si="8"/>
        <v>COMPUTER PERIPHERAL EQUIPMENT, NEC (3577)</v>
      </c>
    </row>
    <row r="553" spans="1:14" x14ac:dyDescent="0.45">
      <c r="A553" s="4">
        <v>3578</v>
      </c>
      <c r="B553" t="s">
        <v>670</v>
      </c>
      <c r="C553" t="s">
        <v>664</v>
      </c>
      <c r="D553" t="s">
        <v>623</v>
      </c>
      <c r="E553" t="s">
        <v>216</v>
      </c>
      <c r="F553" t="s">
        <v>22</v>
      </c>
      <c r="G553">
        <v>21</v>
      </c>
      <c r="H553">
        <v>2.6987648668974538E-2</v>
      </c>
      <c r="I553" t="s">
        <v>1413</v>
      </c>
      <c r="J553" s="2" t="s">
        <v>2126</v>
      </c>
      <c r="K553">
        <v>1</v>
      </c>
      <c r="L553">
        <v>1</v>
      </c>
      <c r="M553" t="s">
        <v>18</v>
      </c>
      <c r="N553" t="str">
        <f t="shared" si="8"/>
        <v>CALCULATING AND ACCOUNTING EQUIPMENT (3578)</v>
      </c>
    </row>
    <row r="554" spans="1:14" x14ac:dyDescent="0.45">
      <c r="A554" s="4">
        <v>3579</v>
      </c>
      <c r="B554" t="s">
        <v>671</v>
      </c>
      <c r="C554" t="s">
        <v>664</v>
      </c>
      <c r="D554" t="s">
        <v>623</v>
      </c>
      <c r="E554" t="s">
        <v>216</v>
      </c>
      <c r="F554" t="s">
        <v>22</v>
      </c>
      <c r="G554">
        <v>21</v>
      </c>
      <c r="H554">
        <v>2.6987648668974538E-2</v>
      </c>
      <c r="I554" t="s">
        <v>1413</v>
      </c>
      <c r="J554" s="2" t="s">
        <v>2126</v>
      </c>
      <c r="K554">
        <v>1</v>
      </c>
      <c r="L554">
        <v>1</v>
      </c>
      <c r="M554" t="s">
        <v>18</v>
      </c>
      <c r="N554" t="str">
        <f t="shared" si="8"/>
        <v>OFFICE MACHINES, NEC (3579)</v>
      </c>
    </row>
    <row r="555" spans="1:14" x14ac:dyDescent="0.45">
      <c r="A555" s="4">
        <v>3580</v>
      </c>
      <c r="B555" t="s">
        <v>672</v>
      </c>
      <c r="C555" t="s">
        <v>672</v>
      </c>
      <c r="D555" t="s">
        <v>623</v>
      </c>
      <c r="E555" t="s">
        <v>216</v>
      </c>
      <c r="F555" t="s">
        <v>22</v>
      </c>
      <c r="G555">
        <v>21</v>
      </c>
      <c r="H555">
        <v>2.6987648668974538E-2</v>
      </c>
      <c r="I555" t="s">
        <v>1413</v>
      </c>
      <c r="J555" s="2" t="s">
        <v>2126</v>
      </c>
      <c r="K555">
        <v>1</v>
      </c>
      <c r="L555">
        <v>1</v>
      </c>
      <c r="M555" t="s">
        <v>18</v>
      </c>
      <c r="N555" t="str">
        <f t="shared" si="8"/>
        <v>REFRIGERATION AND SERVICE MACHINERY (3580)</v>
      </c>
    </row>
    <row r="556" spans="1:14" x14ac:dyDescent="0.45">
      <c r="A556" s="4">
        <v>3581</v>
      </c>
      <c r="B556" t="s">
        <v>673</v>
      </c>
      <c r="C556" t="s">
        <v>672</v>
      </c>
      <c r="D556" t="s">
        <v>623</v>
      </c>
      <c r="E556" t="s">
        <v>216</v>
      </c>
      <c r="F556" t="s">
        <v>22</v>
      </c>
      <c r="G556">
        <v>21</v>
      </c>
      <c r="H556">
        <v>2.6987648668974538E-2</v>
      </c>
      <c r="I556" t="s">
        <v>1413</v>
      </c>
      <c r="J556" s="2" t="s">
        <v>2126</v>
      </c>
      <c r="K556">
        <v>1</v>
      </c>
      <c r="L556">
        <v>1</v>
      </c>
      <c r="M556" t="s">
        <v>18</v>
      </c>
      <c r="N556" t="str">
        <f t="shared" si="8"/>
        <v>AUTOMATIC VENDING MACHINES (3581)</v>
      </c>
    </row>
    <row r="557" spans="1:14" x14ac:dyDescent="0.45">
      <c r="A557" s="4">
        <v>3582</v>
      </c>
      <c r="B557" t="s">
        <v>674</v>
      </c>
      <c r="C557" t="s">
        <v>672</v>
      </c>
      <c r="D557" t="s">
        <v>623</v>
      </c>
      <c r="E557" t="s">
        <v>216</v>
      </c>
      <c r="F557" t="s">
        <v>22</v>
      </c>
      <c r="G557">
        <v>21</v>
      </c>
      <c r="H557">
        <v>2.6987648668974538E-2</v>
      </c>
      <c r="I557" t="s">
        <v>1413</v>
      </c>
      <c r="J557" s="2" t="s">
        <v>2126</v>
      </c>
      <c r="K557">
        <v>1</v>
      </c>
      <c r="L557">
        <v>1</v>
      </c>
      <c r="M557" t="s">
        <v>18</v>
      </c>
      <c r="N557" t="str">
        <f t="shared" si="8"/>
        <v>COMMERCIAL LAUNDRY EQUIPMENT (3582)</v>
      </c>
    </row>
    <row r="558" spans="1:14" x14ac:dyDescent="0.45">
      <c r="A558" s="4">
        <v>3585</v>
      </c>
      <c r="B558" t="s">
        <v>675</v>
      </c>
      <c r="C558" t="s">
        <v>672</v>
      </c>
      <c r="D558" t="s">
        <v>623</v>
      </c>
      <c r="E558" t="s">
        <v>216</v>
      </c>
      <c r="F558" t="s">
        <v>22</v>
      </c>
      <c r="G558">
        <v>21</v>
      </c>
      <c r="H558">
        <v>2.6987648668974538E-2</v>
      </c>
      <c r="I558" t="s">
        <v>1413</v>
      </c>
      <c r="J558" s="2" t="s">
        <v>2126</v>
      </c>
      <c r="K558">
        <v>1</v>
      </c>
      <c r="L558">
        <v>1</v>
      </c>
      <c r="M558" t="s">
        <v>18</v>
      </c>
      <c r="N558" t="str">
        <f t="shared" si="8"/>
        <v>REFRIGERATION AND HEATING EQUIPMENT (3585)</v>
      </c>
    </row>
    <row r="559" spans="1:14" x14ac:dyDescent="0.45">
      <c r="A559" s="4">
        <v>3586</v>
      </c>
      <c r="B559" t="s">
        <v>676</v>
      </c>
      <c r="C559" t="s">
        <v>672</v>
      </c>
      <c r="D559" t="s">
        <v>623</v>
      </c>
      <c r="E559" t="s">
        <v>216</v>
      </c>
      <c r="F559" t="s">
        <v>22</v>
      </c>
      <c r="G559">
        <v>21</v>
      </c>
      <c r="H559">
        <v>2.6987648668974538E-2</v>
      </c>
      <c r="I559" t="s">
        <v>1413</v>
      </c>
      <c r="J559" s="2" t="s">
        <v>2126</v>
      </c>
      <c r="K559">
        <v>1</v>
      </c>
      <c r="L559">
        <v>1</v>
      </c>
      <c r="M559" t="s">
        <v>18</v>
      </c>
      <c r="N559" t="str">
        <f t="shared" si="8"/>
        <v>MEASURING AND DISPENSING PUMPS (3586)</v>
      </c>
    </row>
    <row r="560" spans="1:14" x14ac:dyDescent="0.45">
      <c r="A560" s="4">
        <v>3589</v>
      </c>
      <c r="B560" t="s">
        <v>677</v>
      </c>
      <c r="C560" t="s">
        <v>672</v>
      </c>
      <c r="D560" t="s">
        <v>623</v>
      </c>
      <c r="E560" t="s">
        <v>216</v>
      </c>
      <c r="F560" t="s">
        <v>22</v>
      </c>
      <c r="G560">
        <v>21</v>
      </c>
      <c r="H560">
        <v>2.6987648668974538E-2</v>
      </c>
      <c r="I560" t="s">
        <v>1413</v>
      </c>
      <c r="J560" s="2" t="s">
        <v>2126</v>
      </c>
      <c r="K560">
        <v>1</v>
      </c>
      <c r="L560">
        <v>1</v>
      </c>
      <c r="M560" t="s">
        <v>18</v>
      </c>
      <c r="N560" t="str">
        <f t="shared" si="8"/>
        <v>SERVICE INDUSTRY MACHINERY, NEC (3589)</v>
      </c>
    </row>
    <row r="561" spans="1:14" x14ac:dyDescent="0.45">
      <c r="A561" s="4">
        <v>3590</v>
      </c>
      <c r="B561" t="s">
        <v>678</v>
      </c>
      <c r="C561" t="s">
        <v>678</v>
      </c>
      <c r="D561" t="s">
        <v>623</v>
      </c>
      <c r="E561" t="s">
        <v>216</v>
      </c>
      <c r="F561" t="s">
        <v>22</v>
      </c>
      <c r="G561">
        <v>21</v>
      </c>
      <c r="H561">
        <v>2.6987648668974538E-2</v>
      </c>
      <c r="I561" t="s">
        <v>1413</v>
      </c>
      <c r="J561" s="2" t="s">
        <v>2126</v>
      </c>
      <c r="K561">
        <v>1</v>
      </c>
      <c r="L561">
        <v>1</v>
      </c>
      <c r="M561" t="s">
        <v>18</v>
      </c>
      <c r="N561" t="str">
        <f t="shared" si="8"/>
        <v>INDUSTRIAL MACHINERY, N.E.C. (3590)</v>
      </c>
    </row>
    <row r="562" spans="1:14" x14ac:dyDescent="0.45">
      <c r="A562" s="4">
        <v>3592</v>
      </c>
      <c r="B562" t="s">
        <v>679</v>
      </c>
      <c r="C562" t="s">
        <v>678</v>
      </c>
      <c r="D562" t="s">
        <v>623</v>
      </c>
      <c r="E562" t="s">
        <v>216</v>
      </c>
      <c r="F562" t="s">
        <v>22</v>
      </c>
      <c r="G562">
        <v>21</v>
      </c>
      <c r="H562">
        <v>2.6987648668974538E-2</v>
      </c>
      <c r="I562" t="s">
        <v>1413</v>
      </c>
      <c r="J562" s="2" t="s">
        <v>2126</v>
      </c>
      <c r="K562">
        <v>1</v>
      </c>
      <c r="L562">
        <v>1</v>
      </c>
      <c r="M562" t="s">
        <v>18</v>
      </c>
      <c r="N562" t="str">
        <f t="shared" si="8"/>
        <v>CARBURETORS, PISTONS, RINGS, VALVES (3592)</v>
      </c>
    </row>
    <row r="563" spans="1:14" x14ac:dyDescent="0.45">
      <c r="A563" s="4">
        <v>3593</v>
      </c>
      <c r="B563" t="s">
        <v>680</v>
      </c>
      <c r="C563" t="s">
        <v>678</v>
      </c>
      <c r="D563" t="s">
        <v>623</v>
      </c>
      <c r="E563" t="s">
        <v>216</v>
      </c>
      <c r="F563" t="s">
        <v>22</v>
      </c>
      <c r="G563">
        <v>21</v>
      </c>
      <c r="H563">
        <v>2.6987648668974538E-2</v>
      </c>
      <c r="I563" t="s">
        <v>1413</v>
      </c>
      <c r="J563" s="2" t="s">
        <v>2126</v>
      </c>
      <c r="K563">
        <v>1</v>
      </c>
      <c r="L563">
        <v>1</v>
      </c>
      <c r="M563" t="s">
        <v>18</v>
      </c>
      <c r="N563" t="str">
        <f t="shared" si="8"/>
        <v>FLUID POWER CYLINDERS AND ACTUATORS (3593)</v>
      </c>
    </row>
    <row r="564" spans="1:14" x14ac:dyDescent="0.45">
      <c r="A564" s="4">
        <v>3594</v>
      </c>
      <c r="B564" t="s">
        <v>681</v>
      </c>
      <c r="C564" t="s">
        <v>678</v>
      </c>
      <c r="D564" t="s">
        <v>623</v>
      </c>
      <c r="E564" t="s">
        <v>216</v>
      </c>
      <c r="F564" t="s">
        <v>22</v>
      </c>
      <c r="G564">
        <v>21</v>
      </c>
      <c r="H564">
        <v>2.6987648668974538E-2</v>
      </c>
      <c r="I564" t="s">
        <v>1413</v>
      </c>
      <c r="J564" s="2" t="s">
        <v>2126</v>
      </c>
      <c r="K564">
        <v>1</v>
      </c>
      <c r="L564">
        <v>1</v>
      </c>
      <c r="M564" t="s">
        <v>18</v>
      </c>
      <c r="N564" t="str">
        <f t="shared" si="8"/>
        <v>FLUID POWER PUMPS AND MOTORS (3594)</v>
      </c>
    </row>
    <row r="565" spans="1:14" x14ac:dyDescent="0.45">
      <c r="A565" s="4">
        <v>3596</v>
      </c>
      <c r="B565" t="s">
        <v>682</v>
      </c>
      <c r="C565" t="s">
        <v>678</v>
      </c>
      <c r="D565" t="s">
        <v>623</v>
      </c>
      <c r="E565" t="s">
        <v>216</v>
      </c>
      <c r="F565" t="s">
        <v>22</v>
      </c>
      <c r="G565">
        <v>21</v>
      </c>
      <c r="H565">
        <v>2.6987648668974538E-2</v>
      </c>
      <c r="I565" t="s">
        <v>1413</v>
      </c>
      <c r="J565" s="2" t="s">
        <v>2126</v>
      </c>
      <c r="K565">
        <v>1</v>
      </c>
      <c r="L565">
        <v>1</v>
      </c>
      <c r="M565" t="s">
        <v>18</v>
      </c>
      <c r="N565" t="str">
        <f t="shared" si="8"/>
        <v>SCALES AND BALANCES, EXCEPT LABORATORY (3596)</v>
      </c>
    </row>
    <row r="566" spans="1:14" x14ac:dyDescent="0.45">
      <c r="A566" s="4">
        <v>3599</v>
      </c>
      <c r="B566" t="s">
        <v>683</v>
      </c>
      <c r="C566" t="s">
        <v>678</v>
      </c>
      <c r="D566" t="s">
        <v>623</v>
      </c>
      <c r="E566" t="s">
        <v>216</v>
      </c>
      <c r="F566" t="s">
        <v>22</v>
      </c>
      <c r="G566">
        <v>21</v>
      </c>
      <c r="H566">
        <v>2.6987648668974538E-2</v>
      </c>
      <c r="I566" t="s">
        <v>1413</v>
      </c>
      <c r="J566" s="2" t="s">
        <v>2126</v>
      </c>
      <c r="K566">
        <v>1</v>
      </c>
      <c r="L566">
        <v>1</v>
      </c>
      <c r="M566" t="s">
        <v>18</v>
      </c>
      <c r="N566" t="str">
        <f t="shared" si="8"/>
        <v>INDUSTRIAL MACHINERY, NEC (3599)</v>
      </c>
    </row>
    <row r="567" spans="1:14" x14ac:dyDescent="0.45">
      <c r="A567" s="4">
        <v>3600</v>
      </c>
      <c r="B567" t="s">
        <v>684</v>
      </c>
      <c r="C567" t="s">
        <v>684</v>
      </c>
      <c r="D567" t="s">
        <v>684</v>
      </c>
      <c r="E567" t="s">
        <v>216</v>
      </c>
      <c r="F567" t="s">
        <v>22</v>
      </c>
      <c r="G567">
        <v>21</v>
      </c>
      <c r="H567">
        <v>2.6987648668974538E-2</v>
      </c>
      <c r="I567" t="s">
        <v>1413</v>
      </c>
      <c r="J567" s="2" t="s">
        <v>2126</v>
      </c>
      <c r="K567">
        <v>1</v>
      </c>
      <c r="L567">
        <v>1</v>
      </c>
      <c r="M567" t="s">
        <v>18</v>
      </c>
      <c r="N567" t="str">
        <f t="shared" si="8"/>
        <v>ELECTRONIC &amp; OTHER ELECTRIC EQUIPMENT (3600)</v>
      </c>
    </row>
    <row r="568" spans="1:14" x14ac:dyDescent="0.45">
      <c r="A568" s="4">
        <v>3612</v>
      </c>
      <c r="B568" t="s">
        <v>685</v>
      </c>
      <c r="C568" t="s">
        <v>686</v>
      </c>
      <c r="D568" t="s">
        <v>684</v>
      </c>
      <c r="E568" t="s">
        <v>216</v>
      </c>
      <c r="F568" t="s">
        <v>22</v>
      </c>
      <c r="G568">
        <v>21</v>
      </c>
      <c r="H568">
        <v>2.6987648668974538E-2</v>
      </c>
      <c r="I568" t="s">
        <v>1413</v>
      </c>
      <c r="J568" s="2" t="s">
        <v>2126</v>
      </c>
      <c r="K568">
        <v>1</v>
      </c>
      <c r="L568">
        <v>1</v>
      </c>
      <c r="M568" t="s">
        <v>18</v>
      </c>
      <c r="N568" t="str">
        <f t="shared" si="8"/>
        <v>TRANSFORMERS, EXCEPT ELECTRIC (3612)</v>
      </c>
    </row>
    <row r="569" spans="1:14" x14ac:dyDescent="0.45">
      <c r="A569" s="4">
        <v>3613</v>
      </c>
      <c r="B569" t="s">
        <v>687</v>
      </c>
      <c r="C569" t="s">
        <v>686</v>
      </c>
      <c r="D569" t="s">
        <v>684</v>
      </c>
      <c r="E569" t="s">
        <v>216</v>
      </c>
      <c r="F569" t="s">
        <v>22</v>
      </c>
      <c r="G569">
        <v>21</v>
      </c>
      <c r="H569">
        <v>2.6987648668974538E-2</v>
      </c>
      <c r="I569" t="s">
        <v>1413</v>
      </c>
      <c r="J569" s="2" t="s">
        <v>2126</v>
      </c>
      <c r="K569">
        <v>1</v>
      </c>
      <c r="L569">
        <v>1</v>
      </c>
      <c r="M569" t="s">
        <v>18</v>
      </c>
      <c r="N569" t="str">
        <f t="shared" si="8"/>
        <v>SWITCHGEAR AND SWITCHBOARD APPARATUS (3613)</v>
      </c>
    </row>
    <row r="570" spans="1:14" x14ac:dyDescent="0.45">
      <c r="A570" s="4">
        <v>3620</v>
      </c>
      <c r="B570" t="s">
        <v>688</v>
      </c>
      <c r="C570" t="s">
        <v>688</v>
      </c>
      <c r="D570" t="s">
        <v>684</v>
      </c>
      <c r="E570" t="s">
        <v>216</v>
      </c>
      <c r="F570" t="s">
        <v>22</v>
      </c>
      <c r="G570">
        <v>21</v>
      </c>
      <c r="H570">
        <v>2.6987648668974538E-2</v>
      </c>
      <c r="I570" t="s">
        <v>1413</v>
      </c>
      <c r="J570" s="2" t="s">
        <v>2126</v>
      </c>
      <c r="K570">
        <v>1</v>
      </c>
      <c r="L570">
        <v>1</v>
      </c>
      <c r="M570" t="s">
        <v>18</v>
      </c>
      <c r="N570" t="str">
        <f t="shared" si="8"/>
        <v>ELECTRICAL INDUSTRIAL APPARATUS (3620)</v>
      </c>
    </row>
    <row r="571" spans="1:14" x14ac:dyDescent="0.45">
      <c r="A571" s="4">
        <v>3621</v>
      </c>
      <c r="B571" t="s">
        <v>689</v>
      </c>
      <c r="C571" t="s">
        <v>688</v>
      </c>
      <c r="D571" t="s">
        <v>684</v>
      </c>
      <c r="E571" t="s">
        <v>216</v>
      </c>
      <c r="F571" t="s">
        <v>22</v>
      </c>
      <c r="G571">
        <v>21</v>
      </c>
      <c r="H571">
        <v>2.6987648668974538E-2</v>
      </c>
      <c r="I571" t="s">
        <v>1413</v>
      </c>
      <c r="J571" s="2" t="s">
        <v>2126</v>
      </c>
      <c r="K571">
        <v>1</v>
      </c>
      <c r="L571">
        <v>1</v>
      </c>
      <c r="M571" t="s">
        <v>18</v>
      </c>
      <c r="N571" t="str">
        <f t="shared" si="8"/>
        <v>MOTORS AND GENERATORS (3621)</v>
      </c>
    </row>
    <row r="572" spans="1:14" x14ac:dyDescent="0.45">
      <c r="A572" s="4">
        <v>3624</v>
      </c>
      <c r="B572" t="s">
        <v>690</v>
      </c>
      <c r="C572" t="s">
        <v>688</v>
      </c>
      <c r="D572" t="s">
        <v>684</v>
      </c>
      <c r="E572" t="s">
        <v>216</v>
      </c>
      <c r="F572" t="s">
        <v>22</v>
      </c>
      <c r="G572">
        <v>21</v>
      </c>
      <c r="H572">
        <v>2.6987648668974538E-2</v>
      </c>
      <c r="I572" t="s">
        <v>1413</v>
      </c>
      <c r="J572" s="2" t="s">
        <v>2126</v>
      </c>
      <c r="K572">
        <v>1</v>
      </c>
      <c r="L572">
        <v>1</v>
      </c>
      <c r="M572" t="s">
        <v>18</v>
      </c>
      <c r="N572" t="str">
        <f t="shared" si="8"/>
        <v>CARBON AND GRAPHITE PRODUCTS (3624)</v>
      </c>
    </row>
    <row r="573" spans="1:14" x14ac:dyDescent="0.45">
      <c r="A573" s="4">
        <v>3625</v>
      </c>
      <c r="B573" t="s">
        <v>691</v>
      </c>
      <c r="C573" t="s">
        <v>688</v>
      </c>
      <c r="D573" t="s">
        <v>684</v>
      </c>
      <c r="E573" t="s">
        <v>216</v>
      </c>
      <c r="F573" t="s">
        <v>22</v>
      </c>
      <c r="G573">
        <v>21</v>
      </c>
      <c r="H573">
        <v>2.6987648668974538E-2</v>
      </c>
      <c r="I573" t="s">
        <v>1413</v>
      </c>
      <c r="J573" s="2" t="s">
        <v>2126</v>
      </c>
      <c r="K573">
        <v>1</v>
      </c>
      <c r="L573">
        <v>1</v>
      </c>
      <c r="M573" t="s">
        <v>18</v>
      </c>
      <c r="N573" t="str">
        <f t="shared" si="8"/>
        <v>RELAYS AND INDUSTRIAL CONTROLS (3625)</v>
      </c>
    </row>
    <row r="574" spans="1:14" x14ac:dyDescent="0.45">
      <c r="A574" s="4">
        <v>3629</v>
      </c>
      <c r="B574" t="s">
        <v>688</v>
      </c>
      <c r="C574" t="s">
        <v>688</v>
      </c>
      <c r="D574" t="s">
        <v>684</v>
      </c>
      <c r="E574" t="s">
        <v>216</v>
      </c>
      <c r="F574" t="s">
        <v>22</v>
      </c>
      <c r="G574">
        <v>21</v>
      </c>
      <c r="H574">
        <v>2.6987648668974538E-2</v>
      </c>
      <c r="I574" t="s">
        <v>1413</v>
      </c>
      <c r="J574" s="2" t="s">
        <v>2126</v>
      </c>
      <c r="K574">
        <v>1</v>
      </c>
      <c r="L574">
        <v>1</v>
      </c>
      <c r="M574" t="s">
        <v>18</v>
      </c>
      <c r="N574" t="str">
        <f t="shared" si="8"/>
        <v>ELECTRICAL INDUSTRIAL APPARATUS (3629)</v>
      </c>
    </row>
    <row r="575" spans="1:14" x14ac:dyDescent="0.45">
      <c r="A575" s="4">
        <v>3630</v>
      </c>
      <c r="B575" t="s">
        <v>692</v>
      </c>
      <c r="C575" t="s">
        <v>692</v>
      </c>
      <c r="D575" t="s">
        <v>684</v>
      </c>
      <c r="E575" t="s">
        <v>216</v>
      </c>
      <c r="F575" t="s">
        <v>22</v>
      </c>
      <c r="G575">
        <v>21</v>
      </c>
      <c r="H575">
        <v>2.6987648668974538E-2</v>
      </c>
      <c r="I575" t="s">
        <v>1413</v>
      </c>
      <c r="J575" s="2" t="s">
        <v>2126</v>
      </c>
      <c r="K575">
        <v>1</v>
      </c>
      <c r="L575">
        <v>1</v>
      </c>
      <c r="M575" t="s">
        <v>18</v>
      </c>
      <c r="N575" t="str">
        <f t="shared" si="8"/>
        <v>HOUSEHOLD APPLIANCES (3630)</v>
      </c>
    </row>
    <row r="576" spans="1:14" x14ac:dyDescent="0.45">
      <c r="A576" s="4">
        <v>3631</v>
      </c>
      <c r="B576" t="s">
        <v>693</v>
      </c>
      <c r="C576" t="s">
        <v>692</v>
      </c>
      <c r="D576" t="s">
        <v>684</v>
      </c>
      <c r="E576" t="s">
        <v>216</v>
      </c>
      <c r="F576" t="s">
        <v>22</v>
      </c>
      <c r="G576">
        <v>21</v>
      </c>
      <c r="H576">
        <v>2.6987648668974538E-2</v>
      </c>
      <c r="I576" t="s">
        <v>1413</v>
      </c>
      <c r="J576" s="2" t="s">
        <v>2126</v>
      </c>
      <c r="K576">
        <v>1</v>
      </c>
      <c r="L576">
        <v>1</v>
      </c>
      <c r="M576" t="s">
        <v>18</v>
      </c>
      <c r="N576" t="str">
        <f t="shared" si="8"/>
        <v>HOUSEHOLD COOKING EQUIPMENT (3631)</v>
      </c>
    </row>
    <row r="577" spans="1:14" x14ac:dyDescent="0.45">
      <c r="A577" s="4">
        <v>3632</v>
      </c>
      <c r="B577" t="s">
        <v>694</v>
      </c>
      <c r="C577" t="s">
        <v>692</v>
      </c>
      <c r="D577" t="s">
        <v>684</v>
      </c>
      <c r="E577" t="s">
        <v>216</v>
      </c>
      <c r="F577" t="s">
        <v>22</v>
      </c>
      <c r="G577">
        <v>21</v>
      </c>
      <c r="H577">
        <v>2.6987648668974538E-2</v>
      </c>
      <c r="I577" t="s">
        <v>1413</v>
      </c>
      <c r="J577" s="2" t="s">
        <v>2126</v>
      </c>
      <c r="K577">
        <v>1</v>
      </c>
      <c r="L577">
        <v>1</v>
      </c>
      <c r="M577" t="s">
        <v>18</v>
      </c>
      <c r="N577" t="str">
        <f t="shared" si="8"/>
        <v>HOUSEHOLD REFRIGERATORS AND FREEZERS (3632)</v>
      </c>
    </row>
    <row r="578" spans="1:14" x14ac:dyDescent="0.45">
      <c r="A578" s="4">
        <v>3633</v>
      </c>
      <c r="B578" t="s">
        <v>695</v>
      </c>
      <c r="C578" t="s">
        <v>692</v>
      </c>
      <c r="D578" t="s">
        <v>684</v>
      </c>
      <c r="E578" t="s">
        <v>216</v>
      </c>
      <c r="F578" t="s">
        <v>22</v>
      </c>
      <c r="G578">
        <v>21</v>
      </c>
      <c r="H578">
        <v>2.6987648668974538E-2</v>
      </c>
      <c r="I578" t="s">
        <v>1413</v>
      </c>
      <c r="J578" s="2" t="s">
        <v>2126</v>
      </c>
      <c r="K578">
        <v>1</v>
      </c>
      <c r="L578">
        <v>1</v>
      </c>
      <c r="M578" t="s">
        <v>18</v>
      </c>
      <c r="N578" t="str">
        <f t="shared" si="8"/>
        <v>HOUSEHOLD LAUNDRY EQUIPMENT (3633)</v>
      </c>
    </row>
    <row r="579" spans="1:14" x14ac:dyDescent="0.45">
      <c r="A579" s="4">
        <v>3634</v>
      </c>
      <c r="B579" t="s">
        <v>696</v>
      </c>
      <c r="C579" t="s">
        <v>692</v>
      </c>
      <c r="D579" t="s">
        <v>684</v>
      </c>
      <c r="E579" t="s">
        <v>216</v>
      </c>
      <c r="F579" t="s">
        <v>22</v>
      </c>
      <c r="G579">
        <v>21</v>
      </c>
      <c r="H579">
        <v>2.6987648668974538E-2</v>
      </c>
      <c r="I579" t="s">
        <v>1413</v>
      </c>
      <c r="J579" s="2" t="s">
        <v>2126</v>
      </c>
      <c r="K579">
        <v>1</v>
      </c>
      <c r="L579">
        <v>1</v>
      </c>
      <c r="M579" t="s">
        <v>18</v>
      </c>
      <c r="N579" t="str">
        <f t="shared" ref="N579:N642" si="9">B579&amp;" ("&amp;A579&amp;")"</f>
        <v>ELECTRIC HOUSEWARES AND FANS (3634)</v>
      </c>
    </row>
    <row r="580" spans="1:14" x14ac:dyDescent="0.45">
      <c r="A580" s="4">
        <v>3635</v>
      </c>
      <c r="B580" t="s">
        <v>697</v>
      </c>
      <c r="C580" t="s">
        <v>692</v>
      </c>
      <c r="D580" t="s">
        <v>684</v>
      </c>
      <c r="E580" t="s">
        <v>216</v>
      </c>
      <c r="F580" t="s">
        <v>22</v>
      </c>
      <c r="G580">
        <v>21</v>
      </c>
      <c r="H580">
        <v>2.6987648668974538E-2</v>
      </c>
      <c r="I580" t="s">
        <v>1413</v>
      </c>
      <c r="J580" s="2" t="s">
        <v>2126</v>
      </c>
      <c r="K580">
        <v>1</v>
      </c>
      <c r="L580">
        <v>1</v>
      </c>
      <c r="M580" t="s">
        <v>18</v>
      </c>
      <c r="N580" t="str">
        <f t="shared" si="9"/>
        <v>HOUSEHOLD VACUUM CLEANERS (3635)</v>
      </c>
    </row>
    <row r="581" spans="1:14" x14ac:dyDescent="0.45">
      <c r="A581" s="4">
        <v>3639</v>
      </c>
      <c r="B581" t="s">
        <v>698</v>
      </c>
      <c r="C581" t="s">
        <v>692</v>
      </c>
      <c r="D581" t="s">
        <v>684</v>
      </c>
      <c r="E581" t="s">
        <v>216</v>
      </c>
      <c r="F581" t="s">
        <v>22</v>
      </c>
      <c r="G581">
        <v>21</v>
      </c>
      <c r="H581">
        <v>2.6987648668974538E-2</v>
      </c>
      <c r="I581" t="s">
        <v>1413</v>
      </c>
      <c r="J581" s="2" t="s">
        <v>2126</v>
      </c>
      <c r="K581">
        <v>1</v>
      </c>
      <c r="L581">
        <v>1</v>
      </c>
      <c r="M581" t="s">
        <v>18</v>
      </c>
      <c r="N581" t="str">
        <f t="shared" si="9"/>
        <v>HOUSEHOLD APPLIANCES, NEC (3639)</v>
      </c>
    </row>
    <row r="582" spans="1:14" x14ac:dyDescent="0.45">
      <c r="A582" s="4">
        <v>3640</v>
      </c>
      <c r="B582" t="s">
        <v>699</v>
      </c>
      <c r="C582" t="s">
        <v>699</v>
      </c>
      <c r="D582" t="s">
        <v>684</v>
      </c>
      <c r="E582" t="s">
        <v>216</v>
      </c>
      <c r="F582" t="s">
        <v>22</v>
      </c>
      <c r="G582">
        <v>21</v>
      </c>
      <c r="H582">
        <v>2.6987648668974538E-2</v>
      </c>
      <c r="I582" t="s">
        <v>1413</v>
      </c>
      <c r="J582" s="2" t="s">
        <v>2126</v>
      </c>
      <c r="K582">
        <v>1</v>
      </c>
      <c r="L582">
        <v>1</v>
      </c>
      <c r="M582" t="s">
        <v>18</v>
      </c>
      <c r="N582" t="str">
        <f t="shared" si="9"/>
        <v>ELECTRIC LIGHTING AND WIRING EQUIPMENT (3640)</v>
      </c>
    </row>
    <row r="583" spans="1:14" x14ac:dyDescent="0.45">
      <c r="A583" s="4">
        <v>3641</v>
      </c>
      <c r="B583" t="s">
        <v>700</v>
      </c>
      <c r="C583" t="s">
        <v>699</v>
      </c>
      <c r="D583" t="s">
        <v>684</v>
      </c>
      <c r="E583" t="s">
        <v>216</v>
      </c>
      <c r="F583" t="s">
        <v>22</v>
      </c>
      <c r="G583">
        <v>21</v>
      </c>
      <c r="H583">
        <v>2.6987648668974538E-2</v>
      </c>
      <c r="I583" t="s">
        <v>1413</v>
      </c>
      <c r="J583" s="2" t="s">
        <v>2126</v>
      </c>
      <c r="K583">
        <v>1</v>
      </c>
      <c r="L583">
        <v>1</v>
      </c>
      <c r="M583" t="s">
        <v>18</v>
      </c>
      <c r="N583" t="str">
        <f t="shared" si="9"/>
        <v>ELECTRIC LAMPS (3641)</v>
      </c>
    </row>
    <row r="584" spans="1:14" x14ac:dyDescent="0.45">
      <c r="A584" s="4">
        <v>3643</v>
      </c>
      <c r="B584" t="s">
        <v>701</v>
      </c>
      <c r="C584" t="s">
        <v>699</v>
      </c>
      <c r="D584" t="s">
        <v>684</v>
      </c>
      <c r="E584" t="s">
        <v>216</v>
      </c>
      <c r="F584" t="s">
        <v>22</v>
      </c>
      <c r="G584">
        <v>21</v>
      </c>
      <c r="H584">
        <v>2.6987648668974538E-2</v>
      </c>
      <c r="I584" t="s">
        <v>1413</v>
      </c>
      <c r="J584" s="2" t="s">
        <v>2126</v>
      </c>
      <c r="K584">
        <v>1</v>
      </c>
      <c r="L584">
        <v>1</v>
      </c>
      <c r="M584" t="s">
        <v>18</v>
      </c>
      <c r="N584" t="str">
        <f t="shared" si="9"/>
        <v>CURRENT-CARRYING WIRING DEVICES (3643)</v>
      </c>
    </row>
    <row r="585" spans="1:14" x14ac:dyDescent="0.45">
      <c r="A585" s="4">
        <v>3644</v>
      </c>
      <c r="B585" t="s">
        <v>702</v>
      </c>
      <c r="C585" t="s">
        <v>699</v>
      </c>
      <c r="D585" t="s">
        <v>684</v>
      </c>
      <c r="E585" t="s">
        <v>216</v>
      </c>
      <c r="F585" t="s">
        <v>22</v>
      </c>
      <c r="G585">
        <v>21</v>
      </c>
      <c r="H585">
        <v>2.6987648668974538E-2</v>
      </c>
      <c r="I585" t="s">
        <v>1413</v>
      </c>
      <c r="J585" s="2" t="s">
        <v>2126</v>
      </c>
      <c r="K585">
        <v>1</v>
      </c>
      <c r="L585">
        <v>1</v>
      </c>
      <c r="M585" t="s">
        <v>18</v>
      </c>
      <c r="N585" t="str">
        <f t="shared" si="9"/>
        <v>NONCURRENT-CARRYING WIRING DEVICES (3644)</v>
      </c>
    </row>
    <row r="586" spans="1:14" x14ac:dyDescent="0.45">
      <c r="A586" s="4">
        <v>3645</v>
      </c>
      <c r="B586" t="s">
        <v>703</v>
      </c>
      <c r="C586" t="s">
        <v>699</v>
      </c>
      <c r="D586" t="s">
        <v>684</v>
      </c>
      <c r="E586" t="s">
        <v>216</v>
      </c>
      <c r="F586" t="s">
        <v>22</v>
      </c>
      <c r="G586">
        <v>21</v>
      </c>
      <c r="H586">
        <v>2.6987648668974538E-2</v>
      </c>
      <c r="I586" t="s">
        <v>1413</v>
      </c>
      <c r="J586" s="2" t="s">
        <v>2126</v>
      </c>
      <c r="K586">
        <v>1</v>
      </c>
      <c r="L586">
        <v>1</v>
      </c>
      <c r="M586" t="s">
        <v>18</v>
      </c>
      <c r="N586" t="str">
        <f t="shared" si="9"/>
        <v>RESIDENTIAL LIGHTING FIXTURES (3645)</v>
      </c>
    </row>
    <row r="587" spans="1:14" x14ac:dyDescent="0.45">
      <c r="A587" s="4">
        <v>3646</v>
      </c>
      <c r="B587" t="s">
        <v>704</v>
      </c>
      <c r="C587" t="s">
        <v>699</v>
      </c>
      <c r="D587" t="s">
        <v>684</v>
      </c>
      <c r="E587" t="s">
        <v>216</v>
      </c>
      <c r="F587" t="s">
        <v>22</v>
      </c>
      <c r="G587">
        <v>21</v>
      </c>
      <c r="H587">
        <v>2.6987648668974538E-2</v>
      </c>
      <c r="I587" t="s">
        <v>1413</v>
      </c>
      <c r="J587" s="2" t="s">
        <v>2126</v>
      </c>
      <c r="K587">
        <v>1</v>
      </c>
      <c r="L587">
        <v>1</v>
      </c>
      <c r="M587" t="s">
        <v>18</v>
      </c>
      <c r="N587" t="str">
        <f t="shared" si="9"/>
        <v>COMMERCIAL LIGHTING FIXTURES (3646)</v>
      </c>
    </row>
    <row r="588" spans="1:14" x14ac:dyDescent="0.45">
      <c r="A588" s="4">
        <v>3647</v>
      </c>
      <c r="B588" t="s">
        <v>705</v>
      </c>
      <c r="C588" t="s">
        <v>699</v>
      </c>
      <c r="D588" t="s">
        <v>684</v>
      </c>
      <c r="E588" t="s">
        <v>216</v>
      </c>
      <c r="F588" t="s">
        <v>22</v>
      </c>
      <c r="G588">
        <v>21</v>
      </c>
      <c r="H588">
        <v>2.6987648668974538E-2</v>
      </c>
      <c r="I588" t="s">
        <v>1413</v>
      </c>
      <c r="J588" s="2" t="s">
        <v>2126</v>
      </c>
      <c r="K588">
        <v>1</v>
      </c>
      <c r="L588">
        <v>1</v>
      </c>
      <c r="M588" t="s">
        <v>18</v>
      </c>
      <c r="N588" t="str">
        <f t="shared" si="9"/>
        <v>VEHICULAR LIGHTING EQUIPMENT (3647)</v>
      </c>
    </row>
    <row r="589" spans="1:14" x14ac:dyDescent="0.45">
      <c r="A589" s="4">
        <v>3648</v>
      </c>
      <c r="B589" t="s">
        <v>706</v>
      </c>
      <c r="C589" t="s">
        <v>699</v>
      </c>
      <c r="D589" t="s">
        <v>684</v>
      </c>
      <c r="E589" t="s">
        <v>216</v>
      </c>
      <c r="F589" t="s">
        <v>22</v>
      </c>
      <c r="G589">
        <v>21</v>
      </c>
      <c r="H589">
        <v>2.6987648668974538E-2</v>
      </c>
      <c r="I589" t="s">
        <v>1413</v>
      </c>
      <c r="J589" s="2" t="s">
        <v>2126</v>
      </c>
      <c r="K589">
        <v>1</v>
      </c>
      <c r="L589">
        <v>1</v>
      </c>
      <c r="M589" t="s">
        <v>18</v>
      </c>
      <c r="N589" t="str">
        <f t="shared" si="9"/>
        <v>LIGHTING EQUIPMENT, NEC (3648)</v>
      </c>
    </row>
    <row r="590" spans="1:14" x14ac:dyDescent="0.45">
      <c r="A590" s="4">
        <v>3651</v>
      </c>
      <c r="B590" t="s">
        <v>707</v>
      </c>
      <c r="C590" t="s">
        <v>707</v>
      </c>
      <c r="D590" t="s">
        <v>684</v>
      </c>
      <c r="E590" t="s">
        <v>216</v>
      </c>
      <c r="F590" t="s">
        <v>22</v>
      </c>
      <c r="G590">
        <v>21</v>
      </c>
      <c r="H590">
        <v>2.6987648668974538E-2</v>
      </c>
      <c r="I590" t="s">
        <v>1413</v>
      </c>
      <c r="J590" s="2" t="s">
        <v>2126</v>
      </c>
      <c r="K590">
        <v>1</v>
      </c>
      <c r="L590">
        <v>1</v>
      </c>
      <c r="M590" t="s">
        <v>18</v>
      </c>
      <c r="N590" t="str">
        <f t="shared" si="9"/>
        <v>HOUSEHOLD AUDIO AND VIDEO EQUIPMENT (3651)</v>
      </c>
    </row>
    <row r="591" spans="1:14" x14ac:dyDescent="0.45">
      <c r="A591" s="4">
        <v>3652</v>
      </c>
      <c r="B591" t="s">
        <v>708</v>
      </c>
      <c r="C591" t="s">
        <v>707</v>
      </c>
      <c r="D591" t="s">
        <v>684</v>
      </c>
      <c r="E591" t="s">
        <v>216</v>
      </c>
      <c r="F591" t="s">
        <v>22</v>
      </c>
      <c r="G591">
        <v>21</v>
      </c>
      <c r="H591">
        <v>2.6987648668974538E-2</v>
      </c>
      <c r="I591" t="s">
        <v>1413</v>
      </c>
      <c r="J591" s="2" t="s">
        <v>2126</v>
      </c>
      <c r="K591">
        <v>1</v>
      </c>
      <c r="L591">
        <v>1</v>
      </c>
      <c r="M591" t="s">
        <v>18</v>
      </c>
      <c r="N591" t="str">
        <f t="shared" si="9"/>
        <v>PRERECORDED RECORDS AND TAPES (3652)</v>
      </c>
    </row>
    <row r="592" spans="1:14" x14ac:dyDescent="0.45">
      <c r="A592" s="4">
        <v>3661</v>
      </c>
      <c r="B592" t="s">
        <v>709</v>
      </c>
      <c r="C592" t="s">
        <v>710</v>
      </c>
      <c r="D592" t="s">
        <v>684</v>
      </c>
      <c r="E592" t="s">
        <v>216</v>
      </c>
      <c r="F592" t="s">
        <v>13</v>
      </c>
      <c r="G592">
        <v>22</v>
      </c>
      <c r="H592">
        <v>0.04</v>
      </c>
      <c r="I592" t="s">
        <v>1413</v>
      </c>
      <c r="J592" s="2" t="s">
        <v>2128</v>
      </c>
      <c r="K592">
        <v>1</v>
      </c>
      <c r="L592">
        <v>1</v>
      </c>
      <c r="M592" t="s">
        <v>18</v>
      </c>
      <c r="N592" t="str">
        <f t="shared" si="9"/>
        <v>TELEPHONE AND TELEGRAPH APPARATUS (3661)</v>
      </c>
    </row>
    <row r="593" spans="1:14" x14ac:dyDescent="0.45">
      <c r="A593" s="4">
        <v>3663</v>
      </c>
      <c r="B593" t="s">
        <v>711</v>
      </c>
      <c r="C593" t="s">
        <v>710</v>
      </c>
      <c r="D593" t="s">
        <v>684</v>
      </c>
      <c r="E593" t="s">
        <v>216</v>
      </c>
      <c r="F593" t="s">
        <v>13</v>
      </c>
      <c r="G593">
        <v>22</v>
      </c>
      <c r="H593">
        <v>0.04</v>
      </c>
      <c r="I593" t="s">
        <v>1413</v>
      </c>
      <c r="J593" s="2" t="s">
        <v>2128</v>
      </c>
      <c r="K593">
        <v>1</v>
      </c>
      <c r="L593">
        <v>1</v>
      </c>
      <c r="M593" t="s">
        <v>18</v>
      </c>
      <c r="N593" t="str">
        <f t="shared" si="9"/>
        <v>RADIO AND T.V. COMMUNICATIONS EQUIPMENT (3663)</v>
      </c>
    </row>
    <row r="594" spans="1:14" x14ac:dyDescent="0.45">
      <c r="A594" s="4">
        <v>3669</v>
      </c>
      <c r="B594" t="s">
        <v>712</v>
      </c>
      <c r="C594" t="s">
        <v>710</v>
      </c>
      <c r="D594" t="s">
        <v>684</v>
      </c>
      <c r="E594" t="s">
        <v>216</v>
      </c>
      <c r="F594" t="s">
        <v>13</v>
      </c>
      <c r="G594">
        <v>22</v>
      </c>
      <c r="H594">
        <v>0.04</v>
      </c>
      <c r="I594" t="s">
        <v>1413</v>
      </c>
      <c r="J594" s="2" t="s">
        <v>2128</v>
      </c>
      <c r="K594">
        <v>1</v>
      </c>
      <c r="L594">
        <v>1</v>
      </c>
      <c r="M594" t="s">
        <v>18</v>
      </c>
      <c r="N594" t="str">
        <f t="shared" si="9"/>
        <v>COMMUNICATIONS EQUIPMENT, NEC (3669)</v>
      </c>
    </row>
    <row r="595" spans="1:14" x14ac:dyDescent="0.45">
      <c r="A595" s="4">
        <v>3670</v>
      </c>
      <c r="B595" t="s">
        <v>713</v>
      </c>
      <c r="C595" t="s">
        <v>713</v>
      </c>
      <c r="D595" t="s">
        <v>684</v>
      </c>
      <c r="E595" t="s">
        <v>216</v>
      </c>
      <c r="F595" t="s">
        <v>22</v>
      </c>
      <c r="G595">
        <v>21</v>
      </c>
      <c r="H595">
        <v>2.6987648668974538E-2</v>
      </c>
      <c r="I595" t="s">
        <v>1413</v>
      </c>
      <c r="J595" s="2" t="s">
        <v>2126</v>
      </c>
      <c r="K595">
        <v>1</v>
      </c>
      <c r="L595">
        <v>1</v>
      </c>
      <c r="M595" t="s">
        <v>18</v>
      </c>
      <c r="N595" t="str">
        <f t="shared" si="9"/>
        <v>ELECTRONIC COMPONENTS AND ACCESSORIES (3670)</v>
      </c>
    </row>
    <row r="596" spans="1:14" x14ac:dyDescent="0.45">
      <c r="A596" s="4">
        <v>3671</v>
      </c>
      <c r="B596" t="s">
        <v>714</v>
      </c>
      <c r="C596" t="s">
        <v>713</v>
      </c>
      <c r="D596" t="s">
        <v>684</v>
      </c>
      <c r="E596" t="s">
        <v>216</v>
      </c>
      <c r="F596" t="s">
        <v>22</v>
      </c>
      <c r="G596">
        <v>21</v>
      </c>
      <c r="H596">
        <v>2.6987648668974538E-2</v>
      </c>
      <c r="I596" t="s">
        <v>1413</v>
      </c>
      <c r="J596" s="2" t="s">
        <v>2126</v>
      </c>
      <c r="K596">
        <v>1</v>
      </c>
      <c r="L596">
        <v>1</v>
      </c>
      <c r="M596" t="s">
        <v>18</v>
      </c>
      <c r="N596" t="str">
        <f t="shared" si="9"/>
        <v>ELECTRON TUBES (3671)</v>
      </c>
    </row>
    <row r="597" spans="1:14" x14ac:dyDescent="0.45">
      <c r="A597" s="4">
        <v>3672</v>
      </c>
      <c r="B597" t="s">
        <v>715</v>
      </c>
      <c r="C597" t="s">
        <v>713</v>
      </c>
      <c r="D597" t="s">
        <v>684</v>
      </c>
      <c r="E597" t="s">
        <v>216</v>
      </c>
      <c r="F597" t="s">
        <v>13</v>
      </c>
      <c r="G597">
        <v>22</v>
      </c>
      <c r="H597">
        <v>0.04</v>
      </c>
      <c r="I597" t="s">
        <v>1413</v>
      </c>
      <c r="J597" s="2" t="s">
        <v>2128</v>
      </c>
      <c r="K597">
        <v>1</v>
      </c>
      <c r="L597">
        <v>1</v>
      </c>
      <c r="M597" t="s">
        <v>18</v>
      </c>
      <c r="N597" t="str">
        <f t="shared" si="9"/>
        <v>PRINTED CIRCUIT BOARDS (3672)</v>
      </c>
    </row>
    <row r="598" spans="1:14" x14ac:dyDescent="0.45">
      <c r="A598" s="4">
        <v>3674</v>
      </c>
      <c r="B598" t="s">
        <v>36</v>
      </c>
      <c r="C598" t="s">
        <v>713</v>
      </c>
      <c r="D598" t="s">
        <v>684</v>
      </c>
      <c r="E598" t="s">
        <v>216</v>
      </c>
      <c r="F598" t="s">
        <v>36</v>
      </c>
      <c r="G598">
        <v>2</v>
      </c>
      <c r="H598">
        <v>2.4300000000000002E-2</v>
      </c>
      <c r="I598" t="s">
        <v>1413</v>
      </c>
      <c r="J598" s="2" t="s">
        <v>2129</v>
      </c>
      <c r="K598">
        <v>1</v>
      </c>
      <c r="L598">
        <v>1</v>
      </c>
      <c r="M598" t="s">
        <v>18</v>
      </c>
      <c r="N598" t="str">
        <f t="shared" si="9"/>
        <v>SEMICONDUCTORS AND RELATED DEVICES (3674)</v>
      </c>
    </row>
    <row r="599" spans="1:14" x14ac:dyDescent="0.45">
      <c r="A599" s="4">
        <v>3675</v>
      </c>
      <c r="B599" t="s">
        <v>716</v>
      </c>
      <c r="C599" t="s">
        <v>713</v>
      </c>
      <c r="D599" t="s">
        <v>684</v>
      </c>
      <c r="E599" t="s">
        <v>216</v>
      </c>
      <c r="F599" t="s">
        <v>22</v>
      </c>
      <c r="G599">
        <v>21</v>
      </c>
      <c r="H599">
        <v>2.6987648668974538E-2</v>
      </c>
      <c r="I599" t="s">
        <v>1413</v>
      </c>
      <c r="J599" s="2" t="s">
        <v>2126</v>
      </c>
      <c r="K599">
        <v>1</v>
      </c>
      <c r="L599">
        <v>1</v>
      </c>
      <c r="M599" t="s">
        <v>18</v>
      </c>
      <c r="N599" t="str">
        <f t="shared" si="9"/>
        <v>ELECTRONIC CAPACITORS (3675)</v>
      </c>
    </row>
    <row r="600" spans="1:14" x14ac:dyDescent="0.45">
      <c r="A600" s="4">
        <v>3676</v>
      </c>
      <c r="B600" t="s">
        <v>717</v>
      </c>
      <c r="C600" t="s">
        <v>713</v>
      </c>
      <c r="D600" t="s">
        <v>684</v>
      </c>
      <c r="E600" t="s">
        <v>216</v>
      </c>
      <c r="F600" t="s">
        <v>22</v>
      </c>
      <c r="G600">
        <v>21</v>
      </c>
      <c r="H600">
        <v>2.6987648668974538E-2</v>
      </c>
      <c r="I600" t="s">
        <v>1413</v>
      </c>
      <c r="J600" s="2" t="s">
        <v>2126</v>
      </c>
      <c r="K600">
        <v>1</v>
      </c>
      <c r="L600">
        <v>1</v>
      </c>
      <c r="M600" t="s">
        <v>18</v>
      </c>
      <c r="N600" t="str">
        <f t="shared" si="9"/>
        <v>ELECTRONIC RESISTORS (3676)</v>
      </c>
    </row>
    <row r="601" spans="1:14" x14ac:dyDescent="0.45">
      <c r="A601" s="4">
        <v>3677</v>
      </c>
      <c r="B601" t="s">
        <v>718</v>
      </c>
      <c r="C601" t="s">
        <v>713</v>
      </c>
      <c r="D601" t="s">
        <v>684</v>
      </c>
      <c r="E601" t="s">
        <v>216</v>
      </c>
      <c r="F601" t="s">
        <v>22</v>
      </c>
      <c r="G601">
        <v>21</v>
      </c>
      <c r="H601">
        <v>2.6987648668974538E-2</v>
      </c>
      <c r="I601" t="s">
        <v>1413</v>
      </c>
      <c r="J601" s="2" t="s">
        <v>2126</v>
      </c>
      <c r="K601">
        <v>1</v>
      </c>
      <c r="L601">
        <v>1</v>
      </c>
      <c r="M601" t="s">
        <v>18</v>
      </c>
      <c r="N601" t="str">
        <f t="shared" si="9"/>
        <v>ELECTRONIC COILS AND TRANSFORMERS (3677)</v>
      </c>
    </row>
    <row r="602" spans="1:14" x14ac:dyDescent="0.45">
      <c r="A602" s="4">
        <v>3678</v>
      </c>
      <c r="B602" t="s">
        <v>719</v>
      </c>
      <c r="C602" t="s">
        <v>713</v>
      </c>
      <c r="D602" t="s">
        <v>684</v>
      </c>
      <c r="E602" t="s">
        <v>216</v>
      </c>
      <c r="F602" t="s">
        <v>22</v>
      </c>
      <c r="G602">
        <v>21</v>
      </c>
      <c r="H602">
        <v>2.6987648668974538E-2</v>
      </c>
      <c r="I602" t="s">
        <v>1413</v>
      </c>
      <c r="J602" s="2" t="s">
        <v>2126</v>
      </c>
      <c r="K602">
        <v>1</v>
      </c>
      <c r="L602">
        <v>1</v>
      </c>
      <c r="M602" t="s">
        <v>18</v>
      </c>
      <c r="N602" t="str">
        <f t="shared" si="9"/>
        <v>ELECTRONIC CONNECTORS (3678)</v>
      </c>
    </row>
    <row r="603" spans="1:14" x14ac:dyDescent="0.45">
      <c r="A603" s="4">
        <v>3679</v>
      </c>
      <c r="B603" t="s">
        <v>720</v>
      </c>
      <c r="C603" t="s">
        <v>713</v>
      </c>
      <c r="D603" t="s">
        <v>684</v>
      </c>
      <c r="E603" t="s">
        <v>216</v>
      </c>
      <c r="F603" t="s">
        <v>22</v>
      </c>
      <c r="G603">
        <v>21</v>
      </c>
      <c r="H603">
        <v>2.6987648668974538E-2</v>
      </c>
      <c r="I603" t="s">
        <v>1413</v>
      </c>
      <c r="J603" s="2" t="s">
        <v>2126</v>
      </c>
      <c r="K603">
        <v>1</v>
      </c>
      <c r="L603">
        <v>1</v>
      </c>
      <c r="M603" t="s">
        <v>18</v>
      </c>
      <c r="N603" t="str">
        <f t="shared" si="9"/>
        <v>ELECTRONIC COMPONENTS, NEC (3679)</v>
      </c>
    </row>
    <row r="604" spans="1:14" x14ac:dyDescent="0.45">
      <c r="A604" s="4">
        <v>3690</v>
      </c>
      <c r="B604" t="s">
        <v>721</v>
      </c>
      <c r="C604" t="s">
        <v>721</v>
      </c>
      <c r="D604" t="s">
        <v>684</v>
      </c>
      <c r="E604" t="s">
        <v>216</v>
      </c>
      <c r="F604" t="s">
        <v>22</v>
      </c>
      <c r="G604">
        <v>21</v>
      </c>
      <c r="H604">
        <v>2.6987648668974538E-2</v>
      </c>
      <c r="I604" t="s">
        <v>1413</v>
      </c>
      <c r="J604" s="2" t="s">
        <v>2126</v>
      </c>
      <c r="K604">
        <v>1</v>
      </c>
      <c r="L604">
        <v>1</v>
      </c>
      <c r="M604" t="s">
        <v>18</v>
      </c>
      <c r="N604" t="str">
        <f t="shared" si="9"/>
        <v>MISC. ELECTRICAL EQUIPMENT &amp; SUPPLIES (3690)</v>
      </c>
    </row>
    <row r="605" spans="1:14" x14ac:dyDescent="0.45">
      <c r="A605" s="4">
        <v>3691</v>
      </c>
      <c r="B605" t="s">
        <v>722</v>
      </c>
      <c r="C605" t="s">
        <v>721</v>
      </c>
      <c r="D605" t="s">
        <v>684</v>
      </c>
      <c r="E605" t="s">
        <v>216</v>
      </c>
      <c r="F605" t="s">
        <v>22</v>
      </c>
      <c r="G605">
        <v>21</v>
      </c>
      <c r="H605">
        <v>2.6987648668974538E-2</v>
      </c>
      <c r="I605" t="s">
        <v>1413</v>
      </c>
      <c r="J605" s="2" t="s">
        <v>2126</v>
      </c>
      <c r="K605">
        <v>1</v>
      </c>
      <c r="L605">
        <v>1</v>
      </c>
      <c r="M605" t="s">
        <v>18</v>
      </c>
      <c r="N605" t="str">
        <f t="shared" si="9"/>
        <v>STORAGE BATTERIES (3691)</v>
      </c>
    </row>
    <row r="606" spans="1:14" x14ac:dyDescent="0.45">
      <c r="A606" s="4">
        <v>3692</v>
      </c>
      <c r="B606" t="s">
        <v>723</v>
      </c>
      <c r="C606" t="s">
        <v>721</v>
      </c>
      <c r="D606" t="s">
        <v>684</v>
      </c>
      <c r="E606" t="s">
        <v>216</v>
      </c>
      <c r="F606" t="s">
        <v>22</v>
      </c>
      <c r="G606">
        <v>21</v>
      </c>
      <c r="H606">
        <v>2.6987648668974538E-2</v>
      </c>
      <c r="I606" t="s">
        <v>1413</v>
      </c>
      <c r="J606" s="2" t="s">
        <v>2126</v>
      </c>
      <c r="K606">
        <v>1</v>
      </c>
      <c r="L606">
        <v>1</v>
      </c>
      <c r="M606" t="s">
        <v>18</v>
      </c>
      <c r="N606" t="str">
        <f t="shared" si="9"/>
        <v>PRIMARY BATTERIES, DRY AND WET (3692)</v>
      </c>
    </row>
    <row r="607" spans="1:14" x14ac:dyDescent="0.45">
      <c r="A607" s="4">
        <v>3694</v>
      </c>
      <c r="B607" t="s">
        <v>724</v>
      </c>
      <c r="C607" t="s">
        <v>721</v>
      </c>
      <c r="D607" t="s">
        <v>684</v>
      </c>
      <c r="E607" t="s">
        <v>216</v>
      </c>
      <c r="F607" t="s">
        <v>22</v>
      </c>
      <c r="G607">
        <v>21</v>
      </c>
      <c r="H607">
        <v>2.6987648668974538E-2</v>
      </c>
      <c r="I607" t="s">
        <v>1413</v>
      </c>
      <c r="J607" s="2" t="s">
        <v>2126</v>
      </c>
      <c r="K607">
        <v>1</v>
      </c>
      <c r="L607">
        <v>1</v>
      </c>
      <c r="M607" t="s">
        <v>18</v>
      </c>
      <c r="N607" t="str">
        <f t="shared" si="9"/>
        <v>ENGINE ELECTRICAL EQUIPMENT (3694)</v>
      </c>
    </row>
    <row r="608" spans="1:14" x14ac:dyDescent="0.45">
      <c r="A608" s="4">
        <v>3695</v>
      </c>
      <c r="B608" t="s">
        <v>725</v>
      </c>
      <c r="C608" t="s">
        <v>721</v>
      </c>
      <c r="D608" t="s">
        <v>684</v>
      </c>
      <c r="E608" t="s">
        <v>216</v>
      </c>
      <c r="F608" t="s">
        <v>22</v>
      </c>
      <c r="G608">
        <v>21</v>
      </c>
      <c r="H608">
        <v>2.6987648668974538E-2</v>
      </c>
      <c r="I608" t="s">
        <v>1413</v>
      </c>
      <c r="J608" s="2" t="s">
        <v>2126</v>
      </c>
      <c r="K608">
        <v>1</v>
      </c>
      <c r="L608">
        <v>1</v>
      </c>
      <c r="M608" t="s">
        <v>18</v>
      </c>
      <c r="N608" t="str">
        <f t="shared" si="9"/>
        <v>MAGNETIC AND OPTICAL RECORDING MEDIA (3695)</v>
      </c>
    </row>
    <row r="609" spans="1:14" x14ac:dyDescent="0.45">
      <c r="A609" s="4">
        <v>3699</v>
      </c>
      <c r="B609" t="s">
        <v>726</v>
      </c>
      <c r="C609" t="s">
        <v>721</v>
      </c>
      <c r="D609" t="s">
        <v>684</v>
      </c>
      <c r="E609" t="s">
        <v>216</v>
      </c>
      <c r="F609" t="s">
        <v>22</v>
      </c>
      <c r="G609">
        <v>21</v>
      </c>
      <c r="H609">
        <v>2.6987648668974538E-2</v>
      </c>
      <c r="I609" t="s">
        <v>1413</v>
      </c>
      <c r="J609" s="2" t="s">
        <v>2126</v>
      </c>
      <c r="K609">
        <v>1</v>
      </c>
      <c r="L609">
        <v>1</v>
      </c>
      <c r="M609" t="s">
        <v>18</v>
      </c>
      <c r="N609" t="str">
        <f t="shared" si="9"/>
        <v>ELECTRICAL EQUIPMENT AND SUPPLIES, NEC (3699)</v>
      </c>
    </row>
    <row r="610" spans="1:14" x14ac:dyDescent="0.45">
      <c r="A610" s="4">
        <v>3711</v>
      </c>
      <c r="B610" t="s">
        <v>727</v>
      </c>
      <c r="C610" t="s">
        <v>728</v>
      </c>
      <c r="D610" t="s">
        <v>729</v>
      </c>
      <c r="E610" t="s">
        <v>216</v>
      </c>
      <c r="F610" t="s">
        <v>22</v>
      </c>
      <c r="G610">
        <v>21</v>
      </c>
      <c r="H610">
        <v>2.6987648668974538E-2</v>
      </c>
      <c r="I610" t="s">
        <v>1413</v>
      </c>
      <c r="J610" s="2" t="s">
        <v>2126</v>
      </c>
      <c r="K610">
        <v>1</v>
      </c>
      <c r="L610">
        <v>1</v>
      </c>
      <c r="M610" t="s">
        <v>18</v>
      </c>
      <c r="N610" t="str">
        <f t="shared" si="9"/>
        <v>MOTOR VEHICLES AND CAR BODIES (3711)</v>
      </c>
    </row>
    <row r="611" spans="1:14" x14ac:dyDescent="0.45">
      <c r="A611" s="4">
        <v>3713</v>
      </c>
      <c r="B611" t="s">
        <v>730</v>
      </c>
      <c r="C611" t="s">
        <v>728</v>
      </c>
      <c r="D611" t="s">
        <v>729</v>
      </c>
      <c r="E611" t="s">
        <v>216</v>
      </c>
      <c r="F611" t="s">
        <v>22</v>
      </c>
      <c r="G611">
        <v>21</v>
      </c>
      <c r="H611">
        <v>2.6987648668974538E-2</v>
      </c>
      <c r="I611" t="s">
        <v>1413</v>
      </c>
      <c r="J611" s="2" t="s">
        <v>2126</v>
      </c>
      <c r="K611">
        <v>1</v>
      </c>
      <c r="L611">
        <v>1</v>
      </c>
      <c r="M611" t="s">
        <v>18</v>
      </c>
      <c r="N611" t="str">
        <f t="shared" si="9"/>
        <v>TRUCK AND BUS BODIES (3713)</v>
      </c>
    </row>
    <row r="612" spans="1:14" x14ac:dyDescent="0.45">
      <c r="A612" s="4">
        <v>3714</v>
      </c>
      <c r="B612" t="s">
        <v>731</v>
      </c>
      <c r="C612" t="s">
        <v>728</v>
      </c>
      <c r="D612" t="s">
        <v>729</v>
      </c>
      <c r="E612" t="s">
        <v>216</v>
      </c>
      <c r="F612" t="s">
        <v>22</v>
      </c>
      <c r="G612">
        <v>21</v>
      </c>
      <c r="H612">
        <v>2.6987648668974538E-2</v>
      </c>
      <c r="I612" t="s">
        <v>1413</v>
      </c>
      <c r="J612" s="2" t="s">
        <v>2126</v>
      </c>
      <c r="K612">
        <v>1</v>
      </c>
      <c r="L612">
        <v>1</v>
      </c>
      <c r="M612" t="s">
        <v>18</v>
      </c>
      <c r="N612" t="str">
        <f t="shared" si="9"/>
        <v>MOTOR VEHICLE PARTS AND ACCESSORIES (3714)</v>
      </c>
    </row>
    <row r="613" spans="1:14" x14ac:dyDescent="0.45">
      <c r="A613" s="4">
        <v>3715</v>
      </c>
      <c r="B613" t="s">
        <v>732</v>
      </c>
      <c r="C613" t="s">
        <v>728</v>
      </c>
      <c r="D613" t="s">
        <v>729</v>
      </c>
      <c r="E613" t="s">
        <v>216</v>
      </c>
      <c r="F613" t="s">
        <v>22</v>
      </c>
      <c r="G613">
        <v>21</v>
      </c>
      <c r="H613">
        <v>2.6987648668974538E-2</v>
      </c>
      <c r="I613" t="s">
        <v>1413</v>
      </c>
      <c r="J613" s="2" t="s">
        <v>2126</v>
      </c>
      <c r="K613">
        <v>1</v>
      </c>
      <c r="L613">
        <v>1</v>
      </c>
      <c r="M613" t="s">
        <v>18</v>
      </c>
      <c r="N613" t="str">
        <f t="shared" si="9"/>
        <v>TRUCK TRAILERS (3715)</v>
      </c>
    </row>
    <row r="614" spans="1:14" x14ac:dyDescent="0.45">
      <c r="A614" s="4">
        <v>3716</v>
      </c>
      <c r="B614" t="s">
        <v>733</v>
      </c>
      <c r="C614" t="s">
        <v>728</v>
      </c>
      <c r="D614" t="s">
        <v>729</v>
      </c>
      <c r="E614" t="s">
        <v>216</v>
      </c>
      <c r="F614" t="s">
        <v>22</v>
      </c>
      <c r="G614">
        <v>21</v>
      </c>
      <c r="H614">
        <v>2.6987648668974538E-2</v>
      </c>
      <c r="I614" t="s">
        <v>1413</v>
      </c>
      <c r="J614" s="2" t="s">
        <v>2126</v>
      </c>
      <c r="K614">
        <v>1</v>
      </c>
      <c r="L614">
        <v>1</v>
      </c>
      <c r="M614" t="s">
        <v>18</v>
      </c>
      <c r="N614" t="str">
        <f t="shared" si="9"/>
        <v>MOTOR HOMES (3716)</v>
      </c>
    </row>
    <row r="615" spans="1:14" x14ac:dyDescent="0.45">
      <c r="A615" s="4">
        <v>3720</v>
      </c>
      <c r="B615" t="s">
        <v>734</v>
      </c>
      <c r="C615" t="s">
        <v>734</v>
      </c>
      <c r="D615" t="s">
        <v>729</v>
      </c>
      <c r="E615" t="s">
        <v>216</v>
      </c>
      <c r="F615" t="s">
        <v>22</v>
      </c>
      <c r="G615">
        <v>21</v>
      </c>
      <c r="H615">
        <v>2.6987648668974538E-2</v>
      </c>
      <c r="I615" t="s">
        <v>1413</v>
      </c>
      <c r="J615" s="2" t="s">
        <v>2126</v>
      </c>
      <c r="K615">
        <v>1</v>
      </c>
      <c r="L615">
        <v>1</v>
      </c>
      <c r="M615" t="s">
        <v>18</v>
      </c>
      <c r="N615" t="str">
        <f t="shared" si="9"/>
        <v>AIRCRAFT AND PARTS (3720)</v>
      </c>
    </row>
    <row r="616" spans="1:14" x14ac:dyDescent="0.45">
      <c r="A616" s="4">
        <v>3721</v>
      </c>
      <c r="B616" t="s">
        <v>735</v>
      </c>
      <c r="C616" t="s">
        <v>734</v>
      </c>
      <c r="D616" t="s">
        <v>729</v>
      </c>
      <c r="E616" t="s">
        <v>216</v>
      </c>
      <c r="F616" t="s">
        <v>22</v>
      </c>
      <c r="G616">
        <v>21</v>
      </c>
      <c r="H616">
        <v>2.6987648668974538E-2</v>
      </c>
      <c r="I616" t="s">
        <v>1413</v>
      </c>
      <c r="J616" s="2" t="s">
        <v>2126</v>
      </c>
      <c r="K616">
        <v>1</v>
      </c>
      <c r="L616">
        <v>1</v>
      </c>
      <c r="M616" t="s">
        <v>18</v>
      </c>
      <c r="N616" t="str">
        <f t="shared" si="9"/>
        <v>AIRCRAFT (3721)</v>
      </c>
    </row>
    <row r="617" spans="1:14" x14ac:dyDescent="0.45">
      <c r="A617" s="4">
        <v>3724</v>
      </c>
      <c r="B617" t="s">
        <v>736</v>
      </c>
      <c r="C617" t="s">
        <v>734</v>
      </c>
      <c r="D617" t="s">
        <v>729</v>
      </c>
      <c r="E617" t="s">
        <v>216</v>
      </c>
      <c r="F617" t="s">
        <v>22</v>
      </c>
      <c r="G617">
        <v>21</v>
      </c>
      <c r="H617">
        <v>2.6987648668974538E-2</v>
      </c>
      <c r="I617" t="s">
        <v>1413</v>
      </c>
      <c r="J617" s="2" t="s">
        <v>2126</v>
      </c>
      <c r="K617">
        <v>1</v>
      </c>
      <c r="L617">
        <v>1</v>
      </c>
      <c r="M617" t="s">
        <v>18</v>
      </c>
      <c r="N617" t="str">
        <f t="shared" si="9"/>
        <v>AIRCRAFT ENGINES AND ENGINE PARTS (3724)</v>
      </c>
    </row>
    <row r="618" spans="1:14" x14ac:dyDescent="0.45">
      <c r="A618" s="4">
        <v>3728</v>
      </c>
      <c r="B618" t="s">
        <v>737</v>
      </c>
      <c r="C618" t="s">
        <v>734</v>
      </c>
      <c r="D618" t="s">
        <v>729</v>
      </c>
      <c r="E618" t="s">
        <v>216</v>
      </c>
      <c r="F618" t="s">
        <v>22</v>
      </c>
      <c r="G618">
        <v>21</v>
      </c>
      <c r="H618">
        <v>2.6987648668974538E-2</v>
      </c>
      <c r="I618" t="s">
        <v>1413</v>
      </c>
      <c r="J618" s="2" t="s">
        <v>2126</v>
      </c>
      <c r="K618">
        <v>1</v>
      </c>
      <c r="L618">
        <v>1</v>
      </c>
      <c r="M618" t="s">
        <v>18</v>
      </c>
      <c r="N618" t="str">
        <f t="shared" si="9"/>
        <v>AIRCRAFT PARTS AND EQUIPMENT, NEC (3728)</v>
      </c>
    </row>
    <row r="619" spans="1:14" x14ac:dyDescent="0.45">
      <c r="A619" s="4">
        <v>3730</v>
      </c>
      <c r="B619" t="s">
        <v>738</v>
      </c>
      <c r="C619" t="s">
        <v>738</v>
      </c>
      <c r="D619" t="s">
        <v>729</v>
      </c>
      <c r="E619" t="s">
        <v>216</v>
      </c>
      <c r="F619" t="s">
        <v>22</v>
      </c>
      <c r="G619">
        <v>21</v>
      </c>
      <c r="H619">
        <v>2.6987648668974538E-2</v>
      </c>
      <c r="I619" t="s">
        <v>1413</v>
      </c>
      <c r="J619" s="2" t="s">
        <v>2126</v>
      </c>
      <c r="K619">
        <v>1</v>
      </c>
      <c r="L619">
        <v>1</v>
      </c>
      <c r="M619" t="s">
        <v>18</v>
      </c>
      <c r="N619" t="str">
        <f t="shared" si="9"/>
        <v>SHIP AND BOAT BUILDING AND REPAIRING (3730)</v>
      </c>
    </row>
    <row r="620" spans="1:14" x14ac:dyDescent="0.45">
      <c r="A620" s="4">
        <v>3731</v>
      </c>
      <c r="B620" t="s">
        <v>739</v>
      </c>
      <c r="C620" t="s">
        <v>738</v>
      </c>
      <c r="D620" t="s">
        <v>729</v>
      </c>
      <c r="E620" t="s">
        <v>216</v>
      </c>
      <c r="F620" t="s">
        <v>22</v>
      </c>
      <c r="G620">
        <v>21</v>
      </c>
      <c r="H620">
        <v>2.6987648668974538E-2</v>
      </c>
      <c r="I620" t="s">
        <v>1413</v>
      </c>
      <c r="J620" s="2" t="s">
        <v>2126</v>
      </c>
      <c r="K620">
        <v>1</v>
      </c>
      <c r="L620">
        <v>1</v>
      </c>
      <c r="M620" t="s">
        <v>18</v>
      </c>
      <c r="N620" t="str">
        <f t="shared" si="9"/>
        <v>SHIPBUILDING AND REPAIRING (3731)</v>
      </c>
    </row>
    <row r="621" spans="1:14" x14ac:dyDescent="0.45">
      <c r="A621" s="4">
        <v>3732</v>
      </c>
      <c r="B621" t="s">
        <v>740</v>
      </c>
      <c r="C621" t="s">
        <v>738</v>
      </c>
      <c r="D621" t="s">
        <v>729</v>
      </c>
      <c r="E621" t="s">
        <v>216</v>
      </c>
      <c r="F621" t="s">
        <v>22</v>
      </c>
      <c r="G621">
        <v>21</v>
      </c>
      <c r="H621">
        <v>2.6987648668974538E-2</v>
      </c>
      <c r="I621" t="s">
        <v>1413</v>
      </c>
      <c r="J621" s="2" t="s">
        <v>2126</v>
      </c>
      <c r="K621">
        <v>1</v>
      </c>
      <c r="L621">
        <v>1</v>
      </c>
      <c r="M621" t="s">
        <v>18</v>
      </c>
      <c r="N621" t="str">
        <f t="shared" si="9"/>
        <v>BOATBUILDING AND REPAIRING (3732)</v>
      </c>
    </row>
    <row r="622" spans="1:14" x14ac:dyDescent="0.45">
      <c r="A622" s="4">
        <v>3743</v>
      </c>
      <c r="B622" t="s">
        <v>741</v>
      </c>
      <c r="C622" t="s">
        <v>741</v>
      </c>
      <c r="D622" t="s">
        <v>729</v>
      </c>
      <c r="E622" t="s">
        <v>216</v>
      </c>
      <c r="F622" t="s">
        <v>22</v>
      </c>
      <c r="G622">
        <v>21</v>
      </c>
      <c r="H622">
        <v>2.6987648668974538E-2</v>
      </c>
      <c r="I622" t="s">
        <v>1413</v>
      </c>
      <c r="J622" s="2" t="s">
        <v>2126</v>
      </c>
      <c r="K622">
        <v>1</v>
      </c>
      <c r="L622">
        <v>1</v>
      </c>
      <c r="M622" t="s">
        <v>18</v>
      </c>
      <c r="N622" t="str">
        <f t="shared" si="9"/>
        <v>RAILROAD EQUIPMENT (3743)</v>
      </c>
    </row>
    <row r="623" spans="1:14" x14ac:dyDescent="0.45">
      <c r="A623" s="4">
        <v>3751</v>
      </c>
      <c r="B623" t="s">
        <v>742</v>
      </c>
      <c r="C623" t="s">
        <v>742</v>
      </c>
      <c r="D623" t="s">
        <v>729</v>
      </c>
      <c r="E623" t="s">
        <v>216</v>
      </c>
      <c r="F623" t="s">
        <v>22</v>
      </c>
      <c r="G623">
        <v>21</v>
      </c>
      <c r="H623">
        <v>2.6987648668974538E-2</v>
      </c>
      <c r="I623" t="s">
        <v>1413</v>
      </c>
      <c r="J623" s="2" t="s">
        <v>2126</v>
      </c>
      <c r="K623">
        <v>1</v>
      </c>
      <c r="L623">
        <v>1</v>
      </c>
      <c r="M623" t="s">
        <v>18</v>
      </c>
      <c r="N623" t="str">
        <f t="shared" si="9"/>
        <v>MOTORCYCLES, BICYCLES, AND PARTS (3751)</v>
      </c>
    </row>
    <row r="624" spans="1:14" x14ac:dyDescent="0.45">
      <c r="A624" s="4">
        <v>3760</v>
      </c>
      <c r="B624" t="s">
        <v>743</v>
      </c>
      <c r="C624" t="s">
        <v>743</v>
      </c>
      <c r="D624" t="s">
        <v>729</v>
      </c>
      <c r="E624" t="s">
        <v>216</v>
      </c>
      <c r="F624" t="s">
        <v>22</v>
      </c>
      <c r="G624">
        <v>21</v>
      </c>
      <c r="H624">
        <v>2.6987648668974538E-2</v>
      </c>
      <c r="I624" t="s">
        <v>1413</v>
      </c>
      <c r="J624" s="2" t="s">
        <v>2126</v>
      </c>
      <c r="K624">
        <v>1</v>
      </c>
      <c r="L624">
        <v>1</v>
      </c>
      <c r="M624" t="s">
        <v>18</v>
      </c>
      <c r="N624" t="str">
        <f t="shared" si="9"/>
        <v>GUIDED MISSILES, SPACE VEHICLES, PARTS (3760)</v>
      </c>
    </row>
    <row r="625" spans="1:14" x14ac:dyDescent="0.45">
      <c r="A625" s="4">
        <v>3761</v>
      </c>
      <c r="B625" t="s">
        <v>744</v>
      </c>
      <c r="C625" t="s">
        <v>743</v>
      </c>
      <c r="D625" t="s">
        <v>729</v>
      </c>
      <c r="E625" t="s">
        <v>216</v>
      </c>
      <c r="F625" t="s">
        <v>22</v>
      </c>
      <c r="G625">
        <v>21</v>
      </c>
      <c r="H625">
        <v>2.6987648668974538E-2</v>
      </c>
      <c r="I625" t="s">
        <v>1413</v>
      </c>
      <c r="J625" s="2" t="s">
        <v>2126</v>
      </c>
      <c r="K625">
        <v>1</v>
      </c>
      <c r="L625">
        <v>1</v>
      </c>
      <c r="M625" t="s">
        <v>18</v>
      </c>
      <c r="N625" t="str">
        <f t="shared" si="9"/>
        <v>GUIDED MISSILES AND SPACE VEHICLES (3761)</v>
      </c>
    </row>
    <row r="626" spans="1:14" x14ac:dyDescent="0.45">
      <c r="A626" s="4">
        <v>3764</v>
      </c>
      <c r="B626" t="s">
        <v>745</v>
      </c>
      <c r="C626" t="s">
        <v>743</v>
      </c>
      <c r="D626" t="s">
        <v>729</v>
      </c>
      <c r="E626" t="s">
        <v>216</v>
      </c>
      <c r="F626" t="s">
        <v>22</v>
      </c>
      <c r="G626">
        <v>21</v>
      </c>
      <c r="H626">
        <v>2.6987648668974538E-2</v>
      </c>
      <c r="I626" t="s">
        <v>1413</v>
      </c>
      <c r="J626" s="2" t="s">
        <v>2126</v>
      </c>
      <c r="K626">
        <v>1</v>
      </c>
      <c r="L626">
        <v>1</v>
      </c>
      <c r="M626" t="s">
        <v>18</v>
      </c>
      <c r="N626" t="str">
        <f t="shared" si="9"/>
        <v>SPACE PROPULSION UNITS AND PARTS (3764)</v>
      </c>
    </row>
    <row r="627" spans="1:14" x14ac:dyDescent="0.45">
      <c r="A627" s="4">
        <v>3769</v>
      </c>
      <c r="B627" t="s">
        <v>746</v>
      </c>
      <c r="C627" t="s">
        <v>743</v>
      </c>
      <c r="D627" t="s">
        <v>729</v>
      </c>
      <c r="E627" t="s">
        <v>216</v>
      </c>
      <c r="F627" t="s">
        <v>22</v>
      </c>
      <c r="G627">
        <v>21</v>
      </c>
      <c r="H627">
        <v>2.6987648668974538E-2</v>
      </c>
      <c r="I627" t="s">
        <v>1413</v>
      </c>
      <c r="J627" s="2" t="s">
        <v>2126</v>
      </c>
      <c r="K627">
        <v>1</v>
      </c>
      <c r="L627">
        <v>1</v>
      </c>
      <c r="M627" t="s">
        <v>18</v>
      </c>
      <c r="N627" t="str">
        <f t="shared" si="9"/>
        <v>SPACE VEHICLE EQUIPMENT, NEC (3769)</v>
      </c>
    </row>
    <row r="628" spans="1:14" x14ac:dyDescent="0.45">
      <c r="A628" s="4">
        <v>3790</v>
      </c>
      <c r="B628" t="s">
        <v>747</v>
      </c>
      <c r="C628" t="s">
        <v>747</v>
      </c>
      <c r="D628" t="s">
        <v>729</v>
      </c>
      <c r="E628" t="s">
        <v>216</v>
      </c>
      <c r="F628" t="s">
        <v>22</v>
      </c>
      <c r="G628">
        <v>21</v>
      </c>
      <c r="H628">
        <v>2.6987648668974538E-2</v>
      </c>
      <c r="I628" t="s">
        <v>1413</v>
      </c>
      <c r="J628" s="2" t="s">
        <v>2126</v>
      </c>
      <c r="K628">
        <v>1</v>
      </c>
      <c r="L628">
        <v>1</v>
      </c>
      <c r="M628" t="s">
        <v>18</v>
      </c>
      <c r="N628" t="str">
        <f t="shared" si="9"/>
        <v>MISCELLANEOUS TRANSPORTATION EQUIPMENT (3790)</v>
      </c>
    </row>
    <row r="629" spans="1:14" x14ac:dyDescent="0.45">
      <c r="A629" s="4">
        <v>3792</v>
      </c>
      <c r="B629" t="s">
        <v>748</v>
      </c>
      <c r="C629" t="s">
        <v>747</v>
      </c>
      <c r="D629" t="s">
        <v>729</v>
      </c>
      <c r="E629" t="s">
        <v>216</v>
      </c>
      <c r="F629" t="s">
        <v>22</v>
      </c>
      <c r="G629">
        <v>21</v>
      </c>
      <c r="H629">
        <v>2.6987648668974538E-2</v>
      </c>
      <c r="I629" t="s">
        <v>1413</v>
      </c>
      <c r="J629" s="2" t="s">
        <v>2126</v>
      </c>
      <c r="K629">
        <v>1</v>
      </c>
      <c r="L629">
        <v>1</v>
      </c>
      <c r="M629" t="s">
        <v>18</v>
      </c>
      <c r="N629" t="str">
        <f t="shared" si="9"/>
        <v>TRAVEL TRAILERS AND CAMPERS (3792)</v>
      </c>
    </row>
    <row r="630" spans="1:14" x14ac:dyDescent="0.45">
      <c r="A630" s="4">
        <v>3795</v>
      </c>
      <c r="B630" t="s">
        <v>749</v>
      </c>
      <c r="C630" t="s">
        <v>747</v>
      </c>
      <c r="D630" t="s">
        <v>729</v>
      </c>
      <c r="E630" t="s">
        <v>216</v>
      </c>
      <c r="F630" t="s">
        <v>22</v>
      </c>
      <c r="G630">
        <v>21</v>
      </c>
      <c r="H630">
        <v>2.6987648668974538E-2</v>
      </c>
      <c r="I630" t="s">
        <v>1413</v>
      </c>
      <c r="J630" s="2" t="s">
        <v>2126</v>
      </c>
      <c r="K630">
        <v>1</v>
      </c>
      <c r="L630">
        <v>1</v>
      </c>
      <c r="M630" t="s">
        <v>18</v>
      </c>
      <c r="N630" t="str">
        <f t="shared" si="9"/>
        <v>TANKS AND TANK COMPONENTS (3795)</v>
      </c>
    </row>
    <row r="631" spans="1:14" x14ac:dyDescent="0.45">
      <c r="A631" s="4">
        <v>3799</v>
      </c>
      <c r="B631" t="s">
        <v>750</v>
      </c>
      <c r="C631" t="s">
        <v>747</v>
      </c>
      <c r="D631" t="s">
        <v>729</v>
      </c>
      <c r="E631" t="s">
        <v>216</v>
      </c>
      <c r="F631" t="s">
        <v>22</v>
      </c>
      <c r="G631">
        <v>21</v>
      </c>
      <c r="H631">
        <v>2.6987648668974538E-2</v>
      </c>
      <c r="I631" t="s">
        <v>1413</v>
      </c>
      <c r="J631" s="2" t="s">
        <v>2126</v>
      </c>
      <c r="K631">
        <v>1</v>
      </c>
      <c r="L631">
        <v>1</v>
      </c>
      <c r="M631" t="s">
        <v>18</v>
      </c>
      <c r="N631" t="str">
        <f t="shared" si="9"/>
        <v>TRANSPORTATION EQUIPMENT, NEC (3799)</v>
      </c>
    </row>
    <row r="632" spans="1:14" x14ac:dyDescent="0.45">
      <c r="A632" s="4">
        <v>3812</v>
      </c>
      <c r="B632" t="s">
        <v>751</v>
      </c>
      <c r="C632" t="s">
        <v>751</v>
      </c>
      <c r="D632" t="s">
        <v>752</v>
      </c>
      <c r="E632" t="s">
        <v>216</v>
      </c>
      <c r="F632" t="s">
        <v>22</v>
      </c>
      <c r="G632">
        <v>21</v>
      </c>
      <c r="H632">
        <v>2.6987648668974538E-2</v>
      </c>
      <c r="I632" t="s">
        <v>1413</v>
      </c>
      <c r="J632" s="2" t="s">
        <v>2126</v>
      </c>
      <c r="K632">
        <v>1</v>
      </c>
      <c r="L632">
        <v>1</v>
      </c>
      <c r="M632" t="s">
        <v>18</v>
      </c>
      <c r="N632" t="str">
        <f t="shared" si="9"/>
        <v>SEARCH AND NAVIGATION EQUIPMENT (3812)</v>
      </c>
    </row>
    <row r="633" spans="1:14" x14ac:dyDescent="0.45">
      <c r="A633" s="4">
        <v>3821</v>
      </c>
      <c r="B633" t="s">
        <v>753</v>
      </c>
      <c r="C633" t="s">
        <v>754</v>
      </c>
      <c r="D633" t="s">
        <v>752</v>
      </c>
      <c r="E633" t="s">
        <v>216</v>
      </c>
      <c r="F633" t="s">
        <v>22</v>
      </c>
      <c r="G633">
        <v>21</v>
      </c>
      <c r="H633">
        <v>2.6987648668974538E-2</v>
      </c>
      <c r="I633" t="s">
        <v>1413</v>
      </c>
      <c r="J633" s="2" t="s">
        <v>2126</v>
      </c>
      <c r="K633">
        <v>1</v>
      </c>
      <c r="L633">
        <v>1</v>
      </c>
      <c r="M633" t="s">
        <v>18</v>
      </c>
      <c r="N633" t="str">
        <f t="shared" si="9"/>
        <v>LABORATORY APPARATUS AND FURNITURE (3821)</v>
      </c>
    </row>
    <row r="634" spans="1:14" x14ac:dyDescent="0.45">
      <c r="A634" s="4">
        <v>3822</v>
      </c>
      <c r="B634" t="s">
        <v>755</v>
      </c>
      <c r="C634" t="s">
        <v>754</v>
      </c>
      <c r="D634" t="s">
        <v>752</v>
      </c>
      <c r="E634" t="s">
        <v>216</v>
      </c>
      <c r="F634" t="s">
        <v>22</v>
      </c>
      <c r="G634">
        <v>21</v>
      </c>
      <c r="H634">
        <v>2.6987648668974538E-2</v>
      </c>
      <c r="I634" t="s">
        <v>1413</v>
      </c>
      <c r="J634" s="2" t="s">
        <v>2126</v>
      </c>
      <c r="K634">
        <v>1</v>
      </c>
      <c r="L634">
        <v>1</v>
      </c>
      <c r="M634" t="s">
        <v>18</v>
      </c>
      <c r="N634" t="str">
        <f t="shared" si="9"/>
        <v>ENVIRONMENTAL CONTROLS (3822)</v>
      </c>
    </row>
    <row r="635" spans="1:14" x14ac:dyDescent="0.45">
      <c r="A635" s="4">
        <v>3823</v>
      </c>
      <c r="B635" t="s">
        <v>756</v>
      </c>
      <c r="C635" t="s">
        <v>754</v>
      </c>
      <c r="D635" t="s">
        <v>752</v>
      </c>
      <c r="E635" t="s">
        <v>216</v>
      </c>
      <c r="F635" t="s">
        <v>22</v>
      </c>
      <c r="G635">
        <v>21</v>
      </c>
      <c r="H635">
        <v>2.6987648668974538E-2</v>
      </c>
      <c r="I635" t="s">
        <v>1413</v>
      </c>
      <c r="J635" s="2" t="s">
        <v>2126</v>
      </c>
      <c r="K635">
        <v>1</v>
      </c>
      <c r="L635">
        <v>1</v>
      </c>
      <c r="M635" t="s">
        <v>18</v>
      </c>
      <c r="N635" t="str">
        <f t="shared" si="9"/>
        <v>PROCESS CONTROL INSTRUMENTS (3823)</v>
      </c>
    </row>
    <row r="636" spans="1:14" x14ac:dyDescent="0.45">
      <c r="A636" s="4">
        <v>3824</v>
      </c>
      <c r="B636" t="s">
        <v>757</v>
      </c>
      <c r="C636" t="s">
        <v>754</v>
      </c>
      <c r="D636" t="s">
        <v>752</v>
      </c>
      <c r="E636" t="s">
        <v>216</v>
      </c>
      <c r="F636" t="s">
        <v>22</v>
      </c>
      <c r="G636">
        <v>21</v>
      </c>
      <c r="H636">
        <v>2.6987648668974538E-2</v>
      </c>
      <c r="I636" t="s">
        <v>1413</v>
      </c>
      <c r="J636" s="2" t="s">
        <v>2126</v>
      </c>
      <c r="K636">
        <v>1</v>
      </c>
      <c r="L636">
        <v>1</v>
      </c>
      <c r="M636" t="s">
        <v>18</v>
      </c>
      <c r="N636" t="str">
        <f t="shared" si="9"/>
        <v>FLUID METERS AND COUNTING DEVICES (3824)</v>
      </c>
    </row>
    <row r="637" spans="1:14" x14ac:dyDescent="0.45">
      <c r="A637" s="4">
        <v>3825</v>
      </c>
      <c r="B637" t="s">
        <v>758</v>
      </c>
      <c r="C637" t="s">
        <v>754</v>
      </c>
      <c r="D637" t="s">
        <v>752</v>
      </c>
      <c r="E637" t="s">
        <v>216</v>
      </c>
      <c r="F637" t="s">
        <v>22</v>
      </c>
      <c r="G637">
        <v>21</v>
      </c>
      <c r="H637">
        <v>2.6987648668974538E-2</v>
      </c>
      <c r="I637" t="s">
        <v>1413</v>
      </c>
      <c r="J637" s="2" t="s">
        <v>2126</v>
      </c>
      <c r="K637">
        <v>1</v>
      </c>
      <c r="L637">
        <v>1</v>
      </c>
      <c r="M637" t="s">
        <v>18</v>
      </c>
      <c r="N637" t="str">
        <f t="shared" si="9"/>
        <v>INSTRUMENTS TO MEASURE ELECTRICITY (3825)</v>
      </c>
    </row>
    <row r="638" spans="1:14" x14ac:dyDescent="0.45">
      <c r="A638" s="4">
        <v>3826</v>
      </c>
      <c r="B638" t="s">
        <v>759</v>
      </c>
      <c r="C638" t="s">
        <v>754</v>
      </c>
      <c r="D638" t="s">
        <v>752</v>
      </c>
      <c r="E638" t="s">
        <v>216</v>
      </c>
      <c r="F638" t="s">
        <v>22</v>
      </c>
      <c r="G638">
        <v>21</v>
      </c>
      <c r="H638">
        <v>2.6987648668974538E-2</v>
      </c>
      <c r="I638" t="s">
        <v>1413</v>
      </c>
      <c r="J638" s="2" t="s">
        <v>2126</v>
      </c>
      <c r="K638">
        <v>1</v>
      </c>
      <c r="L638">
        <v>1</v>
      </c>
      <c r="M638" t="s">
        <v>18</v>
      </c>
      <c r="N638" t="str">
        <f t="shared" si="9"/>
        <v>ANALYTICAL INSTRUMENTS (3826)</v>
      </c>
    </row>
    <row r="639" spans="1:14" x14ac:dyDescent="0.45">
      <c r="A639" s="4">
        <v>3827</v>
      </c>
      <c r="B639" t="s">
        <v>760</v>
      </c>
      <c r="C639" t="s">
        <v>754</v>
      </c>
      <c r="D639" t="s">
        <v>752</v>
      </c>
      <c r="E639" t="s">
        <v>216</v>
      </c>
      <c r="F639" t="s">
        <v>22</v>
      </c>
      <c r="G639">
        <v>21</v>
      </c>
      <c r="H639">
        <v>2.6987648668974538E-2</v>
      </c>
      <c r="I639" t="s">
        <v>1413</v>
      </c>
      <c r="J639" s="2" t="s">
        <v>2126</v>
      </c>
      <c r="K639">
        <v>1</v>
      </c>
      <c r="L639">
        <v>1</v>
      </c>
      <c r="M639" t="s">
        <v>18</v>
      </c>
      <c r="N639" t="str">
        <f t="shared" si="9"/>
        <v>OPTICAL INSTRUMENTS AND LENSES (3827)</v>
      </c>
    </row>
    <row r="640" spans="1:14" x14ac:dyDescent="0.45">
      <c r="A640" s="4">
        <v>3829</v>
      </c>
      <c r="B640" t="s">
        <v>761</v>
      </c>
      <c r="C640" t="s">
        <v>754</v>
      </c>
      <c r="D640" t="s">
        <v>752</v>
      </c>
      <c r="E640" t="s">
        <v>216</v>
      </c>
      <c r="F640" t="s">
        <v>22</v>
      </c>
      <c r="G640">
        <v>21</v>
      </c>
      <c r="H640">
        <v>2.6987648668974538E-2</v>
      </c>
      <c r="I640" t="s">
        <v>1413</v>
      </c>
      <c r="J640" s="2" t="s">
        <v>2126</v>
      </c>
      <c r="K640">
        <v>1</v>
      </c>
      <c r="L640">
        <v>1</v>
      </c>
      <c r="M640" t="s">
        <v>18</v>
      </c>
      <c r="N640" t="str">
        <f t="shared" si="9"/>
        <v>MEASURING AND CONTROLLING DEVICES, NEC (3829)</v>
      </c>
    </row>
    <row r="641" spans="1:14" x14ac:dyDescent="0.45">
      <c r="A641" s="4">
        <v>3841</v>
      </c>
      <c r="B641" t="s">
        <v>762</v>
      </c>
      <c r="C641" t="s">
        <v>763</v>
      </c>
      <c r="D641" t="s">
        <v>752</v>
      </c>
      <c r="E641" t="s">
        <v>216</v>
      </c>
      <c r="F641" t="s">
        <v>23</v>
      </c>
      <c r="G641">
        <v>23</v>
      </c>
      <c r="H641">
        <v>5.0206736135227747E-2</v>
      </c>
      <c r="I641" t="s">
        <v>1413</v>
      </c>
      <c r="J641" s="2" t="s">
        <v>2130</v>
      </c>
      <c r="K641">
        <v>1</v>
      </c>
      <c r="L641">
        <v>1</v>
      </c>
      <c r="M641" t="s">
        <v>18</v>
      </c>
      <c r="N641" t="str">
        <f t="shared" si="9"/>
        <v>SURGICAL AND MEDICAL INSTRUMENTS (3841)</v>
      </c>
    </row>
    <row r="642" spans="1:14" x14ac:dyDescent="0.45">
      <c r="A642" s="4">
        <v>3842</v>
      </c>
      <c r="B642" t="s">
        <v>764</v>
      </c>
      <c r="C642" t="s">
        <v>763</v>
      </c>
      <c r="D642" t="s">
        <v>752</v>
      </c>
      <c r="E642" t="s">
        <v>216</v>
      </c>
      <c r="F642" t="s">
        <v>23</v>
      </c>
      <c r="G642">
        <v>23</v>
      </c>
      <c r="H642">
        <v>5.0206736135227747E-2</v>
      </c>
      <c r="I642" t="s">
        <v>1413</v>
      </c>
      <c r="J642" s="2" t="s">
        <v>2130</v>
      </c>
      <c r="K642">
        <v>1</v>
      </c>
      <c r="L642">
        <v>1</v>
      </c>
      <c r="M642" t="s">
        <v>18</v>
      </c>
      <c r="N642" t="str">
        <f t="shared" si="9"/>
        <v>SURGICAL APPLIANCES AND SUPPLIES (3842)</v>
      </c>
    </row>
    <row r="643" spans="1:14" x14ac:dyDescent="0.45">
      <c r="A643" s="4">
        <v>3843</v>
      </c>
      <c r="B643" t="s">
        <v>765</v>
      </c>
      <c r="C643" t="s">
        <v>763</v>
      </c>
      <c r="D643" t="s">
        <v>752</v>
      </c>
      <c r="E643" t="s">
        <v>216</v>
      </c>
      <c r="F643" t="s">
        <v>23</v>
      </c>
      <c r="G643">
        <v>23</v>
      </c>
      <c r="H643">
        <v>5.0206736135227747E-2</v>
      </c>
      <c r="I643" t="s">
        <v>1413</v>
      </c>
      <c r="J643" s="2" t="s">
        <v>2130</v>
      </c>
      <c r="K643">
        <v>1</v>
      </c>
      <c r="L643">
        <v>1</v>
      </c>
      <c r="M643" t="s">
        <v>18</v>
      </c>
      <c r="N643" t="str">
        <f t="shared" ref="N643:N706" si="10">B643&amp;" ("&amp;A643&amp;")"</f>
        <v>DENTAL EQUIPMENT AND SUPPLIES (3843)</v>
      </c>
    </row>
    <row r="644" spans="1:14" x14ac:dyDescent="0.45">
      <c r="A644" s="4">
        <v>3844</v>
      </c>
      <c r="B644" t="s">
        <v>766</v>
      </c>
      <c r="C644" t="s">
        <v>763</v>
      </c>
      <c r="D644" t="s">
        <v>752</v>
      </c>
      <c r="E644" t="s">
        <v>216</v>
      </c>
      <c r="F644" t="s">
        <v>23</v>
      </c>
      <c r="G644">
        <v>23</v>
      </c>
      <c r="H644">
        <v>5.0206736135227747E-2</v>
      </c>
      <c r="I644" t="s">
        <v>1413</v>
      </c>
      <c r="J644" s="2" t="s">
        <v>2130</v>
      </c>
      <c r="K644">
        <v>1</v>
      </c>
      <c r="L644">
        <v>1</v>
      </c>
      <c r="M644" t="s">
        <v>18</v>
      </c>
      <c r="N644" t="str">
        <f t="shared" si="10"/>
        <v>X-RAY APPARATUS AND TUBES (3844)</v>
      </c>
    </row>
    <row r="645" spans="1:14" x14ac:dyDescent="0.45">
      <c r="A645" s="4">
        <v>3845</v>
      </c>
      <c r="B645" t="s">
        <v>767</v>
      </c>
      <c r="C645" t="s">
        <v>763</v>
      </c>
      <c r="D645" t="s">
        <v>752</v>
      </c>
      <c r="E645" t="s">
        <v>216</v>
      </c>
      <c r="F645" t="s">
        <v>23</v>
      </c>
      <c r="G645">
        <v>23</v>
      </c>
      <c r="H645">
        <v>5.0206736135227747E-2</v>
      </c>
      <c r="I645" t="s">
        <v>1413</v>
      </c>
      <c r="J645" s="2" t="s">
        <v>2130</v>
      </c>
      <c r="K645">
        <v>1</v>
      </c>
      <c r="L645">
        <v>1</v>
      </c>
      <c r="M645" t="s">
        <v>18</v>
      </c>
      <c r="N645" t="str">
        <f t="shared" si="10"/>
        <v>ELECTROMEDICAL EQUIPMENT (3845)</v>
      </c>
    </row>
    <row r="646" spans="1:14" x14ac:dyDescent="0.45">
      <c r="A646" s="4">
        <v>3851</v>
      </c>
      <c r="B646" t="s">
        <v>768</v>
      </c>
      <c r="C646" t="s">
        <v>769</v>
      </c>
      <c r="D646" t="s">
        <v>752</v>
      </c>
      <c r="E646" t="s">
        <v>216</v>
      </c>
      <c r="F646" t="s">
        <v>23</v>
      </c>
      <c r="G646">
        <v>23</v>
      </c>
      <c r="H646">
        <v>5.0206736135227747E-2</v>
      </c>
      <c r="I646" t="s">
        <v>1413</v>
      </c>
      <c r="J646" s="2" t="s">
        <v>2130</v>
      </c>
      <c r="K646">
        <v>1</v>
      </c>
      <c r="L646">
        <v>1</v>
      </c>
      <c r="M646" t="s">
        <v>18</v>
      </c>
      <c r="N646" t="str">
        <f t="shared" si="10"/>
        <v>OPHTHALMIC GOODS (3851)</v>
      </c>
    </row>
    <row r="647" spans="1:14" x14ac:dyDescent="0.45">
      <c r="A647" s="4">
        <v>3861</v>
      </c>
      <c r="B647" t="s">
        <v>770</v>
      </c>
      <c r="C647" t="s">
        <v>770</v>
      </c>
      <c r="D647" t="s">
        <v>752</v>
      </c>
      <c r="E647" t="s">
        <v>216</v>
      </c>
      <c r="F647" t="s">
        <v>22</v>
      </c>
      <c r="G647">
        <v>21</v>
      </c>
      <c r="H647">
        <v>2.6987648668974538E-2</v>
      </c>
      <c r="I647" t="s">
        <v>1413</v>
      </c>
      <c r="J647" s="2" t="s">
        <v>2126</v>
      </c>
      <c r="K647">
        <v>1</v>
      </c>
      <c r="L647">
        <v>1</v>
      </c>
      <c r="M647" t="s">
        <v>18</v>
      </c>
      <c r="N647" t="str">
        <f t="shared" si="10"/>
        <v>PHOTOGRAPHIC EQUIPMENT AND SUPPLIES (3861)</v>
      </c>
    </row>
    <row r="648" spans="1:14" x14ac:dyDescent="0.45">
      <c r="A648" s="4">
        <v>3873</v>
      </c>
      <c r="B648" t="s">
        <v>771</v>
      </c>
      <c r="C648" t="s">
        <v>772</v>
      </c>
      <c r="D648" t="s">
        <v>752</v>
      </c>
      <c r="E648" t="s">
        <v>216</v>
      </c>
      <c r="F648" t="s">
        <v>22</v>
      </c>
      <c r="G648">
        <v>21</v>
      </c>
      <c r="H648">
        <v>2.6987648668974538E-2</v>
      </c>
      <c r="I648" t="s">
        <v>1413</v>
      </c>
      <c r="J648" s="2" t="s">
        <v>2126</v>
      </c>
      <c r="K648">
        <v>1</v>
      </c>
      <c r="L648">
        <v>1</v>
      </c>
      <c r="M648" t="s">
        <v>18</v>
      </c>
      <c r="N648" t="str">
        <f t="shared" si="10"/>
        <v>WATCHES, CLOCKS, WATCHCASES, AND PARTS (3873)</v>
      </c>
    </row>
    <row r="649" spans="1:14" x14ac:dyDescent="0.45">
      <c r="A649" s="4">
        <v>3910</v>
      </c>
      <c r="B649" t="s">
        <v>773</v>
      </c>
      <c r="C649" t="s">
        <v>773</v>
      </c>
      <c r="D649" t="s">
        <v>774</v>
      </c>
      <c r="E649" t="s">
        <v>216</v>
      </c>
      <c r="F649" t="s">
        <v>22</v>
      </c>
      <c r="G649">
        <v>21</v>
      </c>
      <c r="H649">
        <v>2.6987648668974538E-2</v>
      </c>
      <c r="I649" t="s">
        <v>1413</v>
      </c>
      <c r="J649" s="2" t="s">
        <v>2126</v>
      </c>
      <c r="K649">
        <v>1</v>
      </c>
      <c r="L649">
        <v>1</v>
      </c>
      <c r="M649" t="s">
        <v>18</v>
      </c>
      <c r="N649" t="str">
        <f t="shared" si="10"/>
        <v>JEWELRY, SILVERWARE, AND PLATED WARE (3910)</v>
      </c>
    </row>
    <row r="650" spans="1:14" x14ac:dyDescent="0.45">
      <c r="A650" s="4">
        <v>3911</v>
      </c>
      <c r="B650" t="s">
        <v>775</v>
      </c>
      <c r="C650" t="s">
        <v>773</v>
      </c>
      <c r="D650" t="s">
        <v>774</v>
      </c>
      <c r="E650" t="s">
        <v>216</v>
      </c>
      <c r="F650" t="s">
        <v>22</v>
      </c>
      <c r="G650">
        <v>21</v>
      </c>
      <c r="H650">
        <v>2.6987648668974538E-2</v>
      </c>
      <c r="I650" t="s">
        <v>1413</v>
      </c>
      <c r="J650" s="2" t="s">
        <v>2126</v>
      </c>
      <c r="K650">
        <v>1</v>
      </c>
      <c r="L650">
        <v>1</v>
      </c>
      <c r="M650" t="s">
        <v>18</v>
      </c>
      <c r="N650" t="str">
        <f t="shared" si="10"/>
        <v>JEWELRY, PRECIOUS METAL (3911)</v>
      </c>
    </row>
    <row r="651" spans="1:14" x14ac:dyDescent="0.45">
      <c r="A651" s="4">
        <v>3914</v>
      </c>
      <c r="B651" t="s">
        <v>776</v>
      </c>
      <c r="C651" t="s">
        <v>773</v>
      </c>
      <c r="D651" t="s">
        <v>774</v>
      </c>
      <c r="E651" t="s">
        <v>216</v>
      </c>
      <c r="F651" t="s">
        <v>22</v>
      </c>
      <c r="G651">
        <v>21</v>
      </c>
      <c r="H651">
        <v>2.6987648668974538E-2</v>
      </c>
      <c r="I651" t="s">
        <v>1413</v>
      </c>
      <c r="J651" s="2" t="s">
        <v>2126</v>
      </c>
      <c r="K651">
        <v>1</v>
      </c>
      <c r="L651">
        <v>1</v>
      </c>
      <c r="M651" t="s">
        <v>18</v>
      </c>
      <c r="N651" t="str">
        <f t="shared" si="10"/>
        <v>SILVERWARE AND PLATED WARE (3914)</v>
      </c>
    </row>
    <row r="652" spans="1:14" x14ac:dyDescent="0.45">
      <c r="A652" s="4">
        <v>3915</v>
      </c>
      <c r="B652" t="s">
        <v>777</v>
      </c>
      <c r="C652" t="s">
        <v>773</v>
      </c>
      <c r="D652" t="s">
        <v>774</v>
      </c>
      <c r="E652" t="s">
        <v>216</v>
      </c>
      <c r="F652" t="s">
        <v>22</v>
      </c>
      <c r="G652">
        <v>21</v>
      </c>
      <c r="H652">
        <v>2.6987648668974538E-2</v>
      </c>
      <c r="I652" t="s">
        <v>1413</v>
      </c>
      <c r="J652" s="2" t="s">
        <v>2126</v>
      </c>
      <c r="K652">
        <v>1</v>
      </c>
      <c r="L652">
        <v>1</v>
      </c>
      <c r="M652" t="s">
        <v>18</v>
      </c>
      <c r="N652" t="str">
        <f t="shared" si="10"/>
        <v>JEWELERS' MATERIALS AND LAPIDARY WORK (3915)</v>
      </c>
    </row>
    <row r="653" spans="1:14" x14ac:dyDescent="0.45">
      <c r="A653" s="4">
        <v>3931</v>
      </c>
      <c r="B653" t="s">
        <v>778</v>
      </c>
      <c r="C653" t="s">
        <v>778</v>
      </c>
      <c r="D653" t="s">
        <v>774</v>
      </c>
      <c r="E653" t="s">
        <v>216</v>
      </c>
      <c r="F653" t="s">
        <v>22</v>
      </c>
      <c r="G653">
        <v>21</v>
      </c>
      <c r="H653">
        <v>2.6987648668974538E-2</v>
      </c>
      <c r="I653" t="s">
        <v>1413</v>
      </c>
      <c r="J653" s="2" t="s">
        <v>2126</v>
      </c>
      <c r="K653">
        <v>1</v>
      </c>
      <c r="L653">
        <v>1</v>
      </c>
      <c r="M653" t="s">
        <v>18</v>
      </c>
      <c r="N653" t="str">
        <f t="shared" si="10"/>
        <v>MUSICAL INSTRUMENTS (3931)</v>
      </c>
    </row>
    <row r="654" spans="1:14" x14ac:dyDescent="0.45">
      <c r="A654" s="4">
        <v>3942</v>
      </c>
      <c r="B654" t="s">
        <v>779</v>
      </c>
      <c r="C654" t="s">
        <v>780</v>
      </c>
      <c r="D654" t="s">
        <v>774</v>
      </c>
      <c r="E654" t="s">
        <v>216</v>
      </c>
      <c r="F654" t="s">
        <v>22</v>
      </c>
      <c r="G654">
        <v>21</v>
      </c>
      <c r="H654">
        <v>2.6987648668974538E-2</v>
      </c>
      <c r="I654" t="s">
        <v>1413</v>
      </c>
      <c r="J654" s="2" t="s">
        <v>2126</v>
      </c>
      <c r="K654">
        <v>1</v>
      </c>
      <c r="L654">
        <v>1</v>
      </c>
      <c r="M654" t="s">
        <v>18</v>
      </c>
      <c r="N654" t="str">
        <f t="shared" si="10"/>
        <v>DOLLS AND STUFFED TOYS (3942)</v>
      </c>
    </row>
    <row r="655" spans="1:14" x14ac:dyDescent="0.45">
      <c r="A655" s="4">
        <v>3944</v>
      </c>
      <c r="B655" t="s">
        <v>781</v>
      </c>
      <c r="C655" t="s">
        <v>780</v>
      </c>
      <c r="D655" t="s">
        <v>774</v>
      </c>
      <c r="E655" t="s">
        <v>216</v>
      </c>
      <c r="F655" t="s">
        <v>22</v>
      </c>
      <c r="G655">
        <v>21</v>
      </c>
      <c r="H655">
        <v>2.6987648668974538E-2</v>
      </c>
      <c r="I655" t="s">
        <v>1413</v>
      </c>
      <c r="J655" s="2" t="s">
        <v>2126</v>
      </c>
      <c r="K655">
        <v>1</v>
      </c>
      <c r="L655">
        <v>1</v>
      </c>
      <c r="M655" t="s">
        <v>18</v>
      </c>
      <c r="N655" t="str">
        <f t="shared" si="10"/>
        <v>GAMES, TOYS, AND CHILDREN'S VEHICLES (3944)</v>
      </c>
    </row>
    <row r="656" spans="1:14" x14ac:dyDescent="0.45">
      <c r="A656" s="4">
        <v>3949</v>
      </c>
      <c r="B656" t="s">
        <v>782</v>
      </c>
      <c r="C656" t="s">
        <v>780</v>
      </c>
      <c r="D656" t="s">
        <v>774</v>
      </c>
      <c r="E656" t="s">
        <v>216</v>
      </c>
      <c r="F656" t="s">
        <v>22</v>
      </c>
      <c r="G656">
        <v>21</v>
      </c>
      <c r="H656">
        <v>2.6987648668974538E-2</v>
      </c>
      <c r="I656" t="s">
        <v>1413</v>
      </c>
      <c r="J656" s="2" t="s">
        <v>2126</v>
      </c>
      <c r="K656">
        <v>1</v>
      </c>
      <c r="L656">
        <v>1</v>
      </c>
      <c r="M656" t="s">
        <v>18</v>
      </c>
      <c r="N656" t="str">
        <f t="shared" si="10"/>
        <v>SPORTING AND ATHLETIC GOODS, NEC (3949)</v>
      </c>
    </row>
    <row r="657" spans="1:14" x14ac:dyDescent="0.45">
      <c r="A657" s="4">
        <v>3950</v>
      </c>
      <c r="B657" t="s">
        <v>783</v>
      </c>
      <c r="C657" t="s">
        <v>783</v>
      </c>
      <c r="D657" t="s">
        <v>774</v>
      </c>
      <c r="E657" t="s">
        <v>216</v>
      </c>
      <c r="F657" t="s">
        <v>22</v>
      </c>
      <c r="G657">
        <v>21</v>
      </c>
      <c r="H657">
        <v>2.6987648668974538E-2</v>
      </c>
      <c r="I657" t="s">
        <v>1413</v>
      </c>
      <c r="J657" s="2" t="s">
        <v>2126</v>
      </c>
      <c r="K657">
        <v>1</v>
      </c>
      <c r="L657">
        <v>1</v>
      </c>
      <c r="M657" t="s">
        <v>18</v>
      </c>
      <c r="N657" t="str">
        <f t="shared" si="10"/>
        <v>PENS, PENCILS, OFFICE &amp; ART SUPPLIES (3950)</v>
      </c>
    </row>
    <row r="658" spans="1:14" x14ac:dyDescent="0.45">
      <c r="A658" s="4">
        <v>3951</v>
      </c>
      <c r="B658" t="s">
        <v>784</v>
      </c>
      <c r="C658" t="s">
        <v>783</v>
      </c>
      <c r="D658" t="s">
        <v>774</v>
      </c>
      <c r="E658" t="s">
        <v>216</v>
      </c>
      <c r="F658" t="s">
        <v>22</v>
      </c>
      <c r="G658">
        <v>21</v>
      </c>
      <c r="H658">
        <v>2.6987648668974538E-2</v>
      </c>
      <c r="I658" t="s">
        <v>1413</v>
      </c>
      <c r="J658" s="2" t="s">
        <v>2126</v>
      </c>
      <c r="K658">
        <v>1</v>
      </c>
      <c r="L658">
        <v>1</v>
      </c>
      <c r="M658" t="s">
        <v>18</v>
      </c>
      <c r="N658" t="str">
        <f t="shared" si="10"/>
        <v>PENS AND MECHANICAL PENCILS (3951)</v>
      </c>
    </row>
    <row r="659" spans="1:14" x14ac:dyDescent="0.45">
      <c r="A659" s="4">
        <v>3952</v>
      </c>
      <c r="B659" t="s">
        <v>785</v>
      </c>
      <c r="C659" t="s">
        <v>783</v>
      </c>
      <c r="D659" t="s">
        <v>774</v>
      </c>
      <c r="E659" t="s">
        <v>216</v>
      </c>
      <c r="F659" t="s">
        <v>22</v>
      </c>
      <c r="G659">
        <v>21</v>
      </c>
      <c r="H659">
        <v>2.6987648668974538E-2</v>
      </c>
      <c r="I659" t="s">
        <v>1413</v>
      </c>
      <c r="J659" s="2" t="s">
        <v>2126</v>
      </c>
      <c r="K659">
        <v>1</v>
      </c>
      <c r="L659">
        <v>1</v>
      </c>
      <c r="M659" t="s">
        <v>18</v>
      </c>
      <c r="N659" t="str">
        <f t="shared" si="10"/>
        <v>LEAD PENCILS AND ART GOODS (3952)</v>
      </c>
    </row>
    <row r="660" spans="1:14" x14ac:dyDescent="0.45">
      <c r="A660" s="4">
        <v>3953</v>
      </c>
      <c r="B660" t="s">
        <v>786</v>
      </c>
      <c r="C660" t="s">
        <v>783</v>
      </c>
      <c r="D660" t="s">
        <v>774</v>
      </c>
      <c r="E660" t="s">
        <v>216</v>
      </c>
      <c r="F660" t="s">
        <v>22</v>
      </c>
      <c r="G660">
        <v>21</v>
      </c>
      <c r="H660">
        <v>2.6987648668974538E-2</v>
      </c>
      <c r="I660" t="s">
        <v>1413</v>
      </c>
      <c r="J660" s="2" t="s">
        <v>2126</v>
      </c>
      <c r="K660">
        <v>1</v>
      </c>
      <c r="L660">
        <v>1</v>
      </c>
      <c r="M660" t="s">
        <v>18</v>
      </c>
      <c r="N660" t="str">
        <f t="shared" si="10"/>
        <v>MARKING DEVICES (3953)</v>
      </c>
    </row>
    <row r="661" spans="1:14" x14ac:dyDescent="0.45">
      <c r="A661" s="4">
        <v>3955</v>
      </c>
      <c r="B661" t="s">
        <v>787</v>
      </c>
      <c r="C661" t="s">
        <v>783</v>
      </c>
      <c r="D661" t="s">
        <v>774</v>
      </c>
      <c r="E661" t="s">
        <v>216</v>
      </c>
      <c r="F661" t="s">
        <v>22</v>
      </c>
      <c r="G661">
        <v>21</v>
      </c>
      <c r="H661">
        <v>2.6987648668974538E-2</v>
      </c>
      <c r="I661" t="s">
        <v>1413</v>
      </c>
      <c r="J661" s="2" t="s">
        <v>2126</v>
      </c>
      <c r="K661">
        <v>1</v>
      </c>
      <c r="L661">
        <v>1</v>
      </c>
      <c r="M661" t="s">
        <v>18</v>
      </c>
      <c r="N661" t="str">
        <f t="shared" si="10"/>
        <v>CARBON PAPER AND INKED RIBBONS (3955)</v>
      </c>
    </row>
    <row r="662" spans="1:14" x14ac:dyDescent="0.45">
      <c r="A662" s="4">
        <v>3960</v>
      </c>
      <c r="B662" t="s">
        <v>788</v>
      </c>
      <c r="C662" t="s">
        <v>788</v>
      </c>
      <c r="D662" t="s">
        <v>774</v>
      </c>
      <c r="E662" t="s">
        <v>216</v>
      </c>
      <c r="F662" t="s">
        <v>22</v>
      </c>
      <c r="G662">
        <v>21</v>
      </c>
      <c r="H662">
        <v>2.6987648668974538E-2</v>
      </c>
      <c r="I662" t="s">
        <v>1413</v>
      </c>
      <c r="J662" s="2" t="s">
        <v>2126</v>
      </c>
      <c r="K662">
        <v>1</v>
      </c>
      <c r="L662">
        <v>1</v>
      </c>
      <c r="M662" t="s">
        <v>18</v>
      </c>
      <c r="N662" t="str">
        <f t="shared" si="10"/>
        <v>COSTUME JEWELRY AND NOTIONS (3960)</v>
      </c>
    </row>
    <row r="663" spans="1:14" x14ac:dyDescent="0.45">
      <c r="A663" s="4">
        <v>3961</v>
      </c>
      <c r="B663" t="s">
        <v>789</v>
      </c>
      <c r="C663" t="s">
        <v>788</v>
      </c>
      <c r="D663" t="s">
        <v>774</v>
      </c>
      <c r="E663" t="s">
        <v>216</v>
      </c>
      <c r="F663" t="s">
        <v>22</v>
      </c>
      <c r="G663">
        <v>21</v>
      </c>
      <c r="H663">
        <v>2.6987648668974538E-2</v>
      </c>
      <c r="I663" t="s">
        <v>1413</v>
      </c>
      <c r="J663" s="2" t="s">
        <v>2126</v>
      </c>
      <c r="K663">
        <v>1</v>
      </c>
      <c r="L663">
        <v>1</v>
      </c>
      <c r="M663" t="s">
        <v>18</v>
      </c>
      <c r="N663" t="str">
        <f t="shared" si="10"/>
        <v>COSTUME JEWELRY (3961)</v>
      </c>
    </row>
    <row r="664" spans="1:14" x14ac:dyDescent="0.45">
      <c r="A664" s="4">
        <v>3965</v>
      </c>
      <c r="B664" t="s">
        <v>790</v>
      </c>
      <c r="C664" t="s">
        <v>788</v>
      </c>
      <c r="D664" t="s">
        <v>774</v>
      </c>
      <c r="E664" t="s">
        <v>216</v>
      </c>
      <c r="F664" t="s">
        <v>22</v>
      </c>
      <c r="G664">
        <v>21</v>
      </c>
      <c r="H664">
        <v>2.6987648668974538E-2</v>
      </c>
      <c r="I664" t="s">
        <v>1413</v>
      </c>
      <c r="J664" s="2" t="s">
        <v>2126</v>
      </c>
      <c r="K664">
        <v>1</v>
      </c>
      <c r="L664">
        <v>1</v>
      </c>
      <c r="M664" t="s">
        <v>18</v>
      </c>
      <c r="N664" t="str">
        <f t="shared" si="10"/>
        <v>FASTENERS, BUTTONS, NEEDLES, AND PINS (3965)</v>
      </c>
    </row>
    <row r="665" spans="1:14" x14ac:dyDescent="0.45">
      <c r="A665" s="4">
        <v>3990</v>
      </c>
      <c r="B665" t="s">
        <v>791</v>
      </c>
      <c r="C665" t="s">
        <v>791</v>
      </c>
      <c r="D665" t="s">
        <v>774</v>
      </c>
      <c r="E665" t="s">
        <v>216</v>
      </c>
      <c r="F665" t="s">
        <v>22</v>
      </c>
      <c r="G665">
        <v>21</v>
      </c>
      <c r="H665">
        <v>2.6987648668974538E-2</v>
      </c>
      <c r="I665" t="s">
        <v>1413</v>
      </c>
      <c r="J665" s="2" t="s">
        <v>2126</v>
      </c>
      <c r="K665">
        <v>1</v>
      </c>
      <c r="L665">
        <v>1</v>
      </c>
      <c r="M665" t="s">
        <v>18</v>
      </c>
      <c r="N665" t="str">
        <f t="shared" si="10"/>
        <v>MISCELLANEOUS MANUFACTURERS (3990)</v>
      </c>
    </row>
    <row r="666" spans="1:14" x14ac:dyDescent="0.45">
      <c r="A666" s="4">
        <v>3991</v>
      </c>
      <c r="B666" t="s">
        <v>792</v>
      </c>
      <c r="C666" t="s">
        <v>791</v>
      </c>
      <c r="D666" t="s">
        <v>774</v>
      </c>
      <c r="E666" t="s">
        <v>216</v>
      </c>
      <c r="F666" t="s">
        <v>22</v>
      </c>
      <c r="G666">
        <v>21</v>
      </c>
      <c r="H666">
        <v>2.6987648668974538E-2</v>
      </c>
      <c r="I666" t="s">
        <v>1413</v>
      </c>
      <c r="J666" s="2" t="s">
        <v>2126</v>
      </c>
      <c r="K666">
        <v>1</v>
      </c>
      <c r="L666">
        <v>1</v>
      </c>
      <c r="M666" t="s">
        <v>18</v>
      </c>
      <c r="N666" t="str">
        <f t="shared" si="10"/>
        <v>BROOMS AND BRUSHES (3991)</v>
      </c>
    </row>
    <row r="667" spans="1:14" x14ac:dyDescent="0.45">
      <c r="A667" s="4">
        <v>3993</v>
      </c>
      <c r="B667" t="s">
        <v>793</v>
      </c>
      <c r="C667" t="s">
        <v>791</v>
      </c>
      <c r="D667" t="s">
        <v>774</v>
      </c>
      <c r="E667" t="s">
        <v>216</v>
      </c>
      <c r="F667" t="s">
        <v>22</v>
      </c>
      <c r="G667">
        <v>21</v>
      </c>
      <c r="H667">
        <v>2.6987648668974538E-2</v>
      </c>
      <c r="I667" t="s">
        <v>1413</v>
      </c>
      <c r="J667" s="2" t="s">
        <v>2126</v>
      </c>
      <c r="K667">
        <v>1</v>
      </c>
      <c r="L667">
        <v>1</v>
      </c>
      <c r="M667" t="s">
        <v>18</v>
      </c>
      <c r="N667" t="str">
        <f t="shared" si="10"/>
        <v>SIGNS AND ADVERTISING SPECIALTIES (3993)</v>
      </c>
    </row>
    <row r="668" spans="1:14" x14ac:dyDescent="0.45">
      <c r="A668" s="4">
        <v>3995</v>
      </c>
      <c r="B668" t="s">
        <v>794</v>
      </c>
      <c r="C668" t="s">
        <v>791</v>
      </c>
      <c r="D668" t="s">
        <v>774</v>
      </c>
      <c r="E668" t="s">
        <v>216</v>
      </c>
      <c r="F668" t="s">
        <v>22</v>
      </c>
      <c r="G668">
        <v>21</v>
      </c>
      <c r="H668">
        <v>2.6987648668974538E-2</v>
      </c>
      <c r="I668" t="s">
        <v>1413</v>
      </c>
      <c r="J668" s="2" t="s">
        <v>2126</v>
      </c>
      <c r="K668">
        <v>1</v>
      </c>
      <c r="L668">
        <v>1</v>
      </c>
      <c r="M668" t="s">
        <v>18</v>
      </c>
      <c r="N668" t="str">
        <f t="shared" si="10"/>
        <v>BURIAL CASKETS (3995)</v>
      </c>
    </row>
    <row r="669" spans="1:14" x14ac:dyDescent="0.45">
      <c r="A669" s="4">
        <v>3996</v>
      </c>
      <c r="B669" t="s">
        <v>795</v>
      </c>
      <c r="C669" t="s">
        <v>791</v>
      </c>
      <c r="D669" t="s">
        <v>774</v>
      </c>
      <c r="E669" t="s">
        <v>216</v>
      </c>
      <c r="F669" t="s">
        <v>22</v>
      </c>
      <c r="G669">
        <v>21</v>
      </c>
      <c r="H669">
        <v>2.6987648668974538E-2</v>
      </c>
      <c r="I669" t="s">
        <v>1413</v>
      </c>
      <c r="J669" s="2" t="s">
        <v>2126</v>
      </c>
      <c r="K669">
        <v>1</v>
      </c>
      <c r="L669">
        <v>1</v>
      </c>
      <c r="M669" t="s">
        <v>18</v>
      </c>
      <c r="N669" t="str">
        <f t="shared" si="10"/>
        <v>HARD SURFACE FLOOR COVERINGS, NEC (3996)</v>
      </c>
    </row>
    <row r="670" spans="1:14" x14ac:dyDescent="0.45">
      <c r="A670" s="4">
        <v>3999</v>
      </c>
      <c r="B670" t="s">
        <v>796</v>
      </c>
      <c r="C670" t="s">
        <v>791</v>
      </c>
      <c r="D670" t="s">
        <v>774</v>
      </c>
      <c r="E670" t="s">
        <v>216</v>
      </c>
      <c r="F670" t="s">
        <v>22</v>
      </c>
      <c r="G670">
        <v>21</v>
      </c>
      <c r="H670">
        <v>2.6987648668974538E-2</v>
      </c>
      <c r="I670" t="s">
        <v>1413</v>
      </c>
      <c r="J670" s="2" t="s">
        <v>2126</v>
      </c>
      <c r="K670">
        <v>1</v>
      </c>
      <c r="L670">
        <v>1</v>
      </c>
      <c r="M670" t="s">
        <v>18</v>
      </c>
      <c r="N670" t="str">
        <f t="shared" si="10"/>
        <v>MANUFACTURING INDUSTRIES, NEC (3999)</v>
      </c>
    </row>
    <row r="671" spans="1:14" x14ac:dyDescent="0.45">
      <c r="A671" s="4">
        <v>4011</v>
      </c>
      <c r="B671" t="s">
        <v>797</v>
      </c>
      <c r="C671" t="s">
        <v>798</v>
      </c>
      <c r="D671" t="s">
        <v>799</v>
      </c>
      <c r="E671" t="s">
        <v>800</v>
      </c>
      <c r="F671" t="s">
        <v>37</v>
      </c>
      <c r="G671">
        <v>40</v>
      </c>
      <c r="H671">
        <v>0.03</v>
      </c>
      <c r="I671" t="s">
        <v>1413</v>
      </c>
      <c r="J671" s="2" t="s">
        <v>2131</v>
      </c>
      <c r="K671">
        <v>1</v>
      </c>
      <c r="L671">
        <v>1</v>
      </c>
      <c r="M671" t="s">
        <v>18</v>
      </c>
      <c r="N671" t="str">
        <f t="shared" si="10"/>
        <v>RAILROADS, LINE-HAUL OPERATING (4011)</v>
      </c>
    </row>
    <row r="672" spans="1:14" x14ac:dyDescent="0.45">
      <c r="A672" s="4">
        <v>4013</v>
      </c>
      <c r="B672" t="s">
        <v>801</v>
      </c>
      <c r="C672" t="s">
        <v>798</v>
      </c>
      <c r="D672" t="s">
        <v>799</v>
      </c>
      <c r="E672" t="s">
        <v>800</v>
      </c>
      <c r="F672" t="s">
        <v>37</v>
      </c>
      <c r="G672">
        <v>40</v>
      </c>
      <c r="H672">
        <v>0.03</v>
      </c>
      <c r="I672" t="s">
        <v>1413</v>
      </c>
      <c r="J672" s="2" t="s">
        <v>2131</v>
      </c>
      <c r="K672">
        <v>1</v>
      </c>
      <c r="L672">
        <v>1</v>
      </c>
      <c r="M672" t="s">
        <v>18</v>
      </c>
      <c r="N672" t="str">
        <f t="shared" si="10"/>
        <v>SWITCHING AND TERMINAL SERVICES (4013)</v>
      </c>
    </row>
    <row r="673" spans="1:14" x14ac:dyDescent="0.45">
      <c r="A673" s="4">
        <v>4100</v>
      </c>
      <c r="B673" t="s">
        <v>802</v>
      </c>
      <c r="C673" t="s">
        <v>802</v>
      </c>
      <c r="D673" t="s">
        <v>802</v>
      </c>
      <c r="E673" t="s">
        <v>800</v>
      </c>
      <c r="F673" t="s">
        <v>37</v>
      </c>
      <c r="G673">
        <v>40</v>
      </c>
      <c r="H673">
        <v>0.03</v>
      </c>
      <c r="I673" t="s">
        <v>1413</v>
      </c>
      <c r="J673" s="2" t="s">
        <v>2131</v>
      </c>
      <c r="K673">
        <v>1</v>
      </c>
      <c r="L673">
        <v>1</v>
      </c>
      <c r="M673" t="s">
        <v>18</v>
      </c>
      <c r="N673" t="str">
        <f t="shared" si="10"/>
        <v>LOCAL AND INTERURBAN PASSENGER TRANSIT (4100)</v>
      </c>
    </row>
    <row r="674" spans="1:14" x14ac:dyDescent="0.45">
      <c r="A674" s="4">
        <v>4111</v>
      </c>
      <c r="B674" t="s">
        <v>803</v>
      </c>
      <c r="C674" t="s">
        <v>804</v>
      </c>
      <c r="D674" t="s">
        <v>802</v>
      </c>
      <c r="E674" t="s">
        <v>800</v>
      </c>
      <c r="F674" t="s">
        <v>37</v>
      </c>
      <c r="G674">
        <v>40</v>
      </c>
      <c r="H674">
        <v>0.03</v>
      </c>
      <c r="I674" t="s">
        <v>1413</v>
      </c>
      <c r="J674" s="2" t="s">
        <v>2131</v>
      </c>
      <c r="K674">
        <v>1</v>
      </c>
      <c r="L674">
        <v>1</v>
      </c>
      <c r="M674" t="s">
        <v>18</v>
      </c>
      <c r="N674" t="str">
        <f t="shared" si="10"/>
        <v>LOCAL AND SUBURBAN TRANSIT (4111)</v>
      </c>
    </row>
    <row r="675" spans="1:14" x14ac:dyDescent="0.45">
      <c r="A675" s="4">
        <v>4119</v>
      </c>
      <c r="B675" t="s">
        <v>805</v>
      </c>
      <c r="C675" t="s">
        <v>804</v>
      </c>
      <c r="D675" t="s">
        <v>802</v>
      </c>
      <c r="E675" t="s">
        <v>800</v>
      </c>
      <c r="F675" t="s">
        <v>37</v>
      </c>
      <c r="G675">
        <v>40</v>
      </c>
      <c r="H675">
        <v>0.03</v>
      </c>
      <c r="I675" t="s">
        <v>1413</v>
      </c>
      <c r="J675" s="2" t="s">
        <v>2131</v>
      </c>
      <c r="K675">
        <v>1</v>
      </c>
      <c r="L675">
        <v>1</v>
      </c>
      <c r="M675" t="s">
        <v>18</v>
      </c>
      <c r="N675" t="str">
        <f t="shared" si="10"/>
        <v>LOCAL PASSENGER TRANSPORTATION, NEC (4119)</v>
      </c>
    </row>
    <row r="676" spans="1:14" x14ac:dyDescent="0.45">
      <c r="A676" s="4">
        <v>4121</v>
      </c>
      <c r="B676" t="s">
        <v>806</v>
      </c>
      <c r="C676" t="s">
        <v>806</v>
      </c>
      <c r="D676" t="s">
        <v>802</v>
      </c>
      <c r="E676" t="s">
        <v>800</v>
      </c>
      <c r="F676" t="s">
        <v>37</v>
      </c>
      <c r="G676">
        <v>40</v>
      </c>
      <c r="H676">
        <v>0.03</v>
      </c>
      <c r="I676" t="s">
        <v>1413</v>
      </c>
      <c r="J676" s="2" t="s">
        <v>2131</v>
      </c>
      <c r="K676">
        <v>1</v>
      </c>
      <c r="L676">
        <v>1</v>
      </c>
      <c r="M676" t="s">
        <v>18</v>
      </c>
      <c r="N676" t="str">
        <f t="shared" si="10"/>
        <v>TAXICABS (4121)</v>
      </c>
    </row>
    <row r="677" spans="1:14" x14ac:dyDescent="0.45">
      <c r="A677" s="4">
        <v>4131</v>
      </c>
      <c r="B677" t="s">
        <v>807</v>
      </c>
      <c r="C677" t="s">
        <v>807</v>
      </c>
      <c r="D677" t="s">
        <v>802</v>
      </c>
      <c r="E677" t="s">
        <v>800</v>
      </c>
      <c r="F677" t="s">
        <v>37</v>
      </c>
      <c r="G677">
        <v>40</v>
      </c>
      <c r="H677">
        <v>0.03</v>
      </c>
      <c r="I677" t="s">
        <v>1413</v>
      </c>
      <c r="J677" s="2" t="s">
        <v>2131</v>
      </c>
      <c r="K677">
        <v>1</v>
      </c>
      <c r="L677">
        <v>1</v>
      </c>
      <c r="M677" t="s">
        <v>18</v>
      </c>
      <c r="N677" t="str">
        <f t="shared" si="10"/>
        <v>INTERCITY AND RURAL BUS TRANSPORTATION (4131)</v>
      </c>
    </row>
    <row r="678" spans="1:14" x14ac:dyDescent="0.45">
      <c r="A678" s="4">
        <v>4141</v>
      </c>
      <c r="B678" t="s">
        <v>808</v>
      </c>
      <c r="C678" t="s">
        <v>809</v>
      </c>
      <c r="D678" t="s">
        <v>802</v>
      </c>
      <c r="E678" t="s">
        <v>800</v>
      </c>
      <c r="F678" t="s">
        <v>37</v>
      </c>
      <c r="G678">
        <v>40</v>
      </c>
      <c r="H678">
        <v>0.03</v>
      </c>
      <c r="I678" t="s">
        <v>1413</v>
      </c>
      <c r="J678" s="2" t="s">
        <v>2131</v>
      </c>
      <c r="K678">
        <v>1</v>
      </c>
      <c r="L678">
        <v>1</v>
      </c>
      <c r="M678" t="s">
        <v>18</v>
      </c>
      <c r="N678" t="str">
        <f t="shared" si="10"/>
        <v>LOCAL BUS CHARTER SERVICE (4141)</v>
      </c>
    </row>
    <row r="679" spans="1:14" x14ac:dyDescent="0.45">
      <c r="A679" s="4">
        <v>4142</v>
      </c>
      <c r="B679" t="s">
        <v>810</v>
      </c>
      <c r="C679" t="s">
        <v>809</v>
      </c>
      <c r="D679" t="s">
        <v>802</v>
      </c>
      <c r="E679" t="s">
        <v>800</v>
      </c>
      <c r="F679" t="s">
        <v>37</v>
      </c>
      <c r="G679">
        <v>40</v>
      </c>
      <c r="H679">
        <v>0.03</v>
      </c>
      <c r="I679" t="s">
        <v>1413</v>
      </c>
      <c r="J679" s="2" t="s">
        <v>2131</v>
      </c>
      <c r="K679">
        <v>1</v>
      </c>
      <c r="L679">
        <v>1</v>
      </c>
      <c r="M679" t="s">
        <v>18</v>
      </c>
      <c r="N679" t="str">
        <f t="shared" si="10"/>
        <v>BUS CHARTER SERVICE, EXCEPT LOCAL (4142)</v>
      </c>
    </row>
    <row r="680" spans="1:14" x14ac:dyDescent="0.45">
      <c r="A680" s="4">
        <v>4151</v>
      </c>
      <c r="B680" t="s">
        <v>811</v>
      </c>
      <c r="C680" t="s">
        <v>811</v>
      </c>
      <c r="D680" t="s">
        <v>802</v>
      </c>
      <c r="E680" t="s">
        <v>800</v>
      </c>
      <c r="F680" t="s">
        <v>37</v>
      </c>
      <c r="G680">
        <v>40</v>
      </c>
      <c r="H680">
        <v>0.03</v>
      </c>
      <c r="I680" t="s">
        <v>1413</v>
      </c>
      <c r="J680" s="2" t="s">
        <v>2131</v>
      </c>
      <c r="K680">
        <v>1</v>
      </c>
      <c r="L680">
        <v>1</v>
      </c>
      <c r="M680" t="s">
        <v>18</v>
      </c>
      <c r="N680" t="str">
        <f t="shared" si="10"/>
        <v>SCHOOL BUSES (4151)</v>
      </c>
    </row>
    <row r="681" spans="1:14" x14ac:dyDescent="0.45">
      <c r="A681" s="4">
        <v>4173</v>
      </c>
      <c r="B681" t="s">
        <v>812</v>
      </c>
      <c r="C681" t="s">
        <v>812</v>
      </c>
      <c r="D681" t="s">
        <v>802</v>
      </c>
      <c r="E681" t="s">
        <v>800</v>
      </c>
      <c r="F681" t="s">
        <v>37</v>
      </c>
      <c r="G681">
        <v>40</v>
      </c>
      <c r="H681">
        <v>0.03</v>
      </c>
      <c r="I681" t="s">
        <v>1413</v>
      </c>
      <c r="J681" s="2" t="s">
        <v>2131</v>
      </c>
      <c r="K681">
        <v>1</v>
      </c>
      <c r="L681">
        <v>1</v>
      </c>
      <c r="M681" t="s">
        <v>18</v>
      </c>
      <c r="N681" t="str">
        <f t="shared" si="10"/>
        <v>BUS TERMINAL AND SERVICE FACILITIES (4173)</v>
      </c>
    </row>
    <row r="682" spans="1:14" x14ac:dyDescent="0.45">
      <c r="A682" s="4">
        <v>4210</v>
      </c>
      <c r="B682" t="s">
        <v>813</v>
      </c>
      <c r="C682" t="s">
        <v>813</v>
      </c>
      <c r="D682" t="s">
        <v>814</v>
      </c>
      <c r="E682" t="s">
        <v>800</v>
      </c>
      <c r="F682" t="s">
        <v>37</v>
      </c>
      <c r="G682">
        <v>40</v>
      </c>
      <c r="H682">
        <v>0.03</v>
      </c>
      <c r="I682" t="s">
        <v>1413</v>
      </c>
      <c r="J682" s="2" t="s">
        <v>2131</v>
      </c>
      <c r="K682">
        <v>1</v>
      </c>
      <c r="L682">
        <v>1</v>
      </c>
      <c r="M682" t="s">
        <v>18</v>
      </c>
      <c r="N682" t="str">
        <f t="shared" si="10"/>
        <v>TRUCKING &amp; COURIER SERVICES, EXCEPT AIR (4210)</v>
      </c>
    </row>
    <row r="683" spans="1:14" x14ac:dyDescent="0.45">
      <c r="A683" s="4">
        <v>4212</v>
      </c>
      <c r="B683" t="s">
        <v>815</v>
      </c>
      <c r="C683" t="s">
        <v>813</v>
      </c>
      <c r="D683" t="s">
        <v>814</v>
      </c>
      <c r="E683" t="s">
        <v>800</v>
      </c>
      <c r="F683" t="s">
        <v>37</v>
      </c>
      <c r="G683">
        <v>40</v>
      </c>
      <c r="H683">
        <v>0.03</v>
      </c>
      <c r="I683" t="s">
        <v>1413</v>
      </c>
      <c r="J683" s="2" t="s">
        <v>2131</v>
      </c>
      <c r="K683">
        <v>1</v>
      </c>
      <c r="L683">
        <v>1</v>
      </c>
      <c r="M683" t="s">
        <v>18</v>
      </c>
      <c r="N683" t="str">
        <f t="shared" si="10"/>
        <v>LOCAL TRUCKING, WITHOUT STORAGE (4212)</v>
      </c>
    </row>
    <row r="684" spans="1:14" x14ac:dyDescent="0.45">
      <c r="A684" s="4">
        <v>4213</v>
      </c>
      <c r="B684" t="s">
        <v>816</v>
      </c>
      <c r="C684" t="s">
        <v>813</v>
      </c>
      <c r="D684" t="s">
        <v>814</v>
      </c>
      <c r="E684" t="s">
        <v>800</v>
      </c>
      <c r="F684" t="s">
        <v>37</v>
      </c>
      <c r="G684">
        <v>40</v>
      </c>
      <c r="H684">
        <v>0.03</v>
      </c>
      <c r="I684" t="s">
        <v>1413</v>
      </c>
      <c r="J684" s="2" t="s">
        <v>2131</v>
      </c>
      <c r="K684">
        <v>1</v>
      </c>
      <c r="L684">
        <v>1</v>
      </c>
      <c r="M684" t="s">
        <v>18</v>
      </c>
      <c r="N684" t="str">
        <f t="shared" si="10"/>
        <v>TRUCKING, EXCEPT LOCAL (4213)</v>
      </c>
    </row>
    <row r="685" spans="1:14" x14ac:dyDescent="0.45">
      <c r="A685" s="4">
        <v>4214</v>
      </c>
      <c r="B685" t="s">
        <v>817</v>
      </c>
      <c r="C685" t="s">
        <v>813</v>
      </c>
      <c r="D685" t="s">
        <v>814</v>
      </c>
      <c r="E685" t="s">
        <v>800</v>
      </c>
      <c r="F685" t="s">
        <v>37</v>
      </c>
      <c r="G685">
        <v>40</v>
      </c>
      <c r="H685">
        <v>0.03</v>
      </c>
      <c r="I685" t="s">
        <v>1413</v>
      </c>
      <c r="J685" s="2" t="s">
        <v>2131</v>
      </c>
      <c r="K685">
        <v>1</v>
      </c>
      <c r="L685">
        <v>1</v>
      </c>
      <c r="M685" t="s">
        <v>18</v>
      </c>
      <c r="N685" t="str">
        <f t="shared" si="10"/>
        <v>LOCAL TRUCKING WITH STORAGE (4214)</v>
      </c>
    </row>
    <row r="686" spans="1:14" x14ac:dyDescent="0.45">
      <c r="A686" s="4">
        <v>4215</v>
      </c>
      <c r="B686" t="s">
        <v>818</v>
      </c>
      <c r="C686" t="s">
        <v>813</v>
      </c>
      <c r="D686" t="s">
        <v>814</v>
      </c>
      <c r="E686" t="s">
        <v>800</v>
      </c>
      <c r="F686" t="s">
        <v>37</v>
      </c>
      <c r="G686">
        <v>40</v>
      </c>
      <c r="H686">
        <v>0.03</v>
      </c>
      <c r="I686" t="s">
        <v>1413</v>
      </c>
      <c r="J686" s="2" t="s">
        <v>2131</v>
      </c>
      <c r="K686">
        <v>1</v>
      </c>
      <c r="L686">
        <v>1</v>
      </c>
      <c r="M686" t="s">
        <v>18</v>
      </c>
      <c r="N686" t="str">
        <f t="shared" si="10"/>
        <v>COURIER SERVICES, EXCEPT BY AIR (4215)</v>
      </c>
    </row>
    <row r="687" spans="1:14" x14ac:dyDescent="0.45">
      <c r="A687" s="4">
        <v>4220</v>
      </c>
      <c r="B687" t="s">
        <v>819</v>
      </c>
      <c r="C687" t="s">
        <v>819</v>
      </c>
      <c r="D687" t="s">
        <v>814</v>
      </c>
      <c r="E687" t="s">
        <v>800</v>
      </c>
      <c r="F687" t="s">
        <v>37</v>
      </c>
      <c r="G687">
        <v>40</v>
      </c>
      <c r="H687">
        <v>0.03</v>
      </c>
      <c r="I687" t="s">
        <v>1413</v>
      </c>
      <c r="J687" s="2" t="s">
        <v>2131</v>
      </c>
      <c r="K687">
        <v>1</v>
      </c>
      <c r="L687">
        <v>1</v>
      </c>
      <c r="M687" t="s">
        <v>18</v>
      </c>
      <c r="N687" t="str">
        <f t="shared" si="10"/>
        <v>PUBLIC WAREHOUSING AND STORAGE (4220)</v>
      </c>
    </row>
    <row r="688" spans="1:14" x14ac:dyDescent="0.45">
      <c r="A688" s="4">
        <v>4221</v>
      </c>
      <c r="B688" t="s">
        <v>820</v>
      </c>
      <c r="C688" t="s">
        <v>819</v>
      </c>
      <c r="D688" t="s">
        <v>814</v>
      </c>
      <c r="E688" t="s">
        <v>800</v>
      </c>
      <c r="F688" t="s">
        <v>37</v>
      </c>
      <c r="G688">
        <v>40</v>
      </c>
      <c r="H688">
        <v>0.03</v>
      </c>
      <c r="I688" t="s">
        <v>1413</v>
      </c>
      <c r="J688" s="2" t="s">
        <v>2131</v>
      </c>
      <c r="K688">
        <v>1</v>
      </c>
      <c r="L688">
        <v>1</v>
      </c>
      <c r="M688" t="s">
        <v>18</v>
      </c>
      <c r="N688" t="str">
        <f t="shared" si="10"/>
        <v>FARM PRODUCT WAREHOUSING AND STORAGE (4221)</v>
      </c>
    </row>
    <row r="689" spans="1:14" x14ac:dyDescent="0.45">
      <c r="A689" s="4">
        <v>4222</v>
      </c>
      <c r="B689" t="s">
        <v>821</v>
      </c>
      <c r="C689" t="s">
        <v>819</v>
      </c>
      <c r="D689" t="s">
        <v>814</v>
      </c>
      <c r="E689" t="s">
        <v>800</v>
      </c>
      <c r="F689" t="s">
        <v>37</v>
      </c>
      <c r="G689">
        <v>40</v>
      </c>
      <c r="H689">
        <v>0.03</v>
      </c>
      <c r="I689" t="s">
        <v>1413</v>
      </c>
      <c r="J689" s="2" t="s">
        <v>2131</v>
      </c>
      <c r="K689">
        <v>1</v>
      </c>
      <c r="L689">
        <v>1</v>
      </c>
      <c r="M689" t="s">
        <v>18</v>
      </c>
      <c r="N689" t="str">
        <f t="shared" si="10"/>
        <v>REFRIGERATED WAREHOUSING AND STORAGE (4222)</v>
      </c>
    </row>
    <row r="690" spans="1:14" x14ac:dyDescent="0.45">
      <c r="A690" s="4">
        <v>4225</v>
      </c>
      <c r="B690" t="s">
        <v>822</v>
      </c>
      <c r="C690" t="s">
        <v>819</v>
      </c>
      <c r="D690" t="s">
        <v>814</v>
      </c>
      <c r="E690" t="s">
        <v>800</v>
      </c>
      <c r="F690" t="s">
        <v>37</v>
      </c>
      <c r="G690">
        <v>40</v>
      </c>
      <c r="H690">
        <v>0.03</v>
      </c>
      <c r="I690" t="s">
        <v>1413</v>
      </c>
      <c r="J690" s="2" t="s">
        <v>2131</v>
      </c>
      <c r="K690">
        <v>1</v>
      </c>
      <c r="L690">
        <v>1</v>
      </c>
      <c r="M690" t="s">
        <v>18</v>
      </c>
      <c r="N690" t="str">
        <f t="shared" si="10"/>
        <v>GENERAL WAREHOUSING AND STORAGE (4225)</v>
      </c>
    </row>
    <row r="691" spans="1:14" x14ac:dyDescent="0.45">
      <c r="A691" s="4">
        <v>4226</v>
      </c>
      <c r="B691" t="s">
        <v>823</v>
      </c>
      <c r="C691" t="s">
        <v>819</v>
      </c>
      <c r="D691" t="s">
        <v>814</v>
      </c>
      <c r="E691" t="s">
        <v>800</v>
      </c>
      <c r="F691" t="s">
        <v>37</v>
      </c>
      <c r="G691">
        <v>40</v>
      </c>
      <c r="H691">
        <v>0.03</v>
      </c>
      <c r="I691" t="s">
        <v>1413</v>
      </c>
      <c r="J691" s="2" t="s">
        <v>2131</v>
      </c>
      <c r="K691">
        <v>1</v>
      </c>
      <c r="L691">
        <v>1</v>
      </c>
      <c r="M691" t="s">
        <v>18</v>
      </c>
      <c r="N691" t="str">
        <f t="shared" si="10"/>
        <v>SPECIAL WAREHOUSING AND STORAGE, NEC (4226)</v>
      </c>
    </row>
    <row r="692" spans="1:14" x14ac:dyDescent="0.45">
      <c r="A692" s="4">
        <v>4231</v>
      </c>
      <c r="B692" t="s">
        <v>824</v>
      </c>
      <c r="C692" t="s">
        <v>824</v>
      </c>
      <c r="D692" t="s">
        <v>814</v>
      </c>
      <c r="E692" t="s">
        <v>800</v>
      </c>
      <c r="F692" t="s">
        <v>37</v>
      </c>
      <c r="G692">
        <v>40</v>
      </c>
      <c r="H692">
        <v>0.03</v>
      </c>
      <c r="I692" t="s">
        <v>1413</v>
      </c>
      <c r="J692" s="2" t="s">
        <v>2131</v>
      </c>
      <c r="K692">
        <v>1</v>
      </c>
      <c r="L692">
        <v>1</v>
      </c>
      <c r="M692" t="s">
        <v>18</v>
      </c>
      <c r="N692" t="str">
        <f t="shared" si="10"/>
        <v>TRUCKING TERMINAL FACILITIES (4231)</v>
      </c>
    </row>
    <row r="693" spans="1:14" x14ac:dyDescent="0.45">
      <c r="A693" s="4">
        <v>4311</v>
      </c>
      <c r="B693" t="s">
        <v>825</v>
      </c>
      <c r="C693" t="s">
        <v>825</v>
      </c>
      <c r="D693" t="s">
        <v>825</v>
      </c>
      <c r="E693" t="s">
        <v>800</v>
      </c>
      <c r="F693" t="s">
        <v>37</v>
      </c>
      <c r="G693">
        <v>40</v>
      </c>
      <c r="H693">
        <v>0.03</v>
      </c>
      <c r="I693" t="s">
        <v>1413</v>
      </c>
      <c r="J693" s="2" t="s">
        <v>2131</v>
      </c>
      <c r="K693">
        <v>1</v>
      </c>
      <c r="L693">
        <v>1</v>
      </c>
      <c r="M693" t="s">
        <v>18</v>
      </c>
      <c r="N693" t="str">
        <f t="shared" si="10"/>
        <v>U.S. POSTAL SERVICE (4311)</v>
      </c>
    </row>
    <row r="694" spans="1:14" x14ac:dyDescent="0.45">
      <c r="A694" s="4">
        <v>4400</v>
      </c>
      <c r="B694" t="s">
        <v>826</v>
      </c>
      <c r="C694" t="s">
        <v>826</v>
      </c>
      <c r="D694" t="s">
        <v>826</v>
      </c>
      <c r="E694" t="s">
        <v>800</v>
      </c>
      <c r="F694" t="s">
        <v>37</v>
      </c>
      <c r="G694">
        <v>40</v>
      </c>
      <c r="H694">
        <v>0.03</v>
      </c>
      <c r="I694" t="s">
        <v>1413</v>
      </c>
      <c r="J694" s="2" t="s">
        <v>2131</v>
      </c>
      <c r="K694">
        <v>1</v>
      </c>
      <c r="L694">
        <v>1</v>
      </c>
      <c r="M694" t="s">
        <v>18</v>
      </c>
      <c r="N694" t="str">
        <f t="shared" si="10"/>
        <v>WATER TRANSPORTATION (4400)</v>
      </c>
    </row>
    <row r="695" spans="1:14" x14ac:dyDescent="0.45">
      <c r="A695" s="4">
        <v>4412</v>
      </c>
      <c r="B695" t="s">
        <v>827</v>
      </c>
      <c r="C695" t="s">
        <v>828</v>
      </c>
      <c r="D695" t="s">
        <v>826</v>
      </c>
      <c r="E695" t="s">
        <v>800</v>
      </c>
      <c r="F695" t="s">
        <v>37</v>
      </c>
      <c r="G695">
        <v>40</v>
      </c>
      <c r="H695">
        <v>0.03</v>
      </c>
      <c r="I695" t="s">
        <v>1413</v>
      </c>
      <c r="J695" s="2" t="s">
        <v>2131</v>
      </c>
      <c r="K695">
        <v>1</v>
      </c>
      <c r="L695">
        <v>1</v>
      </c>
      <c r="M695" t="s">
        <v>18</v>
      </c>
      <c r="N695" t="str">
        <f t="shared" si="10"/>
        <v>DEEP SEA FOREIGN TRANSPORTATION OF FREIGHT (4412)</v>
      </c>
    </row>
    <row r="696" spans="1:14" x14ac:dyDescent="0.45">
      <c r="A696" s="4">
        <v>4424</v>
      </c>
      <c r="B696" t="s">
        <v>829</v>
      </c>
      <c r="C696" t="s">
        <v>830</v>
      </c>
      <c r="D696" t="s">
        <v>826</v>
      </c>
      <c r="E696" t="s">
        <v>800</v>
      </c>
      <c r="F696" t="s">
        <v>37</v>
      </c>
      <c r="G696">
        <v>40</v>
      </c>
      <c r="H696">
        <v>0.03</v>
      </c>
      <c r="I696" t="s">
        <v>1413</v>
      </c>
      <c r="J696" s="2" t="s">
        <v>2131</v>
      </c>
      <c r="K696">
        <v>1</v>
      </c>
      <c r="L696">
        <v>1</v>
      </c>
      <c r="M696" t="s">
        <v>18</v>
      </c>
      <c r="N696" t="str">
        <f t="shared" si="10"/>
        <v>DEEP SEA DOMESTIC TRANSPORTATION OF FREIGHT (4424)</v>
      </c>
    </row>
    <row r="697" spans="1:14" x14ac:dyDescent="0.45">
      <c r="A697" s="4">
        <v>4432</v>
      </c>
      <c r="B697" t="s">
        <v>831</v>
      </c>
      <c r="C697" t="s">
        <v>832</v>
      </c>
      <c r="D697" t="s">
        <v>826</v>
      </c>
      <c r="E697" t="s">
        <v>800</v>
      </c>
      <c r="F697" t="s">
        <v>37</v>
      </c>
      <c r="G697">
        <v>40</v>
      </c>
      <c r="H697">
        <v>0.03</v>
      </c>
      <c r="I697" t="s">
        <v>1413</v>
      </c>
      <c r="J697" s="2" t="s">
        <v>2131</v>
      </c>
      <c r="K697">
        <v>1</v>
      </c>
      <c r="L697">
        <v>1</v>
      </c>
      <c r="M697" t="s">
        <v>18</v>
      </c>
      <c r="N697" t="str">
        <f t="shared" si="10"/>
        <v>FREIGHT TRANSPORTATION ON THE GREAT LAKES (4432)</v>
      </c>
    </row>
    <row r="698" spans="1:14" x14ac:dyDescent="0.45">
      <c r="A698" s="4">
        <v>4449</v>
      </c>
      <c r="B698" t="s">
        <v>833</v>
      </c>
      <c r="C698" t="s">
        <v>834</v>
      </c>
      <c r="D698" t="s">
        <v>826</v>
      </c>
      <c r="E698" t="s">
        <v>800</v>
      </c>
      <c r="F698" t="s">
        <v>37</v>
      </c>
      <c r="G698">
        <v>40</v>
      </c>
      <c r="H698">
        <v>0.03</v>
      </c>
      <c r="I698" t="s">
        <v>1413</v>
      </c>
      <c r="J698" s="2" t="s">
        <v>2131</v>
      </c>
      <c r="K698">
        <v>1</v>
      </c>
      <c r="L698">
        <v>1</v>
      </c>
      <c r="M698" t="s">
        <v>18</v>
      </c>
      <c r="N698" t="str">
        <f t="shared" si="10"/>
        <v>WATER TRANSPORTATION OF FREIGHT (4449)</v>
      </c>
    </row>
    <row r="699" spans="1:14" x14ac:dyDescent="0.45">
      <c r="A699" s="4">
        <v>4481</v>
      </c>
      <c r="B699" t="s">
        <v>835</v>
      </c>
      <c r="C699" t="s">
        <v>836</v>
      </c>
      <c r="D699" t="s">
        <v>826</v>
      </c>
      <c r="E699" t="s">
        <v>800</v>
      </c>
      <c r="F699" t="s">
        <v>37</v>
      </c>
      <c r="G699">
        <v>40</v>
      </c>
      <c r="H699">
        <v>0.03</v>
      </c>
      <c r="I699" t="s">
        <v>1413</v>
      </c>
      <c r="J699" s="2" t="s">
        <v>2131</v>
      </c>
      <c r="K699">
        <v>1</v>
      </c>
      <c r="L699">
        <v>1</v>
      </c>
      <c r="M699" t="s">
        <v>18</v>
      </c>
      <c r="N699" t="str">
        <f t="shared" si="10"/>
        <v>DEEP SEA PASSENGER TRANSPORTATION, EXCEPT FERRY (4481)</v>
      </c>
    </row>
    <row r="700" spans="1:14" x14ac:dyDescent="0.45">
      <c r="A700" s="4">
        <v>4482</v>
      </c>
      <c r="B700" t="s">
        <v>837</v>
      </c>
      <c r="C700" t="s">
        <v>836</v>
      </c>
      <c r="D700" t="s">
        <v>826</v>
      </c>
      <c r="E700" t="s">
        <v>800</v>
      </c>
      <c r="F700" t="s">
        <v>37</v>
      </c>
      <c r="G700">
        <v>40</v>
      </c>
      <c r="H700">
        <v>0.03</v>
      </c>
      <c r="I700" t="s">
        <v>1413</v>
      </c>
      <c r="J700" s="2" t="s">
        <v>2131</v>
      </c>
      <c r="K700">
        <v>1</v>
      </c>
      <c r="L700">
        <v>1</v>
      </c>
      <c r="M700" t="s">
        <v>18</v>
      </c>
      <c r="N700" t="str">
        <f t="shared" si="10"/>
        <v>FERRIES (4482)</v>
      </c>
    </row>
    <row r="701" spans="1:14" x14ac:dyDescent="0.45">
      <c r="A701" s="4">
        <v>4489</v>
      </c>
      <c r="B701" t="s">
        <v>838</v>
      </c>
      <c r="C701" t="s">
        <v>836</v>
      </c>
      <c r="D701" t="s">
        <v>826</v>
      </c>
      <c r="E701" t="s">
        <v>800</v>
      </c>
      <c r="F701" t="s">
        <v>37</v>
      </c>
      <c r="G701">
        <v>40</v>
      </c>
      <c r="H701">
        <v>0.03</v>
      </c>
      <c r="I701" t="s">
        <v>1413</v>
      </c>
      <c r="J701" s="2" t="s">
        <v>2131</v>
      </c>
      <c r="K701">
        <v>1</v>
      </c>
      <c r="L701">
        <v>1</v>
      </c>
      <c r="M701" t="s">
        <v>18</v>
      </c>
      <c r="N701" t="str">
        <f t="shared" si="10"/>
        <v>WATER PASSENGER TRANSPORTATION (4489)</v>
      </c>
    </row>
    <row r="702" spans="1:14" x14ac:dyDescent="0.45">
      <c r="A702" s="4">
        <v>4491</v>
      </c>
      <c r="B702" t="s">
        <v>839</v>
      </c>
      <c r="C702" t="s">
        <v>840</v>
      </c>
      <c r="D702" t="s">
        <v>826</v>
      </c>
      <c r="E702" t="s">
        <v>800</v>
      </c>
      <c r="F702" t="s">
        <v>37</v>
      </c>
      <c r="G702">
        <v>40</v>
      </c>
      <c r="H702">
        <v>0.03</v>
      </c>
      <c r="I702" t="s">
        <v>1413</v>
      </c>
      <c r="J702" s="2" t="s">
        <v>2131</v>
      </c>
      <c r="K702">
        <v>1</v>
      </c>
      <c r="L702">
        <v>1</v>
      </c>
      <c r="M702" t="s">
        <v>18</v>
      </c>
      <c r="N702" t="str">
        <f t="shared" si="10"/>
        <v>MARINE CARGO HANDLING (4491)</v>
      </c>
    </row>
    <row r="703" spans="1:14" x14ac:dyDescent="0.45">
      <c r="A703" s="4">
        <v>4492</v>
      </c>
      <c r="B703" t="s">
        <v>841</v>
      </c>
      <c r="C703" t="s">
        <v>840</v>
      </c>
      <c r="D703" t="s">
        <v>826</v>
      </c>
      <c r="E703" t="s">
        <v>800</v>
      </c>
      <c r="F703" t="s">
        <v>37</v>
      </c>
      <c r="G703">
        <v>40</v>
      </c>
      <c r="H703">
        <v>0.03</v>
      </c>
      <c r="I703" t="s">
        <v>1413</v>
      </c>
      <c r="J703" s="2" t="s">
        <v>2131</v>
      </c>
      <c r="K703">
        <v>1</v>
      </c>
      <c r="L703">
        <v>1</v>
      </c>
      <c r="M703" t="s">
        <v>18</v>
      </c>
      <c r="N703" t="str">
        <f t="shared" si="10"/>
        <v>TOWING AND TUGBOAT SERVICE (4492)</v>
      </c>
    </row>
    <row r="704" spans="1:14" x14ac:dyDescent="0.45">
      <c r="A704" s="4">
        <v>4493</v>
      </c>
      <c r="B704" t="s">
        <v>842</v>
      </c>
      <c r="C704" t="s">
        <v>840</v>
      </c>
      <c r="D704" t="s">
        <v>826</v>
      </c>
      <c r="E704" t="s">
        <v>800</v>
      </c>
      <c r="F704" t="s">
        <v>37</v>
      </c>
      <c r="G704">
        <v>40</v>
      </c>
      <c r="H704">
        <v>0.03</v>
      </c>
      <c r="I704" t="s">
        <v>1413</v>
      </c>
      <c r="J704" s="2" t="s">
        <v>2131</v>
      </c>
      <c r="K704">
        <v>1</v>
      </c>
      <c r="L704">
        <v>1</v>
      </c>
      <c r="M704" t="s">
        <v>18</v>
      </c>
      <c r="N704" t="str">
        <f t="shared" si="10"/>
        <v>MARINAS (4493)</v>
      </c>
    </row>
    <row r="705" spans="1:14" x14ac:dyDescent="0.45">
      <c r="A705" s="4">
        <v>4499</v>
      </c>
      <c r="B705" t="s">
        <v>843</v>
      </c>
      <c r="C705" t="s">
        <v>840</v>
      </c>
      <c r="D705" t="s">
        <v>826</v>
      </c>
      <c r="E705" t="s">
        <v>800</v>
      </c>
      <c r="F705" t="s">
        <v>37</v>
      </c>
      <c r="G705">
        <v>40</v>
      </c>
      <c r="H705">
        <v>0.03</v>
      </c>
      <c r="I705" t="s">
        <v>1413</v>
      </c>
      <c r="J705" s="2" t="s">
        <v>2131</v>
      </c>
      <c r="K705">
        <v>1</v>
      </c>
      <c r="L705">
        <v>1</v>
      </c>
      <c r="M705" t="s">
        <v>18</v>
      </c>
      <c r="N705" t="str">
        <f t="shared" si="10"/>
        <v>WATER TRANSPORTATION SERVICES, NEC (4499)</v>
      </c>
    </row>
    <row r="706" spans="1:14" x14ac:dyDescent="0.45">
      <c r="A706" s="4">
        <v>4512</v>
      </c>
      <c r="B706" t="s">
        <v>844</v>
      </c>
      <c r="C706" t="s">
        <v>844</v>
      </c>
      <c r="D706" t="s">
        <v>845</v>
      </c>
      <c r="E706" t="s">
        <v>800</v>
      </c>
      <c r="F706" t="s">
        <v>37</v>
      </c>
      <c r="G706">
        <v>40</v>
      </c>
      <c r="H706">
        <v>0.03</v>
      </c>
      <c r="I706" t="s">
        <v>1413</v>
      </c>
      <c r="J706" s="2" t="s">
        <v>2131</v>
      </c>
      <c r="K706">
        <v>1</v>
      </c>
      <c r="L706">
        <v>1</v>
      </c>
      <c r="M706" t="s">
        <v>18</v>
      </c>
      <c r="N706" t="str">
        <f t="shared" si="10"/>
        <v>AIR TRANSPORTATION, SCHEDULED (4512)</v>
      </c>
    </row>
    <row r="707" spans="1:14" x14ac:dyDescent="0.45">
      <c r="A707" s="4">
        <v>4513</v>
      </c>
      <c r="B707" t="s">
        <v>846</v>
      </c>
      <c r="C707" t="s">
        <v>844</v>
      </c>
      <c r="D707" t="s">
        <v>845</v>
      </c>
      <c r="E707" t="s">
        <v>800</v>
      </c>
      <c r="F707" t="s">
        <v>37</v>
      </c>
      <c r="G707">
        <v>40</v>
      </c>
      <c r="H707">
        <v>0.03</v>
      </c>
      <c r="I707" t="s">
        <v>1413</v>
      </c>
      <c r="J707" s="2" t="s">
        <v>2131</v>
      </c>
      <c r="K707">
        <v>1</v>
      </c>
      <c r="L707">
        <v>1</v>
      </c>
      <c r="M707" t="s">
        <v>18</v>
      </c>
      <c r="N707" t="str">
        <f t="shared" ref="N707:N770" si="11">B707&amp;" ("&amp;A707&amp;")"</f>
        <v>AIR COURIER SERVICES (4513)</v>
      </c>
    </row>
    <row r="708" spans="1:14" x14ac:dyDescent="0.45">
      <c r="A708" s="4">
        <v>4522</v>
      </c>
      <c r="B708" t="s">
        <v>847</v>
      </c>
      <c r="C708" t="s">
        <v>848</v>
      </c>
      <c r="D708" t="s">
        <v>845</v>
      </c>
      <c r="E708" t="s">
        <v>800</v>
      </c>
      <c r="F708" t="s">
        <v>37</v>
      </c>
      <c r="G708">
        <v>40</v>
      </c>
      <c r="H708">
        <v>0.03</v>
      </c>
      <c r="I708" t="s">
        <v>1413</v>
      </c>
      <c r="J708" s="2" t="s">
        <v>2131</v>
      </c>
      <c r="K708">
        <v>1</v>
      </c>
      <c r="L708">
        <v>1</v>
      </c>
      <c r="M708" t="s">
        <v>18</v>
      </c>
      <c r="N708" t="str">
        <f t="shared" si="11"/>
        <v>AIR TRANSPORTATION, NONSCHEDULED (4522)</v>
      </c>
    </row>
    <row r="709" spans="1:14" x14ac:dyDescent="0.45">
      <c r="A709" s="4">
        <v>4581</v>
      </c>
      <c r="B709" t="s">
        <v>849</v>
      </c>
      <c r="C709" t="s">
        <v>850</v>
      </c>
      <c r="D709" t="s">
        <v>845</v>
      </c>
      <c r="E709" t="s">
        <v>800</v>
      </c>
      <c r="F709" t="s">
        <v>37</v>
      </c>
      <c r="G709">
        <v>40</v>
      </c>
      <c r="H709">
        <v>0.03</v>
      </c>
      <c r="I709" t="s">
        <v>1413</v>
      </c>
      <c r="J709" s="2" t="s">
        <v>2131</v>
      </c>
      <c r="K709">
        <v>1</v>
      </c>
      <c r="L709">
        <v>1</v>
      </c>
      <c r="M709" t="s">
        <v>18</v>
      </c>
      <c r="N709" t="str">
        <f t="shared" si="11"/>
        <v>AIRPORTS, FLYING FIELDS, AND SERVICES (4581)</v>
      </c>
    </row>
    <row r="710" spans="1:14" x14ac:dyDescent="0.45">
      <c r="A710" s="4">
        <v>4610</v>
      </c>
      <c r="B710" t="s">
        <v>851</v>
      </c>
      <c r="C710" t="s">
        <v>851</v>
      </c>
      <c r="D710" t="s">
        <v>851</v>
      </c>
      <c r="E710" t="s">
        <v>800</v>
      </c>
      <c r="F710" t="s">
        <v>37</v>
      </c>
      <c r="G710">
        <v>40</v>
      </c>
      <c r="H710">
        <v>0.03</v>
      </c>
      <c r="I710" t="s">
        <v>1413</v>
      </c>
      <c r="J710" s="2" t="s">
        <v>2131</v>
      </c>
      <c r="K710">
        <v>1</v>
      </c>
      <c r="L710">
        <v>1</v>
      </c>
      <c r="M710" t="s">
        <v>18</v>
      </c>
      <c r="N710" t="str">
        <f t="shared" si="11"/>
        <v>PIPELINES, EXCEPT NATURAL GAS (4610)</v>
      </c>
    </row>
    <row r="711" spans="1:14" x14ac:dyDescent="0.45">
      <c r="A711" s="4">
        <v>4612</v>
      </c>
      <c r="B711" t="s">
        <v>852</v>
      </c>
      <c r="C711" t="s">
        <v>851</v>
      </c>
      <c r="D711" t="s">
        <v>851</v>
      </c>
      <c r="E711" t="s">
        <v>800</v>
      </c>
      <c r="F711" t="s">
        <v>37</v>
      </c>
      <c r="G711">
        <v>40</v>
      </c>
      <c r="H711">
        <v>0.03</v>
      </c>
      <c r="I711" t="s">
        <v>1413</v>
      </c>
      <c r="J711" s="2" t="s">
        <v>2131</v>
      </c>
      <c r="K711">
        <v>1</v>
      </c>
      <c r="L711">
        <v>1</v>
      </c>
      <c r="M711" t="s">
        <v>18</v>
      </c>
      <c r="N711" t="str">
        <f t="shared" si="11"/>
        <v>CRUDE PETROLEUM PIPELINES (4612)</v>
      </c>
    </row>
    <row r="712" spans="1:14" x14ac:dyDescent="0.45">
      <c r="A712" s="4">
        <v>4613</v>
      </c>
      <c r="B712" t="s">
        <v>853</v>
      </c>
      <c r="C712" t="s">
        <v>851</v>
      </c>
      <c r="D712" t="s">
        <v>851</v>
      </c>
      <c r="E712" t="s">
        <v>800</v>
      </c>
      <c r="F712" t="s">
        <v>37</v>
      </c>
      <c r="G712">
        <v>40</v>
      </c>
      <c r="H712">
        <v>0.03</v>
      </c>
      <c r="I712" t="s">
        <v>1413</v>
      </c>
      <c r="J712" s="2" t="s">
        <v>2131</v>
      </c>
      <c r="K712">
        <v>1</v>
      </c>
      <c r="L712">
        <v>1</v>
      </c>
      <c r="M712" t="s">
        <v>18</v>
      </c>
      <c r="N712" t="str">
        <f t="shared" si="11"/>
        <v>REFINED PETROLEUM PIPELINES (4613)</v>
      </c>
    </row>
    <row r="713" spans="1:14" x14ac:dyDescent="0.45">
      <c r="A713" s="4">
        <v>4619</v>
      </c>
      <c r="B713" t="s">
        <v>854</v>
      </c>
      <c r="C713" t="s">
        <v>851</v>
      </c>
      <c r="D713" t="s">
        <v>851</v>
      </c>
      <c r="E713" t="s">
        <v>800</v>
      </c>
      <c r="F713" t="s">
        <v>37</v>
      </c>
      <c r="G713">
        <v>40</v>
      </c>
      <c r="H713">
        <v>0.03</v>
      </c>
      <c r="I713" t="s">
        <v>1413</v>
      </c>
      <c r="J713" s="2" t="s">
        <v>2131</v>
      </c>
      <c r="K713">
        <v>1</v>
      </c>
      <c r="L713">
        <v>1</v>
      </c>
      <c r="M713" t="s">
        <v>18</v>
      </c>
      <c r="N713" t="str">
        <f t="shared" si="11"/>
        <v>PIPELINES, NEC (4619)</v>
      </c>
    </row>
    <row r="714" spans="1:14" x14ac:dyDescent="0.45">
      <c r="A714" s="4">
        <v>4700</v>
      </c>
      <c r="B714" t="s">
        <v>855</v>
      </c>
      <c r="C714" t="s">
        <v>855</v>
      </c>
      <c r="D714" t="s">
        <v>855</v>
      </c>
      <c r="E714" t="s">
        <v>800</v>
      </c>
      <c r="F714" t="s">
        <v>37</v>
      </c>
      <c r="G714">
        <v>40</v>
      </c>
      <c r="H714">
        <v>0.03</v>
      </c>
      <c r="I714" t="s">
        <v>1413</v>
      </c>
      <c r="J714" s="2" t="s">
        <v>2131</v>
      </c>
      <c r="K714">
        <v>1</v>
      </c>
      <c r="L714">
        <v>1</v>
      </c>
      <c r="M714" t="s">
        <v>18</v>
      </c>
      <c r="N714" t="str">
        <f t="shared" si="11"/>
        <v>TRANSPORTATION SERVICES (4700)</v>
      </c>
    </row>
    <row r="715" spans="1:14" x14ac:dyDescent="0.45">
      <c r="A715" s="4">
        <v>4724</v>
      </c>
      <c r="B715" t="s">
        <v>856</v>
      </c>
      <c r="C715" t="s">
        <v>857</v>
      </c>
      <c r="D715" t="s">
        <v>855</v>
      </c>
      <c r="E715" t="s">
        <v>800</v>
      </c>
      <c r="F715" t="s">
        <v>37</v>
      </c>
      <c r="G715">
        <v>40</v>
      </c>
      <c r="H715">
        <v>0.03</v>
      </c>
      <c r="I715" t="s">
        <v>1413</v>
      </c>
      <c r="J715" s="2" t="s">
        <v>2131</v>
      </c>
      <c r="K715">
        <v>1</v>
      </c>
      <c r="L715">
        <v>1</v>
      </c>
      <c r="M715" t="s">
        <v>18</v>
      </c>
      <c r="N715" t="str">
        <f t="shared" si="11"/>
        <v>TRAVEL AGENCIES (4724)</v>
      </c>
    </row>
    <row r="716" spans="1:14" x14ac:dyDescent="0.45">
      <c r="A716" s="4">
        <v>4725</v>
      </c>
      <c r="B716" t="s">
        <v>858</v>
      </c>
      <c r="C716" t="s">
        <v>857</v>
      </c>
      <c r="D716" t="s">
        <v>855</v>
      </c>
      <c r="E716" t="s">
        <v>800</v>
      </c>
      <c r="F716" t="s">
        <v>37</v>
      </c>
      <c r="G716">
        <v>40</v>
      </c>
      <c r="H716">
        <v>0.03</v>
      </c>
      <c r="I716" t="s">
        <v>1413</v>
      </c>
      <c r="J716" s="2" t="s">
        <v>2131</v>
      </c>
      <c r="K716">
        <v>1</v>
      </c>
      <c r="L716">
        <v>1</v>
      </c>
      <c r="M716" t="s">
        <v>18</v>
      </c>
      <c r="N716" t="str">
        <f t="shared" si="11"/>
        <v>TOUR OPERATORS (4725)</v>
      </c>
    </row>
    <row r="717" spans="1:14" x14ac:dyDescent="0.45">
      <c r="A717" s="4">
        <v>4729</v>
      </c>
      <c r="B717" t="s">
        <v>857</v>
      </c>
      <c r="C717" t="s">
        <v>857</v>
      </c>
      <c r="D717" t="s">
        <v>855</v>
      </c>
      <c r="E717" t="s">
        <v>800</v>
      </c>
      <c r="F717" t="s">
        <v>37</v>
      </c>
      <c r="G717">
        <v>40</v>
      </c>
      <c r="H717">
        <v>0.03</v>
      </c>
      <c r="I717" t="s">
        <v>1413</v>
      </c>
      <c r="J717" s="2" t="s">
        <v>2131</v>
      </c>
      <c r="K717">
        <v>1</v>
      </c>
      <c r="L717">
        <v>1</v>
      </c>
      <c r="M717" t="s">
        <v>18</v>
      </c>
      <c r="N717" t="str">
        <f t="shared" si="11"/>
        <v>PASSENGER TRANSPORTATION ARRANGEMENT (4729)</v>
      </c>
    </row>
    <row r="718" spans="1:14" x14ac:dyDescent="0.45">
      <c r="A718" s="4">
        <v>4731</v>
      </c>
      <c r="B718" t="s">
        <v>859</v>
      </c>
      <c r="C718" t="s">
        <v>859</v>
      </c>
      <c r="D718" t="s">
        <v>855</v>
      </c>
      <c r="E718" t="s">
        <v>800</v>
      </c>
      <c r="F718" t="s">
        <v>37</v>
      </c>
      <c r="G718">
        <v>40</v>
      </c>
      <c r="H718">
        <v>0.03</v>
      </c>
      <c r="I718" t="s">
        <v>1413</v>
      </c>
      <c r="J718" s="2" t="s">
        <v>2131</v>
      </c>
      <c r="K718">
        <v>1</v>
      </c>
      <c r="L718">
        <v>1</v>
      </c>
      <c r="M718" t="s">
        <v>18</v>
      </c>
      <c r="N718" t="str">
        <f t="shared" si="11"/>
        <v>FREIGHT TRANSPORTATION ARRANGEMENT (4731)</v>
      </c>
    </row>
    <row r="719" spans="1:14" x14ac:dyDescent="0.45">
      <c r="A719" s="4">
        <v>4741</v>
      </c>
      <c r="B719" t="s">
        <v>860</v>
      </c>
      <c r="C719" t="s">
        <v>860</v>
      </c>
      <c r="D719" t="s">
        <v>855</v>
      </c>
      <c r="E719" t="s">
        <v>800</v>
      </c>
      <c r="F719" t="s">
        <v>37</v>
      </c>
      <c r="G719">
        <v>40</v>
      </c>
      <c r="H719">
        <v>0.03</v>
      </c>
      <c r="I719" t="s">
        <v>1413</v>
      </c>
      <c r="J719" s="2" t="s">
        <v>2131</v>
      </c>
      <c r="K719">
        <v>1</v>
      </c>
      <c r="L719">
        <v>1</v>
      </c>
      <c r="M719" t="s">
        <v>18</v>
      </c>
      <c r="N719" t="str">
        <f t="shared" si="11"/>
        <v>RENTAL OF RAILROAD CARS (4741)</v>
      </c>
    </row>
    <row r="720" spans="1:14" x14ac:dyDescent="0.45">
      <c r="A720" s="4">
        <v>4783</v>
      </c>
      <c r="B720" t="s">
        <v>861</v>
      </c>
      <c r="C720" t="s">
        <v>862</v>
      </c>
      <c r="D720" t="s">
        <v>855</v>
      </c>
      <c r="E720" t="s">
        <v>800</v>
      </c>
      <c r="F720" t="s">
        <v>37</v>
      </c>
      <c r="G720">
        <v>40</v>
      </c>
      <c r="H720">
        <v>0.03</v>
      </c>
      <c r="I720" t="s">
        <v>1413</v>
      </c>
      <c r="J720" s="2" t="s">
        <v>2131</v>
      </c>
      <c r="K720">
        <v>1</v>
      </c>
      <c r="L720">
        <v>1</v>
      </c>
      <c r="M720" t="s">
        <v>18</v>
      </c>
      <c r="N720" t="str">
        <f t="shared" si="11"/>
        <v>PACKING AND CRATING (4783)</v>
      </c>
    </row>
    <row r="721" spans="1:14" x14ac:dyDescent="0.45">
      <c r="A721" s="4">
        <v>4785</v>
      </c>
      <c r="B721" t="s">
        <v>863</v>
      </c>
      <c r="C721" t="s">
        <v>862</v>
      </c>
      <c r="D721" t="s">
        <v>855</v>
      </c>
      <c r="E721" t="s">
        <v>800</v>
      </c>
      <c r="F721" t="s">
        <v>37</v>
      </c>
      <c r="G721">
        <v>40</v>
      </c>
      <c r="H721">
        <v>0.03</v>
      </c>
      <c r="I721" t="s">
        <v>1413</v>
      </c>
      <c r="J721" s="2" t="s">
        <v>2131</v>
      </c>
      <c r="K721">
        <v>1</v>
      </c>
      <c r="L721">
        <v>1</v>
      </c>
      <c r="M721" t="s">
        <v>18</v>
      </c>
      <c r="N721" t="str">
        <f t="shared" si="11"/>
        <v>INSPECTION AND FIXED FACILITIES (4785)</v>
      </c>
    </row>
    <row r="722" spans="1:14" x14ac:dyDescent="0.45">
      <c r="A722" s="4">
        <v>4789</v>
      </c>
      <c r="B722" t="s">
        <v>864</v>
      </c>
      <c r="C722" t="s">
        <v>862</v>
      </c>
      <c r="D722" t="s">
        <v>855</v>
      </c>
      <c r="E722" t="s">
        <v>800</v>
      </c>
      <c r="F722" t="s">
        <v>37</v>
      </c>
      <c r="G722">
        <v>40</v>
      </c>
      <c r="H722">
        <v>0.03</v>
      </c>
      <c r="I722" t="s">
        <v>1413</v>
      </c>
      <c r="J722" s="2" t="s">
        <v>2131</v>
      </c>
      <c r="K722">
        <v>1</v>
      </c>
      <c r="L722">
        <v>1</v>
      </c>
      <c r="M722" t="s">
        <v>18</v>
      </c>
      <c r="N722" t="str">
        <f t="shared" si="11"/>
        <v>TRANSPORTATION SERVICES, NEC (4789)</v>
      </c>
    </row>
    <row r="723" spans="1:14" x14ac:dyDescent="0.45">
      <c r="A723" s="4">
        <v>4812</v>
      </c>
      <c r="B723" t="s">
        <v>865</v>
      </c>
      <c r="C723" t="s">
        <v>866</v>
      </c>
      <c r="D723" t="s">
        <v>867</v>
      </c>
      <c r="E723" t="s">
        <v>800</v>
      </c>
      <c r="F723" t="s">
        <v>12</v>
      </c>
      <c r="G723">
        <v>6</v>
      </c>
      <c r="H723">
        <v>3.9447000000000003E-2</v>
      </c>
      <c r="I723" t="s">
        <v>1413</v>
      </c>
      <c r="J723" s="2" t="s">
        <v>2132</v>
      </c>
      <c r="K723">
        <v>1</v>
      </c>
      <c r="L723">
        <v>1</v>
      </c>
      <c r="M723" t="s">
        <v>18</v>
      </c>
      <c r="N723" t="str">
        <f t="shared" si="11"/>
        <v>RADIOTELEPHONE COMMUNICATION (4812)</v>
      </c>
    </row>
    <row r="724" spans="1:14" x14ac:dyDescent="0.45">
      <c r="A724" s="4">
        <v>4813</v>
      </c>
      <c r="B724" t="s">
        <v>868</v>
      </c>
      <c r="C724" t="s">
        <v>866</v>
      </c>
      <c r="D724" t="s">
        <v>867</v>
      </c>
      <c r="E724" t="s">
        <v>800</v>
      </c>
      <c r="F724" t="s">
        <v>12</v>
      </c>
      <c r="G724">
        <v>6</v>
      </c>
      <c r="H724">
        <v>3.9447000000000003E-2</v>
      </c>
      <c r="I724" t="s">
        <v>1413</v>
      </c>
      <c r="J724" s="2" t="s">
        <v>2132</v>
      </c>
      <c r="K724">
        <v>1</v>
      </c>
      <c r="L724">
        <v>1</v>
      </c>
      <c r="M724" t="s">
        <v>18</v>
      </c>
      <c r="N724" t="str">
        <f t="shared" si="11"/>
        <v>TELEPHONE COMMUNICATION, EXCEPT RADIO (4813)</v>
      </c>
    </row>
    <row r="725" spans="1:14" x14ac:dyDescent="0.45">
      <c r="A725" s="4">
        <v>4822</v>
      </c>
      <c r="B725" t="s">
        <v>869</v>
      </c>
      <c r="C725" t="s">
        <v>870</v>
      </c>
      <c r="D725" t="s">
        <v>867</v>
      </c>
      <c r="E725" t="s">
        <v>800</v>
      </c>
      <c r="F725" t="s">
        <v>12</v>
      </c>
      <c r="G725">
        <v>6</v>
      </c>
      <c r="H725">
        <v>3.9447000000000003E-2</v>
      </c>
      <c r="I725" t="s">
        <v>1413</v>
      </c>
      <c r="J725" s="2" t="s">
        <v>2132</v>
      </c>
      <c r="K725">
        <v>1</v>
      </c>
      <c r="L725">
        <v>1</v>
      </c>
      <c r="M725" t="s">
        <v>18</v>
      </c>
      <c r="N725" t="str">
        <f t="shared" si="11"/>
        <v>TELEGRAPH AND OTHER COMMUNICATIONS (4822)</v>
      </c>
    </row>
    <row r="726" spans="1:14" x14ac:dyDescent="0.45">
      <c r="A726" s="4">
        <v>4832</v>
      </c>
      <c r="B726" t="s">
        <v>871</v>
      </c>
      <c r="C726" t="s">
        <v>872</v>
      </c>
      <c r="D726" t="s">
        <v>867</v>
      </c>
      <c r="E726" t="s">
        <v>800</v>
      </c>
      <c r="F726" t="s">
        <v>10</v>
      </c>
      <c r="G726">
        <v>13</v>
      </c>
      <c r="H726">
        <v>8.1000000000000013E-3</v>
      </c>
      <c r="I726" t="s">
        <v>1413</v>
      </c>
      <c r="J726" s="2" t="s">
        <v>2133</v>
      </c>
      <c r="K726">
        <v>1</v>
      </c>
      <c r="L726">
        <v>1</v>
      </c>
      <c r="M726" t="s">
        <v>18</v>
      </c>
      <c r="N726" t="str">
        <f t="shared" si="11"/>
        <v>RADIO BROADCASTING STATIONS (4832)</v>
      </c>
    </row>
    <row r="727" spans="1:14" x14ac:dyDescent="0.45">
      <c r="A727" s="4">
        <v>4833</v>
      </c>
      <c r="B727" t="s">
        <v>873</v>
      </c>
      <c r="C727" t="s">
        <v>872</v>
      </c>
      <c r="D727" t="s">
        <v>867</v>
      </c>
      <c r="E727" t="s">
        <v>800</v>
      </c>
      <c r="F727" t="s">
        <v>10</v>
      </c>
      <c r="G727">
        <v>13</v>
      </c>
      <c r="H727">
        <v>8.1000000000000013E-3</v>
      </c>
      <c r="I727" t="s">
        <v>1413</v>
      </c>
      <c r="J727" s="2" t="s">
        <v>2133</v>
      </c>
      <c r="K727">
        <v>1</v>
      </c>
      <c r="L727">
        <v>1</v>
      </c>
      <c r="M727" t="s">
        <v>18</v>
      </c>
      <c r="N727" t="str">
        <f t="shared" si="11"/>
        <v>TELEVISION BROADCASTING STATIONS (4833)</v>
      </c>
    </row>
    <row r="728" spans="1:14" x14ac:dyDescent="0.45">
      <c r="A728" s="4">
        <v>4841</v>
      </c>
      <c r="B728" t="s">
        <v>874</v>
      </c>
      <c r="C728" t="s">
        <v>875</v>
      </c>
      <c r="D728" t="s">
        <v>867</v>
      </c>
      <c r="E728" t="s">
        <v>800</v>
      </c>
      <c r="F728" t="s">
        <v>10</v>
      </c>
      <c r="G728">
        <v>13</v>
      </c>
      <c r="H728">
        <v>8.1000000000000013E-3</v>
      </c>
      <c r="I728" t="s">
        <v>1413</v>
      </c>
      <c r="J728" s="2" t="s">
        <v>2133</v>
      </c>
      <c r="K728">
        <v>1</v>
      </c>
      <c r="L728">
        <v>1</v>
      </c>
      <c r="M728" t="s">
        <v>18</v>
      </c>
      <c r="N728" t="str">
        <f t="shared" si="11"/>
        <v>CABLE AND OTHER PAY TELEVISION SERVICES (4841)</v>
      </c>
    </row>
    <row r="729" spans="1:14" x14ac:dyDescent="0.45">
      <c r="A729" s="4">
        <v>4899</v>
      </c>
      <c r="B729" t="s">
        <v>876</v>
      </c>
      <c r="C729" t="s">
        <v>877</v>
      </c>
      <c r="D729" t="s">
        <v>867</v>
      </c>
      <c r="E729" t="s">
        <v>800</v>
      </c>
      <c r="F729" t="s">
        <v>12</v>
      </c>
      <c r="G729">
        <v>6</v>
      </c>
      <c r="H729">
        <v>3.9447000000000003E-2</v>
      </c>
      <c r="I729" t="s">
        <v>1413</v>
      </c>
      <c r="J729" s="2" t="s">
        <v>2132</v>
      </c>
      <c r="K729">
        <v>1</v>
      </c>
      <c r="L729">
        <v>1</v>
      </c>
      <c r="M729" t="s">
        <v>18</v>
      </c>
      <c r="N729" t="str">
        <f t="shared" si="11"/>
        <v>COMMUNICATION SERVICES, NEC (4899)</v>
      </c>
    </row>
    <row r="730" spans="1:14" x14ac:dyDescent="0.45">
      <c r="A730" s="4">
        <v>4911</v>
      </c>
      <c r="B730" t="s">
        <v>878</v>
      </c>
      <c r="C730" t="s">
        <v>878</v>
      </c>
      <c r="D730" t="s">
        <v>879</v>
      </c>
      <c r="E730" t="s">
        <v>800</v>
      </c>
      <c r="F730" t="s">
        <v>32</v>
      </c>
      <c r="G730">
        <v>32</v>
      </c>
      <c r="H730">
        <v>1.6200000000000003E-2</v>
      </c>
      <c r="I730" t="s">
        <v>1413</v>
      </c>
      <c r="J730" s="2" t="s">
        <v>2134</v>
      </c>
      <c r="K730">
        <v>1</v>
      </c>
      <c r="L730">
        <v>1</v>
      </c>
      <c r="M730" t="s">
        <v>18</v>
      </c>
      <c r="N730" t="str">
        <f t="shared" si="11"/>
        <v>ELECTRIC SERVICES (4911)</v>
      </c>
    </row>
    <row r="731" spans="1:14" x14ac:dyDescent="0.45">
      <c r="A731" s="4">
        <v>4922</v>
      </c>
      <c r="B731" t="s">
        <v>880</v>
      </c>
      <c r="C731" t="s">
        <v>881</v>
      </c>
      <c r="D731" t="s">
        <v>879</v>
      </c>
      <c r="E731" t="s">
        <v>800</v>
      </c>
      <c r="F731" t="s">
        <v>32</v>
      </c>
      <c r="G731">
        <v>32</v>
      </c>
      <c r="H731">
        <v>1.6200000000000003E-2</v>
      </c>
      <c r="I731" t="s">
        <v>1413</v>
      </c>
      <c r="J731" s="2" t="s">
        <v>2134</v>
      </c>
      <c r="K731">
        <v>1</v>
      </c>
      <c r="L731">
        <v>1</v>
      </c>
      <c r="M731" t="s">
        <v>18</v>
      </c>
      <c r="N731" t="str">
        <f t="shared" si="11"/>
        <v>NATURAL GAS TRANSMISSION (4922)</v>
      </c>
    </row>
    <row r="732" spans="1:14" x14ac:dyDescent="0.45">
      <c r="A732" s="4">
        <v>4923</v>
      </c>
      <c r="B732" t="s">
        <v>882</v>
      </c>
      <c r="C732" t="s">
        <v>881</v>
      </c>
      <c r="D732" t="s">
        <v>879</v>
      </c>
      <c r="E732" t="s">
        <v>800</v>
      </c>
      <c r="F732" t="s">
        <v>32</v>
      </c>
      <c r="G732">
        <v>32</v>
      </c>
      <c r="H732">
        <v>1.6200000000000003E-2</v>
      </c>
      <c r="I732" t="s">
        <v>1413</v>
      </c>
      <c r="J732" s="2" t="s">
        <v>2134</v>
      </c>
      <c r="K732">
        <v>1</v>
      </c>
      <c r="L732">
        <v>1</v>
      </c>
      <c r="M732" t="s">
        <v>18</v>
      </c>
      <c r="N732" t="str">
        <f t="shared" si="11"/>
        <v>GAS TRANSMISSION AND DISTRIBUTION (4923)</v>
      </c>
    </row>
    <row r="733" spans="1:14" x14ac:dyDescent="0.45">
      <c r="A733" s="4">
        <v>4924</v>
      </c>
      <c r="B733" t="s">
        <v>883</v>
      </c>
      <c r="C733" t="s">
        <v>881</v>
      </c>
      <c r="D733" t="s">
        <v>879</v>
      </c>
      <c r="E733" t="s">
        <v>800</v>
      </c>
      <c r="F733" t="s">
        <v>32</v>
      </c>
      <c r="G733">
        <v>32</v>
      </c>
      <c r="H733">
        <v>1.6200000000000003E-2</v>
      </c>
      <c r="I733" t="s">
        <v>1413</v>
      </c>
      <c r="J733" s="2" t="s">
        <v>2134</v>
      </c>
      <c r="K733">
        <v>1</v>
      </c>
      <c r="L733">
        <v>1</v>
      </c>
      <c r="M733" t="s">
        <v>18</v>
      </c>
      <c r="N733" t="str">
        <f t="shared" si="11"/>
        <v>NATURAL GAS DISTRIBUTION (4924)</v>
      </c>
    </row>
    <row r="734" spans="1:14" x14ac:dyDescent="0.45">
      <c r="A734" s="4">
        <v>4925</v>
      </c>
      <c r="B734" t="s">
        <v>884</v>
      </c>
      <c r="C734" t="s">
        <v>881</v>
      </c>
      <c r="D734" t="s">
        <v>879</v>
      </c>
      <c r="E734" t="s">
        <v>800</v>
      </c>
      <c r="F734" t="s">
        <v>32</v>
      </c>
      <c r="G734">
        <v>32</v>
      </c>
      <c r="H734">
        <v>1.6200000000000003E-2</v>
      </c>
      <c r="I734" t="s">
        <v>1413</v>
      </c>
      <c r="J734" s="2" t="s">
        <v>2134</v>
      </c>
      <c r="K734">
        <v>1</v>
      </c>
      <c r="L734">
        <v>1</v>
      </c>
      <c r="M734" t="s">
        <v>18</v>
      </c>
      <c r="N734" t="str">
        <f t="shared" si="11"/>
        <v>GAS PRODUCTION AND/OR DISTRIBUTION (4925)</v>
      </c>
    </row>
    <row r="735" spans="1:14" x14ac:dyDescent="0.45">
      <c r="A735" s="4">
        <v>4931</v>
      </c>
      <c r="B735" t="s">
        <v>885</v>
      </c>
      <c r="C735" t="s">
        <v>886</v>
      </c>
      <c r="D735" t="s">
        <v>879</v>
      </c>
      <c r="E735" t="s">
        <v>800</v>
      </c>
      <c r="F735" t="s">
        <v>32</v>
      </c>
      <c r="G735">
        <v>32</v>
      </c>
      <c r="H735">
        <v>1.6200000000000003E-2</v>
      </c>
      <c r="I735" t="s">
        <v>1413</v>
      </c>
      <c r="J735" s="2" t="s">
        <v>2134</v>
      </c>
      <c r="K735">
        <v>1</v>
      </c>
      <c r="L735">
        <v>1</v>
      </c>
      <c r="M735" t="s">
        <v>18</v>
      </c>
      <c r="N735" t="str">
        <f t="shared" si="11"/>
        <v>ELECTRIC AND OTHER SERVICES COMBINED (4931)</v>
      </c>
    </row>
    <row r="736" spans="1:14" x14ac:dyDescent="0.45">
      <c r="A736" s="4">
        <v>4932</v>
      </c>
      <c r="B736" t="s">
        <v>887</v>
      </c>
      <c r="C736" t="s">
        <v>886</v>
      </c>
      <c r="D736" t="s">
        <v>879</v>
      </c>
      <c r="E736" t="s">
        <v>800</v>
      </c>
      <c r="F736" t="s">
        <v>32</v>
      </c>
      <c r="G736">
        <v>32</v>
      </c>
      <c r="H736">
        <v>1.6200000000000003E-2</v>
      </c>
      <c r="I736" t="s">
        <v>1413</v>
      </c>
      <c r="J736" s="2" t="s">
        <v>2134</v>
      </c>
      <c r="K736">
        <v>1</v>
      </c>
      <c r="L736">
        <v>1</v>
      </c>
      <c r="M736" t="s">
        <v>18</v>
      </c>
      <c r="N736" t="str">
        <f t="shared" si="11"/>
        <v>GAS AND OTHER SERVICES COMBINED (4932)</v>
      </c>
    </row>
    <row r="737" spans="1:14" x14ac:dyDescent="0.45">
      <c r="A737" s="4">
        <v>4939</v>
      </c>
      <c r="B737" t="s">
        <v>888</v>
      </c>
      <c r="C737" t="s">
        <v>886</v>
      </c>
      <c r="D737" t="s">
        <v>879</v>
      </c>
      <c r="E737" t="s">
        <v>800</v>
      </c>
      <c r="F737" t="s">
        <v>32</v>
      </c>
      <c r="G737">
        <v>32</v>
      </c>
      <c r="H737">
        <v>1.6200000000000003E-2</v>
      </c>
      <c r="I737" t="s">
        <v>1413</v>
      </c>
      <c r="J737" s="2" t="s">
        <v>2134</v>
      </c>
      <c r="K737">
        <v>1</v>
      </c>
      <c r="L737">
        <v>1</v>
      </c>
      <c r="M737" t="s">
        <v>18</v>
      </c>
      <c r="N737" t="str">
        <f t="shared" si="11"/>
        <v>COMBINATION UTILITIES, NEC (4939)</v>
      </c>
    </row>
    <row r="738" spans="1:14" x14ac:dyDescent="0.45">
      <c r="A738" s="4">
        <v>4941</v>
      </c>
      <c r="B738" t="s">
        <v>889</v>
      </c>
      <c r="C738" t="s">
        <v>889</v>
      </c>
      <c r="D738" t="s">
        <v>879</v>
      </c>
      <c r="E738" t="s">
        <v>800</v>
      </c>
      <c r="F738" t="s">
        <v>32</v>
      </c>
      <c r="G738">
        <v>32</v>
      </c>
      <c r="H738">
        <v>1.6200000000000003E-2</v>
      </c>
      <c r="I738" t="s">
        <v>1413</v>
      </c>
      <c r="J738" s="2" t="s">
        <v>2134</v>
      </c>
      <c r="K738">
        <v>1</v>
      </c>
      <c r="L738">
        <v>1</v>
      </c>
      <c r="M738" t="s">
        <v>18</v>
      </c>
      <c r="N738" t="str">
        <f t="shared" si="11"/>
        <v>WATER SUPPLY (4941)</v>
      </c>
    </row>
    <row r="739" spans="1:14" x14ac:dyDescent="0.45">
      <c r="A739" s="4">
        <v>4950</v>
      </c>
      <c r="B739" t="s">
        <v>890</v>
      </c>
      <c r="C739" t="s">
        <v>890</v>
      </c>
      <c r="D739" t="s">
        <v>879</v>
      </c>
      <c r="E739" t="s">
        <v>800</v>
      </c>
      <c r="F739" t="s">
        <v>39</v>
      </c>
      <c r="G739">
        <v>33</v>
      </c>
      <c r="H739">
        <v>2.4300000000000002E-2</v>
      </c>
      <c r="I739" t="s">
        <v>1413</v>
      </c>
      <c r="J739" s="2" t="s">
        <v>2135</v>
      </c>
      <c r="K739">
        <v>1</v>
      </c>
      <c r="L739">
        <v>1</v>
      </c>
      <c r="M739" t="s">
        <v>18</v>
      </c>
      <c r="N739" t="str">
        <f t="shared" si="11"/>
        <v>SANITARY SERVICES (4950)</v>
      </c>
    </row>
    <row r="740" spans="1:14" x14ac:dyDescent="0.45">
      <c r="A740" s="4">
        <v>4952</v>
      </c>
      <c r="B740" t="s">
        <v>891</v>
      </c>
      <c r="C740" t="s">
        <v>890</v>
      </c>
      <c r="D740" t="s">
        <v>879</v>
      </c>
      <c r="E740" t="s">
        <v>800</v>
      </c>
      <c r="F740" t="s">
        <v>39</v>
      </c>
      <c r="G740">
        <v>33</v>
      </c>
      <c r="H740">
        <v>2.4300000000000002E-2</v>
      </c>
      <c r="I740" t="s">
        <v>1413</v>
      </c>
      <c r="J740" s="2" t="s">
        <v>2135</v>
      </c>
      <c r="K740">
        <v>1</v>
      </c>
      <c r="L740">
        <v>1</v>
      </c>
      <c r="M740" t="s">
        <v>18</v>
      </c>
      <c r="N740" t="str">
        <f t="shared" si="11"/>
        <v>SEWERAGE SYSTEMS (4952)</v>
      </c>
    </row>
    <row r="741" spans="1:14" x14ac:dyDescent="0.45">
      <c r="A741" s="4">
        <v>4953</v>
      </c>
      <c r="B741" t="s">
        <v>892</v>
      </c>
      <c r="C741" t="s">
        <v>890</v>
      </c>
      <c r="D741" t="s">
        <v>879</v>
      </c>
      <c r="E741" t="s">
        <v>800</v>
      </c>
      <c r="F741" t="s">
        <v>39</v>
      </c>
      <c r="G741">
        <v>33</v>
      </c>
      <c r="H741">
        <v>2.4300000000000002E-2</v>
      </c>
      <c r="I741" t="s">
        <v>1413</v>
      </c>
      <c r="J741" s="2" t="s">
        <v>2135</v>
      </c>
      <c r="K741">
        <v>1</v>
      </c>
      <c r="L741">
        <v>1</v>
      </c>
      <c r="M741" t="s">
        <v>18</v>
      </c>
      <c r="N741" t="str">
        <f t="shared" si="11"/>
        <v>REFUSE SYSTEMS (4953)</v>
      </c>
    </row>
    <row r="742" spans="1:14" x14ac:dyDescent="0.45">
      <c r="A742" s="4">
        <v>4955</v>
      </c>
      <c r="B742" t="s">
        <v>893</v>
      </c>
      <c r="C742" t="s">
        <v>890</v>
      </c>
      <c r="D742" t="s">
        <v>879</v>
      </c>
      <c r="E742" t="s">
        <v>800</v>
      </c>
      <c r="F742" t="s">
        <v>39</v>
      </c>
      <c r="G742">
        <v>33</v>
      </c>
      <c r="H742">
        <v>2.4300000000000002E-2</v>
      </c>
      <c r="I742" t="s">
        <v>1413</v>
      </c>
      <c r="J742" s="2" t="s">
        <v>2135</v>
      </c>
      <c r="K742">
        <v>1</v>
      </c>
      <c r="L742">
        <v>1</v>
      </c>
      <c r="M742" t="s">
        <v>18</v>
      </c>
      <c r="N742" t="str">
        <f t="shared" si="11"/>
        <v>HAZARDOUS WASTE MANAGEMENT (4955)</v>
      </c>
    </row>
    <row r="743" spans="1:14" x14ac:dyDescent="0.45">
      <c r="A743" s="4">
        <v>4959</v>
      </c>
      <c r="B743" t="s">
        <v>894</v>
      </c>
      <c r="C743" t="s">
        <v>890</v>
      </c>
      <c r="D743" t="s">
        <v>879</v>
      </c>
      <c r="E743" t="s">
        <v>800</v>
      </c>
      <c r="F743" t="s">
        <v>39</v>
      </c>
      <c r="G743">
        <v>33</v>
      </c>
      <c r="H743">
        <v>2.4300000000000002E-2</v>
      </c>
      <c r="I743" t="s">
        <v>1413</v>
      </c>
      <c r="J743" s="2" t="s">
        <v>2135</v>
      </c>
      <c r="K743">
        <v>1</v>
      </c>
      <c r="L743">
        <v>1</v>
      </c>
      <c r="M743" t="s">
        <v>18</v>
      </c>
      <c r="N743" t="str">
        <f t="shared" si="11"/>
        <v>SANITARY SERVICES, NEC (4959)</v>
      </c>
    </row>
    <row r="744" spans="1:14" x14ac:dyDescent="0.45">
      <c r="A744" s="4">
        <v>4961</v>
      </c>
      <c r="B744" t="s">
        <v>895</v>
      </c>
      <c r="C744" t="s">
        <v>895</v>
      </c>
      <c r="D744" t="s">
        <v>879</v>
      </c>
      <c r="E744" t="s">
        <v>800</v>
      </c>
      <c r="F744" t="s">
        <v>32</v>
      </c>
      <c r="G744">
        <v>32</v>
      </c>
      <c r="H744">
        <v>1.6200000000000003E-2</v>
      </c>
      <c r="I744" t="s">
        <v>1413</v>
      </c>
      <c r="J744" s="2" t="s">
        <v>2134</v>
      </c>
      <c r="K744">
        <v>1</v>
      </c>
      <c r="L744">
        <v>1</v>
      </c>
      <c r="M744" t="s">
        <v>18</v>
      </c>
      <c r="N744" t="str">
        <f t="shared" si="11"/>
        <v>STEAM AND AIR-CONDITIONING SUPPLY (4961)</v>
      </c>
    </row>
    <row r="745" spans="1:14" x14ac:dyDescent="0.45">
      <c r="A745" s="4">
        <v>4971</v>
      </c>
      <c r="B745" t="s">
        <v>896</v>
      </c>
      <c r="C745" t="s">
        <v>896</v>
      </c>
      <c r="D745" t="s">
        <v>879</v>
      </c>
      <c r="E745" t="s">
        <v>800</v>
      </c>
      <c r="F745" t="s">
        <v>32</v>
      </c>
      <c r="G745">
        <v>32</v>
      </c>
      <c r="H745">
        <v>1.6200000000000003E-2</v>
      </c>
      <c r="I745" t="s">
        <v>1413</v>
      </c>
      <c r="J745" s="2" t="s">
        <v>2134</v>
      </c>
      <c r="K745">
        <v>1</v>
      </c>
      <c r="L745">
        <v>1</v>
      </c>
      <c r="M745" t="s">
        <v>18</v>
      </c>
      <c r="N745" t="str">
        <f t="shared" si="11"/>
        <v>IRRIGATION SYSTEMS (4971)</v>
      </c>
    </row>
    <row r="746" spans="1:14" x14ac:dyDescent="0.45">
      <c r="A746" s="4">
        <v>4991</v>
      </c>
      <c r="B746" t="s">
        <v>897</v>
      </c>
      <c r="C746" t="s">
        <v>896</v>
      </c>
      <c r="D746" t="s">
        <v>879</v>
      </c>
      <c r="E746" t="s">
        <v>800</v>
      </c>
      <c r="F746" t="s">
        <v>32</v>
      </c>
      <c r="G746">
        <v>32</v>
      </c>
      <c r="H746">
        <v>1.6200000000000003E-2</v>
      </c>
      <c r="I746" t="s">
        <v>1413</v>
      </c>
      <c r="J746" s="2" t="s">
        <v>2134</v>
      </c>
      <c r="K746">
        <v>1</v>
      </c>
      <c r="L746">
        <v>1</v>
      </c>
      <c r="M746" t="s">
        <v>18</v>
      </c>
      <c r="N746" t="str">
        <f t="shared" si="11"/>
        <v>COGENERATION SVCS &amp; SMALL POWER PRODUCER (4991)</v>
      </c>
    </row>
    <row r="747" spans="1:14" x14ac:dyDescent="0.45">
      <c r="A747" s="4">
        <v>5000</v>
      </c>
      <c r="B747" t="s">
        <v>898</v>
      </c>
      <c r="C747" t="s">
        <v>898</v>
      </c>
      <c r="D747" t="s">
        <v>898</v>
      </c>
      <c r="E747" t="s">
        <v>898</v>
      </c>
      <c r="F747" t="s">
        <v>40</v>
      </c>
      <c r="G747">
        <v>44</v>
      </c>
      <c r="H747">
        <v>2.8571034755682664E-2</v>
      </c>
      <c r="I747" t="s">
        <v>1413</v>
      </c>
      <c r="J747" s="2" t="s">
        <v>2136</v>
      </c>
      <c r="K747">
        <v>1</v>
      </c>
      <c r="L747">
        <v>1</v>
      </c>
      <c r="M747" t="s">
        <v>18</v>
      </c>
      <c r="N747" t="str">
        <f t="shared" si="11"/>
        <v>WHOLESALE TRADE (5000)</v>
      </c>
    </row>
    <row r="748" spans="1:14" x14ac:dyDescent="0.45">
      <c r="A748" s="4">
        <v>5010</v>
      </c>
      <c r="B748" t="s">
        <v>899</v>
      </c>
      <c r="C748" t="s">
        <v>899</v>
      </c>
      <c r="D748" t="s">
        <v>900</v>
      </c>
      <c r="E748" t="s">
        <v>898</v>
      </c>
      <c r="F748" t="s">
        <v>40</v>
      </c>
      <c r="G748">
        <v>44</v>
      </c>
      <c r="H748">
        <v>2.8571034755682664E-2</v>
      </c>
      <c r="I748" t="s">
        <v>1413</v>
      </c>
      <c r="J748" s="2" t="s">
        <v>2136</v>
      </c>
      <c r="K748">
        <v>1</v>
      </c>
      <c r="L748">
        <v>1</v>
      </c>
      <c r="M748" t="s">
        <v>18</v>
      </c>
      <c r="N748" t="str">
        <f t="shared" si="11"/>
        <v>MOTOR VEHICLES, PARTS, AND SUPPLIES (5010)</v>
      </c>
    </row>
    <row r="749" spans="1:14" x14ac:dyDescent="0.45">
      <c r="A749" s="4">
        <v>5012</v>
      </c>
      <c r="B749" t="s">
        <v>901</v>
      </c>
      <c r="C749" t="s">
        <v>899</v>
      </c>
      <c r="D749" t="s">
        <v>900</v>
      </c>
      <c r="E749" t="s">
        <v>898</v>
      </c>
      <c r="F749" t="s">
        <v>40</v>
      </c>
      <c r="G749">
        <v>44</v>
      </c>
      <c r="H749">
        <v>2.8571034755682664E-2</v>
      </c>
      <c r="I749" t="s">
        <v>1413</v>
      </c>
      <c r="J749" s="2" t="s">
        <v>2136</v>
      </c>
      <c r="K749">
        <v>1</v>
      </c>
      <c r="L749">
        <v>1</v>
      </c>
      <c r="M749" t="s">
        <v>18</v>
      </c>
      <c r="N749" t="str">
        <f t="shared" si="11"/>
        <v>AUTOMOBILES AND OTHER MOTOR VEHICLES (5012)</v>
      </c>
    </row>
    <row r="750" spans="1:14" x14ac:dyDescent="0.45">
      <c r="A750" s="4">
        <v>5013</v>
      </c>
      <c r="B750" t="s">
        <v>902</v>
      </c>
      <c r="C750" t="s">
        <v>899</v>
      </c>
      <c r="D750" t="s">
        <v>900</v>
      </c>
      <c r="E750" t="s">
        <v>898</v>
      </c>
      <c r="F750" t="s">
        <v>40</v>
      </c>
      <c r="G750">
        <v>44</v>
      </c>
      <c r="H750">
        <v>2.8571034755682664E-2</v>
      </c>
      <c r="I750" t="s">
        <v>1413</v>
      </c>
      <c r="J750" s="2" t="s">
        <v>2136</v>
      </c>
      <c r="K750">
        <v>1</v>
      </c>
      <c r="L750">
        <v>1</v>
      </c>
      <c r="M750" t="s">
        <v>18</v>
      </c>
      <c r="N750" t="str">
        <f t="shared" si="11"/>
        <v>MOTOR VEHICLE SUPPLIES AND NEW PARTS (5013)</v>
      </c>
    </row>
    <row r="751" spans="1:14" x14ac:dyDescent="0.45">
      <c r="A751" s="4">
        <v>5014</v>
      </c>
      <c r="B751" t="s">
        <v>903</v>
      </c>
      <c r="C751" t="s">
        <v>899</v>
      </c>
      <c r="D751" t="s">
        <v>900</v>
      </c>
      <c r="E751" t="s">
        <v>898</v>
      </c>
      <c r="F751" t="s">
        <v>40</v>
      </c>
      <c r="G751">
        <v>44</v>
      </c>
      <c r="H751">
        <v>2.8571034755682664E-2</v>
      </c>
      <c r="I751" t="s">
        <v>1413</v>
      </c>
      <c r="J751" s="2" t="s">
        <v>2136</v>
      </c>
      <c r="K751">
        <v>1</v>
      </c>
      <c r="L751">
        <v>1</v>
      </c>
      <c r="M751" t="s">
        <v>18</v>
      </c>
      <c r="N751" t="str">
        <f t="shared" si="11"/>
        <v>TIRES AND TUBES (5014)</v>
      </c>
    </row>
    <row r="752" spans="1:14" x14ac:dyDescent="0.45">
      <c r="A752" s="4">
        <v>5015</v>
      </c>
      <c r="B752" t="s">
        <v>904</v>
      </c>
      <c r="C752" t="s">
        <v>899</v>
      </c>
      <c r="D752" t="s">
        <v>900</v>
      </c>
      <c r="E752" t="s">
        <v>898</v>
      </c>
      <c r="F752" t="s">
        <v>40</v>
      </c>
      <c r="G752">
        <v>44</v>
      </c>
      <c r="H752">
        <v>2.8571034755682664E-2</v>
      </c>
      <c r="I752" t="s">
        <v>1413</v>
      </c>
      <c r="J752" s="2" t="s">
        <v>2136</v>
      </c>
      <c r="K752">
        <v>1</v>
      </c>
      <c r="L752">
        <v>1</v>
      </c>
      <c r="M752" t="s">
        <v>18</v>
      </c>
      <c r="N752" t="str">
        <f t="shared" si="11"/>
        <v>MOTOR VEHICLE PARTS, USED (5015)</v>
      </c>
    </row>
    <row r="753" spans="1:14" x14ac:dyDescent="0.45">
      <c r="A753" s="4">
        <v>5020</v>
      </c>
      <c r="B753" t="s">
        <v>905</v>
      </c>
      <c r="C753" t="s">
        <v>905</v>
      </c>
      <c r="D753" t="s">
        <v>900</v>
      </c>
      <c r="E753" t="s">
        <v>898</v>
      </c>
      <c r="F753" t="s">
        <v>40</v>
      </c>
      <c r="G753">
        <v>44</v>
      </c>
      <c r="H753">
        <v>2.8571034755682664E-2</v>
      </c>
      <c r="I753" t="s">
        <v>1413</v>
      </c>
      <c r="J753" s="2" t="s">
        <v>2136</v>
      </c>
      <c r="K753">
        <v>1</v>
      </c>
      <c r="L753">
        <v>1</v>
      </c>
      <c r="M753" t="s">
        <v>18</v>
      </c>
      <c r="N753" t="str">
        <f t="shared" si="11"/>
        <v>FURNITURE AND HOMEFURNISHINGS (5020)</v>
      </c>
    </row>
    <row r="754" spans="1:14" x14ac:dyDescent="0.45">
      <c r="A754" s="4">
        <v>5021</v>
      </c>
      <c r="B754" t="s">
        <v>906</v>
      </c>
      <c r="C754" t="s">
        <v>905</v>
      </c>
      <c r="D754" t="s">
        <v>900</v>
      </c>
      <c r="E754" t="s">
        <v>898</v>
      </c>
      <c r="F754" t="s">
        <v>40</v>
      </c>
      <c r="G754">
        <v>44</v>
      </c>
      <c r="H754">
        <v>2.8571034755682664E-2</v>
      </c>
      <c r="I754" t="s">
        <v>1413</v>
      </c>
      <c r="J754" s="2" t="s">
        <v>2136</v>
      </c>
      <c r="K754">
        <v>1</v>
      </c>
      <c r="L754">
        <v>1</v>
      </c>
      <c r="M754" t="s">
        <v>18</v>
      </c>
      <c r="N754" t="str">
        <f t="shared" si="11"/>
        <v>FURNITURE (5021)</v>
      </c>
    </row>
    <row r="755" spans="1:14" x14ac:dyDescent="0.45">
      <c r="A755" s="4">
        <v>5023</v>
      </c>
      <c r="B755" t="s">
        <v>907</v>
      </c>
      <c r="C755" t="s">
        <v>905</v>
      </c>
      <c r="D755" t="s">
        <v>900</v>
      </c>
      <c r="E755" t="s">
        <v>898</v>
      </c>
      <c r="F755" t="s">
        <v>40</v>
      </c>
      <c r="G755">
        <v>44</v>
      </c>
      <c r="H755">
        <v>2.8571034755682664E-2</v>
      </c>
      <c r="I755" t="s">
        <v>1413</v>
      </c>
      <c r="J755" s="2" t="s">
        <v>2136</v>
      </c>
      <c r="K755">
        <v>1</v>
      </c>
      <c r="L755">
        <v>1</v>
      </c>
      <c r="M755" t="s">
        <v>18</v>
      </c>
      <c r="N755" t="str">
        <f t="shared" si="11"/>
        <v>HOMEFURNISHINGS (5023)</v>
      </c>
    </row>
    <row r="756" spans="1:14" x14ac:dyDescent="0.45">
      <c r="A756" s="4">
        <v>5030</v>
      </c>
      <c r="B756" t="s">
        <v>908</v>
      </c>
      <c r="C756" t="s">
        <v>908</v>
      </c>
      <c r="D756" t="s">
        <v>900</v>
      </c>
      <c r="E756" t="s">
        <v>898</v>
      </c>
      <c r="F756" t="s">
        <v>40</v>
      </c>
      <c r="G756">
        <v>44</v>
      </c>
      <c r="H756">
        <v>2.8571034755682664E-2</v>
      </c>
      <c r="I756" t="s">
        <v>1413</v>
      </c>
      <c r="J756" s="2" t="s">
        <v>2136</v>
      </c>
      <c r="K756">
        <v>1</v>
      </c>
      <c r="L756">
        <v>1</v>
      </c>
      <c r="M756" t="s">
        <v>18</v>
      </c>
      <c r="N756" t="str">
        <f t="shared" si="11"/>
        <v>LUMBER AND CONSTRUCTION MATERIALS (5030)</v>
      </c>
    </row>
    <row r="757" spans="1:14" x14ac:dyDescent="0.45">
      <c r="A757" s="4">
        <v>5031</v>
      </c>
      <c r="B757" t="s">
        <v>909</v>
      </c>
      <c r="C757" t="s">
        <v>908</v>
      </c>
      <c r="D757" t="s">
        <v>900</v>
      </c>
      <c r="E757" t="s">
        <v>898</v>
      </c>
      <c r="F757" t="s">
        <v>40</v>
      </c>
      <c r="G757">
        <v>44</v>
      </c>
      <c r="H757">
        <v>2.8571034755682664E-2</v>
      </c>
      <c r="I757" t="s">
        <v>1413</v>
      </c>
      <c r="J757" s="2" t="s">
        <v>2136</v>
      </c>
      <c r="K757">
        <v>1</v>
      </c>
      <c r="L757">
        <v>1</v>
      </c>
      <c r="M757" t="s">
        <v>18</v>
      </c>
      <c r="N757" t="str">
        <f t="shared" si="11"/>
        <v>LUMBER, PLYWOOD, AND MILLWORK (5031)</v>
      </c>
    </row>
    <row r="758" spans="1:14" x14ac:dyDescent="0.45">
      <c r="A758" s="4">
        <v>5032</v>
      </c>
      <c r="B758" t="s">
        <v>910</v>
      </c>
      <c r="C758" t="s">
        <v>908</v>
      </c>
      <c r="D758" t="s">
        <v>900</v>
      </c>
      <c r="E758" t="s">
        <v>898</v>
      </c>
      <c r="F758" t="s">
        <v>40</v>
      </c>
      <c r="G758">
        <v>44</v>
      </c>
      <c r="H758">
        <v>2.8571034755682664E-2</v>
      </c>
      <c r="I758" t="s">
        <v>1413</v>
      </c>
      <c r="J758" s="2" t="s">
        <v>2136</v>
      </c>
      <c r="K758">
        <v>1</v>
      </c>
      <c r="L758">
        <v>1</v>
      </c>
      <c r="M758" t="s">
        <v>18</v>
      </c>
      <c r="N758" t="str">
        <f t="shared" si="11"/>
        <v>BRICK, STONE, AND RELATED MATERIAL (5032)</v>
      </c>
    </row>
    <row r="759" spans="1:14" x14ac:dyDescent="0.45">
      <c r="A759" s="4">
        <v>5033</v>
      </c>
      <c r="B759" t="s">
        <v>911</v>
      </c>
      <c r="C759" t="s">
        <v>908</v>
      </c>
      <c r="D759" t="s">
        <v>900</v>
      </c>
      <c r="E759" t="s">
        <v>898</v>
      </c>
      <c r="F759" t="s">
        <v>40</v>
      </c>
      <c r="G759">
        <v>44</v>
      </c>
      <c r="H759">
        <v>2.8571034755682664E-2</v>
      </c>
      <c r="I759" t="s">
        <v>1413</v>
      </c>
      <c r="J759" s="2" t="s">
        <v>2136</v>
      </c>
      <c r="K759">
        <v>1</v>
      </c>
      <c r="L759">
        <v>1</v>
      </c>
      <c r="M759" t="s">
        <v>18</v>
      </c>
      <c r="N759" t="str">
        <f t="shared" si="11"/>
        <v>ROOFING, SIDING, AND INSULATION (5033)</v>
      </c>
    </row>
    <row r="760" spans="1:14" x14ac:dyDescent="0.45">
      <c r="A760" s="4">
        <v>5039</v>
      </c>
      <c r="B760" t="s">
        <v>912</v>
      </c>
      <c r="C760" t="s">
        <v>908</v>
      </c>
      <c r="D760" t="s">
        <v>900</v>
      </c>
      <c r="E760" t="s">
        <v>898</v>
      </c>
      <c r="F760" t="s">
        <v>40</v>
      </c>
      <c r="G760">
        <v>44</v>
      </c>
      <c r="H760">
        <v>2.8571034755682664E-2</v>
      </c>
      <c r="I760" t="s">
        <v>1413</v>
      </c>
      <c r="J760" s="2" t="s">
        <v>2136</v>
      </c>
      <c r="K760">
        <v>1</v>
      </c>
      <c r="L760">
        <v>1</v>
      </c>
      <c r="M760" t="s">
        <v>18</v>
      </c>
      <c r="N760" t="str">
        <f t="shared" si="11"/>
        <v>CONSTRUCTION MATERIALS, NEC (5039)</v>
      </c>
    </row>
    <row r="761" spans="1:14" x14ac:dyDescent="0.45">
      <c r="A761" s="4">
        <v>5040</v>
      </c>
      <c r="B761" t="s">
        <v>913</v>
      </c>
      <c r="C761" t="s">
        <v>913</v>
      </c>
      <c r="D761" t="s">
        <v>900</v>
      </c>
      <c r="E761" t="s">
        <v>898</v>
      </c>
      <c r="F761" t="s">
        <v>40</v>
      </c>
      <c r="G761">
        <v>44</v>
      </c>
      <c r="H761">
        <v>2.8571034755682664E-2</v>
      </c>
      <c r="I761" t="s">
        <v>1413</v>
      </c>
      <c r="J761" s="2" t="s">
        <v>2136</v>
      </c>
      <c r="K761">
        <v>1</v>
      </c>
      <c r="L761">
        <v>1</v>
      </c>
      <c r="M761" t="s">
        <v>18</v>
      </c>
      <c r="N761" t="str">
        <f t="shared" si="11"/>
        <v>PROFESSIONAL &amp; COMMERCIAL EQUIPMENT (5040)</v>
      </c>
    </row>
    <row r="762" spans="1:14" x14ac:dyDescent="0.45">
      <c r="A762" s="4">
        <v>5043</v>
      </c>
      <c r="B762" t="s">
        <v>770</v>
      </c>
      <c r="C762" t="s">
        <v>913</v>
      </c>
      <c r="D762" t="s">
        <v>900</v>
      </c>
      <c r="E762" t="s">
        <v>898</v>
      </c>
      <c r="F762" t="s">
        <v>40</v>
      </c>
      <c r="G762">
        <v>44</v>
      </c>
      <c r="H762">
        <v>2.8571034755682664E-2</v>
      </c>
      <c r="I762" t="s">
        <v>1413</v>
      </c>
      <c r="J762" s="2" t="s">
        <v>2136</v>
      </c>
      <c r="K762">
        <v>1</v>
      </c>
      <c r="L762">
        <v>1</v>
      </c>
      <c r="M762" t="s">
        <v>18</v>
      </c>
      <c r="N762" t="str">
        <f t="shared" si="11"/>
        <v>PHOTOGRAPHIC EQUIPMENT AND SUPPLIES (5043)</v>
      </c>
    </row>
    <row r="763" spans="1:14" x14ac:dyDescent="0.45">
      <c r="A763" s="4">
        <v>5044</v>
      </c>
      <c r="B763" t="s">
        <v>914</v>
      </c>
      <c r="C763" t="s">
        <v>913</v>
      </c>
      <c r="D763" t="s">
        <v>900</v>
      </c>
      <c r="E763" t="s">
        <v>898</v>
      </c>
      <c r="F763" t="s">
        <v>40</v>
      </c>
      <c r="G763">
        <v>44</v>
      </c>
      <c r="H763">
        <v>2.8571034755682664E-2</v>
      </c>
      <c r="I763" t="s">
        <v>1413</v>
      </c>
      <c r="J763" s="2" t="s">
        <v>2136</v>
      </c>
      <c r="K763">
        <v>1</v>
      </c>
      <c r="L763">
        <v>1</v>
      </c>
      <c r="M763" t="s">
        <v>18</v>
      </c>
      <c r="N763" t="str">
        <f t="shared" si="11"/>
        <v>OFFICE EQUIPMENT (5044)</v>
      </c>
    </row>
    <row r="764" spans="1:14" x14ac:dyDescent="0.45">
      <c r="A764" s="4">
        <v>5045</v>
      </c>
      <c r="B764" t="s">
        <v>915</v>
      </c>
      <c r="C764" t="s">
        <v>913</v>
      </c>
      <c r="D764" t="s">
        <v>900</v>
      </c>
      <c r="E764" t="s">
        <v>898</v>
      </c>
      <c r="F764" t="s">
        <v>40</v>
      </c>
      <c r="G764">
        <v>44</v>
      </c>
      <c r="H764">
        <v>2.8571034755682664E-2</v>
      </c>
      <c r="I764" t="s">
        <v>1413</v>
      </c>
      <c r="J764" s="2" t="s">
        <v>2136</v>
      </c>
      <c r="K764">
        <v>1</v>
      </c>
      <c r="L764">
        <v>1</v>
      </c>
      <c r="M764" t="s">
        <v>18</v>
      </c>
      <c r="N764" t="str">
        <f t="shared" si="11"/>
        <v>COMPUTERS, PERIPHERALS, AND SOFTWARE (5045)</v>
      </c>
    </row>
    <row r="765" spans="1:14" x14ac:dyDescent="0.45">
      <c r="A765" s="4">
        <v>5046</v>
      </c>
      <c r="B765" t="s">
        <v>916</v>
      </c>
      <c r="C765" t="s">
        <v>913</v>
      </c>
      <c r="D765" t="s">
        <v>900</v>
      </c>
      <c r="E765" t="s">
        <v>898</v>
      </c>
      <c r="F765" t="s">
        <v>40</v>
      </c>
      <c r="G765">
        <v>44</v>
      </c>
      <c r="H765">
        <v>2.8571034755682664E-2</v>
      </c>
      <c r="I765" t="s">
        <v>1413</v>
      </c>
      <c r="J765" s="2" t="s">
        <v>2136</v>
      </c>
      <c r="K765">
        <v>1</v>
      </c>
      <c r="L765">
        <v>1</v>
      </c>
      <c r="M765" t="s">
        <v>18</v>
      </c>
      <c r="N765" t="str">
        <f t="shared" si="11"/>
        <v>COMMERCIAL EQUIPMENT, NEC (5046)</v>
      </c>
    </row>
    <row r="766" spans="1:14" x14ac:dyDescent="0.45">
      <c r="A766" s="4">
        <v>5047</v>
      </c>
      <c r="B766" t="s">
        <v>917</v>
      </c>
      <c r="C766" t="s">
        <v>913</v>
      </c>
      <c r="D766" t="s">
        <v>900</v>
      </c>
      <c r="E766" t="s">
        <v>898</v>
      </c>
      <c r="F766" t="s">
        <v>40</v>
      </c>
      <c r="G766">
        <v>44</v>
      </c>
      <c r="H766">
        <v>2.8571034755682664E-2</v>
      </c>
      <c r="I766" t="s">
        <v>1413</v>
      </c>
      <c r="J766" s="2" t="s">
        <v>2136</v>
      </c>
      <c r="K766">
        <v>1</v>
      </c>
      <c r="L766">
        <v>1</v>
      </c>
      <c r="M766" t="s">
        <v>18</v>
      </c>
      <c r="N766" t="str">
        <f t="shared" si="11"/>
        <v>MEDICAL AND HOSPITAL EQUIPMENT (5047)</v>
      </c>
    </row>
    <row r="767" spans="1:14" x14ac:dyDescent="0.45">
      <c r="A767" s="4">
        <v>5048</v>
      </c>
      <c r="B767" t="s">
        <v>768</v>
      </c>
      <c r="C767" t="s">
        <v>913</v>
      </c>
      <c r="D767" t="s">
        <v>900</v>
      </c>
      <c r="E767" t="s">
        <v>898</v>
      </c>
      <c r="F767" t="s">
        <v>40</v>
      </c>
      <c r="G767">
        <v>44</v>
      </c>
      <c r="H767">
        <v>2.8571034755682664E-2</v>
      </c>
      <c r="I767" t="s">
        <v>1413</v>
      </c>
      <c r="J767" s="2" t="s">
        <v>2136</v>
      </c>
      <c r="K767">
        <v>1</v>
      </c>
      <c r="L767">
        <v>1</v>
      </c>
      <c r="M767" t="s">
        <v>18</v>
      </c>
      <c r="N767" t="str">
        <f t="shared" si="11"/>
        <v>OPHTHALMIC GOODS (5048)</v>
      </c>
    </row>
    <row r="768" spans="1:14" x14ac:dyDescent="0.45">
      <c r="A768" s="4">
        <v>5049</v>
      </c>
      <c r="B768" t="s">
        <v>918</v>
      </c>
      <c r="C768" t="s">
        <v>913</v>
      </c>
      <c r="D768" t="s">
        <v>900</v>
      </c>
      <c r="E768" t="s">
        <v>898</v>
      </c>
      <c r="F768" t="s">
        <v>40</v>
      </c>
      <c r="G768">
        <v>44</v>
      </c>
      <c r="H768">
        <v>2.8571034755682664E-2</v>
      </c>
      <c r="I768" t="s">
        <v>1413</v>
      </c>
      <c r="J768" s="2" t="s">
        <v>2136</v>
      </c>
      <c r="K768">
        <v>1</v>
      </c>
      <c r="L768">
        <v>1</v>
      </c>
      <c r="M768" t="s">
        <v>18</v>
      </c>
      <c r="N768" t="str">
        <f t="shared" si="11"/>
        <v>PROFESSIONAL EQUIPMENT, NEC (5049)</v>
      </c>
    </row>
    <row r="769" spans="1:14" x14ac:dyDescent="0.45">
      <c r="A769" s="4">
        <v>5051</v>
      </c>
      <c r="B769" t="s">
        <v>919</v>
      </c>
      <c r="C769" t="s">
        <v>920</v>
      </c>
      <c r="D769" t="s">
        <v>900</v>
      </c>
      <c r="E769" t="s">
        <v>898</v>
      </c>
      <c r="F769" t="s">
        <v>40</v>
      </c>
      <c r="G769">
        <v>44</v>
      </c>
      <c r="H769">
        <v>2.8571034755682664E-2</v>
      </c>
      <c r="I769" t="s">
        <v>1413</v>
      </c>
      <c r="J769" s="2" t="s">
        <v>2136</v>
      </c>
      <c r="K769">
        <v>1</v>
      </c>
      <c r="L769">
        <v>1</v>
      </c>
      <c r="M769" t="s">
        <v>18</v>
      </c>
      <c r="N769" t="str">
        <f t="shared" si="11"/>
        <v>METALS SERVICE CENTERS AND OFFICES (5051)</v>
      </c>
    </row>
    <row r="770" spans="1:14" x14ac:dyDescent="0.45">
      <c r="A770" s="4">
        <v>5052</v>
      </c>
      <c r="B770" t="s">
        <v>921</v>
      </c>
      <c r="C770" t="s">
        <v>920</v>
      </c>
      <c r="D770" t="s">
        <v>900</v>
      </c>
      <c r="E770" t="s">
        <v>898</v>
      </c>
      <c r="F770" t="s">
        <v>40</v>
      </c>
      <c r="G770">
        <v>44</v>
      </c>
      <c r="H770">
        <v>2.8571034755682664E-2</v>
      </c>
      <c r="I770" t="s">
        <v>1413</v>
      </c>
      <c r="J770" s="2" t="s">
        <v>2136</v>
      </c>
      <c r="K770">
        <v>1</v>
      </c>
      <c r="L770">
        <v>1</v>
      </c>
      <c r="M770" t="s">
        <v>18</v>
      </c>
      <c r="N770" t="str">
        <f t="shared" si="11"/>
        <v>COAL AND OTHER MINERALS AND ORES (5052)</v>
      </c>
    </row>
    <row r="771" spans="1:14" x14ac:dyDescent="0.45">
      <c r="A771" s="4">
        <v>5063</v>
      </c>
      <c r="B771" t="s">
        <v>922</v>
      </c>
      <c r="C771" t="s">
        <v>923</v>
      </c>
      <c r="D771" t="s">
        <v>900</v>
      </c>
      <c r="E771" t="s">
        <v>898</v>
      </c>
      <c r="F771" t="s">
        <v>40</v>
      </c>
      <c r="G771">
        <v>44</v>
      </c>
      <c r="H771">
        <v>2.8571034755682664E-2</v>
      </c>
      <c r="I771" t="s">
        <v>1413</v>
      </c>
      <c r="J771" s="2" t="s">
        <v>2136</v>
      </c>
      <c r="K771">
        <v>1</v>
      </c>
      <c r="L771">
        <v>1</v>
      </c>
      <c r="M771" t="s">
        <v>18</v>
      </c>
      <c r="N771" t="str">
        <f t="shared" ref="N771:N834" si="12">B771&amp;" ("&amp;A771&amp;")"</f>
        <v>ELECTRICAL APPARATUS AND EQUIPMENT (5063)</v>
      </c>
    </row>
    <row r="772" spans="1:14" x14ac:dyDescent="0.45">
      <c r="A772" s="4">
        <v>5064</v>
      </c>
      <c r="B772" t="s">
        <v>924</v>
      </c>
      <c r="C772" t="s">
        <v>923</v>
      </c>
      <c r="D772" t="s">
        <v>900</v>
      </c>
      <c r="E772" t="s">
        <v>898</v>
      </c>
      <c r="F772" t="s">
        <v>40</v>
      </c>
      <c r="G772">
        <v>44</v>
      </c>
      <c r="H772">
        <v>2.8571034755682664E-2</v>
      </c>
      <c r="I772" t="s">
        <v>1413</v>
      </c>
      <c r="J772" s="2" t="s">
        <v>2136</v>
      </c>
      <c r="K772">
        <v>1</v>
      </c>
      <c r="L772">
        <v>1</v>
      </c>
      <c r="M772" t="s">
        <v>18</v>
      </c>
      <c r="N772" t="str">
        <f t="shared" si="12"/>
        <v>ELECTRICAL APPLIANCES, TELEVISION AND RADIO (5064)</v>
      </c>
    </row>
    <row r="773" spans="1:14" x14ac:dyDescent="0.45">
      <c r="A773" s="4">
        <v>5065</v>
      </c>
      <c r="B773" t="s">
        <v>925</v>
      </c>
      <c r="C773" t="s">
        <v>923</v>
      </c>
      <c r="D773" t="s">
        <v>900</v>
      </c>
      <c r="E773" t="s">
        <v>898</v>
      </c>
      <c r="F773" t="s">
        <v>40</v>
      </c>
      <c r="G773">
        <v>44</v>
      </c>
      <c r="H773">
        <v>2.8571034755682664E-2</v>
      </c>
      <c r="I773" t="s">
        <v>1413</v>
      </c>
      <c r="J773" s="2" t="s">
        <v>2136</v>
      </c>
      <c r="K773">
        <v>1</v>
      </c>
      <c r="L773">
        <v>1</v>
      </c>
      <c r="M773" t="s">
        <v>18</v>
      </c>
      <c r="N773" t="str">
        <f t="shared" si="12"/>
        <v>ELECTRONIC PARTS AND EQUIPMENT, NEC (5065)</v>
      </c>
    </row>
    <row r="774" spans="1:14" x14ac:dyDescent="0.45">
      <c r="A774" s="4">
        <v>5070</v>
      </c>
      <c r="B774" t="s">
        <v>926</v>
      </c>
      <c r="C774" t="s">
        <v>926</v>
      </c>
      <c r="D774" t="s">
        <v>900</v>
      </c>
      <c r="E774" t="s">
        <v>898</v>
      </c>
      <c r="F774" t="s">
        <v>40</v>
      </c>
      <c r="G774">
        <v>44</v>
      </c>
      <c r="H774">
        <v>2.8571034755682664E-2</v>
      </c>
      <c r="I774" t="s">
        <v>1413</v>
      </c>
      <c r="J774" s="2" t="s">
        <v>2136</v>
      </c>
      <c r="K774">
        <v>1</v>
      </c>
      <c r="L774">
        <v>1</v>
      </c>
      <c r="M774" t="s">
        <v>18</v>
      </c>
      <c r="N774" t="str">
        <f t="shared" si="12"/>
        <v>HARDWARE, PLUMBING &amp; HEATING EQUIPMENT (5070)</v>
      </c>
    </row>
    <row r="775" spans="1:14" x14ac:dyDescent="0.45">
      <c r="A775" s="4">
        <v>5072</v>
      </c>
      <c r="B775" t="s">
        <v>927</v>
      </c>
      <c r="C775" t="s">
        <v>926</v>
      </c>
      <c r="D775" t="s">
        <v>900</v>
      </c>
      <c r="E775" t="s">
        <v>898</v>
      </c>
      <c r="F775" t="s">
        <v>40</v>
      </c>
      <c r="G775">
        <v>44</v>
      </c>
      <c r="H775">
        <v>2.8571034755682664E-2</v>
      </c>
      <c r="I775" t="s">
        <v>1413</v>
      </c>
      <c r="J775" s="2" t="s">
        <v>2136</v>
      </c>
      <c r="K775">
        <v>1</v>
      </c>
      <c r="L775">
        <v>1</v>
      </c>
      <c r="M775" t="s">
        <v>18</v>
      </c>
      <c r="N775" t="str">
        <f t="shared" si="12"/>
        <v>HARDWARE (5072)</v>
      </c>
    </row>
    <row r="776" spans="1:14" x14ac:dyDescent="0.45">
      <c r="A776" s="4">
        <v>5074</v>
      </c>
      <c r="B776" t="s">
        <v>928</v>
      </c>
      <c r="C776" t="s">
        <v>926</v>
      </c>
      <c r="D776" t="s">
        <v>900</v>
      </c>
      <c r="E776" t="s">
        <v>898</v>
      </c>
      <c r="F776" t="s">
        <v>40</v>
      </c>
      <c r="G776">
        <v>44</v>
      </c>
      <c r="H776">
        <v>2.8571034755682664E-2</v>
      </c>
      <c r="I776" t="s">
        <v>1413</v>
      </c>
      <c r="J776" s="2" t="s">
        <v>2136</v>
      </c>
      <c r="K776">
        <v>1</v>
      </c>
      <c r="L776">
        <v>1</v>
      </c>
      <c r="M776" t="s">
        <v>18</v>
      </c>
      <c r="N776" t="str">
        <f t="shared" si="12"/>
        <v>PLUMBING AND HYDRONIC HEATING SUPPLIES (5074)</v>
      </c>
    </row>
    <row r="777" spans="1:14" x14ac:dyDescent="0.45">
      <c r="A777" s="4">
        <v>5075</v>
      </c>
      <c r="B777" t="s">
        <v>929</v>
      </c>
      <c r="C777" t="s">
        <v>926</v>
      </c>
      <c r="D777" t="s">
        <v>900</v>
      </c>
      <c r="E777" t="s">
        <v>898</v>
      </c>
      <c r="F777" t="s">
        <v>40</v>
      </c>
      <c r="G777">
        <v>44</v>
      </c>
      <c r="H777">
        <v>2.8571034755682664E-2</v>
      </c>
      <c r="I777" t="s">
        <v>1413</v>
      </c>
      <c r="J777" s="2" t="s">
        <v>2136</v>
      </c>
      <c r="K777">
        <v>1</v>
      </c>
      <c r="L777">
        <v>1</v>
      </c>
      <c r="M777" t="s">
        <v>18</v>
      </c>
      <c r="N777" t="str">
        <f t="shared" si="12"/>
        <v>WARM AIR HEATING AND AIR CONDITIONING (5075)</v>
      </c>
    </row>
    <row r="778" spans="1:14" x14ac:dyDescent="0.45">
      <c r="A778" s="4">
        <v>5078</v>
      </c>
      <c r="B778" t="s">
        <v>930</v>
      </c>
      <c r="C778" t="s">
        <v>926</v>
      </c>
      <c r="D778" t="s">
        <v>900</v>
      </c>
      <c r="E778" t="s">
        <v>898</v>
      </c>
      <c r="F778" t="s">
        <v>40</v>
      </c>
      <c r="G778">
        <v>44</v>
      </c>
      <c r="H778">
        <v>2.8571034755682664E-2</v>
      </c>
      <c r="I778" t="s">
        <v>1413</v>
      </c>
      <c r="J778" s="2" t="s">
        <v>2136</v>
      </c>
      <c r="K778">
        <v>1</v>
      </c>
      <c r="L778">
        <v>1</v>
      </c>
      <c r="M778" t="s">
        <v>18</v>
      </c>
      <c r="N778" t="str">
        <f t="shared" si="12"/>
        <v>REFRIGERATION EQUIPMENT AND SUPPLIES (5078)</v>
      </c>
    </row>
    <row r="779" spans="1:14" x14ac:dyDescent="0.45">
      <c r="A779" s="4">
        <v>5080</v>
      </c>
      <c r="B779" t="s">
        <v>931</v>
      </c>
      <c r="C779" t="s">
        <v>931</v>
      </c>
      <c r="D779" t="s">
        <v>900</v>
      </c>
      <c r="E779" t="s">
        <v>898</v>
      </c>
      <c r="F779" t="s">
        <v>40</v>
      </c>
      <c r="G779">
        <v>44</v>
      </c>
      <c r="H779">
        <v>2.8571034755682664E-2</v>
      </c>
      <c r="I779" t="s">
        <v>1413</v>
      </c>
      <c r="J779" s="2" t="s">
        <v>2136</v>
      </c>
      <c r="K779">
        <v>1</v>
      </c>
      <c r="L779">
        <v>1</v>
      </c>
      <c r="M779" t="s">
        <v>18</v>
      </c>
      <c r="N779" t="str">
        <f t="shared" si="12"/>
        <v>MACHINERY, EQUIPMENT, AND SUPPLIES (5080)</v>
      </c>
    </row>
    <row r="780" spans="1:14" x14ac:dyDescent="0.45">
      <c r="A780" s="4">
        <v>5082</v>
      </c>
      <c r="B780" t="s">
        <v>932</v>
      </c>
      <c r="C780" t="s">
        <v>931</v>
      </c>
      <c r="D780" t="s">
        <v>900</v>
      </c>
      <c r="E780" t="s">
        <v>898</v>
      </c>
      <c r="F780" t="s">
        <v>40</v>
      </c>
      <c r="G780">
        <v>44</v>
      </c>
      <c r="H780">
        <v>2.8571034755682664E-2</v>
      </c>
      <c r="I780" t="s">
        <v>1413</v>
      </c>
      <c r="J780" s="2" t="s">
        <v>2136</v>
      </c>
      <c r="K780">
        <v>1</v>
      </c>
      <c r="L780">
        <v>1</v>
      </c>
      <c r="M780" t="s">
        <v>18</v>
      </c>
      <c r="N780" t="str">
        <f t="shared" si="12"/>
        <v>CONSTRUCTION AND MINING MACHINERY (5082)</v>
      </c>
    </row>
    <row r="781" spans="1:14" x14ac:dyDescent="0.45">
      <c r="A781" s="4">
        <v>5083</v>
      </c>
      <c r="B781" t="s">
        <v>627</v>
      </c>
      <c r="C781" t="s">
        <v>931</v>
      </c>
      <c r="D781" t="s">
        <v>900</v>
      </c>
      <c r="E781" t="s">
        <v>898</v>
      </c>
      <c r="F781" t="s">
        <v>40</v>
      </c>
      <c r="G781">
        <v>44</v>
      </c>
      <c r="H781">
        <v>2.8571034755682664E-2</v>
      </c>
      <c r="I781" t="s">
        <v>1413</v>
      </c>
      <c r="J781" s="2" t="s">
        <v>2136</v>
      </c>
      <c r="K781">
        <v>1</v>
      </c>
      <c r="L781">
        <v>1</v>
      </c>
      <c r="M781" t="s">
        <v>18</v>
      </c>
      <c r="N781" t="str">
        <f t="shared" si="12"/>
        <v>FARM AND GARDEN MACHINERY (5083)</v>
      </c>
    </row>
    <row r="782" spans="1:14" x14ac:dyDescent="0.45">
      <c r="A782" s="4">
        <v>5084</v>
      </c>
      <c r="B782" t="s">
        <v>623</v>
      </c>
      <c r="C782" t="s">
        <v>931</v>
      </c>
      <c r="D782" t="s">
        <v>900</v>
      </c>
      <c r="E782" t="s">
        <v>898</v>
      </c>
      <c r="F782" t="s">
        <v>40</v>
      </c>
      <c r="G782">
        <v>44</v>
      </c>
      <c r="H782">
        <v>2.8571034755682664E-2</v>
      </c>
      <c r="I782" t="s">
        <v>1413</v>
      </c>
      <c r="J782" s="2" t="s">
        <v>2136</v>
      </c>
      <c r="K782">
        <v>1</v>
      </c>
      <c r="L782">
        <v>1</v>
      </c>
      <c r="M782" t="s">
        <v>18</v>
      </c>
      <c r="N782" t="str">
        <f t="shared" si="12"/>
        <v>INDUSTRIAL MACHINERY AND EQUIPMENT (5084)</v>
      </c>
    </row>
    <row r="783" spans="1:14" x14ac:dyDescent="0.45">
      <c r="A783" s="4">
        <v>5085</v>
      </c>
      <c r="B783" t="s">
        <v>933</v>
      </c>
      <c r="C783" t="s">
        <v>931</v>
      </c>
      <c r="D783" t="s">
        <v>900</v>
      </c>
      <c r="E783" t="s">
        <v>898</v>
      </c>
      <c r="F783" t="s">
        <v>40</v>
      </c>
      <c r="G783">
        <v>44</v>
      </c>
      <c r="H783">
        <v>2.8571034755682664E-2</v>
      </c>
      <c r="I783" t="s">
        <v>1413</v>
      </c>
      <c r="J783" s="2" t="s">
        <v>2136</v>
      </c>
      <c r="K783">
        <v>1</v>
      </c>
      <c r="L783">
        <v>1</v>
      </c>
      <c r="M783" t="s">
        <v>18</v>
      </c>
      <c r="N783" t="str">
        <f t="shared" si="12"/>
        <v>INDUSTRIAL SUPPLIES (5085)</v>
      </c>
    </row>
    <row r="784" spans="1:14" x14ac:dyDescent="0.45">
      <c r="A784" s="4">
        <v>5087</v>
      </c>
      <c r="B784" t="s">
        <v>934</v>
      </c>
      <c r="C784" t="s">
        <v>931</v>
      </c>
      <c r="D784" t="s">
        <v>900</v>
      </c>
      <c r="E784" t="s">
        <v>898</v>
      </c>
      <c r="F784" t="s">
        <v>40</v>
      </c>
      <c r="G784">
        <v>44</v>
      </c>
      <c r="H784">
        <v>2.8571034755682664E-2</v>
      </c>
      <c r="I784" t="s">
        <v>1413</v>
      </c>
      <c r="J784" s="2" t="s">
        <v>2136</v>
      </c>
      <c r="K784">
        <v>1</v>
      </c>
      <c r="L784">
        <v>1</v>
      </c>
      <c r="M784" t="s">
        <v>18</v>
      </c>
      <c r="N784" t="str">
        <f t="shared" si="12"/>
        <v>SERVICE ESTABLISHMENT EQUIPMENT (5087)</v>
      </c>
    </row>
    <row r="785" spans="1:14" x14ac:dyDescent="0.45">
      <c r="A785" s="4">
        <v>5088</v>
      </c>
      <c r="B785" t="s">
        <v>935</v>
      </c>
      <c r="C785" t="s">
        <v>931</v>
      </c>
      <c r="D785" t="s">
        <v>900</v>
      </c>
      <c r="E785" t="s">
        <v>898</v>
      </c>
      <c r="F785" t="s">
        <v>40</v>
      </c>
      <c r="G785">
        <v>44</v>
      </c>
      <c r="H785">
        <v>2.8571034755682664E-2</v>
      </c>
      <c r="I785" t="s">
        <v>1413</v>
      </c>
      <c r="J785" s="2" t="s">
        <v>2136</v>
      </c>
      <c r="K785">
        <v>1</v>
      </c>
      <c r="L785">
        <v>1</v>
      </c>
      <c r="M785" t="s">
        <v>18</v>
      </c>
      <c r="N785" t="str">
        <f t="shared" si="12"/>
        <v>TRANSPORTATION EQUIPMENT AND SUPPLIES (5088)</v>
      </c>
    </row>
    <row r="786" spans="1:14" x14ac:dyDescent="0.45">
      <c r="A786" s="4">
        <v>5090</v>
      </c>
      <c r="B786" t="s">
        <v>936</v>
      </c>
      <c r="C786" t="s">
        <v>936</v>
      </c>
      <c r="D786" t="s">
        <v>900</v>
      </c>
      <c r="E786" t="s">
        <v>898</v>
      </c>
      <c r="F786" t="s">
        <v>40</v>
      </c>
      <c r="G786">
        <v>44</v>
      </c>
      <c r="H786">
        <v>2.8571034755682664E-2</v>
      </c>
      <c r="I786" t="s">
        <v>1413</v>
      </c>
      <c r="J786" s="2" t="s">
        <v>2136</v>
      </c>
      <c r="K786">
        <v>1</v>
      </c>
      <c r="L786">
        <v>1</v>
      </c>
      <c r="M786" t="s">
        <v>18</v>
      </c>
      <c r="N786" t="str">
        <f t="shared" si="12"/>
        <v>MISCELLANEOUS DURABLE GOODS (5090)</v>
      </c>
    </row>
    <row r="787" spans="1:14" x14ac:dyDescent="0.45">
      <c r="A787" s="4">
        <v>5091</v>
      </c>
      <c r="B787" t="s">
        <v>937</v>
      </c>
      <c r="C787" t="s">
        <v>936</v>
      </c>
      <c r="D787" t="s">
        <v>900</v>
      </c>
      <c r="E787" t="s">
        <v>898</v>
      </c>
      <c r="F787" t="s">
        <v>40</v>
      </c>
      <c r="G787">
        <v>44</v>
      </c>
      <c r="H787">
        <v>2.8571034755682664E-2</v>
      </c>
      <c r="I787" t="s">
        <v>1413</v>
      </c>
      <c r="J787" s="2" t="s">
        <v>2136</v>
      </c>
      <c r="K787">
        <v>1</v>
      </c>
      <c r="L787">
        <v>1</v>
      </c>
      <c r="M787" t="s">
        <v>18</v>
      </c>
      <c r="N787" t="str">
        <f t="shared" si="12"/>
        <v>SPORTING AND RECREATION GOODS (5091)</v>
      </c>
    </row>
    <row r="788" spans="1:14" x14ac:dyDescent="0.45">
      <c r="A788" s="4">
        <v>5092</v>
      </c>
      <c r="B788" t="s">
        <v>938</v>
      </c>
      <c r="C788" t="s">
        <v>936</v>
      </c>
      <c r="D788" t="s">
        <v>900</v>
      </c>
      <c r="E788" t="s">
        <v>898</v>
      </c>
      <c r="F788" t="s">
        <v>40</v>
      </c>
      <c r="G788">
        <v>44</v>
      </c>
      <c r="H788">
        <v>2.8571034755682664E-2</v>
      </c>
      <c r="I788" t="s">
        <v>1413</v>
      </c>
      <c r="J788" s="2" t="s">
        <v>2136</v>
      </c>
      <c r="K788">
        <v>1</v>
      </c>
      <c r="L788">
        <v>1</v>
      </c>
      <c r="M788" t="s">
        <v>18</v>
      </c>
      <c r="N788" t="str">
        <f t="shared" si="12"/>
        <v>TOYS AND HOBBY GOODS AND SUPPLIES (5092)</v>
      </c>
    </row>
    <row r="789" spans="1:14" x14ac:dyDescent="0.45">
      <c r="A789" s="4">
        <v>5093</v>
      </c>
      <c r="B789" t="s">
        <v>939</v>
      </c>
      <c r="C789" t="s">
        <v>936</v>
      </c>
      <c r="D789" t="s">
        <v>900</v>
      </c>
      <c r="E789" t="s">
        <v>898</v>
      </c>
      <c r="F789" t="s">
        <v>40</v>
      </c>
      <c r="G789">
        <v>44</v>
      </c>
      <c r="H789">
        <v>2.8571034755682664E-2</v>
      </c>
      <c r="I789" t="s">
        <v>1413</v>
      </c>
      <c r="J789" s="2" t="s">
        <v>2136</v>
      </c>
      <c r="K789">
        <v>1</v>
      </c>
      <c r="L789">
        <v>1</v>
      </c>
      <c r="M789" t="s">
        <v>18</v>
      </c>
      <c r="N789" t="str">
        <f t="shared" si="12"/>
        <v>SCRAP AND WASTE MATERIALS (5093)</v>
      </c>
    </row>
    <row r="790" spans="1:14" x14ac:dyDescent="0.45">
      <c r="A790" s="4">
        <v>5094</v>
      </c>
      <c r="B790" t="s">
        <v>940</v>
      </c>
      <c r="C790" t="s">
        <v>936</v>
      </c>
      <c r="D790" t="s">
        <v>900</v>
      </c>
      <c r="E790" t="s">
        <v>898</v>
      </c>
      <c r="F790" t="s">
        <v>40</v>
      </c>
      <c r="G790">
        <v>44</v>
      </c>
      <c r="H790">
        <v>2.8571034755682664E-2</v>
      </c>
      <c r="I790" t="s">
        <v>1413</v>
      </c>
      <c r="J790" s="2" t="s">
        <v>2136</v>
      </c>
      <c r="K790">
        <v>1</v>
      </c>
      <c r="L790">
        <v>1</v>
      </c>
      <c r="M790" t="s">
        <v>18</v>
      </c>
      <c r="N790" t="str">
        <f t="shared" si="12"/>
        <v>JEWELRY AND PRECIOUS STONES (5094)</v>
      </c>
    </row>
    <row r="791" spans="1:14" x14ac:dyDescent="0.45">
      <c r="A791" s="4">
        <v>5099</v>
      </c>
      <c r="B791" t="s">
        <v>941</v>
      </c>
      <c r="C791" t="s">
        <v>936</v>
      </c>
      <c r="D791" t="s">
        <v>900</v>
      </c>
      <c r="E791" t="s">
        <v>898</v>
      </c>
      <c r="F791" t="s">
        <v>40</v>
      </c>
      <c r="G791">
        <v>44</v>
      </c>
      <c r="H791">
        <v>2.8571034755682664E-2</v>
      </c>
      <c r="I791" t="s">
        <v>1413</v>
      </c>
      <c r="J791" s="2" t="s">
        <v>2136</v>
      </c>
      <c r="K791">
        <v>1</v>
      </c>
      <c r="L791">
        <v>1</v>
      </c>
      <c r="M791" t="s">
        <v>18</v>
      </c>
      <c r="N791" t="str">
        <f t="shared" si="12"/>
        <v>DURABLE GOODS, NEC (5099)</v>
      </c>
    </row>
    <row r="792" spans="1:14" x14ac:dyDescent="0.45">
      <c r="A792" s="4">
        <v>5110</v>
      </c>
      <c r="B792" t="s">
        <v>942</v>
      </c>
      <c r="C792" t="s">
        <v>942</v>
      </c>
      <c r="D792" t="s">
        <v>943</v>
      </c>
      <c r="E792" t="s">
        <v>898</v>
      </c>
      <c r="F792" t="s">
        <v>40</v>
      </c>
      <c r="G792">
        <v>44</v>
      </c>
      <c r="H792">
        <v>2.8571034755682664E-2</v>
      </c>
      <c r="I792" t="s">
        <v>1413</v>
      </c>
      <c r="J792" s="2" t="s">
        <v>2136</v>
      </c>
      <c r="K792">
        <v>1</v>
      </c>
      <c r="L792">
        <v>1</v>
      </c>
      <c r="M792" t="s">
        <v>18</v>
      </c>
      <c r="N792" t="str">
        <f t="shared" si="12"/>
        <v>PAPER AND PAPER PRODUCTS (5110)</v>
      </c>
    </row>
    <row r="793" spans="1:14" x14ac:dyDescent="0.45">
      <c r="A793" s="4">
        <v>5111</v>
      </c>
      <c r="B793" t="s">
        <v>944</v>
      </c>
      <c r="C793" t="s">
        <v>942</v>
      </c>
      <c r="D793" t="s">
        <v>943</v>
      </c>
      <c r="E793" t="s">
        <v>898</v>
      </c>
      <c r="F793" t="s">
        <v>40</v>
      </c>
      <c r="G793">
        <v>44</v>
      </c>
      <c r="H793">
        <v>2.8571034755682664E-2</v>
      </c>
      <c r="I793" t="s">
        <v>1413</v>
      </c>
      <c r="J793" s="2" t="s">
        <v>2136</v>
      </c>
      <c r="K793">
        <v>1</v>
      </c>
      <c r="L793">
        <v>1</v>
      </c>
      <c r="M793" t="s">
        <v>18</v>
      </c>
      <c r="N793" t="str">
        <f t="shared" si="12"/>
        <v>PRINTING AND WRITING PAPER (5111)</v>
      </c>
    </row>
    <row r="794" spans="1:14" x14ac:dyDescent="0.45">
      <c r="A794" s="4">
        <v>5112</v>
      </c>
      <c r="B794" t="s">
        <v>945</v>
      </c>
      <c r="C794" t="s">
        <v>942</v>
      </c>
      <c r="D794" t="s">
        <v>943</v>
      </c>
      <c r="E794" t="s">
        <v>898</v>
      </c>
      <c r="F794" t="s">
        <v>40</v>
      </c>
      <c r="G794">
        <v>44</v>
      </c>
      <c r="H794">
        <v>2.8571034755682664E-2</v>
      </c>
      <c r="I794" t="s">
        <v>1413</v>
      </c>
      <c r="J794" s="2" t="s">
        <v>2136</v>
      </c>
      <c r="K794">
        <v>1</v>
      </c>
      <c r="L794">
        <v>1</v>
      </c>
      <c r="M794" t="s">
        <v>18</v>
      </c>
      <c r="N794" t="str">
        <f t="shared" si="12"/>
        <v>STATIONERY AND OFFICE SUPPLIES (5112)</v>
      </c>
    </row>
    <row r="795" spans="1:14" x14ac:dyDescent="0.45">
      <c r="A795" s="4">
        <v>5113</v>
      </c>
      <c r="B795" t="s">
        <v>946</v>
      </c>
      <c r="C795" t="s">
        <v>942</v>
      </c>
      <c r="D795" t="s">
        <v>943</v>
      </c>
      <c r="E795" t="s">
        <v>898</v>
      </c>
      <c r="F795" t="s">
        <v>40</v>
      </c>
      <c r="G795">
        <v>44</v>
      </c>
      <c r="H795">
        <v>2.8571034755682664E-2</v>
      </c>
      <c r="I795" t="s">
        <v>1413</v>
      </c>
      <c r="J795" s="2" t="s">
        <v>2136</v>
      </c>
      <c r="K795">
        <v>1</v>
      </c>
      <c r="L795">
        <v>1</v>
      </c>
      <c r="M795" t="s">
        <v>18</v>
      </c>
      <c r="N795" t="str">
        <f t="shared" si="12"/>
        <v>INDUSTRIAL AND PERSONAL SERVICE PAPER (5113)</v>
      </c>
    </row>
    <row r="796" spans="1:14" x14ac:dyDescent="0.45">
      <c r="A796" s="4">
        <v>5122</v>
      </c>
      <c r="B796" t="s">
        <v>947</v>
      </c>
      <c r="C796" t="s">
        <v>947</v>
      </c>
      <c r="D796" t="s">
        <v>943</v>
      </c>
      <c r="E796" t="s">
        <v>898</v>
      </c>
      <c r="F796" t="s">
        <v>40</v>
      </c>
      <c r="G796">
        <v>44</v>
      </c>
      <c r="H796">
        <v>2.8571034755682664E-2</v>
      </c>
      <c r="I796" t="s">
        <v>1413</v>
      </c>
      <c r="J796" s="2" t="s">
        <v>2136</v>
      </c>
      <c r="K796">
        <v>1</v>
      </c>
      <c r="L796">
        <v>1</v>
      </c>
      <c r="M796" t="s">
        <v>18</v>
      </c>
      <c r="N796" t="str">
        <f t="shared" si="12"/>
        <v>DRUGS, PROPRIETARIES, AND SUNDRIES (5122)</v>
      </c>
    </row>
    <row r="797" spans="1:14" x14ac:dyDescent="0.45">
      <c r="A797" s="4">
        <v>5130</v>
      </c>
      <c r="B797" t="s">
        <v>948</v>
      </c>
      <c r="C797" t="s">
        <v>948</v>
      </c>
      <c r="D797" t="s">
        <v>943</v>
      </c>
      <c r="E797" t="s">
        <v>898</v>
      </c>
      <c r="F797" t="s">
        <v>40</v>
      </c>
      <c r="G797">
        <v>44</v>
      </c>
      <c r="H797">
        <v>2.8571034755682664E-2</v>
      </c>
      <c r="I797" t="s">
        <v>1413</v>
      </c>
      <c r="J797" s="2" t="s">
        <v>2136</v>
      </c>
      <c r="K797">
        <v>1</v>
      </c>
      <c r="L797">
        <v>1</v>
      </c>
      <c r="M797" t="s">
        <v>18</v>
      </c>
      <c r="N797" t="str">
        <f t="shared" si="12"/>
        <v>APPAREL, PIECE GOODS, AND NOTIONS (5130)</v>
      </c>
    </row>
    <row r="798" spans="1:14" x14ac:dyDescent="0.45">
      <c r="A798" s="4">
        <v>5131</v>
      </c>
      <c r="B798" t="s">
        <v>949</v>
      </c>
      <c r="C798" t="s">
        <v>948</v>
      </c>
      <c r="D798" t="s">
        <v>943</v>
      </c>
      <c r="E798" t="s">
        <v>898</v>
      </c>
      <c r="F798" t="s">
        <v>40</v>
      </c>
      <c r="G798">
        <v>44</v>
      </c>
      <c r="H798">
        <v>2.8571034755682664E-2</v>
      </c>
      <c r="I798" t="s">
        <v>1413</v>
      </c>
      <c r="J798" s="2" t="s">
        <v>2136</v>
      </c>
      <c r="K798">
        <v>1</v>
      </c>
      <c r="L798">
        <v>1</v>
      </c>
      <c r="M798" t="s">
        <v>18</v>
      </c>
      <c r="N798" t="str">
        <f t="shared" si="12"/>
        <v>PIECE GOODS AND NOTIONS (5131)</v>
      </c>
    </row>
    <row r="799" spans="1:14" x14ac:dyDescent="0.45">
      <c r="A799" s="4">
        <v>5136</v>
      </c>
      <c r="B799" t="s">
        <v>950</v>
      </c>
      <c r="C799" t="s">
        <v>948</v>
      </c>
      <c r="D799" t="s">
        <v>943</v>
      </c>
      <c r="E799" t="s">
        <v>898</v>
      </c>
      <c r="F799" t="s">
        <v>40</v>
      </c>
      <c r="G799">
        <v>44</v>
      </c>
      <c r="H799">
        <v>2.8571034755682664E-2</v>
      </c>
      <c r="I799" t="s">
        <v>1413</v>
      </c>
      <c r="J799" s="2" t="s">
        <v>2136</v>
      </c>
      <c r="K799">
        <v>1</v>
      </c>
      <c r="L799">
        <v>1</v>
      </c>
      <c r="M799" t="s">
        <v>18</v>
      </c>
      <c r="N799" t="str">
        <f t="shared" si="12"/>
        <v>MEN'S AND BOY'S CLOTHING (5136)</v>
      </c>
    </row>
    <row r="800" spans="1:14" x14ac:dyDescent="0.45">
      <c r="A800" s="4">
        <v>5137</v>
      </c>
      <c r="B800" t="s">
        <v>951</v>
      </c>
      <c r="C800" t="s">
        <v>948</v>
      </c>
      <c r="D800" t="s">
        <v>943</v>
      </c>
      <c r="E800" t="s">
        <v>898</v>
      </c>
      <c r="F800" t="s">
        <v>40</v>
      </c>
      <c r="G800">
        <v>44</v>
      </c>
      <c r="H800">
        <v>2.8571034755682664E-2</v>
      </c>
      <c r="I800" t="s">
        <v>1413</v>
      </c>
      <c r="J800" s="2" t="s">
        <v>2136</v>
      </c>
      <c r="K800">
        <v>1</v>
      </c>
      <c r="L800">
        <v>1</v>
      </c>
      <c r="M800" t="s">
        <v>18</v>
      </c>
      <c r="N800" t="str">
        <f t="shared" si="12"/>
        <v>WOMEN'S AND CHILDREN'S CLOTHING (5137)</v>
      </c>
    </row>
    <row r="801" spans="1:14" x14ac:dyDescent="0.45">
      <c r="A801" s="4">
        <v>5139</v>
      </c>
      <c r="B801" t="s">
        <v>952</v>
      </c>
      <c r="C801" t="s">
        <v>948</v>
      </c>
      <c r="D801" t="s">
        <v>943</v>
      </c>
      <c r="E801" t="s">
        <v>898</v>
      </c>
      <c r="F801" t="s">
        <v>40</v>
      </c>
      <c r="G801">
        <v>44</v>
      </c>
      <c r="H801">
        <v>2.8571034755682664E-2</v>
      </c>
      <c r="I801" t="s">
        <v>1413</v>
      </c>
      <c r="J801" s="2" t="s">
        <v>2136</v>
      </c>
      <c r="K801">
        <v>1</v>
      </c>
      <c r="L801">
        <v>1</v>
      </c>
      <c r="M801" t="s">
        <v>18</v>
      </c>
      <c r="N801" t="str">
        <f t="shared" si="12"/>
        <v>FOOTWEAR (5139)</v>
      </c>
    </row>
    <row r="802" spans="1:14" x14ac:dyDescent="0.45">
      <c r="A802" s="4">
        <v>5140</v>
      </c>
      <c r="B802" t="s">
        <v>953</v>
      </c>
      <c r="C802" t="s">
        <v>953</v>
      </c>
      <c r="D802" t="s">
        <v>943</v>
      </c>
      <c r="E802" t="s">
        <v>898</v>
      </c>
      <c r="F802" t="s">
        <v>40</v>
      </c>
      <c r="G802">
        <v>44</v>
      </c>
      <c r="H802">
        <v>2.8571034755682664E-2</v>
      </c>
      <c r="I802" t="s">
        <v>1413</v>
      </c>
      <c r="J802" s="2" t="s">
        <v>2136</v>
      </c>
      <c r="K802">
        <v>1</v>
      </c>
      <c r="L802">
        <v>1</v>
      </c>
      <c r="M802" t="s">
        <v>18</v>
      </c>
      <c r="N802" t="str">
        <f t="shared" si="12"/>
        <v>GROCERIES AND RELATED PRODUCTS (5140)</v>
      </c>
    </row>
    <row r="803" spans="1:14" x14ac:dyDescent="0.45">
      <c r="A803" s="4">
        <v>5141</v>
      </c>
      <c r="B803" t="s">
        <v>954</v>
      </c>
      <c r="C803" t="s">
        <v>953</v>
      </c>
      <c r="D803" t="s">
        <v>943</v>
      </c>
      <c r="E803" t="s">
        <v>898</v>
      </c>
      <c r="F803" t="s">
        <v>40</v>
      </c>
      <c r="G803">
        <v>44</v>
      </c>
      <c r="H803">
        <v>2.8571034755682664E-2</v>
      </c>
      <c r="I803" t="s">
        <v>1413</v>
      </c>
      <c r="J803" s="2" t="s">
        <v>2136</v>
      </c>
      <c r="K803">
        <v>1</v>
      </c>
      <c r="L803">
        <v>1</v>
      </c>
      <c r="M803" t="s">
        <v>18</v>
      </c>
      <c r="N803" t="str">
        <f t="shared" si="12"/>
        <v>GROCERIES, GENERAL LINE (5141)</v>
      </c>
    </row>
    <row r="804" spans="1:14" x14ac:dyDescent="0.45">
      <c r="A804" s="4">
        <v>5142</v>
      </c>
      <c r="B804" t="s">
        <v>955</v>
      </c>
      <c r="C804" t="s">
        <v>953</v>
      </c>
      <c r="D804" t="s">
        <v>943</v>
      </c>
      <c r="E804" t="s">
        <v>898</v>
      </c>
      <c r="F804" t="s">
        <v>40</v>
      </c>
      <c r="G804">
        <v>44</v>
      </c>
      <c r="H804">
        <v>2.8571034755682664E-2</v>
      </c>
      <c r="I804" t="s">
        <v>1413</v>
      </c>
      <c r="J804" s="2" t="s">
        <v>2136</v>
      </c>
      <c r="K804">
        <v>1</v>
      </c>
      <c r="L804">
        <v>1</v>
      </c>
      <c r="M804" t="s">
        <v>18</v>
      </c>
      <c r="N804" t="str">
        <f t="shared" si="12"/>
        <v>PACKAGED FROZEN GOODS (5142)</v>
      </c>
    </row>
    <row r="805" spans="1:14" x14ac:dyDescent="0.45">
      <c r="A805" s="4">
        <v>5143</v>
      </c>
      <c r="B805" t="s">
        <v>956</v>
      </c>
      <c r="C805" t="s">
        <v>953</v>
      </c>
      <c r="D805" t="s">
        <v>943</v>
      </c>
      <c r="E805" t="s">
        <v>898</v>
      </c>
      <c r="F805" t="s">
        <v>40</v>
      </c>
      <c r="G805">
        <v>44</v>
      </c>
      <c r="H805">
        <v>2.8571034755682664E-2</v>
      </c>
      <c r="I805" t="s">
        <v>1413</v>
      </c>
      <c r="J805" s="2" t="s">
        <v>2136</v>
      </c>
      <c r="K805">
        <v>1</v>
      </c>
      <c r="L805">
        <v>1</v>
      </c>
      <c r="M805" t="s">
        <v>18</v>
      </c>
      <c r="N805" t="str">
        <f t="shared" si="12"/>
        <v>DAIRY PRODUCTS, EXCEPT DRIED OR CANNED (5143)</v>
      </c>
    </row>
    <row r="806" spans="1:14" x14ac:dyDescent="0.45">
      <c r="A806" s="4">
        <v>5144</v>
      </c>
      <c r="B806" t="s">
        <v>957</v>
      </c>
      <c r="C806" t="s">
        <v>953</v>
      </c>
      <c r="D806" t="s">
        <v>943</v>
      </c>
      <c r="E806" t="s">
        <v>898</v>
      </c>
      <c r="F806" t="s">
        <v>40</v>
      </c>
      <c r="G806">
        <v>44</v>
      </c>
      <c r="H806">
        <v>2.8571034755682664E-2</v>
      </c>
      <c r="I806" t="s">
        <v>1413</v>
      </c>
      <c r="J806" s="2" t="s">
        <v>2136</v>
      </c>
      <c r="K806">
        <v>1</v>
      </c>
      <c r="L806">
        <v>1</v>
      </c>
      <c r="M806" t="s">
        <v>18</v>
      </c>
      <c r="N806" t="str">
        <f t="shared" si="12"/>
        <v>POULTRY AND POULTRY PRODUCTS (5144)</v>
      </c>
    </row>
    <row r="807" spans="1:14" x14ac:dyDescent="0.45">
      <c r="A807" s="4">
        <v>5145</v>
      </c>
      <c r="B807" t="s">
        <v>958</v>
      </c>
      <c r="C807" t="s">
        <v>953</v>
      </c>
      <c r="D807" t="s">
        <v>943</v>
      </c>
      <c r="E807" t="s">
        <v>898</v>
      </c>
      <c r="F807" t="s">
        <v>40</v>
      </c>
      <c r="G807">
        <v>44</v>
      </c>
      <c r="H807">
        <v>2.8571034755682664E-2</v>
      </c>
      <c r="I807" t="s">
        <v>1413</v>
      </c>
      <c r="J807" s="2" t="s">
        <v>2136</v>
      </c>
      <c r="K807">
        <v>1</v>
      </c>
      <c r="L807">
        <v>1</v>
      </c>
      <c r="M807" t="s">
        <v>18</v>
      </c>
      <c r="N807" t="str">
        <f t="shared" si="12"/>
        <v>CONFECTIONERY (5145)</v>
      </c>
    </row>
    <row r="808" spans="1:14" x14ac:dyDescent="0.45">
      <c r="A808" s="4">
        <v>5146</v>
      </c>
      <c r="B808" t="s">
        <v>959</v>
      </c>
      <c r="C808" t="s">
        <v>953</v>
      </c>
      <c r="D808" t="s">
        <v>943</v>
      </c>
      <c r="E808" t="s">
        <v>898</v>
      </c>
      <c r="F808" t="s">
        <v>40</v>
      </c>
      <c r="G808">
        <v>44</v>
      </c>
      <c r="H808">
        <v>2.8571034755682664E-2</v>
      </c>
      <c r="I808" t="s">
        <v>1413</v>
      </c>
      <c r="J808" s="2" t="s">
        <v>2136</v>
      </c>
      <c r="K808">
        <v>1</v>
      </c>
      <c r="L808">
        <v>1</v>
      </c>
      <c r="M808" t="s">
        <v>18</v>
      </c>
      <c r="N808" t="str">
        <f t="shared" si="12"/>
        <v>FISH AND SEAFOODS (5146)</v>
      </c>
    </row>
    <row r="809" spans="1:14" x14ac:dyDescent="0.45">
      <c r="A809" s="4">
        <v>5147</v>
      </c>
      <c r="B809" t="s">
        <v>960</v>
      </c>
      <c r="C809" t="s">
        <v>953</v>
      </c>
      <c r="D809" t="s">
        <v>943</v>
      </c>
      <c r="E809" t="s">
        <v>898</v>
      </c>
      <c r="F809" t="s">
        <v>40</v>
      </c>
      <c r="G809">
        <v>44</v>
      </c>
      <c r="H809">
        <v>2.8571034755682664E-2</v>
      </c>
      <c r="I809" t="s">
        <v>1413</v>
      </c>
      <c r="J809" s="2" t="s">
        <v>2136</v>
      </c>
      <c r="K809">
        <v>1</v>
      </c>
      <c r="L809">
        <v>1</v>
      </c>
      <c r="M809" t="s">
        <v>18</v>
      </c>
      <c r="N809" t="str">
        <f t="shared" si="12"/>
        <v>MEATS AND MEAT PRODUCTS (5147)</v>
      </c>
    </row>
    <row r="810" spans="1:14" x14ac:dyDescent="0.45">
      <c r="A810" s="4">
        <v>5148</v>
      </c>
      <c r="B810" t="s">
        <v>961</v>
      </c>
      <c r="C810" t="s">
        <v>953</v>
      </c>
      <c r="D810" t="s">
        <v>943</v>
      </c>
      <c r="E810" t="s">
        <v>898</v>
      </c>
      <c r="F810" t="s">
        <v>40</v>
      </c>
      <c r="G810">
        <v>44</v>
      </c>
      <c r="H810">
        <v>2.8571034755682664E-2</v>
      </c>
      <c r="I810" t="s">
        <v>1413</v>
      </c>
      <c r="J810" s="2" t="s">
        <v>2136</v>
      </c>
      <c r="K810">
        <v>1</v>
      </c>
      <c r="L810">
        <v>1</v>
      </c>
      <c r="M810" t="s">
        <v>18</v>
      </c>
      <c r="N810" t="str">
        <f t="shared" si="12"/>
        <v>FRESH FRUITS AND VEGETABLES (5148)</v>
      </c>
    </row>
    <row r="811" spans="1:14" x14ac:dyDescent="0.45">
      <c r="A811" s="4">
        <v>5149</v>
      </c>
      <c r="B811" t="s">
        <v>962</v>
      </c>
      <c r="C811" t="s">
        <v>953</v>
      </c>
      <c r="D811" t="s">
        <v>943</v>
      </c>
      <c r="E811" t="s">
        <v>898</v>
      </c>
      <c r="F811" t="s">
        <v>40</v>
      </c>
      <c r="G811">
        <v>44</v>
      </c>
      <c r="H811">
        <v>2.8571034755682664E-2</v>
      </c>
      <c r="I811" t="s">
        <v>1413</v>
      </c>
      <c r="J811" s="2" t="s">
        <v>2136</v>
      </c>
      <c r="K811">
        <v>1</v>
      </c>
      <c r="L811">
        <v>1</v>
      </c>
      <c r="M811" t="s">
        <v>18</v>
      </c>
      <c r="N811" t="str">
        <f t="shared" si="12"/>
        <v>GROCERIES AND RELATED PRODUCTS, NEC (5149)</v>
      </c>
    </row>
    <row r="812" spans="1:14" x14ac:dyDescent="0.45">
      <c r="A812" s="4">
        <v>5150</v>
      </c>
      <c r="B812" t="s">
        <v>963</v>
      </c>
      <c r="C812" t="s">
        <v>963</v>
      </c>
      <c r="D812" t="s">
        <v>943</v>
      </c>
      <c r="E812" t="s">
        <v>898</v>
      </c>
      <c r="F812" t="s">
        <v>40</v>
      </c>
      <c r="G812">
        <v>44</v>
      </c>
      <c r="H812">
        <v>2.8571034755682664E-2</v>
      </c>
      <c r="I812" t="s">
        <v>1413</v>
      </c>
      <c r="J812" s="2" t="s">
        <v>2136</v>
      </c>
      <c r="K812">
        <v>1</v>
      </c>
      <c r="L812">
        <v>1</v>
      </c>
      <c r="M812" t="s">
        <v>18</v>
      </c>
      <c r="N812" t="str">
        <f t="shared" si="12"/>
        <v>FARM-PRODUCT RAW MATERIALS (5150)</v>
      </c>
    </row>
    <row r="813" spans="1:14" x14ac:dyDescent="0.45">
      <c r="A813" s="4">
        <v>5153</v>
      </c>
      <c r="B813" t="s">
        <v>964</v>
      </c>
      <c r="C813" t="s">
        <v>963</v>
      </c>
      <c r="D813" t="s">
        <v>943</v>
      </c>
      <c r="E813" t="s">
        <v>898</v>
      </c>
      <c r="F813" t="s">
        <v>40</v>
      </c>
      <c r="G813">
        <v>44</v>
      </c>
      <c r="H813">
        <v>2.8571034755682664E-2</v>
      </c>
      <c r="I813" t="s">
        <v>1413</v>
      </c>
      <c r="J813" s="2" t="s">
        <v>2136</v>
      </c>
      <c r="K813">
        <v>1</v>
      </c>
      <c r="L813">
        <v>1</v>
      </c>
      <c r="M813" t="s">
        <v>18</v>
      </c>
      <c r="N813" t="str">
        <f t="shared" si="12"/>
        <v>GRAIN AND FIELD BEANS (5153)</v>
      </c>
    </row>
    <row r="814" spans="1:14" x14ac:dyDescent="0.45">
      <c r="A814" s="4">
        <v>5154</v>
      </c>
      <c r="B814" t="s">
        <v>965</v>
      </c>
      <c r="C814" t="s">
        <v>963</v>
      </c>
      <c r="D814" t="s">
        <v>943</v>
      </c>
      <c r="E814" t="s">
        <v>898</v>
      </c>
      <c r="F814" t="s">
        <v>40</v>
      </c>
      <c r="G814">
        <v>44</v>
      </c>
      <c r="H814">
        <v>2.8571034755682664E-2</v>
      </c>
      <c r="I814" t="s">
        <v>1413</v>
      </c>
      <c r="J814" s="2" t="s">
        <v>2136</v>
      </c>
      <c r="K814">
        <v>1</v>
      </c>
      <c r="L814">
        <v>1</v>
      </c>
      <c r="M814" t="s">
        <v>18</v>
      </c>
      <c r="N814" t="str">
        <f t="shared" si="12"/>
        <v>LIVESTOCK (5154)</v>
      </c>
    </row>
    <row r="815" spans="1:14" x14ac:dyDescent="0.45">
      <c r="A815" s="4">
        <v>5159</v>
      </c>
      <c r="B815" t="s">
        <v>966</v>
      </c>
      <c r="C815" t="s">
        <v>963</v>
      </c>
      <c r="D815" t="s">
        <v>943</v>
      </c>
      <c r="E815" t="s">
        <v>898</v>
      </c>
      <c r="F815" t="s">
        <v>40</v>
      </c>
      <c r="G815">
        <v>44</v>
      </c>
      <c r="H815">
        <v>2.8571034755682664E-2</v>
      </c>
      <c r="I815" t="s">
        <v>1413</v>
      </c>
      <c r="J815" s="2" t="s">
        <v>2136</v>
      </c>
      <c r="K815">
        <v>1</v>
      </c>
      <c r="L815">
        <v>1</v>
      </c>
      <c r="M815" t="s">
        <v>18</v>
      </c>
      <c r="N815" t="str">
        <f t="shared" si="12"/>
        <v>FARM-PRODUCT RAW MATERIALS, NEC (5159)</v>
      </c>
    </row>
    <row r="816" spans="1:14" x14ac:dyDescent="0.45">
      <c r="A816" s="4">
        <v>5160</v>
      </c>
      <c r="B816" t="s">
        <v>967</v>
      </c>
      <c r="C816" t="s">
        <v>967</v>
      </c>
      <c r="D816" t="s">
        <v>943</v>
      </c>
      <c r="E816" t="s">
        <v>898</v>
      </c>
      <c r="F816" t="s">
        <v>40</v>
      </c>
      <c r="G816">
        <v>44</v>
      </c>
      <c r="H816">
        <v>2.8571034755682664E-2</v>
      </c>
      <c r="I816" t="s">
        <v>1413</v>
      </c>
      <c r="J816" s="2" t="s">
        <v>2136</v>
      </c>
      <c r="K816">
        <v>1</v>
      </c>
      <c r="L816">
        <v>1</v>
      </c>
      <c r="M816" t="s">
        <v>18</v>
      </c>
      <c r="N816" t="str">
        <f t="shared" si="12"/>
        <v>CHEMICALS &amp; ALLIED PRODUCTS (5160)</v>
      </c>
    </row>
    <row r="817" spans="1:14" x14ac:dyDescent="0.45">
      <c r="A817" s="4">
        <v>5162</v>
      </c>
      <c r="B817" t="s">
        <v>968</v>
      </c>
      <c r="C817" t="s">
        <v>967</v>
      </c>
      <c r="D817" t="s">
        <v>943</v>
      </c>
      <c r="E817" t="s">
        <v>898</v>
      </c>
      <c r="F817" t="s">
        <v>40</v>
      </c>
      <c r="G817">
        <v>44</v>
      </c>
      <c r="H817">
        <v>2.8571034755682664E-2</v>
      </c>
      <c r="I817" t="s">
        <v>1413</v>
      </c>
      <c r="J817" s="2" t="s">
        <v>2136</v>
      </c>
      <c r="K817">
        <v>1</v>
      </c>
      <c r="L817">
        <v>1</v>
      </c>
      <c r="M817" t="s">
        <v>18</v>
      </c>
      <c r="N817" t="str">
        <f t="shared" si="12"/>
        <v>PLASTICS MATERIALS AND BASIC SHAPES (5162)</v>
      </c>
    </row>
    <row r="818" spans="1:14" x14ac:dyDescent="0.45">
      <c r="A818" s="4">
        <v>5169</v>
      </c>
      <c r="B818" t="s">
        <v>969</v>
      </c>
      <c r="C818" t="s">
        <v>967</v>
      </c>
      <c r="D818" t="s">
        <v>943</v>
      </c>
      <c r="E818" t="s">
        <v>898</v>
      </c>
      <c r="F818" t="s">
        <v>40</v>
      </c>
      <c r="G818">
        <v>44</v>
      </c>
      <c r="H818">
        <v>2.8571034755682664E-2</v>
      </c>
      <c r="I818" t="s">
        <v>1413</v>
      </c>
      <c r="J818" s="2" t="s">
        <v>2136</v>
      </c>
      <c r="K818">
        <v>1</v>
      </c>
      <c r="L818">
        <v>1</v>
      </c>
      <c r="M818" t="s">
        <v>18</v>
      </c>
      <c r="N818" t="str">
        <f t="shared" si="12"/>
        <v>CHEMICALS AND ALLIED PRODUCTS, NEC (5169)</v>
      </c>
    </row>
    <row r="819" spans="1:14" x14ac:dyDescent="0.45">
      <c r="A819" s="4">
        <v>5171</v>
      </c>
      <c r="B819" t="s">
        <v>970</v>
      </c>
      <c r="C819" t="s">
        <v>971</v>
      </c>
      <c r="D819" t="s">
        <v>943</v>
      </c>
      <c r="E819" t="s">
        <v>898</v>
      </c>
      <c r="F819" t="s">
        <v>40</v>
      </c>
      <c r="G819">
        <v>44</v>
      </c>
      <c r="H819">
        <v>2.8571034755682664E-2</v>
      </c>
      <c r="I819" t="s">
        <v>1413</v>
      </c>
      <c r="J819" s="2" t="s">
        <v>2136</v>
      </c>
      <c r="K819">
        <v>1</v>
      </c>
      <c r="L819">
        <v>1</v>
      </c>
      <c r="M819" t="s">
        <v>18</v>
      </c>
      <c r="N819" t="str">
        <f t="shared" si="12"/>
        <v>PETROLEUM BULK STATIONS AND TERMINALS (5171)</v>
      </c>
    </row>
    <row r="820" spans="1:14" x14ac:dyDescent="0.45">
      <c r="A820" s="4">
        <v>5172</v>
      </c>
      <c r="B820" t="s">
        <v>972</v>
      </c>
      <c r="C820" t="s">
        <v>971</v>
      </c>
      <c r="D820" t="s">
        <v>943</v>
      </c>
      <c r="E820" t="s">
        <v>898</v>
      </c>
      <c r="F820" t="s">
        <v>40</v>
      </c>
      <c r="G820">
        <v>44</v>
      </c>
      <c r="H820">
        <v>2.8571034755682664E-2</v>
      </c>
      <c r="I820" t="s">
        <v>1413</v>
      </c>
      <c r="J820" s="2" t="s">
        <v>2136</v>
      </c>
      <c r="K820">
        <v>1</v>
      </c>
      <c r="L820">
        <v>1</v>
      </c>
      <c r="M820" t="s">
        <v>18</v>
      </c>
      <c r="N820" t="str">
        <f t="shared" si="12"/>
        <v>PETROLEUM PRODUCTS, NEC (5172)</v>
      </c>
    </row>
    <row r="821" spans="1:14" x14ac:dyDescent="0.45">
      <c r="A821" s="4">
        <v>5180</v>
      </c>
      <c r="B821" t="s">
        <v>973</v>
      </c>
      <c r="C821" t="s">
        <v>973</v>
      </c>
      <c r="D821" t="s">
        <v>943</v>
      </c>
      <c r="E821" t="s">
        <v>898</v>
      </c>
      <c r="F821" t="s">
        <v>40</v>
      </c>
      <c r="G821">
        <v>44</v>
      </c>
      <c r="H821">
        <v>2.8571034755682664E-2</v>
      </c>
      <c r="I821" t="s">
        <v>1413</v>
      </c>
      <c r="J821" s="2" t="s">
        <v>2136</v>
      </c>
      <c r="K821">
        <v>1</v>
      </c>
      <c r="L821">
        <v>1</v>
      </c>
      <c r="M821" t="s">
        <v>18</v>
      </c>
      <c r="N821" t="str">
        <f t="shared" si="12"/>
        <v>BEER, WINE, AND DISTILLED BEVERAGES (5180)</v>
      </c>
    </row>
    <row r="822" spans="1:14" x14ac:dyDescent="0.45">
      <c r="A822" s="4">
        <v>5181</v>
      </c>
      <c r="B822" t="s">
        <v>974</v>
      </c>
      <c r="C822" t="s">
        <v>973</v>
      </c>
      <c r="D822" t="s">
        <v>943</v>
      </c>
      <c r="E822" t="s">
        <v>898</v>
      </c>
      <c r="F822" t="s">
        <v>40</v>
      </c>
      <c r="G822">
        <v>44</v>
      </c>
      <c r="H822">
        <v>2.8571034755682664E-2</v>
      </c>
      <c r="I822" t="s">
        <v>1413</v>
      </c>
      <c r="J822" s="2" t="s">
        <v>2136</v>
      </c>
      <c r="K822">
        <v>1</v>
      </c>
      <c r="L822">
        <v>1</v>
      </c>
      <c r="M822" t="s">
        <v>18</v>
      </c>
      <c r="N822" t="str">
        <f t="shared" si="12"/>
        <v>BEER AND ALE (5181)</v>
      </c>
    </row>
    <row r="823" spans="1:14" x14ac:dyDescent="0.45">
      <c r="A823" s="4">
        <v>5182</v>
      </c>
      <c r="B823" t="s">
        <v>975</v>
      </c>
      <c r="C823" t="s">
        <v>973</v>
      </c>
      <c r="D823" t="s">
        <v>943</v>
      </c>
      <c r="E823" t="s">
        <v>898</v>
      </c>
      <c r="F823" t="s">
        <v>40</v>
      </c>
      <c r="G823">
        <v>44</v>
      </c>
      <c r="H823">
        <v>2.8571034755682664E-2</v>
      </c>
      <c r="I823" t="s">
        <v>1413</v>
      </c>
      <c r="J823" s="2" t="s">
        <v>2136</v>
      </c>
      <c r="K823">
        <v>1</v>
      </c>
      <c r="L823">
        <v>1</v>
      </c>
      <c r="M823" t="s">
        <v>18</v>
      </c>
      <c r="N823" t="str">
        <f t="shared" si="12"/>
        <v>WINE AND DISTILLED BEVERAGES (5182)</v>
      </c>
    </row>
    <row r="824" spans="1:14" x14ac:dyDescent="0.45">
      <c r="A824" s="4">
        <v>5190</v>
      </c>
      <c r="B824" t="s">
        <v>976</v>
      </c>
      <c r="C824" t="s">
        <v>976</v>
      </c>
      <c r="D824" t="s">
        <v>943</v>
      </c>
      <c r="E824" t="s">
        <v>898</v>
      </c>
      <c r="F824" t="s">
        <v>40</v>
      </c>
      <c r="G824">
        <v>44</v>
      </c>
      <c r="H824">
        <v>2.8571034755682664E-2</v>
      </c>
      <c r="I824" t="s">
        <v>1413</v>
      </c>
      <c r="J824" s="2" t="s">
        <v>2136</v>
      </c>
      <c r="K824">
        <v>1</v>
      </c>
      <c r="L824">
        <v>1</v>
      </c>
      <c r="M824" t="s">
        <v>18</v>
      </c>
      <c r="N824" t="str">
        <f t="shared" si="12"/>
        <v>MISCELLANEOUS NONDURABLE GOODS (5190)</v>
      </c>
    </row>
    <row r="825" spans="1:14" x14ac:dyDescent="0.45">
      <c r="A825" s="4">
        <v>5191</v>
      </c>
      <c r="B825" t="s">
        <v>977</v>
      </c>
      <c r="C825" t="s">
        <v>976</v>
      </c>
      <c r="D825" t="s">
        <v>943</v>
      </c>
      <c r="E825" t="s">
        <v>898</v>
      </c>
      <c r="F825" t="s">
        <v>40</v>
      </c>
      <c r="G825">
        <v>44</v>
      </c>
      <c r="H825">
        <v>2.8571034755682664E-2</v>
      </c>
      <c r="I825" t="s">
        <v>1413</v>
      </c>
      <c r="J825" s="2" t="s">
        <v>2136</v>
      </c>
      <c r="K825">
        <v>1</v>
      </c>
      <c r="L825">
        <v>1</v>
      </c>
      <c r="M825" t="s">
        <v>18</v>
      </c>
      <c r="N825" t="str">
        <f t="shared" si="12"/>
        <v>FARM SUPPLIES (5191)</v>
      </c>
    </row>
    <row r="826" spans="1:14" x14ac:dyDescent="0.45">
      <c r="A826" s="4">
        <v>5192</v>
      </c>
      <c r="B826" t="s">
        <v>978</v>
      </c>
      <c r="C826" t="s">
        <v>976</v>
      </c>
      <c r="D826" t="s">
        <v>943</v>
      </c>
      <c r="E826" t="s">
        <v>898</v>
      </c>
      <c r="F826" t="s">
        <v>40</v>
      </c>
      <c r="G826">
        <v>44</v>
      </c>
      <c r="H826">
        <v>2.8571034755682664E-2</v>
      </c>
      <c r="I826" t="s">
        <v>1413</v>
      </c>
      <c r="J826" s="2" t="s">
        <v>2136</v>
      </c>
      <c r="K826">
        <v>1</v>
      </c>
      <c r="L826">
        <v>1</v>
      </c>
      <c r="M826" t="s">
        <v>18</v>
      </c>
      <c r="N826" t="str">
        <f t="shared" si="12"/>
        <v>BOOKS, PERIODICALS, AND NEWSPAPERS (5192)</v>
      </c>
    </row>
    <row r="827" spans="1:14" x14ac:dyDescent="0.45">
      <c r="A827" s="4">
        <v>5193</v>
      </c>
      <c r="B827" t="s">
        <v>979</v>
      </c>
      <c r="C827" t="s">
        <v>976</v>
      </c>
      <c r="D827" t="s">
        <v>943</v>
      </c>
      <c r="E827" t="s">
        <v>898</v>
      </c>
      <c r="F827" t="s">
        <v>40</v>
      </c>
      <c r="G827">
        <v>44</v>
      </c>
      <c r="H827">
        <v>2.8571034755682664E-2</v>
      </c>
      <c r="I827" t="s">
        <v>1413</v>
      </c>
      <c r="J827" s="2" t="s">
        <v>2136</v>
      </c>
      <c r="K827">
        <v>1</v>
      </c>
      <c r="L827">
        <v>1</v>
      </c>
      <c r="M827" t="s">
        <v>18</v>
      </c>
      <c r="N827" t="str">
        <f t="shared" si="12"/>
        <v>FLOWERS AND FLORISTS SUPPLIES (5193)</v>
      </c>
    </row>
    <row r="828" spans="1:14" x14ac:dyDescent="0.45">
      <c r="A828" s="4">
        <v>5194</v>
      </c>
      <c r="B828" t="s">
        <v>980</v>
      </c>
      <c r="C828" t="s">
        <v>976</v>
      </c>
      <c r="D828" t="s">
        <v>943</v>
      </c>
      <c r="E828" t="s">
        <v>898</v>
      </c>
      <c r="F828" t="s">
        <v>40</v>
      </c>
      <c r="G828">
        <v>44</v>
      </c>
      <c r="H828">
        <v>2.8571034755682664E-2</v>
      </c>
      <c r="I828" t="s">
        <v>1413</v>
      </c>
      <c r="J828" s="2" t="s">
        <v>2136</v>
      </c>
      <c r="K828">
        <v>1</v>
      </c>
      <c r="L828">
        <v>1</v>
      </c>
      <c r="M828" t="s">
        <v>18</v>
      </c>
      <c r="N828" t="str">
        <f t="shared" si="12"/>
        <v>TOBACCO AND TOBACCO PRODUCTS (5194)</v>
      </c>
    </row>
    <row r="829" spans="1:14" x14ac:dyDescent="0.45">
      <c r="A829" s="4">
        <v>5198</v>
      </c>
      <c r="B829" t="s">
        <v>981</v>
      </c>
      <c r="C829" t="s">
        <v>976</v>
      </c>
      <c r="D829" t="s">
        <v>943</v>
      </c>
      <c r="E829" t="s">
        <v>898</v>
      </c>
      <c r="F829" t="s">
        <v>40</v>
      </c>
      <c r="G829">
        <v>44</v>
      </c>
      <c r="H829">
        <v>2.8571034755682664E-2</v>
      </c>
      <c r="I829" t="s">
        <v>1413</v>
      </c>
      <c r="J829" s="2" t="s">
        <v>2136</v>
      </c>
      <c r="K829">
        <v>1</v>
      </c>
      <c r="L829">
        <v>1</v>
      </c>
      <c r="M829" t="s">
        <v>18</v>
      </c>
      <c r="N829" t="str">
        <f t="shared" si="12"/>
        <v>PAINTS, VARNISHES, AND SUPPLIES (5198)</v>
      </c>
    </row>
    <row r="830" spans="1:14" x14ac:dyDescent="0.45">
      <c r="A830" s="4">
        <v>5199</v>
      </c>
      <c r="B830" t="s">
        <v>982</v>
      </c>
      <c r="C830" t="s">
        <v>976</v>
      </c>
      <c r="D830" t="s">
        <v>943</v>
      </c>
      <c r="E830" t="s">
        <v>898</v>
      </c>
      <c r="F830" t="s">
        <v>40</v>
      </c>
      <c r="G830">
        <v>44</v>
      </c>
      <c r="H830">
        <v>2.8571034755682664E-2</v>
      </c>
      <c r="I830" t="s">
        <v>1413</v>
      </c>
      <c r="J830" s="2" t="s">
        <v>2136</v>
      </c>
      <c r="K830">
        <v>1</v>
      </c>
      <c r="L830">
        <v>1</v>
      </c>
      <c r="M830" t="s">
        <v>18</v>
      </c>
      <c r="N830" t="str">
        <f t="shared" si="12"/>
        <v>NONDURABLE GOODS, NEC (5199)</v>
      </c>
    </row>
    <row r="831" spans="1:14" x14ac:dyDescent="0.45">
      <c r="A831" s="4">
        <v>5200</v>
      </c>
      <c r="B831" t="s">
        <v>983</v>
      </c>
      <c r="C831" t="s">
        <v>983</v>
      </c>
      <c r="D831" t="s">
        <v>983</v>
      </c>
      <c r="E831" t="s">
        <v>984</v>
      </c>
      <c r="F831" t="s">
        <v>28</v>
      </c>
      <c r="G831">
        <v>35</v>
      </c>
      <c r="H831">
        <v>3.2000000000000001E-2</v>
      </c>
      <c r="I831" t="s">
        <v>1413</v>
      </c>
      <c r="J831" s="2" t="s">
        <v>2137</v>
      </c>
      <c r="K831">
        <v>1</v>
      </c>
      <c r="L831">
        <v>1</v>
      </c>
      <c r="M831" t="s">
        <v>18</v>
      </c>
      <c r="N831" t="str">
        <f t="shared" si="12"/>
        <v>BUILDING MATERIALS &amp; GARDEN SUPPLIES (5200)</v>
      </c>
    </row>
    <row r="832" spans="1:14" x14ac:dyDescent="0.45">
      <c r="A832" s="4">
        <v>5211</v>
      </c>
      <c r="B832" t="s">
        <v>985</v>
      </c>
      <c r="C832" t="s">
        <v>985</v>
      </c>
      <c r="D832" t="s">
        <v>983</v>
      </c>
      <c r="E832" t="s">
        <v>984</v>
      </c>
      <c r="F832" t="s">
        <v>28</v>
      </c>
      <c r="G832">
        <v>35</v>
      </c>
      <c r="H832">
        <v>3.2000000000000001E-2</v>
      </c>
      <c r="I832" t="s">
        <v>1413</v>
      </c>
      <c r="J832" s="2" t="s">
        <v>2137</v>
      </c>
      <c r="K832">
        <v>1</v>
      </c>
      <c r="L832">
        <v>1</v>
      </c>
      <c r="M832" t="s">
        <v>18</v>
      </c>
      <c r="N832" t="str">
        <f t="shared" si="12"/>
        <v>LUMBER AND OTHER BUILDING MATERIALS (5211)</v>
      </c>
    </row>
    <row r="833" spans="1:14" x14ac:dyDescent="0.45">
      <c r="A833" s="4">
        <v>5231</v>
      </c>
      <c r="B833" t="s">
        <v>986</v>
      </c>
      <c r="C833" t="s">
        <v>986</v>
      </c>
      <c r="D833" t="s">
        <v>983</v>
      </c>
      <c r="E833" t="s">
        <v>984</v>
      </c>
      <c r="F833" t="s">
        <v>28</v>
      </c>
      <c r="G833">
        <v>35</v>
      </c>
      <c r="H833">
        <v>3.2000000000000001E-2</v>
      </c>
      <c r="I833" t="s">
        <v>1413</v>
      </c>
      <c r="J833" s="2" t="s">
        <v>2137</v>
      </c>
      <c r="K833">
        <v>1</v>
      </c>
      <c r="L833">
        <v>1</v>
      </c>
      <c r="M833" t="s">
        <v>18</v>
      </c>
      <c r="N833" t="str">
        <f t="shared" si="12"/>
        <v>PAINT, GLASS, AND WALLPAPER STORES (5231)</v>
      </c>
    </row>
    <row r="834" spans="1:14" x14ac:dyDescent="0.45">
      <c r="A834" s="4">
        <v>5251</v>
      </c>
      <c r="B834" t="s">
        <v>987</v>
      </c>
      <c r="C834" t="s">
        <v>987</v>
      </c>
      <c r="D834" t="s">
        <v>983</v>
      </c>
      <c r="E834" t="s">
        <v>984</v>
      </c>
      <c r="F834" t="s">
        <v>28</v>
      </c>
      <c r="G834">
        <v>35</v>
      </c>
      <c r="H834">
        <v>3.2000000000000001E-2</v>
      </c>
      <c r="I834" t="s">
        <v>1413</v>
      </c>
      <c r="J834" s="2" t="s">
        <v>2137</v>
      </c>
      <c r="K834">
        <v>1</v>
      </c>
      <c r="L834">
        <v>1</v>
      </c>
      <c r="M834" t="s">
        <v>18</v>
      </c>
      <c r="N834" t="str">
        <f t="shared" si="12"/>
        <v>HARDWARE STORES (5251)</v>
      </c>
    </row>
    <row r="835" spans="1:14" x14ac:dyDescent="0.45">
      <c r="A835" s="4">
        <v>5261</v>
      </c>
      <c r="B835" t="s">
        <v>988</v>
      </c>
      <c r="C835" t="s">
        <v>988</v>
      </c>
      <c r="D835" t="s">
        <v>983</v>
      </c>
      <c r="E835" t="s">
        <v>984</v>
      </c>
      <c r="F835" t="s">
        <v>28</v>
      </c>
      <c r="G835">
        <v>35</v>
      </c>
      <c r="H835">
        <v>3.2000000000000001E-2</v>
      </c>
      <c r="I835" t="s">
        <v>1413</v>
      </c>
      <c r="J835" s="2" t="s">
        <v>2137</v>
      </c>
      <c r="K835">
        <v>1</v>
      </c>
      <c r="L835">
        <v>1</v>
      </c>
      <c r="M835" t="s">
        <v>18</v>
      </c>
      <c r="N835" t="str">
        <f t="shared" ref="N835:N898" si="13">B835&amp;" ("&amp;A835&amp;")"</f>
        <v>RETAIL NURSERIES AND GARDEN STORES (5261)</v>
      </c>
    </row>
    <row r="836" spans="1:14" x14ac:dyDescent="0.45">
      <c r="A836" s="4">
        <v>5271</v>
      </c>
      <c r="B836" t="s">
        <v>989</v>
      </c>
      <c r="C836" t="s">
        <v>989</v>
      </c>
      <c r="D836" t="s">
        <v>983</v>
      </c>
      <c r="E836" t="s">
        <v>984</v>
      </c>
      <c r="F836" t="s">
        <v>28</v>
      </c>
      <c r="G836">
        <v>35</v>
      </c>
      <c r="H836">
        <v>3.2000000000000001E-2</v>
      </c>
      <c r="I836" t="s">
        <v>1413</v>
      </c>
      <c r="J836" s="2" t="s">
        <v>2137</v>
      </c>
      <c r="K836">
        <v>1</v>
      </c>
      <c r="L836">
        <v>1</v>
      </c>
      <c r="M836" t="s">
        <v>18</v>
      </c>
      <c r="N836" t="str">
        <f t="shared" si="13"/>
        <v>MOBILE HOME DEALERS (5271)</v>
      </c>
    </row>
    <row r="837" spans="1:14" x14ac:dyDescent="0.45">
      <c r="A837" s="4">
        <v>5311</v>
      </c>
      <c r="B837" t="s">
        <v>990</v>
      </c>
      <c r="C837" t="s">
        <v>990</v>
      </c>
      <c r="D837" t="s">
        <v>991</v>
      </c>
      <c r="E837" t="s">
        <v>984</v>
      </c>
      <c r="F837" t="s">
        <v>28</v>
      </c>
      <c r="G837">
        <v>35</v>
      </c>
      <c r="H837">
        <v>3.2000000000000001E-2</v>
      </c>
      <c r="I837" t="s">
        <v>1413</v>
      </c>
      <c r="J837" s="2" t="s">
        <v>2137</v>
      </c>
      <c r="K837">
        <v>1</v>
      </c>
      <c r="L837">
        <v>1</v>
      </c>
      <c r="M837" t="s">
        <v>18</v>
      </c>
      <c r="N837" t="str">
        <f t="shared" si="13"/>
        <v>DEPARTMENT STORES (5311)</v>
      </c>
    </row>
    <row r="838" spans="1:14" x14ac:dyDescent="0.45">
      <c r="A838" s="4">
        <v>5331</v>
      </c>
      <c r="B838" t="s">
        <v>992</v>
      </c>
      <c r="C838" t="s">
        <v>992</v>
      </c>
      <c r="D838" t="s">
        <v>991</v>
      </c>
      <c r="E838" t="s">
        <v>984</v>
      </c>
      <c r="F838" t="s">
        <v>28</v>
      </c>
      <c r="G838">
        <v>35</v>
      </c>
      <c r="H838">
        <v>3.2000000000000001E-2</v>
      </c>
      <c r="I838" t="s">
        <v>1413</v>
      </c>
      <c r="J838" s="2" t="s">
        <v>2137</v>
      </c>
      <c r="K838">
        <v>1</v>
      </c>
      <c r="L838">
        <v>1</v>
      </c>
      <c r="M838" t="s">
        <v>18</v>
      </c>
      <c r="N838" t="str">
        <f t="shared" si="13"/>
        <v>VARIETY STORES (5331)</v>
      </c>
    </row>
    <row r="839" spans="1:14" x14ac:dyDescent="0.45">
      <c r="A839" s="4">
        <v>5399</v>
      </c>
      <c r="B839" t="s">
        <v>993</v>
      </c>
      <c r="C839" t="s">
        <v>994</v>
      </c>
      <c r="D839" t="s">
        <v>991</v>
      </c>
      <c r="E839" t="s">
        <v>984</v>
      </c>
      <c r="F839" t="s">
        <v>28</v>
      </c>
      <c r="G839">
        <v>35</v>
      </c>
      <c r="H839">
        <v>3.2000000000000001E-2</v>
      </c>
      <c r="I839" t="s">
        <v>1413</v>
      </c>
      <c r="J839" s="2" t="s">
        <v>2137</v>
      </c>
      <c r="K839">
        <v>1</v>
      </c>
      <c r="L839">
        <v>1</v>
      </c>
      <c r="M839" t="s">
        <v>18</v>
      </c>
      <c r="N839" t="str">
        <f t="shared" si="13"/>
        <v>MISCELLANEOUS GENERAL MERCHANDISE (5399)</v>
      </c>
    </row>
    <row r="840" spans="1:14" x14ac:dyDescent="0.45">
      <c r="A840" s="4">
        <v>5400</v>
      </c>
      <c r="B840" t="s">
        <v>995</v>
      </c>
      <c r="C840" t="s">
        <v>995</v>
      </c>
      <c r="D840" t="s">
        <v>995</v>
      </c>
      <c r="E840" t="s">
        <v>984</v>
      </c>
      <c r="F840" t="s">
        <v>28</v>
      </c>
      <c r="G840">
        <v>35</v>
      </c>
      <c r="H840">
        <v>3.2000000000000001E-2</v>
      </c>
      <c r="I840" t="s">
        <v>1413</v>
      </c>
      <c r="J840" s="2" t="s">
        <v>2137</v>
      </c>
      <c r="K840">
        <v>1</v>
      </c>
      <c r="L840">
        <v>1</v>
      </c>
      <c r="M840" t="s">
        <v>18</v>
      </c>
      <c r="N840" t="str">
        <f t="shared" si="13"/>
        <v>FOOD STORES (5400)</v>
      </c>
    </row>
    <row r="841" spans="1:14" x14ac:dyDescent="0.45">
      <c r="A841" s="4">
        <v>5411</v>
      </c>
      <c r="B841" t="s">
        <v>996</v>
      </c>
      <c r="C841" t="s">
        <v>996</v>
      </c>
      <c r="D841" t="s">
        <v>995</v>
      </c>
      <c r="E841" t="s">
        <v>984</v>
      </c>
      <c r="F841" t="s">
        <v>28</v>
      </c>
      <c r="G841">
        <v>35</v>
      </c>
      <c r="H841">
        <v>3.2000000000000001E-2</v>
      </c>
      <c r="I841" t="s">
        <v>1413</v>
      </c>
      <c r="J841" s="2" t="s">
        <v>2137</v>
      </c>
      <c r="K841">
        <v>1</v>
      </c>
      <c r="L841">
        <v>1</v>
      </c>
      <c r="M841" t="s">
        <v>18</v>
      </c>
      <c r="N841" t="str">
        <f t="shared" si="13"/>
        <v>GROCERY STORES (5411)</v>
      </c>
    </row>
    <row r="842" spans="1:14" x14ac:dyDescent="0.45">
      <c r="A842" s="4">
        <v>5412</v>
      </c>
      <c r="B842" t="s">
        <v>997</v>
      </c>
      <c r="C842" t="s">
        <v>996</v>
      </c>
      <c r="D842" t="s">
        <v>995</v>
      </c>
      <c r="E842" t="s">
        <v>984</v>
      </c>
      <c r="F842" t="s">
        <v>28</v>
      </c>
      <c r="G842">
        <v>35</v>
      </c>
      <c r="H842">
        <v>3.2000000000000001E-2</v>
      </c>
      <c r="I842" t="s">
        <v>1413</v>
      </c>
      <c r="J842" s="2" t="s">
        <v>2137</v>
      </c>
      <c r="K842">
        <v>1</v>
      </c>
      <c r="L842">
        <v>1</v>
      </c>
      <c r="M842" t="s">
        <v>18</v>
      </c>
      <c r="N842" t="str">
        <f t="shared" si="13"/>
        <v>CONVENIENCE STORES (5412)</v>
      </c>
    </row>
    <row r="843" spans="1:14" x14ac:dyDescent="0.45">
      <c r="A843" s="4">
        <v>5421</v>
      </c>
      <c r="B843" t="s">
        <v>998</v>
      </c>
      <c r="C843" t="s">
        <v>998</v>
      </c>
      <c r="D843" t="s">
        <v>995</v>
      </c>
      <c r="E843" t="s">
        <v>984</v>
      </c>
      <c r="F843" t="s">
        <v>28</v>
      </c>
      <c r="G843">
        <v>35</v>
      </c>
      <c r="H843">
        <v>3.2000000000000001E-2</v>
      </c>
      <c r="I843" t="s">
        <v>1413</v>
      </c>
      <c r="J843" s="2" t="s">
        <v>2137</v>
      </c>
      <c r="K843">
        <v>1</v>
      </c>
      <c r="L843">
        <v>1</v>
      </c>
      <c r="M843" t="s">
        <v>18</v>
      </c>
      <c r="N843" t="str">
        <f t="shared" si="13"/>
        <v>MEAT AND FISH MARKETS (5421)</v>
      </c>
    </row>
    <row r="844" spans="1:14" x14ac:dyDescent="0.45">
      <c r="A844" s="4">
        <v>5431</v>
      </c>
      <c r="B844" t="s">
        <v>999</v>
      </c>
      <c r="C844" t="s">
        <v>999</v>
      </c>
      <c r="D844" t="s">
        <v>995</v>
      </c>
      <c r="E844" t="s">
        <v>984</v>
      </c>
      <c r="F844" t="s">
        <v>28</v>
      </c>
      <c r="G844">
        <v>35</v>
      </c>
      <c r="H844">
        <v>3.2000000000000001E-2</v>
      </c>
      <c r="I844" t="s">
        <v>1413</v>
      </c>
      <c r="J844" s="2" t="s">
        <v>2137</v>
      </c>
      <c r="K844">
        <v>1</v>
      </c>
      <c r="L844">
        <v>1</v>
      </c>
      <c r="M844" t="s">
        <v>18</v>
      </c>
      <c r="N844" t="str">
        <f t="shared" si="13"/>
        <v>FRUIT AND VEGETABLE MARKETS (5431)</v>
      </c>
    </row>
    <row r="845" spans="1:14" x14ac:dyDescent="0.45">
      <c r="A845" s="4">
        <v>5441</v>
      </c>
      <c r="B845" t="s">
        <v>1000</v>
      </c>
      <c r="C845" t="s">
        <v>1000</v>
      </c>
      <c r="D845" t="s">
        <v>995</v>
      </c>
      <c r="E845" t="s">
        <v>984</v>
      </c>
      <c r="F845" t="s">
        <v>28</v>
      </c>
      <c r="G845">
        <v>35</v>
      </c>
      <c r="H845">
        <v>3.2000000000000001E-2</v>
      </c>
      <c r="I845" t="s">
        <v>1413</v>
      </c>
      <c r="J845" s="2" t="s">
        <v>2137</v>
      </c>
      <c r="K845">
        <v>1</v>
      </c>
      <c r="L845">
        <v>1</v>
      </c>
      <c r="M845" t="s">
        <v>18</v>
      </c>
      <c r="N845" t="str">
        <f t="shared" si="13"/>
        <v>CANDY, NUT, AND CONFECTIONERY STORES (5441)</v>
      </c>
    </row>
    <row r="846" spans="1:14" x14ac:dyDescent="0.45">
      <c r="A846" s="4">
        <v>5451</v>
      </c>
      <c r="B846" t="s">
        <v>1001</v>
      </c>
      <c r="C846" t="s">
        <v>1001</v>
      </c>
      <c r="D846" t="s">
        <v>995</v>
      </c>
      <c r="E846" t="s">
        <v>984</v>
      </c>
      <c r="F846" t="s">
        <v>28</v>
      </c>
      <c r="G846">
        <v>35</v>
      </c>
      <c r="H846">
        <v>3.2000000000000001E-2</v>
      </c>
      <c r="I846" t="s">
        <v>1413</v>
      </c>
      <c r="J846" s="2" t="s">
        <v>2137</v>
      </c>
      <c r="K846">
        <v>1</v>
      </c>
      <c r="L846">
        <v>1</v>
      </c>
      <c r="M846" t="s">
        <v>18</v>
      </c>
      <c r="N846" t="str">
        <f t="shared" si="13"/>
        <v>DAIRY PRODUCTS STORES (5451)</v>
      </c>
    </row>
    <row r="847" spans="1:14" x14ac:dyDescent="0.45">
      <c r="A847" s="4">
        <v>5461</v>
      </c>
      <c r="B847" t="s">
        <v>1002</v>
      </c>
      <c r="C847" t="s">
        <v>1002</v>
      </c>
      <c r="D847" t="s">
        <v>995</v>
      </c>
      <c r="E847" t="s">
        <v>984</v>
      </c>
      <c r="F847" t="s">
        <v>28</v>
      </c>
      <c r="G847">
        <v>35</v>
      </c>
      <c r="H847">
        <v>3.2000000000000001E-2</v>
      </c>
      <c r="I847" t="s">
        <v>1413</v>
      </c>
      <c r="J847" s="2" t="s">
        <v>2137</v>
      </c>
      <c r="K847">
        <v>1</v>
      </c>
      <c r="L847">
        <v>1</v>
      </c>
      <c r="M847" t="s">
        <v>18</v>
      </c>
      <c r="N847" t="str">
        <f t="shared" si="13"/>
        <v>RETAIL BAKERIES (5461)</v>
      </c>
    </row>
    <row r="848" spans="1:14" x14ac:dyDescent="0.45">
      <c r="A848" s="4">
        <v>5499</v>
      </c>
      <c r="B848" t="s">
        <v>1003</v>
      </c>
      <c r="C848" t="s">
        <v>1003</v>
      </c>
      <c r="D848" t="s">
        <v>995</v>
      </c>
      <c r="E848" t="s">
        <v>984</v>
      </c>
      <c r="F848" t="s">
        <v>28</v>
      </c>
      <c r="G848">
        <v>35</v>
      </c>
      <c r="H848">
        <v>3.2000000000000001E-2</v>
      </c>
      <c r="I848" t="s">
        <v>1413</v>
      </c>
      <c r="J848" s="2" t="s">
        <v>2137</v>
      </c>
      <c r="K848">
        <v>1</v>
      </c>
      <c r="L848">
        <v>1</v>
      </c>
      <c r="M848" t="s">
        <v>18</v>
      </c>
      <c r="N848" t="str">
        <f t="shared" si="13"/>
        <v>MISCELLANEOUS FOOD STORES (5499)</v>
      </c>
    </row>
    <row r="849" spans="1:14" x14ac:dyDescent="0.45">
      <c r="A849" s="4">
        <v>5500</v>
      </c>
      <c r="B849" t="s">
        <v>1004</v>
      </c>
      <c r="C849" t="s">
        <v>1004</v>
      </c>
      <c r="D849" t="s">
        <v>1004</v>
      </c>
      <c r="E849" t="s">
        <v>984</v>
      </c>
      <c r="F849" t="s">
        <v>28</v>
      </c>
      <c r="G849">
        <v>35</v>
      </c>
      <c r="H849">
        <v>3.2000000000000001E-2</v>
      </c>
      <c r="I849" t="s">
        <v>1413</v>
      </c>
      <c r="J849" s="2" t="s">
        <v>2137</v>
      </c>
      <c r="K849">
        <v>1</v>
      </c>
      <c r="L849">
        <v>1</v>
      </c>
      <c r="M849" t="s">
        <v>18</v>
      </c>
      <c r="N849" t="str">
        <f t="shared" si="13"/>
        <v>AUTOMOTIVE DEALERS &amp; SERVICE STATIONS (5500)</v>
      </c>
    </row>
    <row r="850" spans="1:14" x14ac:dyDescent="0.45">
      <c r="A850" s="4">
        <v>5511</v>
      </c>
      <c r="B850" t="s">
        <v>1005</v>
      </c>
      <c r="C850" t="s">
        <v>1005</v>
      </c>
      <c r="D850" t="s">
        <v>1004</v>
      </c>
      <c r="E850" t="s">
        <v>984</v>
      </c>
      <c r="F850" t="s">
        <v>28</v>
      </c>
      <c r="G850">
        <v>35</v>
      </c>
      <c r="H850">
        <v>3.2000000000000001E-2</v>
      </c>
      <c r="I850" t="s">
        <v>1413</v>
      </c>
      <c r="J850" s="2" t="s">
        <v>2137</v>
      </c>
      <c r="K850">
        <v>1</v>
      </c>
      <c r="L850">
        <v>1</v>
      </c>
      <c r="M850" t="s">
        <v>18</v>
      </c>
      <c r="N850" t="str">
        <f t="shared" si="13"/>
        <v>NEW AND USED CAR DEALERS (5511)</v>
      </c>
    </row>
    <row r="851" spans="1:14" x14ac:dyDescent="0.45">
      <c r="A851" s="4">
        <v>5521</v>
      </c>
      <c r="B851" t="s">
        <v>1006</v>
      </c>
      <c r="C851" t="s">
        <v>1006</v>
      </c>
      <c r="D851" t="s">
        <v>1004</v>
      </c>
      <c r="E851" t="s">
        <v>984</v>
      </c>
      <c r="F851" t="s">
        <v>28</v>
      </c>
      <c r="G851">
        <v>35</v>
      </c>
      <c r="H851">
        <v>3.2000000000000001E-2</v>
      </c>
      <c r="I851" t="s">
        <v>1413</v>
      </c>
      <c r="J851" s="2" t="s">
        <v>2137</v>
      </c>
      <c r="K851">
        <v>1</v>
      </c>
      <c r="L851">
        <v>1</v>
      </c>
      <c r="M851" t="s">
        <v>18</v>
      </c>
      <c r="N851" t="str">
        <f t="shared" si="13"/>
        <v>USED CAR DEALERS (5521)</v>
      </c>
    </row>
    <row r="852" spans="1:14" x14ac:dyDescent="0.45">
      <c r="A852" s="4">
        <v>5531</v>
      </c>
      <c r="B852" t="s">
        <v>1007</v>
      </c>
      <c r="C852" t="s">
        <v>1007</v>
      </c>
      <c r="D852" t="s">
        <v>1004</v>
      </c>
      <c r="E852" t="s">
        <v>984</v>
      </c>
      <c r="F852" t="s">
        <v>28</v>
      </c>
      <c r="G852">
        <v>35</v>
      </c>
      <c r="H852">
        <v>3.2000000000000001E-2</v>
      </c>
      <c r="I852" t="s">
        <v>1413</v>
      </c>
      <c r="J852" s="2" t="s">
        <v>2137</v>
      </c>
      <c r="K852">
        <v>1</v>
      </c>
      <c r="L852">
        <v>1</v>
      </c>
      <c r="M852" t="s">
        <v>18</v>
      </c>
      <c r="N852" t="str">
        <f t="shared" si="13"/>
        <v>AUTO AND HOME SUPPLY STORES (5531)</v>
      </c>
    </row>
    <row r="853" spans="1:14" x14ac:dyDescent="0.45">
      <c r="A853" s="4">
        <v>5541</v>
      </c>
      <c r="B853" t="s">
        <v>1008</v>
      </c>
      <c r="C853" t="s">
        <v>1008</v>
      </c>
      <c r="D853" t="s">
        <v>1004</v>
      </c>
      <c r="E853" t="s">
        <v>984</v>
      </c>
      <c r="F853" t="s">
        <v>28</v>
      </c>
      <c r="G853">
        <v>35</v>
      </c>
      <c r="H853">
        <v>3.2000000000000001E-2</v>
      </c>
      <c r="I853" t="s">
        <v>1413</v>
      </c>
      <c r="J853" s="2" t="s">
        <v>2137</v>
      </c>
      <c r="K853">
        <v>1</v>
      </c>
      <c r="L853">
        <v>1</v>
      </c>
      <c r="M853" t="s">
        <v>18</v>
      </c>
      <c r="N853" t="str">
        <f t="shared" si="13"/>
        <v>GASOLINE SERVICE STATIONS (5541)</v>
      </c>
    </row>
    <row r="854" spans="1:14" x14ac:dyDescent="0.45">
      <c r="A854" s="4">
        <v>5551</v>
      </c>
      <c r="B854" t="s">
        <v>1009</v>
      </c>
      <c r="C854" t="s">
        <v>1009</v>
      </c>
      <c r="D854" t="s">
        <v>1004</v>
      </c>
      <c r="E854" t="s">
        <v>984</v>
      </c>
      <c r="F854" t="s">
        <v>28</v>
      </c>
      <c r="G854">
        <v>35</v>
      </c>
      <c r="H854">
        <v>3.2000000000000001E-2</v>
      </c>
      <c r="I854" t="s">
        <v>1413</v>
      </c>
      <c r="J854" s="2" t="s">
        <v>2137</v>
      </c>
      <c r="K854">
        <v>1</v>
      </c>
      <c r="L854">
        <v>1</v>
      </c>
      <c r="M854" t="s">
        <v>18</v>
      </c>
      <c r="N854" t="str">
        <f t="shared" si="13"/>
        <v>BOAT DEALERS (5551)</v>
      </c>
    </row>
    <row r="855" spans="1:14" x14ac:dyDescent="0.45">
      <c r="A855" s="4">
        <v>5561</v>
      </c>
      <c r="B855" t="s">
        <v>1010</v>
      </c>
      <c r="C855" t="s">
        <v>1010</v>
      </c>
      <c r="D855" t="s">
        <v>1004</v>
      </c>
      <c r="E855" t="s">
        <v>984</v>
      </c>
      <c r="F855" t="s">
        <v>28</v>
      </c>
      <c r="G855">
        <v>35</v>
      </c>
      <c r="H855">
        <v>3.2000000000000001E-2</v>
      </c>
      <c r="I855" t="s">
        <v>1413</v>
      </c>
      <c r="J855" s="2" t="s">
        <v>2137</v>
      </c>
      <c r="K855">
        <v>1</v>
      </c>
      <c r="L855">
        <v>1</v>
      </c>
      <c r="M855" t="s">
        <v>18</v>
      </c>
      <c r="N855" t="str">
        <f t="shared" si="13"/>
        <v>RECREATIONAL VEHICLE DEALERS (5561)</v>
      </c>
    </row>
    <row r="856" spans="1:14" x14ac:dyDescent="0.45">
      <c r="A856" s="4">
        <v>5571</v>
      </c>
      <c r="B856" t="s">
        <v>1011</v>
      </c>
      <c r="C856" t="s">
        <v>1011</v>
      </c>
      <c r="D856" t="s">
        <v>1004</v>
      </c>
      <c r="E856" t="s">
        <v>984</v>
      </c>
      <c r="F856" t="s">
        <v>28</v>
      </c>
      <c r="G856">
        <v>35</v>
      </c>
      <c r="H856">
        <v>3.2000000000000001E-2</v>
      </c>
      <c r="I856" t="s">
        <v>1413</v>
      </c>
      <c r="J856" s="2" t="s">
        <v>2137</v>
      </c>
      <c r="K856">
        <v>1</v>
      </c>
      <c r="L856">
        <v>1</v>
      </c>
      <c r="M856" t="s">
        <v>18</v>
      </c>
      <c r="N856" t="str">
        <f t="shared" si="13"/>
        <v>MOTORCYCLE DEALERS (5571)</v>
      </c>
    </row>
    <row r="857" spans="1:14" x14ac:dyDescent="0.45">
      <c r="A857" s="4">
        <v>5599</v>
      </c>
      <c r="B857" t="s">
        <v>1012</v>
      </c>
      <c r="C857" t="s">
        <v>1013</v>
      </c>
      <c r="D857" t="s">
        <v>1004</v>
      </c>
      <c r="E857" t="s">
        <v>984</v>
      </c>
      <c r="F857" t="s">
        <v>28</v>
      </c>
      <c r="G857">
        <v>35</v>
      </c>
      <c r="H857">
        <v>3.2000000000000001E-2</v>
      </c>
      <c r="I857" t="s">
        <v>1413</v>
      </c>
      <c r="J857" s="2" t="s">
        <v>2137</v>
      </c>
      <c r="K857">
        <v>1</v>
      </c>
      <c r="L857">
        <v>1</v>
      </c>
      <c r="M857" t="s">
        <v>18</v>
      </c>
      <c r="N857" t="str">
        <f t="shared" si="13"/>
        <v>AUTOMOTIVE DEALERS, NEC (5599)</v>
      </c>
    </row>
    <row r="858" spans="1:14" x14ac:dyDescent="0.45">
      <c r="A858" s="4">
        <v>5600</v>
      </c>
      <c r="B858" t="s">
        <v>1014</v>
      </c>
      <c r="C858" t="s">
        <v>1014</v>
      </c>
      <c r="D858" t="s">
        <v>1014</v>
      </c>
      <c r="E858" t="s">
        <v>984</v>
      </c>
      <c r="F858" t="s">
        <v>28</v>
      </c>
      <c r="G858">
        <v>35</v>
      </c>
      <c r="H858">
        <v>3.2000000000000001E-2</v>
      </c>
      <c r="I858" t="s">
        <v>1413</v>
      </c>
      <c r="J858" s="2" t="s">
        <v>2137</v>
      </c>
      <c r="K858">
        <v>1</v>
      </c>
      <c r="L858">
        <v>1</v>
      </c>
      <c r="M858" t="s">
        <v>18</v>
      </c>
      <c r="N858" t="str">
        <f t="shared" si="13"/>
        <v>APPAREL AND ACCESSORY STORES (5600)</v>
      </c>
    </row>
    <row r="859" spans="1:14" x14ac:dyDescent="0.45">
      <c r="A859" s="4">
        <v>5611</v>
      </c>
      <c r="B859" t="s">
        <v>1015</v>
      </c>
      <c r="C859" t="s">
        <v>1016</v>
      </c>
      <c r="D859" t="s">
        <v>1014</v>
      </c>
      <c r="E859" t="s">
        <v>984</v>
      </c>
      <c r="F859" t="s">
        <v>28</v>
      </c>
      <c r="G859">
        <v>35</v>
      </c>
      <c r="H859">
        <v>3.2000000000000001E-2</v>
      </c>
      <c r="I859" t="s">
        <v>1413</v>
      </c>
      <c r="J859" s="2" t="s">
        <v>2137</v>
      </c>
      <c r="K859">
        <v>1</v>
      </c>
      <c r="L859">
        <v>1</v>
      </c>
      <c r="M859" t="s">
        <v>18</v>
      </c>
      <c r="N859" t="str">
        <f t="shared" si="13"/>
        <v>MEN'S AND BOYS' CLOTHING STORES (5611)</v>
      </c>
    </row>
    <row r="860" spans="1:14" x14ac:dyDescent="0.45">
      <c r="A860" s="4">
        <v>5621</v>
      </c>
      <c r="B860" t="s">
        <v>1017</v>
      </c>
      <c r="C860" t="s">
        <v>1017</v>
      </c>
      <c r="D860" t="s">
        <v>1014</v>
      </c>
      <c r="E860" t="s">
        <v>984</v>
      </c>
      <c r="F860" t="s">
        <v>28</v>
      </c>
      <c r="G860">
        <v>35</v>
      </c>
      <c r="H860">
        <v>3.2000000000000001E-2</v>
      </c>
      <c r="I860" t="s">
        <v>1413</v>
      </c>
      <c r="J860" s="2" t="s">
        <v>2137</v>
      </c>
      <c r="K860">
        <v>1</v>
      </c>
      <c r="L860">
        <v>1</v>
      </c>
      <c r="M860" t="s">
        <v>18</v>
      </c>
      <c r="N860" t="str">
        <f t="shared" si="13"/>
        <v>WOMEN'S CLOTHING STORES (5621)</v>
      </c>
    </row>
    <row r="861" spans="1:14" x14ac:dyDescent="0.45">
      <c r="A861" s="4">
        <v>5632</v>
      </c>
      <c r="B861" t="s">
        <v>1018</v>
      </c>
      <c r="C861" t="s">
        <v>1019</v>
      </c>
      <c r="D861" t="s">
        <v>1014</v>
      </c>
      <c r="E861" t="s">
        <v>984</v>
      </c>
      <c r="F861" t="s">
        <v>28</v>
      </c>
      <c r="G861">
        <v>35</v>
      </c>
      <c r="H861">
        <v>3.2000000000000001E-2</v>
      </c>
      <c r="I861" t="s">
        <v>1413</v>
      </c>
      <c r="J861" s="2" t="s">
        <v>2137</v>
      </c>
      <c r="K861">
        <v>1</v>
      </c>
      <c r="L861">
        <v>1</v>
      </c>
      <c r="M861" t="s">
        <v>18</v>
      </c>
      <c r="N861" t="str">
        <f t="shared" si="13"/>
        <v>WOMEN'S ACCESSORY AND SPECIALTY STORES (5632)</v>
      </c>
    </row>
    <row r="862" spans="1:14" x14ac:dyDescent="0.45">
      <c r="A862" s="4">
        <v>5641</v>
      </c>
      <c r="B862" t="s">
        <v>1020</v>
      </c>
      <c r="C862" t="s">
        <v>1020</v>
      </c>
      <c r="D862" t="s">
        <v>1014</v>
      </c>
      <c r="E862" t="s">
        <v>984</v>
      </c>
      <c r="F862" t="s">
        <v>28</v>
      </c>
      <c r="G862">
        <v>35</v>
      </c>
      <c r="H862">
        <v>3.2000000000000001E-2</v>
      </c>
      <c r="I862" t="s">
        <v>1413</v>
      </c>
      <c r="J862" s="2" t="s">
        <v>2137</v>
      </c>
      <c r="K862">
        <v>1</v>
      </c>
      <c r="L862">
        <v>1</v>
      </c>
      <c r="M862" t="s">
        <v>18</v>
      </c>
      <c r="N862" t="str">
        <f t="shared" si="13"/>
        <v>CHILDREN'S AND INFANTS' WEAR STORES (5641)</v>
      </c>
    </row>
    <row r="863" spans="1:14" x14ac:dyDescent="0.45">
      <c r="A863" s="4">
        <v>5651</v>
      </c>
      <c r="B863" t="s">
        <v>1021</v>
      </c>
      <c r="C863" t="s">
        <v>1021</v>
      </c>
      <c r="D863" t="s">
        <v>1014</v>
      </c>
      <c r="E863" t="s">
        <v>984</v>
      </c>
      <c r="F863" t="s">
        <v>28</v>
      </c>
      <c r="G863">
        <v>35</v>
      </c>
      <c r="H863">
        <v>3.2000000000000001E-2</v>
      </c>
      <c r="I863" t="s">
        <v>1413</v>
      </c>
      <c r="J863" s="2" t="s">
        <v>2137</v>
      </c>
      <c r="K863">
        <v>1</v>
      </c>
      <c r="L863">
        <v>1</v>
      </c>
      <c r="M863" t="s">
        <v>18</v>
      </c>
      <c r="N863" t="str">
        <f t="shared" si="13"/>
        <v>FAMILY CLOTHING STORES (5651)</v>
      </c>
    </row>
    <row r="864" spans="1:14" x14ac:dyDescent="0.45">
      <c r="A864" s="4">
        <v>5661</v>
      </c>
      <c r="B864" t="s">
        <v>1022</v>
      </c>
      <c r="C864" t="s">
        <v>1022</v>
      </c>
      <c r="D864" t="s">
        <v>1014</v>
      </c>
      <c r="E864" t="s">
        <v>984</v>
      </c>
      <c r="F864" t="s">
        <v>28</v>
      </c>
      <c r="G864">
        <v>35</v>
      </c>
      <c r="H864">
        <v>3.2000000000000001E-2</v>
      </c>
      <c r="I864" t="s">
        <v>1413</v>
      </c>
      <c r="J864" s="2" t="s">
        <v>2137</v>
      </c>
      <c r="K864">
        <v>1</v>
      </c>
      <c r="L864">
        <v>1</v>
      </c>
      <c r="M864" t="s">
        <v>18</v>
      </c>
      <c r="N864" t="str">
        <f t="shared" si="13"/>
        <v>SHOE STORES (5661)</v>
      </c>
    </row>
    <row r="865" spans="1:14" x14ac:dyDescent="0.45">
      <c r="A865" s="4">
        <v>5699</v>
      </c>
      <c r="B865" t="s">
        <v>333</v>
      </c>
      <c r="C865" t="s">
        <v>1023</v>
      </c>
      <c r="D865" t="s">
        <v>1014</v>
      </c>
      <c r="E865" t="s">
        <v>984</v>
      </c>
      <c r="F865" t="s">
        <v>28</v>
      </c>
      <c r="G865">
        <v>35</v>
      </c>
      <c r="H865">
        <v>3.2000000000000001E-2</v>
      </c>
      <c r="I865" t="s">
        <v>1413</v>
      </c>
      <c r="J865" s="2" t="s">
        <v>2137</v>
      </c>
      <c r="K865">
        <v>1</v>
      </c>
      <c r="L865">
        <v>1</v>
      </c>
      <c r="M865" t="s">
        <v>18</v>
      </c>
      <c r="N865" t="str">
        <f t="shared" si="13"/>
        <v>MISCELLANEOUS APPAREL AND ACCESSORIES (5699)</v>
      </c>
    </row>
    <row r="866" spans="1:14" x14ac:dyDescent="0.45">
      <c r="A866" s="4">
        <v>5700</v>
      </c>
      <c r="B866" t="s">
        <v>1024</v>
      </c>
      <c r="C866" t="s">
        <v>1024</v>
      </c>
      <c r="D866" t="s">
        <v>1024</v>
      </c>
      <c r="E866" t="s">
        <v>984</v>
      </c>
      <c r="F866" t="s">
        <v>28</v>
      </c>
      <c r="G866">
        <v>35</v>
      </c>
      <c r="H866">
        <v>3.2000000000000001E-2</v>
      </c>
      <c r="I866" t="s">
        <v>1413</v>
      </c>
      <c r="J866" s="2" t="s">
        <v>2137</v>
      </c>
      <c r="K866">
        <v>1</v>
      </c>
      <c r="L866">
        <v>1</v>
      </c>
      <c r="M866" t="s">
        <v>18</v>
      </c>
      <c r="N866" t="str">
        <f t="shared" si="13"/>
        <v>FURNITURE AND HOMEFURNISHINGS STORES (5700)</v>
      </c>
    </row>
    <row r="867" spans="1:14" x14ac:dyDescent="0.45">
      <c r="A867" s="4">
        <v>5712</v>
      </c>
      <c r="B867" t="s">
        <v>1025</v>
      </c>
      <c r="C867" t="s">
        <v>1024</v>
      </c>
      <c r="D867" t="s">
        <v>1024</v>
      </c>
      <c r="E867" t="s">
        <v>984</v>
      </c>
      <c r="F867" t="s">
        <v>28</v>
      </c>
      <c r="G867">
        <v>35</v>
      </c>
      <c r="H867">
        <v>3.2000000000000001E-2</v>
      </c>
      <c r="I867" t="s">
        <v>1413</v>
      </c>
      <c r="J867" s="2" t="s">
        <v>2137</v>
      </c>
      <c r="K867">
        <v>1</v>
      </c>
      <c r="L867">
        <v>1</v>
      </c>
      <c r="M867" t="s">
        <v>18</v>
      </c>
      <c r="N867" t="str">
        <f t="shared" si="13"/>
        <v>FURNITURE STORES (5712)</v>
      </c>
    </row>
    <row r="868" spans="1:14" x14ac:dyDescent="0.45">
      <c r="A868" s="4">
        <v>5713</v>
      </c>
      <c r="B868" t="s">
        <v>1026</v>
      </c>
      <c r="C868" t="s">
        <v>1024</v>
      </c>
      <c r="D868" t="s">
        <v>1024</v>
      </c>
      <c r="E868" t="s">
        <v>984</v>
      </c>
      <c r="F868" t="s">
        <v>28</v>
      </c>
      <c r="G868">
        <v>35</v>
      </c>
      <c r="H868">
        <v>3.2000000000000001E-2</v>
      </c>
      <c r="I868" t="s">
        <v>1413</v>
      </c>
      <c r="J868" s="2" t="s">
        <v>2137</v>
      </c>
      <c r="K868">
        <v>1</v>
      </c>
      <c r="L868">
        <v>1</v>
      </c>
      <c r="M868" t="s">
        <v>18</v>
      </c>
      <c r="N868" t="str">
        <f t="shared" si="13"/>
        <v>FLOOR COVERING STORES (5713)</v>
      </c>
    </row>
    <row r="869" spans="1:14" x14ac:dyDescent="0.45">
      <c r="A869" s="4">
        <v>5714</v>
      </c>
      <c r="B869" t="s">
        <v>1027</v>
      </c>
      <c r="C869" t="s">
        <v>1024</v>
      </c>
      <c r="D869" t="s">
        <v>1024</v>
      </c>
      <c r="E869" t="s">
        <v>984</v>
      </c>
      <c r="F869" t="s">
        <v>28</v>
      </c>
      <c r="G869">
        <v>35</v>
      </c>
      <c r="H869">
        <v>3.2000000000000001E-2</v>
      </c>
      <c r="I869" t="s">
        <v>1413</v>
      </c>
      <c r="J869" s="2" t="s">
        <v>2137</v>
      </c>
      <c r="K869">
        <v>1</v>
      </c>
      <c r="L869">
        <v>1</v>
      </c>
      <c r="M869" t="s">
        <v>18</v>
      </c>
      <c r="N869" t="str">
        <f t="shared" si="13"/>
        <v>DRAPERY AND UPHOLSTERY STORES (5714)</v>
      </c>
    </row>
    <row r="870" spans="1:14" x14ac:dyDescent="0.45">
      <c r="A870" s="4">
        <v>5719</v>
      </c>
      <c r="B870" t="s">
        <v>1028</v>
      </c>
      <c r="C870" t="s">
        <v>1024</v>
      </c>
      <c r="D870" t="s">
        <v>1024</v>
      </c>
      <c r="E870" t="s">
        <v>984</v>
      </c>
      <c r="F870" t="s">
        <v>28</v>
      </c>
      <c r="G870">
        <v>35</v>
      </c>
      <c r="H870">
        <v>3.2000000000000001E-2</v>
      </c>
      <c r="I870" t="s">
        <v>1413</v>
      </c>
      <c r="J870" s="2" t="s">
        <v>2137</v>
      </c>
      <c r="K870">
        <v>1</v>
      </c>
      <c r="L870">
        <v>1</v>
      </c>
      <c r="M870" t="s">
        <v>18</v>
      </c>
      <c r="N870" t="str">
        <f t="shared" si="13"/>
        <v>MISCELLANEOUS HOMEFURNISHINGS (5719)</v>
      </c>
    </row>
    <row r="871" spans="1:14" x14ac:dyDescent="0.45">
      <c r="A871" s="4">
        <v>5722</v>
      </c>
      <c r="B871" t="s">
        <v>1029</v>
      </c>
      <c r="C871" t="s">
        <v>1029</v>
      </c>
      <c r="D871" t="s">
        <v>1024</v>
      </c>
      <c r="E871" t="s">
        <v>984</v>
      </c>
      <c r="F871" t="s">
        <v>28</v>
      </c>
      <c r="G871">
        <v>35</v>
      </c>
      <c r="H871">
        <v>3.2000000000000001E-2</v>
      </c>
      <c r="I871" t="s">
        <v>1413</v>
      </c>
      <c r="J871" s="2" t="s">
        <v>2137</v>
      </c>
      <c r="K871">
        <v>1</v>
      </c>
      <c r="L871">
        <v>1</v>
      </c>
      <c r="M871" t="s">
        <v>18</v>
      </c>
      <c r="N871" t="str">
        <f t="shared" si="13"/>
        <v>HOUSEHOLD APPLIANCE STORES (5722)</v>
      </c>
    </row>
    <row r="872" spans="1:14" x14ac:dyDescent="0.45">
      <c r="A872" s="4">
        <v>5731</v>
      </c>
      <c r="B872" t="s">
        <v>1030</v>
      </c>
      <c r="C872" t="s">
        <v>1031</v>
      </c>
      <c r="D872" t="s">
        <v>1024</v>
      </c>
      <c r="E872" t="s">
        <v>984</v>
      </c>
      <c r="F872" t="s">
        <v>28</v>
      </c>
      <c r="G872">
        <v>35</v>
      </c>
      <c r="H872">
        <v>3.2000000000000001E-2</v>
      </c>
      <c r="I872" t="s">
        <v>1413</v>
      </c>
      <c r="J872" s="2" t="s">
        <v>2137</v>
      </c>
      <c r="K872">
        <v>1</v>
      </c>
      <c r="L872">
        <v>1</v>
      </c>
      <c r="M872" t="s">
        <v>18</v>
      </c>
      <c r="N872" t="str">
        <f t="shared" si="13"/>
        <v>RADIO, TELEVISION, AND ELECTRONIC STORES (5731)</v>
      </c>
    </row>
    <row r="873" spans="1:14" x14ac:dyDescent="0.45">
      <c r="A873" s="4">
        <v>5734</v>
      </c>
      <c r="B873" t="s">
        <v>1032</v>
      </c>
      <c r="C873" t="s">
        <v>1031</v>
      </c>
      <c r="D873" t="s">
        <v>1024</v>
      </c>
      <c r="E873" t="s">
        <v>984</v>
      </c>
      <c r="F873" t="s">
        <v>28</v>
      </c>
      <c r="G873">
        <v>35</v>
      </c>
      <c r="H873">
        <v>3.2000000000000001E-2</v>
      </c>
      <c r="I873" t="s">
        <v>1413</v>
      </c>
      <c r="J873" s="2" t="s">
        <v>2137</v>
      </c>
      <c r="K873">
        <v>1</v>
      </c>
      <c r="L873">
        <v>1</v>
      </c>
      <c r="M873" t="s">
        <v>18</v>
      </c>
      <c r="N873" t="str">
        <f t="shared" si="13"/>
        <v>COMPUTER AND SOFTWARE STORES (5734)</v>
      </c>
    </row>
    <row r="874" spans="1:14" x14ac:dyDescent="0.45">
      <c r="A874" s="4">
        <v>5735</v>
      </c>
      <c r="B874" t="s">
        <v>1033</v>
      </c>
      <c r="C874" t="s">
        <v>1031</v>
      </c>
      <c r="D874" t="s">
        <v>1024</v>
      </c>
      <c r="E874" t="s">
        <v>984</v>
      </c>
      <c r="F874" t="s">
        <v>28</v>
      </c>
      <c r="G874">
        <v>35</v>
      </c>
      <c r="H874">
        <v>3.2000000000000001E-2</v>
      </c>
      <c r="I874" t="s">
        <v>1413</v>
      </c>
      <c r="J874" s="2" t="s">
        <v>2137</v>
      </c>
      <c r="K874">
        <v>1</v>
      </c>
      <c r="L874">
        <v>1</v>
      </c>
      <c r="M874" t="s">
        <v>18</v>
      </c>
      <c r="N874" t="str">
        <f t="shared" si="13"/>
        <v>RECORD AND PRERECORDED TAPE STORES (5735)</v>
      </c>
    </row>
    <row r="875" spans="1:14" x14ac:dyDescent="0.45">
      <c r="A875" s="4">
        <v>5736</v>
      </c>
      <c r="B875" t="s">
        <v>1034</v>
      </c>
      <c r="C875" t="s">
        <v>1031</v>
      </c>
      <c r="D875" t="s">
        <v>1024</v>
      </c>
      <c r="E875" t="s">
        <v>984</v>
      </c>
      <c r="F875" t="s">
        <v>28</v>
      </c>
      <c r="G875">
        <v>35</v>
      </c>
      <c r="H875">
        <v>3.2000000000000001E-2</v>
      </c>
      <c r="I875" t="s">
        <v>1413</v>
      </c>
      <c r="J875" s="2" t="s">
        <v>2137</v>
      </c>
      <c r="K875">
        <v>1</v>
      </c>
      <c r="L875">
        <v>1</v>
      </c>
      <c r="M875" t="s">
        <v>18</v>
      </c>
      <c r="N875" t="str">
        <f t="shared" si="13"/>
        <v>MUSICAL INSTRUMENT STORES (5736)</v>
      </c>
    </row>
    <row r="876" spans="1:14" x14ac:dyDescent="0.45">
      <c r="A876" s="4">
        <v>5810</v>
      </c>
      <c r="B876" t="s">
        <v>1035</v>
      </c>
      <c r="C876" t="s">
        <v>1035</v>
      </c>
      <c r="D876" t="s">
        <v>1035</v>
      </c>
      <c r="E876" t="s">
        <v>984</v>
      </c>
      <c r="F876" t="s">
        <v>28</v>
      </c>
      <c r="G876">
        <v>35</v>
      </c>
      <c r="H876">
        <v>3.2000000000000001E-2</v>
      </c>
      <c r="I876" t="s">
        <v>1413</v>
      </c>
      <c r="J876" s="2" t="s">
        <v>2137</v>
      </c>
      <c r="K876">
        <v>1</v>
      </c>
      <c r="L876">
        <v>1</v>
      </c>
      <c r="M876" t="s">
        <v>18</v>
      </c>
      <c r="N876" t="str">
        <f t="shared" si="13"/>
        <v>EATING AND DRINKING PLACES (5810)</v>
      </c>
    </row>
    <row r="877" spans="1:14" x14ac:dyDescent="0.45">
      <c r="A877" s="4">
        <v>5812</v>
      </c>
      <c r="B877" t="s">
        <v>1036</v>
      </c>
      <c r="C877" t="s">
        <v>1035</v>
      </c>
      <c r="D877" t="s">
        <v>1035</v>
      </c>
      <c r="E877" t="s">
        <v>984</v>
      </c>
      <c r="F877" t="s">
        <v>28</v>
      </c>
      <c r="G877">
        <v>35</v>
      </c>
      <c r="H877">
        <v>3.2000000000000001E-2</v>
      </c>
      <c r="I877" t="s">
        <v>1413</v>
      </c>
      <c r="J877" s="2" t="s">
        <v>2137</v>
      </c>
      <c r="K877">
        <v>1</v>
      </c>
      <c r="L877">
        <v>1</v>
      </c>
      <c r="M877" t="s">
        <v>18</v>
      </c>
      <c r="N877" t="str">
        <f t="shared" si="13"/>
        <v>EATING PLACES (5812)</v>
      </c>
    </row>
    <row r="878" spans="1:14" x14ac:dyDescent="0.45">
      <c r="A878" s="4">
        <v>5813</v>
      </c>
      <c r="B878" t="s">
        <v>1037</v>
      </c>
      <c r="C878" t="s">
        <v>1035</v>
      </c>
      <c r="D878" t="s">
        <v>1035</v>
      </c>
      <c r="E878" t="s">
        <v>984</v>
      </c>
      <c r="F878" t="s">
        <v>28</v>
      </c>
      <c r="G878">
        <v>35</v>
      </c>
      <c r="H878">
        <v>3.2000000000000001E-2</v>
      </c>
      <c r="I878" t="s">
        <v>1413</v>
      </c>
      <c r="J878" s="2" t="s">
        <v>2137</v>
      </c>
      <c r="K878">
        <v>1</v>
      </c>
      <c r="L878">
        <v>1</v>
      </c>
      <c r="M878" t="s">
        <v>18</v>
      </c>
      <c r="N878" t="str">
        <f t="shared" si="13"/>
        <v>DRINKING PLACES (5813)</v>
      </c>
    </row>
    <row r="879" spans="1:14" x14ac:dyDescent="0.45">
      <c r="A879" s="4">
        <v>5900</v>
      </c>
      <c r="B879" t="s">
        <v>1038</v>
      </c>
      <c r="C879" t="s">
        <v>1038</v>
      </c>
      <c r="D879" t="s">
        <v>1038</v>
      </c>
      <c r="E879" t="s">
        <v>984</v>
      </c>
      <c r="F879" t="s">
        <v>28</v>
      </c>
      <c r="G879">
        <v>35</v>
      </c>
      <c r="H879">
        <v>3.2000000000000001E-2</v>
      </c>
      <c r="I879" t="s">
        <v>1413</v>
      </c>
      <c r="J879" s="2" t="s">
        <v>2137</v>
      </c>
      <c r="K879">
        <v>1</v>
      </c>
      <c r="L879">
        <v>1</v>
      </c>
      <c r="M879" t="s">
        <v>18</v>
      </c>
      <c r="N879" t="str">
        <f t="shared" si="13"/>
        <v>MISCELLANEOUS RETAIL (5900)</v>
      </c>
    </row>
    <row r="880" spans="1:14" x14ac:dyDescent="0.45">
      <c r="A880" s="4">
        <v>5912</v>
      </c>
      <c r="B880" t="s">
        <v>1039</v>
      </c>
      <c r="C880" t="s">
        <v>1039</v>
      </c>
      <c r="D880" t="s">
        <v>1038</v>
      </c>
      <c r="E880" t="s">
        <v>984</v>
      </c>
      <c r="F880" t="s">
        <v>28</v>
      </c>
      <c r="G880">
        <v>35</v>
      </c>
      <c r="H880">
        <v>3.2000000000000001E-2</v>
      </c>
      <c r="I880" t="s">
        <v>1413</v>
      </c>
      <c r="J880" s="2" t="s">
        <v>2137</v>
      </c>
      <c r="K880">
        <v>1</v>
      </c>
      <c r="L880">
        <v>1</v>
      </c>
      <c r="M880" t="s">
        <v>18</v>
      </c>
      <c r="N880" t="str">
        <f t="shared" si="13"/>
        <v>DRUG STORES AND PROPRIETARY STORES (5912)</v>
      </c>
    </row>
    <row r="881" spans="1:14" x14ac:dyDescent="0.45">
      <c r="A881" s="4">
        <v>5921</v>
      </c>
      <c r="B881" t="s">
        <v>1040</v>
      </c>
      <c r="C881" t="s">
        <v>1040</v>
      </c>
      <c r="D881" t="s">
        <v>1038</v>
      </c>
      <c r="E881" t="s">
        <v>984</v>
      </c>
      <c r="F881" t="s">
        <v>28</v>
      </c>
      <c r="G881">
        <v>35</v>
      </c>
      <c r="H881">
        <v>3.2000000000000001E-2</v>
      </c>
      <c r="I881" t="s">
        <v>1413</v>
      </c>
      <c r="J881" s="2" t="s">
        <v>2137</v>
      </c>
      <c r="K881">
        <v>1</v>
      </c>
      <c r="L881">
        <v>1</v>
      </c>
      <c r="M881" t="s">
        <v>18</v>
      </c>
      <c r="N881" t="str">
        <f t="shared" si="13"/>
        <v>LIQUOR STORES (5921)</v>
      </c>
    </row>
    <row r="882" spans="1:14" x14ac:dyDescent="0.45">
      <c r="A882" s="4">
        <v>5932</v>
      </c>
      <c r="B882" t="s">
        <v>1041</v>
      </c>
      <c r="C882" t="s">
        <v>1041</v>
      </c>
      <c r="D882" t="s">
        <v>1038</v>
      </c>
      <c r="E882" t="s">
        <v>984</v>
      </c>
      <c r="F882" t="s">
        <v>28</v>
      </c>
      <c r="G882">
        <v>35</v>
      </c>
      <c r="H882">
        <v>3.2000000000000001E-2</v>
      </c>
      <c r="I882" t="s">
        <v>1413</v>
      </c>
      <c r="J882" s="2" t="s">
        <v>2137</v>
      </c>
      <c r="K882">
        <v>1</v>
      </c>
      <c r="L882">
        <v>1</v>
      </c>
      <c r="M882" t="s">
        <v>18</v>
      </c>
      <c r="N882" t="str">
        <f t="shared" si="13"/>
        <v>USED MERCHANDISE STORES (5932)</v>
      </c>
    </row>
    <row r="883" spans="1:14" x14ac:dyDescent="0.45">
      <c r="A883" s="4">
        <v>5940</v>
      </c>
      <c r="B883" t="s">
        <v>1042</v>
      </c>
      <c r="C883" t="s">
        <v>1042</v>
      </c>
      <c r="D883" t="s">
        <v>1038</v>
      </c>
      <c r="E883" t="s">
        <v>984</v>
      </c>
      <c r="F883" t="s">
        <v>28</v>
      </c>
      <c r="G883">
        <v>35</v>
      </c>
      <c r="H883">
        <v>3.2000000000000001E-2</v>
      </c>
      <c r="I883" t="s">
        <v>1413</v>
      </c>
      <c r="J883" s="2" t="s">
        <v>2137</v>
      </c>
      <c r="K883">
        <v>1</v>
      </c>
      <c r="L883">
        <v>1</v>
      </c>
      <c r="M883" t="s">
        <v>18</v>
      </c>
      <c r="N883" t="str">
        <f t="shared" si="13"/>
        <v>MISCELLANEOUS SHOPPING GOODS STORES (5940)</v>
      </c>
    </row>
    <row r="884" spans="1:14" x14ac:dyDescent="0.45">
      <c r="A884" s="4">
        <v>5941</v>
      </c>
      <c r="B884" t="s">
        <v>1043</v>
      </c>
      <c r="C884" t="s">
        <v>1042</v>
      </c>
      <c r="D884" t="s">
        <v>1038</v>
      </c>
      <c r="E884" t="s">
        <v>984</v>
      </c>
      <c r="F884" t="s">
        <v>28</v>
      </c>
      <c r="G884">
        <v>35</v>
      </c>
      <c r="H884">
        <v>3.2000000000000001E-2</v>
      </c>
      <c r="I884" t="s">
        <v>1413</v>
      </c>
      <c r="J884" s="2" t="s">
        <v>2137</v>
      </c>
      <c r="K884">
        <v>1</v>
      </c>
      <c r="L884">
        <v>1</v>
      </c>
      <c r="M884" t="s">
        <v>18</v>
      </c>
      <c r="N884" t="str">
        <f t="shared" si="13"/>
        <v>SPORTING GOODS AND BICYCLE SHOPS (5941)</v>
      </c>
    </row>
    <row r="885" spans="1:14" x14ac:dyDescent="0.45">
      <c r="A885" s="4">
        <v>5942</v>
      </c>
      <c r="B885" t="s">
        <v>1044</v>
      </c>
      <c r="C885" t="s">
        <v>1042</v>
      </c>
      <c r="D885" t="s">
        <v>1038</v>
      </c>
      <c r="E885" t="s">
        <v>984</v>
      </c>
      <c r="F885" t="s">
        <v>28</v>
      </c>
      <c r="G885">
        <v>35</v>
      </c>
      <c r="H885">
        <v>3.2000000000000001E-2</v>
      </c>
      <c r="I885" t="s">
        <v>1413</v>
      </c>
      <c r="J885" s="2" t="s">
        <v>2137</v>
      </c>
      <c r="K885">
        <v>1</v>
      </c>
      <c r="L885">
        <v>1</v>
      </c>
      <c r="M885" t="s">
        <v>18</v>
      </c>
      <c r="N885" t="str">
        <f t="shared" si="13"/>
        <v>BOOK STORES (5942)</v>
      </c>
    </row>
    <row r="886" spans="1:14" x14ac:dyDescent="0.45">
      <c r="A886" s="4">
        <v>5943</v>
      </c>
      <c r="B886" t="s">
        <v>1045</v>
      </c>
      <c r="C886" t="s">
        <v>1042</v>
      </c>
      <c r="D886" t="s">
        <v>1038</v>
      </c>
      <c r="E886" t="s">
        <v>984</v>
      </c>
      <c r="F886" t="s">
        <v>28</v>
      </c>
      <c r="G886">
        <v>35</v>
      </c>
      <c r="H886">
        <v>3.2000000000000001E-2</v>
      </c>
      <c r="I886" t="s">
        <v>1413</v>
      </c>
      <c r="J886" s="2" t="s">
        <v>2137</v>
      </c>
      <c r="K886">
        <v>1</v>
      </c>
      <c r="L886">
        <v>1</v>
      </c>
      <c r="M886" t="s">
        <v>18</v>
      </c>
      <c r="N886" t="str">
        <f t="shared" si="13"/>
        <v>STATIONERY STORES (5943)</v>
      </c>
    </row>
    <row r="887" spans="1:14" x14ac:dyDescent="0.45">
      <c r="A887" s="4">
        <v>5944</v>
      </c>
      <c r="B887" t="s">
        <v>1046</v>
      </c>
      <c r="C887" t="s">
        <v>1042</v>
      </c>
      <c r="D887" t="s">
        <v>1038</v>
      </c>
      <c r="E887" t="s">
        <v>984</v>
      </c>
      <c r="F887" t="s">
        <v>28</v>
      </c>
      <c r="G887">
        <v>35</v>
      </c>
      <c r="H887">
        <v>3.2000000000000001E-2</v>
      </c>
      <c r="I887" t="s">
        <v>1413</v>
      </c>
      <c r="J887" s="2" t="s">
        <v>2137</v>
      </c>
      <c r="K887">
        <v>1</v>
      </c>
      <c r="L887">
        <v>1</v>
      </c>
      <c r="M887" t="s">
        <v>18</v>
      </c>
      <c r="N887" t="str">
        <f t="shared" si="13"/>
        <v>JEWELRY STORES (5944)</v>
      </c>
    </row>
    <row r="888" spans="1:14" x14ac:dyDescent="0.45">
      <c r="A888" s="4">
        <v>5945</v>
      </c>
      <c r="B888" t="s">
        <v>1047</v>
      </c>
      <c r="C888" t="s">
        <v>1042</v>
      </c>
      <c r="D888" t="s">
        <v>1038</v>
      </c>
      <c r="E888" t="s">
        <v>984</v>
      </c>
      <c r="F888" t="s">
        <v>28</v>
      </c>
      <c r="G888">
        <v>35</v>
      </c>
      <c r="H888">
        <v>3.2000000000000001E-2</v>
      </c>
      <c r="I888" t="s">
        <v>1413</v>
      </c>
      <c r="J888" s="2" t="s">
        <v>2137</v>
      </c>
      <c r="K888">
        <v>1</v>
      </c>
      <c r="L888">
        <v>1</v>
      </c>
      <c r="M888" t="s">
        <v>18</v>
      </c>
      <c r="N888" t="str">
        <f t="shared" si="13"/>
        <v>HOBBY, TOY, AND GAME SHOPS (5945)</v>
      </c>
    </row>
    <row r="889" spans="1:14" x14ac:dyDescent="0.45">
      <c r="A889" s="4">
        <v>5946</v>
      </c>
      <c r="B889" t="s">
        <v>1048</v>
      </c>
      <c r="C889" t="s">
        <v>1042</v>
      </c>
      <c r="D889" t="s">
        <v>1038</v>
      </c>
      <c r="E889" t="s">
        <v>984</v>
      </c>
      <c r="F889" t="s">
        <v>28</v>
      </c>
      <c r="G889">
        <v>35</v>
      </c>
      <c r="H889">
        <v>3.2000000000000001E-2</v>
      </c>
      <c r="I889" t="s">
        <v>1413</v>
      </c>
      <c r="J889" s="2" t="s">
        <v>2137</v>
      </c>
      <c r="K889">
        <v>1</v>
      </c>
      <c r="L889">
        <v>1</v>
      </c>
      <c r="M889" t="s">
        <v>18</v>
      </c>
      <c r="N889" t="str">
        <f t="shared" si="13"/>
        <v>CAMERA AND PHOTOGRAPHIC SUPPLY STORES (5946)</v>
      </c>
    </row>
    <row r="890" spans="1:14" x14ac:dyDescent="0.45">
      <c r="A890" s="4">
        <v>5947</v>
      </c>
      <c r="B890" t="s">
        <v>1049</v>
      </c>
      <c r="C890" t="s">
        <v>1042</v>
      </c>
      <c r="D890" t="s">
        <v>1038</v>
      </c>
      <c r="E890" t="s">
        <v>984</v>
      </c>
      <c r="F890" t="s">
        <v>28</v>
      </c>
      <c r="G890">
        <v>35</v>
      </c>
      <c r="H890">
        <v>3.2000000000000001E-2</v>
      </c>
      <c r="I890" t="s">
        <v>1413</v>
      </c>
      <c r="J890" s="2" t="s">
        <v>2137</v>
      </c>
      <c r="K890">
        <v>1</v>
      </c>
      <c r="L890">
        <v>1</v>
      </c>
      <c r="M890" t="s">
        <v>18</v>
      </c>
      <c r="N890" t="str">
        <f t="shared" si="13"/>
        <v>GIFT, NOVELTY, AND SOUVENIR SHOP (5947)</v>
      </c>
    </row>
    <row r="891" spans="1:14" x14ac:dyDescent="0.45">
      <c r="A891" s="4">
        <v>5948</v>
      </c>
      <c r="B891" t="s">
        <v>1050</v>
      </c>
      <c r="C891" t="s">
        <v>1042</v>
      </c>
      <c r="D891" t="s">
        <v>1038</v>
      </c>
      <c r="E891" t="s">
        <v>984</v>
      </c>
      <c r="F891" t="s">
        <v>28</v>
      </c>
      <c r="G891">
        <v>35</v>
      </c>
      <c r="H891">
        <v>3.2000000000000001E-2</v>
      </c>
      <c r="I891" t="s">
        <v>1413</v>
      </c>
      <c r="J891" s="2" t="s">
        <v>2137</v>
      </c>
      <c r="K891">
        <v>1</v>
      </c>
      <c r="L891">
        <v>1</v>
      </c>
      <c r="M891" t="s">
        <v>18</v>
      </c>
      <c r="N891" t="str">
        <f t="shared" si="13"/>
        <v>LUGGAGE AND LEATHER GOODS STORES (5948)</v>
      </c>
    </row>
    <row r="892" spans="1:14" x14ac:dyDescent="0.45">
      <c r="A892" s="4">
        <v>5949</v>
      </c>
      <c r="B892" t="s">
        <v>1051</v>
      </c>
      <c r="C892" t="s">
        <v>1042</v>
      </c>
      <c r="D892" t="s">
        <v>1038</v>
      </c>
      <c r="E892" t="s">
        <v>984</v>
      </c>
      <c r="F892" t="s">
        <v>28</v>
      </c>
      <c r="G892">
        <v>35</v>
      </c>
      <c r="H892">
        <v>3.2000000000000001E-2</v>
      </c>
      <c r="I892" t="s">
        <v>1413</v>
      </c>
      <c r="J892" s="2" t="s">
        <v>2137</v>
      </c>
      <c r="K892">
        <v>1</v>
      </c>
      <c r="L892">
        <v>1</v>
      </c>
      <c r="M892" t="s">
        <v>18</v>
      </c>
      <c r="N892" t="str">
        <f t="shared" si="13"/>
        <v>SEWING, NEEDLEWORK, AND PIECE GOODS (5949)</v>
      </c>
    </row>
    <row r="893" spans="1:14" x14ac:dyDescent="0.45">
      <c r="A893" s="4">
        <v>5960</v>
      </c>
      <c r="B893" t="s">
        <v>1052</v>
      </c>
      <c r="C893" t="s">
        <v>1052</v>
      </c>
      <c r="D893" t="s">
        <v>1038</v>
      </c>
      <c r="E893" t="s">
        <v>984</v>
      </c>
      <c r="F893" t="s">
        <v>28</v>
      </c>
      <c r="G893">
        <v>35</v>
      </c>
      <c r="H893">
        <v>3.2000000000000001E-2</v>
      </c>
      <c r="I893" t="s">
        <v>1413</v>
      </c>
      <c r="J893" s="2" t="s">
        <v>2137</v>
      </c>
      <c r="K893">
        <v>1</v>
      </c>
      <c r="L893">
        <v>1</v>
      </c>
      <c r="M893" t="s">
        <v>18</v>
      </c>
      <c r="N893" t="str">
        <f t="shared" si="13"/>
        <v>NONSTORE RETAILERS (5960)</v>
      </c>
    </row>
    <row r="894" spans="1:14" x14ac:dyDescent="0.45">
      <c r="A894" s="4">
        <v>5961</v>
      </c>
      <c r="B894" t="s">
        <v>1053</v>
      </c>
      <c r="C894" t="s">
        <v>1052</v>
      </c>
      <c r="D894" t="s">
        <v>1038</v>
      </c>
      <c r="E894" t="s">
        <v>984</v>
      </c>
      <c r="F894" t="s">
        <v>28</v>
      </c>
      <c r="G894">
        <v>35</v>
      </c>
      <c r="H894">
        <v>3.2000000000000001E-2</v>
      </c>
      <c r="I894" t="s">
        <v>1413</v>
      </c>
      <c r="J894" s="2" t="s">
        <v>2137</v>
      </c>
      <c r="K894">
        <v>1</v>
      </c>
      <c r="L894">
        <v>1</v>
      </c>
      <c r="M894" t="s">
        <v>18</v>
      </c>
      <c r="N894" t="str">
        <f t="shared" si="13"/>
        <v>CATALOG AND MAIL-ORDER HOUSES (5961)</v>
      </c>
    </row>
    <row r="895" spans="1:14" x14ac:dyDescent="0.45">
      <c r="A895" s="4">
        <v>5962</v>
      </c>
      <c r="B895" t="s">
        <v>1054</v>
      </c>
      <c r="C895" t="s">
        <v>1052</v>
      </c>
      <c r="D895" t="s">
        <v>1038</v>
      </c>
      <c r="E895" t="s">
        <v>984</v>
      </c>
      <c r="F895" t="s">
        <v>28</v>
      </c>
      <c r="G895">
        <v>35</v>
      </c>
      <c r="H895">
        <v>3.2000000000000001E-2</v>
      </c>
      <c r="I895" t="s">
        <v>1413</v>
      </c>
      <c r="J895" s="2" t="s">
        <v>2137</v>
      </c>
      <c r="K895">
        <v>1</v>
      </c>
      <c r="L895">
        <v>1</v>
      </c>
      <c r="M895" t="s">
        <v>18</v>
      </c>
      <c r="N895" t="str">
        <f t="shared" si="13"/>
        <v>MERCHANDISING MACHINE OPERATORS (5962)</v>
      </c>
    </row>
    <row r="896" spans="1:14" x14ac:dyDescent="0.45">
      <c r="A896" s="4">
        <v>5963</v>
      </c>
      <c r="B896" t="s">
        <v>1055</v>
      </c>
      <c r="C896" t="s">
        <v>1052</v>
      </c>
      <c r="D896" t="s">
        <v>1038</v>
      </c>
      <c r="E896" t="s">
        <v>984</v>
      </c>
      <c r="F896" t="s">
        <v>28</v>
      </c>
      <c r="G896">
        <v>35</v>
      </c>
      <c r="H896">
        <v>3.2000000000000001E-2</v>
      </c>
      <c r="I896" t="s">
        <v>1413</v>
      </c>
      <c r="J896" s="2" t="s">
        <v>2137</v>
      </c>
      <c r="K896">
        <v>1</v>
      </c>
      <c r="L896">
        <v>1</v>
      </c>
      <c r="M896" t="s">
        <v>18</v>
      </c>
      <c r="N896" t="str">
        <f t="shared" si="13"/>
        <v>DIRECT SELLING ESTABLISHMENTS (5963)</v>
      </c>
    </row>
    <row r="897" spans="1:14" x14ac:dyDescent="0.45">
      <c r="A897" s="4">
        <v>5983</v>
      </c>
      <c r="B897" t="s">
        <v>1056</v>
      </c>
      <c r="C897" t="s">
        <v>1057</v>
      </c>
      <c r="D897" t="s">
        <v>1038</v>
      </c>
      <c r="E897" t="s">
        <v>984</v>
      </c>
      <c r="F897" t="s">
        <v>28</v>
      </c>
      <c r="G897">
        <v>35</v>
      </c>
      <c r="H897">
        <v>3.2000000000000001E-2</v>
      </c>
      <c r="I897" t="s">
        <v>1413</v>
      </c>
      <c r="J897" s="2" t="s">
        <v>2137</v>
      </c>
      <c r="K897">
        <v>1</v>
      </c>
      <c r="L897">
        <v>1</v>
      </c>
      <c r="M897" t="s">
        <v>18</v>
      </c>
      <c r="N897" t="str">
        <f t="shared" si="13"/>
        <v>FUEL OIL DEALERS (5983)</v>
      </c>
    </row>
    <row r="898" spans="1:14" x14ac:dyDescent="0.45">
      <c r="A898" s="4">
        <v>5984</v>
      </c>
      <c r="B898" t="s">
        <v>1058</v>
      </c>
      <c r="C898" t="s">
        <v>1057</v>
      </c>
      <c r="D898" t="s">
        <v>1038</v>
      </c>
      <c r="E898" t="s">
        <v>984</v>
      </c>
      <c r="F898" t="s">
        <v>28</v>
      </c>
      <c r="G898">
        <v>35</v>
      </c>
      <c r="H898">
        <v>3.2000000000000001E-2</v>
      </c>
      <c r="I898" t="s">
        <v>1413</v>
      </c>
      <c r="J898" s="2" t="s">
        <v>2137</v>
      </c>
      <c r="K898">
        <v>1</v>
      </c>
      <c r="L898">
        <v>1</v>
      </c>
      <c r="M898" t="s">
        <v>18</v>
      </c>
      <c r="N898" t="str">
        <f t="shared" si="13"/>
        <v>LIQUEFIED PETROLEUM GAS DEALERS (5984)</v>
      </c>
    </row>
    <row r="899" spans="1:14" x14ac:dyDescent="0.45">
      <c r="A899" s="4">
        <v>5989</v>
      </c>
      <c r="B899" t="s">
        <v>1059</v>
      </c>
      <c r="C899" t="s">
        <v>1057</v>
      </c>
      <c r="D899" t="s">
        <v>1038</v>
      </c>
      <c r="E899" t="s">
        <v>984</v>
      </c>
      <c r="F899" t="s">
        <v>28</v>
      </c>
      <c r="G899">
        <v>35</v>
      </c>
      <c r="H899">
        <v>3.2000000000000001E-2</v>
      </c>
      <c r="I899" t="s">
        <v>1413</v>
      </c>
      <c r="J899" s="2" t="s">
        <v>2137</v>
      </c>
      <c r="K899">
        <v>1</v>
      </c>
      <c r="L899">
        <v>1</v>
      </c>
      <c r="M899" t="s">
        <v>18</v>
      </c>
      <c r="N899" t="str">
        <f t="shared" ref="N899:N962" si="14">B899&amp;" ("&amp;A899&amp;")"</f>
        <v>FUEL DEALERS, NEC (5989)</v>
      </c>
    </row>
    <row r="900" spans="1:14" x14ac:dyDescent="0.45">
      <c r="A900" s="4">
        <v>5990</v>
      </c>
      <c r="B900" t="s">
        <v>1060</v>
      </c>
      <c r="C900" t="s">
        <v>1060</v>
      </c>
      <c r="D900" t="s">
        <v>1038</v>
      </c>
      <c r="E900" t="s">
        <v>984</v>
      </c>
      <c r="F900" t="s">
        <v>28</v>
      </c>
      <c r="G900">
        <v>35</v>
      </c>
      <c r="H900">
        <v>3.2000000000000001E-2</v>
      </c>
      <c r="I900" t="s">
        <v>1413</v>
      </c>
      <c r="J900" s="2" t="s">
        <v>2137</v>
      </c>
      <c r="K900">
        <v>1</v>
      </c>
      <c r="L900">
        <v>1</v>
      </c>
      <c r="M900" t="s">
        <v>18</v>
      </c>
      <c r="N900" t="str">
        <f t="shared" si="14"/>
        <v>RETAIL STORES, N.E.C. (5990)</v>
      </c>
    </row>
    <row r="901" spans="1:14" x14ac:dyDescent="0.45">
      <c r="A901" s="4">
        <v>5992</v>
      </c>
      <c r="B901" t="s">
        <v>1061</v>
      </c>
      <c r="C901" t="s">
        <v>1060</v>
      </c>
      <c r="D901" t="s">
        <v>1038</v>
      </c>
      <c r="E901" t="s">
        <v>984</v>
      </c>
      <c r="F901" t="s">
        <v>28</v>
      </c>
      <c r="G901">
        <v>35</v>
      </c>
      <c r="H901">
        <v>3.2000000000000001E-2</v>
      </c>
      <c r="I901" t="s">
        <v>1413</v>
      </c>
      <c r="J901" s="2" t="s">
        <v>2137</v>
      </c>
      <c r="K901">
        <v>1</v>
      </c>
      <c r="L901">
        <v>1</v>
      </c>
      <c r="M901" t="s">
        <v>18</v>
      </c>
      <c r="N901" t="str">
        <f t="shared" si="14"/>
        <v>FLORISTS (5992)</v>
      </c>
    </row>
    <row r="902" spans="1:14" x14ac:dyDescent="0.45">
      <c r="A902" s="4">
        <v>5993</v>
      </c>
      <c r="B902" t="s">
        <v>1062</v>
      </c>
      <c r="C902" t="s">
        <v>1060</v>
      </c>
      <c r="D902" t="s">
        <v>1038</v>
      </c>
      <c r="E902" t="s">
        <v>984</v>
      </c>
      <c r="F902" t="s">
        <v>28</v>
      </c>
      <c r="G902">
        <v>35</v>
      </c>
      <c r="H902">
        <v>3.2000000000000001E-2</v>
      </c>
      <c r="I902" t="s">
        <v>1413</v>
      </c>
      <c r="J902" s="2" t="s">
        <v>2137</v>
      </c>
      <c r="K902">
        <v>1</v>
      </c>
      <c r="L902">
        <v>1</v>
      </c>
      <c r="M902" t="s">
        <v>18</v>
      </c>
      <c r="N902" t="str">
        <f t="shared" si="14"/>
        <v>TOBACCO STORES AND STANDS (5993)</v>
      </c>
    </row>
    <row r="903" spans="1:14" x14ac:dyDescent="0.45">
      <c r="A903" s="4">
        <v>5994</v>
      </c>
      <c r="B903" t="s">
        <v>1063</v>
      </c>
      <c r="C903" t="s">
        <v>1060</v>
      </c>
      <c r="D903" t="s">
        <v>1038</v>
      </c>
      <c r="E903" t="s">
        <v>984</v>
      </c>
      <c r="F903" t="s">
        <v>28</v>
      </c>
      <c r="G903">
        <v>35</v>
      </c>
      <c r="H903">
        <v>3.2000000000000001E-2</v>
      </c>
      <c r="I903" t="s">
        <v>1413</v>
      </c>
      <c r="J903" s="2" t="s">
        <v>2137</v>
      </c>
      <c r="K903">
        <v>1</v>
      </c>
      <c r="L903">
        <v>1</v>
      </c>
      <c r="M903" t="s">
        <v>18</v>
      </c>
      <c r="N903" t="str">
        <f t="shared" si="14"/>
        <v>NEWS DEALERS AND NEWSSTANDS (5994)</v>
      </c>
    </row>
    <row r="904" spans="1:14" x14ac:dyDescent="0.45">
      <c r="A904" s="4">
        <v>5995</v>
      </c>
      <c r="B904" t="s">
        <v>1064</v>
      </c>
      <c r="C904" t="s">
        <v>1060</v>
      </c>
      <c r="D904" t="s">
        <v>1038</v>
      </c>
      <c r="E904" t="s">
        <v>984</v>
      </c>
      <c r="F904" t="s">
        <v>28</v>
      </c>
      <c r="G904">
        <v>35</v>
      </c>
      <c r="H904">
        <v>3.2000000000000001E-2</v>
      </c>
      <c r="I904" t="s">
        <v>1413</v>
      </c>
      <c r="J904" s="2" t="s">
        <v>2137</v>
      </c>
      <c r="K904">
        <v>1</v>
      </c>
      <c r="L904">
        <v>1</v>
      </c>
      <c r="M904" t="s">
        <v>18</v>
      </c>
      <c r="N904" t="str">
        <f t="shared" si="14"/>
        <v>OPTICAL GOODS STORES (5995)</v>
      </c>
    </row>
    <row r="905" spans="1:14" x14ac:dyDescent="0.45">
      <c r="A905" s="4">
        <v>5999</v>
      </c>
      <c r="B905" t="s">
        <v>1065</v>
      </c>
      <c r="C905" t="s">
        <v>1060</v>
      </c>
      <c r="D905" t="s">
        <v>1038</v>
      </c>
      <c r="E905" t="s">
        <v>984</v>
      </c>
      <c r="F905" t="s">
        <v>28</v>
      </c>
      <c r="G905">
        <v>35</v>
      </c>
      <c r="H905">
        <v>3.2000000000000001E-2</v>
      </c>
      <c r="I905" t="s">
        <v>1413</v>
      </c>
      <c r="J905" s="2" t="s">
        <v>2137</v>
      </c>
      <c r="K905">
        <v>1</v>
      </c>
      <c r="L905">
        <v>1</v>
      </c>
      <c r="M905" t="s">
        <v>18</v>
      </c>
      <c r="N905" t="str">
        <f t="shared" si="14"/>
        <v>MISCELLANEOUS RETAIL STORES, NEC (5999)</v>
      </c>
    </row>
    <row r="906" spans="1:14" x14ac:dyDescent="0.45">
      <c r="A906" s="4">
        <v>6011</v>
      </c>
      <c r="B906" t="s">
        <v>1066</v>
      </c>
      <c r="C906" t="s">
        <v>1067</v>
      </c>
      <c r="D906" t="s">
        <v>1068</v>
      </c>
      <c r="E906" t="s">
        <v>1069</v>
      </c>
      <c r="F906" t="s">
        <v>17</v>
      </c>
      <c r="G906">
        <v>15</v>
      </c>
      <c r="H906">
        <v>1.2393E-2</v>
      </c>
      <c r="I906" t="s">
        <v>1413</v>
      </c>
      <c r="J906" s="2" t="s">
        <v>2138</v>
      </c>
      <c r="K906">
        <v>1</v>
      </c>
      <c r="L906">
        <v>1</v>
      </c>
      <c r="M906" t="s">
        <v>18</v>
      </c>
      <c r="N906" t="str">
        <f t="shared" si="14"/>
        <v>FEDERAL RESERVE BANKS (6011)</v>
      </c>
    </row>
    <row r="907" spans="1:14" x14ac:dyDescent="0.45">
      <c r="A907" s="4">
        <v>6019</v>
      </c>
      <c r="B907" t="s">
        <v>1070</v>
      </c>
      <c r="C907" t="s">
        <v>1067</v>
      </c>
      <c r="D907" t="s">
        <v>1068</v>
      </c>
      <c r="E907" t="s">
        <v>1069</v>
      </c>
      <c r="F907" t="s">
        <v>17</v>
      </c>
      <c r="G907">
        <v>15</v>
      </c>
      <c r="H907">
        <v>1.2393E-2</v>
      </c>
      <c r="I907" t="s">
        <v>1413</v>
      </c>
      <c r="J907" s="2" t="s">
        <v>2138</v>
      </c>
      <c r="K907">
        <v>1</v>
      </c>
      <c r="L907">
        <v>1</v>
      </c>
      <c r="M907" t="s">
        <v>18</v>
      </c>
      <c r="N907" t="str">
        <f t="shared" si="14"/>
        <v>CENTRAL RESERVE DEPOSITORY, NEC (6019)</v>
      </c>
    </row>
    <row r="908" spans="1:14" x14ac:dyDescent="0.45">
      <c r="A908" s="4">
        <v>6020</v>
      </c>
      <c r="B908" t="s">
        <v>1071</v>
      </c>
      <c r="C908" t="s">
        <v>1071</v>
      </c>
      <c r="D908" t="s">
        <v>1068</v>
      </c>
      <c r="E908" t="s">
        <v>1069</v>
      </c>
      <c r="F908" t="s">
        <v>17</v>
      </c>
      <c r="G908">
        <v>15</v>
      </c>
      <c r="H908">
        <v>1.2393E-2</v>
      </c>
      <c r="I908" t="s">
        <v>1413</v>
      </c>
      <c r="J908" s="2" t="s">
        <v>2138</v>
      </c>
      <c r="K908">
        <v>1</v>
      </c>
      <c r="L908">
        <v>1</v>
      </c>
      <c r="M908" t="s">
        <v>18</v>
      </c>
      <c r="N908" t="str">
        <f t="shared" si="14"/>
        <v>COMMERCIAL BANKS (6020)</v>
      </c>
    </row>
    <row r="909" spans="1:14" x14ac:dyDescent="0.45">
      <c r="A909" s="4">
        <v>6021</v>
      </c>
      <c r="B909" t="s">
        <v>1072</v>
      </c>
      <c r="C909" t="s">
        <v>1071</v>
      </c>
      <c r="D909" t="s">
        <v>1068</v>
      </c>
      <c r="E909" t="s">
        <v>1069</v>
      </c>
      <c r="F909" t="s">
        <v>17</v>
      </c>
      <c r="G909">
        <v>15</v>
      </c>
      <c r="H909">
        <v>1.2393E-2</v>
      </c>
      <c r="I909" t="s">
        <v>1413</v>
      </c>
      <c r="J909" s="2" t="s">
        <v>2138</v>
      </c>
      <c r="K909">
        <v>1</v>
      </c>
      <c r="L909">
        <v>1</v>
      </c>
      <c r="M909" t="s">
        <v>18</v>
      </c>
      <c r="N909" t="str">
        <f t="shared" si="14"/>
        <v>NATIONAL COMMERCIAL BANKS (6021)</v>
      </c>
    </row>
    <row r="910" spans="1:14" x14ac:dyDescent="0.45">
      <c r="A910" s="4">
        <v>6022</v>
      </c>
      <c r="B910" t="s">
        <v>1073</v>
      </c>
      <c r="C910" t="s">
        <v>1071</v>
      </c>
      <c r="D910" t="s">
        <v>1068</v>
      </c>
      <c r="E910" t="s">
        <v>1069</v>
      </c>
      <c r="F910" t="s">
        <v>17</v>
      </c>
      <c r="G910">
        <v>15</v>
      </c>
      <c r="H910">
        <v>1.2393E-2</v>
      </c>
      <c r="I910" t="s">
        <v>1413</v>
      </c>
      <c r="J910" s="2" t="s">
        <v>2138</v>
      </c>
      <c r="K910">
        <v>1</v>
      </c>
      <c r="L910">
        <v>1</v>
      </c>
      <c r="M910" t="s">
        <v>18</v>
      </c>
      <c r="N910" t="str">
        <f t="shared" si="14"/>
        <v>STATE COMMERCIAL BANKS (6022)</v>
      </c>
    </row>
    <row r="911" spans="1:14" x14ac:dyDescent="0.45">
      <c r="A911" s="4">
        <v>6029</v>
      </c>
      <c r="B911" t="s">
        <v>1074</v>
      </c>
      <c r="C911" t="s">
        <v>1071</v>
      </c>
      <c r="D911" t="s">
        <v>1068</v>
      </c>
      <c r="E911" t="s">
        <v>1069</v>
      </c>
      <c r="F911" t="s">
        <v>17</v>
      </c>
      <c r="G911">
        <v>15</v>
      </c>
      <c r="H911">
        <v>1.2393E-2</v>
      </c>
      <c r="I911" t="s">
        <v>1413</v>
      </c>
      <c r="J911" s="2" t="s">
        <v>2138</v>
      </c>
      <c r="K911">
        <v>1</v>
      </c>
      <c r="L911">
        <v>1</v>
      </c>
      <c r="M911" t="s">
        <v>18</v>
      </c>
      <c r="N911" t="str">
        <f t="shared" si="14"/>
        <v>COMMERCIAL BANKS, NEC (6029)</v>
      </c>
    </row>
    <row r="912" spans="1:14" x14ac:dyDescent="0.45">
      <c r="A912" s="4">
        <v>6035</v>
      </c>
      <c r="B912" t="s">
        <v>1075</v>
      </c>
      <c r="C912" t="s">
        <v>1076</v>
      </c>
      <c r="D912" t="s">
        <v>1068</v>
      </c>
      <c r="E912" t="s">
        <v>1069</v>
      </c>
      <c r="F912" t="s">
        <v>17</v>
      </c>
      <c r="G912">
        <v>15</v>
      </c>
      <c r="H912">
        <v>1.2393E-2</v>
      </c>
      <c r="I912" t="s">
        <v>1413</v>
      </c>
      <c r="J912" s="2" t="s">
        <v>2138</v>
      </c>
      <c r="K912">
        <v>1</v>
      </c>
      <c r="L912">
        <v>1</v>
      </c>
      <c r="M912" t="s">
        <v>18</v>
      </c>
      <c r="N912" t="str">
        <f t="shared" si="14"/>
        <v>FEDERAL SAVINGS INSTITUTIONS (6035)</v>
      </c>
    </row>
    <row r="913" spans="1:14" x14ac:dyDescent="0.45">
      <c r="A913" s="4">
        <v>6036</v>
      </c>
      <c r="B913" t="s">
        <v>1077</v>
      </c>
      <c r="C913" t="s">
        <v>1076</v>
      </c>
      <c r="D913" t="s">
        <v>1068</v>
      </c>
      <c r="E913" t="s">
        <v>1069</v>
      </c>
      <c r="F913" t="s">
        <v>17</v>
      </c>
      <c r="G913">
        <v>15</v>
      </c>
      <c r="H913">
        <v>1.2393E-2</v>
      </c>
      <c r="I913" t="s">
        <v>1413</v>
      </c>
      <c r="J913" s="2" t="s">
        <v>2138</v>
      </c>
      <c r="K913">
        <v>1</v>
      </c>
      <c r="L913">
        <v>1</v>
      </c>
      <c r="M913" t="s">
        <v>18</v>
      </c>
      <c r="N913" t="str">
        <f t="shared" si="14"/>
        <v>SAVINGS INSTITUTIONS, EXCEPT FEDERAL (6036)</v>
      </c>
    </row>
    <row r="914" spans="1:14" x14ac:dyDescent="0.45">
      <c r="A914" s="4">
        <v>6061</v>
      </c>
      <c r="B914" t="s">
        <v>1078</v>
      </c>
      <c r="C914" t="s">
        <v>1079</v>
      </c>
      <c r="D914" t="s">
        <v>1068</v>
      </c>
      <c r="E914" t="s">
        <v>1069</v>
      </c>
      <c r="F914" t="s">
        <v>17</v>
      </c>
      <c r="G914">
        <v>15</v>
      </c>
      <c r="H914">
        <v>1.2393E-2</v>
      </c>
      <c r="I914" t="s">
        <v>1413</v>
      </c>
      <c r="J914" s="2" t="s">
        <v>2138</v>
      </c>
      <c r="K914">
        <v>1</v>
      </c>
      <c r="L914">
        <v>1</v>
      </c>
      <c r="M914" t="s">
        <v>18</v>
      </c>
      <c r="N914" t="str">
        <f t="shared" si="14"/>
        <v>FEDERAL CREDIT UNIONS (6061)</v>
      </c>
    </row>
    <row r="915" spans="1:14" x14ac:dyDescent="0.45">
      <c r="A915" s="4">
        <v>6062</v>
      </c>
      <c r="B915" t="s">
        <v>1080</v>
      </c>
      <c r="C915" t="s">
        <v>1079</v>
      </c>
      <c r="D915" t="s">
        <v>1068</v>
      </c>
      <c r="E915" t="s">
        <v>1069</v>
      </c>
      <c r="F915" t="s">
        <v>17</v>
      </c>
      <c r="G915">
        <v>15</v>
      </c>
      <c r="H915">
        <v>1.2393E-2</v>
      </c>
      <c r="I915" t="s">
        <v>1413</v>
      </c>
      <c r="J915" s="2" t="s">
        <v>2138</v>
      </c>
      <c r="K915">
        <v>1</v>
      </c>
      <c r="L915">
        <v>1</v>
      </c>
      <c r="M915" t="s">
        <v>18</v>
      </c>
      <c r="N915" t="str">
        <f t="shared" si="14"/>
        <v>STATE CREDIT UNIONS (6062)</v>
      </c>
    </row>
    <row r="916" spans="1:14" x14ac:dyDescent="0.45">
      <c r="A916" s="4">
        <v>6081</v>
      </c>
      <c r="B916" t="s">
        <v>1081</v>
      </c>
      <c r="C916" t="s">
        <v>1082</v>
      </c>
      <c r="D916" t="s">
        <v>1068</v>
      </c>
      <c r="E916" t="s">
        <v>1069</v>
      </c>
      <c r="F916" t="s">
        <v>17</v>
      </c>
      <c r="G916">
        <v>15</v>
      </c>
      <c r="H916">
        <v>1.2393E-2</v>
      </c>
      <c r="I916" t="s">
        <v>1413</v>
      </c>
      <c r="J916" s="2" t="s">
        <v>2138</v>
      </c>
      <c r="K916">
        <v>1</v>
      </c>
      <c r="L916">
        <v>1</v>
      </c>
      <c r="M916" t="s">
        <v>18</v>
      </c>
      <c r="N916" t="str">
        <f t="shared" si="14"/>
        <v>FOREIGN BANK AND BRANCHES AND AGENCIES (6081)</v>
      </c>
    </row>
    <row r="917" spans="1:14" x14ac:dyDescent="0.45">
      <c r="A917" s="4">
        <v>6082</v>
      </c>
      <c r="B917" t="s">
        <v>1083</v>
      </c>
      <c r="C917" t="s">
        <v>1082</v>
      </c>
      <c r="D917" t="s">
        <v>1068</v>
      </c>
      <c r="E917" t="s">
        <v>1069</v>
      </c>
      <c r="F917" t="s">
        <v>17</v>
      </c>
      <c r="G917">
        <v>15</v>
      </c>
      <c r="H917">
        <v>1.2393E-2</v>
      </c>
      <c r="I917" t="s">
        <v>1413</v>
      </c>
      <c r="J917" s="2" t="s">
        <v>2138</v>
      </c>
      <c r="K917">
        <v>1</v>
      </c>
      <c r="L917">
        <v>1</v>
      </c>
      <c r="M917" t="s">
        <v>18</v>
      </c>
      <c r="N917" t="str">
        <f t="shared" si="14"/>
        <v>FOREIGN TRADE AND INTERNATIONAL BANKS (6082)</v>
      </c>
    </row>
    <row r="918" spans="1:14" x14ac:dyDescent="0.45">
      <c r="A918" s="4">
        <v>6091</v>
      </c>
      <c r="B918" t="s">
        <v>1084</v>
      </c>
      <c r="C918" t="s">
        <v>1085</v>
      </c>
      <c r="D918" t="s">
        <v>1068</v>
      </c>
      <c r="E918" t="s">
        <v>1069</v>
      </c>
      <c r="F918" t="s">
        <v>17</v>
      </c>
      <c r="G918">
        <v>15</v>
      </c>
      <c r="H918">
        <v>1.2393E-2</v>
      </c>
      <c r="I918" t="s">
        <v>1413</v>
      </c>
      <c r="J918" s="2" t="s">
        <v>2138</v>
      </c>
      <c r="K918">
        <v>1</v>
      </c>
      <c r="L918">
        <v>1</v>
      </c>
      <c r="M918" t="s">
        <v>18</v>
      </c>
      <c r="N918" t="str">
        <f t="shared" si="14"/>
        <v>NONDEPOSIT TRUST FACILITIES (6091)</v>
      </c>
    </row>
    <row r="919" spans="1:14" x14ac:dyDescent="0.45">
      <c r="A919" s="4">
        <v>6099</v>
      </c>
      <c r="B919" t="s">
        <v>1086</v>
      </c>
      <c r="C919" t="s">
        <v>1085</v>
      </c>
      <c r="D919" t="s">
        <v>1068</v>
      </c>
      <c r="E919" t="s">
        <v>1069</v>
      </c>
      <c r="F919" t="s">
        <v>17</v>
      </c>
      <c r="G919">
        <v>15</v>
      </c>
      <c r="H919">
        <v>1.2393E-2</v>
      </c>
      <c r="I919" t="s">
        <v>1413</v>
      </c>
      <c r="J919" s="2" t="s">
        <v>2138</v>
      </c>
      <c r="K919">
        <v>1</v>
      </c>
      <c r="L919">
        <v>1</v>
      </c>
      <c r="M919" t="s">
        <v>18</v>
      </c>
      <c r="N919" t="str">
        <f t="shared" si="14"/>
        <v>FUNCTIONS RELATED TO DEPOSITORY BANKING (6099)</v>
      </c>
    </row>
    <row r="920" spans="1:14" x14ac:dyDescent="0.45">
      <c r="A920" s="4">
        <v>6111</v>
      </c>
      <c r="B920" t="s">
        <v>1087</v>
      </c>
      <c r="C920" t="s">
        <v>1088</v>
      </c>
      <c r="D920" t="s">
        <v>1089</v>
      </c>
      <c r="E920" t="s">
        <v>1069</v>
      </c>
      <c r="F920" t="s">
        <v>17</v>
      </c>
      <c r="G920">
        <v>15</v>
      </c>
      <c r="H920">
        <v>1.2393E-2</v>
      </c>
      <c r="I920" t="s">
        <v>1413</v>
      </c>
      <c r="J920" s="2" t="s">
        <v>2138</v>
      </c>
      <c r="K920">
        <v>1</v>
      </c>
      <c r="L920">
        <v>1</v>
      </c>
      <c r="M920" t="s">
        <v>18</v>
      </c>
      <c r="N920" t="str">
        <f t="shared" si="14"/>
        <v>FEDERAL AND FEDERALLY SPONSORED CREDIT (6111)</v>
      </c>
    </row>
    <row r="921" spans="1:14" x14ac:dyDescent="0.45">
      <c r="A921" s="4">
        <v>6141</v>
      </c>
      <c r="B921" t="s">
        <v>1090</v>
      </c>
      <c r="C921" t="s">
        <v>1090</v>
      </c>
      <c r="D921" t="s">
        <v>1089</v>
      </c>
      <c r="E921" t="s">
        <v>1069</v>
      </c>
      <c r="F921" t="s">
        <v>16</v>
      </c>
      <c r="G921">
        <v>16</v>
      </c>
      <c r="H921">
        <v>3.5000000000000003E-2</v>
      </c>
      <c r="I921" t="s">
        <v>1413</v>
      </c>
      <c r="J921" s="2" t="s">
        <v>2138</v>
      </c>
      <c r="K921">
        <v>1</v>
      </c>
      <c r="L921">
        <v>1</v>
      </c>
      <c r="M921" t="s">
        <v>18</v>
      </c>
      <c r="N921" t="str">
        <f t="shared" si="14"/>
        <v>PERSONAL CREDIT INSTITUTIONS (6141)</v>
      </c>
    </row>
    <row r="922" spans="1:14" x14ac:dyDescent="0.45">
      <c r="A922" s="4">
        <v>6153</v>
      </c>
      <c r="B922" t="s">
        <v>1091</v>
      </c>
      <c r="C922" t="s">
        <v>1092</v>
      </c>
      <c r="D922" t="s">
        <v>1089</v>
      </c>
      <c r="E922" t="s">
        <v>1069</v>
      </c>
      <c r="F922" t="s">
        <v>16</v>
      </c>
      <c r="G922">
        <v>16</v>
      </c>
      <c r="H922">
        <v>3.5000000000000003E-2</v>
      </c>
      <c r="I922" t="s">
        <v>1413</v>
      </c>
      <c r="J922" s="2" t="s">
        <v>2138</v>
      </c>
      <c r="K922">
        <v>1</v>
      </c>
      <c r="L922">
        <v>1</v>
      </c>
      <c r="M922" t="s">
        <v>18</v>
      </c>
      <c r="N922" t="str">
        <f t="shared" si="14"/>
        <v>SHORT-TERM BUSINESS CREDIT (6153)</v>
      </c>
    </row>
    <row r="923" spans="1:14" x14ac:dyDescent="0.45">
      <c r="A923" s="4">
        <v>6159</v>
      </c>
      <c r="B923" t="s">
        <v>1093</v>
      </c>
      <c r="C923" t="s">
        <v>1092</v>
      </c>
      <c r="D923" t="s">
        <v>1089</v>
      </c>
      <c r="E923" t="s">
        <v>1069</v>
      </c>
      <c r="F923" t="s">
        <v>16</v>
      </c>
      <c r="G923">
        <v>16</v>
      </c>
      <c r="H923">
        <v>3.5000000000000003E-2</v>
      </c>
      <c r="I923" t="s">
        <v>1413</v>
      </c>
      <c r="J923" s="2" t="s">
        <v>2138</v>
      </c>
      <c r="K923">
        <v>1</v>
      </c>
      <c r="L923">
        <v>1</v>
      </c>
      <c r="M923" t="s">
        <v>18</v>
      </c>
      <c r="N923" t="str">
        <f t="shared" si="14"/>
        <v>MISCELLANEOUS BUSINESS CREDIT (6159)</v>
      </c>
    </row>
    <row r="924" spans="1:14" x14ac:dyDescent="0.45">
      <c r="A924" s="4">
        <v>6162</v>
      </c>
      <c r="B924" t="s">
        <v>1094</v>
      </c>
      <c r="C924" t="s">
        <v>1095</v>
      </c>
      <c r="D924" t="s">
        <v>1089</v>
      </c>
      <c r="E924" t="s">
        <v>1069</v>
      </c>
      <c r="F924" t="s">
        <v>17</v>
      </c>
      <c r="G924">
        <v>15</v>
      </c>
      <c r="H924">
        <v>1.2393E-2</v>
      </c>
      <c r="I924" t="s">
        <v>1413</v>
      </c>
      <c r="J924" s="2" t="s">
        <v>2138</v>
      </c>
      <c r="K924">
        <v>1</v>
      </c>
      <c r="L924">
        <v>1</v>
      </c>
      <c r="M924" t="s">
        <v>18</v>
      </c>
      <c r="N924" t="str">
        <f t="shared" si="14"/>
        <v>MORTGAGE BANKERS AND CORRESPONDENTS (6162)</v>
      </c>
    </row>
    <row r="925" spans="1:14" x14ac:dyDescent="0.45">
      <c r="A925" s="4">
        <v>6163</v>
      </c>
      <c r="B925" t="s">
        <v>1096</v>
      </c>
      <c r="C925" t="s">
        <v>1095</v>
      </c>
      <c r="D925" t="s">
        <v>1089</v>
      </c>
      <c r="E925" t="s">
        <v>1069</v>
      </c>
      <c r="F925" t="s">
        <v>17</v>
      </c>
      <c r="G925">
        <v>15</v>
      </c>
      <c r="H925">
        <v>1.2393E-2</v>
      </c>
      <c r="I925" t="s">
        <v>1413</v>
      </c>
      <c r="J925" s="2" t="s">
        <v>2138</v>
      </c>
      <c r="K925">
        <v>1</v>
      </c>
      <c r="L925">
        <v>1</v>
      </c>
      <c r="M925" t="s">
        <v>18</v>
      </c>
      <c r="N925" t="str">
        <f t="shared" si="14"/>
        <v>LOAN BROKERS (6163)</v>
      </c>
    </row>
    <row r="926" spans="1:14" x14ac:dyDescent="0.45">
      <c r="A926" s="4">
        <v>6172</v>
      </c>
      <c r="B926" t="s">
        <v>1097</v>
      </c>
      <c r="C926" t="s">
        <v>1096</v>
      </c>
      <c r="D926" t="s">
        <v>1089</v>
      </c>
      <c r="E926" t="s">
        <v>1069</v>
      </c>
      <c r="F926" t="s">
        <v>17</v>
      </c>
      <c r="G926">
        <v>15</v>
      </c>
      <c r="H926">
        <v>1.2393E-2</v>
      </c>
      <c r="I926" t="s">
        <v>1413</v>
      </c>
      <c r="J926" s="2" t="s">
        <v>2138</v>
      </c>
      <c r="K926">
        <v>1</v>
      </c>
      <c r="L926">
        <v>1</v>
      </c>
      <c r="M926" t="s">
        <v>18</v>
      </c>
      <c r="N926" t="str">
        <f t="shared" si="14"/>
        <v>FINANCE LESSORS (6172)</v>
      </c>
    </row>
    <row r="927" spans="1:14" x14ac:dyDescent="0.45">
      <c r="A927" s="4">
        <v>6189</v>
      </c>
      <c r="B927" t="s">
        <v>1098</v>
      </c>
      <c r="C927" t="s">
        <v>1097</v>
      </c>
      <c r="D927" t="s">
        <v>1089</v>
      </c>
      <c r="E927" t="s">
        <v>1069</v>
      </c>
      <c r="F927" t="s">
        <v>17</v>
      </c>
      <c r="G927">
        <v>15</v>
      </c>
      <c r="H927">
        <v>1.2393E-2</v>
      </c>
      <c r="I927" t="s">
        <v>1413</v>
      </c>
      <c r="J927" s="2" t="s">
        <v>2138</v>
      </c>
      <c r="K927">
        <v>1</v>
      </c>
      <c r="L927">
        <v>1</v>
      </c>
      <c r="M927" t="s">
        <v>18</v>
      </c>
      <c r="N927" t="str">
        <f t="shared" si="14"/>
        <v>ASSET-BACKED SECURITIES (6189)</v>
      </c>
    </row>
    <row r="928" spans="1:14" x14ac:dyDescent="0.45">
      <c r="A928" s="4">
        <v>6199</v>
      </c>
      <c r="B928" t="s">
        <v>1099</v>
      </c>
      <c r="C928" t="s">
        <v>1098</v>
      </c>
      <c r="D928" t="s">
        <v>1089</v>
      </c>
      <c r="E928" t="s">
        <v>1069</v>
      </c>
      <c r="F928" t="s">
        <v>17</v>
      </c>
      <c r="G928">
        <v>15</v>
      </c>
      <c r="H928">
        <v>1.2393E-2</v>
      </c>
      <c r="I928" t="s">
        <v>1413</v>
      </c>
      <c r="J928" s="2" t="s">
        <v>2138</v>
      </c>
      <c r="K928">
        <v>1</v>
      </c>
      <c r="L928">
        <v>1</v>
      </c>
      <c r="M928" t="s">
        <v>18</v>
      </c>
      <c r="N928" t="str">
        <f t="shared" si="14"/>
        <v>FINANCE STORES (6199)</v>
      </c>
    </row>
    <row r="929" spans="1:14" x14ac:dyDescent="0.45">
      <c r="A929" s="4">
        <v>6200</v>
      </c>
      <c r="B929" t="s">
        <v>1100</v>
      </c>
      <c r="C929" t="s">
        <v>1100</v>
      </c>
      <c r="D929" t="s">
        <v>1100</v>
      </c>
      <c r="E929" t="s">
        <v>1069</v>
      </c>
      <c r="F929" t="s">
        <v>17</v>
      </c>
      <c r="G929">
        <v>15</v>
      </c>
      <c r="H929">
        <v>1.2393E-2</v>
      </c>
      <c r="I929" t="s">
        <v>1413</v>
      </c>
      <c r="J929" s="2" t="s">
        <v>2138</v>
      </c>
      <c r="K929">
        <v>1</v>
      </c>
      <c r="L929">
        <v>1</v>
      </c>
      <c r="M929" t="s">
        <v>18</v>
      </c>
      <c r="N929" t="str">
        <f t="shared" si="14"/>
        <v>SECURITY AND COMMODITY BROKERS (6200)</v>
      </c>
    </row>
    <row r="930" spans="1:14" x14ac:dyDescent="0.45">
      <c r="A930" s="4">
        <v>6211</v>
      </c>
      <c r="B930" t="s">
        <v>1101</v>
      </c>
      <c r="C930" t="s">
        <v>1101</v>
      </c>
      <c r="D930" t="s">
        <v>1100</v>
      </c>
      <c r="E930" t="s">
        <v>1069</v>
      </c>
      <c r="F930" t="s">
        <v>17</v>
      </c>
      <c r="G930">
        <v>15</v>
      </c>
      <c r="H930">
        <v>1.2393E-2</v>
      </c>
      <c r="I930" t="s">
        <v>1413</v>
      </c>
      <c r="J930" s="2" t="s">
        <v>2138</v>
      </c>
      <c r="K930">
        <v>1</v>
      </c>
      <c r="L930">
        <v>1</v>
      </c>
      <c r="M930" t="s">
        <v>18</v>
      </c>
      <c r="N930" t="str">
        <f t="shared" si="14"/>
        <v>SECURITY BROKERS AND DEALERS (6211)</v>
      </c>
    </row>
    <row r="931" spans="1:14" x14ac:dyDescent="0.45">
      <c r="A931" s="4">
        <v>6221</v>
      </c>
      <c r="B931" t="s">
        <v>1102</v>
      </c>
      <c r="C931" t="s">
        <v>1102</v>
      </c>
      <c r="D931" t="s">
        <v>1100</v>
      </c>
      <c r="E931" t="s">
        <v>1069</v>
      </c>
      <c r="F931" t="s">
        <v>17</v>
      </c>
      <c r="G931">
        <v>15</v>
      </c>
      <c r="H931">
        <v>1.2393E-2</v>
      </c>
      <c r="I931" t="s">
        <v>1413</v>
      </c>
      <c r="J931" s="2" t="s">
        <v>2138</v>
      </c>
      <c r="K931">
        <v>1</v>
      </c>
      <c r="L931">
        <v>1</v>
      </c>
      <c r="M931" t="s">
        <v>18</v>
      </c>
      <c r="N931" t="str">
        <f t="shared" si="14"/>
        <v>COMMODITY CONTRACTS BROKERS, DEALERS (6221)</v>
      </c>
    </row>
    <row r="932" spans="1:14" x14ac:dyDescent="0.45">
      <c r="A932" s="4">
        <v>6231</v>
      </c>
      <c r="B932" t="s">
        <v>1103</v>
      </c>
      <c r="C932" t="s">
        <v>1103</v>
      </c>
      <c r="D932" t="s">
        <v>1100</v>
      </c>
      <c r="E932" t="s">
        <v>1069</v>
      </c>
      <c r="F932" t="s">
        <v>17</v>
      </c>
      <c r="G932">
        <v>15</v>
      </c>
      <c r="H932">
        <v>1.2393E-2</v>
      </c>
      <c r="I932" t="s">
        <v>1413</v>
      </c>
      <c r="J932" s="2" t="s">
        <v>2138</v>
      </c>
      <c r="K932">
        <v>1</v>
      </c>
      <c r="L932">
        <v>1</v>
      </c>
      <c r="M932" t="s">
        <v>18</v>
      </c>
      <c r="N932" t="str">
        <f t="shared" si="14"/>
        <v>SECURITY AND COMMODITY EXCHANGES (6231)</v>
      </c>
    </row>
    <row r="933" spans="1:14" x14ac:dyDescent="0.45">
      <c r="A933" s="4">
        <v>6282</v>
      </c>
      <c r="B933" t="s">
        <v>1104</v>
      </c>
      <c r="C933" t="s">
        <v>1105</v>
      </c>
      <c r="D933" t="s">
        <v>1100</v>
      </c>
      <c r="E933" t="s">
        <v>1069</v>
      </c>
      <c r="F933" t="s">
        <v>17</v>
      </c>
      <c r="G933">
        <v>15</v>
      </c>
      <c r="H933">
        <v>1.2393E-2</v>
      </c>
      <c r="I933" t="s">
        <v>1413</v>
      </c>
      <c r="J933" s="2" t="s">
        <v>2138</v>
      </c>
      <c r="K933">
        <v>1</v>
      </c>
      <c r="L933">
        <v>1</v>
      </c>
      <c r="M933" t="s">
        <v>18</v>
      </c>
      <c r="N933" t="str">
        <f t="shared" si="14"/>
        <v>INVESTMENT ADVICE (6282)</v>
      </c>
    </row>
    <row r="934" spans="1:14" x14ac:dyDescent="0.45">
      <c r="A934" s="4">
        <v>6289</v>
      </c>
      <c r="B934" t="s">
        <v>1106</v>
      </c>
      <c r="C934" t="s">
        <v>1105</v>
      </c>
      <c r="D934" t="s">
        <v>1100</v>
      </c>
      <c r="E934" t="s">
        <v>1069</v>
      </c>
      <c r="F934" t="s">
        <v>17</v>
      </c>
      <c r="G934">
        <v>15</v>
      </c>
      <c r="H934">
        <v>1.2393E-2</v>
      </c>
      <c r="I934" t="s">
        <v>1413</v>
      </c>
      <c r="J934" s="2" t="s">
        <v>2138</v>
      </c>
      <c r="K934">
        <v>1</v>
      </c>
      <c r="L934">
        <v>1</v>
      </c>
      <c r="M934" t="s">
        <v>18</v>
      </c>
      <c r="N934" t="str">
        <f t="shared" si="14"/>
        <v>SECURITY AND COMMODITY SERVICE (6289)</v>
      </c>
    </row>
    <row r="935" spans="1:14" x14ac:dyDescent="0.45">
      <c r="A935" s="4">
        <v>6311</v>
      </c>
      <c r="B935" t="s">
        <v>1107</v>
      </c>
      <c r="C935" t="s">
        <v>1107</v>
      </c>
      <c r="D935" t="s">
        <v>1108</v>
      </c>
      <c r="E935" t="s">
        <v>1069</v>
      </c>
      <c r="F935" t="s">
        <v>20</v>
      </c>
      <c r="G935">
        <v>9</v>
      </c>
      <c r="H935">
        <v>1.9E-2</v>
      </c>
      <c r="I935" t="s">
        <v>1413</v>
      </c>
      <c r="J935" s="2" t="s">
        <v>2138</v>
      </c>
      <c r="K935">
        <v>1</v>
      </c>
      <c r="L935">
        <v>1</v>
      </c>
      <c r="M935" t="s">
        <v>18</v>
      </c>
      <c r="N935" t="str">
        <f t="shared" si="14"/>
        <v>LIFE INSURANCE (6311)</v>
      </c>
    </row>
    <row r="936" spans="1:14" x14ac:dyDescent="0.45">
      <c r="A936" s="4">
        <v>6321</v>
      </c>
      <c r="B936" t="s">
        <v>1109</v>
      </c>
      <c r="C936" t="s">
        <v>1110</v>
      </c>
      <c r="D936" t="s">
        <v>1108</v>
      </c>
      <c r="E936" t="s">
        <v>1069</v>
      </c>
      <c r="F936" t="s">
        <v>21</v>
      </c>
      <c r="G936">
        <v>20</v>
      </c>
      <c r="H936">
        <v>2.4300000000000002E-2</v>
      </c>
      <c r="I936" t="s">
        <v>1413</v>
      </c>
      <c r="J936" s="2" t="s">
        <v>2139</v>
      </c>
      <c r="K936">
        <v>1</v>
      </c>
      <c r="L936">
        <v>1</v>
      </c>
      <c r="M936" t="s">
        <v>18</v>
      </c>
      <c r="N936" t="str">
        <f t="shared" si="14"/>
        <v>ACCIDENT AND HEALTH INSURANCE (6321)</v>
      </c>
    </row>
    <row r="937" spans="1:14" x14ac:dyDescent="0.45">
      <c r="A937" s="4">
        <v>6324</v>
      </c>
      <c r="B937" t="s">
        <v>1111</v>
      </c>
      <c r="C937" t="s">
        <v>1110</v>
      </c>
      <c r="D937" t="s">
        <v>1108</v>
      </c>
      <c r="E937" t="s">
        <v>1069</v>
      </c>
      <c r="F937" t="s">
        <v>21</v>
      </c>
      <c r="G937">
        <v>20</v>
      </c>
      <c r="H937">
        <v>2.4300000000000002E-2</v>
      </c>
      <c r="I937" t="s">
        <v>1413</v>
      </c>
      <c r="J937" s="2" t="s">
        <v>2139</v>
      </c>
      <c r="K937">
        <v>1</v>
      </c>
      <c r="L937">
        <v>1</v>
      </c>
      <c r="M937" t="s">
        <v>18</v>
      </c>
      <c r="N937" t="str">
        <f t="shared" si="14"/>
        <v>HOSPITAL AND MEDICAL SERVICE PLANS (6324)</v>
      </c>
    </row>
    <row r="938" spans="1:14" x14ac:dyDescent="0.45">
      <c r="A938" s="4">
        <v>6331</v>
      </c>
      <c r="B938" t="s">
        <v>1112</v>
      </c>
      <c r="C938" t="s">
        <v>1112</v>
      </c>
      <c r="D938" t="s">
        <v>1108</v>
      </c>
      <c r="E938" t="s">
        <v>1069</v>
      </c>
      <c r="F938" t="s">
        <v>20</v>
      </c>
      <c r="G938">
        <v>9</v>
      </c>
      <c r="H938">
        <v>1.9E-2</v>
      </c>
      <c r="I938" t="s">
        <v>1413</v>
      </c>
      <c r="J938" s="2" t="s">
        <v>2138</v>
      </c>
      <c r="K938">
        <v>1</v>
      </c>
      <c r="L938">
        <v>1</v>
      </c>
      <c r="M938" t="s">
        <v>18</v>
      </c>
      <c r="N938" t="str">
        <f t="shared" si="14"/>
        <v>FIRE, MARINE, AND CASUALTY INSURANCE (6331)</v>
      </c>
    </row>
    <row r="939" spans="1:14" x14ac:dyDescent="0.45">
      <c r="A939" s="4">
        <v>6351</v>
      </c>
      <c r="B939" t="s">
        <v>1113</v>
      </c>
      <c r="C939" t="s">
        <v>1113</v>
      </c>
      <c r="D939" t="s">
        <v>1108</v>
      </c>
      <c r="E939" t="s">
        <v>1069</v>
      </c>
      <c r="F939" t="s">
        <v>20</v>
      </c>
      <c r="G939">
        <v>9</v>
      </c>
      <c r="H939">
        <v>1.9E-2</v>
      </c>
      <c r="I939" t="s">
        <v>1413</v>
      </c>
      <c r="J939" s="2" t="s">
        <v>2138</v>
      </c>
      <c r="K939">
        <v>1</v>
      </c>
      <c r="L939">
        <v>1</v>
      </c>
      <c r="M939" t="s">
        <v>18</v>
      </c>
      <c r="N939" t="str">
        <f t="shared" si="14"/>
        <v>SURETY INSURANCE (6351)</v>
      </c>
    </row>
    <row r="940" spans="1:14" x14ac:dyDescent="0.45">
      <c r="A940" s="4">
        <v>6361</v>
      </c>
      <c r="B940" t="s">
        <v>1114</v>
      </c>
      <c r="C940" t="s">
        <v>1114</v>
      </c>
      <c r="D940" t="s">
        <v>1108</v>
      </c>
      <c r="E940" t="s">
        <v>1069</v>
      </c>
      <c r="F940" t="s">
        <v>20</v>
      </c>
      <c r="G940">
        <v>9</v>
      </c>
      <c r="H940">
        <v>1.9E-2</v>
      </c>
      <c r="I940" t="s">
        <v>1413</v>
      </c>
      <c r="J940" s="2" t="s">
        <v>2138</v>
      </c>
      <c r="K940">
        <v>1</v>
      </c>
      <c r="L940">
        <v>1</v>
      </c>
      <c r="M940" t="s">
        <v>18</v>
      </c>
      <c r="N940" t="str">
        <f t="shared" si="14"/>
        <v>TITLE INSURANCE (6361)</v>
      </c>
    </row>
    <row r="941" spans="1:14" x14ac:dyDescent="0.45">
      <c r="A941" s="4">
        <v>6371</v>
      </c>
      <c r="B941" t="s">
        <v>1115</v>
      </c>
      <c r="C941" t="s">
        <v>1115</v>
      </c>
      <c r="D941" t="s">
        <v>1108</v>
      </c>
      <c r="E941" t="s">
        <v>1069</v>
      </c>
      <c r="F941" t="s">
        <v>20</v>
      </c>
      <c r="G941">
        <v>9</v>
      </c>
      <c r="H941">
        <v>1.9E-2</v>
      </c>
      <c r="I941" t="s">
        <v>1413</v>
      </c>
      <c r="J941" s="2" t="s">
        <v>2138</v>
      </c>
      <c r="K941">
        <v>1</v>
      </c>
      <c r="L941">
        <v>1</v>
      </c>
      <c r="M941" t="s">
        <v>18</v>
      </c>
      <c r="N941" t="str">
        <f t="shared" si="14"/>
        <v>PENSION, HEALTH, AND WELFARE FUNDS (6371)</v>
      </c>
    </row>
    <row r="942" spans="1:14" x14ac:dyDescent="0.45">
      <c r="A942" s="4">
        <v>6380</v>
      </c>
      <c r="B942" t="s">
        <v>1107</v>
      </c>
      <c r="C942" t="s">
        <v>1107</v>
      </c>
      <c r="D942" t="s">
        <v>1108</v>
      </c>
      <c r="E942" t="s">
        <v>1069</v>
      </c>
      <c r="F942" t="s">
        <v>20</v>
      </c>
      <c r="G942">
        <v>9</v>
      </c>
      <c r="H942">
        <v>1.9E-2</v>
      </c>
      <c r="I942" t="s">
        <v>1413</v>
      </c>
      <c r="J942" s="2" t="s">
        <v>2138</v>
      </c>
      <c r="K942">
        <v>1</v>
      </c>
      <c r="L942">
        <v>1</v>
      </c>
      <c r="M942" t="s">
        <v>18</v>
      </c>
      <c r="N942" t="str">
        <f t="shared" si="14"/>
        <v>LIFE INSURANCE (6380)</v>
      </c>
    </row>
    <row r="943" spans="1:14" x14ac:dyDescent="0.45">
      <c r="A943" s="4">
        <v>6382</v>
      </c>
      <c r="B943" t="s">
        <v>1107</v>
      </c>
      <c r="C943" t="s">
        <v>1107</v>
      </c>
      <c r="D943" t="s">
        <v>1108</v>
      </c>
      <c r="E943" t="s">
        <v>1069</v>
      </c>
      <c r="F943" t="s">
        <v>20</v>
      </c>
      <c r="G943">
        <v>9</v>
      </c>
      <c r="H943">
        <v>1.9E-2</v>
      </c>
      <c r="I943" t="s">
        <v>1413</v>
      </c>
      <c r="J943" s="2" t="s">
        <v>2138</v>
      </c>
      <c r="K943">
        <v>1</v>
      </c>
      <c r="L943">
        <v>1</v>
      </c>
      <c r="M943" t="s">
        <v>18</v>
      </c>
      <c r="N943" t="str">
        <f t="shared" si="14"/>
        <v>LIFE INSURANCE (6382)</v>
      </c>
    </row>
    <row r="944" spans="1:14" x14ac:dyDescent="0.45">
      <c r="A944" s="4">
        <v>6399</v>
      </c>
      <c r="B944" t="s">
        <v>1116</v>
      </c>
      <c r="C944" t="s">
        <v>1117</v>
      </c>
      <c r="D944" t="s">
        <v>1108</v>
      </c>
      <c r="E944" t="s">
        <v>1069</v>
      </c>
      <c r="F944" t="s">
        <v>20</v>
      </c>
      <c r="G944">
        <v>9</v>
      </c>
      <c r="H944">
        <v>1.9E-2</v>
      </c>
      <c r="I944" t="s">
        <v>1413</v>
      </c>
      <c r="J944" s="2" t="s">
        <v>2138</v>
      </c>
      <c r="K944">
        <v>1</v>
      </c>
      <c r="L944">
        <v>1</v>
      </c>
      <c r="M944" t="s">
        <v>18</v>
      </c>
      <c r="N944" t="str">
        <f t="shared" si="14"/>
        <v>INSURANCE CARRIERS, NEC (6399)</v>
      </c>
    </row>
    <row r="945" spans="1:14" x14ac:dyDescent="0.45">
      <c r="A945" s="4">
        <v>6411</v>
      </c>
      <c r="B945" t="s">
        <v>1118</v>
      </c>
      <c r="C945" t="s">
        <v>1119</v>
      </c>
      <c r="D945" t="s">
        <v>1119</v>
      </c>
      <c r="E945" t="s">
        <v>1069</v>
      </c>
      <c r="F945" t="s">
        <v>20</v>
      </c>
      <c r="G945">
        <v>9</v>
      </c>
      <c r="H945">
        <v>1.9E-2</v>
      </c>
      <c r="I945" t="s">
        <v>1413</v>
      </c>
      <c r="J945" s="2" t="s">
        <v>2138</v>
      </c>
      <c r="K945">
        <v>1</v>
      </c>
      <c r="L945">
        <v>1</v>
      </c>
      <c r="M945" t="s">
        <v>18</v>
      </c>
      <c r="N945" t="str">
        <f t="shared" si="14"/>
        <v>INSURANCE AGENTS, BROKERS, AND SERVICE (6411)</v>
      </c>
    </row>
    <row r="946" spans="1:14" x14ac:dyDescent="0.45">
      <c r="A946" s="4">
        <v>6500</v>
      </c>
      <c r="B946" t="s">
        <v>33</v>
      </c>
      <c r="C946" t="s">
        <v>33</v>
      </c>
      <c r="D946" t="s">
        <v>33</v>
      </c>
      <c r="E946" t="s">
        <v>1069</v>
      </c>
      <c r="F946" t="s">
        <v>33</v>
      </c>
      <c r="G946">
        <v>34</v>
      </c>
      <c r="H946">
        <v>1.8163960420090209E-2</v>
      </c>
      <c r="I946" t="s">
        <v>1413</v>
      </c>
      <c r="J946" s="2" t="s">
        <v>2140</v>
      </c>
      <c r="K946">
        <v>1</v>
      </c>
      <c r="L946">
        <v>1</v>
      </c>
      <c r="M946" t="s">
        <v>18</v>
      </c>
      <c r="N946" t="str">
        <f t="shared" si="14"/>
        <v>REAL ESTATE (6500)</v>
      </c>
    </row>
    <row r="947" spans="1:14" x14ac:dyDescent="0.45">
      <c r="A947" s="4">
        <v>6510</v>
      </c>
      <c r="B947" t="s">
        <v>1120</v>
      </c>
      <c r="C947" t="s">
        <v>1120</v>
      </c>
      <c r="D947" t="s">
        <v>33</v>
      </c>
      <c r="E947" t="s">
        <v>1069</v>
      </c>
      <c r="F947" t="s">
        <v>33</v>
      </c>
      <c r="G947">
        <v>34</v>
      </c>
      <c r="H947">
        <v>1.8163960420090209E-2</v>
      </c>
      <c r="I947" t="s">
        <v>1413</v>
      </c>
      <c r="J947" s="2" t="s">
        <v>2140</v>
      </c>
      <c r="K947">
        <v>1</v>
      </c>
      <c r="L947">
        <v>1</v>
      </c>
      <c r="M947" t="s">
        <v>18</v>
      </c>
      <c r="N947" t="str">
        <f t="shared" si="14"/>
        <v>REAL ESTATE OPERATORS AND LESSORS (6510)</v>
      </c>
    </row>
    <row r="948" spans="1:14" x14ac:dyDescent="0.45">
      <c r="A948" s="4">
        <v>6512</v>
      </c>
      <c r="B948" t="s">
        <v>1121</v>
      </c>
      <c r="C948" t="s">
        <v>1120</v>
      </c>
      <c r="D948" t="s">
        <v>33</v>
      </c>
      <c r="E948" t="s">
        <v>1069</v>
      </c>
      <c r="F948" t="s">
        <v>33</v>
      </c>
      <c r="G948">
        <v>34</v>
      </c>
      <c r="H948">
        <v>1.8163960420090209E-2</v>
      </c>
      <c r="I948" t="s">
        <v>1413</v>
      </c>
      <c r="J948" s="2" t="s">
        <v>2140</v>
      </c>
      <c r="K948">
        <v>1</v>
      </c>
      <c r="L948">
        <v>1</v>
      </c>
      <c r="M948" t="s">
        <v>18</v>
      </c>
      <c r="N948" t="str">
        <f t="shared" si="14"/>
        <v>NONRESIDENTIAL BUILDING OPERATORS (6512)</v>
      </c>
    </row>
    <row r="949" spans="1:14" x14ac:dyDescent="0.45">
      <c r="A949" s="4">
        <v>6513</v>
      </c>
      <c r="B949" t="s">
        <v>1122</v>
      </c>
      <c r="C949" t="s">
        <v>1120</v>
      </c>
      <c r="D949" t="s">
        <v>33</v>
      </c>
      <c r="E949" t="s">
        <v>1069</v>
      </c>
      <c r="F949" t="s">
        <v>33</v>
      </c>
      <c r="G949">
        <v>34</v>
      </c>
      <c r="H949">
        <v>1.8163960420090209E-2</v>
      </c>
      <c r="I949" t="s">
        <v>1413</v>
      </c>
      <c r="J949" s="2" t="s">
        <v>2140</v>
      </c>
      <c r="K949">
        <v>1</v>
      </c>
      <c r="L949">
        <v>1</v>
      </c>
      <c r="M949" t="s">
        <v>18</v>
      </c>
      <c r="N949" t="str">
        <f t="shared" si="14"/>
        <v>APARTMENT BUILDING OPERATORS (6513)</v>
      </c>
    </row>
    <row r="950" spans="1:14" x14ac:dyDescent="0.45">
      <c r="A950" s="4">
        <v>6514</v>
      </c>
      <c r="B950" t="s">
        <v>1123</v>
      </c>
      <c r="C950" t="s">
        <v>1120</v>
      </c>
      <c r="D950" t="s">
        <v>33</v>
      </c>
      <c r="E950" t="s">
        <v>1069</v>
      </c>
      <c r="F950" t="s">
        <v>33</v>
      </c>
      <c r="G950">
        <v>34</v>
      </c>
      <c r="H950">
        <v>1.8163960420090209E-2</v>
      </c>
      <c r="I950" t="s">
        <v>1413</v>
      </c>
      <c r="J950" s="2" t="s">
        <v>2140</v>
      </c>
      <c r="K950">
        <v>1</v>
      </c>
      <c r="L950">
        <v>1</v>
      </c>
      <c r="M950" t="s">
        <v>18</v>
      </c>
      <c r="N950" t="str">
        <f t="shared" si="14"/>
        <v>DWELLING OPERATORS, EXCEPT APARTMENTS (6514)</v>
      </c>
    </row>
    <row r="951" spans="1:14" x14ac:dyDescent="0.45">
      <c r="A951" s="4">
        <v>6515</v>
      </c>
      <c r="B951" t="s">
        <v>1124</v>
      </c>
      <c r="C951" t="s">
        <v>1120</v>
      </c>
      <c r="D951" t="s">
        <v>33</v>
      </c>
      <c r="E951" t="s">
        <v>1069</v>
      </c>
      <c r="F951" t="s">
        <v>33</v>
      </c>
      <c r="G951">
        <v>34</v>
      </c>
      <c r="H951">
        <v>1.8163960420090209E-2</v>
      </c>
      <c r="I951" t="s">
        <v>1413</v>
      </c>
      <c r="J951" s="2" t="s">
        <v>2140</v>
      </c>
      <c r="K951">
        <v>1</v>
      </c>
      <c r="L951">
        <v>1</v>
      </c>
      <c r="M951" t="s">
        <v>18</v>
      </c>
      <c r="N951" t="str">
        <f t="shared" si="14"/>
        <v>MOBILE HOME SITE OPERATORS (6515)</v>
      </c>
    </row>
    <row r="952" spans="1:14" x14ac:dyDescent="0.45">
      <c r="A952" s="4">
        <v>6517</v>
      </c>
      <c r="B952" t="s">
        <v>1125</v>
      </c>
      <c r="C952" t="s">
        <v>1120</v>
      </c>
      <c r="D952" t="s">
        <v>33</v>
      </c>
      <c r="E952" t="s">
        <v>1069</v>
      </c>
      <c r="F952" t="s">
        <v>33</v>
      </c>
      <c r="G952">
        <v>34</v>
      </c>
      <c r="H952">
        <v>1.8163960420090209E-2</v>
      </c>
      <c r="I952" t="s">
        <v>1413</v>
      </c>
      <c r="J952" s="2" t="s">
        <v>2140</v>
      </c>
      <c r="K952">
        <v>1</v>
      </c>
      <c r="L952">
        <v>1</v>
      </c>
      <c r="M952" t="s">
        <v>18</v>
      </c>
      <c r="N952" t="str">
        <f t="shared" si="14"/>
        <v>RAILROAD PROPERTY LESSORS (6517)</v>
      </c>
    </row>
    <row r="953" spans="1:14" x14ac:dyDescent="0.45">
      <c r="A953" s="4">
        <v>6519</v>
      </c>
      <c r="B953" t="s">
        <v>1126</v>
      </c>
      <c r="C953" t="s">
        <v>1120</v>
      </c>
      <c r="D953" t="s">
        <v>33</v>
      </c>
      <c r="E953" t="s">
        <v>1069</v>
      </c>
      <c r="F953" t="s">
        <v>33</v>
      </c>
      <c r="G953">
        <v>34</v>
      </c>
      <c r="H953">
        <v>1.8163960420090209E-2</v>
      </c>
      <c r="I953" t="s">
        <v>1413</v>
      </c>
      <c r="J953" s="2" t="s">
        <v>2140</v>
      </c>
      <c r="K953">
        <v>1</v>
      </c>
      <c r="L953">
        <v>1</v>
      </c>
      <c r="M953" t="s">
        <v>18</v>
      </c>
      <c r="N953" t="str">
        <f t="shared" si="14"/>
        <v>REAL PROPERTY LESSORS, NEC (6519)</v>
      </c>
    </row>
    <row r="954" spans="1:14" x14ac:dyDescent="0.45">
      <c r="A954" s="4">
        <v>6531</v>
      </c>
      <c r="B954" t="s">
        <v>1127</v>
      </c>
      <c r="C954" t="s">
        <v>1127</v>
      </c>
      <c r="D954" t="s">
        <v>33</v>
      </c>
      <c r="E954" t="s">
        <v>1069</v>
      </c>
      <c r="F954" t="s">
        <v>33</v>
      </c>
      <c r="G954">
        <v>34</v>
      </c>
      <c r="H954">
        <v>1.8163960420090209E-2</v>
      </c>
      <c r="I954" t="s">
        <v>1413</v>
      </c>
      <c r="J954" s="2" t="s">
        <v>2140</v>
      </c>
      <c r="K954">
        <v>1</v>
      </c>
      <c r="L954">
        <v>1</v>
      </c>
      <c r="M954" t="s">
        <v>18</v>
      </c>
      <c r="N954" t="str">
        <f t="shared" si="14"/>
        <v>REAL ESTATE AGENTS AND MANAGERS (6531)</v>
      </c>
    </row>
    <row r="955" spans="1:14" x14ac:dyDescent="0.45">
      <c r="A955" s="4">
        <v>6532</v>
      </c>
      <c r="B955" t="s">
        <v>1128</v>
      </c>
      <c r="C955" t="s">
        <v>1120</v>
      </c>
      <c r="D955" t="s">
        <v>33</v>
      </c>
      <c r="E955" t="s">
        <v>1069</v>
      </c>
      <c r="F955" t="s">
        <v>33</v>
      </c>
      <c r="G955">
        <v>34</v>
      </c>
      <c r="H955">
        <v>1.8163960420090209E-2</v>
      </c>
      <c r="I955" t="s">
        <v>1413</v>
      </c>
      <c r="J955" s="2" t="s">
        <v>2140</v>
      </c>
      <c r="K955">
        <v>1</v>
      </c>
      <c r="L955">
        <v>1</v>
      </c>
      <c r="M955" t="s">
        <v>18</v>
      </c>
      <c r="N955" t="str">
        <f t="shared" si="14"/>
        <v>REAL ESTATE DEALERS (FOR THEIR OWN ACCOUNT) (6532)</v>
      </c>
    </row>
    <row r="956" spans="1:14" x14ac:dyDescent="0.45">
      <c r="A956" s="4">
        <v>6541</v>
      </c>
      <c r="B956" t="s">
        <v>1129</v>
      </c>
      <c r="C956" t="s">
        <v>1129</v>
      </c>
      <c r="D956" t="s">
        <v>33</v>
      </c>
      <c r="E956" t="s">
        <v>1069</v>
      </c>
      <c r="F956" t="s">
        <v>33</v>
      </c>
      <c r="G956">
        <v>34</v>
      </c>
      <c r="H956">
        <v>1.8163960420090209E-2</v>
      </c>
      <c r="I956" t="s">
        <v>1413</v>
      </c>
      <c r="J956" s="2" t="s">
        <v>2140</v>
      </c>
      <c r="K956">
        <v>1</v>
      </c>
      <c r="L956">
        <v>1</v>
      </c>
      <c r="M956" t="s">
        <v>18</v>
      </c>
      <c r="N956" t="str">
        <f t="shared" si="14"/>
        <v>TITLE ABSTRACT OFFICES (6541)</v>
      </c>
    </row>
    <row r="957" spans="1:14" x14ac:dyDescent="0.45">
      <c r="A957" s="4">
        <v>6552</v>
      </c>
      <c r="B957" t="s">
        <v>1130</v>
      </c>
      <c r="C957" t="s">
        <v>1131</v>
      </c>
      <c r="D957" t="s">
        <v>33</v>
      </c>
      <c r="E957" t="s">
        <v>1069</v>
      </c>
      <c r="F957" t="s">
        <v>33</v>
      </c>
      <c r="G957">
        <v>34</v>
      </c>
      <c r="H957">
        <v>1.8163960420090209E-2</v>
      </c>
      <c r="I957" t="s">
        <v>1413</v>
      </c>
      <c r="J957" s="2" t="s">
        <v>2140</v>
      </c>
      <c r="K957">
        <v>1</v>
      </c>
      <c r="L957">
        <v>1</v>
      </c>
      <c r="M957" t="s">
        <v>18</v>
      </c>
      <c r="N957" t="str">
        <f t="shared" si="14"/>
        <v>SUBDIVIDERS AND DEVELOPERS, NEC (6552)</v>
      </c>
    </row>
    <row r="958" spans="1:14" x14ac:dyDescent="0.45">
      <c r="A958" s="4">
        <v>6553</v>
      </c>
      <c r="B958" t="s">
        <v>1132</v>
      </c>
      <c r="C958" t="s">
        <v>1131</v>
      </c>
      <c r="D958" t="s">
        <v>33</v>
      </c>
      <c r="E958" t="s">
        <v>1069</v>
      </c>
      <c r="F958" t="s">
        <v>33</v>
      </c>
      <c r="G958">
        <v>34</v>
      </c>
      <c r="H958">
        <v>1.8163960420090209E-2</v>
      </c>
      <c r="I958" t="s">
        <v>1413</v>
      </c>
      <c r="J958" s="2" t="s">
        <v>2140</v>
      </c>
      <c r="K958">
        <v>1</v>
      </c>
      <c r="L958">
        <v>1</v>
      </c>
      <c r="M958" t="s">
        <v>18</v>
      </c>
      <c r="N958" t="str">
        <f t="shared" si="14"/>
        <v>CEMETERY SUBDIVIDERS AND DEVELOPERS (6553)</v>
      </c>
    </row>
    <row r="959" spans="1:14" x14ac:dyDescent="0.45">
      <c r="A959" s="4">
        <v>6712</v>
      </c>
      <c r="B959" t="s">
        <v>1133</v>
      </c>
      <c r="C959" t="s">
        <v>1134</v>
      </c>
      <c r="D959" t="s">
        <v>1135</v>
      </c>
      <c r="E959" t="s">
        <v>1069</v>
      </c>
      <c r="F959" t="s">
        <v>17</v>
      </c>
      <c r="G959">
        <v>15</v>
      </c>
      <c r="H959">
        <v>1.2393E-2</v>
      </c>
      <c r="I959" t="s">
        <v>1413</v>
      </c>
      <c r="J959" s="2" t="s">
        <v>2138</v>
      </c>
      <c r="K959">
        <v>1</v>
      </c>
      <c r="L959">
        <v>1</v>
      </c>
      <c r="M959" t="s">
        <v>18</v>
      </c>
      <c r="N959" t="str">
        <f t="shared" si="14"/>
        <v>BANK HOLDING COMPANIES (6712)</v>
      </c>
    </row>
    <row r="960" spans="1:14" x14ac:dyDescent="0.45">
      <c r="A960" s="4">
        <v>6719</v>
      </c>
      <c r="B960" t="s">
        <v>1136</v>
      </c>
      <c r="C960" t="s">
        <v>1134</v>
      </c>
      <c r="D960" t="s">
        <v>1135</v>
      </c>
      <c r="E960" t="s">
        <v>1069</v>
      </c>
      <c r="F960" t="s">
        <v>17</v>
      </c>
      <c r="G960">
        <v>15</v>
      </c>
      <c r="H960">
        <v>1.2393E-2</v>
      </c>
      <c r="I960" t="s">
        <v>1413</v>
      </c>
      <c r="J960" s="2" t="s">
        <v>2138</v>
      </c>
      <c r="K960">
        <v>1</v>
      </c>
      <c r="L960">
        <v>1</v>
      </c>
      <c r="M960" t="s">
        <v>18</v>
      </c>
      <c r="N960" t="str">
        <f t="shared" si="14"/>
        <v>HOLDING COMPANIES, NEC (6719)</v>
      </c>
    </row>
    <row r="961" spans="1:14" x14ac:dyDescent="0.45">
      <c r="A961" s="4">
        <v>6722</v>
      </c>
      <c r="B961" t="s">
        <v>1137</v>
      </c>
      <c r="C961" t="s">
        <v>1138</v>
      </c>
      <c r="D961" t="s">
        <v>1135</v>
      </c>
      <c r="E961" t="s">
        <v>1069</v>
      </c>
      <c r="F961" t="s">
        <v>17</v>
      </c>
      <c r="G961">
        <v>15</v>
      </c>
      <c r="H961">
        <v>1.2393E-2</v>
      </c>
      <c r="I961" t="s">
        <v>1413</v>
      </c>
      <c r="J961" s="2" t="s">
        <v>2138</v>
      </c>
      <c r="K961">
        <v>1</v>
      </c>
      <c r="L961">
        <v>1</v>
      </c>
      <c r="M961" t="s">
        <v>18</v>
      </c>
      <c r="N961" t="str">
        <f t="shared" si="14"/>
        <v>MANAGEMENT INVESTMENT, OPEN-ENDED (6722)</v>
      </c>
    </row>
    <row r="962" spans="1:14" x14ac:dyDescent="0.45">
      <c r="A962" s="4">
        <v>6726</v>
      </c>
      <c r="B962" t="s">
        <v>1139</v>
      </c>
      <c r="C962" t="s">
        <v>1138</v>
      </c>
      <c r="D962" t="s">
        <v>1135</v>
      </c>
      <c r="E962" t="s">
        <v>1069</v>
      </c>
      <c r="F962" t="s">
        <v>17</v>
      </c>
      <c r="G962">
        <v>15</v>
      </c>
      <c r="H962">
        <v>1.2393E-2</v>
      </c>
      <c r="I962" t="s">
        <v>1413</v>
      </c>
      <c r="J962" s="2" t="s">
        <v>2138</v>
      </c>
      <c r="K962">
        <v>1</v>
      </c>
      <c r="L962">
        <v>1</v>
      </c>
      <c r="M962" t="s">
        <v>18</v>
      </c>
      <c r="N962" t="str">
        <f t="shared" si="14"/>
        <v>INVESTMENT OFFICES, NEC (6726)</v>
      </c>
    </row>
    <row r="963" spans="1:14" x14ac:dyDescent="0.45">
      <c r="A963" s="4">
        <v>6732</v>
      </c>
      <c r="B963" t="s">
        <v>1140</v>
      </c>
      <c r="C963" t="s">
        <v>1141</v>
      </c>
      <c r="D963" t="s">
        <v>1135</v>
      </c>
      <c r="E963" t="s">
        <v>1069</v>
      </c>
      <c r="F963" t="s">
        <v>17</v>
      </c>
      <c r="G963">
        <v>15</v>
      </c>
      <c r="H963">
        <v>1.2393E-2</v>
      </c>
      <c r="I963" t="s">
        <v>1413</v>
      </c>
      <c r="J963" s="2" t="s">
        <v>2138</v>
      </c>
      <c r="K963">
        <v>1</v>
      </c>
      <c r="L963">
        <v>1</v>
      </c>
      <c r="M963" t="s">
        <v>18</v>
      </c>
      <c r="N963" t="str">
        <f t="shared" ref="N963:N1026" si="15">B963&amp;" ("&amp;A963&amp;")"</f>
        <v>TRUSTS: EDUCATIONAL, RELIGIOUS, ETC. (6732)</v>
      </c>
    </row>
    <row r="964" spans="1:14" x14ac:dyDescent="0.45">
      <c r="A964" s="4">
        <v>6733</v>
      </c>
      <c r="B964" t="s">
        <v>1142</v>
      </c>
      <c r="C964" t="s">
        <v>1141</v>
      </c>
      <c r="D964" t="s">
        <v>1135</v>
      </c>
      <c r="E964" t="s">
        <v>1069</v>
      </c>
      <c r="F964" t="s">
        <v>17</v>
      </c>
      <c r="G964">
        <v>15</v>
      </c>
      <c r="H964">
        <v>1.2393E-2</v>
      </c>
      <c r="I964" t="s">
        <v>1413</v>
      </c>
      <c r="J964" s="2" t="s">
        <v>2138</v>
      </c>
      <c r="K964">
        <v>1</v>
      </c>
      <c r="L964">
        <v>1</v>
      </c>
      <c r="M964" t="s">
        <v>18</v>
      </c>
      <c r="N964" t="str">
        <f t="shared" si="15"/>
        <v>TRUSTS, NEC (6733)</v>
      </c>
    </row>
    <row r="965" spans="1:14" x14ac:dyDescent="0.45">
      <c r="A965" s="4">
        <v>6770</v>
      </c>
      <c r="B965" t="s">
        <v>1143</v>
      </c>
      <c r="C965" t="s">
        <v>1143</v>
      </c>
      <c r="D965" t="s">
        <v>1135</v>
      </c>
      <c r="E965" t="s">
        <v>1069</v>
      </c>
      <c r="F965" t="s">
        <v>17</v>
      </c>
      <c r="G965">
        <v>15</v>
      </c>
      <c r="H965">
        <v>1.2393E-2</v>
      </c>
      <c r="I965" t="s">
        <v>1413</v>
      </c>
      <c r="J965" s="2" t="s">
        <v>2138</v>
      </c>
      <c r="K965">
        <v>1</v>
      </c>
      <c r="L965">
        <v>1</v>
      </c>
      <c r="M965" t="s">
        <v>18</v>
      </c>
      <c r="N965" t="str">
        <f t="shared" si="15"/>
        <v>MISCELLANEOUS INVESTING (6770)</v>
      </c>
    </row>
    <row r="966" spans="1:14" x14ac:dyDescent="0.45">
      <c r="A966" s="4">
        <v>6792</v>
      </c>
      <c r="B966" t="s">
        <v>1144</v>
      </c>
      <c r="C966" t="s">
        <v>1143</v>
      </c>
      <c r="D966" t="s">
        <v>1135</v>
      </c>
      <c r="E966" t="s">
        <v>1069</v>
      </c>
      <c r="F966" t="s">
        <v>17</v>
      </c>
      <c r="G966">
        <v>15</v>
      </c>
      <c r="H966">
        <v>1.2393E-2</v>
      </c>
      <c r="I966" t="s">
        <v>1413</v>
      </c>
      <c r="J966" s="2" t="s">
        <v>2138</v>
      </c>
      <c r="K966">
        <v>1</v>
      </c>
      <c r="L966">
        <v>1</v>
      </c>
      <c r="M966" t="s">
        <v>18</v>
      </c>
      <c r="N966" t="str">
        <f t="shared" si="15"/>
        <v>OIL ROYALTY TRADERS (6792)</v>
      </c>
    </row>
    <row r="967" spans="1:14" x14ac:dyDescent="0.45">
      <c r="A967" s="4">
        <v>6794</v>
      </c>
      <c r="B967" t="s">
        <v>1145</v>
      </c>
      <c r="C967" t="s">
        <v>1143</v>
      </c>
      <c r="D967" t="s">
        <v>1135</v>
      </c>
      <c r="E967" t="s">
        <v>1069</v>
      </c>
      <c r="F967" t="s">
        <v>17</v>
      </c>
      <c r="G967">
        <v>15</v>
      </c>
      <c r="H967">
        <v>1.2393E-2</v>
      </c>
      <c r="I967" t="s">
        <v>1413</v>
      </c>
      <c r="J967" s="2" t="s">
        <v>2138</v>
      </c>
      <c r="K967">
        <v>1</v>
      </c>
      <c r="L967">
        <v>1</v>
      </c>
      <c r="M967" t="s">
        <v>18</v>
      </c>
      <c r="N967" t="str">
        <f t="shared" si="15"/>
        <v>PATENT OWNERS AND LESSORS (6794)</v>
      </c>
    </row>
    <row r="968" spans="1:14" x14ac:dyDescent="0.45">
      <c r="A968" s="4">
        <v>6795</v>
      </c>
      <c r="B968" t="s">
        <v>1146</v>
      </c>
      <c r="C968" t="s">
        <v>1143</v>
      </c>
      <c r="D968" t="s">
        <v>1135</v>
      </c>
      <c r="E968" t="s">
        <v>1069</v>
      </c>
      <c r="F968" t="s">
        <v>17</v>
      </c>
      <c r="G968">
        <v>15</v>
      </c>
      <c r="H968">
        <v>1.2393E-2</v>
      </c>
      <c r="I968" t="s">
        <v>1413</v>
      </c>
      <c r="J968" s="2" t="s">
        <v>2138</v>
      </c>
      <c r="K968">
        <v>1</v>
      </c>
      <c r="L968">
        <v>1</v>
      </c>
      <c r="M968" t="s">
        <v>18</v>
      </c>
      <c r="N968" t="str">
        <f t="shared" si="15"/>
        <v>MINERAL ROYALTY TRADERS (6795)</v>
      </c>
    </row>
    <row r="969" spans="1:14" x14ac:dyDescent="0.45">
      <c r="A969" s="4">
        <v>6798</v>
      </c>
      <c r="B969" t="s">
        <v>1147</v>
      </c>
      <c r="C969" t="s">
        <v>1143</v>
      </c>
      <c r="D969" t="s">
        <v>1135</v>
      </c>
      <c r="E969" t="s">
        <v>1069</v>
      </c>
      <c r="F969" t="s">
        <v>34</v>
      </c>
      <c r="G969">
        <v>42</v>
      </c>
      <c r="H969">
        <v>1.6200000000000003E-2</v>
      </c>
      <c r="I969" t="s">
        <v>1413</v>
      </c>
      <c r="J969" s="2" t="s">
        <v>2141</v>
      </c>
      <c r="K969">
        <v>1</v>
      </c>
      <c r="L969">
        <v>1</v>
      </c>
      <c r="M969" t="s">
        <v>18</v>
      </c>
      <c r="N969" t="str">
        <f t="shared" si="15"/>
        <v>REAL ESTATE INVESTMENT TRUSTS (6798)</v>
      </c>
    </row>
    <row r="970" spans="1:14" x14ac:dyDescent="0.45">
      <c r="A970" s="4">
        <v>6799</v>
      </c>
      <c r="B970" t="s">
        <v>1148</v>
      </c>
      <c r="C970" t="s">
        <v>1143</v>
      </c>
      <c r="D970" t="s">
        <v>1135</v>
      </c>
      <c r="E970" t="s">
        <v>1069</v>
      </c>
      <c r="F970" t="s">
        <v>33</v>
      </c>
      <c r="G970">
        <v>34</v>
      </c>
      <c r="H970">
        <v>1.8163960420090209E-2</v>
      </c>
      <c r="I970" t="s">
        <v>1413</v>
      </c>
      <c r="J970" s="2" t="s">
        <v>2140</v>
      </c>
      <c r="K970">
        <v>1</v>
      </c>
      <c r="L970">
        <v>1</v>
      </c>
      <c r="M970" t="s">
        <v>18</v>
      </c>
      <c r="N970" t="str">
        <f t="shared" si="15"/>
        <v>INVESTORS, NEC (6799)</v>
      </c>
    </row>
    <row r="971" spans="1:14" x14ac:dyDescent="0.45">
      <c r="A971" s="4">
        <v>7011</v>
      </c>
      <c r="B971" t="s">
        <v>1149</v>
      </c>
      <c r="C971" t="s">
        <v>1149</v>
      </c>
      <c r="D971" t="s">
        <v>1150</v>
      </c>
      <c r="E971" t="s">
        <v>1151</v>
      </c>
      <c r="F971" t="s">
        <v>35</v>
      </c>
      <c r="G971">
        <v>37</v>
      </c>
      <c r="H971">
        <v>4.0500000000000001E-2</v>
      </c>
      <c r="I971" t="s">
        <v>1413</v>
      </c>
      <c r="J971" s="2" t="s">
        <v>2142</v>
      </c>
      <c r="K971">
        <v>1</v>
      </c>
      <c r="L971">
        <v>1</v>
      </c>
      <c r="M971" t="s">
        <v>18</v>
      </c>
      <c r="N971" t="str">
        <f t="shared" si="15"/>
        <v>HOTELS AND MOTELS (7011)</v>
      </c>
    </row>
    <row r="972" spans="1:14" x14ac:dyDescent="0.45">
      <c r="A972" s="4">
        <v>7021</v>
      </c>
      <c r="B972" t="s">
        <v>1152</v>
      </c>
      <c r="C972" t="s">
        <v>1152</v>
      </c>
      <c r="D972" t="s">
        <v>1150</v>
      </c>
      <c r="E972" t="s">
        <v>1151</v>
      </c>
      <c r="F972" t="s">
        <v>35</v>
      </c>
      <c r="G972">
        <v>37</v>
      </c>
      <c r="H972">
        <v>4.0500000000000001E-2</v>
      </c>
      <c r="I972" t="s">
        <v>1413</v>
      </c>
      <c r="J972" s="2" t="s">
        <v>2142</v>
      </c>
      <c r="K972">
        <v>1</v>
      </c>
      <c r="L972">
        <v>1</v>
      </c>
      <c r="M972" t="s">
        <v>18</v>
      </c>
      <c r="N972" t="str">
        <f t="shared" si="15"/>
        <v>ROOMING AND BOARDING HOUSES (7021)</v>
      </c>
    </row>
    <row r="973" spans="1:14" x14ac:dyDescent="0.45">
      <c r="A973" s="4">
        <v>7032</v>
      </c>
      <c r="B973" t="s">
        <v>1153</v>
      </c>
      <c r="C973" t="s">
        <v>1154</v>
      </c>
      <c r="D973" t="s">
        <v>1150</v>
      </c>
      <c r="E973" t="s">
        <v>1151</v>
      </c>
      <c r="F973" t="s">
        <v>35</v>
      </c>
      <c r="G973">
        <v>37</v>
      </c>
      <c r="H973">
        <v>4.0500000000000001E-2</v>
      </c>
      <c r="I973" t="s">
        <v>1413</v>
      </c>
      <c r="J973" s="2" t="s">
        <v>2142</v>
      </c>
      <c r="K973">
        <v>1</v>
      </c>
      <c r="L973">
        <v>1</v>
      </c>
      <c r="M973" t="s">
        <v>18</v>
      </c>
      <c r="N973" t="str">
        <f t="shared" si="15"/>
        <v>SPORTING AND RECREATIONAL CAMPS (7032)</v>
      </c>
    </row>
    <row r="974" spans="1:14" x14ac:dyDescent="0.45">
      <c r="A974" s="4">
        <v>7033</v>
      </c>
      <c r="B974" t="s">
        <v>1155</v>
      </c>
      <c r="C974" t="s">
        <v>1154</v>
      </c>
      <c r="D974" t="s">
        <v>1150</v>
      </c>
      <c r="E974" t="s">
        <v>1151</v>
      </c>
      <c r="F974" t="s">
        <v>35</v>
      </c>
      <c r="G974">
        <v>37</v>
      </c>
      <c r="H974">
        <v>4.0500000000000001E-2</v>
      </c>
      <c r="I974" t="s">
        <v>1413</v>
      </c>
      <c r="J974" s="2" t="s">
        <v>2142</v>
      </c>
      <c r="K974">
        <v>1</v>
      </c>
      <c r="L974">
        <v>1</v>
      </c>
      <c r="M974" t="s">
        <v>18</v>
      </c>
      <c r="N974" t="str">
        <f t="shared" si="15"/>
        <v>TRAILER PARKS AND CAMPSITES (7033)</v>
      </c>
    </row>
    <row r="975" spans="1:14" x14ac:dyDescent="0.45">
      <c r="A975" s="4">
        <v>7041</v>
      </c>
      <c r="B975" t="s">
        <v>1156</v>
      </c>
      <c r="C975" t="s">
        <v>1156</v>
      </c>
      <c r="D975" t="s">
        <v>1150</v>
      </c>
      <c r="E975" t="s">
        <v>1151</v>
      </c>
      <c r="F975" t="s">
        <v>35</v>
      </c>
      <c r="G975">
        <v>37</v>
      </c>
      <c r="H975">
        <v>4.0500000000000001E-2</v>
      </c>
      <c r="I975" t="s">
        <v>1413</v>
      </c>
      <c r="J975" s="2" t="s">
        <v>2142</v>
      </c>
      <c r="K975">
        <v>1</v>
      </c>
      <c r="L975">
        <v>1</v>
      </c>
      <c r="M975" t="s">
        <v>18</v>
      </c>
      <c r="N975" t="str">
        <f t="shared" si="15"/>
        <v>MEMBERSHIP-BASIS ORGANIZATION HOTELS (7041)</v>
      </c>
    </row>
    <row r="976" spans="1:14" x14ac:dyDescent="0.45">
      <c r="A976" s="4">
        <v>7200</v>
      </c>
      <c r="B976" t="s">
        <v>1157</v>
      </c>
      <c r="C976" t="s">
        <v>1157</v>
      </c>
      <c r="D976" t="s">
        <v>1157</v>
      </c>
      <c r="E976" t="s">
        <v>1151</v>
      </c>
      <c r="F976" t="s">
        <v>35</v>
      </c>
      <c r="G976">
        <v>37</v>
      </c>
      <c r="H976">
        <v>4.0500000000000001E-2</v>
      </c>
      <c r="I976" t="s">
        <v>1413</v>
      </c>
      <c r="J976" s="2" t="s">
        <v>2142</v>
      </c>
      <c r="K976">
        <v>1</v>
      </c>
      <c r="L976">
        <v>1</v>
      </c>
      <c r="M976" t="s">
        <v>18</v>
      </c>
      <c r="N976" t="str">
        <f t="shared" si="15"/>
        <v>PERSONAL SERVICES (7200)</v>
      </c>
    </row>
    <row r="977" spans="1:14" x14ac:dyDescent="0.45">
      <c r="A977" s="4">
        <v>7211</v>
      </c>
      <c r="B977" t="s">
        <v>1158</v>
      </c>
      <c r="C977" t="s">
        <v>1159</v>
      </c>
      <c r="D977" t="s">
        <v>1157</v>
      </c>
      <c r="E977" t="s">
        <v>1151</v>
      </c>
      <c r="F977" t="s">
        <v>35</v>
      </c>
      <c r="G977">
        <v>37</v>
      </c>
      <c r="H977">
        <v>4.0500000000000001E-2</v>
      </c>
      <c r="I977" t="s">
        <v>1413</v>
      </c>
      <c r="J977" s="2" t="s">
        <v>2142</v>
      </c>
      <c r="K977">
        <v>1</v>
      </c>
      <c r="L977">
        <v>1</v>
      </c>
      <c r="M977" t="s">
        <v>18</v>
      </c>
      <c r="N977" t="str">
        <f t="shared" si="15"/>
        <v>POWER LAUNDRIES, FAMILY AND COMMERCIAL (7211)</v>
      </c>
    </row>
    <row r="978" spans="1:14" x14ac:dyDescent="0.45">
      <c r="A978" s="4">
        <v>7212</v>
      </c>
      <c r="B978" t="s">
        <v>1160</v>
      </c>
      <c r="C978" t="s">
        <v>1159</v>
      </c>
      <c r="D978" t="s">
        <v>1157</v>
      </c>
      <c r="E978" t="s">
        <v>1151</v>
      </c>
      <c r="F978" t="s">
        <v>35</v>
      </c>
      <c r="G978">
        <v>37</v>
      </c>
      <c r="H978">
        <v>4.0500000000000001E-2</v>
      </c>
      <c r="I978" t="s">
        <v>1413</v>
      </c>
      <c r="J978" s="2" t="s">
        <v>2142</v>
      </c>
      <c r="K978">
        <v>1</v>
      </c>
      <c r="L978">
        <v>1</v>
      </c>
      <c r="M978" t="s">
        <v>18</v>
      </c>
      <c r="N978" t="str">
        <f t="shared" si="15"/>
        <v>GARMENT PRESSING AND CLEANERS' AGENTS (7212)</v>
      </c>
    </row>
    <row r="979" spans="1:14" x14ac:dyDescent="0.45">
      <c r="A979" s="4">
        <v>7213</v>
      </c>
      <c r="B979" t="s">
        <v>1161</v>
      </c>
      <c r="C979" t="s">
        <v>1159</v>
      </c>
      <c r="D979" t="s">
        <v>1157</v>
      </c>
      <c r="E979" t="s">
        <v>1151</v>
      </c>
      <c r="F979" t="s">
        <v>35</v>
      </c>
      <c r="G979">
        <v>37</v>
      </c>
      <c r="H979">
        <v>4.0500000000000001E-2</v>
      </c>
      <c r="I979" t="s">
        <v>1413</v>
      </c>
      <c r="J979" s="2" t="s">
        <v>2142</v>
      </c>
      <c r="K979">
        <v>1</v>
      </c>
      <c r="L979">
        <v>1</v>
      </c>
      <c r="M979" t="s">
        <v>18</v>
      </c>
      <c r="N979" t="str">
        <f t="shared" si="15"/>
        <v>LINEN SUPPLY (7213)</v>
      </c>
    </row>
    <row r="980" spans="1:14" x14ac:dyDescent="0.45">
      <c r="A980" s="4">
        <v>7215</v>
      </c>
      <c r="B980" t="s">
        <v>1162</v>
      </c>
      <c r="C980" t="s">
        <v>1159</v>
      </c>
      <c r="D980" t="s">
        <v>1157</v>
      </c>
      <c r="E980" t="s">
        <v>1151</v>
      </c>
      <c r="F980" t="s">
        <v>35</v>
      </c>
      <c r="G980">
        <v>37</v>
      </c>
      <c r="H980">
        <v>4.0500000000000001E-2</v>
      </c>
      <c r="I980" t="s">
        <v>1413</v>
      </c>
      <c r="J980" s="2" t="s">
        <v>2142</v>
      </c>
      <c r="K980">
        <v>1</v>
      </c>
      <c r="L980">
        <v>1</v>
      </c>
      <c r="M980" t="s">
        <v>18</v>
      </c>
      <c r="N980" t="str">
        <f t="shared" si="15"/>
        <v>COIN-OPERATED LAUNDRIES AND CLEANING (7215)</v>
      </c>
    </row>
    <row r="981" spans="1:14" x14ac:dyDescent="0.45">
      <c r="A981" s="4">
        <v>7216</v>
      </c>
      <c r="B981" t="s">
        <v>1163</v>
      </c>
      <c r="C981" t="s">
        <v>1159</v>
      </c>
      <c r="D981" t="s">
        <v>1157</v>
      </c>
      <c r="E981" t="s">
        <v>1151</v>
      </c>
      <c r="F981" t="s">
        <v>35</v>
      </c>
      <c r="G981">
        <v>37</v>
      </c>
      <c r="H981">
        <v>4.0500000000000001E-2</v>
      </c>
      <c r="I981" t="s">
        <v>1413</v>
      </c>
      <c r="J981" s="2" t="s">
        <v>2142</v>
      </c>
      <c r="K981">
        <v>1</v>
      </c>
      <c r="L981">
        <v>1</v>
      </c>
      <c r="M981" t="s">
        <v>18</v>
      </c>
      <c r="N981" t="str">
        <f t="shared" si="15"/>
        <v>DRYCLEANING PLANTS, EXCEPT RUGS (7216)</v>
      </c>
    </row>
    <row r="982" spans="1:14" x14ac:dyDescent="0.45">
      <c r="A982" s="4">
        <v>7217</v>
      </c>
      <c r="B982" t="s">
        <v>1164</v>
      </c>
      <c r="C982" t="s">
        <v>1159</v>
      </c>
      <c r="D982" t="s">
        <v>1157</v>
      </c>
      <c r="E982" t="s">
        <v>1151</v>
      </c>
      <c r="F982" t="s">
        <v>35</v>
      </c>
      <c r="G982">
        <v>37</v>
      </c>
      <c r="H982">
        <v>4.0500000000000001E-2</v>
      </c>
      <c r="I982" t="s">
        <v>1413</v>
      </c>
      <c r="J982" s="2" t="s">
        <v>2142</v>
      </c>
      <c r="K982">
        <v>1</v>
      </c>
      <c r="L982">
        <v>1</v>
      </c>
      <c r="M982" t="s">
        <v>18</v>
      </c>
      <c r="N982" t="str">
        <f t="shared" si="15"/>
        <v>CARPET AND UPHOLSTERY CLEANING (7217)</v>
      </c>
    </row>
    <row r="983" spans="1:14" x14ac:dyDescent="0.45">
      <c r="A983" s="4">
        <v>7218</v>
      </c>
      <c r="B983" t="s">
        <v>1165</v>
      </c>
      <c r="C983" t="s">
        <v>1159</v>
      </c>
      <c r="D983" t="s">
        <v>1157</v>
      </c>
      <c r="E983" t="s">
        <v>1151</v>
      </c>
      <c r="F983" t="s">
        <v>35</v>
      </c>
      <c r="G983">
        <v>37</v>
      </c>
      <c r="H983">
        <v>4.0500000000000001E-2</v>
      </c>
      <c r="I983" t="s">
        <v>1413</v>
      </c>
      <c r="J983" s="2" t="s">
        <v>2142</v>
      </c>
      <c r="K983">
        <v>1</v>
      </c>
      <c r="L983">
        <v>1</v>
      </c>
      <c r="M983" t="s">
        <v>18</v>
      </c>
      <c r="N983" t="str">
        <f t="shared" si="15"/>
        <v>INDUSTRIAL LAUNDERERS (7218)</v>
      </c>
    </row>
    <row r="984" spans="1:14" x14ac:dyDescent="0.45">
      <c r="A984" s="4">
        <v>7219</v>
      </c>
      <c r="B984" t="s">
        <v>1166</v>
      </c>
      <c r="C984" t="s">
        <v>1159</v>
      </c>
      <c r="D984" t="s">
        <v>1157</v>
      </c>
      <c r="E984" t="s">
        <v>1151</v>
      </c>
      <c r="F984" t="s">
        <v>35</v>
      </c>
      <c r="G984">
        <v>37</v>
      </c>
      <c r="H984">
        <v>4.0500000000000001E-2</v>
      </c>
      <c r="I984" t="s">
        <v>1413</v>
      </c>
      <c r="J984" s="2" t="s">
        <v>2142</v>
      </c>
      <c r="K984">
        <v>1</v>
      </c>
      <c r="L984">
        <v>1</v>
      </c>
      <c r="M984" t="s">
        <v>18</v>
      </c>
      <c r="N984" t="str">
        <f t="shared" si="15"/>
        <v>LAUNDRY AND GARMENT SERVICES, NEC (7219)</v>
      </c>
    </row>
    <row r="985" spans="1:14" x14ac:dyDescent="0.45">
      <c r="A985" s="4">
        <v>7221</v>
      </c>
      <c r="B985" t="s">
        <v>1167</v>
      </c>
      <c r="C985" t="s">
        <v>1167</v>
      </c>
      <c r="D985" t="s">
        <v>1157</v>
      </c>
      <c r="E985" t="s">
        <v>1151</v>
      </c>
      <c r="F985" t="s">
        <v>35</v>
      </c>
      <c r="G985">
        <v>37</v>
      </c>
      <c r="H985">
        <v>4.0500000000000001E-2</v>
      </c>
      <c r="I985" t="s">
        <v>1413</v>
      </c>
      <c r="J985" s="2" t="s">
        <v>2142</v>
      </c>
      <c r="K985">
        <v>1</v>
      </c>
      <c r="L985">
        <v>1</v>
      </c>
      <c r="M985" t="s">
        <v>18</v>
      </c>
      <c r="N985" t="str">
        <f t="shared" si="15"/>
        <v>PHOTOGRAPHIC STUDIOS, PORTRAIT (7221)</v>
      </c>
    </row>
    <row r="986" spans="1:14" x14ac:dyDescent="0.45">
      <c r="A986" s="4">
        <v>7231</v>
      </c>
      <c r="B986" t="s">
        <v>1168</v>
      </c>
      <c r="C986" t="s">
        <v>1168</v>
      </c>
      <c r="D986" t="s">
        <v>1157</v>
      </c>
      <c r="E986" t="s">
        <v>1151</v>
      </c>
      <c r="F986" t="s">
        <v>35</v>
      </c>
      <c r="G986">
        <v>37</v>
      </c>
      <c r="H986">
        <v>4.0500000000000001E-2</v>
      </c>
      <c r="I986" t="s">
        <v>1413</v>
      </c>
      <c r="J986" s="2" t="s">
        <v>2142</v>
      </c>
      <c r="K986">
        <v>1</v>
      </c>
      <c r="L986">
        <v>1</v>
      </c>
      <c r="M986" t="s">
        <v>18</v>
      </c>
      <c r="N986" t="str">
        <f t="shared" si="15"/>
        <v>BEAUTY SHOPS (7231)</v>
      </c>
    </row>
    <row r="987" spans="1:14" x14ac:dyDescent="0.45">
      <c r="A987" s="4">
        <v>7241</v>
      </c>
      <c r="B987" t="s">
        <v>1169</v>
      </c>
      <c r="C987" t="s">
        <v>1169</v>
      </c>
      <c r="D987" t="s">
        <v>1157</v>
      </c>
      <c r="E987" t="s">
        <v>1151</v>
      </c>
      <c r="F987" t="s">
        <v>35</v>
      </c>
      <c r="G987">
        <v>37</v>
      </c>
      <c r="H987">
        <v>4.0500000000000001E-2</v>
      </c>
      <c r="I987" t="s">
        <v>1413</v>
      </c>
      <c r="J987" s="2" t="s">
        <v>2142</v>
      </c>
      <c r="K987">
        <v>1</v>
      </c>
      <c r="L987">
        <v>1</v>
      </c>
      <c r="M987" t="s">
        <v>18</v>
      </c>
      <c r="N987" t="str">
        <f t="shared" si="15"/>
        <v>BARBER SHOPS (7241)</v>
      </c>
    </row>
    <row r="988" spans="1:14" x14ac:dyDescent="0.45">
      <c r="A988" s="4">
        <v>7251</v>
      </c>
      <c r="B988" t="s">
        <v>1170</v>
      </c>
      <c r="C988" t="s">
        <v>1170</v>
      </c>
      <c r="D988" t="s">
        <v>1157</v>
      </c>
      <c r="E988" t="s">
        <v>1151</v>
      </c>
      <c r="F988" t="s">
        <v>35</v>
      </c>
      <c r="G988">
        <v>37</v>
      </c>
      <c r="H988">
        <v>4.0500000000000001E-2</v>
      </c>
      <c r="I988" t="s">
        <v>1413</v>
      </c>
      <c r="J988" s="2" t="s">
        <v>2142</v>
      </c>
      <c r="K988">
        <v>1</v>
      </c>
      <c r="L988">
        <v>1</v>
      </c>
      <c r="M988" t="s">
        <v>18</v>
      </c>
      <c r="N988" t="str">
        <f t="shared" si="15"/>
        <v>SHOE REPAIR AND SHOESHINE PARLORS (7251)</v>
      </c>
    </row>
    <row r="989" spans="1:14" x14ac:dyDescent="0.45">
      <c r="A989" s="4">
        <v>7261</v>
      </c>
      <c r="B989" t="s">
        <v>1171</v>
      </c>
      <c r="C989" t="s">
        <v>1171</v>
      </c>
      <c r="D989" t="s">
        <v>1157</v>
      </c>
      <c r="E989" t="s">
        <v>1151</v>
      </c>
      <c r="F989" t="s">
        <v>35</v>
      </c>
      <c r="G989">
        <v>37</v>
      </c>
      <c r="H989">
        <v>4.0500000000000001E-2</v>
      </c>
      <c r="I989" t="s">
        <v>1413</v>
      </c>
      <c r="J989" s="2" t="s">
        <v>2142</v>
      </c>
      <c r="K989">
        <v>1</v>
      </c>
      <c r="L989">
        <v>1</v>
      </c>
      <c r="M989" t="s">
        <v>18</v>
      </c>
      <c r="N989" t="str">
        <f t="shared" si="15"/>
        <v>FUNERAL SERVICE AND CREMATORIES (7261)</v>
      </c>
    </row>
    <row r="990" spans="1:14" x14ac:dyDescent="0.45">
      <c r="A990" s="4">
        <v>7291</v>
      </c>
      <c r="B990" t="s">
        <v>1172</v>
      </c>
      <c r="C990" t="s">
        <v>1173</v>
      </c>
      <c r="D990" t="s">
        <v>1157</v>
      </c>
      <c r="E990" t="s">
        <v>1151</v>
      </c>
      <c r="F990" t="s">
        <v>35</v>
      </c>
      <c r="G990">
        <v>37</v>
      </c>
      <c r="H990">
        <v>4.0500000000000001E-2</v>
      </c>
      <c r="I990" t="s">
        <v>1413</v>
      </c>
      <c r="J990" s="2" t="s">
        <v>2142</v>
      </c>
      <c r="K990">
        <v>1</v>
      </c>
      <c r="L990">
        <v>1</v>
      </c>
      <c r="M990" t="s">
        <v>18</v>
      </c>
      <c r="N990" t="str">
        <f t="shared" si="15"/>
        <v>TAX RETURN PREPARATION SERVICES (7291)</v>
      </c>
    </row>
    <row r="991" spans="1:14" x14ac:dyDescent="0.45">
      <c r="A991" s="4">
        <v>7299</v>
      </c>
      <c r="B991" t="s">
        <v>1173</v>
      </c>
      <c r="C991" t="s">
        <v>1173</v>
      </c>
      <c r="D991" t="s">
        <v>1157</v>
      </c>
      <c r="E991" t="s">
        <v>1151</v>
      </c>
      <c r="F991" t="s">
        <v>35</v>
      </c>
      <c r="G991">
        <v>37</v>
      </c>
      <c r="H991">
        <v>4.0500000000000001E-2</v>
      </c>
      <c r="I991" t="s">
        <v>1413</v>
      </c>
      <c r="J991" s="2" t="s">
        <v>2142</v>
      </c>
      <c r="K991">
        <v>1</v>
      </c>
      <c r="L991">
        <v>1</v>
      </c>
      <c r="M991" t="s">
        <v>18</v>
      </c>
      <c r="N991" t="str">
        <f t="shared" si="15"/>
        <v>MISCELLANEOUS PERSONAL SERVICES (7299)</v>
      </c>
    </row>
    <row r="992" spans="1:14" x14ac:dyDescent="0.45">
      <c r="A992" s="4">
        <v>7310</v>
      </c>
      <c r="B992" t="s">
        <v>1174</v>
      </c>
      <c r="C992" t="s">
        <v>1174</v>
      </c>
      <c r="D992" t="s">
        <v>1175</v>
      </c>
      <c r="E992" t="s">
        <v>1151</v>
      </c>
      <c r="F992" t="s">
        <v>35</v>
      </c>
      <c r="G992">
        <v>37</v>
      </c>
      <c r="H992">
        <v>4.0500000000000001E-2</v>
      </c>
      <c r="I992" t="s">
        <v>1413</v>
      </c>
      <c r="J992" s="2" t="s">
        <v>2142</v>
      </c>
      <c r="K992">
        <v>1</v>
      </c>
      <c r="L992">
        <v>1</v>
      </c>
      <c r="M992" t="s">
        <v>18</v>
      </c>
      <c r="N992" t="str">
        <f t="shared" si="15"/>
        <v>ADVERTISING (7310)</v>
      </c>
    </row>
    <row r="993" spans="1:14" x14ac:dyDescent="0.45">
      <c r="A993" s="4">
        <v>7311</v>
      </c>
      <c r="B993" t="s">
        <v>1176</v>
      </c>
      <c r="C993" t="s">
        <v>1174</v>
      </c>
      <c r="D993" t="s">
        <v>1175</v>
      </c>
      <c r="E993" t="s">
        <v>1151</v>
      </c>
      <c r="F993" t="s">
        <v>35</v>
      </c>
      <c r="G993">
        <v>37</v>
      </c>
      <c r="H993">
        <v>4.0500000000000001E-2</v>
      </c>
      <c r="I993" t="s">
        <v>1413</v>
      </c>
      <c r="J993" s="2" t="s">
        <v>2142</v>
      </c>
      <c r="K993">
        <v>1</v>
      </c>
      <c r="L993">
        <v>1</v>
      </c>
      <c r="M993" t="s">
        <v>18</v>
      </c>
      <c r="N993" t="str">
        <f t="shared" si="15"/>
        <v>ADVERTISING AGENCIES (7311)</v>
      </c>
    </row>
    <row r="994" spans="1:14" x14ac:dyDescent="0.45">
      <c r="A994" s="4">
        <v>7312</v>
      </c>
      <c r="B994" t="s">
        <v>1177</v>
      </c>
      <c r="C994" t="s">
        <v>1174</v>
      </c>
      <c r="D994" t="s">
        <v>1175</v>
      </c>
      <c r="E994" t="s">
        <v>1151</v>
      </c>
      <c r="F994" t="s">
        <v>35</v>
      </c>
      <c r="G994">
        <v>37</v>
      </c>
      <c r="H994">
        <v>4.0500000000000001E-2</v>
      </c>
      <c r="I994" t="s">
        <v>1413</v>
      </c>
      <c r="J994" s="2" t="s">
        <v>2142</v>
      </c>
      <c r="K994">
        <v>1</v>
      </c>
      <c r="L994">
        <v>1</v>
      </c>
      <c r="M994" t="s">
        <v>18</v>
      </c>
      <c r="N994" t="str">
        <f t="shared" si="15"/>
        <v>OUTDOOR ADVERTISING SERVICES (7312)</v>
      </c>
    </row>
    <row r="995" spans="1:14" x14ac:dyDescent="0.45">
      <c r="A995" s="4">
        <v>7313</v>
      </c>
      <c r="B995" t="s">
        <v>1178</v>
      </c>
      <c r="C995" t="s">
        <v>1174</v>
      </c>
      <c r="D995" t="s">
        <v>1175</v>
      </c>
      <c r="E995" t="s">
        <v>1151</v>
      </c>
      <c r="F995" t="s">
        <v>35</v>
      </c>
      <c r="G995">
        <v>37</v>
      </c>
      <c r="H995">
        <v>4.0500000000000001E-2</v>
      </c>
      <c r="I995" t="s">
        <v>1413</v>
      </c>
      <c r="J995" s="2" t="s">
        <v>2142</v>
      </c>
      <c r="K995">
        <v>1</v>
      </c>
      <c r="L995">
        <v>1</v>
      </c>
      <c r="M995" t="s">
        <v>18</v>
      </c>
      <c r="N995" t="str">
        <f t="shared" si="15"/>
        <v>RADIO, TELEVISION, PUBLISHER REPRESENTATIVES (7313)</v>
      </c>
    </row>
    <row r="996" spans="1:14" x14ac:dyDescent="0.45">
      <c r="A996" s="4">
        <v>7319</v>
      </c>
      <c r="B996" t="s">
        <v>1179</v>
      </c>
      <c r="C996" t="s">
        <v>1174</v>
      </c>
      <c r="D996" t="s">
        <v>1175</v>
      </c>
      <c r="E996" t="s">
        <v>1151</v>
      </c>
      <c r="F996" t="s">
        <v>35</v>
      </c>
      <c r="G996">
        <v>37</v>
      </c>
      <c r="H996">
        <v>4.0500000000000001E-2</v>
      </c>
      <c r="I996" t="s">
        <v>1413</v>
      </c>
      <c r="J996" s="2" t="s">
        <v>2142</v>
      </c>
      <c r="K996">
        <v>1</v>
      </c>
      <c r="L996">
        <v>1</v>
      </c>
      <c r="M996" t="s">
        <v>18</v>
      </c>
      <c r="N996" t="str">
        <f t="shared" si="15"/>
        <v>ADVERTISING, NEC (7319)</v>
      </c>
    </row>
    <row r="997" spans="1:14" x14ac:dyDescent="0.45">
      <c r="A997" s="4">
        <v>7320</v>
      </c>
      <c r="B997" t="s">
        <v>1180</v>
      </c>
      <c r="C997" t="s">
        <v>1180</v>
      </c>
      <c r="D997" t="s">
        <v>1175</v>
      </c>
      <c r="E997" t="s">
        <v>1151</v>
      </c>
      <c r="F997" t="s">
        <v>35</v>
      </c>
      <c r="G997">
        <v>37</v>
      </c>
      <c r="H997">
        <v>4.0500000000000001E-2</v>
      </c>
      <c r="I997" t="s">
        <v>1413</v>
      </c>
      <c r="J997" s="2" t="s">
        <v>2142</v>
      </c>
      <c r="K997">
        <v>1</v>
      </c>
      <c r="L997">
        <v>1</v>
      </c>
      <c r="M997" t="s">
        <v>18</v>
      </c>
      <c r="N997" t="str">
        <f t="shared" si="15"/>
        <v>CREDIT REPORTING AND COLLECTION (7320)</v>
      </c>
    </row>
    <row r="998" spans="1:14" x14ac:dyDescent="0.45">
      <c r="A998" s="4">
        <v>7322</v>
      </c>
      <c r="B998" t="s">
        <v>1181</v>
      </c>
      <c r="C998" t="s">
        <v>1180</v>
      </c>
      <c r="D998" t="s">
        <v>1175</v>
      </c>
      <c r="E998" t="s">
        <v>1151</v>
      </c>
      <c r="F998" t="s">
        <v>35</v>
      </c>
      <c r="G998">
        <v>37</v>
      </c>
      <c r="H998">
        <v>4.0500000000000001E-2</v>
      </c>
      <c r="I998" t="s">
        <v>1413</v>
      </c>
      <c r="J998" s="2" t="s">
        <v>2142</v>
      </c>
      <c r="K998">
        <v>1</v>
      </c>
      <c r="L998">
        <v>1</v>
      </c>
      <c r="M998" t="s">
        <v>18</v>
      </c>
      <c r="N998" t="str">
        <f t="shared" si="15"/>
        <v>ADJUSTMENT AND COLLECTION SERVICES (7322)</v>
      </c>
    </row>
    <row r="999" spans="1:14" x14ac:dyDescent="0.45">
      <c r="A999" s="4">
        <v>7323</v>
      </c>
      <c r="B999" t="s">
        <v>1182</v>
      </c>
      <c r="C999" t="s">
        <v>1180</v>
      </c>
      <c r="D999" t="s">
        <v>1175</v>
      </c>
      <c r="E999" t="s">
        <v>1151</v>
      </c>
      <c r="F999" t="s">
        <v>35</v>
      </c>
      <c r="G999">
        <v>37</v>
      </c>
      <c r="H999">
        <v>4.0500000000000001E-2</v>
      </c>
      <c r="I999" t="s">
        <v>1413</v>
      </c>
      <c r="J999" s="2" t="s">
        <v>2142</v>
      </c>
      <c r="K999">
        <v>1</v>
      </c>
      <c r="L999">
        <v>1</v>
      </c>
      <c r="M999" t="s">
        <v>18</v>
      </c>
      <c r="N999" t="str">
        <f t="shared" si="15"/>
        <v>CREDIT REPORTING SERVICES (7323)</v>
      </c>
    </row>
    <row r="1000" spans="1:14" x14ac:dyDescent="0.45">
      <c r="A1000" s="4">
        <v>7330</v>
      </c>
      <c r="B1000" t="s">
        <v>1183</v>
      </c>
      <c r="C1000" t="s">
        <v>1183</v>
      </c>
      <c r="D1000" t="s">
        <v>1175</v>
      </c>
      <c r="E1000" t="s">
        <v>1151</v>
      </c>
      <c r="F1000" t="s">
        <v>35</v>
      </c>
      <c r="G1000">
        <v>37</v>
      </c>
      <c r="H1000">
        <v>4.0500000000000001E-2</v>
      </c>
      <c r="I1000" t="s">
        <v>1413</v>
      </c>
      <c r="J1000" s="2" t="s">
        <v>2142</v>
      </c>
      <c r="K1000">
        <v>1</v>
      </c>
      <c r="L1000">
        <v>1</v>
      </c>
      <c r="M1000" t="s">
        <v>18</v>
      </c>
      <c r="N1000" t="str">
        <f t="shared" si="15"/>
        <v>MAILING, REPRODUCTION, STENOGRAPHIC (7330)</v>
      </c>
    </row>
    <row r="1001" spans="1:14" x14ac:dyDescent="0.45">
      <c r="A1001" s="4">
        <v>7331</v>
      </c>
      <c r="B1001" t="s">
        <v>1184</v>
      </c>
      <c r="C1001" t="s">
        <v>1183</v>
      </c>
      <c r="D1001" t="s">
        <v>1175</v>
      </c>
      <c r="E1001" t="s">
        <v>1151</v>
      </c>
      <c r="F1001" t="s">
        <v>35</v>
      </c>
      <c r="G1001">
        <v>37</v>
      </c>
      <c r="H1001">
        <v>4.0500000000000001E-2</v>
      </c>
      <c r="I1001" t="s">
        <v>1413</v>
      </c>
      <c r="J1001" s="2" t="s">
        <v>2142</v>
      </c>
      <c r="K1001">
        <v>1</v>
      </c>
      <c r="L1001">
        <v>1</v>
      </c>
      <c r="M1001" t="s">
        <v>18</v>
      </c>
      <c r="N1001" t="str">
        <f t="shared" si="15"/>
        <v>DIRECT MAIL ADVERTISING SERVICES (7331)</v>
      </c>
    </row>
    <row r="1002" spans="1:14" x14ac:dyDescent="0.45">
      <c r="A1002" s="4">
        <v>7334</v>
      </c>
      <c r="B1002" t="s">
        <v>1185</v>
      </c>
      <c r="C1002" t="s">
        <v>1183</v>
      </c>
      <c r="D1002" t="s">
        <v>1175</v>
      </c>
      <c r="E1002" t="s">
        <v>1151</v>
      </c>
      <c r="F1002" t="s">
        <v>35</v>
      </c>
      <c r="G1002">
        <v>37</v>
      </c>
      <c r="H1002">
        <v>4.0500000000000001E-2</v>
      </c>
      <c r="I1002" t="s">
        <v>1413</v>
      </c>
      <c r="J1002" s="2" t="s">
        <v>2142</v>
      </c>
      <c r="K1002">
        <v>1</v>
      </c>
      <c r="L1002">
        <v>1</v>
      </c>
      <c r="M1002" t="s">
        <v>18</v>
      </c>
      <c r="N1002" t="str">
        <f t="shared" si="15"/>
        <v>PHOTOCOPYING AND DUPLICATING SERVICES (7334)</v>
      </c>
    </row>
    <row r="1003" spans="1:14" x14ac:dyDescent="0.45">
      <c r="A1003" s="4">
        <v>7335</v>
      </c>
      <c r="B1003" t="s">
        <v>1186</v>
      </c>
      <c r="C1003" t="s">
        <v>1183</v>
      </c>
      <c r="D1003" t="s">
        <v>1175</v>
      </c>
      <c r="E1003" t="s">
        <v>1151</v>
      </c>
      <c r="F1003" t="s">
        <v>35</v>
      </c>
      <c r="G1003">
        <v>37</v>
      </c>
      <c r="H1003">
        <v>4.0500000000000001E-2</v>
      </c>
      <c r="I1003" t="s">
        <v>1413</v>
      </c>
      <c r="J1003" s="2" t="s">
        <v>2142</v>
      </c>
      <c r="K1003">
        <v>1</v>
      </c>
      <c r="L1003">
        <v>1</v>
      </c>
      <c r="M1003" t="s">
        <v>18</v>
      </c>
      <c r="N1003" t="str">
        <f t="shared" si="15"/>
        <v>COMMERCIAL PHOTOGRAPHY (7335)</v>
      </c>
    </row>
    <row r="1004" spans="1:14" x14ac:dyDescent="0.45">
      <c r="A1004" s="4">
        <v>7336</v>
      </c>
      <c r="B1004" t="s">
        <v>1187</v>
      </c>
      <c r="C1004" t="s">
        <v>1183</v>
      </c>
      <c r="D1004" t="s">
        <v>1175</v>
      </c>
      <c r="E1004" t="s">
        <v>1151</v>
      </c>
      <c r="F1004" t="s">
        <v>35</v>
      </c>
      <c r="G1004">
        <v>37</v>
      </c>
      <c r="H1004">
        <v>4.0500000000000001E-2</v>
      </c>
      <c r="I1004" t="s">
        <v>1413</v>
      </c>
      <c r="J1004" s="2" t="s">
        <v>2142</v>
      </c>
      <c r="K1004">
        <v>1</v>
      </c>
      <c r="L1004">
        <v>1</v>
      </c>
      <c r="M1004" t="s">
        <v>18</v>
      </c>
      <c r="N1004" t="str">
        <f t="shared" si="15"/>
        <v>COMMERCIAL ART AND GRAPHIC DESIGN (7336)</v>
      </c>
    </row>
    <row r="1005" spans="1:14" x14ac:dyDescent="0.45">
      <c r="A1005" s="4">
        <v>7338</v>
      </c>
      <c r="B1005" t="s">
        <v>1188</v>
      </c>
      <c r="C1005" t="s">
        <v>1183</v>
      </c>
      <c r="D1005" t="s">
        <v>1175</v>
      </c>
      <c r="E1005" t="s">
        <v>1151</v>
      </c>
      <c r="F1005" t="s">
        <v>35</v>
      </c>
      <c r="G1005">
        <v>37</v>
      </c>
      <c r="H1005">
        <v>4.0500000000000001E-2</v>
      </c>
      <c r="I1005" t="s">
        <v>1413</v>
      </c>
      <c r="J1005" s="2" t="s">
        <v>2142</v>
      </c>
      <c r="K1005">
        <v>1</v>
      </c>
      <c r="L1005">
        <v>1</v>
      </c>
      <c r="M1005" t="s">
        <v>18</v>
      </c>
      <c r="N1005" t="str">
        <f t="shared" si="15"/>
        <v>SECRETARIAL AND COURT REPORTING (7338)</v>
      </c>
    </row>
    <row r="1006" spans="1:14" x14ac:dyDescent="0.45">
      <c r="A1006" s="4">
        <v>7340</v>
      </c>
      <c r="B1006" t="s">
        <v>1189</v>
      </c>
      <c r="C1006" t="s">
        <v>1189</v>
      </c>
      <c r="D1006" t="s">
        <v>1175</v>
      </c>
      <c r="E1006" t="s">
        <v>1151</v>
      </c>
      <c r="F1006" t="s">
        <v>35</v>
      </c>
      <c r="G1006">
        <v>37</v>
      </c>
      <c r="H1006">
        <v>4.0500000000000001E-2</v>
      </c>
      <c r="I1006" t="s">
        <v>1413</v>
      </c>
      <c r="J1006" s="2" t="s">
        <v>2142</v>
      </c>
      <c r="K1006">
        <v>1</v>
      </c>
      <c r="L1006">
        <v>1</v>
      </c>
      <c r="M1006" t="s">
        <v>18</v>
      </c>
      <c r="N1006" t="str">
        <f t="shared" si="15"/>
        <v>SSERVICES TO BUILDINGS (7340)</v>
      </c>
    </row>
    <row r="1007" spans="1:14" x14ac:dyDescent="0.45">
      <c r="A1007" s="4">
        <v>7342</v>
      </c>
      <c r="B1007" t="s">
        <v>1190</v>
      </c>
      <c r="C1007" t="s">
        <v>1189</v>
      </c>
      <c r="D1007" t="s">
        <v>1175</v>
      </c>
      <c r="E1007" t="s">
        <v>1151</v>
      </c>
      <c r="F1007" t="s">
        <v>35</v>
      </c>
      <c r="G1007">
        <v>37</v>
      </c>
      <c r="H1007">
        <v>4.0500000000000001E-2</v>
      </c>
      <c r="I1007" t="s">
        <v>1413</v>
      </c>
      <c r="J1007" s="2" t="s">
        <v>2142</v>
      </c>
      <c r="K1007">
        <v>1</v>
      </c>
      <c r="L1007">
        <v>1</v>
      </c>
      <c r="M1007" t="s">
        <v>18</v>
      </c>
      <c r="N1007" t="str">
        <f t="shared" si="15"/>
        <v>DISINFECTING AND PEST CONTROL SERVICES (7342)</v>
      </c>
    </row>
    <row r="1008" spans="1:14" x14ac:dyDescent="0.45">
      <c r="A1008" s="4">
        <v>7349</v>
      </c>
      <c r="B1008" t="s">
        <v>1191</v>
      </c>
      <c r="C1008" t="s">
        <v>1189</v>
      </c>
      <c r="D1008" t="s">
        <v>1175</v>
      </c>
      <c r="E1008" t="s">
        <v>1151</v>
      </c>
      <c r="F1008" t="s">
        <v>35</v>
      </c>
      <c r="G1008">
        <v>37</v>
      </c>
      <c r="H1008">
        <v>4.0500000000000001E-2</v>
      </c>
      <c r="I1008" t="s">
        <v>1413</v>
      </c>
      <c r="J1008" s="2" t="s">
        <v>2142</v>
      </c>
      <c r="K1008">
        <v>1</v>
      </c>
      <c r="L1008">
        <v>1</v>
      </c>
      <c r="M1008" t="s">
        <v>18</v>
      </c>
      <c r="N1008" t="str">
        <f t="shared" si="15"/>
        <v>BUILDING MAINTENANCE SERVICES, NEC (7349)</v>
      </c>
    </row>
    <row r="1009" spans="1:14" x14ac:dyDescent="0.45">
      <c r="A1009" s="4">
        <v>7350</v>
      </c>
      <c r="B1009" t="s">
        <v>1192</v>
      </c>
      <c r="C1009" t="s">
        <v>1192</v>
      </c>
      <c r="D1009" t="s">
        <v>1175</v>
      </c>
      <c r="E1009" t="s">
        <v>1151</v>
      </c>
      <c r="F1009" t="s">
        <v>35</v>
      </c>
      <c r="G1009">
        <v>37</v>
      </c>
      <c r="H1009">
        <v>4.0500000000000001E-2</v>
      </c>
      <c r="I1009" t="s">
        <v>1413</v>
      </c>
      <c r="J1009" s="2" t="s">
        <v>2142</v>
      </c>
      <c r="K1009">
        <v>1</v>
      </c>
      <c r="L1009">
        <v>1</v>
      </c>
      <c r="M1009" t="s">
        <v>18</v>
      </c>
      <c r="N1009" t="str">
        <f t="shared" si="15"/>
        <v>MISCELLANEOUS EQUIPMENT RENTAL &amp; LEASING (7350)</v>
      </c>
    </row>
    <row r="1010" spans="1:14" x14ac:dyDescent="0.45">
      <c r="A1010" s="4">
        <v>7352</v>
      </c>
      <c r="B1010" t="s">
        <v>1193</v>
      </c>
      <c r="C1010" t="s">
        <v>1192</v>
      </c>
      <c r="D1010" t="s">
        <v>1175</v>
      </c>
      <c r="E1010" t="s">
        <v>1151</v>
      </c>
      <c r="F1010" t="s">
        <v>35</v>
      </c>
      <c r="G1010">
        <v>37</v>
      </c>
      <c r="H1010">
        <v>4.0500000000000001E-2</v>
      </c>
      <c r="I1010" t="s">
        <v>1413</v>
      </c>
      <c r="J1010" s="2" t="s">
        <v>2142</v>
      </c>
      <c r="K1010">
        <v>1</v>
      </c>
      <c r="L1010">
        <v>1</v>
      </c>
      <c r="M1010" t="s">
        <v>18</v>
      </c>
      <c r="N1010" t="str">
        <f t="shared" si="15"/>
        <v>MEDICAL EQUIPMENT RENTAL (7352)</v>
      </c>
    </row>
    <row r="1011" spans="1:14" x14ac:dyDescent="0.45">
      <c r="A1011" s="4">
        <v>7353</v>
      </c>
      <c r="B1011" t="s">
        <v>1194</v>
      </c>
      <c r="C1011" t="s">
        <v>1192</v>
      </c>
      <c r="D1011" t="s">
        <v>1175</v>
      </c>
      <c r="E1011" t="s">
        <v>1151</v>
      </c>
      <c r="F1011" t="s">
        <v>35</v>
      </c>
      <c r="G1011">
        <v>37</v>
      </c>
      <c r="H1011">
        <v>4.0500000000000001E-2</v>
      </c>
      <c r="I1011" t="s">
        <v>1413</v>
      </c>
      <c r="J1011" s="2" t="s">
        <v>2142</v>
      </c>
      <c r="K1011">
        <v>1</v>
      </c>
      <c r="L1011">
        <v>1</v>
      </c>
      <c r="M1011" t="s">
        <v>18</v>
      </c>
      <c r="N1011" t="str">
        <f t="shared" si="15"/>
        <v>HEAVY CONSTRUCTION EQUIPMENT RENTAL (7353)</v>
      </c>
    </row>
    <row r="1012" spans="1:14" x14ac:dyDescent="0.45">
      <c r="A1012" s="4">
        <v>7359</v>
      </c>
      <c r="B1012" t="s">
        <v>1195</v>
      </c>
      <c r="C1012" t="s">
        <v>1192</v>
      </c>
      <c r="D1012" t="s">
        <v>1175</v>
      </c>
      <c r="E1012" t="s">
        <v>1151</v>
      </c>
      <c r="F1012" t="s">
        <v>35</v>
      </c>
      <c r="G1012">
        <v>37</v>
      </c>
      <c r="H1012">
        <v>4.0500000000000001E-2</v>
      </c>
      <c r="I1012" t="s">
        <v>1413</v>
      </c>
      <c r="J1012" s="2" t="s">
        <v>2142</v>
      </c>
      <c r="K1012">
        <v>1</v>
      </c>
      <c r="L1012">
        <v>1</v>
      </c>
      <c r="M1012" t="s">
        <v>18</v>
      </c>
      <c r="N1012" t="str">
        <f t="shared" si="15"/>
        <v>EQUIPMENT RENTAL AND LEASING, NEC (7359)</v>
      </c>
    </row>
    <row r="1013" spans="1:14" x14ac:dyDescent="0.45">
      <c r="A1013" s="4">
        <v>7361</v>
      </c>
      <c r="B1013" t="s">
        <v>1196</v>
      </c>
      <c r="C1013" t="s">
        <v>1197</v>
      </c>
      <c r="D1013" t="s">
        <v>1175</v>
      </c>
      <c r="E1013" t="s">
        <v>1151</v>
      </c>
      <c r="F1013" t="s">
        <v>35</v>
      </c>
      <c r="G1013">
        <v>37</v>
      </c>
      <c r="H1013">
        <v>4.0500000000000001E-2</v>
      </c>
      <c r="I1013" t="s">
        <v>1413</v>
      </c>
      <c r="J1013" s="2" t="s">
        <v>2142</v>
      </c>
      <c r="K1013">
        <v>1</v>
      </c>
      <c r="L1013">
        <v>1</v>
      </c>
      <c r="M1013" t="s">
        <v>18</v>
      </c>
      <c r="N1013" t="str">
        <f t="shared" si="15"/>
        <v>EMPLOYMENT AGENCIES (7361)</v>
      </c>
    </row>
    <row r="1014" spans="1:14" x14ac:dyDescent="0.45">
      <c r="A1014" s="4">
        <v>7363</v>
      </c>
      <c r="B1014" t="s">
        <v>1198</v>
      </c>
      <c r="C1014" t="s">
        <v>1197</v>
      </c>
      <c r="D1014" t="s">
        <v>1175</v>
      </c>
      <c r="E1014" t="s">
        <v>1151</v>
      </c>
      <c r="F1014" t="s">
        <v>35</v>
      </c>
      <c r="G1014">
        <v>37</v>
      </c>
      <c r="H1014">
        <v>4.0500000000000001E-2</v>
      </c>
      <c r="I1014" t="s">
        <v>1413</v>
      </c>
      <c r="J1014" s="2" t="s">
        <v>2142</v>
      </c>
      <c r="K1014">
        <v>1</v>
      </c>
      <c r="L1014">
        <v>1</v>
      </c>
      <c r="M1014" t="s">
        <v>18</v>
      </c>
      <c r="N1014" t="str">
        <f t="shared" si="15"/>
        <v>HELP SUPPLY SERVICES (7363)</v>
      </c>
    </row>
    <row r="1015" spans="1:14" x14ac:dyDescent="0.45">
      <c r="A1015" s="4">
        <v>7370</v>
      </c>
      <c r="B1015" t="s">
        <v>1199</v>
      </c>
      <c r="C1015" t="s">
        <v>1199</v>
      </c>
      <c r="D1015" t="s">
        <v>1175</v>
      </c>
      <c r="E1015" t="s">
        <v>1151</v>
      </c>
      <c r="F1015" t="s">
        <v>14</v>
      </c>
      <c r="G1015">
        <v>39</v>
      </c>
      <c r="H1015">
        <v>3.6499999999999998E-2</v>
      </c>
      <c r="I1015" t="s">
        <v>1413</v>
      </c>
      <c r="J1015" s="2" t="s">
        <v>2143</v>
      </c>
      <c r="K1015">
        <v>1</v>
      </c>
      <c r="L1015">
        <v>1</v>
      </c>
      <c r="M1015" t="s">
        <v>18</v>
      </c>
      <c r="N1015" t="str">
        <f t="shared" si="15"/>
        <v>COMPUTER AND DATA PROCESSING SERVICES (7370)</v>
      </c>
    </row>
    <row r="1016" spans="1:14" x14ac:dyDescent="0.45">
      <c r="A1016" s="4">
        <v>7371</v>
      </c>
      <c r="B1016" t="s">
        <v>1200</v>
      </c>
      <c r="C1016" t="s">
        <v>1199</v>
      </c>
      <c r="D1016" t="s">
        <v>1175</v>
      </c>
      <c r="E1016" t="s">
        <v>1151</v>
      </c>
      <c r="F1016" t="s">
        <v>14</v>
      </c>
      <c r="G1016">
        <v>39</v>
      </c>
      <c r="H1016">
        <v>3.6499999999999998E-2</v>
      </c>
      <c r="I1016" t="s">
        <v>1413</v>
      </c>
      <c r="J1016" s="2" t="s">
        <v>2143</v>
      </c>
      <c r="K1016">
        <v>1</v>
      </c>
      <c r="L1016">
        <v>1</v>
      </c>
      <c r="M1016" t="s">
        <v>18</v>
      </c>
      <c r="N1016" t="str">
        <f t="shared" si="15"/>
        <v>CUSTOM COMPUTER PROGRAMMING SERVICES (7371)</v>
      </c>
    </row>
    <row r="1017" spans="1:14" x14ac:dyDescent="0.45">
      <c r="A1017" s="4">
        <v>7372</v>
      </c>
      <c r="B1017" t="s">
        <v>30</v>
      </c>
      <c r="C1017" t="s">
        <v>1199</v>
      </c>
      <c r="D1017" t="s">
        <v>1175</v>
      </c>
      <c r="E1017" t="s">
        <v>1151</v>
      </c>
      <c r="F1017" t="s">
        <v>30</v>
      </c>
      <c r="G1017">
        <v>10</v>
      </c>
      <c r="H1017">
        <v>3.708030088786772E-2</v>
      </c>
      <c r="I1017" t="s">
        <v>1413</v>
      </c>
      <c r="J1017" s="2" t="s">
        <v>2144</v>
      </c>
      <c r="K1017">
        <v>1</v>
      </c>
      <c r="L1017">
        <v>1</v>
      </c>
      <c r="M1017" t="s">
        <v>18</v>
      </c>
      <c r="N1017" t="str">
        <f t="shared" si="15"/>
        <v>PREPACKAGED SOFTWARE (7372)</v>
      </c>
    </row>
    <row r="1018" spans="1:14" x14ac:dyDescent="0.45">
      <c r="A1018" s="4">
        <v>7373</v>
      </c>
      <c r="B1018" t="s">
        <v>1201</v>
      </c>
      <c r="C1018" t="s">
        <v>1199</v>
      </c>
      <c r="D1018" t="s">
        <v>1175</v>
      </c>
      <c r="E1018" t="s">
        <v>1151</v>
      </c>
      <c r="F1018" t="s">
        <v>14</v>
      </c>
      <c r="G1018">
        <v>39</v>
      </c>
      <c r="H1018">
        <v>3.6499999999999998E-2</v>
      </c>
      <c r="I1018" t="s">
        <v>1413</v>
      </c>
      <c r="J1018" s="2" t="s">
        <v>2143</v>
      </c>
      <c r="K1018">
        <v>1</v>
      </c>
      <c r="L1018">
        <v>1</v>
      </c>
      <c r="M1018" t="s">
        <v>18</v>
      </c>
      <c r="N1018" t="str">
        <f t="shared" si="15"/>
        <v>COMPUTER INTEGRATED SYSTEMS DESIGN (7373)</v>
      </c>
    </row>
    <row r="1019" spans="1:14" x14ac:dyDescent="0.45">
      <c r="A1019" s="4">
        <v>7374</v>
      </c>
      <c r="B1019" t="s">
        <v>1202</v>
      </c>
      <c r="C1019" t="s">
        <v>1199</v>
      </c>
      <c r="D1019" t="s">
        <v>1175</v>
      </c>
      <c r="E1019" t="s">
        <v>1151</v>
      </c>
      <c r="F1019" t="s">
        <v>14</v>
      </c>
      <c r="G1019">
        <v>39</v>
      </c>
      <c r="H1019">
        <v>3.6499999999999998E-2</v>
      </c>
      <c r="I1019" t="s">
        <v>1413</v>
      </c>
      <c r="J1019" s="2" t="s">
        <v>2143</v>
      </c>
      <c r="K1019">
        <v>1</v>
      </c>
      <c r="L1019">
        <v>1</v>
      </c>
      <c r="M1019" t="s">
        <v>18</v>
      </c>
      <c r="N1019" t="str">
        <f t="shared" si="15"/>
        <v>DATA PROCESSING AND PREPARATION (7374)</v>
      </c>
    </row>
    <row r="1020" spans="1:14" x14ac:dyDescent="0.45">
      <c r="A1020" s="4">
        <v>7375</v>
      </c>
      <c r="B1020" t="s">
        <v>1203</v>
      </c>
      <c r="C1020" t="s">
        <v>1199</v>
      </c>
      <c r="D1020" t="s">
        <v>1175</v>
      </c>
      <c r="E1020" t="s">
        <v>1151</v>
      </c>
      <c r="F1020" t="s">
        <v>14</v>
      </c>
      <c r="G1020">
        <v>39</v>
      </c>
      <c r="H1020">
        <v>3.6499999999999998E-2</v>
      </c>
      <c r="I1020" t="s">
        <v>1413</v>
      </c>
      <c r="J1020" s="2" t="s">
        <v>2143</v>
      </c>
      <c r="K1020">
        <v>1</v>
      </c>
      <c r="L1020">
        <v>1</v>
      </c>
      <c r="M1020" t="s">
        <v>18</v>
      </c>
      <c r="N1020" t="str">
        <f t="shared" si="15"/>
        <v>INFORMATION RETRIEVAL SERVICES (7375)</v>
      </c>
    </row>
    <row r="1021" spans="1:14" x14ac:dyDescent="0.45">
      <c r="A1021" s="4">
        <v>7376</v>
      </c>
      <c r="B1021" t="s">
        <v>1204</v>
      </c>
      <c r="C1021" t="s">
        <v>1199</v>
      </c>
      <c r="D1021" t="s">
        <v>1175</v>
      </c>
      <c r="E1021" t="s">
        <v>1151</v>
      </c>
      <c r="F1021" t="s">
        <v>14</v>
      </c>
      <c r="G1021">
        <v>39</v>
      </c>
      <c r="H1021">
        <v>3.6499999999999998E-2</v>
      </c>
      <c r="I1021" t="s">
        <v>1413</v>
      </c>
      <c r="J1021" s="2" t="s">
        <v>2143</v>
      </c>
      <c r="K1021">
        <v>1</v>
      </c>
      <c r="L1021">
        <v>1</v>
      </c>
      <c r="M1021" t="s">
        <v>18</v>
      </c>
      <c r="N1021" t="str">
        <f t="shared" si="15"/>
        <v>COMPUTER FACILITIES MANAGEMENT (7376)</v>
      </c>
    </row>
    <row r="1022" spans="1:14" x14ac:dyDescent="0.45">
      <c r="A1022" s="4">
        <v>7377</v>
      </c>
      <c r="B1022" t="s">
        <v>1205</v>
      </c>
      <c r="C1022" t="s">
        <v>1199</v>
      </c>
      <c r="D1022" t="s">
        <v>1175</v>
      </c>
      <c r="E1022" t="s">
        <v>1151</v>
      </c>
      <c r="F1022" t="s">
        <v>14</v>
      </c>
      <c r="G1022">
        <v>39</v>
      </c>
      <c r="H1022">
        <v>3.6499999999999998E-2</v>
      </c>
      <c r="I1022" t="s">
        <v>1413</v>
      </c>
      <c r="J1022" s="2" t="s">
        <v>2143</v>
      </c>
      <c r="K1022">
        <v>1</v>
      </c>
      <c r="L1022">
        <v>1</v>
      </c>
      <c r="M1022" t="s">
        <v>18</v>
      </c>
      <c r="N1022" t="str">
        <f t="shared" si="15"/>
        <v>COMPUTER RENTAL AND LEASING (7377)</v>
      </c>
    </row>
    <row r="1023" spans="1:14" x14ac:dyDescent="0.45">
      <c r="A1023" s="4">
        <v>7378</v>
      </c>
      <c r="B1023" t="s">
        <v>1206</v>
      </c>
      <c r="C1023" t="s">
        <v>1199</v>
      </c>
      <c r="D1023" t="s">
        <v>1175</v>
      </c>
      <c r="E1023" t="s">
        <v>1151</v>
      </c>
      <c r="F1023" t="s">
        <v>14</v>
      </c>
      <c r="G1023">
        <v>39</v>
      </c>
      <c r="H1023">
        <v>3.6499999999999998E-2</v>
      </c>
      <c r="I1023" t="s">
        <v>1413</v>
      </c>
      <c r="J1023" s="2" t="s">
        <v>2143</v>
      </c>
      <c r="K1023">
        <v>1</v>
      </c>
      <c r="L1023">
        <v>1</v>
      </c>
      <c r="M1023" t="s">
        <v>18</v>
      </c>
      <c r="N1023" t="str">
        <f t="shared" si="15"/>
        <v>COMPUTER MAINTENANCE AND REPAIR (7378)</v>
      </c>
    </row>
    <row r="1024" spans="1:14" x14ac:dyDescent="0.45">
      <c r="A1024" s="4">
        <v>7379</v>
      </c>
      <c r="B1024" t="s">
        <v>1207</v>
      </c>
      <c r="C1024" t="s">
        <v>1199</v>
      </c>
      <c r="D1024" t="s">
        <v>1175</v>
      </c>
      <c r="E1024" t="s">
        <v>1151</v>
      </c>
      <c r="F1024" t="s">
        <v>14</v>
      </c>
      <c r="G1024">
        <v>39</v>
      </c>
      <c r="H1024">
        <v>3.6499999999999998E-2</v>
      </c>
      <c r="I1024" t="s">
        <v>1413</v>
      </c>
      <c r="J1024" s="2" t="s">
        <v>2143</v>
      </c>
      <c r="K1024">
        <v>1</v>
      </c>
      <c r="L1024">
        <v>1</v>
      </c>
      <c r="M1024" t="s">
        <v>18</v>
      </c>
      <c r="N1024" t="str">
        <f t="shared" si="15"/>
        <v>COMPUTER RELATED SERVICES, NEC (7379)</v>
      </c>
    </row>
    <row r="1025" spans="1:14" x14ac:dyDescent="0.45">
      <c r="A1025" s="4">
        <v>7380</v>
      </c>
      <c r="B1025" t="s">
        <v>1208</v>
      </c>
      <c r="C1025" t="s">
        <v>1208</v>
      </c>
      <c r="D1025" t="s">
        <v>1175</v>
      </c>
      <c r="E1025" t="s">
        <v>1151</v>
      </c>
      <c r="F1025" t="s">
        <v>35</v>
      </c>
      <c r="G1025">
        <v>37</v>
      </c>
      <c r="H1025">
        <v>4.0500000000000001E-2</v>
      </c>
      <c r="I1025" t="s">
        <v>1413</v>
      </c>
      <c r="J1025" s="2" t="s">
        <v>2142</v>
      </c>
      <c r="K1025">
        <v>1</v>
      </c>
      <c r="L1025">
        <v>1</v>
      </c>
      <c r="M1025" t="s">
        <v>18</v>
      </c>
      <c r="N1025" t="str">
        <f t="shared" si="15"/>
        <v>MISCELLANEOUS BUSINESS SERVICES (7380)</v>
      </c>
    </row>
    <row r="1026" spans="1:14" x14ac:dyDescent="0.45">
      <c r="A1026" s="4">
        <v>7381</v>
      </c>
      <c r="B1026" t="s">
        <v>1209</v>
      </c>
      <c r="C1026" t="s">
        <v>1208</v>
      </c>
      <c r="D1026" t="s">
        <v>1175</v>
      </c>
      <c r="E1026" t="s">
        <v>1151</v>
      </c>
      <c r="F1026" t="s">
        <v>35</v>
      </c>
      <c r="G1026">
        <v>37</v>
      </c>
      <c r="H1026">
        <v>4.0500000000000001E-2</v>
      </c>
      <c r="I1026" t="s">
        <v>1413</v>
      </c>
      <c r="J1026" s="2" t="s">
        <v>2142</v>
      </c>
      <c r="K1026">
        <v>1</v>
      </c>
      <c r="L1026">
        <v>1</v>
      </c>
      <c r="M1026" t="s">
        <v>18</v>
      </c>
      <c r="N1026" t="str">
        <f t="shared" si="15"/>
        <v>DETECTIVE AND ARMORED CAR SERVICES (7381)</v>
      </c>
    </row>
    <row r="1027" spans="1:14" x14ac:dyDescent="0.45">
      <c r="A1027" s="4">
        <v>7382</v>
      </c>
      <c r="B1027" t="s">
        <v>1210</v>
      </c>
      <c r="C1027" t="s">
        <v>1208</v>
      </c>
      <c r="D1027" t="s">
        <v>1175</v>
      </c>
      <c r="E1027" t="s">
        <v>1151</v>
      </c>
      <c r="F1027" t="s">
        <v>35</v>
      </c>
      <c r="G1027">
        <v>37</v>
      </c>
      <c r="H1027">
        <v>4.0500000000000001E-2</v>
      </c>
      <c r="I1027" t="s">
        <v>1413</v>
      </c>
      <c r="J1027" s="2" t="s">
        <v>2142</v>
      </c>
      <c r="K1027">
        <v>1</v>
      </c>
      <c r="L1027">
        <v>1</v>
      </c>
      <c r="M1027" t="s">
        <v>18</v>
      </c>
      <c r="N1027" t="str">
        <f t="shared" ref="N1027:N1090" si="16">B1027&amp;" ("&amp;A1027&amp;")"</f>
        <v>SECURITY SYSTEMS SERVICES (7382)</v>
      </c>
    </row>
    <row r="1028" spans="1:14" x14ac:dyDescent="0.45">
      <c r="A1028" s="4">
        <v>7383</v>
      </c>
      <c r="B1028" t="s">
        <v>1211</v>
      </c>
      <c r="C1028" t="s">
        <v>1208</v>
      </c>
      <c r="D1028" t="s">
        <v>1175</v>
      </c>
      <c r="E1028" t="s">
        <v>1151</v>
      </c>
      <c r="F1028" t="s">
        <v>35</v>
      </c>
      <c r="G1028">
        <v>37</v>
      </c>
      <c r="H1028">
        <v>4.0500000000000001E-2</v>
      </c>
      <c r="I1028" t="s">
        <v>1413</v>
      </c>
      <c r="J1028" s="2" t="s">
        <v>2142</v>
      </c>
      <c r="K1028">
        <v>1</v>
      </c>
      <c r="L1028">
        <v>1</v>
      </c>
      <c r="M1028" t="s">
        <v>18</v>
      </c>
      <c r="N1028" t="str">
        <f t="shared" si="16"/>
        <v>NEWS SYNDICATES (7383)</v>
      </c>
    </row>
    <row r="1029" spans="1:14" x14ac:dyDescent="0.45">
      <c r="A1029" s="4">
        <v>7384</v>
      </c>
      <c r="B1029" t="s">
        <v>1212</v>
      </c>
      <c r="C1029" t="s">
        <v>1208</v>
      </c>
      <c r="D1029" t="s">
        <v>1175</v>
      </c>
      <c r="E1029" t="s">
        <v>1151</v>
      </c>
      <c r="F1029" t="s">
        <v>35</v>
      </c>
      <c r="G1029">
        <v>37</v>
      </c>
      <c r="H1029">
        <v>4.0500000000000001E-2</v>
      </c>
      <c r="I1029" t="s">
        <v>1413</v>
      </c>
      <c r="J1029" s="2" t="s">
        <v>2142</v>
      </c>
      <c r="K1029">
        <v>1</v>
      </c>
      <c r="L1029">
        <v>1</v>
      </c>
      <c r="M1029" t="s">
        <v>18</v>
      </c>
      <c r="N1029" t="str">
        <f t="shared" si="16"/>
        <v>PHOTOFINISH LABORATORIES (7384)</v>
      </c>
    </row>
    <row r="1030" spans="1:14" x14ac:dyDescent="0.45">
      <c r="A1030" s="4">
        <v>7385</v>
      </c>
      <c r="B1030" t="s">
        <v>1213</v>
      </c>
      <c r="C1030" t="s">
        <v>1208</v>
      </c>
      <c r="D1030" t="s">
        <v>1175</v>
      </c>
      <c r="E1030" t="s">
        <v>1151</v>
      </c>
      <c r="F1030" t="s">
        <v>35</v>
      </c>
      <c r="G1030">
        <v>37</v>
      </c>
      <c r="H1030">
        <v>4.0500000000000001E-2</v>
      </c>
      <c r="I1030" t="s">
        <v>1413</v>
      </c>
      <c r="J1030" s="2" t="s">
        <v>2142</v>
      </c>
      <c r="K1030">
        <v>1</v>
      </c>
      <c r="L1030">
        <v>1</v>
      </c>
      <c r="M1030" t="s">
        <v>18</v>
      </c>
      <c r="N1030" t="str">
        <f t="shared" si="16"/>
        <v>TELEPHONE INTERCONNECT SYSTEMS (7385)</v>
      </c>
    </row>
    <row r="1031" spans="1:14" x14ac:dyDescent="0.45">
      <c r="A1031" s="4">
        <v>7389</v>
      </c>
      <c r="B1031" t="s">
        <v>1214</v>
      </c>
      <c r="C1031" t="s">
        <v>1208</v>
      </c>
      <c r="D1031" t="s">
        <v>1175</v>
      </c>
      <c r="E1031" t="s">
        <v>1151</v>
      </c>
      <c r="F1031" t="s">
        <v>35</v>
      </c>
      <c r="G1031">
        <v>37</v>
      </c>
      <c r="H1031">
        <v>4.0500000000000001E-2</v>
      </c>
      <c r="I1031" t="s">
        <v>1413</v>
      </c>
      <c r="J1031" s="2" t="s">
        <v>2142</v>
      </c>
      <c r="K1031">
        <v>1</v>
      </c>
      <c r="L1031">
        <v>1</v>
      </c>
      <c r="M1031" t="s">
        <v>18</v>
      </c>
      <c r="N1031" t="str">
        <f t="shared" si="16"/>
        <v>BUSINESS SERVICES, NEC (7389)</v>
      </c>
    </row>
    <row r="1032" spans="1:14" x14ac:dyDescent="0.45">
      <c r="A1032" s="4">
        <v>7500</v>
      </c>
      <c r="B1032" t="s">
        <v>1215</v>
      </c>
      <c r="C1032" t="s">
        <v>1215</v>
      </c>
      <c r="D1032" t="s">
        <v>1215</v>
      </c>
      <c r="E1032" t="s">
        <v>1151</v>
      </c>
      <c r="F1032" t="s">
        <v>35</v>
      </c>
      <c r="G1032">
        <v>37</v>
      </c>
      <c r="H1032">
        <v>4.0500000000000001E-2</v>
      </c>
      <c r="I1032" t="s">
        <v>1413</v>
      </c>
      <c r="J1032" s="2" t="s">
        <v>2142</v>
      </c>
      <c r="K1032">
        <v>1</v>
      </c>
      <c r="L1032">
        <v>1</v>
      </c>
      <c r="M1032" t="s">
        <v>18</v>
      </c>
      <c r="N1032" t="str">
        <f t="shared" si="16"/>
        <v>AUTO REPAIR, SERVICES, AND PARKING (7500)</v>
      </c>
    </row>
    <row r="1033" spans="1:14" x14ac:dyDescent="0.45">
      <c r="A1033" s="4">
        <v>7510</v>
      </c>
      <c r="B1033" t="s">
        <v>1216</v>
      </c>
      <c r="C1033" t="s">
        <v>1216</v>
      </c>
      <c r="D1033" t="s">
        <v>1215</v>
      </c>
      <c r="E1033" t="s">
        <v>1151</v>
      </c>
      <c r="F1033" t="s">
        <v>35</v>
      </c>
      <c r="G1033">
        <v>37</v>
      </c>
      <c r="H1033">
        <v>4.0500000000000001E-2</v>
      </c>
      <c r="I1033" t="s">
        <v>1413</v>
      </c>
      <c r="J1033" s="2" t="s">
        <v>2142</v>
      </c>
      <c r="K1033">
        <v>1</v>
      </c>
      <c r="L1033">
        <v>1</v>
      </c>
      <c r="M1033" t="s">
        <v>18</v>
      </c>
      <c r="N1033" t="str">
        <f t="shared" si="16"/>
        <v>AUTOMOTIVE RENTALS, NO DRIVERS (7510)</v>
      </c>
    </row>
    <row r="1034" spans="1:14" x14ac:dyDescent="0.45">
      <c r="A1034" s="4">
        <v>7513</v>
      </c>
      <c r="B1034" t="s">
        <v>1217</v>
      </c>
      <c r="C1034" t="s">
        <v>1216</v>
      </c>
      <c r="D1034" t="s">
        <v>1215</v>
      </c>
      <c r="E1034" t="s">
        <v>1151</v>
      </c>
      <c r="F1034" t="s">
        <v>35</v>
      </c>
      <c r="G1034">
        <v>37</v>
      </c>
      <c r="H1034">
        <v>4.0500000000000001E-2</v>
      </c>
      <c r="I1034" t="s">
        <v>1413</v>
      </c>
      <c r="J1034" s="2" t="s">
        <v>2142</v>
      </c>
      <c r="K1034">
        <v>1</v>
      </c>
      <c r="L1034">
        <v>1</v>
      </c>
      <c r="M1034" t="s">
        <v>18</v>
      </c>
      <c r="N1034" t="str">
        <f t="shared" si="16"/>
        <v>TRUCK RENTAL AND LEASING, WITHOUT DRIVERS (7513)</v>
      </c>
    </row>
    <row r="1035" spans="1:14" x14ac:dyDescent="0.45">
      <c r="A1035" s="4">
        <v>7514</v>
      </c>
      <c r="B1035" t="s">
        <v>1218</v>
      </c>
      <c r="C1035" t="s">
        <v>1216</v>
      </c>
      <c r="D1035" t="s">
        <v>1215</v>
      </c>
      <c r="E1035" t="s">
        <v>1151</v>
      </c>
      <c r="F1035" t="s">
        <v>35</v>
      </c>
      <c r="G1035">
        <v>37</v>
      </c>
      <c r="H1035">
        <v>4.0500000000000001E-2</v>
      </c>
      <c r="I1035" t="s">
        <v>1413</v>
      </c>
      <c r="J1035" s="2" t="s">
        <v>2142</v>
      </c>
      <c r="K1035">
        <v>1</v>
      </c>
      <c r="L1035">
        <v>1</v>
      </c>
      <c r="M1035" t="s">
        <v>18</v>
      </c>
      <c r="N1035" t="str">
        <f t="shared" si="16"/>
        <v>PASSENGER CAR RENTAL (7514)</v>
      </c>
    </row>
    <row r="1036" spans="1:14" x14ac:dyDescent="0.45">
      <c r="A1036" s="4">
        <v>7515</v>
      </c>
      <c r="B1036" t="s">
        <v>1219</v>
      </c>
      <c r="C1036" t="s">
        <v>1216</v>
      </c>
      <c r="D1036" t="s">
        <v>1215</v>
      </c>
      <c r="E1036" t="s">
        <v>1151</v>
      </c>
      <c r="F1036" t="s">
        <v>35</v>
      </c>
      <c r="G1036">
        <v>37</v>
      </c>
      <c r="H1036">
        <v>4.0500000000000001E-2</v>
      </c>
      <c r="I1036" t="s">
        <v>1413</v>
      </c>
      <c r="J1036" s="2" t="s">
        <v>2142</v>
      </c>
      <c r="K1036">
        <v>1</v>
      </c>
      <c r="L1036">
        <v>1</v>
      </c>
      <c r="M1036" t="s">
        <v>18</v>
      </c>
      <c r="N1036" t="str">
        <f t="shared" si="16"/>
        <v>PASSENGER CAR LEASING (7515)</v>
      </c>
    </row>
    <row r="1037" spans="1:14" x14ac:dyDescent="0.45">
      <c r="A1037" s="4">
        <v>7519</v>
      </c>
      <c r="B1037" t="s">
        <v>1220</v>
      </c>
      <c r="C1037" t="s">
        <v>1216</v>
      </c>
      <c r="D1037" t="s">
        <v>1215</v>
      </c>
      <c r="E1037" t="s">
        <v>1151</v>
      </c>
      <c r="F1037" t="s">
        <v>35</v>
      </c>
      <c r="G1037">
        <v>37</v>
      </c>
      <c r="H1037">
        <v>4.0500000000000001E-2</v>
      </c>
      <c r="I1037" t="s">
        <v>1413</v>
      </c>
      <c r="J1037" s="2" t="s">
        <v>2142</v>
      </c>
      <c r="K1037">
        <v>1</v>
      </c>
      <c r="L1037">
        <v>1</v>
      </c>
      <c r="M1037" t="s">
        <v>18</v>
      </c>
      <c r="N1037" t="str">
        <f t="shared" si="16"/>
        <v>UTILITY TRAILER RENTAL (7519)</v>
      </c>
    </row>
    <row r="1038" spans="1:14" x14ac:dyDescent="0.45">
      <c r="A1038" s="4">
        <v>7521</v>
      </c>
      <c r="B1038" t="s">
        <v>1221</v>
      </c>
      <c r="C1038" t="s">
        <v>1221</v>
      </c>
      <c r="D1038" t="s">
        <v>1215</v>
      </c>
      <c r="E1038" t="s">
        <v>1151</v>
      </c>
      <c r="F1038" t="s">
        <v>35</v>
      </c>
      <c r="G1038">
        <v>37</v>
      </c>
      <c r="H1038">
        <v>4.0500000000000001E-2</v>
      </c>
      <c r="I1038" t="s">
        <v>1413</v>
      </c>
      <c r="J1038" s="2" t="s">
        <v>2142</v>
      </c>
      <c r="K1038">
        <v>1</v>
      </c>
      <c r="L1038">
        <v>1</v>
      </c>
      <c r="M1038" t="s">
        <v>18</v>
      </c>
      <c r="N1038" t="str">
        <f t="shared" si="16"/>
        <v>AUTOMOBILE PARKING (7521)</v>
      </c>
    </row>
    <row r="1039" spans="1:14" x14ac:dyDescent="0.45">
      <c r="A1039" s="4">
        <v>7532</v>
      </c>
      <c r="B1039" t="s">
        <v>1222</v>
      </c>
      <c r="C1039" t="s">
        <v>1223</v>
      </c>
      <c r="D1039" t="s">
        <v>1215</v>
      </c>
      <c r="E1039" t="s">
        <v>1151</v>
      </c>
      <c r="F1039" t="s">
        <v>35</v>
      </c>
      <c r="G1039">
        <v>37</v>
      </c>
      <c r="H1039">
        <v>4.0500000000000001E-2</v>
      </c>
      <c r="I1039" t="s">
        <v>1413</v>
      </c>
      <c r="J1039" s="2" t="s">
        <v>2142</v>
      </c>
      <c r="K1039">
        <v>1</v>
      </c>
      <c r="L1039">
        <v>1</v>
      </c>
      <c r="M1039" t="s">
        <v>18</v>
      </c>
      <c r="N1039" t="str">
        <f t="shared" si="16"/>
        <v>TOP AND BODY REPAIR AND PAINT SHOPS (7532)</v>
      </c>
    </row>
    <row r="1040" spans="1:14" x14ac:dyDescent="0.45">
      <c r="A1040" s="4">
        <v>7533</v>
      </c>
      <c r="B1040" t="s">
        <v>1224</v>
      </c>
      <c r="C1040" t="s">
        <v>1223</v>
      </c>
      <c r="D1040" t="s">
        <v>1215</v>
      </c>
      <c r="E1040" t="s">
        <v>1151</v>
      </c>
      <c r="F1040" t="s">
        <v>35</v>
      </c>
      <c r="G1040">
        <v>37</v>
      </c>
      <c r="H1040">
        <v>4.0500000000000001E-2</v>
      </c>
      <c r="I1040" t="s">
        <v>1413</v>
      </c>
      <c r="J1040" s="2" t="s">
        <v>2142</v>
      </c>
      <c r="K1040">
        <v>1</v>
      </c>
      <c r="L1040">
        <v>1</v>
      </c>
      <c r="M1040" t="s">
        <v>18</v>
      </c>
      <c r="N1040" t="str">
        <f t="shared" si="16"/>
        <v>AUTO EXHAUST SYSTEM REPAIR SHOPS (7533)</v>
      </c>
    </row>
    <row r="1041" spans="1:14" x14ac:dyDescent="0.45">
      <c r="A1041" s="4">
        <v>7534</v>
      </c>
      <c r="B1041" t="s">
        <v>1225</v>
      </c>
      <c r="C1041" t="s">
        <v>1223</v>
      </c>
      <c r="D1041" t="s">
        <v>1215</v>
      </c>
      <c r="E1041" t="s">
        <v>1151</v>
      </c>
      <c r="F1041" t="s">
        <v>35</v>
      </c>
      <c r="G1041">
        <v>37</v>
      </c>
      <c r="H1041">
        <v>4.0500000000000001E-2</v>
      </c>
      <c r="I1041" t="s">
        <v>1413</v>
      </c>
      <c r="J1041" s="2" t="s">
        <v>2142</v>
      </c>
      <c r="K1041">
        <v>1</v>
      </c>
      <c r="L1041">
        <v>1</v>
      </c>
      <c r="M1041" t="s">
        <v>18</v>
      </c>
      <c r="N1041" t="str">
        <f t="shared" si="16"/>
        <v>TIRE RETREADING AND REPAIR SHOPS (7534)</v>
      </c>
    </row>
    <row r="1042" spans="1:14" x14ac:dyDescent="0.45">
      <c r="A1042" s="4">
        <v>7536</v>
      </c>
      <c r="B1042" t="s">
        <v>1226</v>
      </c>
      <c r="C1042" t="s">
        <v>1223</v>
      </c>
      <c r="D1042" t="s">
        <v>1215</v>
      </c>
      <c r="E1042" t="s">
        <v>1151</v>
      </c>
      <c r="F1042" t="s">
        <v>35</v>
      </c>
      <c r="G1042">
        <v>37</v>
      </c>
      <c r="H1042">
        <v>4.0500000000000001E-2</v>
      </c>
      <c r="I1042" t="s">
        <v>1413</v>
      </c>
      <c r="J1042" s="2" t="s">
        <v>2142</v>
      </c>
      <c r="K1042">
        <v>1</v>
      </c>
      <c r="L1042">
        <v>1</v>
      </c>
      <c r="M1042" t="s">
        <v>18</v>
      </c>
      <c r="N1042" t="str">
        <f t="shared" si="16"/>
        <v>AUTOMOTIVE GLASS REPLACEMENT SHOPS (7536)</v>
      </c>
    </row>
    <row r="1043" spans="1:14" x14ac:dyDescent="0.45">
      <c r="A1043" s="4">
        <v>7537</v>
      </c>
      <c r="B1043" t="s">
        <v>1227</v>
      </c>
      <c r="C1043" t="s">
        <v>1223</v>
      </c>
      <c r="D1043" t="s">
        <v>1215</v>
      </c>
      <c r="E1043" t="s">
        <v>1151</v>
      </c>
      <c r="F1043" t="s">
        <v>35</v>
      </c>
      <c r="G1043">
        <v>37</v>
      </c>
      <c r="H1043">
        <v>4.0500000000000001E-2</v>
      </c>
      <c r="I1043" t="s">
        <v>1413</v>
      </c>
      <c r="J1043" s="2" t="s">
        <v>2142</v>
      </c>
      <c r="K1043">
        <v>1</v>
      </c>
      <c r="L1043">
        <v>1</v>
      </c>
      <c r="M1043" t="s">
        <v>18</v>
      </c>
      <c r="N1043" t="str">
        <f t="shared" si="16"/>
        <v>AUTOMOTIVE TRANSMISSION REPAIR SHOPS (7537)</v>
      </c>
    </row>
    <row r="1044" spans="1:14" x14ac:dyDescent="0.45">
      <c r="A1044" s="4">
        <v>7538</v>
      </c>
      <c r="B1044" t="s">
        <v>1228</v>
      </c>
      <c r="C1044" t="s">
        <v>1223</v>
      </c>
      <c r="D1044" t="s">
        <v>1215</v>
      </c>
      <c r="E1044" t="s">
        <v>1151</v>
      </c>
      <c r="F1044" t="s">
        <v>35</v>
      </c>
      <c r="G1044">
        <v>37</v>
      </c>
      <c r="H1044">
        <v>4.0500000000000001E-2</v>
      </c>
      <c r="I1044" t="s">
        <v>1413</v>
      </c>
      <c r="J1044" s="2" t="s">
        <v>2142</v>
      </c>
      <c r="K1044">
        <v>1</v>
      </c>
      <c r="L1044">
        <v>1</v>
      </c>
      <c r="M1044" t="s">
        <v>18</v>
      </c>
      <c r="N1044" t="str">
        <f t="shared" si="16"/>
        <v>GENERAL AUTOMOTIVE REPAIR SHOPS (7538)</v>
      </c>
    </row>
    <row r="1045" spans="1:14" x14ac:dyDescent="0.45">
      <c r="A1045" s="4">
        <v>7539</v>
      </c>
      <c r="B1045" t="s">
        <v>1229</v>
      </c>
      <c r="C1045" t="s">
        <v>1223</v>
      </c>
      <c r="D1045" t="s">
        <v>1215</v>
      </c>
      <c r="E1045" t="s">
        <v>1151</v>
      </c>
      <c r="F1045" t="s">
        <v>35</v>
      </c>
      <c r="G1045">
        <v>37</v>
      </c>
      <c r="H1045">
        <v>4.0500000000000001E-2</v>
      </c>
      <c r="I1045" t="s">
        <v>1413</v>
      </c>
      <c r="J1045" s="2" t="s">
        <v>2142</v>
      </c>
      <c r="K1045">
        <v>1</v>
      </c>
      <c r="L1045">
        <v>1</v>
      </c>
      <c r="M1045" t="s">
        <v>18</v>
      </c>
      <c r="N1045" t="str">
        <f t="shared" si="16"/>
        <v>AUTOMOTIVE REPAIR SHOPS, NEC (7539)</v>
      </c>
    </row>
    <row r="1046" spans="1:14" x14ac:dyDescent="0.45">
      <c r="A1046" s="4">
        <v>7542</v>
      </c>
      <c r="B1046" t="s">
        <v>1230</v>
      </c>
      <c r="C1046" t="s">
        <v>1231</v>
      </c>
      <c r="D1046" t="s">
        <v>1215</v>
      </c>
      <c r="E1046" t="s">
        <v>1151</v>
      </c>
      <c r="F1046" t="s">
        <v>35</v>
      </c>
      <c r="G1046">
        <v>37</v>
      </c>
      <c r="H1046">
        <v>4.0500000000000001E-2</v>
      </c>
      <c r="I1046" t="s">
        <v>1413</v>
      </c>
      <c r="J1046" s="2" t="s">
        <v>2142</v>
      </c>
      <c r="K1046">
        <v>1</v>
      </c>
      <c r="L1046">
        <v>1</v>
      </c>
      <c r="M1046" t="s">
        <v>18</v>
      </c>
      <c r="N1046" t="str">
        <f t="shared" si="16"/>
        <v>CARWASHES (7542)</v>
      </c>
    </row>
    <row r="1047" spans="1:14" x14ac:dyDescent="0.45">
      <c r="A1047" s="4">
        <v>7549</v>
      </c>
      <c r="B1047" t="s">
        <v>1232</v>
      </c>
      <c r="C1047" t="s">
        <v>1231</v>
      </c>
      <c r="D1047" t="s">
        <v>1215</v>
      </c>
      <c r="E1047" t="s">
        <v>1151</v>
      </c>
      <c r="F1047" t="s">
        <v>35</v>
      </c>
      <c r="G1047">
        <v>37</v>
      </c>
      <c r="H1047">
        <v>4.0500000000000001E-2</v>
      </c>
      <c r="I1047" t="s">
        <v>1413</v>
      </c>
      <c r="J1047" s="2" t="s">
        <v>2142</v>
      </c>
      <c r="K1047">
        <v>1</v>
      </c>
      <c r="L1047">
        <v>1</v>
      </c>
      <c r="M1047" t="s">
        <v>18</v>
      </c>
      <c r="N1047" t="str">
        <f t="shared" si="16"/>
        <v>AUTOMOTIVE SERVICES, NEC (7549)</v>
      </c>
    </row>
    <row r="1048" spans="1:14" x14ac:dyDescent="0.45">
      <c r="A1048" s="4">
        <v>7600</v>
      </c>
      <c r="B1048" t="s">
        <v>1233</v>
      </c>
      <c r="C1048" t="s">
        <v>1233</v>
      </c>
      <c r="D1048" t="s">
        <v>1233</v>
      </c>
      <c r="E1048" t="s">
        <v>1151</v>
      </c>
      <c r="F1048" t="s">
        <v>35</v>
      </c>
      <c r="G1048">
        <v>37</v>
      </c>
      <c r="H1048">
        <v>4.0500000000000001E-2</v>
      </c>
      <c r="I1048" t="s">
        <v>1413</v>
      </c>
      <c r="J1048" s="2" t="s">
        <v>2142</v>
      </c>
      <c r="K1048">
        <v>1</v>
      </c>
      <c r="L1048">
        <v>1</v>
      </c>
      <c r="M1048" t="s">
        <v>18</v>
      </c>
      <c r="N1048" t="str">
        <f t="shared" si="16"/>
        <v>MISCELLANEOUS REPAIR SERVICES (7600)</v>
      </c>
    </row>
    <row r="1049" spans="1:14" x14ac:dyDescent="0.45">
      <c r="A1049" s="4">
        <v>7622</v>
      </c>
      <c r="B1049" t="s">
        <v>1234</v>
      </c>
      <c r="C1049" t="s">
        <v>1235</v>
      </c>
      <c r="D1049" t="s">
        <v>1233</v>
      </c>
      <c r="E1049" t="s">
        <v>1151</v>
      </c>
      <c r="F1049" t="s">
        <v>35</v>
      </c>
      <c r="G1049">
        <v>37</v>
      </c>
      <c r="H1049">
        <v>4.0500000000000001E-2</v>
      </c>
      <c r="I1049" t="s">
        <v>1413</v>
      </c>
      <c r="J1049" s="2" t="s">
        <v>2142</v>
      </c>
      <c r="K1049">
        <v>1</v>
      </c>
      <c r="L1049">
        <v>1</v>
      </c>
      <c r="M1049" t="s">
        <v>18</v>
      </c>
      <c r="N1049" t="str">
        <f t="shared" si="16"/>
        <v>RADIO AND TELEVISION REPAIR (7622)</v>
      </c>
    </row>
    <row r="1050" spans="1:14" x14ac:dyDescent="0.45">
      <c r="A1050" s="4">
        <v>7623</v>
      </c>
      <c r="B1050" t="s">
        <v>1236</v>
      </c>
      <c r="C1050" t="s">
        <v>1235</v>
      </c>
      <c r="D1050" t="s">
        <v>1233</v>
      </c>
      <c r="E1050" t="s">
        <v>1151</v>
      </c>
      <c r="F1050" t="s">
        <v>35</v>
      </c>
      <c r="G1050">
        <v>37</v>
      </c>
      <c r="H1050">
        <v>4.0500000000000001E-2</v>
      </c>
      <c r="I1050" t="s">
        <v>1413</v>
      </c>
      <c r="J1050" s="2" t="s">
        <v>2142</v>
      </c>
      <c r="K1050">
        <v>1</v>
      </c>
      <c r="L1050">
        <v>1</v>
      </c>
      <c r="M1050" t="s">
        <v>18</v>
      </c>
      <c r="N1050" t="str">
        <f t="shared" si="16"/>
        <v>REFRIGERATION SERVICE AND REPAIR (7623)</v>
      </c>
    </row>
    <row r="1051" spans="1:14" x14ac:dyDescent="0.45">
      <c r="A1051" s="4">
        <v>7629</v>
      </c>
      <c r="B1051" t="s">
        <v>1235</v>
      </c>
      <c r="C1051" t="s">
        <v>1235</v>
      </c>
      <c r="D1051" t="s">
        <v>1233</v>
      </c>
      <c r="E1051" t="s">
        <v>1151</v>
      </c>
      <c r="F1051" t="s">
        <v>35</v>
      </c>
      <c r="G1051">
        <v>37</v>
      </c>
      <c r="H1051">
        <v>4.0500000000000001E-2</v>
      </c>
      <c r="I1051" t="s">
        <v>1413</v>
      </c>
      <c r="J1051" s="2" t="s">
        <v>2142</v>
      </c>
      <c r="K1051">
        <v>1</v>
      </c>
      <c r="L1051">
        <v>1</v>
      </c>
      <c r="M1051" t="s">
        <v>18</v>
      </c>
      <c r="N1051" t="str">
        <f t="shared" si="16"/>
        <v>ELECTRICAL REPAIR SHOPS (7629)</v>
      </c>
    </row>
    <row r="1052" spans="1:14" x14ac:dyDescent="0.45">
      <c r="A1052" s="4">
        <v>7631</v>
      </c>
      <c r="B1052" t="s">
        <v>1237</v>
      </c>
      <c r="C1052" t="s">
        <v>1237</v>
      </c>
      <c r="D1052" t="s">
        <v>1233</v>
      </c>
      <c r="E1052" t="s">
        <v>1151</v>
      </c>
      <c r="F1052" t="s">
        <v>35</v>
      </c>
      <c r="G1052">
        <v>37</v>
      </c>
      <c r="H1052">
        <v>4.0500000000000001E-2</v>
      </c>
      <c r="I1052" t="s">
        <v>1413</v>
      </c>
      <c r="J1052" s="2" t="s">
        <v>2142</v>
      </c>
      <c r="K1052">
        <v>1</v>
      </c>
      <c r="L1052">
        <v>1</v>
      </c>
      <c r="M1052" t="s">
        <v>18</v>
      </c>
      <c r="N1052" t="str">
        <f t="shared" si="16"/>
        <v>WATCH, CLOCK, AND JEWELRY REPAIR (7631)</v>
      </c>
    </row>
    <row r="1053" spans="1:14" x14ac:dyDescent="0.45">
      <c r="A1053" s="4">
        <v>7641</v>
      </c>
      <c r="B1053" t="s">
        <v>1238</v>
      </c>
      <c r="C1053" t="s">
        <v>1238</v>
      </c>
      <c r="D1053" t="s">
        <v>1233</v>
      </c>
      <c r="E1053" t="s">
        <v>1151</v>
      </c>
      <c r="F1053" t="s">
        <v>35</v>
      </c>
      <c r="G1053">
        <v>37</v>
      </c>
      <c r="H1053">
        <v>4.0500000000000001E-2</v>
      </c>
      <c r="I1053" t="s">
        <v>1413</v>
      </c>
      <c r="J1053" s="2" t="s">
        <v>2142</v>
      </c>
      <c r="K1053">
        <v>1</v>
      </c>
      <c r="L1053">
        <v>1</v>
      </c>
      <c r="M1053" t="s">
        <v>18</v>
      </c>
      <c r="N1053" t="str">
        <f t="shared" si="16"/>
        <v>REUPHOLSTERY AND FURNITURE REPAIR (7641)</v>
      </c>
    </row>
    <row r="1054" spans="1:14" x14ac:dyDescent="0.45">
      <c r="A1054" s="4">
        <v>7692</v>
      </c>
      <c r="B1054" t="s">
        <v>1239</v>
      </c>
      <c r="C1054" t="s">
        <v>1240</v>
      </c>
      <c r="D1054" t="s">
        <v>1233</v>
      </c>
      <c r="E1054" t="s">
        <v>1151</v>
      </c>
      <c r="F1054" t="s">
        <v>35</v>
      </c>
      <c r="G1054">
        <v>37</v>
      </c>
      <c r="H1054">
        <v>4.0500000000000001E-2</v>
      </c>
      <c r="I1054" t="s">
        <v>1413</v>
      </c>
      <c r="J1054" s="2" t="s">
        <v>2142</v>
      </c>
      <c r="K1054">
        <v>1</v>
      </c>
      <c r="L1054">
        <v>1</v>
      </c>
      <c r="M1054" t="s">
        <v>18</v>
      </c>
      <c r="N1054" t="str">
        <f t="shared" si="16"/>
        <v>WELDING REPAIR (7692)</v>
      </c>
    </row>
    <row r="1055" spans="1:14" x14ac:dyDescent="0.45">
      <c r="A1055" s="4">
        <v>7694</v>
      </c>
      <c r="B1055" t="s">
        <v>1241</v>
      </c>
      <c r="C1055" t="s">
        <v>1240</v>
      </c>
      <c r="D1055" t="s">
        <v>1233</v>
      </c>
      <c r="E1055" t="s">
        <v>1151</v>
      </c>
      <c r="F1055" t="s">
        <v>35</v>
      </c>
      <c r="G1055">
        <v>37</v>
      </c>
      <c r="H1055">
        <v>4.0500000000000001E-2</v>
      </c>
      <c r="I1055" t="s">
        <v>1413</v>
      </c>
      <c r="J1055" s="2" t="s">
        <v>2142</v>
      </c>
      <c r="K1055">
        <v>1</v>
      </c>
      <c r="L1055">
        <v>1</v>
      </c>
      <c r="M1055" t="s">
        <v>18</v>
      </c>
      <c r="N1055" t="str">
        <f t="shared" si="16"/>
        <v>ARMATURE REWINDING SHOPS (7694)</v>
      </c>
    </row>
    <row r="1056" spans="1:14" x14ac:dyDescent="0.45">
      <c r="A1056" s="4">
        <v>7699</v>
      </c>
      <c r="B1056" t="s">
        <v>1242</v>
      </c>
      <c r="C1056" t="s">
        <v>1240</v>
      </c>
      <c r="D1056" t="s">
        <v>1233</v>
      </c>
      <c r="E1056" t="s">
        <v>1151</v>
      </c>
      <c r="F1056" t="s">
        <v>35</v>
      </c>
      <c r="G1056">
        <v>37</v>
      </c>
      <c r="H1056">
        <v>4.0500000000000001E-2</v>
      </c>
      <c r="I1056" t="s">
        <v>1413</v>
      </c>
      <c r="J1056" s="2" t="s">
        <v>2142</v>
      </c>
      <c r="K1056">
        <v>1</v>
      </c>
      <c r="L1056">
        <v>1</v>
      </c>
      <c r="M1056" t="s">
        <v>18</v>
      </c>
      <c r="N1056" t="str">
        <f t="shared" si="16"/>
        <v>REPAIR SERVICES, NEC (7699)</v>
      </c>
    </row>
    <row r="1057" spans="1:14" x14ac:dyDescent="0.45">
      <c r="A1057" s="4">
        <v>7812</v>
      </c>
      <c r="B1057" t="s">
        <v>1243</v>
      </c>
      <c r="C1057" t="s">
        <v>1244</v>
      </c>
      <c r="D1057" t="s">
        <v>1245</v>
      </c>
      <c r="E1057" t="s">
        <v>1151</v>
      </c>
      <c r="F1057" t="s">
        <v>35</v>
      </c>
      <c r="G1057">
        <v>37</v>
      </c>
      <c r="H1057">
        <v>4.0500000000000001E-2</v>
      </c>
      <c r="I1057" t="s">
        <v>1413</v>
      </c>
      <c r="J1057" s="2" t="s">
        <v>2142</v>
      </c>
      <c r="K1057">
        <v>1</v>
      </c>
      <c r="L1057">
        <v>1</v>
      </c>
      <c r="M1057" t="s">
        <v>18</v>
      </c>
      <c r="N1057" t="str">
        <f t="shared" si="16"/>
        <v>MOTION PICTURE AND VIDEO PRODUCTION (7812)</v>
      </c>
    </row>
    <row r="1058" spans="1:14" x14ac:dyDescent="0.45">
      <c r="A1058" s="4">
        <v>7819</v>
      </c>
      <c r="B1058" t="s">
        <v>1246</v>
      </c>
      <c r="C1058" t="s">
        <v>1244</v>
      </c>
      <c r="D1058" t="s">
        <v>1245</v>
      </c>
      <c r="E1058" t="s">
        <v>1151</v>
      </c>
      <c r="F1058" t="s">
        <v>35</v>
      </c>
      <c r="G1058">
        <v>37</v>
      </c>
      <c r="H1058">
        <v>4.0500000000000001E-2</v>
      </c>
      <c r="I1058" t="s">
        <v>1413</v>
      </c>
      <c r="J1058" s="2" t="s">
        <v>2142</v>
      </c>
      <c r="K1058">
        <v>1</v>
      </c>
      <c r="L1058">
        <v>1</v>
      </c>
      <c r="M1058" t="s">
        <v>18</v>
      </c>
      <c r="N1058" t="str">
        <f t="shared" si="16"/>
        <v>SERVICES ALLIED TO MOTION PICTURES (7819)</v>
      </c>
    </row>
    <row r="1059" spans="1:14" x14ac:dyDescent="0.45">
      <c r="A1059" s="4">
        <v>7822</v>
      </c>
      <c r="B1059" t="s">
        <v>1247</v>
      </c>
      <c r="C1059" t="s">
        <v>1248</v>
      </c>
      <c r="D1059" t="s">
        <v>1245</v>
      </c>
      <c r="E1059" t="s">
        <v>1151</v>
      </c>
      <c r="F1059" t="s">
        <v>35</v>
      </c>
      <c r="G1059">
        <v>37</v>
      </c>
      <c r="H1059">
        <v>4.0500000000000001E-2</v>
      </c>
      <c r="I1059" t="s">
        <v>1413</v>
      </c>
      <c r="J1059" s="2" t="s">
        <v>2142</v>
      </c>
      <c r="K1059">
        <v>1</v>
      </c>
      <c r="L1059">
        <v>1</v>
      </c>
      <c r="M1059" t="s">
        <v>18</v>
      </c>
      <c r="N1059" t="str">
        <f t="shared" si="16"/>
        <v>MOTION PICTURE AND TAPE DISTRIBUTION (7822)</v>
      </c>
    </row>
    <row r="1060" spans="1:14" x14ac:dyDescent="0.45">
      <c r="A1060" s="4">
        <v>7829</v>
      </c>
      <c r="B1060" t="s">
        <v>1249</v>
      </c>
      <c r="C1060" t="s">
        <v>1248</v>
      </c>
      <c r="D1060" t="s">
        <v>1245</v>
      </c>
      <c r="E1060" t="s">
        <v>1151</v>
      </c>
      <c r="F1060" t="s">
        <v>35</v>
      </c>
      <c r="G1060">
        <v>37</v>
      </c>
      <c r="H1060">
        <v>4.0500000000000001E-2</v>
      </c>
      <c r="I1060" t="s">
        <v>1413</v>
      </c>
      <c r="J1060" s="2" t="s">
        <v>2142</v>
      </c>
      <c r="K1060">
        <v>1</v>
      </c>
      <c r="L1060">
        <v>1</v>
      </c>
      <c r="M1060" t="s">
        <v>18</v>
      </c>
      <c r="N1060" t="str">
        <f t="shared" si="16"/>
        <v>MOTION PICTURE DISTRIBUTION SERVICES (7829)</v>
      </c>
    </row>
    <row r="1061" spans="1:14" x14ac:dyDescent="0.45">
      <c r="A1061" s="4">
        <v>7830</v>
      </c>
      <c r="B1061" t="s">
        <v>1250</v>
      </c>
      <c r="C1061" t="s">
        <v>1250</v>
      </c>
      <c r="D1061" t="s">
        <v>1245</v>
      </c>
      <c r="E1061" t="s">
        <v>1151</v>
      </c>
      <c r="F1061" t="s">
        <v>35</v>
      </c>
      <c r="G1061">
        <v>37</v>
      </c>
      <c r="H1061">
        <v>4.0500000000000001E-2</v>
      </c>
      <c r="I1061" t="s">
        <v>1413</v>
      </c>
      <c r="J1061" s="2" t="s">
        <v>2142</v>
      </c>
      <c r="K1061">
        <v>1</v>
      </c>
      <c r="L1061">
        <v>1</v>
      </c>
      <c r="M1061" t="s">
        <v>18</v>
      </c>
      <c r="N1061" t="str">
        <f t="shared" si="16"/>
        <v>MOTION PICTURE THEATERS (7830)</v>
      </c>
    </row>
    <row r="1062" spans="1:14" x14ac:dyDescent="0.45">
      <c r="A1062" s="4">
        <v>7832</v>
      </c>
      <c r="B1062" t="s">
        <v>1251</v>
      </c>
      <c r="C1062" t="s">
        <v>1250</v>
      </c>
      <c r="D1062" t="s">
        <v>1245</v>
      </c>
      <c r="E1062" t="s">
        <v>1151</v>
      </c>
      <c r="F1062" t="s">
        <v>35</v>
      </c>
      <c r="G1062">
        <v>37</v>
      </c>
      <c r="H1062">
        <v>4.0500000000000001E-2</v>
      </c>
      <c r="I1062" t="s">
        <v>1413</v>
      </c>
      <c r="J1062" s="2" t="s">
        <v>2142</v>
      </c>
      <c r="K1062">
        <v>1</v>
      </c>
      <c r="L1062">
        <v>1</v>
      </c>
      <c r="M1062" t="s">
        <v>18</v>
      </c>
      <c r="N1062" t="str">
        <f t="shared" si="16"/>
        <v>MOTION PICTURE THEATERS, EXCEPT DRIVE-IN (7832)</v>
      </c>
    </row>
    <row r="1063" spans="1:14" x14ac:dyDescent="0.45">
      <c r="A1063" s="4">
        <v>7833</v>
      </c>
      <c r="B1063" t="s">
        <v>1252</v>
      </c>
      <c r="C1063" t="s">
        <v>1250</v>
      </c>
      <c r="D1063" t="s">
        <v>1245</v>
      </c>
      <c r="E1063" t="s">
        <v>1151</v>
      </c>
      <c r="F1063" t="s">
        <v>35</v>
      </c>
      <c r="G1063">
        <v>37</v>
      </c>
      <c r="H1063">
        <v>4.0500000000000001E-2</v>
      </c>
      <c r="I1063" t="s">
        <v>1413</v>
      </c>
      <c r="J1063" s="2" t="s">
        <v>2142</v>
      </c>
      <c r="K1063">
        <v>1</v>
      </c>
      <c r="L1063">
        <v>1</v>
      </c>
      <c r="M1063" t="s">
        <v>18</v>
      </c>
      <c r="N1063" t="str">
        <f t="shared" si="16"/>
        <v>DRIVE-IN MOTION PICTURE THEATERS (7833)</v>
      </c>
    </row>
    <row r="1064" spans="1:14" x14ac:dyDescent="0.45">
      <c r="A1064" s="4">
        <v>7841</v>
      </c>
      <c r="B1064" t="s">
        <v>1253</v>
      </c>
      <c r="C1064" t="s">
        <v>1253</v>
      </c>
      <c r="D1064" t="s">
        <v>1245</v>
      </c>
      <c r="E1064" t="s">
        <v>1151</v>
      </c>
      <c r="F1064" t="s">
        <v>35</v>
      </c>
      <c r="G1064">
        <v>37</v>
      </c>
      <c r="H1064">
        <v>4.0500000000000001E-2</v>
      </c>
      <c r="I1064" t="s">
        <v>1413</v>
      </c>
      <c r="J1064" s="2" t="s">
        <v>2142</v>
      </c>
      <c r="K1064">
        <v>1</v>
      </c>
      <c r="L1064">
        <v>1</v>
      </c>
      <c r="M1064" t="s">
        <v>18</v>
      </c>
      <c r="N1064" t="str">
        <f t="shared" si="16"/>
        <v>VIDEO TAPE RENTAL (7841)</v>
      </c>
    </row>
    <row r="1065" spans="1:14" x14ac:dyDescent="0.45">
      <c r="A1065" s="4">
        <v>7900</v>
      </c>
      <c r="B1065" t="s">
        <v>1254</v>
      </c>
      <c r="C1065" t="s">
        <v>1254</v>
      </c>
      <c r="D1065" t="s">
        <v>1254</v>
      </c>
      <c r="E1065" t="s">
        <v>1151</v>
      </c>
      <c r="F1065" t="s">
        <v>35</v>
      </c>
      <c r="G1065">
        <v>37</v>
      </c>
      <c r="H1065">
        <v>4.0500000000000001E-2</v>
      </c>
      <c r="I1065" t="s">
        <v>1413</v>
      </c>
      <c r="J1065" s="2" t="s">
        <v>2142</v>
      </c>
      <c r="K1065">
        <v>1</v>
      </c>
      <c r="L1065">
        <v>1</v>
      </c>
      <c r="M1065" t="s">
        <v>18</v>
      </c>
      <c r="N1065" t="str">
        <f t="shared" si="16"/>
        <v>AMUSEMENT &amp; RECREATION SERVICES (7900)</v>
      </c>
    </row>
    <row r="1066" spans="1:14" x14ac:dyDescent="0.45">
      <c r="A1066" s="4">
        <v>7911</v>
      </c>
      <c r="B1066" t="s">
        <v>1255</v>
      </c>
      <c r="C1066" t="s">
        <v>1255</v>
      </c>
      <c r="D1066" t="s">
        <v>1254</v>
      </c>
      <c r="E1066" t="s">
        <v>1151</v>
      </c>
      <c r="F1066" t="s">
        <v>35</v>
      </c>
      <c r="G1066">
        <v>37</v>
      </c>
      <c r="H1066">
        <v>4.0500000000000001E-2</v>
      </c>
      <c r="I1066" t="s">
        <v>1413</v>
      </c>
      <c r="J1066" s="2" t="s">
        <v>2142</v>
      </c>
      <c r="K1066">
        <v>1</v>
      </c>
      <c r="L1066">
        <v>1</v>
      </c>
      <c r="M1066" t="s">
        <v>18</v>
      </c>
      <c r="N1066" t="str">
        <f t="shared" si="16"/>
        <v>DANCE STUDIOS, SCHOOLS, AND HALLS (7911)</v>
      </c>
    </row>
    <row r="1067" spans="1:14" x14ac:dyDescent="0.45">
      <c r="A1067" s="4">
        <v>7922</v>
      </c>
      <c r="B1067" t="s">
        <v>1256</v>
      </c>
      <c r="C1067" t="s">
        <v>1257</v>
      </c>
      <c r="D1067" t="s">
        <v>1254</v>
      </c>
      <c r="E1067" t="s">
        <v>1151</v>
      </c>
      <c r="F1067" t="s">
        <v>35</v>
      </c>
      <c r="G1067">
        <v>37</v>
      </c>
      <c r="H1067">
        <v>4.0500000000000001E-2</v>
      </c>
      <c r="I1067" t="s">
        <v>1413</v>
      </c>
      <c r="J1067" s="2" t="s">
        <v>2142</v>
      </c>
      <c r="K1067">
        <v>1</v>
      </c>
      <c r="L1067">
        <v>1</v>
      </c>
      <c r="M1067" t="s">
        <v>18</v>
      </c>
      <c r="N1067" t="str">
        <f t="shared" si="16"/>
        <v>THEATRICAL PRODUCERS AND SERVICES (7922)</v>
      </c>
    </row>
    <row r="1068" spans="1:14" x14ac:dyDescent="0.45">
      <c r="A1068" s="4">
        <v>7929</v>
      </c>
      <c r="B1068" t="s">
        <v>1258</v>
      </c>
      <c r="C1068" t="s">
        <v>1257</v>
      </c>
      <c r="D1068" t="s">
        <v>1254</v>
      </c>
      <c r="E1068" t="s">
        <v>1151</v>
      </c>
      <c r="F1068" t="s">
        <v>35</v>
      </c>
      <c r="G1068">
        <v>37</v>
      </c>
      <c r="H1068">
        <v>4.0500000000000001E-2</v>
      </c>
      <c r="I1068" t="s">
        <v>1413</v>
      </c>
      <c r="J1068" s="2" t="s">
        <v>2142</v>
      </c>
      <c r="K1068">
        <v>1</v>
      </c>
      <c r="L1068">
        <v>1</v>
      </c>
      <c r="M1068" t="s">
        <v>18</v>
      </c>
      <c r="N1068" t="str">
        <f t="shared" si="16"/>
        <v>ENTERTAINERS AND ENTERTAINMENT GROUPS (7929)</v>
      </c>
    </row>
    <row r="1069" spans="1:14" x14ac:dyDescent="0.45">
      <c r="A1069" s="4">
        <v>7933</v>
      </c>
      <c r="B1069" t="s">
        <v>1259</v>
      </c>
      <c r="C1069" t="s">
        <v>1259</v>
      </c>
      <c r="D1069" t="s">
        <v>1254</v>
      </c>
      <c r="E1069" t="s">
        <v>1151</v>
      </c>
      <c r="F1069" t="s">
        <v>35</v>
      </c>
      <c r="G1069">
        <v>37</v>
      </c>
      <c r="H1069">
        <v>4.0500000000000001E-2</v>
      </c>
      <c r="I1069" t="s">
        <v>1413</v>
      </c>
      <c r="J1069" s="2" t="s">
        <v>2142</v>
      </c>
      <c r="K1069">
        <v>1</v>
      </c>
      <c r="L1069">
        <v>1</v>
      </c>
      <c r="M1069" t="s">
        <v>18</v>
      </c>
      <c r="N1069" t="str">
        <f t="shared" si="16"/>
        <v>BOWLING CENTERS (7933)</v>
      </c>
    </row>
    <row r="1070" spans="1:14" x14ac:dyDescent="0.45">
      <c r="A1070" s="4">
        <v>7941</v>
      </c>
      <c r="B1070" t="s">
        <v>1260</v>
      </c>
      <c r="C1070" t="s">
        <v>1261</v>
      </c>
      <c r="D1070" t="s">
        <v>1254</v>
      </c>
      <c r="E1070" t="s">
        <v>1151</v>
      </c>
      <c r="F1070" t="s">
        <v>35</v>
      </c>
      <c r="G1070">
        <v>37</v>
      </c>
      <c r="H1070">
        <v>4.0500000000000001E-2</v>
      </c>
      <c r="I1070" t="s">
        <v>1413</v>
      </c>
      <c r="J1070" s="2" t="s">
        <v>2142</v>
      </c>
      <c r="K1070">
        <v>1</v>
      </c>
      <c r="L1070">
        <v>1</v>
      </c>
      <c r="M1070" t="s">
        <v>18</v>
      </c>
      <c r="N1070" t="str">
        <f t="shared" si="16"/>
        <v>SPORTS CLUBS, MANAGERS, AND PROMOTERS (7941)</v>
      </c>
    </row>
    <row r="1071" spans="1:14" x14ac:dyDescent="0.45">
      <c r="A1071" s="4">
        <v>7948</v>
      </c>
      <c r="B1071" t="s">
        <v>1262</v>
      </c>
      <c r="C1071" t="s">
        <v>1261</v>
      </c>
      <c r="D1071" t="s">
        <v>1254</v>
      </c>
      <c r="E1071" t="s">
        <v>1151</v>
      </c>
      <c r="F1071" t="s">
        <v>35</v>
      </c>
      <c r="G1071">
        <v>37</v>
      </c>
      <c r="H1071">
        <v>4.0500000000000001E-2</v>
      </c>
      <c r="I1071" t="s">
        <v>1413</v>
      </c>
      <c r="J1071" s="2" t="s">
        <v>2142</v>
      </c>
      <c r="K1071">
        <v>1</v>
      </c>
      <c r="L1071">
        <v>1</v>
      </c>
      <c r="M1071" t="s">
        <v>18</v>
      </c>
      <c r="N1071" t="str">
        <f t="shared" si="16"/>
        <v>RACING, INCLUDING TRACK OPERATION (7948)</v>
      </c>
    </row>
    <row r="1072" spans="1:14" x14ac:dyDescent="0.45">
      <c r="A1072" s="4">
        <v>7990</v>
      </c>
      <c r="B1072" t="s">
        <v>1263</v>
      </c>
      <c r="C1072" t="s">
        <v>1263</v>
      </c>
      <c r="D1072" t="s">
        <v>1254</v>
      </c>
      <c r="E1072" t="s">
        <v>1151</v>
      </c>
      <c r="F1072" t="s">
        <v>35</v>
      </c>
      <c r="G1072">
        <v>37</v>
      </c>
      <c r="H1072">
        <v>4.0500000000000001E-2</v>
      </c>
      <c r="I1072" t="s">
        <v>1413</v>
      </c>
      <c r="J1072" s="2" t="s">
        <v>2142</v>
      </c>
      <c r="K1072">
        <v>1</v>
      </c>
      <c r="L1072">
        <v>1</v>
      </c>
      <c r="M1072" t="s">
        <v>18</v>
      </c>
      <c r="N1072" t="str">
        <f t="shared" si="16"/>
        <v>MISC. AMUSEMENT, RECREATION SERVICES (7990)</v>
      </c>
    </row>
    <row r="1073" spans="1:14" x14ac:dyDescent="0.45">
      <c r="A1073" s="4">
        <v>7991</v>
      </c>
      <c r="B1073" t="s">
        <v>1264</v>
      </c>
      <c r="C1073" t="s">
        <v>1263</v>
      </c>
      <c r="D1073" t="s">
        <v>1254</v>
      </c>
      <c r="E1073" t="s">
        <v>1151</v>
      </c>
      <c r="F1073" t="s">
        <v>35</v>
      </c>
      <c r="G1073">
        <v>37</v>
      </c>
      <c r="H1073">
        <v>4.0500000000000001E-2</v>
      </c>
      <c r="I1073" t="s">
        <v>1413</v>
      </c>
      <c r="J1073" s="2" t="s">
        <v>2142</v>
      </c>
      <c r="K1073">
        <v>1</v>
      </c>
      <c r="L1073">
        <v>1</v>
      </c>
      <c r="M1073" t="s">
        <v>18</v>
      </c>
      <c r="N1073" t="str">
        <f t="shared" si="16"/>
        <v>PHYSICAL FITNESS FACILITIES (7991)</v>
      </c>
    </row>
    <row r="1074" spans="1:14" x14ac:dyDescent="0.45">
      <c r="A1074" s="4">
        <v>7992</v>
      </c>
      <c r="B1074" t="s">
        <v>1265</v>
      </c>
      <c r="C1074" t="s">
        <v>1263</v>
      </c>
      <c r="D1074" t="s">
        <v>1254</v>
      </c>
      <c r="E1074" t="s">
        <v>1151</v>
      </c>
      <c r="F1074" t="s">
        <v>35</v>
      </c>
      <c r="G1074">
        <v>37</v>
      </c>
      <c r="H1074">
        <v>4.0500000000000001E-2</v>
      </c>
      <c r="I1074" t="s">
        <v>1413</v>
      </c>
      <c r="J1074" s="2" t="s">
        <v>2142</v>
      </c>
      <c r="K1074">
        <v>1</v>
      </c>
      <c r="L1074">
        <v>1</v>
      </c>
      <c r="M1074" t="s">
        <v>18</v>
      </c>
      <c r="N1074" t="str">
        <f t="shared" si="16"/>
        <v>PUBLIC GOLF COURSES (7992)</v>
      </c>
    </row>
    <row r="1075" spans="1:14" x14ac:dyDescent="0.45">
      <c r="A1075" s="4">
        <v>7993</v>
      </c>
      <c r="B1075" t="s">
        <v>1266</v>
      </c>
      <c r="C1075" t="s">
        <v>1263</v>
      </c>
      <c r="D1075" t="s">
        <v>1254</v>
      </c>
      <c r="E1075" t="s">
        <v>1151</v>
      </c>
      <c r="F1075" t="s">
        <v>35</v>
      </c>
      <c r="G1075">
        <v>37</v>
      </c>
      <c r="H1075">
        <v>4.0500000000000001E-2</v>
      </c>
      <c r="I1075" t="s">
        <v>1413</v>
      </c>
      <c r="J1075" s="2" t="s">
        <v>2142</v>
      </c>
      <c r="K1075">
        <v>1</v>
      </c>
      <c r="L1075">
        <v>1</v>
      </c>
      <c r="M1075" t="s">
        <v>18</v>
      </c>
      <c r="N1075" t="str">
        <f t="shared" si="16"/>
        <v>COIN-OPERATED AMUSEMENT DEVICES (7993)</v>
      </c>
    </row>
    <row r="1076" spans="1:14" x14ac:dyDescent="0.45">
      <c r="A1076" s="4">
        <v>7996</v>
      </c>
      <c r="B1076" t="s">
        <v>1267</v>
      </c>
      <c r="C1076" t="s">
        <v>1263</v>
      </c>
      <c r="D1076" t="s">
        <v>1254</v>
      </c>
      <c r="E1076" t="s">
        <v>1151</v>
      </c>
      <c r="F1076" t="s">
        <v>35</v>
      </c>
      <c r="G1076">
        <v>37</v>
      </c>
      <c r="H1076">
        <v>4.0500000000000001E-2</v>
      </c>
      <c r="I1076" t="s">
        <v>1413</v>
      </c>
      <c r="J1076" s="2" t="s">
        <v>2142</v>
      </c>
      <c r="K1076">
        <v>1</v>
      </c>
      <c r="L1076">
        <v>1</v>
      </c>
      <c r="M1076" t="s">
        <v>18</v>
      </c>
      <c r="N1076" t="str">
        <f t="shared" si="16"/>
        <v>AMUSEMENT PARKS (7996)</v>
      </c>
    </row>
    <row r="1077" spans="1:14" x14ac:dyDescent="0.45">
      <c r="A1077" s="4">
        <v>7997</v>
      </c>
      <c r="B1077" t="s">
        <v>1268</v>
      </c>
      <c r="C1077" t="s">
        <v>1263</v>
      </c>
      <c r="D1077" t="s">
        <v>1254</v>
      </c>
      <c r="E1077" t="s">
        <v>1151</v>
      </c>
      <c r="F1077" t="s">
        <v>35</v>
      </c>
      <c r="G1077">
        <v>37</v>
      </c>
      <c r="H1077">
        <v>4.0500000000000001E-2</v>
      </c>
      <c r="I1077" t="s">
        <v>1413</v>
      </c>
      <c r="J1077" s="2" t="s">
        <v>2142</v>
      </c>
      <c r="K1077">
        <v>1</v>
      </c>
      <c r="L1077">
        <v>1</v>
      </c>
      <c r="M1077" t="s">
        <v>18</v>
      </c>
      <c r="N1077" t="str">
        <f t="shared" si="16"/>
        <v>MEMBERSHIP SPORTS AND RECREATION CLUBS (7997)</v>
      </c>
    </row>
    <row r="1078" spans="1:14" x14ac:dyDescent="0.45">
      <c r="A1078" s="4">
        <v>7999</v>
      </c>
      <c r="B1078" t="s">
        <v>1269</v>
      </c>
      <c r="C1078" t="s">
        <v>1263</v>
      </c>
      <c r="D1078" t="s">
        <v>1254</v>
      </c>
      <c r="E1078" t="s">
        <v>1151</v>
      </c>
      <c r="F1078" t="s">
        <v>35</v>
      </c>
      <c r="G1078">
        <v>37</v>
      </c>
      <c r="H1078">
        <v>4.0500000000000001E-2</v>
      </c>
      <c r="I1078" t="s">
        <v>1413</v>
      </c>
      <c r="J1078" s="2" t="s">
        <v>2142</v>
      </c>
      <c r="K1078">
        <v>1</v>
      </c>
      <c r="L1078">
        <v>1</v>
      </c>
      <c r="M1078" t="s">
        <v>18</v>
      </c>
      <c r="N1078" t="str">
        <f t="shared" si="16"/>
        <v>AMUSEMENT AND RECREATION, NEC (7999)</v>
      </c>
    </row>
    <row r="1079" spans="1:14" x14ac:dyDescent="0.45">
      <c r="A1079" s="4">
        <v>8000</v>
      </c>
      <c r="B1079" t="s">
        <v>1151</v>
      </c>
      <c r="C1079" t="s">
        <v>1151</v>
      </c>
      <c r="D1079" t="s">
        <v>1151</v>
      </c>
      <c r="E1079" t="s">
        <v>1151</v>
      </c>
      <c r="F1079" t="s">
        <v>19</v>
      </c>
      <c r="G1079">
        <v>17</v>
      </c>
      <c r="H1079">
        <v>6.8311818309640449E-2</v>
      </c>
      <c r="I1079" t="s">
        <v>1413</v>
      </c>
      <c r="J1079" s="2" t="s">
        <v>2145</v>
      </c>
      <c r="K1079">
        <v>1</v>
      </c>
      <c r="L1079">
        <v>1</v>
      </c>
      <c r="M1079" t="s">
        <v>18</v>
      </c>
      <c r="N1079" t="str">
        <f t="shared" si="16"/>
        <v>SERVICES (8000)</v>
      </c>
    </row>
    <row r="1080" spans="1:14" x14ac:dyDescent="0.45">
      <c r="A1080" s="4">
        <v>8011</v>
      </c>
      <c r="B1080" t="s">
        <v>1270</v>
      </c>
      <c r="C1080" t="s">
        <v>1271</v>
      </c>
      <c r="D1080" t="s">
        <v>1272</v>
      </c>
      <c r="E1080" t="s">
        <v>1151</v>
      </c>
      <c r="F1080" t="s">
        <v>19</v>
      </c>
      <c r="G1080">
        <v>17</v>
      </c>
      <c r="H1080">
        <v>6.8311818309640449E-2</v>
      </c>
      <c r="I1080" t="s">
        <v>1413</v>
      </c>
      <c r="J1080" s="2" t="s">
        <v>2145</v>
      </c>
      <c r="K1080">
        <v>1</v>
      </c>
      <c r="L1080">
        <v>1</v>
      </c>
      <c r="M1080" t="s">
        <v>18</v>
      </c>
      <c r="N1080" t="str">
        <f t="shared" si="16"/>
        <v>OFFICES AND CLINICS OF MEDICAL DOCTORS (8011)</v>
      </c>
    </row>
    <row r="1081" spans="1:14" x14ac:dyDescent="0.45">
      <c r="A1081" s="4">
        <v>8021</v>
      </c>
      <c r="B1081" t="s">
        <v>1273</v>
      </c>
      <c r="C1081" t="s">
        <v>1274</v>
      </c>
      <c r="D1081" t="s">
        <v>1272</v>
      </c>
      <c r="E1081" t="s">
        <v>1151</v>
      </c>
      <c r="F1081" t="s">
        <v>19</v>
      </c>
      <c r="G1081">
        <v>17</v>
      </c>
      <c r="H1081">
        <v>6.8311818309640449E-2</v>
      </c>
      <c r="I1081" t="s">
        <v>1413</v>
      </c>
      <c r="J1081" s="2" t="s">
        <v>2145</v>
      </c>
      <c r="K1081">
        <v>1</v>
      </c>
      <c r="L1081">
        <v>1</v>
      </c>
      <c r="M1081" t="s">
        <v>18</v>
      </c>
      <c r="N1081" t="str">
        <f t="shared" si="16"/>
        <v>OFFICES AND CLINICS OF DENTISTS (8021)</v>
      </c>
    </row>
    <row r="1082" spans="1:14" x14ac:dyDescent="0.45">
      <c r="A1082" s="4">
        <v>8031</v>
      </c>
      <c r="B1082" t="s">
        <v>1275</v>
      </c>
      <c r="C1082" t="s">
        <v>1276</v>
      </c>
      <c r="D1082" t="s">
        <v>1272</v>
      </c>
      <c r="E1082" t="s">
        <v>1151</v>
      </c>
      <c r="F1082" t="s">
        <v>19</v>
      </c>
      <c r="G1082">
        <v>17</v>
      </c>
      <c r="H1082">
        <v>6.8311818309640449E-2</v>
      </c>
      <c r="I1082" t="s">
        <v>1413</v>
      </c>
      <c r="J1082" s="2" t="s">
        <v>2145</v>
      </c>
      <c r="K1082">
        <v>1</v>
      </c>
      <c r="L1082">
        <v>1</v>
      </c>
      <c r="M1082" t="s">
        <v>18</v>
      </c>
      <c r="N1082" t="str">
        <f t="shared" si="16"/>
        <v>OFFICES AND CLINICS OF OSTEOPATHIC PHYSICIANS (8031)</v>
      </c>
    </row>
    <row r="1083" spans="1:14" x14ac:dyDescent="0.45">
      <c r="A1083" s="4">
        <v>8041</v>
      </c>
      <c r="B1083" t="s">
        <v>1277</v>
      </c>
      <c r="C1083" t="s">
        <v>1278</v>
      </c>
      <c r="D1083" t="s">
        <v>1272</v>
      </c>
      <c r="E1083" t="s">
        <v>1151</v>
      </c>
      <c r="F1083" t="s">
        <v>19</v>
      </c>
      <c r="G1083">
        <v>17</v>
      </c>
      <c r="H1083">
        <v>6.8311818309640449E-2</v>
      </c>
      <c r="I1083" t="s">
        <v>1413</v>
      </c>
      <c r="J1083" s="2" t="s">
        <v>2145</v>
      </c>
      <c r="K1083">
        <v>1</v>
      </c>
      <c r="L1083">
        <v>1</v>
      </c>
      <c r="M1083" t="s">
        <v>18</v>
      </c>
      <c r="N1083" t="str">
        <f t="shared" si="16"/>
        <v>OFFICES AND CLINICS OF CHIROPRACTORS (8041)</v>
      </c>
    </row>
    <row r="1084" spans="1:14" x14ac:dyDescent="0.45">
      <c r="A1084" s="4">
        <v>8042</v>
      </c>
      <c r="B1084" t="s">
        <v>1279</v>
      </c>
      <c r="C1084" t="s">
        <v>1278</v>
      </c>
      <c r="D1084" t="s">
        <v>1272</v>
      </c>
      <c r="E1084" t="s">
        <v>1151</v>
      </c>
      <c r="F1084" t="s">
        <v>19</v>
      </c>
      <c r="G1084">
        <v>17</v>
      </c>
      <c r="H1084">
        <v>6.8311818309640449E-2</v>
      </c>
      <c r="I1084" t="s">
        <v>1413</v>
      </c>
      <c r="J1084" s="2" t="s">
        <v>2145</v>
      </c>
      <c r="K1084">
        <v>1</v>
      </c>
      <c r="L1084">
        <v>1</v>
      </c>
      <c r="M1084" t="s">
        <v>18</v>
      </c>
      <c r="N1084" t="str">
        <f t="shared" si="16"/>
        <v>OFFICES AND CLINICS OF OPTOMETRISTS (8042)</v>
      </c>
    </row>
    <row r="1085" spans="1:14" x14ac:dyDescent="0.45">
      <c r="A1085" s="4">
        <v>8043</v>
      </c>
      <c r="B1085" t="s">
        <v>1280</v>
      </c>
      <c r="C1085" t="s">
        <v>1278</v>
      </c>
      <c r="D1085" t="s">
        <v>1272</v>
      </c>
      <c r="E1085" t="s">
        <v>1151</v>
      </c>
      <c r="F1085" t="s">
        <v>19</v>
      </c>
      <c r="G1085">
        <v>17</v>
      </c>
      <c r="H1085">
        <v>6.8311818309640449E-2</v>
      </c>
      <c r="I1085" t="s">
        <v>1413</v>
      </c>
      <c r="J1085" s="2" t="s">
        <v>2145</v>
      </c>
      <c r="K1085">
        <v>1</v>
      </c>
      <c r="L1085">
        <v>1</v>
      </c>
      <c r="M1085" t="s">
        <v>18</v>
      </c>
      <c r="N1085" t="str">
        <f t="shared" si="16"/>
        <v>OFFICES AND CLINICS OF PODIATRISTS (8043)</v>
      </c>
    </row>
    <row r="1086" spans="1:14" x14ac:dyDescent="0.45">
      <c r="A1086" s="4">
        <v>8049</v>
      </c>
      <c r="B1086" t="s">
        <v>1281</v>
      </c>
      <c r="C1086" t="s">
        <v>1278</v>
      </c>
      <c r="D1086" t="s">
        <v>1272</v>
      </c>
      <c r="E1086" t="s">
        <v>1151</v>
      </c>
      <c r="F1086" t="s">
        <v>19</v>
      </c>
      <c r="G1086">
        <v>17</v>
      </c>
      <c r="H1086">
        <v>6.8311818309640449E-2</v>
      </c>
      <c r="I1086" t="s">
        <v>1413</v>
      </c>
      <c r="J1086" s="2" t="s">
        <v>2145</v>
      </c>
      <c r="K1086">
        <v>1</v>
      </c>
      <c r="L1086">
        <v>1</v>
      </c>
      <c r="M1086" t="s">
        <v>18</v>
      </c>
      <c r="N1086" t="str">
        <f t="shared" si="16"/>
        <v>OFFICES OF HEALTH PRACTITIONER (8049)</v>
      </c>
    </row>
    <row r="1087" spans="1:14" x14ac:dyDescent="0.45">
      <c r="A1087" s="4">
        <v>8050</v>
      </c>
      <c r="B1087" t="s">
        <v>1282</v>
      </c>
      <c r="C1087" t="s">
        <v>1282</v>
      </c>
      <c r="D1087" t="s">
        <v>1272</v>
      </c>
      <c r="E1087" t="s">
        <v>1151</v>
      </c>
      <c r="F1087" t="s">
        <v>19</v>
      </c>
      <c r="G1087">
        <v>17</v>
      </c>
      <c r="H1087">
        <v>6.8311818309640449E-2</v>
      </c>
      <c r="I1087" t="s">
        <v>1413</v>
      </c>
      <c r="J1087" s="2" t="s">
        <v>2145</v>
      </c>
      <c r="K1087">
        <v>1</v>
      </c>
      <c r="L1087">
        <v>1</v>
      </c>
      <c r="M1087" t="s">
        <v>18</v>
      </c>
      <c r="N1087" t="str">
        <f t="shared" si="16"/>
        <v>NURSING AND PERSONAL CARE FACILITIES (8050)</v>
      </c>
    </row>
    <row r="1088" spans="1:14" x14ac:dyDescent="0.45">
      <c r="A1088" s="4">
        <v>8051</v>
      </c>
      <c r="B1088" t="s">
        <v>1283</v>
      </c>
      <c r="C1088" t="s">
        <v>1282</v>
      </c>
      <c r="D1088" t="s">
        <v>1272</v>
      </c>
      <c r="E1088" t="s">
        <v>1151</v>
      </c>
      <c r="F1088" t="s">
        <v>19</v>
      </c>
      <c r="G1088">
        <v>17</v>
      </c>
      <c r="H1088">
        <v>6.8311818309640449E-2</v>
      </c>
      <c r="I1088" t="s">
        <v>1413</v>
      </c>
      <c r="J1088" s="2" t="s">
        <v>2145</v>
      </c>
      <c r="K1088">
        <v>1</v>
      </c>
      <c r="L1088">
        <v>1</v>
      </c>
      <c r="M1088" t="s">
        <v>18</v>
      </c>
      <c r="N1088" t="str">
        <f t="shared" si="16"/>
        <v>SKILLED NURSING CARE FACILITIES (8051)</v>
      </c>
    </row>
    <row r="1089" spans="1:14" x14ac:dyDescent="0.45">
      <c r="A1089" s="4">
        <v>8052</v>
      </c>
      <c r="B1089" t="s">
        <v>1284</v>
      </c>
      <c r="C1089" t="s">
        <v>1282</v>
      </c>
      <c r="D1089" t="s">
        <v>1272</v>
      </c>
      <c r="E1089" t="s">
        <v>1151</v>
      </c>
      <c r="F1089" t="s">
        <v>19</v>
      </c>
      <c r="G1089">
        <v>17</v>
      </c>
      <c r="H1089">
        <v>6.8311818309640449E-2</v>
      </c>
      <c r="I1089" t="s">
        <v>1413</v>
      </c>
      <c r="J1089" s="2" t="s">
        <v>2145</v>
      </c>
      <c r="K1089">
        <v>1</v>
      </c>
      <c r="L1089">
        <v>1</v>
      </c>
      <c r="M1089" t="s">
        <v>18</v>
      </c>
      <c r="N1089" t="str">
        <f t="shared" si="16"/>
        <v>INTERMEDIATE CARE FACILITIES (8052)</v>
      </c>
    </row>
    <row r="1090" spans="1:14" x14ac:dyDescent="0.45">
      <c r="A1090" s="4">
        <v>8059</v>
      </c>
      <c r="B1090" t="s">
        <v>1285</v>
      </c>
      <c r="C1090" t="s">
        <v>1282</v>
      </c>
      <c r="D1090" t="s">
        <v>1272</v>
      </c>
      <c r="E1090" t="s">
        <v>1151</v>
      </c>
      <c r="F1090" t="s">
        <v>19</v>
      </c>
      <c r="G1090">
        <v>17</v>
      </c>
      <c r="H1090">
        <v>6.8311818309640449E-2</v>
      </c>
      <c r="I1090" t="s">
        <v>1413</v>
      </c>
      <c r="J1090" s="2" t="s">
        <v>2145</v>
      </c>
      <c r="K1090">
        <v>1</v>
      </c>
      <c r="L1090">
        <v>1</v>
      </c>
      <c r="M1090" t="s">
        <v>18</v>
      </c>
      <c r="N1090" t="str">
        <f t="shared" si="16"/>
        <v>NURSING AND PERSONAL CARE, NEC (8059)</v>
      </c>
    </row>
    <row r="1091" spans="1:14" x14ac:dyDescent="0.45">
      <c r="A1091" s="4">
        <v>8060</v>
      </c>
      <c r="B1091" t="s">
        <v>1286</v>
      </c>
      <c r="C1091" t="s">
        <v>1286</v>
      </c>
      <c r="D1091" t="s">
        <v>1272</v>
      </c>
      <c r="E1091" t="s">
        <v>1151</v>
      </c>
      <c r="F1091" t="s">
        <v>19</v>
      </c>
      <c r="G1091">
        <v>17</v>
      </c>
      <c r="H1091">
        <v>6.8311818309640449E-2</v>
      </c>
      <c r="I1091" t="s">
        <v>1413</v>
      </c>
      <c r="J1091" s="2" t="s">
        <v>2145</v>
      </c>
      <c r="K1091">
        <v>1</v>
      </c>
      <c r="L1091">
        <v>1</v>
      </c>
      <c r="M1091" t="s">
        <v>18</v>
      </c>
      <c r="N1091" t="str">
        <f t="shared" ref="N1091:N1154" si="17">B1091&amp;" ("&amp;A1091&amp;")"</f>
        <v>HOSPITALS (8060)</v>
      </c>
    </row>
    <row r="1092" spans="1:14" x14ac:dyDescent="0.45">
      <c r="A1092" s="4">
        <v>8062</v>
      </c>
      <c r="B1092" t="s">
        <v>1287</v>
      </c>
      <c r="C1092" t="s">
        <v>1286</v>
      </c>
      <c r="D1092" t="s">
        <v>1272</v>
      </c>
      <c r="E1092" t="s">
        <v>1151</v>
      </c>
      <c r="F1092" t="s">
        <v>19</v>
      </c>
      <c r="G1092">
        <v>17</v>
      </c>
      <c r="H1092">
        <v>6.8311818309640449E-2</v>
      </c>
      <c r="I1092" t="s">
        <v>1413</v>
      </c>
      <c r="J1092" s="2" t="s">
        <v>2145</v>
      </c>
      <c r="K1092">
        <v>1</v>
      </c>
      <c r="L1092">
        <v>1</v>
      </c>
      <c r="M1092" t="s">
        <v>18</v>
      </c>
      <c r="N1092" t="str">
        <f t="shared" si="17"/>
        <v>GENERAL MEDICAL AND SURGICAL HOSPITALS (8062)</v>
      </c>
    </row>
    <row r="1093" spans="1:14" x14ac:dyDescent="0.45">
      <c r="A1093" s="4">
        <v>8063</v>
      </c>
      <c r="B1093" t="s">
        <v>1288</v>
      </c>
      <c r="C1093" t="s">
        <v>1286</v>
      </c>
      <c r="D1093" t="s">
        <v>1272</v>
      </c>
      <c r="E1093" t="s">
        <v>1151</v>
      </c>
      <c r="F1093" t="s">
        <v>19</v>
      </c>
      <c r="G1093">
        <v>17</v>
      </c>
      <c r="H1093">
        <v>6.8311818309640449E-2</v>
      </c>
      <c r="I1093" t="s">
        <v>1413</v>
      </c>
      <c r="J1093" s="2" t="s">
        <v>2145</v>
      </c>
      <c r="K1093">
        <v>1</v>
      </c>
      <c r="L1093">
        <v>1</v>
      </c>
      <c r="M1093" t="s">
        <v>18</v>
      </c>
      <c r="N1093" t="str">
        <f t="shared" si="17"/>
        <v>PSYCHIATRIC HOSPITALS (8063)</v>
      </c>
    </row>
    <row r="1094" spans="1:14" x14ac:dyDescent="0.45">
      <c r="A1094" s="4">
        <v>8069</v>
      </c>
      <c r="B1094" t="s">
        <v>1289</v>
      </c>
      <c r="C1094" t="s">
        <v>1286</v>
      </c>
      <c r="D1094" t="s">
        <v>1272</v>
      </c>
      <c r="E1094" t="s">
        <v>1151</v>
      </c>
      <c r="F1094" t="s">
        <v>19</v>
      </c>
      <c r="G1094">
        <v>17</v>
      </c>
      <c r="H1094">
        <v>6.8311818309640449E-2</v>
      </c>
      <c r="I1094" t="s">
        <v>1413</v>
      </c>
      <c r="J1094" s="2" t="s">
        <v>2145</v>
      </c>
      <c r="K1094">
        <v>1</v>
      </c>
      <c r="L1094">
        <v>1</v>
      </c>
      <c r="M1094" t="s">
        <v>18</v>
      </c>
      <c r="N1094" t="str">
        <f t="shared" si="17"/>
        <v>SPECIALTY HOSPITALS, EXCEPT PSYCHIATRIC (8069)</v>
      </c>
    </row>
    <row r="1095" spans="1:14" x14ac:dyDescent="0.45">
      <c r="A1095" s="4">
        <v>8071</v>
      </c>
      <c r="B1095" t="s">
        <v>1290</v>
      </c>
      <c r="C1095" t="s">
        <v>1291</v>
      </c>
      <c r="D1095" t="s">
        <v>1272</v>
      </c>
      <c r="E1095" t="s">
        <v>1151</v>
      </c>
      <c r="F1095" t="s">
        <v>19</v>
      </c>
      <c r="G1095">
        <v>17</v>
      </c>
      <c r="H1095">
        <v>6.8311818309640449E-2</v>
      </c>
      <c r="I1095" t="s">
        <v>1413</v>
      </c>
      <c r="J1095" s="2" t="s">
        <v>2145</v>
      </c>
      <c r="K1095">
        <v>1</v>
      </c>
      <c r="L1095">
        <v>1</v>
      </c>
      <c r="M1095" t="s">
        <v>18</v>
      </c>
      <c r="N1095" t="str">
        <f t="shared" si="17"/>
        <v>MEDICAL LABORATORIES (8071)</v>
      </c>
    </row>
    <row r="1096" spans="1:14" x14ac:dyDescent="0.45">
      <c r="A1096" s="4">
        <v>8072</v>
      </c>
      <c r="B1096" t="s">
        <v>1292</v>
      </c>
      <c r="C1096" t="s">
        <v>1291</v>
      </c>
      <c r="D1096" t="s">
        <v>1272</v>
      </c>
      <c r="E1096" t="s">
        <v>1151</v>
      </c>
      <c r="F1096" t="s">
        <v>19</v>
      </c>
      <c r="G1096">
        <v>17</v>
      </c>
      <c r="H1096">
        <v>6.8311818309640449E-2</v>
      </c>
      <c r="I1096" t="s">
        <v>1413</v>
      </c>
      <c r="J1096" s="2" t="s">
        <v>2145</v>
      </c>
      <c r="K1096">
        <v>1</v>
      </c>
      <c r="L1096">
        <v>1</v>
      </c>
      <c r="M1096" t="s">
        <v>18</v>
      </c>
      <c r="N1096" t="str">
        <f t="shared" si="17"/>
        <v>DENTAL LABORATORIES (8072)</v>
      </c>
    </row>
    <row r="1097" spans="1:14" x14ac:dyDescent="0.45">
      <c r="A1097" s="4">
        <v>8082</v>
      </c>
      <c r="B1097" t="s">
        <v>1293</v>
      </c>
      <c r="C1097" t="s">
        <v>1293</v>
      </c>
      <c r="D1097" t="s">
        <v>1272</v>
      </c>
      <c r="E1097" t="s">
        <v>1151</v>
      </c>
      <c r="F1097" t="s">
        <v>19</v>
      </c>
      <c r="G1097">
        <v>17</v>
      </c>
      <c r="H1097">
        <v>6.8311818309640449E-2</v>
      </c>
      <c r="I1097" t="s">
        <v>1413</v>
      </c>
      <c r="J1097" s="2" t="s">
        <v>2145</v>
      </c>
      <c r="K1097">
        <v>1</v>
      </c>
      <c r="L1097">
        <v>1</v>
      </c>
      <c r="M1097" t="s">
        <v>18</v>
      </c>
      <c r="N1097" t="str">
        <f t="shared" si="17"/>
        <v>HOME HEALTH CARE SERVICES (8082)</v>
      </c>
    </row>
    <row r="1098" spans="1:14" x14ac:dyDescent="0.45">
      <c r="A1098" s="4">
        <v>8090</v>
      </c>
      <c r="B1098" t="s">
        <v>1294</v>
      </c>
      <c r="C1098" t="s">
        <v>1294</v>
      </c>
      <c r="D1098" t="s">
        <v>1272</v>
      </c>
      <c r="E1098" t="s">
        <v>1151</v>
      </c>
      <c r="F1098" t="s">
        <v>19</v>
      </c>
      <c r="G1098">
        <v>17</v>
      </c>
      <c r="H1098">
        <v>6.8311818309640449E-2</v>
      </c>
      <c r="I1098" t="s">
        <v>1413</v>
      </c>
      <c r="J1098" s="2" t="s">
        <v>2145</v>
      </c>
      <c r="K1098">
        <v>1</v>
      </c>
      <c r="L1098">
        <v>1</v>
      </c>
      <c r="M1098" t="s">
        <v>18</v>
      </c>
      <c r="N1098" t="str">
        <f t="shared" si="17"/>
        <v>HEALTH AND ALLIED SERVICES, N.E.C. (8090)</v>
      </c>
    </row>
    <row r="1099" spans="1:14" x14ac:dyDescent="0.45">
      <c r="A1099" s="4">
        <v>8092</v>
      </c>
      <c r="B1099" t="s">
        <v>1295</v>
      </c>
      <c r="C1099" t="s">
        <v>1294</v>
      </c>
      <c r="D1099" t="s">
        <v>1272</v>
      </c>
      <c r="E1099" t="s">
        <v>1151</v>
      </c>
      <c r="F1099" t="s">
        <v>19</v>
      </c>
      <c r="G1099">
        <v>17</v>
      </c>
      <c r="H1099">
        <v>6.8311818309640449E-2</v>
      </c>
      <c r="I1099" t="s">
        <v>1413</v>
      </c>
      <c r="J1099" s="2" t="s">
        <v>2145</v>
      </c>
      <c r="K1099">
        <v>1</v>
      </c>
      <c r="L1099">
        <v>1</v>
      </c>
      <c r="M1099" t="s">
        <v>18</v>
      </c>
      <c r="N1099" t="str">
        <f t="shared" si="17"/>
        <v>KIDNEY DIALYSIS CENTERS (8092)</v>
      </c>
    </row>
    <row r="1100" spans="1:14" x14ac:dyDescent="0.45">
      <c r="A1100" s="4">
        <v>8093</v>
      </c>
      <c r="B1100" t="s">
        <v>1296</v>
      </c>
      <c r="C1100" t="s">
        <v>1294</v>
      </c>
      <c r="D1100" t="s">
        <v>1272</v>
      </c>
      <c r="E1100" t="s">
        <v>1151</v>
      </c>
      <c r="F1100" t="s">
        <v>19</v>
      </c>
      <c r="G1100">
        <v>17</v>
      </c>
      <c r="H1100">
        <v>6.8311818309640449E-2</v>
      </c>
      <c r="I1100" t="s">
        <v>1413</v>
      </c>
      <c r="J1100" s="2" t="s">
        <v>2145</v>
      </c>
      <c r="K1100">
        <v>1</v>
      </c>
      <c r="L1100">
        <v>1</v>
      </c>
      <c r="M1100" t="s">
        <v>18</v>
      </c>
      <c r="N1100" t="str">
        <f t="shared" si="17"/>
        <v>SPECIALTY OUTPATIENT CLINICS, NEC (8093)</v>
      </c>
    </row>
    <row r="1101" spans="1:14" x14ac:dyDescent="0.45">
      <c r="A1101" s="4">
        <v>8099</v>
      </c>
      <c r="B1101" t="s">
        <v>1297</v>
      </c>
      <c r="C1101" t="s">
        <v>1294</v>
      </c>
      <c r="D1101" t="s">
        <v>1272</v>
      </c>
      <c r="E1101" t="s">
        <v>1151</v>
      </c>
      <c r="F1101" t="s">
        <v>19</v>
      </c>
      <c r="G1101">
        <v>17</v>
      </c>
      <c r="H1101">
        <v>6.8311818309640449E-2</v>
      </c>
      <c r="I1101" t="s">
        <v>1413</v>
      </c>
      <c r="J1101" s="2" t="s">
        <v>2145</v>
      </c>
      <c r="K1101">
        <v>1</v>
      </c>
      <c r="L1101">
        <v>1</v>
      </c>
      <c r="M1101" t="s">
        <v>18</v>
      </c>
      <c r="N1101" t="str">
        <f t="shared" si="17"/>
        <v>HEALTH AND ALLIED SERVICES, NEC (8099)</v>
      </c>
    </row>
    <row r="1102" spans="1:14" x14ac:dyDescent="0.45">
      <c r="A1102" s="4">
        <v>8111</v>
      </c>
      <c r="B1102" t="s">
        <v>1298</v>
      </c>
      <c r="C1102" t="s">
        <v>1298</v>
      </c>
      <c r="D1102" t="s">
        <v>1298</v>
      </c>
      <c r="E1102" t="s">
        <v>1151</v>
      </c>
      <c r="F1102" t="s">
        <v>38</v>
      </c>
      <c r="G1102">
        <v>41</v>
      </c>
      <c r="H1102">
        <v>1.6199999999999999E-2</v>
      </c>
      <c r="I1102" t="s">
        <v>1413</v>
      </c>
      <c r="J1102" s="2" t="s">
        <v>2146</v>
      </c>
      <c r="K1102">
        <v>1</v>
      </c>
      <c r="L1102">
        <v>1</v>
      </c>
      <c r="M1102" t="s">
        <v>18</v>
      </c>
      <c r="N1102" t="str">
        <f t="shared" si="17"/>
        <v>LEGAL SERVICES (8111)</v>
      </c>
    </row>
    <row r="1103" spans="1:14" x14ac:dyDescent="0.45">
      <c r="A1103" s="4">
        <v>8200</v>
      </c>
      <c r="B1103" t="s">
        <v>1299</v>
      </c>
      <c r="C1103" t="s">
        <v>1299</v>
      </c>
      <c r="D1103" t="s">
        <v>1299</v>
      </c>
      <c r="E1103" t="s">
        <v>1151</v>
      </c>
      <c r="F1103" t="s">
        <v>38</v>
      </c>
      <c r="G1103">
        <v>41</v>
      </c>
      <c r="H1103">
        <v>1.6199999999999999E-2</v>
      </c>
      <c r="I1103" t="s">
        <v>1413</v>
      </c>
      <c r="J1103" s="2" t="s">
        <v>2146</v>
      </c>
      <c r="K1103">
        <v>1</v>
      </c>
      <c r="L1103">
        <v>1</v>
      </c>
      <c r="M1103" t="s">
        <v>18</v>
      </c>
      <c r="N1103" t="str">
        <f t="shared" si="17"/>
        <v>EDUCATIONAL SERVICES (8200)</v>
      </c>
    </row>
    <row r="1104" spans="1:14" x14ac:dyDescent="0.45">
      <c r="A1104" s="4">
        <v>8211</v>
      </c>
      <c r="B1104" t="s">
        <v>1300</v>
      </c>
      <c r="C1104" t="s">
        <v>1300</v>
      </c>
      <c r="D1104" t="s">
        <v>1299</v>
      </c>
      <c r="E1104" t="s">
        <v>1151</v>
      </c>
      <c r="F1104" t="s">
        <v>38</v>
      </c>
      <c r="G1104">
        <v>41</v>
      </c>
      <c r="H1104">
        <v>1.6199999999999999E-2</v>
      </c>
      <c r="I1104" t="s">
        <v>1413</v>
      </c>
      <c r="J1104" s="2" t="s">
        <v>2146</v>
      </c>
      <c r="K1104">
        <v>1</v>
      </c>
      <c r="L1104">
        <v>1</v>
      </c>
      <c r="M1104" t="s">
        <v>18</v>
      </c>
      <c r="N1104" t="str">
        <f t="shared" si="17"/>
        <v>ELEMENTARY AND SECONDARY SCHOOLS (8211)</v>
      </c>
    </row>
    <row r="1105" spans="1:14" x14ac:dyDescent="0.45">
      <c r="A1105" s="4">
        <v>8221</v>
      </c>
      <c r="B1105" t="s">
        <v>1301</v>
      </c>
      <c r="C1105" t="s">
        <v>1301</v>
      </c>
      <c r="D1105" t="s">
        <v>1299</v>
      </c>
      <c r="E1105" t="s">
        <v>1151</v>
      </c>
      <c r="F1105" t="s">
        <v>38</v>
      </c>
      <c r="G1105">
        <v>41</v>
      </c>
      <c r="H1105">
        <v>1.6199999999999999E-2</v>
      </c>
      <c r="I1105" t="s">
        <v>1413</v>
      </c>
      <c r="J1105" s="2" t="s">
        <v>2146</v>
      </c>
      <c r="K1105">
        <v>1</v>
      </c>
      <c r="L1105">
        <v>1</v>
      </c>
      <c r="M1105" t="s">
        <v>18</v>
      </c>
      <c r="N1105" t="str">
        <f t="shared" si="17"/>
        <v>COLLEGES AND UNIVERSITIES (8221)</v>
      </c>
    </row>
    <row r="1106" spans="1:14" x14ac:dyDescent="0.45">
      <c r="A1106" s="4">
        <v>8222</v>
      </c>
      <c r="B1106" t="s">
        <v>1302</v>
      </c>
      <c r="C1106" t="s">
        <v>1301</v>
      </c>
      <c r="D1106" t="s">
        <v>1299</v>
      </c>
      <c r="E1106" t="s">
        <v>1151</v>
      </c>
      <c r="F1106" t="s">
        <v>38</v>
      </c>
      <c r="G1106">
        <v>41</v>
      </c>
      <c r="H1106">
        <v>1.6199999999999999E-2</v>
      </c>
      <c r="I1106" t="s">
        <v>1413</v>
      </c>
      <c r="J1106" s="2" t="s">
        <v>2146</v>
      </c>
      <c r="K1106">
        <v>1</v>
      </c>
      <c r="L1106">
        <v>1</v>
      </c>
      <c r="M1106" t="s">
        <v>18</v>
      </c>
      <c r="N1106" t="str">
        <f t="shared" si="17"/>
        <v>JUNIOR COLLEGES (8222)</v>
      </c>
    </row>
    <row r="1107" spans="1:14" x14ac:dyDescent="0.45">
      <c r="A1107" s="4">
        <v>8231</v>
      </c>
      <c r="B1107" t="s">
        <v>1303</v>
      </c>
      <c r="C1107" t="s">
        <v>1303</v>
      </c>
      <c r="D1107" t="s">
        <v>1299</v>
      </c>
      <c r="E1107" t="s">
        <v>1151</v>
      </c>
      <c r="F1107" t="s">
        <v>38</v>
      </c>
      <c r="G1107">
        <v>41</v>
      </c>
      <c r="H1107">
        <v>1.6199999999999999E-2</v>
      </c>
      <c r="I1107" t="s">
        <v>1413</v>
      </c>
      <c r="J1107" s="2" t="s">
        <v>2146</v>
      </c>
      <c r="K1107">
        <v>1</v>
      </c>
      <c r="L1107">
        <v>1</v>
      </c>
      <c r="M1107" t="s">
        <v>18</v>
      </c>
      <c r="N1107" t="str">
        <f t="shared" si="17"/>
        <v>LIBRARIES (8231)</v>
      </c>
    </row>
    <row r="1108" spans="1:14" x14ac:dyDescent="0.45">
      <c r="A1108" s="4">
        <v>8243</v>
      </c>
      <c r="B1108" t="s">
        <v>1304</v>
      </c>
      <c r="C1108" t="s">
        <v>1305</v>
      </c>
      <c r="D1108" t="s">
        <v>1299</v>
      </c>
      <c r="E1108" t="s">
        <v>1151</v>
      </c>
      <c r="F1108" t="s">
        <v>38</v>
      </c>
      <c r="G1108">
        <v>41</v>
      </c>
      <c r="H1108">
        <v>1.6199999999999999E-2</v>
      </c>
      <c r="I1108" t="s">
        <v>1413</v>
      </c>
      <c r="J1108" s="2" t="s">
        <v>2146</v>
      </c>
      <c r="K1108">
        <v>1</v>
      </c>
      <c r="L1108">
        <v>1</v>
      </c>
      <c r="M1108" t="s">
        <v>18</v>
      </c>
      <c r="N1108" t="str">
        <f t="shared" si="17"/>
        <v>DATA PROCESSING SCHOOLS (8243)</v>
      </c>
    </row>
    <row r="1109" spans="1:14" x14ac:dyDescent="0.45">
      <c r="A1109" s="4">
        <v>8244</v>
      </c>
      <c r="B1109" t="s">
        <v>1306</v>
      </c>
      <c r="C1109" t="s">
        <v>1305</v>
      </c>
      <c r="D1109" t="s">
        <v>1299</v>
      </c>
      <c r="E1109" t="s">
        <v>1151</v>
      </c>
      <c r="F1109" t="s">
        <v>38</v>
      </c>
      <c r="G1109">
        <v>41</v>
      </c>
      <c r="H1109">
        <v>1.6199999999999999E-2</v>
      </c>
      <c r="I1109" t="s">
        <v>1413</v>
      </c>
      <c r="J1109" s="2" t="s">
        <v>2146</v>
      </c>
      <c r="K1109">
        <v>1</v>
      </c>
      <c r="L1109">
        <v>1</v>
      </c>
      <c r="M1109" t="s">
        <v>18</v>
      </c>
      <c r="N1109" t="str">
        <f t="shared" si="17"/>
        <v>BUSINESS AND SECRETARIAL SCHOOLS (8244)</v>
      </c>
    </row>
    <row r="1110" spans="1:14" x14ac:dyDescent="0.45">
      <c r="A1110" s="4">
        <v>8249</v>
      </c>
      <c r="B1110" t="s">
        <v>1307</v>
      </c>
      <c r="C1110" t="s">
        <v>1305</v>
      </c>
      <c r="D1110" t="s">
        <v>1299</v>
      </c>
      <c r="E1110" t="s">
        <v>1151</v>
      </c>
      <c r="F1110" t="s">
        <v>38</v>
      </c>
      <c r="G1110">
        <v>41</v>
      </c>
      <c r="H1110">
        <v>1.6199999999999999E-2</v>
      </c>
      <c r="I1110" t="s">
        <v>1413</v>
      </c>
      <c r="J1110" s="2" t="s">
        <v>2146</v>
      </c>
      <c r="K1110">
        <v>1</v>
      </c>
      <c r="L1110">
        <v>1</v>
      </c>
      <c r="M1110" t="s">
        <v>18</v>
      </c>
      <c r="N1110" t="str">
        <f t="shared" si="17"/>
        <v>VOCATIONAL SCHOOLS, NEC (8249)</v>
      </c>
    </row>
    <row r="1111" spans="1:14" x14ac:dyDescent="0.45">
      <c r="A1111" s="4">
        <v>8299</v>
      </c>
      <c r="B1111" t="s">
        <v>1308</v>
      </c>
      <c r="C1111" t="s">
        <v>1309</v>
      </c>
      <c r="D1111" t="s">
        <v>1299</v>
      </c>
      <c r="E1111" t="s">
        <v>1151</v>
      </c>
      <c r="F1111" t="s">
        <v>38</v>
      </c>
      <c r="G1111">
        <v>41</v>
      </c>
      <c r="H1111">
        <v>1.6199999999999999E-2</v>
      </c>
      <c r="I1111" t="s">
        <v>1413</v>
      </c>
      <c r="J1111" s="2" t="s">
        <v>2146</v>
      </c>
      <c r="K1111">
        <v>1</v>
      </c>
      <c r="L1111">
        <v>1</v>
      </c>
      <c r="M1111" t="s">
        <v>18</v>
      </c>
      <c r="N1111" t="str">
        <f t="shared" si="17"/>
        <v>SCHOOLS AND EDUCATIONAL SERVICES (8299)</v>
      </c>
    </row>
    <row r="1112" spans="1:14" x14ac:dyDescent="0.45">
      <c r="A1112" s="4">
        <v>8300</v>
      </c>
      <c r="B1112" t="s">
        <v>1310</v>
      </c>
      <c r="C1112" t="s">
        <v>1310</v>
      </c>
      <c r="D1112" t="s">
        <v>1310</v>
      </c>
      <c r="E1112" t="s">
        <v>1151</v>
      </c>
      <c r="F1112" t="s">
        <v>38</v>
      </c>
      <c r="G1112">
        <v>41</v>
      </c>
      <c r="H1112">
        <v>1.6199999999999999E-2</v>
      </c>
      <c r="I1112" t="s">
        <v>1413</v>
      </c>
      <c r="J1112" s="2" t="s">
        <v>2146</v>
      </c>
      <c r="K1112">
        <v>1</v>
      </c>
      <c r="L1112">
        <v>1</v>
      </c>
      <c r="M1112" t="s">
        <v>18</v>
      </c>
      <c r="N1112" t="str">
        <f t="shared" si="17"/>
        <v>SOCIAL SERVICES (8300)</v>
      </c>
    </row>
    <row r="1113" spans="1:14" x14ac:dyDescent="0.45">
      <c r="A1113" s="4">
        <v>8322</v>
      </c>
      <c r="B1113" t="s">
        <v>1311</v>
      </c>
      <c r="C1113" t="s">
        <v>1311</v>
      </c>
      <c r="D1113" t="s">
        <v>1310</v>
      </c>
      <c r="E1113" t="s">
        <v>1151</v>
      </c>
      <c r="F1113" t="s">
        <v>38</v>
      </c>
      <c r="G1113">
        <v>41</v>
      </c>
      <c r="H1113">
        <v>1.6199999999999999E-2</v>
      </c>
      <c r="I1113" t="s">
        <v>1413</v>
      </c>
      <c r="J1113" s="2" t="s">
        <v>2146</v>
      </c>
      <c r="K1113">
        <v>1</v>
      </c>
      <c r="L1113">
        <v>1</v>
      </c>
      <c r="M1113" t="s">
        <v>18</v>
      </c>
      <c r="N1113" t="str">
        <f t="shared" si="17"/>
        <v>INDIVIDUAL AND FAMILY SERVICES (8322)</v>
      </c>
    </row>
    <row r="1114" spans="1:14" x14ac:dyDescent="0.45">
      <c r="A1114" s="4">
        <v>8331</v>
      </c>
      <c r="B1114" t="s">
        <v>1312</v>
      </c>
      <c r="C1114" t="s">
        <v>1312</v>
      </c>
      <c r="D1114" t="s">
        <v>1310</v>
      </c>
      <c r="E1114" t="s">
        <v>1151</v>
      </c>
      <c r="F1114" t="s">
        <v>38</v>
      </c>
      <c r="G1114">
        <v>41</v>
      </c>
      <c r="H1114">
        <v>1.6199999999999999E-2</v>
      </c>
      <c r="I1114" t="s">
        <v>1413</v>
      </c>
      <c r="J1114" s="2" t="s">
        <v>2146</v>
      </c>
      <c r="K1114">
        <v>1</v>
      </c>
      <c r="L1114">
        <v>1</v>
      </c>
      <c r="M1114" t="s">
        <v>18</v>
      </c>
      <c r="N1114" t="str">
        <f t="shared" si="17"/>
        <v>JOB TRAINING AND RELATED SERVICES (8331)</v>
      </c>
    </row>
    <row r="1115" spans="1:14" x14ac:dyDescent="0.45">
      <c r="A1115" s="4">
        <v>8351</v>
      </c>
      <c r="B1115" t="s">
        <v>1313</v>
      </c>
      <c r="C1115" t="s">
        <v>1313</v>
      </c>
      <c r="D1115" t="s">
        <v>1310</v>
      </c>
      <c r="E1115" t="s">
        <v>1151</v>
      </c>
      <c r="F1115" t="s">
        <v>38</v>
      </c>
      <c r="G1115">
        <v>41</v>
      </c>
      <c r="H1115">
        <v>1.6199999999999999E-2</v>
      </c>
      <c r="I1115" t="s">
        <v>1413</v>
      </c>
      <c r="J1115" s="2" t="s">
        <v>2146</v>
      </c>
      <c r="K1115">
        <v>1</v>
      </c>
      <c r="L1115">
        <v>1</v>
      </c>
      <c r="M1115" t="s">
        <v>18</v>
      </c>
      <c r="N1115" t="str">
        <f t="shared" si="17"/>
        <v>CHILD DAY CARE SERVICES (8351)</v>
      </c>
    </row>
    <row r="1116" spans="1:14" x14ac:dyDescent="0.45">
      <c r="A1116" s="4">
        <v>8361</v>
      </c>
      <c r="B1116" t="s">
        <v>1314</v>
      </c>
      <c r="C1116" t="s">
        <v>1314</v>
      </c>
      <c r="D1116" t="s">
        <v>1310</v>
      </c>
      <c r="E1116" t="s">
        <v>1151</v>
      </c>
      <c r="F1116" t="s">
        <v>38</v>
      </c>
      <c r="G1116">
        <v>41</v>
      </c>
      <c r="H1116">
        <v>1.6199999999999999E-2</v>
      </c>
      <c r="I1116" t="s">
        <v>1413</v>
      </c>
      <c r="J1116" s="2" t="s">
        <v>2146</v>
      </c>
      <c r="K1116">
        <v>1</v>
      </c>
      <c r="L1116">
        <v>1</v>
      </c>
      <c r="M1116" t="s">
        <v>18</v>
      </c>
      <c r="N1116" t="str">
        <f t="shared" si="17"/>
        <v>RESIDENTIAL CARE (8361)</v>
      </c>
    </row>
    <row r="1117" spans="1:14" x14ac:dyDescent="0.45">
      <c r="A1117" s="4">
        <v>8399</v>
      </c>
      <c r="B1117" t="s">
        <v>1315</v>
      </c>
      <c r="C1117" t="s">
        <v>1316</v>
      </c>
      <c r="D1117" t="s">
        <v>1310</v>
      </c>
      <c r="E1117" t="s">
        <v>1151</v>
      </c>
      <c r="F1117" t="s">
        <v>38</v>
      </c>
      <c r="G1117">
        <v>41</v>
      </c>
      <c r="H1117">
        <v>1.6199999999999999E-2</v>
      </c>
      <c r="I1117" t="s">
        <v>1413</v>
      </c>
      <c r="J1117" s="2" t="s">
        <v>2146</v>
      </c>
      <c r="K1117">
        <v>1</v>
      </c>
      <c r="L1117">
        <v>1</v>
      </c>
      <c r="M1117" t="s">
        <v>18</v>
      </c>
      <c r="N1117" t="str">
        <f t="shared" si="17"/>
        <v>SOCIAL SERVICES, NEC (8399)</v>
      </c>
    </row>
    <row r="1118" spans="1:14" x14ac:dyDescent="0.45">
      <c r="A1118" s="4">
        <v>8412</v>
      </c>
      <c r="B1118" t="s">
        <v>1317</v>
      </c>
      <c r="C1118" t="s">
        <v>1317</v>
      </c>
      <c r="D1118" t="s">
        <v>1318</v>
      </c>
      <c r="E1118" t="s">
        <v>1151</v>
      </c>
      <c r="F1118" t="s">
        <v>35</v>
      </c>
      <c r="G1118">
        <v>37</v>
      </c>
      <c r="H1118">
        <v>4.0500000000000001E-2</v>
      </c>
      <c r="I1118" t="s">
        <v>1413</v>
      </c>
      <c r="J1118" s="2" t="s">
        <v>2142</v>
      </c>
      <c r="K1118">
        <v>1</v>
      </c>
      <c r="L1118">
        <v>1</v>
      </c>
      <c r="M1118" t="s">
        <v>18</v>
      </c>
      <c r="N1118" t="str">
        <f t="shared" si="17"/>
        <v>MUSEUMS AND ART GALLERIES (8412)</v>
      </c>
    </row>
    <row r="1119" spans="1:14" x14ac:dyDescent="0.45">
      <c r="A1119" s="4">
        <v>8422</v>
      </c>
      <c r="B1119" t="s">
        <v>1319</v>
      </c>
      <c r="C1119" t="s">
        <v>1319</v>
      </c>
      <c r="D1119" t="s">
        <v>1318</v>
      </c>
      <c r="E1119" t="s">
        <v>1151</v>
      </c>
      <c r="F1119" t="s">
        <v>35</v>
      </c>
      <c r="G1119">
        <v>37</v>
      </c>
      <c r="H1119">
        <v>4.0500000000000001E-2</v>
      </c>
      <c r="I1119" t="s">
        <v>1413</v>
      </c>
      <c r="J1119" s="2" t="s">
        <v>2142</v>
      </c>
      <c r="K1119">
        <v>1</v>
      </c>
      <c r="L1119">
        <v>1</v>
      </c>
      <c r="M1119" t="s">
        <v>18</v>
      </c>
      <c r="N1119" t="str">
        <f t="shared" si="17"/>
        <v>BOTANICAL AND ZOOLOGICAL GARDENS (8422)</v>
      </c>
    </row>
    <row r="1120" spans="1:14" x14ac:dyDescent="0.45">
      <c r="A1120" s="4">
        <v>8611</v>
      </c>
      <c r="B1120" t="s">
        <v>1320</v>
      </c>
      <c r="C1120" t="s">
        <v>1320</v>
      </c>
      <c r="D1120" t="s">
        <v>1321</v>
      </c>
      <c r="E1120" t="s">
        <v>1151</v>
      </c>
      <c r="F1120" t="s">
        <v>38</v>
      </c>
      <c r="G1120">
        <v>41</v>
      </c>
      <c r="H1120">
        <v>1.6199999999999999E-2</v>
      </c>
      <c r="I1120" t="s">
        <v>1413</v>
      </c>
      <c r="J1120" s="2" t="s">
        <v>2146</v>
      </c>
      <c r="K1120">
        <v>1</v>
      </c>
      <c r="L1120">
        <v>1</v>
      </c>
      <c r="M1120" t="s">
        <v>18</v>
      </c>
      <c r="N1120" t="str">
        <f t="shared" si="17"/>
        <v>BUSINESS ASSOCIATIONS (8611)</v>
      </c>
    </row>
    <row r="1121" spans="1:14" x14ac:dyDescent="0.45">
      <c r="A1121" s="4">
        <v>8621</v>
      </c>
      <c r="B1121" t="s">
        <v>1322</v>
      </c>
      <c r="C1121" t="s">
        <v>1322</v>
      </c>
      <c r="D1121" t="s">
        <v>1321</v>
      </c>
      <c r="E1121" t="s">
        <v>1151</v>
      </c>
      <c r="F1121" t="s">
        <v>38</v>
      </c>
      <c r="G1121">
        <v>41</v>
      </c>
      <c r="H1121">
        <v>1.6199999999999999E-2</v>
      </c>
      <c r="I1121" t="s">
        <v>1413</v>
      </c>
      <c r="J1121" s="2" t="s">
        <v>2146</v>
      </c>
      <c r="K1121">
        <v>1</v>
      </c>
      <c r="L1121">
        <v>1</v>
      </c>
      <c r="M1121" t="s">
        <v>18</v>
      </c>
      <c r="N1121" t="str">
        <f t="shared" si="17"/>
        <v>PROFESSIONAL ORGANIZATIONS (8621)</v>
      </c>
    </row>
    <row r="1122" spans="1:14" x14ac:dyDescent="0.45">
      <c r="A1122" s="4">
        <v>8631</v>
      </c>
      <c r="B1122" t="s">
        <v>1323</v>
      </c>
      <c r="C1122" t="s">
        <v>1323</v>
      </c>
      <c r="D1122" t="s">
        <v>1321</v>
      </c>
      <c r="E1122" t="s">
        <v>1151</v>
      </c>
      <c r="F1122" t="s">
        <v>38</v>
      </c>
      <c r="G1122">
        <v>41</v>
      </c>
      <c r="H1122">
        <v>1.6199999999999999E-2</v>
      </c>
      <c r="I1122" t="s">
        <v>1413</v>
      </c>
      <c r="J1122" s="2" t="s">
        <v>2146</v>
      </c>
      <c r="K1122">
        <v>1</v>
      </c>
      <c r="L1122">
        <v>1</v>
      </c>
      <c r="M1122" t="s">
        <v>18</v>
      </c>
      <c r="N1122" t="str">
        <f t="shared" si="17"/>
        <v>LABOR ORGANIZATIONS (8631)</v>
      </c>
    </row>
    <row r="1123" spans="1:14" x14ac:dyDescent="0.45">
      <c r="A1123" s="4">
        <v>8641</v>
      </c>
      <c r="B1123" t="s">
        <v>1324</v>
      </c>
      <c r="C1123" t="s">
        <v>1324</v>
      </c>
      <c r="D1123" t="s">
        <v>1321</v>
      </c>
      <c r="E1123" t="s">
        <v>1151</v>
      </c>
      <c r="F1123" t="s">
        <v>38</v>
      </c>
      <c r="G1123">
        <v>41</v>
      </c>
      <c r="H1123">
        <v>1.6199999999999999E-2</v>
      </c>
      <c r="I1123" t="s">
        <v>1413</v>
      </c>
      <c r="J1123" s="2" t="s">
        <v>2146</v>
      </c>
      <c r="K1123">
        <v>1</v>
      </c>
      <c r="L1123">
        <v>1</v>
      </c>
      <c r="M1123" t="s">
        <v>18</v>
      </c>
      <c r="N1123" t="str">
        <f t="shared" si="17"/>
        <v>CIVIC AND SOCIAL ASSOCIATIONS (8641)</v>
      </c>
    </row>
    <row r="1124" spans="1:14" x14ac:dyDescent="0.45">
      <c r="A1124" s="4">
        <v>8651</v>
      </c>
      <c r="B1124" t="s">
        <v>1325</v>
      </c>
      <c r="C1124" t="s">
        <v>1325</v>
      </c>
      <c r="D1124" t="s">
        <v>1321</v>
      </c>
      <c r="E1124" t="s">
        <v>1151</v>
      </c>
      <c r="F1124" t="s">
        <v>38</v>
      </c>
      <c r="G1124">
        <v>41</v>
      </c>
      <c r="H1124">
        <v>1.6199999999999999E-2</v>
      </c>
      <c r="I1124" t="s">
        <v>1413</v>
      </c>
      <c r="J1124" s="2" t="s">
        <v>2146</v>
      </c>
      <c r="K1124">
        <v>1</v>
      </c>
      <c r="L1124">
        <v>1</v>
      </c>
      <c r="M1124" t="s">
        <v>18</v>
      </c>
      <c r="N1124" t="str">
        <f t="shared" si="17"/>
        <v>POLITICAL ORGANIZATIONS (8651)</v>
      </c>
    </row>
    <row r="1125" spans="1:14" x14ac:dyDescent="0.45">
      <c r="A1125" s="4">
        <v>8661</v>
      </c>
      <c r="B1125" t="s">
        <v>1326</v>
      </c>
      <c r="C1125" t="s">
        <v>1326</v>
      </c>
      <c r="D1125" t="s">
        <v>1321</v>
      </c>
      <c r="E1125" t="s">
        <v>1151</v>
      </c>
      <c r="F1125" t="s">
        <v>38</v>
      </c>
      <c r="G1125">
        <v>41</v>
      </c>
      <c r="H1125">
        <v>1.6199999999999999E-2</v>
      </c>
      <c r="I1125" t="s">
        <v>1413</v>
      </c>
      <c r="J1125" s="2" t="s">
        <v>2146</v>
      </c>
      <c r="K1125">
        <v>1</v>
      </c>
      <c r="L1125">
        <v>1</v>
      </c>
      <c r="M1125" t="s">
        <v>18</v>
      </c>
      <c r="N1125" t="str">
        <f t="shared" si="17"/>
        <v>RELIGIOUS ORGANIZATIONS (8661)</v>
      </c>
    </row>
    <row r="1126" spans="1:14" x14ac:dyDescent="0.45">
      <c r="A1126" s="4">
        <v>8699</v>
      </c>
      <c r="B1126" t="s">
        <v>1327</v>
      </c>
      <c r="C1126" t="s">
        <v>1328</v>
      </c>
      <c r="D1126" t="s">
        <v>1321</v>
      </c>
      <c r="E1126" t="s">
        <v>1151</v>
      </c>
      <c r="F1126" t="s">
        <v>38</v>
      </c>
      <c r="G1126">
        <v>41</v>
      </c>
      <c r="H1126">
        <v>1.6199999999999999E-2</v>
      </c>
      <c r="I1126" t="s">
        <v>1413</v>
      </c>
      <c r="J1126" s="2" t="s">
        <v>2146</v>
      </c>
      <c r="K1126">
        <v>1</v>
      </c>
      <c r="L1126">
        <v>1</v>
      </c>
      <c r="M1126" t="s">
        <v>18</v>
      </c>
      <c r="N1126" t="str">
        <f t="shared" si="17"/>
        <v>MEMBERSHIP ORGANIZATIONS, NEC (8699)</v>
      </c>
    </row>
    <row r="1127" spans="1:14" x14ac:dyDescent="0.45">
      <c r="A1127" s="4">
        <v>8700</v>
      </c>
      <c r="B1127" t="s">
        <v>1329</v>
      </c>
      <c r="C1127" t="s">
        <v>1329</v>
      </c>
      <c r="D1127" t="s">
        <v>1329</v>
      </c>
      <c r="E1127" t="s">
        <v>1151</v>
      </c>
      <c r="F1127" t="s">
        <v>38</v>
      </c>
      <c r="G1127">
        <v>41</v>
      </c>
      <c r="H1127">
        <v>1.6199999999999999E-2</v>
      </c>
      <c r="I1127" t="s">
        <v>1413</v>
      </c>
      <c r="J1127" s="2" t="s">
        <v>2146</v>
      </c>
      <c r="K1127">
        <v>1</v>
      </c>
      <c r="L1127">
        <v>1</v>
      </c>
      <c r="M1127" t="s">
        <v>18</v>
      </c>
      <c r="N1127" t="str">
        <f t="shared" si="17"/>
        <v>ENGINEERING &amp; MANAGEMENT SERVICES (8700)</v>
      </c>
    </row>
    <row r="1128" spans="1:14" x14ac:dyDescent="0.45">
      <c r="A1128" s="4">
        <v>8711</v>
      </c>
      <c r="B1128" t="s">
        <v>1330</v>
      </c>
      <c r="C1128" t="s">
        <v>1331</v>
      </c>
      <c r="D1128" t="s">
        <v>1329</v>
      </c>
      <c r="E1128" t="s">
        <v>1151</v>
      </c>
      <c r="F1128" t="s">
        <v>38</v>
      </c>
      <c r="G1128">
        <v>41</v>
      </c>
      <c r="H1128">
        <v>1.6199999999999999E-2</v>
      </c>
      <c r="I1128" t="s">
        <v>1413</v>
      </c>
      <c r="J1128" s="2" t="s">
        <v>2146</v>
      </c>
      <c r="K1128">
        <v>1</v>
      </c>
      <c r="L1128">
        <v>1</v>
      </c>
      <c r="M1128" t="s">
        <v>18</v>
      </c>
      <c r="N1128" t="str">
        <f t="shared" si="17"/>
        <v>ENGINEERING SERVICES (8711)</v>
      </c>
    </row>
    <row r="1129" spans="1:14" x14ac:dyDescent="0.45">
      <c r="A1129" s="4">
        <v>8712</v>
      </c>
      <c r="B1129" t="s">
        <v>1332</v>
      </c>
      <c r="C1129" t="s">
        <v>1331</v>
      </c>
      <c r="D1129" t="s">
        <v>1329</v>
      </c>
      <c r="E1129" t="s">
        <v>1151</v>
      </c>
      <c r="F1129" t="s">
        <v>38</v>
      </c>
      <c r="G1129">
        <v>41</v>
      </c>
      <c r="H1129">
        <v>1.6199999999999999E-2</v>
      </c>
      <c r="I1129" t="s">
        <v>1413</v>
      </c>
      <c r="J1129" s="2" t="s">
        <v>2146</v>
      </c>
      <c r="K1129">
        <v>1</v>
      </c>
      <c r="L1129">
        <v>1</v>
      </c>
      <c r="M1129" t="s">
        <v>18</v>
      </c>
      <c r="N1129" t="str">
        <f t="shared" si="17"/>
        <v>ARCHITECTURAL SERVICES (8712)</v>
      </c>
    </row>
    <row r="1130" spans="1:14" x14ac:dyDescent="0.45">
      <c r="A1130" s="4">
        <v>8713</v>
      </c>
      <c r="B1130" t="s">
        <v>1333</v>
      </c>
      <c r="C1130" t="s">
        <v>1331</v>
      </c>
      <c r="D1130" t="s">
        <v>1329</v>
      </c>
      <c r="E1130" t="s">
        <v>1151</v>
      </c>
      <c r="F1130" t="s">
        <v>38</v>
      </c>
      <c r="G1130">
        <v>41</v>
      </c>
      <c r="H1130">
        <v>1.6199999999999999E-2</v>
      </c>
      <c r="I1130" t="s">
        <v>1413</v>
      </c>
      <c r="J1130" s="2" t="s">
        <v>2146</v>
      </c>
      <c r="K1130">
        <v>1</v>
      </c>
      <c r="L1130">
        <v>1</v>
      </c>
      <c r="M1130" t="s">
        <v>18</v>
      </c>
      <c r="N1130" t="str">
        <f t="shared" si="17"/>
        <v>SURVEYING SERVICES (8713)</v>
      </c>
    </row>
    <row r="1131" spans="1:14" x14ac:dyDescent="0.45">
      <c r="A1131" s="4">
        <v>8721</v>
      </c>
      <c r="B1131" t="s">
        <v>1334</v>
      </c>
      <c r="C1131" t="s">
        <v>1335</v>
      </c>
      <c r="D1131" t="s">
        <v>1329</v>
      </c>
      <c r="E1131" t="s">
        <v>1151</v>
      </c>
      <c r="F1131" t="s">
        <v>38</v>
      </c>
      <c r="G1131">
        <v>41</v>
      </c>
      <c r="H1131">
        <v>1.6199999999999999E-2</v>
      </c>
      <c r="I1131" t="s">
        <v>1413</v>
      </c>
      <c r="J1131" s="2" t="s">
        <v>2146</v>
      </c>
      <c r="K1131">
        <v>1</v>
      </c>
      <c r="L1131">
        <v>1</v>
      </c>
      <c r="M1131" t="s">
        <v>18</v>
      </c>
      <c r="N1131" t="str">
        <f t="shared" si="17"/>
        <v>ACCOUNTING, AUDITING, AND BOOKKEEPING (8721)</v>
      </c>
    </row>
    <row r="1132" spans="1:14" x14ac:dyDescent="0.45">
      <c r="A1132" s="4">
        <v>8731</v>
      </c>
      <c r="B1132" t="s">
        <v>1336</v>
      </c>
      <c r="C1132" t="s">
        <v>1337</v>
      </c>
      <c r="D1132" t="s">
        <v>1329</v>
      </c>
      <c r="E1132" t="s">
        <v>1151</v>
      </c>
      <c r="F1132" t="s">
        <v>38</v>
      </c>
      <c r="G1132">
        <v>41</v>
      </c>
      <c r="H1132">
        <v>1.6199999999999999E-2</v>
      </c>
      <c r="I1132" t="s">
        <v>1413</v>
      </c>
      <c r="J1132" s="2" t="s">
        <v>2146</v>
      </c>
      <c r="K1132">
        <v>1</v>
      </c>
      <c r="L1132">
        <v>1</v>
      </c>
      <c r="M1132" t="s">
        <v>18</v>
      </c>
      <c r="N1132" t="str">
        <f t="shared" si="17"/>
        <v>COMMERCIAL PHYSICAL RESEARCH (8731)</v>
      </c>
    </row>
    <row r="1133" spans="1:14" x14ac:dyDescent="0.45">
      <c r="A1133" s="4">
        <v>8732</v>
      </c>
      <c r="B1133" t="s">
        <v>1338</v>
      </c>
      <c r="C1133" t="s">
        <v>1337</v>
      </c>
      <c r="D1133" t="s">
        <v>1329</v>
      </c>
      <c r="E1133" t="s">
        <v>1151</v>
      </c>
      <c r="F1133" t="s">
        <v>38</v>
      </c>
      <c r="G1133">
        <v>41</v>
      </c>
      <c r="H1133">
        <v>1.6199999999999999E-2</v>
      </c>
      <c r="I1133" t="s">
        <v>1413</v>
      </c>
      <c r="J1133" s="2" t="s">
        <v>2146</v>
      </c>
      <c r="K1133">
        <v>1</v>
      </c>
      <c r="L1133">
        <v>1</v>
      </c>
      <c r="M1133" t="s">
        <v>18</v>
      </c>
      <c r="N1133" t="str">
        <f t="shared" si="17"/>
        <v>COMMERCIAL NONPHYSICAL RESEARCH (8732)</v>
      </c>
    </row>
    <row r="1134" spans="1:14" x14ac:dyDescent="0.45">
      <c r="A1134" s="4">
        <v>8733</v>
      </c>
      <c r="B1134" t="s">
        <v>1339</v>
      </c>
      <c r="C1134" t="s">
        <v>1337</v>
      </c>
      <c r="D1134" t="s">
        <v>1329</v>
      </c>
      <c r="E1134" t="s">
        <v>1151</v>
      </c>
      <c r="F1134" t="s">
        <v>38</v>
      </c>
      <c r="G1134">
        <v>41</v>
      </c>
      <c r="H1134">
        <v>1.6199999999999999E-2</v>
      </c>
      <c r="I1134" t="s">
        <v>1413</v>
      </c>
      <c r="J1134" s="2" t="s">
        <v>2146</v>
      </c>
      <c r="K1134">
        <v>1</v>
      </c>
      <c r="L1134">
        <v>1</v>
      </c>
      <c r="M1134" t="s">
        <v>18</v>
      </c>
      <c r="N1134" t="str">
        <f t="shared" si="17"/>
        <v>NONCOMMERCIAL RESEARCH ORGANIZATIONS (8733)</v>
      </c>
    </row>
    <row r="1135" spans="1:14" x14ac:dyDescent="0.45">
      <c r="A1135" s="4">
        <v>8734</v>
      </c>
      <c r="B1135" t="s">
        <v>1340</v>
      </c>
      <c r="C1135" t="s">
        <v>1337</v>
      </c>
      <c r="D1135" t="s">
        <v>1329</v>
      </c>
      <c r="E1135" t="s">
        <v>1151</v>
      </c>
      <c r="F1135" t="s">
        <v>38</v>
      </c>
      <c r="G1135">
        <v>41</v>
      </c>
      <c r="H1135">
        <v>1.6199999999999999E-2</v>
      </c>
      <c r="I1135" t="s">
        <v>1413</v>
      </c>
      <c r="J1135" s="2" t="s">
        <v>2146</v>
      </c>
      <c r="K1135">
        <v>1</v>
      </c>
      <c r="L1135">
        <v>1</v>
      </c>
      <c r="M1135" t="s">
        <v>18</v>
      </c>
      <c r="N1135" t="str">
        <f t="shared" si="17"/>
        <v>TESTING LABORATORIES (8734)</v>
      </c>
    </row>
    <row r="1136" spans="1:14" x14ac:dyDescent="0.45">
      <c r="A1136" s="4">
        <v>8741</v>
      </c>
      <c r="B1136" t="s">
        <v>1341</v>
      </c>
      <c r="C1136" t="s">
        <v>1342</v>
      </c>
      <c r="D1136" t="s">
        <v>1329</v>
      </c>
      <c r="E1136" t="s">
        <v>1151</v>
      </c>
      <c r="F1136" t="s">
        <v>38</v>
      </c>
      <c r="G1136">
        <v>41</v>
      </c>
      <c r="H1136">
        <v>1.6199999999999999E-2</v>
      </c>
      <c r="I1136" t="s">
        <v>1413</v>
      </c>
      <c r="J1136" s="2" t="s">
        <v>2146</v>
      </c>
      <c r="K1136">
        <v>1</v>
      </c>
      <c r="L1136">
        <v>1</v>
      </c>
      <c r="M1136" t="s">
        <v>18</v>
      </c>
      <c r="N1136" t="str">
        <f t="shared" si="17"/>
        <v>MANAGEMENT SERVICES (8741)</v>
      </c>
    </row>
    <row r="1137" spans="1:14" x14ac:dyDescent="0.45">
      <c r="A1137" s="4">
        <v>8742</v>
      </c>
      <c r="B1137" t="s">
        <v>1343</v>
      </c>
      <c r="C1137" t="s">
        <v>1342</v>
      </c>
      <c r="D1137" t="s">
        <v>1329</v>
      </c>
      <c r="E1137" t="s">
        <v>1151</v>
      </c>
      <c r="F1137" t="s">
        <v>38</v>
      </c>
      <c r="G1137">
        <v>41</v>
      </c>
      <c r="H1137">
        <v>1.6199999999999999E-2</v>
      </c>
      <c r="I1137" t="s">
        <v>1413</v>
      </c>
      <c r="J1137" s="2" t="s">
        <v>2146</v>
      </c>
      <c r="K1137">
        <v>1</v>
      </c>
      <c r="L1137">
        <v>1</v>
      </c>
      <c r="M1137" t="s">
        <v>18</v>
      </c>
      <c r="N1137" t="str">
        <f t="shared" si="17"/>
        <v>MANAGEMENT CONSULTING SERVICES (8742)</v>
      </c>
    </row>
    <row r="1138" spans="1:14" x14ac:dyDescent="0.45">
      <c r="A1138" s="4">
        <v>8743</v>
      </c>
      <c r="B1138" t="s">
        <v>1344</v>
      </c>
      <c r="C1138" t="s">
        <v>1342</v>
      </c>
      <c r="D1138" t="s">
        <v>1329</v>
      </c>
      <c r="E1138" t="s">
        <v>1151</v>
      </c>
      <c r="F1138" t="s">
        <v>38</v>
      </c>
      <c r="G1138">
        <v>41</v>
      </c>
      <c r="H1138">
        <v>1.6199999999999999E-2</v>
      </c>
      <c r="I1138" t="s">
        <v>1413</v>
      </c>
      <c r="J1138" s="2" t="s">
        <v>2146</v>
      </c>
      <c r="K1138">
        <v>1</v>
      </c>
      <c r="L1138">
        <v>1</v>
      </c>
      <c r="M1138" t="s">
        <v>18</v>
      </c>
      <c r="N1138" t="str">
        <f t="shared" si="17"/>
        <v>PUBLIC RELATIONS SERVICES (8743)</v>
      </c>
    </row>
    <row r="1139" spans="1:14" x14ac:dyDescent="0.45">
      <c r="A1139" s="4">
        <v>8744</v>
      </c>
      <c r="B1139" t="s">
        <v>1345</v>
      </c>
      <c r="C1139" t="s">
        <v>1342</v>
      </c>
      <c r="D1139" t="s">
        <v>1329</v>
      </c>
      <c r="E1139" t="s">
        <v>1151</v>
      </c>
      <c r="F1139" t="s">
        <v>38</v>
      </c>
      <c r="G1139">
        <v>41</v>
      </c>
      <c r="H1139">
        <v>1.6199999999999999E-2</v>
      </c>
      <c r="I1139" t="s">
        <v>1413</v>
      </c>
      <c r="J1139" s="2" t="s">
        <v>2146</v>
      </c>
      <c r="K1139">
        <v>1</v>
      </c>
      <c r="L1139">
        <v>1</v>
      </c>
      <c r="M1139" t="s">
        <v>18</v>
      </c>
      <c r="N1139" t="str">
        <f t="shared" si="17"/>
        <v>FACILITIES SUPPORT SERVICES (8744)</v>
      </c>
    </row>
    <row r="1140" spans="1:14" x14ac:dyDescent="0.45">
      <c r="A1140" s="4">
        <v>8748</v>
      </c>
      <c r="B1140" t="s">
        <v>1346</v>
      </c>
      <c r="C1140" t="s">
        <v>1342</v>
      </c>
      <c r="D1140" t="s">
        <v>1329</v>
      </c>
      <c r="E1140" t="s">
        <v>1151</v>
      </c>
      <c r="F1140" t="s">
        <v>38</v>
      </c>
      <c r="G1140">
        <v>41</v>
      </c>
      <c r="H1140">
        <v>1.6199999999999999E-2</v>
      </c>
      <c r="I1140" t="s">
        <v>1413</v>
      </c>
      <c r="J1140" s="2" t="s">
        <v>2146</v>
      </c>
      <c r="K1140">
        <v>1</v>
      </c>
      <c r="L1140">
        <v>1</v>
      </c>
      <c r="M1140" t="s">
        <v>18</v>
      </c>
      <c r="N1140" t="str">
        <f t="shared" si="17"/>
        <v>BUSINESS CONSULTING, NEC (8748)</v>
      </c>
    </row>
    <row r="1141" spans="1:14" x14ac:dyDescent="0.45">
      <c r="A1141" s="4">
        <v>8811</v>
      </c>
      <c r="B1141" t="s">
        <v>1347</v>
      </c>
      <c r="C1141" t="s">
        <v>1347</v>
      </c>
      <c r="D1141" t="s">
        <v>1347</v>
      </c>
      <c r="E1141" t="s">
        <v>1151</v>
      </c>
      <c r="F1141" t="s">
        <v>38</v>
      </c>
      <c r="G1141">
        <v>41</v>
      </c>
      <c r="H1141">
        <v>1.6199999999999999E-2</v>
      </c>
      <c r="I1141" t="s">
        <v>1413</v>
      </c>
      <c r="J1141" s="2" t="s">
        <v>2146</v>
      </c>
      <c r="K1141">
        <v>1</v>
      </c>
      <c r="L1141">
        <v>1</v>
      </c>
      <c r="M1141" t="s">
        <v>18</v>
      </c>
      <c r="N1141" t="str">
        <f t="shared" si="17"/>
        <v>PRIVATE HOUSEHOLDS (8811)</v>
      </c>
    </row>
    <row r="1142" spans="1:14" x14ac:dyDescent="0.45">
      <c r="A1142" s="4">
        <v>8900</v>
      </c>
      <c r="B1142" t="s">
        <v>1348</v>
      </c>
      <c r="C1142" t="s">
        <v>1348</v>
      </c>
      <c r="D1142" t="s">
        <v>1348</v>
      </c>
      <c r="E1142" t="s">
        <v>1151</v>
      </c>
      <c r="F1142" t="s">
        <v>38</v>
      </c>
      <c r="G1142">
        <v>41</v>
      </c>
      <c r="H1142">
        <v>1.6199999999999999E-2</v>
      </c>
      <c r="I1142" t="s">
        <v>1413</v>
      </c>
      <c r="J1142" s="2" t="s">
        <v>2146</v>
      </c>
      <c r="K1142">
        <v>1</v>
      </c>
      <c r="L1142">
        <v>1</v>
      </c>
      <c r="M1142" t="s">
        <v>18</v>
      </c>
      <c r="N1142" t="str">
        <f t="shared" si="17"/>
        <v>SERVICES, N.E.C. (8900)</v>
      </c>
    </row>
    <row r="1143" spans="1:14" x14ac:dyDescent="0.45">
      <c r="A1143" s="4">
        <v>8999</v>
      </c>
      <c r="B1143" t="s">
        <v>1349</v>
      </c>
      <c r="C1143" t="s">
        <v>1348</v>
      </c>
      <c r="D1143" t="s">
        <v>1348</v>
      </c>
      <c r="E1143" t="s">
        <v>1151</v>
      </c>
      <c r="F1143" t="s">
        <v>38</v>
      </c>
      <c r="G1143">
        <v>41</v>
      </c>
      <c r="H1143">
        <v>1.6199999999999999E-2</v>
      </c>
      <c r="I1143" t="s">
        <v>1413</v>
      </c>
      <c r="J1143" s="2" t="s">
        <v>2146</v>
      </c>
      <c r="K1143">
        <v>1</v>
      </c>
      <c r="L1143">
        <v>1</v>
      </c>
      <c r="M1143" t="s">
        <v>18</v>
      </c>
      <c r="N1143" t="str">
        <f t="shared" si="17"/>
        <v>SERVICES, NEC (8999)</v>
      </c>
    </row>
    <row r="1144" spans="1:14" x14ac:dyDescent="0.45">
      <c r="A1144" s="4">
        <v>9111</v>
      </c>
      <c r="B1144" t="s">
        <v>1350</v>
      </c>
      <c r="C1144" t="s">
        <v>1351</v>
      </c>
      <c r="D1144" t="s">
        <v>1352</v>
      </c>
      <c r="E1144" t="s">
        <v>31</v>
      </c>
      <c r="F1144" t="s">
        <v>31</v>
      </c>
      <c r="G1144">
        <v>31</v>
      </c>
      <c r="H1144">
        <v>1E-3</v>
      </c>
      <c r="I1144" t="s">
        <v>1413</v>
      </c>
      <c r="J1144" s="2" t="s">
        <v>2147</v>
      </c>
      <c r="K1144">
        <v>1</v>
      </c>
      <c r="L1144">
        <v>1</v>
      </c>
      <c r="M1144" t="s">
        <v>18</v>
      </c>
      <c r="N1144" t="str">
        <f t="shared" si="17"/>
        <v>EXECUTIVE OFFICES (9111)</v>
      </c>
    </row>
    <row r="1145" spans="1:14" x14ac:dyDescent="0.45">
      <c r="A1145" s="4">
        <v>9121</v>
      </c>
      <c r="B1145" t="s">
        <v>1353</v>
      </c>
      <c r="C1145" t="s">
        <v>1353</v>
      </c>
      <c r="D1145" t="s">
        <v>1352</v>
      </c>
      <c r="E1145" t="s">
        <v>31</v>
      </c>
      <c r="F1145" t="s">
        <v>31</v>
      </c>
      <c r="G1145">
        <v>31</v>
      </c>
      <c r="H1145">
        <v>1E-3</v>
      </c>
      <c r="I1145" t="s">
        <v>1413</v>
      </c>
      <c r="J1145" s="2" t="s">
        <v>2147</v>
      </c>
      <c r="K1145">
        <v>1</v>
      </c>
      <c r="L1145">
        <v>1</v>
      </c>
      <c r="M1145" t="s">
        <v>18</v>
      </c>
      <c r="N1145" t="str">
        <f t="shared" si="17"/>
        <v>LEGISLATIVE BODIES (9121)</v>
      </c>
    </row>
    <row r="1146" spans="1:14" x14ac:dyDescent="0.45">
      <c r="A1146" s="4">
        <v>9131</v>
      </c>
      <c r="B1146" t="s">
        <v>1354</v>
      </c>
      <c r="C1146" t="s">
        <v>1355</v>
      </c>
      <c r="D1146" t="s">
        <v>1352</v>
      </c>
      <c r="E1146" t="s">
        <v>31</v>
      </c>
      <c r="F1146" t="s">
        <v>31</v>
      </c>
      <c r="G1146">
        <v>31</v>
      </c>
      <c r="H1146">
        <v>1E-3</v>
      </c>
      <c r="I1146" t="s">
        <v>1413</v>
      </c>
      <c r="J1146" s="2" t="s">
        <v>2147</v>
      </c>
      <c r="K1146">
        <v>1</v>
      </c>
      <c r="L1146">
        <v>1</v>
      </c>
      <c r="M1146" t="s">
        <v>18</v>
      </c>
      <c r="N1146" t="str">
        <f t="shared" si="17"/>
        <v>EXECUTIVE AND LEGISLATIVE COMBINED (9131)</v>
      </c>
    </row>
    <row r="1147" spans="1:14" x14ac:dyDescent="0.45">
      <c r="A1147" s="4">
        <v>9199</v>
      </c>
      <c r="B1147" t="s">
        <v>1356</v>
      </c>
      <c r="C1147" t="s">
        <v>1357</v>
      </c>
      <c r="D1147" t="s">
        <v>1352</v>
      </c>
      <c r="E1147" t="s">
        <v>31</v>
      </c>
      <c r="F1147" t="s">
        <v>31</v>
      </c>
      <c r="G1147">
        <v>31</v>
      </c>
      <c r="H1147">
        <v>1E-3</v>
      </c>
      <c r="I1147" t="s">
        <v>1413</v>
      </c>
      <c r="J1147" s="2" t="s">
        <v>2147</v>
      </c>
      <c r="K1147">
        <v>1</v>
      </c>
      <c r="L1147">
        <v>1</v>
      </c>
      <c r="M1147" t="s">
        <v>18</v>
      </c>
      <c r="N1147" t="str">
        <f t="shared" si="17"/>
        <v>GENERAL GOVERNMENT, NEC (9199)</v>
      </c>
    </row>
    <row r="1148" spans="1:14" x14ac:dyDescent="0.45">
      <c r="A1148" s="4">
        <v>9211</v>
      </c>
      <c r="B1148" t="s">
        <v>1358</v>
      </c>
      <c r="C1148" t="s">
        <v>1358</v>
      </c>
      <c r="D1148" t="s">
        <v>1359</v>
      </c>
      <c r="E1148" t="s">
        <v>31</v>
      </c>
      <c r="F1148" t="s">
        <v>31</v>
      </c>
      <c r="G1148">
        <v>31</v>
      </c>
      <c r="H1148">
        <v>1E-3</v>
      </c>
      <c r="I1148" t="s">
        <v>1413</v>
      </c>
      <c r="J1148" s="2" t="s">
        <v>2147</v>
      </c>
      <c r="K1148">
        <v>1</v>
      </c>
      <c r="L1148">
        <v>1</v>
      </c>
      <c r="M1148" t="s">
        <v>18</v>
      </c>
      <c r="N1148" t="str">
        <f t="shared" si="17"/>
        <v>COURTS (9211)</v>
      </c>
    </row>
    <row r="1149" spans="1:14" x14ac:dyDescent="0.45">
      <c r="A1149" s="4">
        <v>9221</v>
      </c>
      <c r="B1149" t="s">
        <v>1360</v>
      </c>
      <c r="C1149" t="s">
        <v>1361</v>
      </c>
      <c r="D1149" t="s">
        <v>1359</v>
      </c>
      <c r="E1149" t="s">
        <v>31</v>
      </c>
      <c r="F1149" t="s">
        <v>31</v>
      </c>
      <c r="G1149">
        <v>31</v>
      </c>
      <c r="H1149">
        <v>1E-3</v>
      </c>
      <c r="I1149" t="s">
        <v>1413</v>
      </c>
      <c r="J1149" s="2" t="s">
        <v>2147</v>
      </c>
      <c r="K1149">
        <v>1</v>
      </c>
      <c r="L1149">
        <v>1</v>
      </c>
      <c r="M1149" t="s">
        <v>18</v>
      </c>
      <c r="N1149" t="str">
        <f t="shared" si="17"/>
        <v>POLICE PROTECTION (9221)</v>
      </c>
    </row>
    <row r="1150" spans="1:14" x14ac:dyDescent="0.45">
      <c r="A1150" s="4">
        <v>9222</v>
      </c>
      <c r="B1150" t="s">
        <v>1362</v>
      </c>
      <c r="C1150" t="s">
        <v>1361</v>
      </c>
      <c r="D1150" t="s">
        <v>1359</v>
      </c>
      <c r="E1150" t="s">
        <v>31</v>
      </c>
      <c r="F1150" t="s">
        <v>31</v>
      </c>
      <c r="G1150">
        <v>31</v>
      </c>
      <c r="H1150">
        <v>1E-3</v>
      </c>
      <c r="I1150" t="s">
        <v>1413</v>
      </c>
      <c r="J1150" s="2" t="s">
        <v>2147</v>
      </c>
      <c r="K1150">
        <v>1</v>
      </c>
      <c r="L1150">
        <v>1</v>
      </c>
      <c r="M1150" t="s">
        <v>18</v>
      </c>
      <c r="N1150" t="str">
        <f t="shared" si="17"/>
        <v>LEGAL COUNSEL AND PROSECUTION (9222)</v>
      </c>
    </row>
    <row r="1151" spans="1:14" x14ac:dyDescent="0.45">
      <c r="A1151" s="4">
        <v>9223</v>
      </c>
      <c r="B1151" t="s">
        <v>1363</v>
      </c>
      <c r="C1151" t="s">
        <v>1361</v>
      </c>
      <c r="D1151" t="s">
        <v>1359</v>
      </c>
      <c r="E1151" t="s">
        <v>31</v>
      </c>
      <c r="F1151" t="s">
        <v>31</v>
      </c>
      <c r="G1151">
        <v>31</v>
      </c>
      <c r="H1151">
        <v>1E-3</v>
      </c>
      <c r="I1151" t="s">
        <v>1413</v>
      </c>
      <c r="J1151" s="2" t="s">
        <v>2147</v>
      </c>
      <c r="K1151">
        <v>1</v>
      </c>
      <c r="L1151">
        <v>1</v>
      </c>
      <c r="M1151" t="s">
        <v>18</v>
      </c>
      <c r="N1151" t="str">
        <f t="shared" si="17"/>
        <v>CORRECTIONAL INSTITUTIONS (9223)</v>
      </c>
    </row>
    <row r="1152" spans="1:14" x14ac:dyDescent="0.45">
      <c r="A1152" s="4">
        <v>9224</v>
      </c>
      <c r="B1152" t="s">
        <v>1364</v>
      </c>
      <c r="C1152" t="s">
        <v>1361</v>
      </c>
      <c r="D1152" t="s">
        <v>1359</v>
      </c>
      <c r="E1152" t="s">
        <v>31</v>
      </c>
      <c r="F1152" t="s">
        <v>31</v>
      </c>
      <c r="G1152">
        <v>31</v>
      </c>
      <c r="H1152">
        <v>1E-3</v>
      </c>
      <c r="I1152" t="s">
        <v>1413</v>
      </c>
      <c r="J1152" s="2" t="s">
        <v>2147</v>
      </c>
      <c r="K1152">
        <v>1</v>
      </c>
      <c r="L1152">
        <v>1</v>
      </c>
      <c r="M1152" t="s">
        <v>18</v>
      </c>
      <c r="N1152" t="str">
        <f t="shared" si="17"/>
        <v>FIRE PROTECTION (9224)</v>
      </c>
    </row>
    <row r="1153" spans="1:14" x14ac:dyDescent="0.45">
      <c r="A1153" s="4">
        <v>9229</v>
      </c>
      <c r="B1153" t="s">
        <v>1365</v>
      </c>
      <c r="C1153" t="s">
        <v>1361</v>
      </c>
      <c r="D1153" t="s">
        <v>1359</v>
      </c>
      <c r="E1153" t="s">
        <v>31</v>
      </c>
      <c r="F1153" t="s">
        <v>31</v>
      </c>
      <c r="G1153">
        <v>31</v>
      </c>
      <c r="H1153">
        <v>1E-3</v>
      </c>
      <c r="I1153" t="s">
        <v>1413</v>
      </c>
      <c r="J1153" s="2" t="s">
        <v>2147</v>
      </c>
      <c r="K1153">
        <v>1</v>
      </c>
      <c r="L1153">
        <v>1</v>
      </c>
      <c r="M1153" t="s">
        <v>18</v>
      </c>
      <c r="N1153" t="str">
        <f t="shared" si="17"/>
        <v>PUBLIC ORDER AND SAFETY, NEC (9229)</v>
      </c>
    </row>
    <row r="1154" spans="1:14" x14ac:dyDescent="0.45">
      <c r="A1154" s="4">
        <v>9311</v>
      </c>
      <c r="B1154" t="s">
        <v>1366</v>
      </c>
      <c r="C1154" t="s">
        <v>1367</v>
      </c>
      <c r="D1154" t="s">
        <v>1368</v>
      </c>
      <c r="E1154" t="s">
        <v>31</v>
      </c>
      <c r="F1154" t="s">
        <v>31</v>
      </c>
      <c r="G1154">
        <v>31</v>
      </c>
      <c r="H1154">
        <v>1E-3</v>
      </c>
      <c r="I1154" t="s">
        <v>1413</v>
      </c>
      <c r="J1154" s="2" t="s">
        <v>2147</v>
      </c>
      <c r="K1154">
        <v>1</v>
      </c>
      <c r="L1154">
        <v>1</v>
      </c>
      <c r="M1154" t="s">
        <v>18</v>
      </c>
      <c r="N1154" t="str">
        <f t="shared" si="17"/>
        <v>FINANCE, TAXATION, AND MONETARY POLICY (9311)</v>
      </c>
    </row>
    <row r="1155" spans="1:14" x14ac:dyDescent="0.45">
      <c r="A1155" s="4">
        <v>9411</v>
      </c>
      <c r="B1155" t="s">
        <v>1369</v>
      </c>
      <c r="C1155" t="s">
        <v>1370</v>
      </c>
      <c r="D1155" t="s">
        <v>1371</v>
      </c>
      <c r="E1155" t="s">
        <v>31</v>
      </c>
      <c r="F1155" t="s">
        <v>31</v>
      </c>
      <c r="G1155">
        <v>31</v>
      </c>
      <c r="H1155">
        <v>1E-3</v>
      </c>
      <c r="I1155" t="s">
        <v>1413</v>
      </c>
      <c r="J1155" s="2" t="s">
        <v>2147</v>
      </c>
      <c r="K1155">
        <v>1</v>
      </c>
      <c r="L1155">
        <v>1</v>
      </c>
      <c r="M1155" t="s">
        <v>18</v>
      </c>
      <c r="N1155" t="str">
        <f t="shared" ref="N1155:N1172" si="18">B1155&amp;" ("&amp;A1155&amp;")"</f>
        <v>ADMINISTRATION OF EDUCATIONAL PROGRAMS (9411)</v>
      </c>
    </row>
    <row r="1156" spans="1:14" x14ac:dyDescent="0.45">
      <c r="A1156" s="4">
        <v>9431</v>
      </c>
      <c r="B1156" t="s">
        <v>1372</v>
      </c>
      <c r="C1156" t="s">
        <v>1372</v>
      </c>
      <c r="D1156" t="s">
        <v>1371</v>
      </c>
      <c r="E1156" t="s">
        <v>31</v>
      </c>
      <c r="F1156" t="s">
        <v>31</v>
      </c>
      <c r="G1156">
        <v>31</v>
      </c>
      <c r="H1156">
        <v>1E-3</v>
      </c>
      <c r="I1156" t="s">
        <v>1413</v>
      </c>
      <c r="J1156" s="2" t="s">
        <v>2147</v>
      </c>
      <c r="K1156">
        <v>1</v>
      </c>
      <c r="L1156">
        <v>1</v>
      </c>
      <c r="M1156" t="s">
        <v>18</v>
      </c>
      <c r="N1156" t="str">
        <f t="shared" si="18"/>
        <v>ADMINISTRATION OF PUBLIC HEALTH PROGRAMS (9431)</v>
      </c>
    </row>
    <row r="1157" spans="1:14" x14ac:dyDescent="0.45">
      <c r="A1157" s="4">
        <v>9441</v>
      </c>
      <c r="B1157" t="s">
        <v>1373</v>
      </c>
      <c r="C1157" t="s">
        <v>1374</v>
      </c>
      <c r="D1157" t="s">
        <v>1371</v>
      </c>
      <c r="E1157" t="s">
        <v>31</v>
      </c>
      <c r="F1157" t="s">
        <v>31</v>
      </c>
      <c r="G1157">
        <v>31</v>
      </c>
      <c r="H1157">
        <v>1E-3</v>
      </c>
      <c r="I1157" t="s">
        <v>1413</v>
      </c>
      <c r="J1157" s="2" t="s">
        <v>2147</v>
      </c>
      <c r="K1157">
        <v>1</v>
      </c>
      <c r="L1157">
        <v>1</v>
      </c>
      <c r="M1157" t="s">
        <v>18</v>
      </c>
      <c r="N1157" t="str">
        <f t="shared" si="18"/>
        <v>ADMINISTRATION OF SOCIAL AND MANPOWER PROGRAMS (9441)</v>
      </c>
    </row>
    <row r="1158" spans="1:14" x14ac:dyDescent="0.45">
      <c r="A1158" s="4">
        <v>9451</v>
      </c>
      <c r="B1158" t="s">
        <v>1375</v>
      </c>
      <c r="C1158" t="s">
        <v>1376</v>
      </c>
      <c r="D1158" t="s">
        <v>1371</v>
      </c>
      <c r="E1158" t="s">
        <v>31</v>
      </c>
      <c r="F1158" t="s">
        <v>31</v>
      </c>
      <c r="G1158">
        <v>31</v>
      </c>
      <c r="H1158">
        <v>1E-3</v>
      </c>
      <c r="I1158" t="s">
        <v>1413</v>
      </c>
      <c r="J1158" s="2" t="s">
        <v>2147</v>
      </c>
      <c r="K1158">
        <v>1</v>
      </c>
      <c r="L1158">
        <v>1</v>
      </c>
      <c r="M1158" t="s">
        <v>18</v>
      </c>
      <c r="N1158" t="str">
        <f t="shared" si="18"/>
        <v>ADMINISTRATION OF VETERANS' AFFAIRS (9451)</v>
      </c>
    </row>
    <row r="1159" spans="1:14" x14ac:dyDescent="0.45">
      <c r="A1159" s="4">
        <v>9511</v>
      </c>
      <c r="B1159" t="s">
        <v>1377</v>
      </c>
      <c r="C1159" t="s">
        <v>1378</v>
      </c>
      <c r="D1159" t="s">
        <v>1379</v>
      </c>
      <c r="E1159" t="s">
        <v>31</v>
      </c>
      <c r="F1159" t="s">
        <v>31</v>
      </c>
      <c r="G1159">
        <v>31</v>
      </c>
      <c r="H1159">
        <v>1E-3</v>
      </c>
      <c r="I1159" t="s">
        <v>1413</v>
      </c>
      <c r="J1159" s="2" t="s">
        <v>2147</v>
      </c>
      <c r="K1159">
        <v>1</v>
      </c>
      <c r="L1159">
        <v>1</v>
      </c>
      <c r="M1159" t="s">
        <v>18</v>
      </c>
      <c r="N1159" t="str">
        <f t="shared" si="18"/>
        <v>AIR, WATER, AND SOLID WASTE MANAGEMENT (9511)</v>
      </c>
    </row>
    <row r="1160" spans="1:14" x14ac:dyDescent="0.45">
      <c r="A1160" s="4">
        <v>9512</v>
      </c>
      <c r="B1160" t="s">
        <v>1380</v>
      </c>
      <c r="C1160" t="s">
        <v>1378</v>
      </c>
      <c r="D1160" t="s">
        <v>1379</v>
      </c>
      <c r="E1160" t="s">
        <v>31</v>
      </c>
      <c r="F1160" t="s">
        <v>31</v>
      </c>
      <c r="G1160">
        <v>31</v>
      </c>
      <c r="H1160">
        <v>1E-3</v>
      </c>
      <c r="I1160" t="s">
        <v>1413</v>
      </c>
      <c r="J1160" s="2" t="s">
        <v>2147</v>
      </c>
      <c r="K1160">
        <v>1</v>
      </c>
      <c r="L1160">
        <v>1</v>
      </c>
      <c r="M1160" t="s">
        <v>18</v>
      </c>
      <c r="N1160" t="str">
        <f t="shared" si="18"/>
        <v>LAND, MINERAL, AND WILDLIFE CONSERVATION (9512)</v>
      </c>
    </row>
    <row r="1161" spans="1:14" x14ac:dyDescent="0.45">
      <c r="A1161" s="4">
        <v>9531</v>
      </c>
      <c r="B1161" t="s">
        <v>1381</v>
      </c>
      <c r="C1161" t="s">
        <v>1382</v>
      </c>
      <c r="D1161" t="s">
        <v>1379</v>
      </c>
      <c r="E1161" t="s">
        <v>31</v>
      </c>
      <c r="F1161" t="s">
        <v>31</v>
      </c>
      <c r="G1161">
        <v>31</v>
      </c>
      <c r="H1161">
        <v>1E-3</v>
      </c>
      <c r="I1161" t="s">
        <v>1413</v>
      </c>
      <c r="J1161" s="2" t="s">
        <v>2147</v>
      </c>
      <c r="K1161">
        <v>1</v>
      </c>
      <c r="L1161">
        <v>1</v>
      </c>
      <c r="M1161" t="s">
        <v>18</v>
      </c>
      <c r="N1161" t="str">
        <f t="shared" si="18"/>
        <v>HOUSING PROGRAMS (9531)</v>
      </c>
    </row>
    <row r="1162" spans="1:14" x14ac:dyDescent="0.45">
      <c r="A1162" s="4">
        <v>9532</v>
      </c>
      <c r="B1162" t="s">
        <v>1383</v>
      </c>
      <c r="C1162" t="s">
        <v>1382</v>
      </c>
      <c r="D1162" t="s">
        <v>1379</v>
      </c>
      <c r="E1162" t="s">
        <v>31</v>
      </c>
      <c r="F1162" t="s">
        <v>31</v>
      </c>
      <c r="G1162">
        <v>31</v>
      </c>
      <c r="H1162">
        <v>1E-3</v>
      </c>
      <c r="I1162" t="s">
        <v>1413</v>
      </c>
      <c r="J1162" s="2" t="s">
        <v>2147</v>
      </c>
      <c r="K1162">
        <v>1</v>
      </c>
      <c r="L1162">
        <v>1</v>
      </c>
      <c r="M1162" t="s">
        <v>18</v>
      </c>
      <c r="N1162" t="str">
        <f t="shared" si="18"/>
        <v>URBAN AND COMMUNITY DEVELOPMENT (9532)</v>
      </c>
    </row>
    <row r="1163" spans="1:14" x14ac:dyDescent="0.45">
      <c r="A1163" s="4">
        <v>9611</v>
      </c>
      <c r="B1163" t="s">
        <v>1384</v>
      </c>
      <c r="C1163" t="s">
        <v>1384</v>
      </c>
      <c r="D1163" t="s">
        <v>1385</v>
      </c>
      <c r="E1163" t="s">
        <v>31</v>
      </c>
      <c r="F1163" t="s">
        <v>31</v>
      </c>
      <c r="G1163">
        <v>31</v>
      </c>
      <c r="H1163">
        <v>1E-3</v>
      </c>
      <c r="I1163" t="s">
        <v>1413</v>
      </c>
      <c r="J1163" s="2" t="s">
        <v>2147</v>
      </c>
      <c r="K1163">
        <v>1</v>
      </c>
      <c r="L1163">
        <v>1</v>
      </c>
      <c r="M1163" t="s">
        <v>18</v>
      </c>
      <c r="N1163" t="str">
        <f t="shared" si="18"/>
        <v>ADMINISTRATION OF GENERAL ECONOMIC PROGRAMS (9611)</v>
      </c>
    </row>
    <row r="1164" spans="1:14" x14ac:dyDescent="0.45">
      <c r="A1164" s="4">
        <v>9621</v>
      </c>
      <c r="B1164" t="s">
        <v>1386</v>
      </c>
      <c r="C1164" t="s">
        <v>1387</v>
      </c>
      <c r="D1164" t="s">
        <v>1385</v>
      </c>
      <c r="E1164" t="s">
        <v>31</v>
      </c>
      <c r="F1164" t="s">
        <v>31</v>
      </c>
      <c r="G1164">
        <v>31</v>
      </c>
      <c r="H1164">
        <v>1E-3</v>
      </c>
      <c r="I1164" t="s">
        <v>1413</v>
      </c>
      <c r="J1164" s="2" t="s">
        <v>2147</v>
      </c>
      <c r="K1164">
        <v>1</v>
      </c>
      <c r="L1164">
        <v>1</v>
      </c>
      <c r="M1164" t="s">
        <v>18</v>
      </c>
      <c r="N1164" t="str">
        <f t="shared" si="18"/>
        <v>REGULATION, ADMINISTRATION OF TRANSPORTATION (9621)</v>
      </c>
    </row>
    <row r="1165" spans="1:14" x14ac:dyDescent="0.45">
      <c r="A1165" s="4">
        <v>9631</v>
      </c>
      <c r="B1165" t="s">
        <v>1388</v>
      </c>
      <c r="C1165" t="s">
        <v>1389</v>
      </c>
      <c r="D1165" t="s">
        <v>1385</v>
      </c>
      <c r="E1165" t="s">
        <v>31</v>
      </c>
      <c r="F1165" t="s">
        <v>31</v>
      </c>
      <c r="G1165">
        <v>31</v>
      </c>
      <c r="H1165">
        <v>1E-3</v>
      </c>
      <c r="I1165" t="s">
        <v>1413</v>
      </c>
      <c r="J1165" s="2" t="s">
        <v>2147</v>
      </c>
      <c r="K1165">
        <v>1</v>
      </c>
      <c r="L1165">
        <v>1</v>
      </c>
      <c r="M1165" t="s">
        <v>18</v>
      </c>
      <c r="N1165" t="str">
        <f t="shared" si="18"/>
        <v>REGULATION, ADMINISTRATION OF UTILITIES (9631)</v>
      </c>
    </row>
    <row r="1166" spans="1:14" x14ac:dyDescent="0.45">
      <c r="A1166" s="4">
        <v>9641</v>
      </c>
      <c r="B1166" t="s">
        <v>1390</v>
      </c>
      <c r="C1166" t="s">
        <v>1391</v>
      </c>
      <c r="D1166" t="s">
        <v>1385</v>
      </c>
      <c r="E1166" t="s">
        <v>31</v>
      </c>
      <c r="F1166" t="s">
        <v>31</v>
      </c>
      <c r="G1166">
        <v>31</v>
      </c>
      <c r="H1166">
        <v>1E-3</v>
      </c>
      <c r="I1166" t="s">
        <v>1413</v>
      </c>
      <c r="J1166" s="2" t="s">
        <v>2147</v>
      </c>
      <c r="K1166">
        <v>1</v>
      </c>
      <c r="L1166">
        <v>1</v>
      </c>
      <c r="M1166" t="s">
        <v>18</v>
      </c>
      <c r="N1166" t="str">
        <f t="shared" si="18"/>
        <v>REGULATION OF AGRICULTURAL MARKETING (9641)</v>
      </c>
    </row>
    <row r="1167" spans="1:14" x14ac:dyDescent="0.45">
      <c r="A1167" s="4">
        <v>9651</v>
      </c>
      <c r="B1167" t="s">
        <v>1392</v>
      </c>
      <c r="C1167" t="s">
        <v>1393</v>
      </c>
      <c r="D1167" t="s">
        <v>1385</v>
      </c>
      <c r="E1167" t="s">
        <v>31</v>
      </c>
      <c r="F1167" t="s">
        <v>31</v>
      </c>
      <c r="G1167">
        <v>31</v>
      </c>
      <c r="H1167">
        <v>1E-3</v>
      </c>
      <c r="I1167" t="s">
        <v>1413</v>
      </c>
      <c r="J1167" s="2" t="s">
        <v>2147</v>
      </c>
      <c r="K1167">
        <v>1</v>
      </c>
      <c r="L1167">
        <v>1</v>
      </c>
      <c r="M1167" t="s">
        <v>18</v>
      </c>
      <c r="N1167" t="str">
        <f t="shared" si="18"/>
        <v>REGULATION, MISCELLANEOUS COMMERCIAL SECTORS (9651)</v>
      </c>
    </row>
    <row r="1168" spans="1:14" x14ac:dyDescent="0.45">
      <c r="A1168" s="4">
        <v>9661</v>
      </c>
      <c r="B1168" t="s">
        <v>1394</v>
      </c>
      <c r="C1168" t="s">
        <v>1394</v>
      </c>
      <c r="D1168" t="s">
        <v>1385</v>
      </c>
      <c r="E1168" t="s">
        <v>31</v>
      </c>
      <c r="F1168" t="s">
        <v>31</v>
      </c>
      <c r="G1168">
        <v>31</v>
      </c>
      <c r="H1168">
        <v>1E-3</v>
      </c>
      <c r="I1168" t="s">
        <v>1413</v>
      </c>
      <c r="J1168" s="2" t="s">
        <v>2147</v>
      </c>
      <c r="K1168">
        <v>1</v>
      </c>
      <c r="L1168">
        <v>1</v>
      </c>
      <c r="M1168" t="s">
        <v>18</v>
      </c>
      <c r="N1168" t="str">
        <f t="shared" si="18"/>
        <v>SPACE RESEARCH AND TECHNOLOGY (9661)</v>
      </c>
    </row>
    <row r="1169" spans="1:14" x14ac:dyDescent="0.45">
      <c r="A1169" s="4">
        <v>9711</v>
      </c>
      <c r="B1169" t="s">
        <v>1395</v>
      </c>
      <c r="C1169" t="s">
        <v>1395</v>
      </c>
      <c r="D1169" t="s">
        <v>1396</v>
      </c>
      <c r="E1169" t="s">
        <v>31</v>
      </c>
      <c r="F1169" t="s">
        <v>31</v>
      </c>
      <c r="G1169">
        <v>31</v>
      </c>
      <c r="H1169">
        <v>1E-3</v>
      </c>
      <c r="I1169" t="s">
        <v>1413</v>
      </c>
      <c r="J1169" s="2" t="s">
        <v>2147</v>
      </c>
      <c r="K1169">
        <v>1</v>
      </c>
      <c r="L1169">
        <v>1</v>
      </c>
      <c r="M1169" t="s">
        <v>18</v>
      </c>
      <c r="N1169" t="str">
        <f t="shared" si="18"/>
        <v>NATIONAL SECURITY (9711)</v>
      </c>
    </row>
    <row r="1170" spans="1:14" x14ac:dyDescent="0.45">
      <c r="A1170" s="4">
        <v>9721</v>
      </c>
      <c r="B1170" t="s">
        <v>1397</v>
      </c>
      <c r="C1170" t="s">
        <v>1397</v>
      </c>
      <c r="D1170" t="s">
        <v>1396</v>
      </c>
      <c r="E1170" t="s">
        <v>31</v>
      </c>
      <c r="F1170" t="s">
        <v>31</v>
      </c>
      <c r="G1170">
        <v>31</v>
      </c>
      <c r="H1170">
        <v>1E-3</v>
      </c>
      <c r="I1170" t="s">
        <v>1413</v>
      </c>
      <c r="J1170" s="2" t="s">
        <v>2147</v>
      </c>
      <c r="K1170">
        <v>1</v>
      </c>
      <c r="L1170">
        <v>1</v>
      </c>
      <c r="M1170" t="s">
        <v>18</v>
      </c>
      <c r="N1170" t="str">
        <f t="shared" si="18"/>
        <v>INTERNATIONAL AFFAIRS (9721)</v>
      </c>
    </row>
    <row r="1171" spans="1:14" x14ac:dyDescent="0.45">
      <c r="A1171" s="4">
        <v>9995</v>
      </c>
      <c r="B1171" t="s">
        <v>1398</v>
      </c>
      <c r="C1171" t="s">
        <v>1398</v>
      </c>
      <c r="D1171" t="s">
        <v>1399</v>
      </c>
      <c r="E1171" t="s">
        <v>1399</v>
      </c>
      <c r="F1171" t="s">
        <v>27</v>
      </c>
      <c r="G1171">
        <v>30</v>
      </c>
      <c r="H1171">
        <v>1E-3</v>
      </c>
      <c r="I1171" t="s">
        <v>1413</v>
      </c>
      <c r="J1171" s="2" t="s">
        <v>2148</v>
      </c>
      <c r="K1171">
        <v>1</v>
      </c>
      <c r="L1171">
        <v>1</v>
      </c>
      <c r="M1171" t="s">
        <v>18</v>
      </c>
      <c r="N1171" t="str">
        <f t="shared" si="18"/>
        <v>NON-OPERATING ESTABLISHMENTS (9995)</v>
      </c>
    </row>
    <row r="1172" spans="1:14" ht="57" x14ac:dyDescent="0.45">
      <c r="A1172" s="4">
        <v>9999</v>
      </c>
      <c r="B1172" s="3" t="s">
        <v>1399</v>
      </c>
      <c r="C1172" s="3" t="s">
        <v>1399</v>
      </c>
      <c r="D1172" t="s">
        <v>1399</v>
      </c>
      <c r="E1172" t="s">
        <v>1399</v>
      </c>
      <c r="F1172" t="s">
        <v>27</v>
      </c>
      <c r="G1172">
        <v>30</v>
      </c>
      <c r="H1172">
        <v>1E-3</v>
      </c>
      <c r="I1172" t="s">
        <v>1413</v>
      </c>
      <c r="J1172" s="2" t="s">
        <v>2148</v>
      </c>
      <c r="K1172">
        <v>1</v>
      </c>
      <c r="L1172">
        <v>1</v>
      </c>
      <c r="M1172" t="s">
        <v>18</v>
      </c>
      <c r="N1172" t="str">
        <f t="shared" si="18"/>
        <v>NONCLASSIFIABLE ESTABLISHMENTS (9999)</v>
      </c>
    </row>
  </sheetData>
  <conditionalFormatting sqref="B2:B1172">
    <cfRule type="duplicateValues" dxfId="0" priority="1"/>
  </conditionalFormatting>
  <hyperlinks>
    <hyperlink ref="B1145" r:id="rId1" tooltip="912 - Legislative Bodies" display="https://siccode.com/sic-code/912/legislative-bodies" xr:uid="{B6CFDE83-DCA9-4A20-8AB1-F5A30BAEB760}"/>
    <hyperlink ref="C1145" r:id="rId2" tooltip="912 - Legislative Bodies" display="https://siccode.com/sic-code/912/legislative-bodies" xr:uid="{79BD05FA-A1E3-42D3-B4B6-F4F84D3CAD7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1E9FB-2671-4141-A116-BF0D391A1693}">
  <sheetPr codeName="Sheet4"/>
  <dimension ref="A1:B16"/>
  <sheetViews>
    <sheetView workbookViewId="0">
      <selection activeCell="B2" sqref="B2"/>
    </sheetView>
  </sheetViews>
  <sheetFormatPr defaultRowHeight="14.25" x14ac:dyDescent="0.45"/>
  <cols>
    <col min="1" max="1" width="17.3984375" bestFit="1" customWidth="1"/>
    <col min="2" max="2" width="12" bestFit="1" customWidth="1"/>
  </cols>
  <sheetData>
    <row r="1" spans="1:2" x14ac:dyDescent="0.45">
      <c r="A1" t="s">
        <v>1400</v>
      </c>
      <c r="B1" t="s">
        <v>1401</v>
      </c>
    </row>
    <row r="2" spans="1:2" x14ac:dyDescent="0.45">
      <c r="A2" t="s">
        <v>1402</v>
      </c>
      <c r="B2">
        <v>4.7072512588939184E-3</v>
      </c>
    </row>
    <row r="3" spans="1:2" x14ac:dyDescent="0.45">
      <c r="A3" t="s">
        <v>1403</v>
      </c>
      <c r="B3">
        <v>15.065033096356204</v>
      </c>
    </row>
    <row r="4" spans="1:2" x14ac:dyDescent="0.45">
      <c r="A4" t="s">
        <v>1404</v>
      </c>
      <c r="B4">
        <v>4.7072512588939184E-3</v>
      </c>
    </row>
    <row r="5" spans="1:2" x14ac:dyDescent="0.45">
      <c r="A5" t="s">
        <v>1405</v>
      </c>
      <c r="B5">
        <v>15.065033096356204</v>
      </c>
    </row>
    <row r="6" spans="1:2" x14ac:dyDescent="0.45">
      <c r="A6" t="s">
        <v>1406</v>
      </c>
      <c r="B6">
        <v>4.7072512588939184E-3</v>
      </c>
    </row>
    <row r="7" spans="1:2" x14ac:dyDescent="0.45">
      <c r="A7" t="s">
        <v>1407</v>
      </c>
      <c r="B7">
        <v>15.065033096356204</v>
      </c>
    </row>
    <row r="8" spans="1:2" x14ac:dyDescent="0.45">
      <c r="A8" t="s">
        <v>1408</v>
      </c>
      <c r="B8">
        <v>25000000000</v>
      </c>
    </row>
    <row r="9" spans="1:2" x14ac:dyDescent="0.45">
      <c r="A9" t="s">
        <v>1409</v>
      </c>
      <c r="B9">
        <v>0.01</v>
      </c>
    </row>
    <row r="10" spans="1:2" x14ac:dyDescent="0.45">
      <c r="A10" t="s">
        <v>1410</v>
      </c>
      <c r="B10">
        <v>5000000000</v>
      </c>
    </row>
    <row r="11" spans="1:2" x14ac:dyDescent="0.45">
      <c r="A11" t="s">
        <v>1411</v>
      </c>
      <c r="B11">
        <v>0.16</v>
      </c>
    </row>
    <row r="12" spans="1:2" x14ac:dyDescent="0.45">
      <c r="A12" t="s">
        <v>1412</v>
      </c>
      <c r="B12">
        <v>0.17</v>
      </c>
    </row>
    <row r="13" spans="1:2" x14ac:dyDescent="0.45">
      <c r="A13" t="s">
        <v>1414</v>
      </c>
      <c r="B13">
        <v>375000000</v>
      </c>
    </row>
    <row r="14" spans="1:2" x14ac:dyDescent="0.45">
      <c r="A14" t="s">
        <v>1415</v>
      </c>
      <c r="B14">
        <v>0.2</v>
      </c>
    </row>
    <row r="15" spans="1:2" x14ac:dyDescent="0.45">
      <c r="A15" t="s">
        <v>1416</v>
      </c>
      <c r="B15">
        <v>0.6</v>
      </c>
    </row>
    <row r="16" spans="1:2" x14ac:dyDescent="0.45">
      <c r="A16" t="s">
        <v>2161</v>
      </c>
      <c r="B16">
        <v>0.95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1E17-CFFB-4B4C-9051-11C99EE2A140}">
  <sheetPr codeName="Sheet5"/>
  <dimension ref="A1:G5"/>
  <sheetViews>
    <sheetView workbookViewId="0">
      <selection activeCell="D2" sqref="D2"/>
    </sheetView>
  </sheetViews>
  <sheetFormatPr defaultRowHeight="14.25" x14ac:dyDescent="0.45"/>
  <cols>
    <col min="2" max="2" width="17.3984375" bestFit="1" customWidth="1"/>
    <col min="3" max="3" width="9.3984375" bestFit="1" customWidth="1"/>
    <col min="4" max="5" width="8.3984375" bestFit="1" customWidth="1"/>
    <col min="6" max="7" width="20.3984375" bestFit="1" customWidth="1"/>
  </cols>
  <sheetData>
    <row r="1" spans="1:7" x14ac:dyDescent="0.45">
      <c r="A1" t="s">
        <v>1417</v>
      </c>
      <c r="B1" t="s">
        <v>1418</v>
      </c>
      <c r="C1" t="s">
        <v>1419</v>
      </c>
      <c r="D1" t="s">
        <v>1420</v>
      </c>
      <c r="E1" t="s">
        <v>1421</v>
      </c>
      <c r="F1" t="s">
        <v>1422</v>
      </c>
      <c r="G1" t="s">
        <v>1423</v>
      </c>
    </row>
    <row r="2" spans="1:7" x14ac:dyDescent="0.45">
      <c r="A2" t="s">
        <v>1424</v>
      </c>
      <c r="B2">
        <v>1</v>
      </c>
      <c r="C2">
        <v>1</v>
      </c>
      <c r="D2">
        <v>0</v>
      </c>
      <c r="E2">
        <v>1</v>
      </c>
      <c r="F2">
        <v>0.57391963774332178</v>
      </c>
      <c r="G2">
        <v>0.57391963774332178</v>
      </c>
    </row>
    <row r="3" spans="1:7" x14ac:dyDescent="0.45">
      <c r="A3" t="s">
        <v>1424</v>
      </c>
      <c r="B3">
        <v>1</v>
      </c>
      <c r="C3">
        <v>1</v>
      </c>
      <c r="D3">
        <v>1</v>
      </c>
      <c r="E3">
        <v>2.5</v>
      </c>
      <c r="F3">
        <v>0.57391963774332178</v>
      </c>
      <c r="G3">
        <v>1</v>
      </c>
    </row>
    <row r="4" spans="1:7" x14ac:dyDescent="0.45">
      <c r="A4" t="s">
        <v>1425</v>
      </c>
      <c r="B4">
        <v>1.7424042221870044</v>
      </c>
      <c r="C4">
        <v>2.5</v>
      </c>
      <c r="D4">
        <v>2.5</v>
      </c>
      <c r="E4">
        <v>4.26</v>
      </c>
      <c r="F4">
        <v>1</v>
      </c>
      <c r="G4">
        <v>1.5910647829946509</v>
      </c>
    </row>
    <row r="5" spans="1:7" x14ac:dyDescent="0.45">
      <c r="A5" t="s">
        <v>1426</v>
      </c>
      <c r="B5">
        <v>2.7722779956629298</v>
      </c>
      <c r="C5">
        <v>4.26</v>
      </c>
      <c r="D5">
        <v>4.26</v>
      </c>
      <c r="E5">
        <v>1000</v>
      </c>
      <c r="F5">
        <v>1.5910647829946509</v>
      </c>
      <c r="G5">
        <v>1.5910647829946509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7194-49F2-4779-B715-7105138D472F}">
  <sheetPr codeName="Sheet6"/>
  <dimension ref="A1:G5"/>
  <sheetViews>
    <sheetView workbookViewId="0">
      <selection activeCell="D3" sqref="D3"/>
    </sheetView>
  </sheetViews>
  <sheetFormatPr defaultRowHeight="14.25" x14ac:dyDescent="0.45"/>
  <cols>
    <col min="2" max="2" width="17.3984375" bestFit="1" customWidth="1"/>
    <col min="3" max="3" width="9.3984375" bestFit="1" customWidth="1"/>
    <col min="4" max="4" width="8.3984375" bestFit="1" customWidth="1"/>
    <col min="5" max="5" width="11" bestFit="1" customWidth="1"/>
    <col min="6" max="7" width="20.3984375" bestFit="1" customWidth="1"/>
  </cols>
  <sheetData>
    <row r="1" spans="1:7" x14ac:dyDescent="0.45">
      <c r="A1" t="s">
        <v>1417</v>
      </c>
      <c r="B1" t="s">
        <v>1418</v>
      </c>
      <c r="C1" t="s">
        <v>1419</v>
      </c>
      <c r="D1" t="s">
        <v>1420</v>
      </c>
      <c r="E1" t="s">
        <v>1421</v>
      </c>
      <c r="F1" t="s">
        <v>1422</v>
      </c>
      <c r="G1" t="s">
        <v>1423</v>
      </c>
    </row>
    <row r="2" spans="1:7" x14ac:dyDescent="0.45">
      <c r="A2" t="s">
        <v>1427</v>
      </c>
      <c r="B2">
        <v>1</v>
      </c>
      <c r="C2">
        <v>125000</v>
      </c>
      <c r="D2">
        <v>0</v>
      </c>
      <c r="E2">
        <v>125000</v>
      </c>
      <c r="F2">
        <v>1</v>
      </c>
      <c r="G2">
        <v>1</v>
      </c>
    </row>
    <row r="3" spans="1:7" x14ac:dyDescent="0.45">
      <c r="A3" t="s">
        <v>1427</v>
      </c>
      <c r="B3">
        <v>1</v>
      </c>
      <c r="C3">
        <v>125000</v>
      </c>
      <c r="D3">
        <v>125000</v>
      </c>
      <c r="E3">
        <v>2125000</v>
      </c>
      <c r="F3">
        <v>1</v>
      </c>
      <c r="G3">
        <v>1.1692062093671298</v>
      </c>
    </row>
    <row r="4" spans="1:7" x14ac:dyDescent="0.45">
      <c r="A4" t="s">
        <v>1428</v>
      </c>
      <c r="B4">
        <v>1.1692062093671298</v>
      </c>
      <c r="C4">
        <v>2125000</v>
      </c>
      <c r="D4">
        <v>2125000</v>
      </c>
      <c r="E4">
        <v>6800000</v>
      </c>
      <c r="F4">
        <v>1.1692062093671298</v>
      </c>
      <c r="G4">
        <v>1.8206376295118585</v>
      </c>
    </row>
    <row r="5" spans="1:7" x14ac:dyDescent="0.45">
      <c r="A5" t="s">
        <v>1429</v>
      </c>
      <c r="B5">
        <v>1.8206376295118585</v>
      </c>
      <c r="C5">
        <v>6800000</v>
      </c>
      <c r="D5">
        <v>6800000</v>
      </c>
      <c r="E5">
        <v>1000000000</v>
      </c>
      <c r="F5">
        <v>1.8206376295118585</v>
      </c>
      <c r="G5">
        <v>1.8206376295118585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4DB3-7A95-49C1-BB8B-6DD9F6DC9E06}">
  <sheetPr codeName="Sheet7"/>
  <dimension ref="A1:G4"/>
  <sheetViews>
    <sheetView workbookViewId="0">
      <selection activeCell="F13" sqref="F13"/>
    </sheetView>
  </sheetViews>
  <sheetFormatPr defaultRowHeight="14.25" x14ac:dyDescent="0.45"/>
  <cols>
    <col min="2" max="2" width="17.3984375" bestFit="1" customWidth="1"/>
    <col min="3" max="3" width="9.3984375" bestFit="1" customWidth="1"/>
    <col min="4" max="5" width="8.3984375" bestFit="1" customWidth="1"/>
    <col min="6" max="7" width="20.3984375" bestFit="1" customWidth="1"/>
  </cols>
  <sheetData>
    <row r="1" spans="1:7" x14ac:dyDescent="0.45">
      <c r="A1" t="s">
        <v>1417</v>
      </c>
      <c r="B1" t="s">
        <v>1418</v>
      </c>
      <c r="C1" t="s">
        <v>1419</v>
      </c>
      <c r="D1" t="s">
        <v>1420</v>
      </c>
      <c r="E1" t="s">
        <v>1421</v>
      </c>
      <c r="F1" t="s">
        <v>1422</v>
      </c>
      <c r="G1" t="s">
        <v>1423</v>
      </c>
    </row>
    <row r="2" spans="1:7" x14ac:dyDescent="0.45">
      <c r="A2" t="s">
        <v>1430</v>
      </c>
      <c r="B2">
        <v>1</v>
      </c>
      <c r="C2">
        <v>0.2</v>
      </c>
      <c r="D2">
        <v>0</v>
      </c>
      <c r="E2">
        <v>0.2</v>
      </c>
      <c r="F2">
        <v>0.99476953303326165</v>
      </c>
      <c r="G2">
        <v>1.0158156264266094</v>
      </c>
    </row>
    <row r="3" spans="1:7" x14ac:dyDescent="0.45">
      <c r="A3" t="s">
        <v>1430</v>
      </c>
      <c r="B3">
        <v>1</v>
      </c>
      <c r="C3">
        <v>0.2</v>
      </c>
      <c r="D3">
        <v>0.2</v>
      </c>
      <c r="E3">
        <v>0.7</v>
      </c>
      <c r="F3">
        <v>1.0158156264266094</v>
      </c>
      <c r="G3">
        <v>1.0684308599099785</v>
      </c>
    </row>
    <row r="4" spans="1:7" x14ac:dyDescent="0.45">
      <c r="A4" t="s">
        <v>1431</v>
      </c>
      <c r="B4">
        <v>1.5655539307076551</v>
      </c>
      <c r="C4">
        <v>0.7</v>
      </c>
      <c r="D4">
        <v>0.7</v>
      </c>
      <c r="E4">
        <v>1</v>
      </c>
      <c r="F4">
        <v>1.0684308599099785</v>
      </c>
      <c r="G4">
        <v>1.1000000000000001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C20E-01D8-44B1-83AF-CCE192B03113}">
  <dimension ref="A1:G6"/>
  <sheetViews>
    <sheetView workbookViewId="0">
      <selection activeCell="F46" sqref="F46"/>
    </sheetView>
  </sheetViews>
  <sheetFormatPr defaultRowHeight="14.25" x14ac:dyDescent="0.45"/>
  <cols>
    <col min="2" max="2" width="17.3984375" bestFit="1" customWidth="1"/>
    <col min="3" max="3" width="9.3984375" bestFit="1" customWidth="1"/>
    <col min="4" max="5" width="8.3984375" bestFit="1" customWidth="1"/>
    <col min="6" max="7" width="20.3984375" bestFit="1" customWidth="1"/>
  </cols>
  <sheetData>
    <row r="1" spans="1:7" x14ac:dyDescent="0.45">
      <c r="A1" t="s">
        <v>1417</v>
      </c>
      <c r="B1" t="s">
        <v>1418</v>
      </c>
      <c r="C1" t="s">
        <v>1419</v>
      </c>
      <c r="D1" t="s">
        <v>1420</v>
      </c>
      <c r="E1" t="s">
        <v>1421</v>
      </c>
      <c r="F1" t="s">
        <v>1422</v>
      </c>
      <c r="G1" t="s">
        <v>1423</v>
      </c>
    </row>
    <row r="2" spans="1:7" x14ac:dyDescent="0.45">
      <c r="A2" t="s">
        <v>2155</v>
      </c>
      <c r="B2">
        <v>1.3</v>
      </c>
      <c r="C2">
        <v>0</v>
      </c>
      <c r="D2">
        <v>0</v>
      </c>
      <c r="E2">
        <v>15</v>
      </c>
      <c r="F2">
        <v>1.22</v>
      </c>
      <c r="G2">
        <v>1.2048192771084338</v>
      </c>
    </row>
    <row r="3" spans="1:7" x14ac:dyDescent="0.45">
      <c r="A3" t="s">
        <v>2156</v>
      </c>
      <c r="B3">
        <v>1</v>
      </c>
      <c r="C3">
        <v>15</v>
      </c>
      <c r="D3">
        <v>15</v>
      </c>
      <c r="E3">
        <v>30</v>
      </c>
      <c r="F3">
        <v>1.2048192771084338</v>
      </c>
      <c r="G3">
        <v>0.97</v>
      </c>
    </row>
    <row r="4" spans="1:7" x14ac:dyDescent="0.45">
      <c r="A4" t="s">
        <v>2157</v>
      </c>
      <c r="B4">
        <v>0.8</v>
      </c>
      <c r="C4">
        <v>30</v>
      </c>
      <c r="D4">
        <v>30</v>
      </c>
      <c r="E4">
        <v>50</v>
      </c>
      <c r="F4">
        <v>0.97</v>
      </c>
      <c r="G4">
        <v>0.8</v>
      </c>
    </row>
    <row r="5" spans="1:7" x14ac:dyDescent="0.45">
      <c r="A5" t="s">
        <v>2158</v>
      </c>
      <c r="B5">
        <v>0.8</v>
      </c>
      <c r="C5">
        <v>50</v>
      </c>
      <c r="D5">
        <v>50</v>
      </c>
      <c r="E5">
        <v>75</v>
      </c>
      <c r="F5">
        <v>0.8</v>
      </c>
      <c r="G5">
        <v>0.8</v>
      </c>
    </row>
    <row r="6" spans="1:7" x14ac:dyDescent="0.45">
      <c r="A6" t="s">
        <v>2159</v>
      </c>
      <c r="B6">
        <v>0.7</v>
      </c>
      <c r="C6">
        <v>75</v>
      </c>
      <c r="D6">
        <v>75</v>
      </c>
      <c r="E6">
        <v>9999</v>
      </c>
      <c r="F6">
        <v>0.8</v>
      </c>
      <c r="G6">
        <v>0.8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C0B1-6193-4071-806D-51793DF6875D}">
  <sheetPr codeName="Sheet8"/>
  <dimension ref="A1:K13"/>
  <sheetViews>
    <sheetView workbookViewId="0">
      <selection activeCell="D23" sqref="D23"/>
    </sheetView>
  </sheetViews>
  <sheetFormatPr defaultRowHeight="14.25" x14ac:dyDescent="0.45"/>
  <cols>
    <col min="2" max="2" width="16.3984375" bestFit="1" customWidth="1"/>
    <col min="3" max="3" width="18.59765625" bestFit="1" customWidth="1"/>
    <col min="4" max="4" width="21" bestFit="1" customWidth="1"/>
    <col min="5" max="5" width="21" customWidth="1"/>
    <col min="6" max="6" width="20" bestFit="1" customWidth="1"/>
    <col min="7" max="7" width="20.1328125" bestFit="1" customWidth="1"/>
    <col min="8" max="8" width="19.1328125" bestFit="1" customWidth="1"/>
    <col min="9" max="9" width="20.1328125" bestFit="1" customWidth="1"/>
    <col min="10" max="11" width="25" bestFit="1" customWidth="1"/>
  </cols>
  <sheetData>
    <row r="1" spans="1:11" x14ac:dyDescent="0.45">
      <c r="A1" t="s">
        <v>1417</v>
      </c>
      <c r="B1" t="s">
        <v>1538</v>
      </c>
      <c r="C1" t="s">
        <v>1539</v>
      </c>
      <c r="D1" t="s">
        <v>1420</v>
      </c>
      <c r="E1" t="s">
        <v>1421</v>
      </c>
      <c r="F1" t="s">
        <v>1549</v>
      </c>
      <c r="G1" t="s">
        <v>1552</v>
      </c>
      <c r="H1" t="s">
        <v>1550</v>
      </c>
      <c r="I1" t="s">
        <v>1554</v>
      </c>
      <c r="J1" t="s">
        <v>1551</v>
      </c>
      <c r="K1" t="s">
        <v>1553</v>
      </c>
    </row>
    <row r="2" spans="1:11" x14ac:dyDescent="0.45">
      <c r="A2">
        <v>1</v>
      </c>
      <c r="B2" s="6">
        <v>0</v>
      </c>
      <c r="C2" s="6">
        <v>25000000</v>
      </c>
      <c r="D2" s="6">
        <v>12500000</v>
      </c>
      <c r="E2" s="6">
        <v>37500000</v>
      </c>
      <c r="F2">
        <v>8.0047391030852441E-2</v>
      </c>
      <c r="G2">
        <v>0.28898843958310422</v>
      </c>
      <c r="H2">
        <v>0.6</v>
      </c>
      <c r="I2">
        <v>0.6</v>
      </c>
      <c r="J2">
        <v>9.8750383325659441E-2</v>
      </c>
      <c r="K2">
        <v>0.17196143081555104</v>
      </c>
    </row>
    <row r="3" spans="1:11" x14ac:dyDescent="0.45">
      <c r="A3">
        <v>2</v>
      </c>
      <c r="B3" s="6">
        <v>25000000</v>
      </c>
      <c r="C3" s="6">
        <v>50000000</v>
      </c>
      <c r="D3" s="6">
        <v>37500000</v>
      </c>
      <c r="E3" s="6">
        <v>75000000</v>
      </c>
      <c r="F3">
        <v>0.28898843958310422</v>
      </c>
      <c r="G3">
        <v>0.4957199396640618</v>
      </c>
      <c r="H3">
        <v>0.6</v>
      </c>
      <c r="I3">
        <v>0.6</v>
      </c>
      <c r="J3">
        <v>0.17196143081555104</v>
      </c>
      <c r="K3">
        <v>0.18362118364140148</v>
      </c>
    </row>
    <row r="4" spans="1:11" x14ac:dyDescent="0.45">
      <c r="A4">
        <v>3</v>
      </c>
      <c r="B4" s="6">
        <v>50000000</v>
      </c>
      <c r="C4" s="6">
        <v>100000000</v>
      </c>
      <c r="D4" s="6">
        <v>75000000</v>
      </c>
      <c r="E4" s="6">
        <v>175000000</v>
      </c>
      <c r="F4">
        <v>0.4957199396640618</v>
      </c>
      <c r="G4">
        <v>0.84402331809135767</v>
      </c>
      <c r="H4">
        <v>0.6</v>
      </c>
      <c r="I4">
        <v>0.6</v>
      </c>
      <c r="J4">
        <v>0.18362118364140148</v>
      </c>
      <c r="K4">
        <v>1</v>
      </c>
    </row>
    <row r="5" spans="1:11" x14ac:dyDescent="0.45">
      <c r="A5">
        <v>4</v>
      </c>
      <c r="B5" s="6">
        <v>100000000</v>
      </c>
      <c r="C5" s="6">
        <v>250000000</v>
      </c>
      <c r="D5" s="6">
        <v>175000000</v>
      </c>
      <c r="E5" s="6">
        <v>375000000</v>
      </c>
      <c r="F5">
        <v>0.84402331809135767</v>
      </c>
      <c r="G5">
        <v>1</v>
      </c>
      <c r="H5">
        <v>0.6</v>
      </c>
      <c r="I5">
        <v>1</v>
      </c>
      <c r="J5">
        <v>1</v>
      </c>
      <c r="K5">
        <v>1</v>
      </c>
    </row>
    <row r="6" spans="1:11" x14ac:dyDescent="0.45">
      <c r="A6">
        <v>5</v>
      </c>
      <c r="B6" s="6">
        <v>250000000</v>
      </c>
      <c r="C6" s="6">
        <v>500000000</v>
      </c>
      <c r="D6" s="6">
        <v>375000000</v>
      </c>
      <c r="E6" s="6">
        <v>750000000</v>
      </c>
      <c r="F6">
        <v>1</v>
      </c>
      <c r="G6">
        <v>1.1000000000000001</v>
      </c>
      <c r="H6">
        <v>1</v>
      </c>
      <c r="I6">
        <v>1</v>
      </c>
      <c r="J6">
        <v>1</v>
      </c>
      <c r="K6">
        <v>1.2241474402981773</v>
      </c>
    </row>
    <row r="7" spans="1:11" x14ac:dyDescent="0.45">
      <c r="A7">
        <v>6</v>
      </c>
      <c r="B7" s="6">
        <v>500000000</v>
      </c>
      <c r="C7" s="6">
        <v>1000000000</v>
      </c>
      <c r="D7" s="6">
        <v>750000000</v>
      </c>
      <c r="E7" s="6">
        <v>1750000000</v>
      </c>
      <c r="F7">
        <v>1.1000000000000001</v>
      </c>
      <c r="G7">
        <v>1.2</v>
      </c>
      <c r="H7">
        <v>1</v>
      </c>
      <c r="I7">
        <v>1</v>
      </c>
      <c r="J7">
        <v>1.2241474402981773</v>
      </c>
      <c r="K7">
        <v>1.7314467276107375</v>
      </c>
    </row>
    <row r="8" spans="1:11" x14ac:dyDescent="0.45">
      <c r="A8">
        <v>7</v>
      </c>
      <c r="B8" s="6">
        <v>1000000000</v>
      </c>
      <c r="C8" s="6">
        <v>2500000000</v>
      </c>
      <c r="D8" s="6">
        <v>1750000000</v>
      </c>
      <c r="E8" s="6">
        <v>3750000000</v>
      </c>
      <c r="F8">
        <v>1.2</v>
      </c>
      <c r="G8">
        <v>1.3</v>
      </c>
      <c r="H8">
        <v>1</v>
      </c>
      <c r="I8">
        <v>1</v>
      </c>
      <c r="J8">
        <v>1.7314467276107375</v>
      </c>
      <c r="K8">
        <v>1.8596795055020208</v>
      </c>
    </row>
    <row r="9" spans="1:11" x14ac:dyDescent="0.45">
      <c r="A9">
        <v>8</v>
      </c>
      <c r="B9" s="6">
        <v>2500000000</v>
      </c>
      <c r="C9" s="6">
        <v>5000000000</v>
      </c>
      <c r="D9" s="6">
        <v>3750000000</v>
      </c>
      <c r="E9" s="6">
        <v>7500000000</v>
      </c>
      <c r="F9">
        <v>1.3</v>
      </c>
      <c r="G9">
        <v>1.55</v>
      </c>
      <c r="H9">
        <v>1</v>
      </c>
      <c r="I9">
        <v>1.7</v>
      </c>
      <c r="J9">
        <v>1.8596795055020208</v>
      </c>
      <c r="K9">
        <v>2.9796196377412669</v>
      </c>
    </row>
    <row r="10" spans="1:11" x14ac:dyDescent="0.45">
      <c r="A10">
        <v>9</v>
      </c>
      <c r="B10" s="6">
        <v>5000000000</v>
      </c>
      <c r="C10" s="6">
        <v>10000000000</v>
      </c>
      <c r="D10" s="6">
        <v>7500000000</v>
      </c>
      <c r="E10" s="6">
        <v>17500000000</v>
      </c>
      <c r="F10">
        <v>1.55</v>
      </c>
      <c r="G10">
        <v>1.8</v>
      </c>
      <c r="H10">
        <v>1.7</v>
      </c>
      <c r="I10">
        <v>2.1</v>
      </c>
      <c r="J10">
        <v>2.9796196377412669</v>
      </c>
      <c r="K10">
        <v>3.9154299087077948</v>
      </c>
    </row>
    <row r="11" spans="1:11" x14ac:dyDescent="0.45">
      <c r="A11">
        <v>10</v>
      </c>
      <c r="B11" s="6">
        <v>10000000000</v>
      </c>
      <c r="C11" s="6">
        <v>25000000000</v>
      </c>
      <c r="D11" s="6">
        <v>17500000000</v>
      </c>
      <c r="E11" s="6">
        <v>37500000000</v>
      </c>
      <c r="F11">
        <v>1.8</v>
      </c>
      <c r="G11">
        <v>1.9</v>
      </c>
      <c r="H11">
        <v>2.1</v>
      </c>
      <c r="I11">
        <v>3.8</v>
      </c>
      <c r="J11">
        <v>3.9154299087077948</v>
      </c>
      <c r="K11">
        <v>4.8193947352725095</v>
      </c>
    </row>
    <row r="12" spans="1:11" x14ac:dyDescent="0.45">
      <c r="A12">
        <v>11</v>
      </c>
      <c r="B12" s="6">
        <v>25000000000</v>
      </c>
      <c r="C12" s="6">
        <v>50000000000</v>
      </c>
      <c r="D12" s="6">
        <v>37500000000</v>
      </c>
      <c r="E12" s="6">
        <v>999000000000</v>
      </c>
      <c r="F12">
        <v>1.9</v>
      </c>
      <c r="G12">
        <v>2</v>
      </c>
      <c r="H12">
        <v>3.8</v>
      </c>
      <c r="I12">
        <v>8</v>
      </c>
      <c r="J12">
        <v>4.8193947352725095</v>
      </c>
      <c r="K12">
        <v>9.1814430515614092</v>
      </c>
    </row>
    <row r="13" spans="1:11" x14ac:dyDescent="0.45">
      <c r="A13">
        <v>12</v>
      </c>
      <c r="B13" s="6">
        <v>50000000000</v>
      </c>
      <c r="C13" s="6">
        <v>999000000000000</v>
      </c>
      <c r="D13" s="6">
        <v>999000000000</v>
      </c>
      <c r="E13" s="6">
        <v>999000000000000</v>
      </c>
      <c r="F13">
        <v>2</v>
      </c>
      <c r="G13" s="6">
        <v>2</v>
      </c>
      <c r="H13">
        <v>8</v>
      </c>
      <c r="I13" s="6">
        <v>8</v>
      </c>
      <c r="J13">
        <v>9.1814430515614092</v>
      </c>
      <c r="K13">
        <v>9.1814430515614092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53EE-64A1-4E7E-A67B-350E3C08CA3E}">
  <dimension ref="A1:C10"/>
  <sheetViews>
    <sheetView workbookViewId="0">
      <selection activeCell="B47" sqref="B47"/>
    </sheetView>
  </sheetViews>
  <sheetFormatPr defaultRowHeight="14.25" x14ac:dyDescent="0.45"/>
  <cols>
    <col min="1" max="1" width="29.3984375" bestFit="1" customWidth="1"/>
  </cols>
  <sheetData>
    <row r="1" spans="1:3" x14ac:dyDescent="0.45">
      <c r="A1" t="s">
        <v>2149</v>
      </c>
      <c r="B1" t="s">
        <v>1835</v>
      </c>
      <c r="C1" t="s">
        <v>1836</v>
      </c>
    </row>
    <row r="2" spans="1:3" x14ac:dyDescent="0.45">
      <c r="A2" t="s">
        <v>2150</v>
      </c>
      <c r="B2">
        <v>-25</v>
      </c>
      <c r="C2">
        <v>40</v>
      </c>
    </row>
    <row r="3" spans="1:3" x14ac:dyDescent="0.45">
      <c r="A3" t="s">
        <v>2151</v>
      </c>
      <c r="B3">
        <v>-15</v>
      </c>
      <c r="C3">
        <v>35</v>
      </c>
    </row>
    <row r="4" spans="1:3" x14ac:dyDescent="0.45">
      <c r="A4" t="s">
        <v>2152</v>
      </c>
      <c r="B4">
        <v>-15</v>
      </c>
      <c r="C4">
        <v>25</v>
      </c>
    </row>
    <row r="5" spans="1:3" x14ac:dyDescent="0.45">
      <c r="A5" t="s">
        <v>2153</v>
      </c>
      <c r="B5">
        <v>0</v>
      </c>
      <c r="C5">
        <v>35</v>
      </c>
    </row>
    <row r="6" spans="1:3" x14ac:dyDescent="0.45">
      <c r="A6" t="s">
        <v>2154</v>
      </c>
      <c r="B6">
        <v>-10</v>
      </c>
      <c r="C6">
        <v>20</v>
      </c>
    </row>
    <row r="7" spans="1:3" x14ac:dyDescent="0.45">
      <c r="A7" t="s">
        <v>1566</v>
      </c>
      <c r="B7">
        <v>0</v>
      </c>
      <c r="C7">
        <v>20</v>
      </c>
    </row>
    <row r="8" spans="1:3" x14ac:dyDescent="0.45">
      <c r="B8" s="8"/>
    </row>
    <row r="9" spans="1:3" x14ac:dyDescent="0.45">
      <c r="B9" s="8"/>
    </row>
    <row r="10" spans="1:3" x14ac:dyDescent="0.45">
      <c r="B10" s="8"/>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AA81-6ED3-4589-BBFE-D06CCD7F514B}">
  <sheetPr codeName="Sheet9"/>
  <dimension ref="A1:B4"/>
  <sheetViews>
    <sheetView workbookViewId="0">
      <selection activeCell="B9" sqref="B9"/>
    </sheetView>
  </sheetViews>
  <sheetFormatPr defaultRowHeight="14.25" x14ac:dyDescent="0.45"/>
  <cols>
    <col min="1" max="1" width="22.86328125" bestFit="1" customWidth="1"/>
  </cols>
  <sheetData>
    <row r="1" spans="1:2" x14ac:dyDescent="0.45">
      <c r="A1" t="s">
        <v>1400</v>
      </c>
      <c r="B1" t="s">
        <v>1401</v>
      </c>
    </row>
    <row r="2" spans="1:2" x14ac:dyDescent="0.45">
      <c r="A2" t="s">
        <v>1546</v>
      </c>
      <c r="B2">
        <v>1.30402574108063</v>
      </c>
    </row>
    <row r="3" spans="1:2" x14ac:dyDescent="0.45">
      <c r="A3" t="s">
        <v>1547</v>
      </c>
      <c r="B3">
        <v>0.01</v>
      </c>
    </row>
    <row r="4" spans="1:2" x14ac:dyDescent="0.45">
      <c r="A4" t="s">
        <v>1548</v>
      </c>
      <c r="B4">
        <v>0.75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33A2-90A3-4307-9293-028328A49ED7}">
  <sheetPr codeName="Sheet10"/>
  <dimension ref="A1:B2"/>
  <sheetViews>
    <sheetView workbookViewId="0">
      <selection activeCell="A2" sqref="A2"/>
    </sheetView>
  </sheetViews>
  <sheetFormatPr defaultRowHeight="14.25" x14ac:dyDescent="0.45"/>
  <cols>
    <col min="1" max="1" width="22.86328125" bestFit="1" customWidth="1"/>
  </cols>
  <sheetData>
    <row r="1" spans="1:2" x14ac:dyDescent="0.45">
      <c r="A1" t="s">
        <v>1400</v>
      </c>
      <c r="B1" t="s">
        <v>1401</v>
      </c>
    </row>
    <row r="2" spans="1:2" x14ac:dyDescent="0.45">
      <c r="A2" t="s">
        <v>1555</v>
      </c>
      <c r="B2">
        <v>1.9166134506688318E-2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24D2-F769-4E1B-91C7-F342F17814A7}">
  <sheetPr codeName="Sheet11"/>
  <dimension ref="A1:B7"/>
  <sheetViews>
    <sheetView workbookViewId="0">
      <selection activeCell="J37" sqref="J37"/>
    </sheetView>
  </sheetViews>
  <sheetFormatPr defaultRowHeight="14.25" x14ac:dyDescent="0.45"/>
  <cols>
    <col min="1" max="1" width="15.59765625" bestFit="1" customWidth="1"/>
  </cols>
  <sheetData>
    <row r="1" spans="1:2" x14ac:dyDescent="0.45">
      <c r="A1" t="s">
        <v>1400</v>
      </c>
      <c r="B1" t="s">
        <v>1401</v>
      </c>
    </row>
    <row r="2" spans="1:2" x14ac:dyDescent="0.45">
      <c r="A2" t="s">
        <v>1540</v>
      </c>
      <c r="B2">
        <v>0.5</v>
      </c>
    </row>
    <row r="3" spans="1:2" x14ac:dyDescent="0.45">
      <c r="A3" t="s">
        <v>1541</v>
      </c>
      <c r="B3">
        <v>0.5</v>
      </c>
    </row>
    <row r="4" spans="1:2" x14ac:dyDescent="0.45">
      <c r="A4" t="s">
        <v>1542</v>
      </c>
      <c r="B4">
        <v>0.95</v>
      </c>
    </row>
    <row r="5" spans="1:2" x14ac:dyDescent="0.45">
      <c r="A5" t="s">
        <v>1543</v>
      </c>
      <c r="B5">
        <v>1.05</v>
      </c>
    </row>
    <row r="6" spans="1:2" x14ac:dyDescent="0.45">
      <c r="A6" t="s">
        <v>1544</v>
      </c>
      <c r="B6">
        <v>1.1000000000000001</v>
      </c>
    </row>
    <row r="7" spans="1:2" x14ac:dyDescent="0.45">
      <c r="A7" t="s">
        <v>1545</v>
      </c>
      <c r="B7">
        <v>1.1499999999999999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73BD-496D-492F-98D1-B5BC2D3FAC27}">
  <sheetPr codeName="Sheet12"/>
  <dimension ref="A1:B13"/>
  <sheetViews>
    <sheetView workbookViewId="0">
      <selection activeCell="B18" sqref="B18"/>
    </sheetView>
  </sheetViews>
  <sheetFormatPr defaultRowHeight="14.25" x14ac:dyDescent="0.45"/>
  <cols>
    <col min="1" max="1" width="23" bestFit="1" customWidth="1"/>
    <col min="2" max="2" width="13.86328125" bestFit="1" customWidth="1"/>
  </cols>
  <sheetData>
    <row r="1" spans="1:2" x14ac:dyDescent="0.45">
      <c r="A1" t="s">
        <v>1400</v>
      </c>
      <c r="B1" t="s">
        <v>1401</v>
      </c>
    </row>
    <row r="2" spans="1:2" x14ac:dyDescent="0.45">
      <c r="A2" t="s">
        <v>1432</v>
      </c>
      <c r="B2">
        <v>0</v>
      </c>
    </row>
    <row r="3" spans="1:2" x14ac:dyDescent="0.45">
      <c r="A3" t="s">
        <v>1433</v>
      </c>
      <c r="B3">
        <v>0.48599999999999999</v>
      </c>
    </row>
    <row r="4" spans="1:2" x14ac:dyDescent="0.45">
      <c r="A4" t="s">
        <v>1434</v>
      </c>
      <c r="B4">
        <v>6.1369999999999996</v>
      </c>
    </row>
    <row r="5" spans="1:2" x14ac:dyDescent="0.45">
      <c r="A5" t="s">
        <v>1435</v>
      </c>
      <c r="B5">
        <v>0.9</v>
      </c>
    </row>
    <row r="6" spans="1:2" x14ac:dyDescent="0.45">
      <c r="A6" t="s">
        <v>1436</v>
      </c>
      <c r="B6">
        <v>1.2</v>
      </c>
    </row>
    <row r="7" spans="1:2" x14ac:dyDescent="0.45">
      <c r="A7" t="s">
        <v>1437</v>
      </c>
      <c r="B7">
        <v>1.2</v>
      </c>
    </row>
    <row r="8" spans="1:2" x14ac:dyDescent="0.45">
      <c r="A8" t="s">
        <v>1438</v>
      </c>
      <c r="B8">
        <v>1.2</v>
      </c>
    </row>
    <row r="9" spans="1:2" x14ac:dyDescent="0.45">
      <c r="A9" t="s">
        <v>1439</v>
      </c>
      <c r="B9" s="5">
        <v>375000000</v>
      </c>
    </row>
    <row r="10" spans="1:2" x14ac:dyDescent="0.45">
      <c r="A10" t="s">
        <v>1440</v>
      </c>
      <c r="B10" s="5">
        <v>7500000000</v>
      </c>
    </row>
    <row r="11" spans="1:2" x14ac:dyDescent="0.45">
      <c r="A11" t="s">
        <v>1441</v>
      </c>
      <c r="B11">
        <v>0.92649999999999999</v>
      </c>
    </row>
    <row r="12" spans="1:2" x14ac:dyDescent="0.45">
      <c r="A12" t="s">
        <v>1442</v>
      </c>
      <c r="B12">
        <v>1</v>
      </c>
    </row>
    <row r="13" spans="1:2" x14ac:dyDescent="0.45">
      <c r="A13" t="s">
        <v>1443</v>
      </c>
      <c r="B13">
        <v>0.13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B446-85EF-4B7C-993E-517CE5105698}">
  <dimension ref="A1:D6"/>
  <sheetViews>
    <sheetView workbookViewId="0">
      <selection activeCell="C40" sqref="C40"/>
    </sheetView>
  </sheetViews>
  <sheetFormatPr defaultRowHeight="14.25" x14ac:dyDescent="0.45"/>
  <cols>
    <col min="1" max="1" width="17.59765625" bestFit="1" customWidth="1"/>
    <col min="2" max="2" width="21.1328125" bestFit="1" customWidth="1"/>
    <col min="3" max="3" width="12.1328125" bestFit="1" customWidth="1"/>
    <col min="4" max="4" width="12.265625" bestFit="1" customWidth="1"/>
  </cols>
  <sheetData>
    <row r="1" spans="1:4" x14ac:dyDescent="0.45">
      <c r="A1" t="s">
        <v>1538</v>
      </c>
      <c r="B1" t="s">
        <v>1539</v>
      </c>
      <c r="C1" t="s">
        <v>1471</v>
      </c>
      <c r="D1" t="s">
        <v>1472</v>
      </c>
    </row>
    <row r="2" spans="1:4" x14ac:dyDescent="0.45">
      <c r="A2" s="6">
        <v>0</v>
      </c>
      <c r="B2" s="6">
        <v>500000000</v>
      </c>
      <c r="C2">
        <v>1.1000000000000001</v>
      </c>
      <c r="D2">
        <v>1.1000000000000001</v>
      </c>
    </row>
    <row r="3" spans="1:4" x14ac:dyDescent="0.45">
      <c r="A3" s="6">
        <v>500000000</v>
      </c>
      <c r="B3" s="6">
        <v>3000000000</v>
      </c>
      <c r="C3">
        <v>1.1000000000000001</v>
      </c>
      <c r="D3">
        <v>1.05</v>
      </c>
    </row>
    <row r="4" spans="1:4" x14ac:dyDescent="0.45">
      <c r="A4" s="6">
        <v>3000000000</v>
      </c>
      <c r="B4" s="6">
        <v>45000000000</v>
      </c>
      <c r="C4">
        <v>1.05</v>
      </c>
      <c r="D4">
        <v>1</v>
      </c>
    </row>
    <row r="5" spans="1:4" x14ac:dyDescent="0.45">
      <c r="A5" s="6">
        <v>45000000000</v>
      </c>
      <c r="B5" s="6">
        <v>150000000000</v>
      </c>
      <c r="C5">
        <v>1</v>
      </c>
      <c r="D5">
        <v>0.9</v>
      </c>
    </row>
    <row r="6" spans="1:4" x14ac:dyDescent="0.45">
      <c r="A6" s="6">
        <v>150000000000</v>
      </c>
      <c r="B6" s="6">
        <v>150000000000</v>
      </c>
      <c r="C6">
        <v>0.9</v>
      </c>
      <c r="D6">
        <v>0.9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C0FA-E842-4B52-B7BC-6A159F794A22}">
  <dimension ref="A1:D6"/>
  <sheetViews>
    <sheetView tabSelected="1" workbookViewId="0">
      <selection activeCell="C15" sqref="C15"/>
    </sheetView>
  </sheetViews>
  <sheetFormatPr defaultRowHeight="14.25" x14ac:dyDescent="0.45"/>
  <cols>
    <col min="1" max="1" width="17.59765625" bestFit="1" customWidth="1"/>
    <col min="2" max="2" width="21.1328125" bestFit="1" customWidth="1"/>
    <col min="3" max="3" width="12.1328125" bestFit="1" customWidth="1"/>
    <col min="4" max="4" width="12.265625" bestFit="1" customWidth="1"/>
  </cols>
  <sheetData>
    <row r="1" spans="1:4" x14ac:dyDescent="0.45">
      <c r="A1" t="s">
        <v>1538</v>
      </c>
      <c r="B1" t="s">
        <v>1539</v>
      </c>
      <c r="C1" t="s">
        <v>1471</v>
      </c>
      <c r="D1" t="s">
        <v>1472</v>
      </c>
    </row>
    <row r="2" spans="1:4" x14ac:dyDescent="0.45">
      <c r="A2" s="6">
        <v>0</v>
      </c>
      <c r="B2" s="6">
        <v>500000000</v>
      </c>
      <c r="C2">
        <v>1.2</v>
      </c>
      <c r="D2">
        <v>1.2</v>
      </c>
    </row>
    <row r="3" spans="1:4" x14ac:dyDescent="0.45">
      <c r="A3" s="6">
        <v>500000000</v>
      </c>
      <c r="B3" s="6">
        <v>3000000000</v>
      </c>
      <c r="C3">
        <v>1.2</v>
      </c>
      <c r="D3">
        <v>1.1000000000000001</v>
      </c>
    </row>
    <row r="4" spans="1:4" x14ac:dyDescent="0.45">
      <c r="A4" s="6">
        <v>3000000000</v>
      </c>
      <c r="B4" s="6">
        <v>45000000000</v>
      </c>
      <c r="C4">
        <v>1.1000000000000001</v>
      </c>
      <c r="D4">
        <v>1</v>
      </c>
    </row>
    <row r="5" spans="1:4" x14ac:dyDescent="0.45">
      <c r="A5" s="6">
        <v>45000000000</v>
      </c>
      <c r="B5" s="6">
        <v>150000000000</v>
      </c>
      <c r="C5">
        <v>1</v>
      </c>
      <c r="D5">
        <v>0.75</v>
      </c>
    </row>
    <row r="6" spans="1:4" x14ac:dyDescent="0.45">
      <c r="A6" s="6">
        <v>150000000000</v>
      </c>
      <c r="B6" s="6">
        <v>150000000000</v>
      </c>
      <c r="C6">
        <v>0.75</v>
      </c>
      <c r="D6">
        <v>0.75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5153-4A32-4D2D-BD07-58FB9D2A24B9}">
  <sheetPr codeName="Sheet13"/>
  <dimension ref="A1:B3"/>
  <sheetViews>
    <sheetView workbookViewId="0">
      <selection activeCell="H31" sqref="H31"/>
    </sheetView>
  </sheetViews>
  <sheetFormatPr defaultRowHeight="14.25" x14ac:dyDescent="0.45"/>
  <cols>
    <col min="1" max="1" width="15.59765625" bestFit="1" customWidth="1"/>
  </cols>
  <sheetData>
    <row r="1" spans="1:2" x14ac:dyDescent="0.45">
      <c r="A1" t="s">
        <v>1400</v>
      </c>
      <c r="B1" t="s">
        <v>1401</v>
      </c>
    </row>
    <row r="2" spans="1:2" x14ac:dyDescent="0.45">
      <c r="A2" t="s">
        <v>1556</v>
      </c>
      <c r="B2">
        <v>14.09</v>
      </c>
    </row>
    <row r="3" spans="1:2" x14ac:dyDescent="0.45">
      <c r="A3" t="s">
        <v>1557</v>
      </c>
      <c r="B3">
        <v>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941D8-8B9C-43C1-96DB-73FE3CF8D3D3}">
  <sheetPr codeName="Sheet14"/>
  <dimension ref="A1:B7"/>
  <sheetViews>
    <sheetView workbookViewId="0">
      <selection activeCell="H19" sqref="H19"/>
    </sheetView>
  </sheetViews>
  <sheetFormatPr defaultRowHeight="14.25" x14ac:dyDescent="0.45"/>
  <cols>
    <col min="1" max="1" width="15.59765625" bestFit="1" customWidth="1"/>
  </cols>
  <sheetData>
    <row r="1" spans="1:2" x14ac:dyDescent="0.45">
      <c r="A1" t="s">
        <v>1400</v>
      </c>
      <c r="B1" t="s">
        <v>1401</v>
      </c>
    </row>
    <row r="2" spans="1:2" x14ac:dyDescent="0.45">
      <c r="A2" t="s">
        <v>1558</v>
      </c>
      <c r="B2">
        <v>7.3983826144036362</v>
      </c>
    </row>
    <row r="3" spans="1:2" x14ac:dyDescent="0.45">
      <c r="A3" t="s">
        <v>1559</v>
      </c>
      <c r="B3">
        <v>0.26885859284352887</v>
      </c>
    </row>
    <row r="4" spans="1:2" x14ac:dyDescent="0.45">
      <c r="A4" t="s">
        <v>1560</v>
      </c>
      <c r="B4">
        <v>7.5978464330210507E-2</v>
      </c>
    </row>
    <row r="5" spans="1:2" x14ac:dyDescent="0.45">
      <c r="A5" t="s">
        <v>1561</v>
      </c>
      <c r="B5">
        <v>1.5</v>
      </c>
    </row>
    <row r="6" spans="1:2" x14ac:dyDescent="0.45">
      <c r="A6" t="s">
        <v>1562</v>
      </c>
      <c r="B6">
        <v>0</v>
      </c>
    </row>
    <row r="7" spans="1:2" x14ac:dyDescent="0.45">
      <c r="A7" t="s">
        <v>1563</v>
      </c>
      <c r="B7">
        <v>37500000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4AE4-4BBF-4CE9-AE34-09E92DEE639E}">
  <sheetPr codeName="Sheet15"/>
  <dimension ref="A1:B4"/>
  <sheetViews>
    <sheetView workbookViewId="0">
      <selection sqref="A1:B1"/>
    </sheetView>
  </sheetViews>
  <sheetFormatPr defaultRowHeight="14.25" x14ac:dyDescent="0.45"/>
  <cols>
    <col min="1" max="1" width="15.59765625" bestFit="1" customWidth="1"/>
  </cols>
  <sheetData>
    <row r="1" spans="1:2" x14ac:dyDescent="0.45">
      <c r="A1" t="s">
        <v>1400</v>
      </c>
      <c r="B1" t="s">
        <v>1401</v>
      </c>
    </row>
    <row r="2" spans="1:2" x14ac:dyDescent="0.45">
      <c r="A2" t="s">
        <v>1564</v>
      </c>
      <c r="B2">
        <v>0.6</v>
      </c>
    </row>
    <row r="3" spans="1:2" x14ac:dyDescent="0.45">
      <c r="A3" t="s">
        <v>1565</v>
      </c>
      <c r="B3">
        <v>0.8</v>
      </c>
    </row>
    <row r="4" spans="1:2" x14ac:dyDescent="0.45">
      <c r="A4" t="s">
        <v>1566</v>
      </c>
      <c r="B4">
        <v>0.25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04D9-CD5E-40FD-B4DD-10DDB5D83BB1}">
  <sheetPr codeName="Sheet16"/>
  <dimension ref="A1:B5"/>
  <sheetViews>
    <sheetView workbookViewId="0">
      <selection activeCell="E47" sqref="E47"/>
    </sheetView>
  </sheetViews>
  <sheetFormatPr defaultRowHeight="14.25" x14ac:dyDescent="0.45"/>
  <cols>
    <col min="1" max="1" width="16.59765625" bestFit="1" customWidth="1"/>
  </cols>
  <sheetData>
    <row r="1" spans="1:2" x14ac:dyDescent="0.45">
      <c r="A1" t="s">
        <v>1400</v>
      </c>
      <c r="B1" t="s">
        <v>1401</v>
      </c>
    </row>
    <row r="2" spans="1:2" x14ac:dyDescent="0.45">
      <c r="A2" t="s">
        <v>1567</v>
      </c>
      <c r="B2">
        <v>5.0000000000000001E-3</v>
      </c>
    </row>
    <row r="3" spans="1:2" x14ac:dyDescent="0.45">
      <c r="A3" t="s">
        <v>1568</v>
      </c>
      <c r="B3">
        <v>2.5000000000000001E-3</v>
      </c>
    </row>
    <row r="4" spans="1:2" x14ac:dyDescent="0.45">
      <c r="A4" t="s">
        <v>1569</v>
      </c>
      <c r="B4">
        <v>23820</v>
      </c>
    </row>
    <row r="5" spans="1:2" x14ac:dyDescent="0.45">
      <c r="A5" t="s">
        <v>1570</v>
      </c>
      <c r="B5">
        <v>119102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F990-883E-4587-9496-71CBFD18D5E1}">
  <sheetPr codeName="Sheet17"/>
  <dimension ref="A1:E9"/>
  <sheetViews>
    <sheetView workbookViewId="0">
      <selection activeCell="C13" sqref="C13"/>
    </sheetView>
  </sheetViews>
  <sheetFormatPr defaultRowHeight="14.25" x14ac:dyDescent="0.45"/>
  <cols>
    <col min="1" max="1" width="15.3984375" bestFit="1" customWidth="1"/>
    <col min="2" max="2" width="15.59765625" bestFit="1" customWidth="1"/>
    <col min="3" max="3" width="16.86328125" bestFit="1" customWidth="1"/>
  </cols>
  <sheetData>
    <row r="1" spans="1:5" x14ac:dyDescent="0.45">
      <c r="A1" t="s">
        <v>1446</v>
      </c>
      <c r="B1" t="s">
        <v>1447</v>
      </c>
      <c r="C1" t="s">
        <v>1444</v>
      </c>
      <c r="D1" t="s">
        <v>42</v>
      </c>
      <c r="E1" t="s">
        <v>1445</v>
      </c>
    </row>
    <row r="2" spans="1:5" x14ac:dyDescent="0.45">
      <c r="A2">
        <v>0</v>
      </c>
      <c r="B2">
        <f>A2+C2</f>
        <v>10000000</v>
      </c>
      <c r="C2">
        <v>10000000</v>
      </c>
      <c r="D2">
        <v>0.32</v>
      </c>
      <c r="E2">
        <v>0</v>
      </c>
    </row>
    <row r="3" spans="1:5" x14ac:dyDescent="0.45">
      <c r="A3">
        <v>10000000</v>
      </c>
      <c r="B3">
        <f t="shared" ref="B3:B9" si="0">A3+C3</f>
        <v>20000000</v>
      </c>
      <c r="C3">
        <v>10000000</v>
      </c>
      <c r="D3">
        <v>0.26</v>
      </c>
      <c r="E3">
        <v>0.32</v>
      </c>
    </row>
    <row r="4" spans="1:5" x14ac:dyDescent="0.45">
      <c r="A4">
        <v>20000000</v>
      </c>
      <c r="B4">
        <f t="shared" si="0"/>
        <v>30000000</v>
      </c>
      <c r="C4">
        <v>10000000</v>
      </c>
      <c r="D4">
        <v>0.23</v>
      </c>
      <c r="E4">
        <v>0.28999999999999998</v>
      </c>
    </row>
    <row r="5" spans="1:5" x14ac:dyDescent="0.45">
      <c r="A5">
        <v>30000000</v>
      </c>
      <c r="B5">
        <f t="shared" si="0"/>
        <v>40000000</v>
      </c>
      <c r="C5">
        <v>10000000</v>
      </c>
      <c r="D5">
        <v>0.2</v>
      </c>
      <c r="E5">
        <v>0.27</v>
      </c>
    </row>
    <row r="6" spans="1:5" x14ac:dyDescent="0.45">
      <c r="A6">
        <v>40000000</v>
      </c>
      <c r="B6">
        <f t="shared" si="0"/>
        <v>50000000</v>
      </c>
      <c r="C6">
        <v>10000000</v>
      </c>
      <c r="D6">
        <v>0.18</v>
      </c>
      <c r="E6">
        <v>0.2525</v>
      </c>
    </row>
    <row r="7" spans="1:5" x14ac:dyDescent="0.45">
      <c r="A7">
        <v>50000000</v>
      </c>
      <c r="B7">
        <f t="shared" si="0"/>
        <v>75000000</v>
      </c>
      <c r="C7">
        <v>25000000</v>
      </c>
      <c r="D7">
        <v>0.16</v>
      </c>
      <c r="E7">
        <v>0.23799999999999999</v>
      </c>
    </row>
    <row r="8" spans="1:5" x14ac:dyDescent="0.45">
      <c r="A8">
        <v>75000000</v>
      </c>
      <c r="B8">
        <f t="shared" si="0"/>
        <v>100000000</v>
      </c>
      <c r="C8">
        <v>25000000</v>
      </c>
      <c r="D8">
        <v>0.14000000000000001</v>
      </c>
      <c r="E8">
        <v>0.21199999999999999</v>
      </c>
    </row>
    <row r="9" spans="1:5" x14ac:dyDescent="0.45">
      <c r="A9">
        <v>100000000</v>
      </c>
      <c r="B9">
        <f t="shared" si="0"/>
        <v>1000100000000</v>
      </c>
      <c r="C9" s="5">
        <v>1000000000000</v>
      </c>
      <c r="D9">
        <v>0.12</v>
      </c>
      <c r="E9">
        <v>0.19400000000000001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78A0-8289-4CCE-A36A-48F21EE47832}">
  <sheetPr codeName="Sheet18"/>
  <dimension ref="A1:D9"/>
  <sheetViews>
    <sheetView workbookViewId="0">
      <selection activeCell="C14" sqref="C14"/>
    </sheetView>
  </sheetViews>
  <sheetFormatPr defaultRowHeight="14.25" x14ac:dyDescent="0.45"/>
  <cols>
    <col min="1" max="1" width="19" bestFit="1" customWidth="1"/>
    <col min="2" max="2" width="19" customWidth="1"/>
    <col min="3" max="3" width="15.86328125" bestFit="1" customWidth="1"/>
    <col min="4" max="4" width="16.86328125" bestFit="1" customWidth="1"/>
  </cols>
  <sheetData>
    <row r="1" spans="1:4" x14ac:dyDescent="0.45">
      <c r="A1" t="s">
        <v>1571</v>
      </c>
      <c r="B1" t="s">
        <v>1572</v>
      </c>
      <c r="C1" t="s">
        <v>1573</v>
      </c>
      <c r="D1" t="s">
        <v>1574</v>
      </c>
    </row>
    <row r="2" spans="1:4" x14ac:dyDescent="0.45">
      <c r="A2" s="6">
        <v>1</v>
      </c>
      <c r="B2" s="6">
        <v>100000000</v>
      </c>
      <c r="C2" s="6">
        <v>750000</v>
      </c>
      <c r="D2" s="6">
        <v>750000</v>
      </c>
    </row>
    <row r="3" spans="1:4" x14ac:dyDescent="0.45">
      <c r="A3" s="6">
        <v>100000000</v>
      </c>
      <c r="B3" s="6">
        <v>1000000000</v>
      </c>
      <c r="C3" s="6">
        <v>750000</v>
      </c>
      <c r="D3" s="6">
        <v>1125000</v>
      </c>
    </row>
    <row r="4" spans="1:4" x14ac:dyDescent="0.45">
      <c r="A4" s="6">
        <v>1000000000</v>
      </c>
      <c r="B4" s="6">
        <v>10000000000</v>
      </c>
      <c r="C4" s="6">
        <v>1125000</v>
      </c>
      <c r="D4" s="6">
        <v>1500000</v>
      </c>
    </row>
    <row r="5" spans="1:4" x14ac:dyDescent="0.45">
      <c r="A5" s="6">
        <v>10000000000</v>
      </c>
      <c r="B5" s="6">
        <v>50000000000</v>
      </c>
      <c r="C5" s="6">
        <v>1500000</v>
      </c>
      <c r="D5" s="6">
        <v>2897940.0086720372</v>
      </c>
    </row>
    <row r="6" spans="1:4" x14ac:dyDescent="0.45">
      <c r="A6" s="6">
        <v>50000000000</v>
      </c>
      <c r="B6" s="6">
        <v>1000000000000</v>
      </c>
      <c r="C6" s="6">
        <v>2897940.0086720372</v>
      </c>
      <c r="D6" s="6">
        <v>3500000</v>
      </c>
    </row>
    <row r="7" spans="1:4" x14ac:dyDescent="0.45">
      <c r="A7" s="6">
        <v>1000000000000</v>
      </c>
      <c r="B7" s="6">
        <v>999000000000000</v>
      </c>
      <c r="C7" s="6">
        <v>3500000</v>
      </c>
      <c r="D7" s="6">
        <v>3500000</v>
      </c>
    </row>
    <row r="9" spans="1:4" x14ac:dyDescent="0.45">
      <c r="D9" s="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DC68-5E13-43A9-8323-6F16E7A01CA1}">
  <dimension ref="A1:B3"/>
  <sheetViews>
    <sheetView workbookViewId="0">
      <selection activeCell="E14" sqref="E14"/>
    </sheetView>
  </sheetViews>
  <sheetFormatPr defaultRowHeight="14.25" x14ac:dyDescent="0.45"/>
  <cols>
    <col min="1" max="1" width="15.86328125" bestFit="1" customWidth="1"/>
    <col min="2" max="2" width="10.59765625" bestFit="1" customWidth="1"/>
  </cols>
  <sheetData>
    <row r="1" spans="1:2" x14ac:dyDescent="0.45">
      <c r="A1" t="s">
        <v>2119</v>
      </c>
      <c r="B1" t="s">
        <v>2120</v>
      </c>
    </row>
    <row r="2" spans="1:2" x14ac:dyDescent="0.45">
      <c r="A2" s="5">
        <v>1</v>
      </c>
      <c r="B2" s="5">
        <v>100000</v>
      </c>
    </row>
    <row r="3" spans="1:2" x14ac:dyDescent="0.45">
      <c r="A3" s="5">
        <v>999000000000</v>
      </c>
      <c r="B3" s="5">
        <v>2000000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704C-9257-4870-88CA-C689C2F6DA56}">
  <sheetPr codeName="Sheet19"/>
  <dimension ref="A1:C6"/>
  <sheetViews>
    <sheetView workbookViewId="0">
      <selection activeCell="D21" sqref="D21"/>
    </sheetView>
  </sheetViews>
  <sheetFormatPr defaultRowHeight="14.25" x14ac:dyDescent="0.45"/>
  <cols>
    <col min="1" max="1" width="22" bestFit="1" customWidth="1"/>
  </cols>
  <sheetData>
    <row r="1" spans="1:3" x14ac:dyDescent="0.45">
      <c r="A1" t="s">
        <v>1448</v>
      </c>
      <c r="B1" t="s">
        <v>1401</v>
      </c>
      <c r="C1" t="s">
        <v>42</v>
      </c>
    </row>
    <row r="2" spans="1:3" x14ac:dyDescent="0.45">
      <c r="A2" t="s">
        <v>1449</v>
      </c>
      <c r="B2">
        <v>0</v>
      </c>
      <c r="C2">
        <v>1</v>
      </c>
    </row>
    <row r="3" spans="1:3" x14ac:dyDescent="0.45">
      <c r="A3" t="s">
        <v>1450</v>
      </c>
      <c r="B3">
        <v>1</v>
      </c>
      <c r="C3">
        <v>1</v>
      </c>
    </row>
    <row r="4" spans="1:3" x14ac:dyDescent="0.45">
      <c r="A4" t="s">
        <v>1451</v>
      </c>
      <c r="B4">
        <v>1.0000000000010001</v>
      </c>
      <c r="C4">
        <v>1</v>
      </c>
    </row>
    <row r="5" spans="1:3" x14ac:dyDescent="0.45">
      <c r="A5" t="s">
        <v>1452</v>
      </c>
      <c r="B5">
        <v>1.5</v>
      </c>
      <c r="C5">
        <v>1</v>
      </c>
    </row>
    <row r="6" spans="1:3" x14ac:dyDescent="0.45">
      <c r="A6" t="s">
        <v>1453</v>
      </c>
      <c r="B6">
        <v>2.00000000001</v>
      </c>
      <c r="C6">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7154-C3B1-412A-9F2F-31CDCFD568DC}">
  <sheetPr codeName="Sheet20"/>
  <dimension ref="A1:B22"/>
  <sheetViews>
    <sheetView workbookViewId="0">
      <selection activeCell="G12" sqref="G12"/>
    </sheetView>
  </sheetViews>
  <sheetFormatPr defaultRowHeight="14.25" x14ac:dyDescent="0.45"/>
  <cols>
    <col min="1" max="1" width="15" bestFit="1" customWidth="1"/>
  </cols>
  <sheetData>
    <row r="1" spans="1:2" x14ac:dyDescent="0.45">
      <c r="A1" t="s">
        <v>1400</v>
      </c>
      <c r="B1" t="s">
        <v>1401</v>
      </c>
    </row>
    <row r="2" spans="1:2" x14ac:dyDescent="0.45">
      <c r="A2" t="s">
        <v>1575</v>
      </c>
      <c r="B2">
        <v>0.5</v>
      </c>
    </row>
    <row r="3" spans="1:2" x14ac:dyDescent="0.45">
      <c r="A3" t="s">
        <v>1576</v>
      </c>
      <c r="B3">
        <v>0.8</v>
      </c>
    </row>
    <row r="4" spans="1:2" x14ac:dyDescent="0.45">
      <c r="A4" t="s">
        <v>1577</v>
      </c>
      <c r="B4">
        <v>0.02</v>
      </c>
    </row>
    <row r="5" spans="1:2" x14ac:dyDescent="0.45">
      <c r="A5" t="s">
        <v>1578</v>
      </c>
      <c r="B5">
        <v>0.01</v>
      </c>
    </row>
    <row r="6" spans="1:2" x14ac:dyDescent="0.45">
      <c r="A6" t="s">
        <v>1579</v>
      </c>
      <c r="B6">
        <v>3.8461538461538464E-2</v>
      </c>
    </row>
    <row r="7" spans="1:2" x14ac:dyDescent="0.45">
      <c r="A7" t="s">
        <v>1580</v>
      </c>
      <c r="B7">
        <v>0.111803398874989</v>
      </c>
    </row>
    <row r="8" spans="1:2" x14ac:dyDescent="0.45">
      <c r="A8" t="s">
        <v>1581</v>
      </c>
      <c r="B8">
        <v>-1.34119826036175</v>
      </c>
    </row>
    <row r="9" spans="1:2" x14ac:dyDescent="0.45">
      <c r="A9" t="s">
        <v>1582</v>
      </c>
      <c r="B9">
        <v>0.1</v>
      </c>
    </row>
    <row r="10" spans="1:2" x14ac:dyDescent="0.45">
      <c r="A10" t="s">
        <v>1583</v>
      </c>
      <c r="B10">
        <v>1.2</v>
      </c>
    </row>
    <row r="11" spans="1:2" x14ac:dyDescent="0.45">
      <c r="A11" t="s">
        <v>1584</v>
      </c>
      <c r="B11">
        <v>1.4</v>
      </c>
    </row>
    <row r="12" spans="1:2" x14ac:dyDescent="0.45">
      <c r="A12" t="s">
        <v>1585</v>
      </c>
      <c r="B12">
        <v>3.3</v>
      </c>
    </row>
    <row r="13" spans="1:2" x14ac:dyDescent="0.45">
      <c r="A13" t="s">
        <v>1586</v>
      </c>
      <c r="B13">
        <v>0.6</v>
      </c>
    </row>
    <row r="14" spans="1:2" x14ac:dyDescent="0.45">
      <c r="A14" t="s">
        <v>1587</v>
      </c>
      <c r="B14">
        <v>0.999</v>
      </c>
    </row>
    <row r="15" spans="1:2" x14ac:dyDescent="0.45">
      <c r="A15" t="s">
        <v>1588</v>
      </c>
      <c r="B15">
        <v>0.13</v>
      </c>
    </row>
    <row r="16" spans="1:2" x14ac:dyDescent="0.45">
      <c r="A16" t="s">
        <v>1619</v>
      </c>
      <c r="B16">
        <v>0</v>
      </c>
    </row>
    <row r="17" spans="1:2" x14ac:dyDescent="0.45">
      <c r="A17" t="s">
        <v>1620</v>
      </c>
      <c r="B17">
        <v>0.5</v>
      </c>
    </row>
    <row r="18" spans="1:2" x14ac:dyDescent="0.45">
      <c r="A18" t="s">
        <v>1621</v>
      </c>
      <c r="B18">
        <v>1</v>
      </c>
    </row>
    <row r="19" spans="1:2" x14ac:dyDescent="0.45">
      <c r="A19" t="s">
        <v>1622</v>
      </c>
      <c r="B19">
        <v>0</v>
      </c>
    </row>
    <row r="20" spans="1:2" x14ac:dyDescent="0.45">
      <c r="A20" t="s">
        <v>1623</v>
      </c>
      <c r="B20">
        <v>0</v>
      </c>
    </row>
    <row r="21" spans="1:2" x14ac:dyDescent="0.45">
      <c r="A21" t="s">
        <v>1624</v>
      </c>
      <c r="B21">
        <v>0</v>
      </c>
    </row>
    <row r="22" spans="1:2" x14ac:dyDescent="0.45">
      <c r="A22" t="s">
        <v>1625</v>
      </c>
      <c r="B22">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06AD-7084-446A-B3DB-04E40920FBEA}">
  <sheetPr codeName="Sheet21"/>
  <dimension ref="A1:B6"/>
  <sheetViews>
    <sheetView workbookViewId="0">
      <selection activeCell="I16" sqref="I16"/>
    </sheetView>
  </sheetViews>
  <sheetFormatPr defaultRowHeight="14.25" x14ac:dyDescent="0.45"/>
  <cols>
    <col min="1" max="1" width="18.59765625" bestFit="1" customWidth="1"/>
  </cols>
  <sheetData>
    <row r="1" spans="1:2" x14ac:dyDescent="0.45">
      <c r="A1" t="s">
        <v>1400</v>
      </c>
      <c r="B1" t="s">
        <v>1401</v>
      </c>
    </row>
    <row r="2" spans="1:2" x14ac:dyDescent="0.45">
      <c r="A2" t="s">
        <v>1589</v>
      </c>
      <c r="B2">
        <v>0.8</v>
      </c>
    </row>
    <row r="3" spans="1:2" x14ac:dyDescent="0.45">
      <c r="A3" t="s">
        <v>1590</v>
      </c>
      <c r="B3">
        <v>0.9</v>
      </c>
    </row>
    <row r="4" spans="1:2" x14ac:dyDescent="0.45">
      <c r="A4" t="s">
        <v>1591</v>
      </c>
      <c r="B4">
        <v>0.8</v>
      </c>
    </row>
    <row r="5" spans="1:2" x14ac:dyDescent="0.45">
      <c r="A5" t="s">
        <v>1592</v>
      </c>
      <c r="B5">
        <v>0.25</v>
      </c>
    </row>
    <row r="6" spans="1:2" x14ac:dyDescent="0.45">
      <c r="A6" t="s">
        <v>1593</v>
      </c>
      <c r="B6" s="7">
        <v>0.19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059A-B4BE-45ED-B664-11E0DE99FCE7}">
  <sheetPr codeName="Sheet22"/>
  <dimension ref="A1:C23"/>
  <sheetViews>
    <sheetView topLeftCell="A16" workbookViewId="0">
      <selection activeCell="J70" sqref="J70"/>
    </sheetView>
  </sheetViews>
  <sheetFormatPr defaultRowHeight="14.25" x14ac:dyDescent="0.45"/>
  <cols>
    <col min="1" max="1" width="17" bestFit="1" customWidth="1"/>
    <col min="2" max="2" width="16" bestFit="1" customWidth="1"/>
  </cols>
  <sheetData>
    <row r="1" spans="1:3" x14ac:dyDescent="0.45">
      <c r="A1" t="s">
        <v>1594</v>
      </c>
      <c r="B1" t="s">
        <v>1595</v>
      </c>
      <c r="C1" t="s">
        <v>1596</v>
      </c>
    </row>
    <row r="2" spans="1:3" x14ac:dyDescent="0.45">
      <c r="A2" t="s">
        <v>1597</v>
      </c>
      <c r="B2">
        <v>7.3285969901094299E-3</v>
      </c>
      <c r="C2">
        <v>1</v>
      </c>
    </row>
    <row r="3" spans="1:3" x14ac:dyDescent="0.45">
      <c r="A3" t="s">
        <v>1598</v>
      </c>
      <c r="B3">
        <v>8.4248366813240803E-3</v>
      </c>
      <c r="C3">
        <v>1</v>
      </c>
    </row>
    <row r="4" spans="1:3" x14ac:dyDescent="0.45">
      <c r="A4" t="s">
        <v>1599</v>
      </c>
      <c r="B4">
        <v>9.6850561168494408E-3</v>
      </c>
      <c r="C4">
        <v>1</v>
      </c>
    </row>
    <row r="5" spans="1:3" x14ac:dyDescent="0.45">
      <c r="A5" t="s">
        <v>1600</v>
      </c>
      <c r="B5">
        <v>1.1133784016781801E-2</v>
      </c>
      <c r="C5">
        <v>1</v>
      </c>
    </row>
    <row r="6" spans="1:3" x14ac:dyDescent="0.45">
      <c r="A6" t="s">
        <v>1601</v>
      </c>
      <c r="B6">
        <v>1.27992182013985E-2</v>
      </c>
      <c r="C6">
        <v>1</v>
      </c>
    </row>
    <row r="7" spans="1:3" x14ac:dyDescent="0.45">
      <c r="A7" t="s">
        <v>1602</v>
      </c>
      <c r="B7">
        <v>1.4713774429258499E-2</v>
      </c>
      <c r="C7">
        <v>1</v>
      </c>
    </row>
    <row r="8" spans="1:3" x14ac:dyDescent="0.45">
      <c r="A8" t="s">
        <v>1603</v>
      </c>
      <c r="B8">
        <v>1.69147173326138E-2</v>
      </c>
      <c r="C8">
        <v>1</v>
      </c>
    </row>
    <row r="9" spans="1:3" x14ac:dyDescent="0.45">
      <c r="A9" t="s">
        <v>1604</v>
      </c>
      <c r="B9">
        <v>1.94448857305639E-2</v>
      </c>
      <c r="C9">
        <v>1</v>
      </c>
    </row>
    <row r="10" spans="1:3" x14ac:dyDescent="0.45">
      <c r="A10" t="s">
        <v>1605</v>
      </c>
      <c r="B10">
        <v>2.2353526437338501E-2</v>
      </c>
      <c r="C10">
        <v>1</v>
      </c>
    </row>
    <row r="11" spans="1:3" x14ac:dyDescent="0.45">
      <c r="A11" t="s">
        <v>1606</v>
      </c>
      <c r="B11">
        <v>2.5697252794825098E-2</v>
      </c>
      <c r="C11">
        <v>1</v>
      </c>
    </row>
    <row r="12" spans="1:3" x14ac:dyDescent="0.45">
      <c r="A12" t="s">
        <v>1607</v>
      </c>
      <c r="B12">
        <v>2.9541146586076299E-2</v>
      </c>
      <c r="C12">
        <v>1.0731349438579656</v>
      </c>
    </row>
    <row r="13" spans="1:3" x14ac:dyDescent="0.45">
      <c r="A13" t="s">
        <v>1608</v>
      </c>
      <c r="B13">
        <v>3.3960024777270698E-2</v>
      </c>
      <c r="C13">
        <v>1.0893053674491511</v>
      </c>
    </row>
    <row r="14" spans="1:3" x14ac:dyDescent="0.45">
      <c r="A14" t="s">
        <v>1609</v>
      </c>
      <c r="B14">
        <v>3.9039895743803503E-2</v>
      </c>
      <c r="C14">
        <v>1.10785379074545</v>
      </c>
    </row>
    <row r="15" spans="1:3" x14ac:dyDescent="0.45">
      <c r="A15" t="s">
        <v>1610</v>
      </c>
      <c r="B15">
        <v>4.4879633324270501E-2</v>
      </c>
      <c r="C15">
        <v>1.1305700511736756</v>
      </c>
    </row>
    <row r="16" spans="1:3" x14ac:dyDescent="0.45">
      <c r="A16" t="s">
        <v>1611</v>
      </c>
      <c r="B16">
        <v>5.1592901285876701E-2</v>
      </c>
      <c r="C16">
        <v>1.1575230333233004</v>
      </c>
    </row>
    <row r="17" spans="1:3" x14ac:dyDescent="0.45">
      <c r="A17" t="s">
        <v>1612</v>
      </c>
      <c r="B17">
        <v>5.9310365658774698E-2</v>
      </c>
      <c r="C17">
        <v>1.1901307157969268</v>
      </c>
    </row>
    <row r="18" spans="1:3" x14ac:dyDescent="0.45">
      <c r="A18" t="s">
        <v>1613</v>
      </c>
      <c r="B18">
        <v>6.8182237999872303E-2</v>
      </c>
      <c r="C18">
        <v>1.2301860510798066</v>
      </c>
    </row>
    <row r="19" spans="1:3" x14ac:dyDescent="0.45">
      <c r="A19" t="s">
        <v>1614</v>
      </c>
      <c r="B19">
        <v>7.8381199087809994E-2</v>
      </c>
      <c r="C19">
        <v>1.2794453089446272</v>
      </c>
    </row>
    <row r="20" spans="1:3" x14ac:dyDescent="0.45">
      <c r="A20" t="s">
        <v>1615</v>
      </c>
      <c r="B20">
        <v>0.15625</v>
      </c>
      <c r="C20">
        <v>1.4289925767529448</v>
      </c>
    </row>
    <row r="21" spans="1:3" x14ac:dyDescent="0.45">
      <c r="A21" t="s">
        <v>1616</v>
      </c>
      <c r="B21">
        <v>0.3125</v>
      </c>
      <c r="C21">
        <v>1.8504527321916826</v>
      </c>
    </row>
    <row r="22" spans="1:3" x14ac:dyDescent="0.45">
      <c r="A22" t="s">
        <v>1617</v>
      </c>
      <c r="B22">
        <v>0.625</v>
      </c>
      <c r="C22">
        <v>2</v>
      </c>
    </row>
    <row r="23" spans="1:3" x14ac:dyDescent="0.45">
      <c r="A23" t="s">
        <v>1618</v>
      </c>
      <c r="B23">
        <v>0.625</v>
      </c>
      <c r="C23">
        <v>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FF0C-2601-4458-9B90-4124E4EB2A82}">
  <sheetPr codeName="Sheet23"/>
  <dimension ref="A1:D74"/>
  <sheetViews>
    <sheetView workbookViewId="0">
      <selection activeCell="N43" sqref="N43"/>
    </sheetView>
  </sheetViews>
  <sheetFormatPr defaultRowHeight="14.25" x14ac:dyDescent="0.45"/>
  <cols>
    <col min="1" max="1" width="14" bestFit="1" customWidth="1"/>
    <col min="2" max="2" width="16.3984375" bestFit="1" customWidth="1"/>
    <col min="3" max="3" width="12" bestFit="1" customWidth="1"/>
    <col min="4" max="4" width="12.1328125" bestFit="1" customWidth="1"/>
  </cols>
  <sheetData>
    <row r="1" spans="1:4" x14ac:dyDescent="0.45">
      <c r="A1" t="s">
        <v>1469</v>
      </c>
      <c r="B1" t="s">
        <v>1470</v>
      </c>
      <c r="C1" t="s">
        <v>1471</v>
      </c>
      <c r="D1" t="s">
        <v>1472</v>
      </c>
    </row>
    <row r="2" spans="1:4" x14ac:dyDescent="0.45">
      <c r="A2" s="6">
        <v>0</v>
      </c>
      <c r="B2" s="6">
        <f>A3</f>
        <v>10000000</v>
      </c>
      <c r="C2">
        <v>1</v>
      </c>
      <c r="D2">
        <f>C3</f>
        <v>1.2391213480674901</v>
      </c>
    </row>
    <row r="3" spans="1:4" x14ac:dyDescent="0.45">
      <c r="A3" s="6">
        <v>10000000</v>
      </c>
      <c r="B3" s="6">
        <f t="shared" ref="B3:B66" si="0">A4</f>
        <v>20000000</v>
      </c>
      <c r="C3">
        <v>1.2391213480674901</v>
      </c>
      <c r="D3">
        <f t="shared" ref="D3:D66" si="1">C4</f>
        <v>1.4180783975019065</v>
      </c>
    </row>
    <row r="4" spans="1:4" x14ac:dyDescent="0.45">
      <c r="A4" s="6">
        <v>20000000</v>
      </c>
      <c r="B4" s="6">
        <f t="shared" si="0"/>
        <v>30000000</v>
      </c>
      <c r="C4">
        <v>1.4180783975019065</v>
      </c>
      <c r="D4">
        <f t="shared" si="1"/>
        <v>1.56</v>
      </c>
    </row>
    <row r="5" spans="1:4" x14ac:dyDescent="0.45">
      <c r="A5" s="6">
        <v>30000000</v>
      </c>
      <c r="B5" s="6">
        <f t="shared" si="0"/>
        <v>40000000</v>
      </c>
      <c r="C5">
        <v>1.56</v>
      </c>
      <c r="D5">
        <f t="shared" si="1"/>
        <v>1.6767256370269648</v>
      </c>
    </row>
    <row r="6" spans="1:4" x14ac:dyDescent="0.45">
      <c r="A6" s="6">
        <v>40000000</v>
      </c>
      <c r="B6" s="6">
        <f t="shared" si="0"/>
        <v>50000000</v>
      </c>
      <c r="C6">
        <v>1.6767256370269648</v>
      </c>
      <c r="D6">
        <f t="shared" si="1"/>
        <v>1.7751969657759985</v>
      </c>
    </row>
    <row r="7" spans="1:4" x14ac:dyDescent="0.45">
      <c r="A7" s="6">
        <v>50000000</v>
      </c>
      <c r="B7" s="6">
        <f t="shared" si="0"/>
        <v>60000000</v>
      </c>
      <c r="C7">
        <v>1.7751969657759985</v>
      </c>
      <c r="D7">
        <f t="shared" si="1"/>
        <v>1.8598496619770049</v>
      </c>
    </row>
    <row r="8" spans="1:4" x14ac:dyDescent="0.45">
      <c r="A8" s="6">
        <v>60000000</v>
      </c>
      <c r="B8" s="6">
        <f t="shared" si="0"/>
        <v>70000000</v>
      </c>
      <c r="C8">
        <v>1.8598496619770049</v>
      </c>
      <c r="D8">
        <f t="shared" si="1"/>
        <v>1.9337005954033148</v>
      </c>
    </row>
    <row r="9" spans="1:4" x14ac:dyDescent="0.45">
      <c r="A9" s="6">
        <v>70000000</v>
      </c>
      <c r="B9" s="6">
        <f t="shared" si="0"/>
        <v>80000000</v>
      </c>
      <c r="C9">
        <v>1.9337005954033148</v>
      </c>
      <c r="D9">
        <f t="shared" si="1"/>
        <v>1.9988931111611747</v>
      </c>
    </row>
    <row r="10" spans="1:4" x14ac:dyDescent="0.45">
      <c r="A10" s="6">
        <v>80000000</v>
      </c>
      <c r="B10" s="6">
        <f t="shared" si="0"/>
        <v>90000000</v>
      </c>
      <c r="C10">
        <v>1.9988931111611747</v>
      </c>
      <c r="D10">
        <f t="shared" si="1"/>
        <v>2.0570051095393986</v>
      </c>
    </row>
    <row r="11" spans="1:4" x14ac:dyDescent="0.45">
      <c r="A11" s="6">
        <v>90000000</v>
      </c>
      <c r="B11" s="6">
        <f t="shared" si="0"/>
        <v>100000000</v>
      </c>
      <c r="C11">
        <v>2.0570051095393986</v>
      </c>
      <c r="D11">
        <f t="shared" si="1"/>
        <v>2.1092246271080972</v>
      </c>
    </row>
    <row r="12" spans="1:4" x14ac:dyDescent="0.45">
      <c r="A12" s="6">
        <v>100000000</v>
      </c>
      <c r="B12" s="6">
        <f t="shared" si="0"/>
        <v>110000000</v>
      </c>
      <c r="C12">
        <v>2.1092246271080972</v>
      </c>
      <c r="D12">
        <f t="shared" si="1"/>
        <v>2.1564863629054796</v>
      </c>
    </row>
    <row r="13" spans="1:4" x14ac:dyDescent="0.45">
      <c r="A13" s="6">
        <v>110000000</v>
      </c>
      <c r="B13" s="6">
        <f t="shared" si="0"/>
        <v>120000000</v>
      </c>
      <c r="C13">
        <v>2.1564863629054796</v>
      </c>
      <c r="D13">
        <f t="shared" si="1"/>
        <v>2.199511366044387</v>
      </c>
    </row>
    <row r="14" spans="1:4" x14ac:dyDescent="0.45">
      <c r="A14" s="6">
        <v>120000000</v>
      </c>
      <c r="B14" s="6">
        <f t="shared" si="0"/>
        <v>130000000</v>
      </c>
      <c r="C14">
        <v>2.199511366044387</v>
      </c>
      <c r="D14">
        <f t="shared" si="1"/>
        <v>2.238895705189663</v>
      </c>
    </row>
    <row r="15" spans="1:4" x14ac:dyDescent="0.45">
      <c r="A15" s="6">
        <v>130000000</v>
      </c>
      <c r="B15" s="6">
        <f t="shared" si="0"/>
        <v>140000000</v>
      </c>
      <c r="C15">
        <v>2.238895705189663</v>
      </c>
      <c r="D15">
        <f t="shared" si="1"/>
        <v>2.275107443222177</v>
      </c>
    </row>
    <row r="16" spans="1:4" x14ac:dyDescent="0.45">
      <c r="A16" s="6">
        <v>140000000</v>
      </c>
      <c r="B16" s="6">
        <f t="shared" si="0"/>
        <v>150000000</v>
      </c>
      <c r="C16">
        <v>2.275107443222177</v>
      </c>
      <c r="D16">
        <f t="shared" si="1"/>
        <v>2.3085446143912143</v>
      </c>
    </row>
    <row r="17" spans="1:4" x14ac:dyDescent="0.45">
      <c r="A17" s="6">
        <v>150000000</v>
      </c>
      <c r="B17" s="6">
        <f t="shared" si="0"/>
        <v>160000000</v>
      </c>
      <c r="C17">
        <v>2.3085446143912143</v>
      </c>
      <c r="D17">
        <f t="shared" si="1"/>
        <v>2.3395377212849269</v>
      </c>
    </row>
    <row r="18" spans="1:4" x14ac:dyDescent="0.45">
      <c r="A18" s="6">
        <v>160000000</v>
      </c>
      <c r="B18" s="6">
        <f t="shared" si="0"/>
        <v>170000000</v>
      </c>
      <c r="C18">
        <v>2.3395377212849269</v>
      </c>
      <c r="D18">
        <f t="shared" si="1"/>
        <v>2.3683529611552023</v>
      </c>
    </row>
    <row r="19" spans="1:4" x14ac:dyDescent="0.45">
      <c r="A19" s="6">
        <v>170000000</v>
      </c>
      <c r="B19" s="6">
        <f t="shared" si="0"/>
        <v>180000000</v>
      </c>
      <c r="C19">
        <v>2.3683529611552023</v>
      </c>
      <c r="D19">
        <f t="shared" si="1"/>
        <v>2.3952360974900957</v>
      </c>
    </row>
    <row r="20" spans="1:4" x14ac:dyDescent="0.45">
      <c r="A20" s="6">
        <v>180000000</v>
      </c>
      <c r="B20" s="6">
        <f t="shared" si="0"/>
        <v>190000000</v>
      </c>
      <c r="C20">
        <v>2.3952360974900957</v>
      </c>
      <c r="D20">
        <f t="shared" si="1"/>
        <v>2.4203854072408726</v>
      </c>
    </row>
    <row r="21" spans="1:4" x14ac:dyDescent="0.45">
      <c r="A21" s="6">
        <v>190000000</v>
      </c>
      <c r="B21" s="6">
        <f t="shared" si="0"/>
        <v>200000000</v>
      </c>
      <c r="C21">
        <v>2.4203854072408726</v>
      </c>
      <c r="D21">
        <f t="shared" si="1"/>
        <v>2.4439637349704171</v>
      </c>
    </row>
    <row r="22" spans="1:4" x14ac:dyDescent="0.45">
      <c r="A22" s="6">
        <v>200000000</v>
      </c>
      <c r="B22" s="6">
        <f t="shared" si="0"/>
        <v>210000000</v>
      </c>
      <c r="C22">
        <v>2.4439637349704171</v>
      </c>
      <c r="D22">
        <f t="shared" si="1"/>
        <v>2.4661398349626</v>
      </c>
    </row>
    <row r="23" spans="1:4" x14ac:dyDescent="0.45">
      <c r="A23" s="6">
        <v>210000000</v>
      </c>
      <c r="B23" s="6">
        <f t="shared" si="0"/>
        <v>220000000</v>
      </c>
      <c r="C23">
        <v>2.4661398349626</v>
      </c>
      <c r="D23">
        <f t="shared" si="1"/>
        <v>2.4870208437498453</v>
      </c>
    </row>
    <row r="24" spans="1:4" x14ac:dyDescent="0.45">
      <c r="A24" s="6">
        <v>220000000</v>
      </c>
      <c r="B24" s="6">
        <f t="shared" si="0"/>
        <v>230000000</v>
      </c>
      <c r="C24">
        <v>2.4870208437498453</v>
      </c>
      <c r="D24">
        <f t="shared" si="1"/>
        <v>2.5067268633852828</v>
      </c>
    </row>
    <row r="25" spans="1:4" x14ac:dyDescent="0.45">
      <c r="A25" s="6">
        <v>230000000</v>
      </c>
      <c r="B25" s="6">
        <f t="shared" si="0"/>
        <v>240000000</v>
      </c>
      <c r="C25">
        <v>2.5067268633852828</v>
      </c>
      <c r="D25">
        <f t="shared" si="1"/>
        <v>2.5253639498213052</v>
      </c>
    </row>
    <row r="26" spans="1:4" x14ac:dyDescent="0.45">
      <c r="A26" s="6">
        <v>240000000</v>
      </c>
      <c r="B26" s="6">
        <f t="shared" si="0"/>
        <v>250000000</v>
      </c>
      <c r="C26">
        <v>2.5253639498213052</v>
      </c>
      <c r="D26">
        <f t="shared" si="1"/>
        <v>2.5430292954087483</v>
      </c>
    </row>
    <row r="27" spans="1:4" x14ac:dyDescent="0.45">
      <c r="A27" s="6">
        <v>250000000</v>
      </c>
      <c r="B27" s="6">
        <f t="shared" si="0"/>
        <v>260000000</v>
      </c>
      <c r="C27">
        <v>2.5430292954087483</v>
      </c>
      <c r="D27">
        <f t="shared" si="1"/>
        <v>2.5597947779517156</v>
      </c>
    </row>
    <row r="28" spans="1:4" x14ac:dyDescent="0.45">
      <c r="A28" s="6">
        <v>260000000</v>
      </c>
      <c r="B28" s="6">
        <f t="shared" si="0"/>
        <v>270000000</v>
      </c>
      <c r="C28">
        <v>2.5597947779517156</v>
      </c>
      <c r="D28">
        <f t="shared" si="1"/>
        <v>2.5757149731733118</v>
      </c>
    </row>
    <row r="29" spans="1:4" x14ac:dyDescent="0.45">
      <c r="A29" s="6">
        <v>270000000</v>
      </c>
      <c r="B29" s="6">
        <f t="shared" si="0"/>
        <v>280000000</v>
      </c>
      <c r="C29">
        <v>2.5757149731733118</v>
      </c>
      <c r="D29">
        <f t="shared" si="1"/>
        <v>2.5908660963347159</v>
      </c>
    </row>
    <row r="30" spans="1:4" x14ac:dyDescent="0.45">
      <c r="A30" s="6">
        <v>280000000</v>
      </c>
      <c r="B30" s="6">
        <f t="shared" si="0"/>
        <v>290000000</v>
      </c>
      <c r="C30">
        <v>2.5908660963347159</v>
      </c>
      <c r="D30">
        <f t="shared" si="1"/>
        <v>2.6053117414604614</v>
      </c>
    </row>
    <row r="31" spans="1:4" x14ac:dyDescent="0.45">
      <c r="A31" s="6">
        <v>290000000</v>
      </c>
      <c r="B31" s="6">
        <f t="shared" si="0"/>
        <v>300000000</v>
      </c>
      <c r="C31">
        <v>2.6053117414604614</v>
      </c>
      <c r="D31">
        <f t="shared" si="1"/>
        <v>2.6191001615551044</v>
      </c>
    </row>
    <row r="32" spans="1:4" x14ac:dyDescent="0.45">
      <c r="A32" s="6">
        <v>300000000</v>
      </c>
      <c r="B32" s="6">
        <f t="shared" si="0"/>
        <v>310000000</v>
      </c>
      <c r="C32">
        <v>2.6191001615551044</v>
      </c>
      <c r="D32">
        <f t="shared" si="1"/>
        <v>2.6322769025080857</v>
      </c>
    </row>
    <row r="33" spans="1:4" x14ac:dyDescent="0.45">
      <c r="A33" s="6">
        <v>310000000</v>
      </c>
      <c r="B33" s="6">
        <f t="shared" si="0"/>
        <v>320000000</v>
      </c>
      <c r="C33">
        <v>2.6322769025080857</v>
      </c>
      <c r="D33">
        <f t="shared" si="1"/>
        <v>2.6448937737190303</v>
      </c>
    </row>
    <row r="34" spans="1:4" x14ac:dyDescent="0.45">
      <c r="A34" s="6">
        <v>320000000</v>
      </c>
      <c r="B34" s="6">
        <f t="shared" si="0"/>
        <v>330000000</v>
      </c>
      <c r="C34">
        <v>2.6448937737190303</v>
      </c>
      <c r="D34">
        <f t="shared" si="1"/>
        <v>2.6569500807104127</v>
      </c>
    </row>
    <row r="35" spans="1:4" x14ac:dyDescent="0.45">
      <c r="A35" s="6">
        <v>330000000</v>
      </c>
      <c r="B35" s="6">
        <f t="shared" si="0"/>
        <v>340000000</v>
      </c>
      <c r="C35">
        <v>2.6569500807104127</v>
      </c>
      <c r="D35">
        <f t="shared" si="1"/>
        <v>2.6685081243638127</v>
      </c>
    </row>
    <row r="36" spans="1:4" x14ac:dyDescent="0.45">
      <c r="A36" s="6">
        <v>340000000</v>
      </c>
      <c r="B36" s="6">
        <f t="shared" si="0"/>
        <v>350000000</v>
      </c>
      <c r="C36">
        <v>2.6685081243638127</v>
      </c>
      <c r="D36">
        <f t="shared" si="1"/>
        <v>2.6796133289107296</v>
      </c>
    </row>
    <row r="37" spans="1:4" x14ac:dyDescent="0.45">
      <c r="A37" s="6">
        <v>350000000</v>
      </c>
      <c r="B37" s="6">
        <f t="shared" si="0"/>
        <v>360000000</v>
      </c>
      <c r="C37">
        <v>2.6796133289107296</v>
      </c>
      <c r="D37">
        <f t="shared" si="1"/>
        <v>2.6902731294061697</v>
      </c>
    </row>
    <row r="38" spans="1:4" x14ac:dyDescent="0.45">
      <c r="A38" s="6">
        <v>360000000</v>
      </c>
      <c r="B38" s="6">
        <f t="shared" si="0"/>
        <v>370000000</v>
      </c>
      <c r="C38">
        <v>2.6902731294061697</v>
      </c>
      <c r="D38">
        <f t="shared" si="1"/>
        <v>2.7004975132022944</v>
      </c>
    </row>
    <row r="39" spans="1:4" x14ac:dyDescent="0.45">
      <c r="A39" s="6">
        <v>370000000</v>
      </c>
      <c r="B39" s="6">
        <f t="shared" si="0"/>
        <v>380000000</v>
      </c>
      <c r="C39">
        <v>2.7004975132022944</v>
      </c>
      <c r="D39">
        <f t="shared" si="1"/>
        <v>2.7103676787127018</v>
      </c>
    </row>
    <row r="40" spans="1:4" x14ac:dyDescent="0.45">
      <c r="A40" s="6">
        <v>380000000</v>
      </c>
      <c r="B40" s="6">
        <f t="shared" si="0"/>
        <v>390000000</v>
      </c>
      <c r="C40">
        <v>2.7103676787127018</v>
      </c>
      <c r="D40">
        <f t="shared" si="1"/>
        <v>2.7198570649562033</v>
      </c>
    </row>
    <row r="41" spans="1:4" x14ac:dyDescent="0.45">
      <c r="A41" s="6">
        <v>390000000</v>
      </c>
      <c r="B41" s="6">
        <f t="shared" si="0"/>
        <v>400000000</v>
      </c>
      <c r="C41">
        <v>2.7198570649562033</v>
      </c>
      <c r="D41">
        <f t="shared" si="1"/>
        <v>2.7289992933267957</v>
      </c>
    </row>
    <row r="42" spans="1:4" x14ac:dyDescent="0.45">
      <c r="A42" s="6">
        <v>400000000</v>
      </c>
      <c r="B42" s="6">
        <f t="shared" si="0"/>
        <v>410000000</v>
      </c>
      <c r="C42">
        <v>2.7289992933267957</v>
      </c>
      <c r="D42">
        <f t="shared" si="1"/>
        <v>2.7378292605818837</v>
      </c>
    </row>
    <row r="43" spans="1:4" x14ac:dyDescent="0.45">
      <c r="A43" s="6">
        <v>410000000</v>
      </c>
      <c r="B43" s="6">
        <f t="shared" si="0"/>
        <v>420000000</v>
      </c>
      <c r="C43">
        <v>2.7378292605818837</v>
      </c>
      <c r="D43">
        <f t="shared" si="1"/>
        <v>2.7463008705029708</v>
      </c>
    </row>
    <row r="44" spans="1:4" x14ac:dyDescent="0.45">
      <c r="A44" s="6">
        <v>420000000</v>
      </c>
      <c r="B44" s="6">
        <f t="shared" si="0"/>
        <v>430000000</v>
      </c>
      <c r="C44">
        <v>2.7463008705029708</v>
      </c>
      <c r="D44">
        <f t="shared" si="1"/>
        <v>2.7545757888609783</v>
      </c>
    </row>
    <row r="45" spans="1:4" x14ac:dyDescent="0.45">
      <c r="A45" s="6">
        <v>430000000</v>
      </c>
      <c r="B45" s="6">
        <f t="shared" si="0"/>
        <v>440000000</v>
      </c>
      <c r="C45">
        <v>2.7545757888609783</v>
      </c>
      <c r="D45">
        <f t="shared" si="1"/>
        <v>2.7624756899325806</v>
      </c>
    </row>
    <row r="46" spans="1:4" x14ac:dyDescent="0.45">
      <c r="A46" s="6">
        <v>440000000</v>
      </c>
      <c r="B46" s="6">
        <f t="shared" si="0"/>
        <v>450000000</v>
      </c>
      <c r="C46">
        <v>2.7624756899325806</v>
      </c>
      <c r="D46">
        <f t="shared" si="1"/>
        <v>2.7701429979113197</v>
      </c>
    </row>
    <row r="47" spans="1:4" x14ac:dyDescent="0.45">
      <c r="A47" s="6">
        <v>450000000</v>
      </c>
      <c r="B47" s="6">
        <f t="shared" si="0"/>
        <v>460000000</v>
      </c>
      <c r="C47">
        <v>2.7701429979113197</v>
      </c>
      <c r="D47">
        <f t="shared" si="1"/>
        <v>2.7776447138042317</v>
      </c>
    </row>
    <row r="48" spans="1:4" x14ac:dyDescent="0.45">
      <c r="A48" s="6">
        <v>460000000</v>
      </c>
      <c r="B48" s="6">
        <f t="shared" si="0"/>
        <v>470000000</v>
      </c>
      <c r="C48">
        <v>2.7776447138042317</v>
      </c>
      <c r="D48">
        <f t="shared" si="1"/>
        <v>2.7848051098935578</v>
      </c>
    </row>
    <row r="49" spans="1:4" x14ac:dyDescent="0.45">
      <c r="A49" s="6">
        <v>470000000</v>
      </c>
      <c r="B49" s="6">
        <f t="shared" si="0"/>
        <v>480000000</v>
      </c>
      <c r="C49">
        <v>2.7848051098935578</v>
      </c>
      <c r="D49">
        <f t="shared" si="1"/>
        <v>2.7917179104507879</v>
      </c>
    </row>
    <row r="50" spans="1:4" x14ac:dyDescent="0.45">
      <c r="A50" s="6">
        <v>480000000</v>
      </c>
      <c r="B50" s="6">
        <f t="shared" si="0"/>
        <v>490000000</v>
      </c>
      <c r="C50">
        <v>2.7917179104507879</v>
      </c>
      <c r="D50">
        <f t="shared" si="1"/>
        <v>2.7984908219702165</v>
      </c>
    </row>
    <row r="51" spans="1:4" x14ac:dyDescent="0.45">
      <c r="A51" s="6">
        <v>490000000</v>
      </c>
      <c r="B51" s="6">
        <f t="shared" si="0"/>
        <v>500000000</v>
      </c>
      <c r="C51">
        <v>2.7984908219702165</v>
      </c>
      <c r="D51">
        <f t="shared" si="1"/>
        <v>2.805138598411788</v>
      </c>
    </row>
    <row r="52" spans="1:4" x14ac:dyDescent="0.45">
      <c r="A52" s="6">
        <v>500000000</v>
      </c>
      <c r="B52" s="6">
        <f t="shared" si="0"/>
        <v>510000000</v>
      </c>
      <c r="C52">
        <v>2.805138598411788</v>
      </c>
      <c r="D52">
        <f t="shared" si="1"/>
        <v>2.8114257256956829</v>
      </c>
    </row>
    <row r="53" spans="1:4" x14ac:dyDescent="0.45">
      <c r="A53" s="6">
        <v>510000000</v>
      </c>
      <c r="B53" s="6">
        <f t="shared" si="0"/>
        <v>520000000</v>
      </c>
      <c r="C53">
        <v>2.8114257256956829</v>
      </c>
      <c r="D53">
        <f t="shared" si="1"/>
        <v>2.8175290373008517</v>
      </c>
    </row>
    <row r="54" spans="1:4" x14ac:dyDescent="0.45">
      <c r="A54" s="6">
        <v>520000000</v>
      </c>
      <c r="B54" s="6">
        <f t="shared" si="0"/>
        <v>530000000</v>
      </c>
      <c r="C54">
        <v>2.8175290373008517</v>
      </c>
      <c r="D54">
        <f t="shared" si="1"/>
        <v>2.8235414765538343</v>
      </c>
    </row>
    <row r="55" spans="1:4" x14ac:dyDescent="0.45">
      <c r="A55" s="6">
        <v>530000000</v>
      </c>
      <c r="B55" s="6">
        <f t="shared" si="0"/>
        <v>540000000</v>
      </c>
      <c r="C55">
        <v>2.8235414765538343</v>
      </c>
      <c r="D55">
        <f t="shared" si="1"/>
        <v>2.8294188486285088</v>
      </c>
    </row>
    <row r="56" spans="1:4" x14ac:dyDescent="0.45">
      <c r="A56" s="6">
        <v>540000000</v>
      </c>
      <c r="B56" s="6">
        <f t="shared" si="0"/>
        <v>550000000</v>
      </c>
      <c r="C56">
        <v>2.8294188486285088</v>
      </c>
      <c r="D56">
        <f t="shared" si="1"/>
        <v>2.8351371658202664</v>
      </c>
    </row>
    <row r="57" spans="1:4" x14ac:dyDescent="0.45">
      <c r="A57" s="6">
        <v>550000000</v>
      </c>
      <c r="B57" s="6">
        <f t="shared" si="0"/>
        <v>560000000</v>
      </c>
      <c r="C57">
        <v>2.8351371658202664</v>
      </c>
      <c r="D57">
        <f t="shared" si="1"/>
        <v>2.8405789441385751</v>
      </c>
    </row>
    <row r="58" spans="1:4" x14ac:dyDescent="0.45">
      <c r="A58" s="6">
        <v>560000000</v>
      </c>
      <c r="B58" s="6">
        <f t="shared" si="0"/>
        <v>570000000</v>
      </c>
      <c r="C58">
        <v>2.8405789441385751</v>
      </c>
      <c r="D58">
        <f t="shared" si="1"/>
        <v>2.8458443954815262</v>
      </c>
    </row>
    <row r="59" spans="1:4" x14ac:dyDescent="0.45">
      <c r="A59" s="6">
        <v>570000000</v>
      </c>
      <c r="B59" s="6">
        <f t="shared" si="0"/>
        <v>580000000</v>
      </c>
      <c r="C59">
        <v>2.8458443954815262</v>
      </c>
      <c r="D59">
        <f t="shared" si="1"/>
        <v>2.8510863717215997</v>
      </c>
    </row>
    <row r="60" spans="1:4" x14ac:dyDescent="0.45">
      <c r="A60" s="6">
        <v>580000000</v>
      </c>
      <c r="B60" s="6">
        <f t="shared" si="0"/>
        <v>590000000</v>
      </c>
      <c r="C60">
        <v>2.8510863717215997</v>
      </c>
      <c r="D60">
        <f t="shared" si="1"/>
        <v>2.8561441724473813</v>
      </c>
    </row>
    <row r="61" spans="1:4" x14ac:dyDescent="0.45">
      <c r="A61" s="6">
        <v>590000000</v>
      </c>
      <c r="B61" s="6">
        <f t="shared" si="0"/>
        <v>600000000</v>
      </c>
      <c r="C61">
        <v>2.8561441724473813</v>
      </c>
      <c r="D61">
        <f t="shared" si="1"/>
        <v>2.8611989624365251</v>
      </c>
    </row>
    <row r="62" spans="1:4" x14ac:dyDescent="0.45">
      <c r="A62" s="6">
        <v>600000000</v>
      </c>
      <c r="B62" s="6">
        <f t="shared" si="0"/>
        <v>610000000</v>
      </c>
      <c r="C62">
        <v>2.8611989624365251</v>
      </c>
      <c r="D62">
        <f t="shared" si="1"/>
        <v>2.8660647743660435</v>
      </c>
    </row>
    <row r="63" spans="1:4" x14ac:dyDescent="0.45">
      <c r="A63" s="6">
        <v>610000000</v>
      </c>
      <c r="B63" s="6">
        <f t="shared" si="0"/>
        <v>620000000</v>
      </c>
      <c r="C63">
        <v>2.8660647743660435</v>
      </c>
      <c r="D63">
        <f t="shared" si="1"/>
        <v>2.8707272043753451</v>
      </c>
    </row>
    <row r="64" spans="1:4" x14ac:dyDescent="0.45">
      <c r="A64" s="6">
        <v>620000000</v>
      </c>
      <c r="B64" s="6">
        <f t="shared" si="0"/>
        <v>630000000</v>
      </c>
      <c r="C64">
        <v>2.8707272043753451</v>
      </c>
      <c r="D64">
        <f t="shared" si="1"/>
        <v>2.8751913166603682</v>
      </c>
    </row>
    <row r="65" spans="1:4" x14ac:dyDescent="0.45">
      <c r="A65" s="6">
        <v>630000000</v>
      </c>
      <c r="B65" s="6">
        <f t="shared" si="0"/>
        <v>640000000</v>
      </c>
      <c r="C65">
        <v>2.8751913166603682</v>
      </c>
      <c r="D65">
        <f t="shared" si="1"/>
        <v>2.8796215348335208</v>
      </c>
    </row>
    <row r="66" spans="1:4" x14ac:dyDescent="0.45">
      <c r="A66" s="6">
        <v>640000000</v>
      </c>
      <c r="B66" s="6">
        <f t="shared" si="0"/>
        <v>650000000</v>
      </c>
      <c r="C66">
        <v>2.8796215348335208</v>
      </c>
      <c r="D66">
        <f t="shared" si="1"/>
        <v>2.8839672543555226</v>
      </c>
    </row>
    <row r="67" spans="1:4" x14ac:dyDescent="0.45">
      <c r="A67" s="6">
        <v>650000000</v>
      </c>
      <c r="B67" s="6">
        <f t="shared" ref="B67:B73" si="2">A68</f>
        <v>660000000</v>
      </c>
      <c r="C67">
        <v>2.8839672543555226</v>
      </c>
      <c r="D67">
        <f t="shared" ref="D67:D73" si="3">C68</f>
        <v>2.8882054837324116</v>
      </c>
    </row>
    <row r="68" spans="1:4" x14ac:dyDescent="0.45">
      <c r="A68" s="6">
        <v>660000000</v>
      </c>
      <c r="B68" s="6">
        <f t="shared" si="2"/>
        <v>670000000</v>
      </c>
      <c r="C68">
        <v>2.8882054837324116</v>
      </c>
      <c r="D68">
        <f t="shared" si="3"/>
        <v>2.8924437131092997</v>
      </c>
    </row>
    <row r="69" spans="1:4" x14ac:dyDescent="0.45">
      <c r="A69" s="6">
        <v>670000000</v>
      </c>
      <c r="B69" s="6">
        <f t="shared" si="2"/>
        <v>680000000</v>
      </c>
      <c r="C69">
        <v>2.8924437131092997</v>
      </c>
      <c r="D69">
        <f t="shared" si="3"/>
        <v>2.8965213038042084</v>
      </c>
    </row>
    <row r="70" spans="1:4" x14ac:dyDescent="0.45">
      <c r="A70" s="6">
        <v>680000000</v>
      </c>
      <c r="B70" s="6">
        <f t="shared" si="2"/>
        <v>690000000</v>
      </c>
      <c r="C70">
        <v>2.8965213038042084</v>
      </c>
      <c r="D70">
        <f t="shared" si="3"/>
        <v>2.9005675443848338</v>
      </c>
    </row>
    <row r="71" spans="1:4" x14ac:dyDescent="0.45">
      <c r="A71" s="6">
        <v>690000000</v>
      </c>
      <c r="B71" s="6">
        <f t="shared" si="2"/>
        <v>700000000</v>
      </c>
      <c r="C71">
        <v>2.9005675443848338</v>
      </c>
      <c r="D71">
        <f t="shared" si="3"/>
        <v>2.9046137849654592</v>
      </c>
    </row>
    <row r="72" spans="1:4" x14ac:dyDescent="0.45">
      <c r="A72" s="6">
        <v>700000000</v>
      </c>
      <c r="B72" s="6">
        <f t="shared" si="2"/>
        <v>710000000</v>
      </c>
      <c r="C72">
        <v>2.9046137849654592</v>
      </c>
      <c r="D72">
        <f t="shared" si="3"/>
        <v>2.9082479263252137</v>
      </c>
    </row>
    <row r="73" spans="1:4" x14ac:dyDescent="0.45">
      <c r="A73" s="6">
        <v>710000000</v>
      </c>
      <c r="B73" s="6">
        <f t="shared" si="2"/>
        <v>720000000</v>
      </c>
      <c r="C73">
        <v>2.9082479263252137</v>
      </c>
      <c r="D73">
        <f t="shared" si="3"/>
        <v>2.9118585731494728</v>
      </c>
    </row>
    <row r="74" spans="1:4" x14ac:dyDescent="0.45">
      <c r="A74" s="6">
        <v>720000000</v>
      </c>
      <c r="B74" s="6">
        <v>1000000000000</v>
      </c>
      <c r="C74">
        <v>2.9118585731494728</v>
      </c>
      <c r="D74">
        <v>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E8F4-01BD-4640-B285-5A1B03143C38}">
  <sheetPr codeName="Sheet24"/>
  <dimension ref="A1:O9"/>
  <sheetViews>
    <sheetView workbookViewId="0">
      <selection activeCell="E47" sqref="E47"/>
    </sheetView>
  </sheetViews>
  <sheetFormatPr defaultRowHeight="14.25" x14ac:dyDescent="0.45"/>
  <cols>
    <col min="4" max="4" width="13.265625" bestFit="1" customWidth="1"/>
    <col min="5" max="5" width="17.1328125" bestFit="1" customWidth="1"/>
    <col min="6" max="6" width="14.1328125" bestFit="1" customWidth="1"/>
    <col min="7" max="7" width="11" bestFit="1" customWidth="1"/>
    <col min="8" max="8" width="12" bestFit="1" customWidth="1"/>
    <col min="9" max="9" width="17.1328125" bestFit="1" customWidth="1"/>
    <col min="10" max="10" width="15" bestFit="1" customWidth="1"/>
    <col min="11" max="11" width="18" bestFit="1" customWidth="1"/>
    <col min="12" max="12" width="14.265625" bestFit="1" customWidth="1"/>
    <col min="13" max="15" width="12" bestFit="1" customWidth="1"/>
  </cols>
  <sheetData>
    <row r="1" spans="1:15" x14ac:dyDescent="0.45">
      <c r="A1" t="s">
        <v>46</v>
      </c>
      <c r="B1" t="s">
        <v>1454</v>
      </c>
      <c r="C1" t="s">
        <v>1455</v>
      </c>
      <c r="D1" t="s">
        <v>1456</v>
      </c>
      <c r="E1" t="s">
        <v>1457</v>
      </c>
      <c r="F1" t="s">
        <v>1458</v>
      </c>
      <c r="G1" t="s">
        <v>1459</v>
      </c>
      <c r="H1" t="s">
        <v>1460</v>
      </c>
      <c r="I1" t="s">
        <v>1461</v>
      </c>
      <c r="J1" t="s">
        <v>1462</v>
      </c>
      <c r="K1" t="s">
        <v>1463</v>
      </c>
      <c r="L1" t="s">
        <v>1464</v>
      </c>
      <c r="M1" t="s">
        <v>1465</v>
      </c>
      <c r="N1" t="s">
        <v>1466</v>
      </c>
      <c r="O1" t="s">
        <v>1467</v>
      </c>
    </row>
    <row r="2" spans="1:15" x14ac:dyDescent="0.45">
      <c r="A2" t="s">
        <v>1473</v>
      </c>
      <c r="B2">
        <v>2023</v>
      </c>
      <c r="C2">
        <v>0</v>
      </c>
      <c r="D2">
        <v>0</v>
      </c>
      <c r="E2">
        <v>9.1999999999999998E-2</v>
      </c>
      <c r="F2">
        <v>3913</v>
      </c>
      <c r="G2">
        <v>0</v>
      </c>
      <c r="H2">
        <v>0</v>
      </c>
      <c r="I2">
        <v>7.0000000000000007E-2</v>
      </c>
      <c r="J2">
        <v>0</v>
      </c>
      <c r="K2">
        <v>0</v>
      </c>
      <c r="L2">
        <v>0</v>
      </c>
      <c r="M2">
        <v>0.125</v>
      </c>
      <c r="N2">
        <v>0</v>
      </c>
      <c r="O2">
        <v>0.80428583687991384</v>
      </c>
    </row>
    <row r="3" spans="1:15" x14ac:dyDescent="0.45">
      <c r="A3" t="s">
        <v>1473</v>
      </c>
      <c r="B3">
        <v>2024</v>
      </c>
      <c r="C3">
        <v>0</v>
      </c>
      <c r="D3">
        <v>1674256.8584481846</v>
      </c>
      <c r="E3">
        <v>0.12670866418347637</v>
      </c>
      <c r="F3">
        <v>5683.8297670000002</v>
      </c>
      <c r="G3">
        <v>0.12480865041752161</v>
      </c>
      <c r="H3">
        <v>9.2965541374159508E-2</v>
      </c>
      <c r="I3">
        <v>0.11972845973075151</v>
      </c>
      <c r="J3">
        <v>1.345169104308269</v>
      </c>
      <c r="K3">
        <v>461</v>
      </c>
      <c r="L3">
        <v>109940000.00000001</v>
      </c>
      <c r="M3">
        <v>3.18431090433621E-2</v>
      </c>
      <c r="N3">
        <v>1.5228823525997675E-2</v>
      </c>
      <c r="O3">
        <v>0.84945116121300313</v>
      </c>
    </row>
    <row r="4" spans="1:15" x14ac:dyDescent="0.45">
      <c r="A4" t="s">
        <v>1473</v>
      </c>
      <c r="B4">
        <v>2025</v>
      </c>
      <c r="C4">
        <v>0</v>
      </c>
      <c r="D4">
        <v>1694117.6186946547</v>
      </c>
      <c r="E4">
        <v>0.13609638189370196</v>
      </c>
      <c r="F4">
        <v>4145.3907633922545</v>
      </c>
      <c r="G4">
        <v>0.14826260879373937</v>
      </c>
      <c r="H4">
        <v>0.10899125953756315</v>
      </c>
      <c r="I4">
        <v>0.12128086187748031</v>
      </c>
      <c r="J4">
        <v>1.46980782683954</v>
      </c>
      <c r="K4">
        <v>551</v>
      </c>
      <c r="L4">
        <v>96999999.999999985</v>
      </c>
      <c r="M4">
        <v>3.9271349256176216E-2</v>
      </c>
      <c r="N4">
        <v>1.7465130089635617E-2</v>
      </c>
      <c r="O4">
        <v>0.78311724219857515</v>
      </c>
    </row>
    <row r="5" spans="1:15" x14ac:dyDescent="0.45">
      <c r="A5" t="s">
        <v>1473</v>
      </c>
      <c r="B5">
        <v>2026</v>
      </c>
      <c r="C5">
        <v>0</v>
      </c>
      <c r="D5">
        <v>1948801.9242588994</v>
      </c>
      <c r="E5">
        <v>0.14056892858488157</v>
      </c>
      <c r="F5">
        <v>4207.9468614887755</v>
      </c>
      <c r="G5">
        <v>0.15644824297501367</v>
      </c>
      <c r="H5">
        <v>0.12337810219755951</v>
      </c>
      <c r="I5">
        <v>0.10644514596900896</v>
      </c>
      <c r="J5">
        <v>1.2344477276084938</v>
      </c>
      <c r="K5">
        <v>631</v>
      </c>
      <c r="L5">
        <v>95000000.000000015</v>
      </c>
      <c r="M5">
        <v>3.3070140777454154E-2</v>
      </c>
      <c r="N5">
        <v>2.0513704465883149E-2</v>
      </c>
      <c r="O5">
        <v>0.83027576681752635</v>
      </c>
    </row>
    <row r="6" spans="1:15" x14ac:dyDescent="0.45">
      <c r="A6" t="s">
        <v>1468</v>
      </c>
      <c r="B6">
        <v>2023</v>
      </c>
      <c r="C6">
        <v>0</v>
      </c>
      <c r="D6">
        <v>0</v>
      </c>
      <c r="E6">
        <v>7.9000000000000001E-2</v>
      </c>
      <c r="F6">
        <v>1509</v>
      </c>
      <c r="G6">
        <v>0</v>
      </c>
      <c r="H6">
        <v>0</v>
      </c>
      <c r="I6">
        <v>7.0000000000000007E-2</v>
      </c>
      <c r="J6">
        <v>0</v>
      </c>
      <c r="K6">
        <v>0</v>
      </c>
      <c r="L6">
        <v>0</v>
      </c>
      <c r="M6">
        <v>7.8E-2</v>
      </c>
      <c r="N6">
        <v>0</v>
      </c>
      <c r="O6">
        <v>0.71652806094925248</v>
      </c>
    </row>
    <row r="7" spans="1:15" x14ac:dyDescent="0.45">
      <c r="A7" t="s">
        <v>1468</v>
      </c>
      <c r="B7">
        <v>2024</v>
      </c>
      <c r="C7">
        <v>0</v>
      </c>
      <c r="D7">
        <v>1389364.412663765</v>
      </c>
      <c r="E7">
        <v>0.14875123145169991</v>
      </c>
      <c r="F7">
        <v>3980.0155209999998</v>
      </c>
      <c r="G7">
        <v>0.11709145439220228</v>
      </c>
      <c r="H7">
        <v>9.4188154892117959E-2</v>
      </c>
      <c r="I7">
        <v>0.12131163416651145</v>
      </c>
      <c r="J7">
        <v>1.357030434599185</v>
      </c>
      <c r="K7">
        <v>661</v>
      </c>
      <c r="L7">
        <v>83650000</v>
      </c>
      <c r="M7">
        <f>G7-H7</f>
        <v>2.2903299500084323E-2</v>
      </c>
      <c r="N7">
        <f>D7/L7</f>
        <v>1.6609257772429945E-2</v>
      </c>
      <c r="O7">
        <v>0.72346965681755848</v>
      </c>
    </row>
    <row r="8" spans="1:15" x14ac:dyDescent="0.45">
      <c r="A8" t="s">
        <v>1468</v>
      </c>
      <c r="B8">
        <v>2025</v>
      </c>
      <c r="C8">
        <v>0</v>
      </c>
      <c r="D8">
        <v>1345762.6551560143</v>
      </c>
      <c r="E8">
        <v>0.15714862902392579</v>
      </c>
      <c r="F8">
        <v>3085.5911177255757</v>
      </c>
      <c r="G8">
        <v>0.1614708265090356</v>
      </c>
      <c r="H8">
        <v>0.12109166770735652</v>
      </c>
      <c r="I8">
        <v>0.11940011313389415</v>
      </c>
      <c r="J8">
        <v>1.2516046844687456</v>
      </c>
      <c r="K8">
        <v>652</v>
      </c>
      <c r="L8">
        <v>73999999.99999997</v>
      </c>
      <c r="M8">
        <f>G8-H8</f>
        <v>4.0379158801679083E-2</v>
      </c>
      <c r="N8">
        <f>D8/L8</f>
        <v>1.8185981826432631E-2</v>
      </c>
      <c r="O8">
        <v>0.66056212933238811</v>
      </c>
    </row>
    <row r="9" spans="1:15" x14ac:dyDescent="0.45">
      <c r="A9" t="s">
        <v>1468</v>
      </c>
      <c r="B9">
        <v>2026</v>
      </c>
      <c r="C9">
        <v>0</v>
      </c>
      <c r="D9">
        <v>1195678.8267127778</v>
      </c>
      <c r="E9">
        <v>0.18621693773385267</v>
      </c>
      <c r="F9">
        <v>3577.9602755272604</v>
      </c>
      <c r="G9">
        <v>0.13939396137249813</v>
      </c>
      <c r="H9">
        <v>9.9050706137926686E-2</v>
      </c>
      <c r="I9">
        <v>0.12208573311598579</v>
      </c>
      <c r="J9">
        <v>1.4106837036095405</v>
      </c>
      <c r="K9">
        <v>669</v>
      </c>
      <c r="L9">
        <v>70999999.999999985</v>
      </c>
      <c r="M9">
        <f>G9-H9</f>
        <v>4.034325523457144E-2</v>
      </c>
      <c r="N9">
        <f>D9/L9</f>
        <v>1.6840546855109551E-2</v>
      </c>
      <c r="O9">
        <v>0.6376419717086933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71C6-581B-430C-8326-70A04A552BC4}">
  <sheetPr codeName="Sheet25"/>
  <dimension ref="A1:B70"/>
  <sheetViews>
    <sheetView topLeftCell="A7" workbookViewId="0">
      <selection activeCell="B42" sqref="B42"/>
    </sheetView>
  </sheetViews>
  <sheetFormatPr defaultRowHeight="14.25" x14ac:dyDescent="0.45"/>
  <cols>
    <col min="1" max="1" width="20" bestFit="1" customWidth="1"/>
    <col min="2" max="2" width="19" bestFit="1" customWidth="1"/>
  </cols>
  <sheetData>
    <row r="1" spans="1:2" x14ac:dyDescent="0.45">
      <c r="A1" t="s">
        <v>2673</v>
      </c>
      <c r="B1" t="s">
        <v>2674</v>
      </c>
    </row>
    <row r="2" spans="1:2" x14ac:dyDescent="0.45">
      <c r="A2" t="s">
        <v>1474</v>
      </c>
      <c r="B2" t="s">
        <v>1473</v>
      </c>
    </row>
    <row r="3" spans="1:2" x14ac:dyDescent="0.45">
      <c r="A3" t="s">
        <v>1475</v>
      </c>
      <c r="B3" t="s">
        <v>1468</v>
      </c>
    </row>
    <row r="4" spans="1:2" x14ac:dyDescent="0.45">
      <c r="A4" t="s">
        <v>1476</v>
      </c>
      <c r="B4" t="s">
        <v>1468</v>
      </c>
    </row>
    <row r="5" spans="1:2" x14ac:dyDescent="0.45">
      <c r="A5" t="s">
        <v>1477</v>
      </c>
      <c r="B5" t="s">
        <v>1468</v>
      </c>
    </row>
    <row r="6" spans="1:2" x14ac:dyDescent="0.45">
      <c r="A6" t="s">
        <v>1478</v>
      </c>
      <c r="B6" t="s">
        <v>1468</v>
      </c>
    </row>
    <row r="7" spans="1:2" x14ac:dyDescent="0.45">
      <c r="A7" t="s">
        <v>1479</v>
      </c>
      <c r="B7" t="s">
        <v>1468</v>
      </c>
    </row>
    <row r="8" spans="1:2" x14ac:dyDescent="0.45">
      <c r="A8" t="s">
        <v>1480</v>
      </c>
      <c r="B8" t="s">
        <v>1473</v>
      </c>
    </row>
    <row r="9" spans="1:2" x14ac:dyDescent="0.45">
      <c r="A9" t="s">
        <v>1481</v>
      </c>
      <c r="B9" t="s">
        <v>1468</v>
      </c>
    </row>
    <row r="10" spans="1:2" x14ac:dyDescent="0.45">
      <c r="A10" t="s">
        <v>1482</v>
      </c>
      <c r="B10" t="s">
        <v>1468</v>
      </c>
    </row>
    <row r="11" spans="1:2" x14ac:dyDescent="0.45">
      <c r="A11" t="s">
        <v>2672</v>
      </c>
      <c r="B11" t="s">
        <v>1473</v>
      </c>
    </row>
    <row r="12" spans="1:2" x14ac:dyDescent="0.45">
      <c r="A12" t="s">
        <v>1483</v>
      </c>
      <c r="B12" t="s">
        <v>1468</v>
      </c>
    </row>
    <row r="13" spans="1:2" x14ac:dyDescent="0.45">
      <c r="A13" t="s">
        <v>1484</v>
      </c>
      <c r="B13" t="s">
        <v>1468</v>
      </c>
    </row>
    <row r="14" spans="1:2" x14ac:dyDescent="0.45">
      <c r="A14" t="s">
        <v>1485</v>
      </c>
      <c r="B14" t="s">
        <v>1473</v>
      </c>
    </row>
    <row r="15" spans="1:2" x14ac:dyDescent="0.45">
      <c r="A15" t="s">
        <v>1486</v>
      </c>
      <c r="B15" t="s">
        <v>1473</v>
      </c>
    </row>
    <row r="16" spans="1:2" x14ac:dyDescent="0.45">
      <c r="A16" t="s">
        <v>1487</v>
      </c>
      <c r="B16" t="s">
        <v>1473</v>
      </c>
    </row>
    <row r="17" spans="1:2" x14ac:dyDescent="0.45">
      <c r="A17" t="s">
        <v>1488</v>
      </c>
      <c r="B17" t="s">
        <v>1468</v>
      </c>
    </row>
    <row r="18" spans="1:2" x14ac:dyDescent="0.45">
      <c r="A18" t="s">
        <v>1489</v>
      </c>
      <c r="B18" t="s">
        <v>1473</v>
      </c>
    </row>
    <row r="19" spans="1:2" x14ac:dyDescent="0.45">
      <c r="A19" t="s">
        <v>1490</v>
      </c>
      <c r="B19" t="s">
        <v>1468</v>
      </c>
    </row>
    <row r="20" spans="1:2" x14ac:dyDescent="0.45">
      <c r="A20" t="s">
        <v>1491</v>
      </c>
      <c r="B20" t="s">
        <v>1473</v>
      </c>
    </row>
    <row r="21" spans="1:2" x14ac:dyDescent="0.45">
      <c r="A21" t="s">
        <v>2671</v>
      </c>
      <c r="B21" t="s">
        <v>1473</v>
      </c>
    </row>
    <row r="22" spans="1:2" x14ac:dyDescent="0.45">
      <c r="A22" t="s">
        <v>1492</v>
      </c>
      <c r="B22" t="s">
        <v>1468</v>
      </c>
    </row>
    <row r="23" spans="1:2" x14ac:dyDescent="0.45">
      <c r="A23" t="s">
        <v>1493</v>
      </c>
      <c r="B23" t="s">
        <v>1473</v>
      </c>
    </row>
    <row r="24" spans="1:2" x14ac:dyDescent="0.45">
      <c r="A24" t="s">
        <v>1494</v>
      </c>
      <c r="B24" t="s">
        <v>1468</v>
      </c>
    </row>
    <row r="25" spans="1:2" x14ac:dyDescent="0.45">
      <c r="A25" t="s">
        <v>1495</v>
      </c>
      <c r="B25" t="s">
        <v>1468</v>
      </c>
    </row>
    <row r="26" spans="1:2" x14ac:dyDescent="0.45">
      <c r="A26" t="s">
        <v>1496</v>
      </c>
      <c r="B26" t="s">
        <v>1468</v>
      </c>
    </row>
    <row r="27" spans="1:2" x14ac:dyDescent="0.45">
      <c r="A27" t="s">
        <v>1497</v>
      </c>
      <c r="B27" t="s">
        <v>1468</v>
      </c>
    </row>
    <row r="28" spans="1:2" x14ac:dyDescent="0.45">
      <c r="A28" t="s">
        <v>1498</v>
      </c>
      <c r="B28" t="s">
        <v>1468</v>
      </c>
    </row>
    <row r="29" spans="1:2" x14ac:dyDescent="0.45">
      <c r="A29" t="s">
        <v>1499</v>
      </c>
      <c r="B29" t="s">
        <v>1468</v>
      </c>
    </row>
    <row r="30" spans="1:2" x14ac:dyDescent="0.45">
      <c r="A30" t="s">
        <v>1500</v>
      </c>
      <c r="B30" t="s">
        <v>1468</v>
      </c>
    </row>
    <row r="31" spans="1:2" x14ac:dyDescent="0.45">
      <c r="A31" t="s">
        <v>1501</v>
      </c>
      <c r="B31" t="s">
        <v>1468</v>
      </c>
    </row>
    <row r="32" spans="1:2" x14ac:dyDescent="0.45">
      <c r="A32" t="s">
        <v>1502</v>
      </c>
      <c r="B32" t="s">
        <v>1468</v>
      </c>
    </row>
    <row r="33" spans="1:2" x14ac:dyDescent="0.45">
      <c r="A33" t="s">
        <v>1503</v>
      </c>
      <c r="B33" t="s">
        <v>1468</v>
      </c>
    </row>
    <row r="34" spans="1:2" x14ac:dyDescent="0.45">
      <c r="A34" t="s">
        <v>2667</v>
      </c>
      <c r="B34" t="s">
        <v>1473</v>
      </c>
    </row>
    <row r="35" spans="1:2" x14ac:dyDescent="0.45">
      <c r="A35" t="s">
        <v>2666</v>
      </c>
      <c r="B35" t="s">
        <v>1468</v>
      </c>
    </row>
    <row r="36" spans="1:2" x14ac:dyDescent="0.45">
      <c r="A36" t="s">
        <v>2668</v>
      </c>
      <c r="B36" t="s">
        <v>1473</v>
      </c>
    </row>
    <row r="37" spans="1:2" x14ac:dyDescent="0.45">
      <c r="A37" t="s">
        <v>1504</v>
      </c>
      <c r="B37" t="s">
        <v>1473</v>
      </c>
    </row>
    <row r="38" spans="1:2" x14ac:dyDescent="0.45">
      <c r="A38" t="s">
        <v>1505</v>
      </c>
      <c r="B38" t="s">
        <v>1468</v>
      </c>
    </row>
    <row r="39" spans="1:2" x14ac:dyDescent="0.45">
      <c r="A39" t="s">
        <v>1506</v>
      </c>
      <c r="B39" t="s">
        <v>1468</v>
      </c>
    </row>
    <row r="40" spans="1:2" x14ac:dyDescent="0.45">
      <c r="A40" t="s">
        <v>2670</v>
      </c>
      <c r="B40" t="s">
        <v>1473</v>
      </c>
    </row>
    <row r="41" spans="1:2" x14ac:dyDescent="0.45">
      <c r="A41" t="s">
        <v>1507</v>
      </c>
      <c r="B41" t="s">
        <v>1473</v>
      </c>
    </row>
    <row r="42" spans="1:2" x14ac:dyDescent="0.45">
      <c r="A42" t="s">
        <v>1508</v>
      </c>
      <c r="B42" t="s">
        <v>1468</v>
      </c>
    </row>
    <row r="43" spans="1:2" x14ac:dyDescent="0.45">
      <c r="A43" t="s">
        <v>1509</v>
      </c>
      <c r="B43" t="s">
        <v>1468</v>
      </c>
    </row>
    <row r="44" spans="1:2" x14ac:dyDescent="0.45">
      <c r="A44" t="s">
        <v>1510</v>
      </c>
      <c r="B44" t="s">
        <v>1468</v>
      </c>
    </row>
    <row r="45" spans="1:2" x14ac:dyDescent="0.45">
      <c r="A45" t="s">
        <v>1511</v>
      </c>
      <c r="B45" t="s">
        <v>1473</v>
      </c>
    </row>
    <row r="46" spans="1:2" x14ac:dyDescent="0.45">
      <c r="A46" t="s">
        <v>1512</v>
      </c>
      <c r="B46" t="s">
        <v>1473</v>
      </c>
    </row>
    <row r="47" spans="1:2" x14ac:dyDescent="0.45">
      <c r="A47" t="s">
        <v>2669</v>
      </c>
      <c r="B47" t="s">
        <v>1473</v>
      </c>
    </row>
    <row r="48" spans="1:2" x14ac:dyDescent="0.45">
      <c r="A48" t="s">
        <v>1513</v>
      </c>
      <c r="B48" t="s">
        <v>1473</v>
      </c>
    </row>
    <row r="49" spans="1:2" x14ac:dyDescent="0.45">
      <c r="A49" t="s">
        <v>2675</v>
      </c>
      <c r="B49" t="s">
        <v>1468</v>
      </c>
    </row>
    <row r="50" spans="1:2" x14ac:dyDescent="0.45">
      <c r="A50" t="s">
        <v>1514</v>
      </c>
      <c r="B50" t="s">
        <v>1473</v>
      </c>
    </row>
    <row r="51" spans="1:2" x14ac:dyDescent="0.45">
      <c r="A51" t="s">
        <v>1515</v>
      </c>
      <c r="B51" t="s">
        <v>1473</v>
      </c>
    </row>
    <row r="52" spans="1:2" x14ac:dyDescent="0.45">
      <c r="A52" t="s">
        <v>1518</v>
      </c>
      <c r="B52" t="s">
        <v>1473</v>
      </c>
    </row>
    <row r="53" spans="1:2" x14ac:dyDescent="0.45">
      <c r="A53" t="s">
        <v>1516</v>
      </c>
      <c r="B53" t="s">
        <v>1473</v>
      </c>
    </row>
    <row r="54" spans="1:2" x14ac:dyDescent="0.45">
      <c r="A54" t="s">
        <v>1517</v>
      </c>
      <c r="B54" t="s">
        <v>1468</v>
      </c>
    </row>
    <row r="55" spans="1:2" x14ac:dyDescent="0.45">
      <c r="A55" t="s">
        <v>1519</v>
      </c>
      <c r="B55" t="s">
        <v>1473</v>
      </c>
    </row>
    <row r="56" spans="1:2" x14ac:dyDescent="0.45">
      <c r="A56" t="s">
        <v>1520</v>
      </c>
      <c r="B56" t="s">
        <v>1468</v>
      </c>
    </row>
    <row r="57" spans="1:2" x14ac:dyDescent="0.45">
      <c r="A57" t="s">
        <v>1521</v>
      </c>
      <c r="B57" t="s">
        <v>1468</v>
      </c>
    </row>
    <row r="58" spans="1:2" x14ac:dyDescent="0.45">
      <c r="A58" t="s">
        <v>1522</v>
      </c>
      <c r="B58" t="s">
        <v>1473</v>
      </c>
    </row>
    <row r="59" spans="1:2" x14ac:dyDescent="0.45">
      <c r="A59" t="s">
        <v>1523</v>
      </c>
      <c r="B59" t="s">
        <v>1468</v>
      </c>
    </row>
    <row r="60" spans="1:2" x14ac:dyDescent="0.45">
      <c r="A60" t="s">
        <v>1524</v>
      </c>
      <c r="B60" t="s">
        <v>1473</v>
      </c>
    </row>
    <row r="61" spans="1:2" x14ac:dyDescent="0.45">
      <c r="A61" t="s">
        <v>1525</v>
      </c>
      <c r="B61" t="s">
        <v>1473</v>
      </c>
    </row>
    <row r="62" spans="1:2" x14ac:dyDescent="0.45">
      <c r="A62" t="s">
        <v>1526</v>
      </c>
      <c r="B62" t="s">
        <v>1468</v>
      </c>
    </row>
    <row r="63" spans="1:2" x14ac:dyDescent="0.45">
      <c r="A63" t="s">
        <v>1527</v>
      </c>
      <c r="B63" t="s">
        <v>1473</v>
      </c>
    </row>
    <row r="64" spans="1:2" x14ac:dyDescent="0.45">
      <c r="A64" t="s">
        <v>1528</v>
      </c>
      <c r="B64" t="s">
        <v>1468</v>
      </c>
    </row>
    <row r="65" spans="1:2" x14ac:dyDescent="0.45">
      <c r="A65" t="s">
        <v>1529</v>
      </c>
      <c r="B65" t="s">
        <v>1468</v>
      </c>
    </row>
    <row r="66" spans="1:2" x14ac:dyDescent="0.45">
      <c r="A66" t="s">
        <v>1530</v>
      </c>
      <c r="B66" t="s">
        <v>1473</v>
      </c>
    </row>
    <row r="67" spans="1:2" x14ac:dyDescent="0.45">
      <c r="A67" t="s">
        <v>1531</v>
      </c>
      <c r="B67" t="s">
        <v>1468</v>
      </c>
    </row>
    <row r="68" spans="1:2" x14ac:dyDescent="0.45">
      <c r="A68" t="s">
        <v>1532</v>
      </c>
      <c r="B68" t="s">
        <v>1468</v>
      </c>
    </row>
    <row r="69" spans="1:2" x14ac:dyDescent="0.45">
      <c r="A69" t="s">
        <v>1533</v>
      </c>
      <c r="B69" t="s">
        <v>1473</v>
      </c>
    </row>
    <row r="70" spans="1:2" x14ac:dyDescent="0.45">
      <c r="A70" t="s">
        <v>1534</v>
      </c>
      <c r="B70" t="s">
        <v>1473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E386B-1A10-4501-8ACE-747FFFCF135F}">
  <sheetPr codeName="Sheet26"/>
  <dimension ref="A1:B4"/>
  <sheetViews>
    <sheetView workbookViewId="0">
      <selection activeCell="D31" sqref="D31"/>
    </sheetView>
  </sheetViews>
  <sheetFormatPr defaultRowHeight="14.25" x14ac:dyDescent="0.45"/>
  <cols>
    <col min="1" max="1" width="15.59765625" bestFit="1" customWidth="1"/>
  </cols>
  <sheetData>
    <row r="1" spans="1:2" x14ac:dyDescent="0.45">
      <c r="A1" t="s">
        <v>1400</v>
      </c>
      <c r="B1" t="s">
        <v>1401</v>
      </c>
    </row>
    <row r="2" spans="1:2" x14ac:dyDescent="0.45">
      <c r="A2" t="s">
        <v>1535</v>
      </c>
      <c r="B2">
        <v>0.5</v>
      </c>
    </row>
    <row r="3" spans="1:2" x14ac:dyDescent="0.45">
      <c r="A3" t="s">
        <v>1536</v>
      </c>
      <c r="B3">
        <v>1.5</v>
      </c>
    </row>
    <row r="4" spans="1:2" x14ac:dyDescent="0.45">
      <c r="A4" t="s">
        <v>1537</v>
      </c>
      <c r="B4">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33B56-4D8E-4113-952D-755A3FF64D78}">
  <dimension ref="A1:G15"/>
  <sheetViews>
    <sheetView workbookViewId="0">
      <selection activeCell="D46" sqref="D46"/>
    </sheetView>
  </sheetViews>
  <sheetFormatPr defaultRowHeight="14.25" x14ac:dyDescent="0.45"/>
  <cols>
    <col min="1" max="1" width="41" bestFit="1" customWidth="1"/>
    <col min="2" max="2" width="14.86328125" bestFit="1" customWidth="1"/>
    <col min="3" max="3" width="14.59765625" bestFit="1" customWidth="1"/>
    <col min="4" max="4" width="12" bestFit="1" customWidth="1"/>
    <col min="5" max="5" width="16.59765625" bestFit="1" customWidth="1"/>
    <col min="6" max="6" width="16.3984375" bestFit="1" customWidth="1"/>
    <col min="7" max="7" width="12" bestFit="1" customWidth="1"/>
  </cols>
  <sheetData>
    <row r="1" spans="1:7" x14ac:dyDescent="0.45">
      <c r="A1" t="s">
        <v>1626</v>
      </c>
      <c r="B1" t="s">
        <v>1640</v>
      </c>
      <c r="C1" t="s">
        <v>1641</v>
      </c>
      <c r="D1" t="s">
        <v>1642</v>
      </c>
      <c r="E1" t="s">
        <v>1643</v>
      </c>
      <c r="F1" t="s">
        <v>1644</v>
      </c>
      <c r="G1" t="s">
        <v>1645</v>
      </c>
    </row>
    <row r="2" spans="1:7" x14ac:dyDescent="0.45">
      <c r="A2" t="s">
        <v>1627</v>
      </c>
      <c r="B2">
        <v>3.1489198290234825E-2</v>
      </c>
      <c r="C2">
        <v>2.8634969576642182E-2</v>
      </c>
      <c r="D2">
        <v>2.974031515727547E-2</v>
      </c>
      <c r="E2">
        <v>2.6718122298990846E-2</v>
      </c>
      <c r="F2">
        <v>3.0563972791462994E-2</v>
      </c>
      <c r="G2">
        <v>2.9162771280725492E-2</v>
      </c>
    </row>
    <row r="3" spans="1:7" x14ac:dyDescent="0.45">
      <c r="A3" t="s">
        <v>1628</v>
      </c>
      <c r="B3">
        <v>2.0950011304401692</v>
      </c>
      <c r="C3">
        <v>2.0358056831968314</v>
      </c>
      <c r="D3">
        <v>2.057366255723994</v>
      </c>
      <c r="E3">
        <v>2.0205618003887285</v>
      </c>
      <c r="F3">
        <v>1.8071702634697793</v>
      </c>
      <c r="G3">
        <v>1.884991260146099</v>
      </c>
    </row>
    <row r="4" spans="1:7" x14ac:dyDescent="0.45">
      <c r="A4" t="s">
        <v>1629</v>
      </c>
      <c r="B4">
        <v>1.1977069279714661</v>
      </c>
      <c r="C4">
        <v>1.15530864197531</v>
      </c>
      <c r="D4">
        <v>1.171666429086287</v>
      </c>
      <c r="E4">
        <v>1.108653846153846</v>
      </c>
      <c r="F4">
        <v>1.1360439560439559</v>
      </c>
      <c r="G4">
        <v>1.1257906976744194</v>
      </c>
    </row>
    <row r="5" spans="1:7" x14ac:dyDescent="0.45">
      <c r="A5" t="s">
        <v>1630</v>
      </c>
      <c r="B5">
        <v>1</v>
      </c>
      <c r="C5">
        <v>1</v>
      </c>
      <c r="D5">
        <v>1</v>
      </c>
      <c r="E5">
        <v>1</v>
      </c>
      <c r="F5">
        <v>1</v>
      </c>
      <c r="G5">
        <v>1</v>
      </c>
    </row>
    <row r="6" spans="1:7" x14ac:dyDescent="0.45">
      <c r="A6" t="s">
        <v>1631</v>
      </c>
      <c r="B6">
        <v>1</v>
      </c>
      <c r="C6">
        <v>1</v>
      </c>
      <c r="D6">
        <v>1</v>
      </c>
      <c r="E6">
        <v>1</v>
      </c>
      <c r="F6">
        <v>1</v>
      </c>
      <c r="G6">
        <v>1</v>
      </c>
    </row>
    <row r="7" spans="1:7" x14ac:dyDescent="0.45">
      <c r="A7" t="s">
        <v>1632</v>
      </c>
      <c r="B7">
        <v>1</v>
      </c>
      <c r="C7">
        <v>1</v>
      </c>
      <c r="D7">
        <v>1</v>
      </c>
      <c r="E7">
        <v>1</v>
      </c>
      <c r="F7">
        <v>1</v>
      </c>
      <c r="G7">
        <v>1</v>
      </c>
    </row>
    <row r="8" spans="1:7" x14ac:dyDescent="0.45">
      <c r="A8" t="s">
        <v>2160</v>
      </c>
      <c r="B8">
        <v>1</v>
      </c>
      <c r="C8">
        <v>1</v>
      </c>
      <c r="D8">
        <v>1</v>
      </c>
      <c r="E8">
        <v>1</v>
      </c>
      <c r="F8">
        <v>1</v>
      </c>
      <c r="G8">
        <v>1</v>
      </c>
    </row>
    <row r="9" spans="1:7" x14ac:dyDescent="0.45">
      <c r="A9" t="s">
        <v>1633</v>
      </c>
      <c r="B9">
        <v>1</v>
      </c>
      <c r="C9">
        <v>1</v>
      </c>
      <c r="D9">
        <v>1</v>
      </c>
      <c r="E9">
        <v>1</v>
      </c>
      <c r="F9">
        <v>1</v>
      </c>
      <c r="G9">
        <v>1</v>
      </c>
    </row>
    <row r="10" spans="1:7" x14ac:dyDescent="0.45">
      <c r="A10" t="s">
        <v>1634</v>
      </c>
      <c r="B10">
        <v>7.1112361982462999E-2</v>
      </c>
      <c r="C10">
        <v>6.2447294429771767E-2</v>
      </c>
      <c r="D10">
        <v>6.5774707472284338E-2</v>
      </c>
      <c r="E10">
        <v>5.8354453989762349E-2</v>
      </c>
      <c r="F10">
        <v>5.8802552184909533E-2</v>
      </c>
      <c r="G10">
        <v>5.8632239309259121E-2</v>
      </c>
    </row>
    <row r="11" spans="1:7" x14ac:dyDescent="0.45">
      <c r="A11" t="s">
        <v>1635</v>
      </c>
      <c r="B11">
        <v>7.1094021807002986E-2</v>
      </c>
      <c r="C11">
        <v>5.8847636181242335E-2</v>
      </c>
      <c r="D11">
        <v>6.358183134567337E-2</v>
      </c>
      <c r="E11">
        <v>6.3756776145037233E-2</v>
      </c>
      <c r="F11">
        <v>5.9730483210910727E-2</v>
      </c>
      <c r="G11">
        <v>6.1181279835587507E-2</v>
      </c>
    </row>
    <row r="12" spans="1:7" x14ac:dyDescent="0.45">
      <c r="A12" t="s">
        <v>1636</v>
      </c>
      <c r="B12">
        <v>7.3493165314706135E-2</v>
      </c>
      <c r="C12">
        <v>5.8390500701468832E-2</v>
      </c>
      <c r="D12">
        <v>6.4249403588683959E-2</v>
      </c>
      <c r="E12">
        <v>6.7708853335670713E-2</v>
      </c>
      <c r="F12">
        <v>5.9671629674205931E-2</v>
      </c>
      <c r="G12">
        <v>6.2577691524467488E-2</v>
      </c>
    </row>
    <row r="13" spans="1:7" x14ac:dyDescent="0.45">
      <c r="A13" t="s">
        <v>1637</v>
      </c>
      <c r="B13">
        <v>0.50223659003831311</v>
      </c>
      <c r="C13">
        <v>0.51465802469135913</v>
      </c>
      <c r="D13">
        <v>0.50977548725637456</v>
      </c>
      <c r="E13">
        <v>0.5079487179487171</v>
      </c>
      <c r="F13">
        <v>0.51643772893772855</v>
      </c>
      <c r="G13">
        <v>0.51343604651162933</v>
      </c>
    </row>
    <row r="14" spans="1:7" x14ac:dyDescent="0.45">
      <c r="A14" t="s">
        <v>1638</v>
      </c>
      <c r="B14">
        <v>0</v>
      </c>
      <c r="C14">
        <v>0</v>
      </c>
      <c r="D14">
        <v>0</v>
      </c>
      <c r="E14">
        <v>0.87246668743694133</v>
      </c>
      <c r="F14">
        <v>0.87883619881392716</v>
      </c>
      <c r="G14">
        <v>0.87652539933762619</v>
      </c>
    </row>
    <row r="15" spans="1:7" x14ac:dyDescent="0.45">
      <c r="A15" t="s">
        <v>1639</v>
      </c>
      <c r="B15">
        <v>0</v>
      </c>
      <c r="C15">
        <v>0</v>
      </c>
      <c r="D15">
        <v>0</v>
      </c>
      <c r="E15">
        <v>1.0862698074560235</v>
      </c>
      <c r="F15">
        <v>1.0932514211190545</v>
      </c>
      <c r="G15">
        <v>1.0907185566273598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7427-68ED-42A0-84D5-29CCB701377A}">
  <dimension ref="A1:C76"/>
  <sheetViews>
    <sheetView workbookViewId="0">
      <selection activeCell="C1" sqref="C1"/>
    </sheetView>
  </sheetViews>
  <sheetFormatPr defaultRowHeight="14.25" x14ac:dyDescent="0.45"/>
  <cols>
    <col min="1" max="1" width="18" bestFit="1" customWidth="1"/>
    <col min="2" max="2" width="13.3984375" bestFit="1" customWidth="1"/>
    <col min="3" max="3" width="12" bestFit="1" customWidth="1"/>
  </cols>
  <sheetData>
    <row r="1" spans="1:3" x14ac:dyDescent="0.45">
      <c r="A1" t="s">
        <v>2058</v>
      </c>
      <c r="B1" t="s">
        <v>2209</v>
      </c>
      <c r="C1" t="s">
        <v>2210</v>
      </c>
    </row>
    <row r="2" spans="1:3" x14ac:dyDescent="0.45">
      <c r="A2" t="s">
        <v>1987</v>
      </c>
      <c r="B2" t="s">
        <v>2211</v>
      </c>
      <c r="C2">
        <v>500</v>
      </c>
    </row>
    <row r="3" spans="1:3" x14ac:dyDescent="0.45">
      <c r="A3" t="s">
        <v>1988</v>
      </c>
      <c r="B3" t="s">
        <v>2211</v>
      </c>
      <c r="C3">
        <v>500</v>
      </c>
    </row>
    <row r="4" spans="1:3" x14ac:dyDescent="0.45">
      <c r="A4" t="s">
        <v>1989</v>
      </c>
      <c r="B4" t="s">
        <v>2211</v>
      </c>
      <c r="C4">
        <v>500</v>
      </c>
    </row>
    <row r="5" spans="1:3" x14ac:dyDescent="0.45">
      <c r="A5" t="s">
        <v>1990</v>
      </c>
      <c r="B5" t="s">
        <v>2212</v>
      </c>
      <c r="C5">
        <v>1000</v>
      </c>
    </row>
    <row r="6" spans="1:3" x14ac:dyDescent="0.45">
      <c r="A6" t="s">
        <v>1991</v>
      </c>
      <c r="B6" t="s">
        <v>2212</v>
      </c>
      <c r="C6">
        <v>1000</v>
      </c>
    </row>
    <row r="7" spans="1:3" x14ac:dyDescent="0.45">
      <c r="A7" t="s">
        <v>1968</v>
      </c>
      <c r="B7" t="s">
        <v>2211</v>
      </c>
      <c r="C7">
        <v>500</v>
      </c>
    </row>
    <row r="8" spans="1:3" x14ac:dyDescent="0.45">
      <c r="A8" t="s">
        <v>1992</v>
      </c>
      <c r="B8" t="s">
        <v>2211</v>
      </c>
      <c r="C8">
        <v>500</v>
      </c>
    </row>
    <row r="9" spans="1:3" x14ac:dyDescent="0.45">
      <c r="A9" t="s">
        <v>1993</v>
      </c>
      <c r="B9" t="s">
        <v>2212</v>
      </c>
      <c r="C9">
        <v>1000</v>
      </c>
    </row>
    <row r="10" spans="1:3" x14ac:dyDescent="0.45">
      <c r="A10" t="s">
        <v>1970</v>
      </c>
      <c r="B10" t="s">
        <v>2211</v>
      </c>
      <c r="C10">
        <v>500</v>
      </c>
    </row>
    <row r="11" spans="1:3" x14ac:dyDescent="0.45">
      <c r="A11" t="s">
        <v>1994</v>
      </c>
      <c r="B11" t="s">
        <v>2211</v>
      </c>
      <c r="C11">
        <v>500</v>
      </c>
    </row>
    <row r="12" spans="1:3" x14ac:dyDescent="0.45">
      <c r="A12" t="s">
        <v>1995</v>
      </c>
      <c r="B12" t="s">
        <v>2211</v>
      </c>
      <c r="C12">
        <v>500</v>
      </c>
    </row>
    <row r="13" spans="1:3" x14ac:dyDescent="0.45">
      <c r="A13" t="s">
        <v>1971</v>
      </c>
      <c r="B13" t="s">
        <v>2212</v>
      </c>
      <c r="C13">
        <v>1000</v>
      </c>
    </row>
    <row r="14" spans="1:3" x14ac:dyDescent="0.45">
      <c r="A14" t="s">
        <v>1996</v>
      </c>
      <c r="B14" t="s">
        <v>2211</v>
      </c>
      <c r="C14">
        <v>500</v>
      </c>
    </row>
    <row r="15" spans="1:3" x14ac:dyDescent="0.45">
      <c r="A15" t="s">
        <v>1997</v>
      </c>
      <c r="B15" t="s">
        <v>2211</v>
      </c>
      <c r="C15">
        <v>500</v>
      </c>
    </row>
    <row r="16" spans="1:3" x14ac:dyDescent="0.45">
      <c r="A16" t="s">
        <v>1998</v>
      </c>
      <c r="B16" t="s">
        <v>2211</v>
      </c>
      <c r="C16">
        <v>500</v>
      </c>
    </row>
    <row r="17" spans="1:3" x14ac:dyDescent="0.45">
      <c r="A17" t="s">
        <v>1999</v>
      </c>
      <c r="B17" t="s">
        <v>2211</v>
      </c>
      <c r="C17">
        <v>500</v>
      </c>
    </row>
    <row r="18" spans="1:3" x14ac:dyDescent="0.45">
      <c r="A18" t="s">
        <v>2000</v>
      </c>
      <c r="B18" t="s">
        <v>2211</v>
      </c>
      <c r="C18">
        <v>500</v>
      </c>
    </row>
    <row r="19" spans="1:3" x14ac:dyDescent="0.45">
      <c r="A19" t="s">
        <v>2001</v>
      </c>
      <c r="B19" t="s">
        <v>2211</v>
      </c>
      <c r="C19">
        <v>500</v>
      </c>
    </row>
    <row r="20" spans="1:3" x14ac:dyDescent="0.45">
      <c r="A20" t="s">
        <v>2002</v>
      </c>
      <c r="B20" t="s">
        <v>2211</v>
      </c>
      <c r="C20">
        <v>500</v>
      </c>
    </row>
    <row r="21" spans="1:3" x14ac:dyDescent="0.45">
      <c r="A21" t="s">
        <v>2003</v>
      </c>
      <c r="B21" t="s">
        <v>2211</v>
      </c>
      <c r="C21">
        <v>500</v>
      </c>
    </row>
    <row r="22" spans="1:3" x14ac:dyDescent="0.45">
      <c r="A22" t="s">
        <v>2004</v>
      </c>
      <c r="B22" t="s">
        <v>2211</v>
      </c>
      <c r="C22">
        <v>500</v>
      </c>
    </row>
    <row r="23" spans="1:3" x14ac:dyDescent="0.45">
      <c r="A23" t="s">
        <v>2005</v>
      </c>
      <c r="B23" t="s">
        <v>2212</v>
      </c>
      <c r="C23">
        <v>1000</v>
      </c>
    </row>
    <row r="24" spans="1:3" x14ac:dyDescent="0.45">
      <c r="A24" t="s">
        <v>2006</v>
      </c>
      <c r="B24" t="s">
        <v>2211</v>
      </c>
      <c r="C24">
        <v>500</v>
      </c>
    </row>
    <row r="25" spans="1:3" x14ac:dyDescent="0.45">
      <c r="A25" t="s">
        <v>2007</v>
      </c>
      <c r="B25" t="s">
        <v>2211</v>
      </c>
      <c r="C25">
        <v>500</v>
      </c>
    </row>
    <row r="26" spans="1:3" x14ac:dyDescent="0.45">
      <c r="A26" t="s">
        <v>2008</v>
      </c>
      <c r="B26" t="s">
        <v>2212</v>
      </c>
      <c r="C26">
        <v>1000</v>
      </c>
    </row>
    <row r="27" spans="1:3" x14ac:dyDescent="0.45">
      <c r="A27" t="s">
        <v>2009</v>
      </c>
      <c r="B27" t="s">
        <v>2211</v>
      </c>
      <c r="C27">
        <v>500</v>
      </c>
    </row>
    <row r="28" spans="1:3" x14ac:dyDescent="0.45">
      <c r="A28" t="s">
        <v>2010</v>
      </c>
      <c r="B28" t="s">
        <v>2211</v>
      </c>
      <c r="C28">
        <v>500</v>
      </c>
    </row>
    <row r="29" spans="1:3" x14ac:dyDescent="0.45">
      <c r="A29" t="s">
        <v>2011</v>
      </c>
      <c r="B29" t="s">
        <v>2211</v>
      </c>
      <c r="C29">
        <v>500</v>
      </c>
    </row>
    <row r="30" spans="1:3" x14ac:dyDescent="0.45">
      <c r="A30" t="s">
        <v>2012</v>
      </c>
      <c r="B30" t="s">
        <v>2211</v>
      </c>
      <c r="C30">
        <v>500</v>
      </c>
    </row>
    <row r="31" spans="1:3" x14ac:dyDescent="0.45">
      <c r="A31" t="s">
        <v>2013</v>
      </c>
      <c r="B31" t="s">
        <v>2211</v>
      </c>
      <c r="C31">
        <v>500</v>
      </c>
    </row>
    <row r="32" spans="1:3" x14ac:dyDescent="0.45">
      <c r="A32" t="s">
        <v>2014</v>
      </c>
      <c r="B32" t="s">
        <v>2211</v>
      </c>
      <c r="C32">
        <v>500</v>
      </c>
    </row>
    <row r="33" spans="1:3" x14ac:dyDescent="0.45">
      <c r="A33" t="s">
        <v>2015</v>
      </c>
      <c r="B33" t="s">
        <v>2211</v>
      </c>
      <c r="C33">
        <v>500</v>
      </c>
    </row>
    <row r="34" spans="1:3" x14ac:dyDescent="0.45">
      <c r="A34" t="s">
        <v>2016</v>
      </c>
      <c r="B34" t="s">
        <v>2211</v>
      </c>
      <c r="C34">
        <v>500</v>
      </c>
    </row>
    <row r="35" spans="1:3" x14ac:dyDescent="0.45">
      <c r="A35" t="s">
        <v>2017</v>
      </c>
      <c r="B35" t="s">
        <v>2211</v>
      </c>
      <c r="C35">
        <v>500</v>
      </c>
    </row>
    <row r="36" spans="1:3" x14ac:dyDescent="0.45">
      <c r="A36" t="s">
        <v>2018</v>
      </c>
      <c r="B36" t="s">
        <v>2211</v>
      </c>
      <c r="C36">
        <v>500</v>
      </c>
    </row>
    <row r="37" spans="1:3" x14ac:dyDescent="0.45">
      <c r="A37" t="s">
        <v>2019</v>
      </c>
      <c r="B37" t="s">
        <v>2211</v>
      </c>
      <c r="C37">
        <v>500</v>
      </c>
    </row>
    <row r="38" spans="1:3" x14ac:dyDescent="0.45">
      <c r="A38" t="s">
        <v>2020</v>
      </c>
      <c r="B38" t="s">
        <v>2211</v>
      </c>
      <c r="C38">
        <v>500</v>
      </c>
    </row>
    <row r="39" spans="1:3" x14ac:dyDescent="0.45">
      <c r="A39" t="s">
        <v>2021</v>
      </c>
      <c r="B39" t="s">
        <v>2212</v>
      </c>
      <c r="C39">
        <v>1000</v>
      </c>
    </row>
    <row r="40" spans="1:3" x14ac:dyDescent="0.45">
      <c r="A40" t="s">
        <v>2022</v>
      </c>
      <c r="B40" t="s">
        <v>2211</v>
      </c>
      <c r="C40">
        <v>500</v>
      </c>
    </row>
    <row r="41" spans="1:3" x14ac:dyDescent="0.45">
      <c r="A41" t="s">
        <v>2023</v>
      </c>
      <c r="B41" t="s">
        <v>2211</v>
      </c>
      <c r="C41">
        <v>500</v>
      </c>
    </row>
    <row r="42" spans="1:3" x14ac:dyDescent="0.45">
      <c r="A42" t="s">
        <v>2024</v>
      </c>
      <c r="B42" t="s">
        <v>2211</v>
      </c>
      <c r="C42">
        <v>500</v>
      </c>
    </row>
    <row r="43" spans="1:3" x14ac:dyDescent="0.45">
      <c r="A43" t="s">
        <v>2025</v>
      </c>
      <c r="B43" t="s">
        <v>2211</v>
      </c>
      <c r="C43">
        <v>500</v>
      </c>
    </row>
    <row r="44" spans="1:3" x14ac:dyDescent="0.45">
      <c r="A44" t="s">
        <v>2026</v>
      </c>
      <c r="B44" t="s">
        <v>2211</v>
      </c>
      <c r="C44">
        <v>500</v>
      </c>
    </row>
    <row r="45" spans="1:3" x14ac:dyDescent="0.45">
      <c r="A45" t="s">
        <v>2027</v>
      </c>
      <c r="B45" t="s">
        <v>2211</v>
      </c>
      <c r="C45">
        <v>500</v>
      </c>
    </row>
    <row r="46" spans="1:3" x14ac:dyDescent="0.45">
      <c r="A46" t="s">
        <v>2028</v>
      </c>
      <c r="B46" t="s">
        <v>2211</v>
      </c>
      <c r="C46">
        <v>500</v>
      </c>
    </row>
    <row r="47" spans="1:3" x14ac:dyDescent="0.45">
      <c r="A47" t="s">
        <v>2029</v>
      </c>
      <c r="B47" t="s">
        <v>2211</v>
      </c>
      <c r="C47">
        <v>500</v>
      </c>
    </row>
    <row r="48" spans="1:3" x14ac:dyDescent="0.45">
      <c r="A48" t="s">
        <v>2030</v>
      </c>
      <c r="B48" t="s">
        <v>2211</v>
      </c>
      <c r="C48">
        <v>500</v>
      </c>
    </row>
    <row r="49" spans="1:3" x14ac:dyDescent="0.45">
      <c r="A49" t="s">
        <v>2031</v>
      </c>
      <c r="B49" t="s">
        <v>2211</v>
      </c>
      <c r="C49">
        <v>500</v>
      </c>
    </row>
    <row r="50" spans="1:3" x14ac:dyDescent="0.45">
      <c r="A50" t="s">
        <v>2032</v>
      </c>
      <c r="B50" t="s">
        <v>2211</v>
      </c>
      <c r="C50">
        <v>500</v>
      </c>
    </row>
    <row r="51" spans="1:3" x14ac:dyDescent="0.45">
      <c r="A51" t="s">
        <v>2033</v>
      </c>
      <c r="B51" t="s">
        <v>2212</v>
      </c>
      <c r="C51">
        <v>1000</v>
      </c>
    </row>
    <row r="52" spans="1:3" x14ac:dyDescent="0.45">
      <c r="A52" t="s">
        <v>2034</v>
      </c>
      <c r="B52" t="s">
        <v>2211</v>
      </c>
      <c r="C52">
        <v>500</v>
      </c>
    </row>
    <row r="53" spans="1:3" x14ac:dyDescent="0.45">
      <c r="A53" t="s">
        <v>2035</v>
      </c>
      <c r="B53" t="s">
        <v>2212</v>
      </c>
      <c r="C53">
        <v>1000</v>
      </c>
    </row>
    <row r="54" spans="1:3" x14ac:dyDescent="0.45">
      <c r="A54" t="s">
        <v>2036</v>
      </c>
      <c r="B54" t="s">
        <v>2211</v>
      </c>
      <c r="C54">
        <v>500</v>
      </c>
    </row>
    <row r="55" spans="1:3" x14ac:dyDescent="0.45">
      <c r="A55" t="s">
        <v>2038</v>
      </c>
      <c r="B55" t="s">
        <v>2211</v>
      </c>
      <c r="C55">
        <v>500</v>
      </c>
    </row>
    <row r="56" spans="1:3" x14ac:dyDescent="0.45">
      <c r="A56" t="s">
        <v>2039</v>
      </c>
      <c r="B56" t="s">
        <v>2211</v>
      </c>
      <c r="C56">
        <v>500</v>
      </c>
    </row>
    <row r="57" spans="1:3" x14ac:dyDescent="0.45">
      <c r="A57" t="s">
        <v>2040</v>
      </c>
      <c r="B57" t="s">
        <v>2211</v>
      </c>
      <c r="C57">
        <v>500</v>
      </c>
    </row>
    <row r="58" spans="1:3" x14ac:dyDescent="0.45">
      <c r="A58" t="s">
        <v>2041</v>
      </c>
      <c r="B58" t="s">
        <v>2211</v>
      </c>
      <c r="C58">
        <v>500</v>
      </c>
    </row>
    <row r="59" spans="1:3" x14ac:dyDescent="0.45">
      <c r="A59" t="s">
        <v>2042</v>
      </c>
      <c r="B59" t="s">
        <v>2211</v>
      </c>
      <c r="C59">
        <v>500</v>
      </c>
    </row>
    <row r="60" spans="1:3" x14ac:dyDescent="0.45">
      <c r="A60" t="s">
        <v>2043</v>
      </c>
      <c r="B60" t="s">
        <v>2211</v>
      </c>
      <c r="C60">
        <v>500</v>
      </c>
    </row>
    <row r="61" spans="1:3" x14ac:dyDescent="0.45">
      <c r="A61" t="s">
        <v>2044</v>
      </c>
      <c r="B61" t="s">
        <v>2211</v>
      </c>
      <c r="C61">
        <v>500</v>
      </c>
    </row>
    <row r="62" spans="1:3" x14ac:dyDescent="0.45">
      <c r="A62" t="s">
        <v>2045</v>
      </c>
      <c r="B62" t="s">
        <v>2211</v>
      </c>
      <c r="C62">
        <v>500</v>
      </c>
    </row>
    <row r="63" spans="1:3" x14ac:dyDescent="0.45">
      <c r="A63" t="s">
        <v>2046</v>
      </c>
      <c r="B63" t="s">
        <v>2211</v>
      </c>
      <c r="C63">
        <v>500</v>
      </c>
    </row>
    <row r="64" spans="1:3" x14ac:dyDescent="0.45">
      <c r="A64" t="s">
        <v>2047</v>
      </c>
      <c r="B64" t="s">
        <v>2211</v>
      </c>
      <c r="C64">
        <v>500</v>
      </c>
    </row>
    <row r="65" spans="1:3" x14ac:dyDescent="0.45">
      <c r="A65" t="s">
        <v>2048</v>
      </c>
      <c r="B65" t="s">
        <v>2211</v>
      </c>
      <c r="C65">
        <v>500</v>
      </c>
    </row>
    <row r="66" spans="1:3" x14ac:dyDescent="0.45">
      <c r="A66" t="s">
        <v>2049</v>
      </c>
      <c r="B66" t="s">
        <v>2211</v>
      </c>
      <c r="C66">
        <v>500</v>
      </c>
    </row>
    <row r="67" spans="1:3" x14ac:dyDescent="0.45">
      <c r="A67" t="s">
        <v>2050</v>
      </c>
      <c r="B67" t="s">
        <v>2211</v>
      </c>
      <c r="C67">
        <v>500</v>
      </c>
    </row>
    <row r="68" spans="1:3" x14ac:dyDescent="0.45">
      <c r="A68" t="s">
        <v>2051</v>
      </c>
      <c r="B68" t="s">
        <v>2211</v>
      </c>
      <c r="C68">
        <v>500</v>
      </c>
    </row>
    <row r="69" spans="1:3" x14ac:dyDescent="0.45">
      <c r="A69" t="s">
        <v>2052</v>
      </c>
      <c r="B69" t="s">
        <v>2211</v>
      </c>
      <c r="C69">
        <v>500</v>
      </c>
    </row>
    <row r="70" spans="1:3" x14ac:dyDescent="0.45">
      <c r="A70" t="s">
        <v>2053</v>
      </c>
      <c r="B70" t="s">
        <v>2211</v>
      </c>
      <c r="C70">
        <v>500</v>
      </c>
    </row>
    <row r="71" spans="1:3" x14ac:dyDescent="0.45">
      <c r="A71" t="s">
        <v>2054</v>
      </c>
      <c r="B71" t="s">
        <v>2211</v>
      </c>
      <c r="C71">
        <v>500</v>
      </c>
    </row>
    <row r="72" spans="1:3" x14ac:dyDescent="0.45">
      <c r="A72" t="s">
        <v>1473</v>
      </c>
      <c r="B72" t="s">
        <v>2211</v>
      </c>
      <c r="C72">
        <v>500</v>
      </c>
    </row>
    <row r="73" spans="1:3" x14ac:dyDescent="0.45">
      <c r="A73" t="s">
        <v>1973</v>
      </c>
      <c r="B73" t="s">
        <v>2211</v>
      </c>
      <c r="C73">
        <v>500</v>
      </c>
    </row>
    <row r="74" spans="1:3" x14ac:dyDescent="0.45">
      <c r="A74" t="s">
        <v>2055</v>
      </c>
      <c r="B74" t="s">
        <v>2211</v>
      </c>
      <c r="C74">
        <v>500</v>
      </c>
    </row>
    <row r="75" spans="1:3" x14ac:dyDescent="0.45">
      <c r="A75" t="s">
        <v>2056</v>
      </c>
      <c r="B75" t="s">
        <v>2211</v>
      </c>
      <c r="C75">
        <v>500</v>
      </c>
    </row>
    <row r="76" spans="1:3" x14ac:dyDescent="0.45">
      <c r="A76" t="s">
        <v>2057</v>
      </c>
      <c r="B76" t="s">
        <v>2211</v>
      </c>
      <c r="C76">
        <v>500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373B-0391-4D93-85FF-B2C155321CB7}">
  <dimension ref="A1:E14"/>
  <sheetViews>
    <sheetView workbookViewId="0">
      <selection activeCell="D23" sqref="D23"/>
    </sheetView>
  </sheetViews>
  <sheetFormatPr defaultRowHeight="14.25" x14ac:dyDescent="0.45"/>
  <cols>
    <col min="1" max="1" width="18.86328125" bestFit="1" customWidth="1"/>
    <col min="2" max="2" width="19" bestFit="1" customWidth="1"/>
    <col min="3" max="3" width="19" customWidth="1"/>
    <col min="4" max="4" width="16.3984375" bestFit="1" customWidth="1"/>
    <col min="5" max="5" width="20.86328125" bestFit="1" customWidth="1"/>
  </cols>
  <sheetData>
    <row r="1" spans="1:5" x14ac:dyDescent="0.45">
      <c r="A1" t="s">
        <v>1646</v>
      </c>
      <c r="B1" t="s">
        <v>2065</v>
      </c>
      <c r="C1" t="s">
        <v>2066</v>
      </c>
      <c r="D1" t="s">
        <v>1648</v>
      </c>
      <c r="E1" t="s">
        <v>1649</v>
      </c>
    </row>
    <row r="2" spans="1:5" x14ac:dyDescent="0.45">
      <c r="A2" t="s">
        <v>1650</v>
      </c>
      <c r="B2" s="6">
        <v>0</v>
      </c>
      <c r="C2" s="6">
        <v>10000000</v>
      </c>
      <c r="D2" s="6">
        <v>10000000</v>
      </c>
      <c r="E2">
        <v>8000</v>
      </c>
    </row>
    <row r="3" spans="1:5" x14ac:dyDescent="0.45">
      <c r="A3" t="s">
        <v>1651</v>
      </c>
      <c r="B3" s="6">
        <v>10000000</v>
      </c>
      <c r="C3" s="6">
        <v>25000000</v>
      </c>
      <c r="D3" s="6">
        <v>15000000</v>
      </c>
      <c r="E3">
        <v>10000</v>
      </c>
    </row>
    <row r="4" spans="1:5" x14ac:dyDescent="0.45">
      <c r="A4" t="s">
        <v>1652</v>
      </c>
      <c r="B4" s="6">
        <v>25000000</v>
      </c>
      <c r="C4" s="6">
        <v>50000000</v>
      </c>
      <c r="D4" s="6">
        <v>25000000</v>
      </c>
      <c r="E4">
        <v>14000</v>
      </c>
    </row>
    <row r="5" spans="1:5" x14ac:dyDescent="0.45">
      <c r="A5" t="s">
        <v>1653</v>
      </c>
      <c r="B5" s="6">
        <v>50000000</v>
      </c>
      <c r="C5" s="6">
        <v>100000000</v>
      </c>
      <c r="D5" s="6">
        <v>50000000</v>
      </c>
      <c r="E5">
        <v>18000</v>
      </c>
    </row>
    <row r="6" spans="1:5" x14ac:dyDescent="0.45">
      <c r="A6" t="s">
        <v>1654</v>
      </c>
      <c r="B6" s="6">
        <v>100000000</v>
      </c>
      <c r="C6" s="6">
        <v>250000000</v>
      </c>
      <c r="D6" s="6">
        <v>150000000</v>
      </c>
      <c r="E6">
        <v>30000</v>
      </c>
    </row>
    <row r="7" spans="1:5" x14ac:dyDescent="0.45">
      <c r="A7" t="s">
        <v>1655</v>
      </c>
      <c r="B7" s="6">
        <v>250000000</v>
      </c>
      <c r="C7" s="6">
        <v>500000000</v>
      </c>
      <c r="D7" s="6">
        <v>250000000</v>
      </c>
      <c r="E7">
        <v>42000</v>
      </c>
    </row>
    <row r="8" spans="1:5" x14ac:dyDescent="0.45">
      <c r="A8" t="s">
        <v>1656</v>
      </c>
      <c r="B8" s="6">
        <v>500000000</v>
      </c>
      <c r="C8" s="6">
        <v>750000000</v>
      </c>
      <c r="D8" s="6">
        <v>250000000</v>
      </c>
      <c r="E8">
        <v>51000</v>
      </c>
    </row>
    <row r="9" spans="1:5" x14ac:dyDescent="0.45">
      <c r="A9" t="s">
        <v>1657</v>
      </c>
      <c r="B9" s="6">
        <v>750000000</v>
      </c>
      <c r="C9" s="6">
        <v>1000000000</v>
      </c>
      <c r="D9" s="6">
        <v>250000000</v>
      </c>
      <c r="E9">
        <v>61000</v>
      </c>
    </row>
    <row r="10" spans="1:5" x14ac:dyDescent="0.45">
      <c r="A10" t="s">
        <v>1658</v>
      </c>
      <c r="B10" s="6">
        <v>1000000000</v>
      </c>
      <c r="C10" s="6">
        <v>5000000000</v>
      </c>
      <c r="D10" s="6">
        <v>4000000000</v>
      </c>
      <c r="E10">
        <v>68000</v>
      </c>
    </row>
    <row r="11" spans="1:5" x14ac:dyDescent="0.45">
      <c r="A11" t="s">
        <v>1659</v>
      </c>
      <c r="B11" s="6">
        <v>5000000000</v>
      </c>
      <c r="C11" s="6">
        <v>10000000000</v>
      </c>
      <c r="D11" s="6">
        <v>5000000000</v>
      </c>
      <c r="E11">
        <v>75000</v>
      </c>
    </row>
    <row r="12" spans="1:5" x14ac:dyDescent="0.45">
      <c r="A12" t="s">
        <v>1660</v>
      </c>
      <c r="B12" s="6">
        <v>10000000000</v>
      </c>
      <c r="C12" s="6">
        <v>50000000000</v>
      </c>
      <c r="D12" s="6">
        <v>40000000000</v>
      </c>
      <c r="E12">
        <v>90000</v>
      </c>
    </row>
    <row r="13" spans="1:5" x14ac:dyDescent="0.45">
      <c r="A13" t="s">
        <v>1661</v>
      </c>
      <c r="B13" s="6">
        <v>50000000000</v>
      </c>
      <c r="C13" s="6">
        <v>100000000000</v>
      </c>
      <c r="D13" s="6">
        <v>50000000000</v>
      </c>
      <c r="E13">
        <v>100000</v>
      </c>
    </row>
    <row r="14" spans="1:5" x14ac:dyDescent="0.45">
      <c r="A14" t="s">
        <v>1662</v>
      </c>
      <c r="B14" s="6">
        <v>100000000001</v>
      </c>
      <c r="C14" s="6">
        <v>100000000002</v>
      </c>
      <c r="D14" s="6">
        <v>0</v>
      </c>
      <c r="E14">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1F1E4-421F-4CAD-ACCA-50A49870195C}">
  <dimension ref="A1:B1171"/>
  <sheetViews>
    <sheetView topLeftCell="A752" workbookViewId="0">
      <selection activeCell="K779" sqref="K779"/>
    </sheetView>
  </sheetViews>
  <sheetFormatPr defaultRowHeight="14.25" x14ac:dyDescent="0.45"/>
  <sheetData>
    <row r="1" spans="1:2" x14ac:dyDescent="0.45">
      <c r="A1" t="s">
        <v>44</v>
      </c>
      <c r="B1" t="s">
        <v>1663</v>
      </c>
    </row>
    <row r="2" spans="1:2" x14ac:dyDescent="0.45">
      <c r="A2">
        <v>100</v>
      </c>
      <c r="B2" t="s">
        <v>1664</v>
      </c>
    </row>
    <row r="3" spans="1:2" x14ac:dyDescent="0.45">
      <c r="A3">
        <v>111</v>
      </c>
      <c r="B3" t="s">
        <v>1664</v>
      </c>
    </row>
    <row r="4" spans="1:2" x14ac:dyDescent="0.45">
      <c r="A4">
        <v>112</v>
      </c>
      <c r="B4" t="s">
        <v>1664</v>
      </c>
    </row>
    <row r="5" spans="1:2" x14ac:dyDescent="0.45">
      <c r="A5">
        <v>115</v>
      </c>
      <c r="B5" t="s">
        <v>1664</v>
      </c>
    </row>
    <row r="6" spans="1:2" x14ac:dyDescent="0.45">
      <c r="A6">
        <v>116</v>
      </c>
      <c r="B6" t="s">
        <v>1664</v>
      </c>
    </row>
    <row r="7" spans="1:2" x14ac:dyDescent="0.45">
      <c r="A7">
        <v>119</v>
      </c>
      <c r="B7" t="s">
        <v>1664</v>
      </c>
    </row>
    <row r="8" spans="1:2" x14ac:dyDescent="0.45">
      <c r="A8">
        <v>131</v>
      </c>
      <c r="B8" t="s">
        <v>1665</v>
      </c>
    </row>
    <row r="9" spans="1:2" x14ac:dyDescent="0.45">
      <c r="A9">
        <v>132</v>
      </c>
      <c r="B9" t="s">
        <v>1665</v>
      </c>
    </row>
    <row r="10" spans="1:2" x14ac:dyDescent="0.45">
      <c r="A10">
        <v>133</v>
      </c>
      <c r="B10" t="s">
        <v>1664</v>
      </c>
    </row>
    <row r="11" spans="1:2" x14ac:dyDescent="0.45">
      <c r="A11">
        <v>134</v>
      </c>
      <c r="B11" t="s">
        <v>1664</v>
      </c>
    </row>
    <row r="12" spans="1:2" x14ac:dyDescent="0.45">
      <c r="A12">
        <v>139</v>
      </c>
      <c r="B12" t="s">
        <v>1664</v>
      </c>
    </row>
    <row r="13" spans="1:2" x14ac:dyDescent="0.45">
      <c r="A13">
        <v>161</v>
      </c>
      <c r="B13" t="s">
        <v>1664</v>
      </c>
    </row>
    <row r="14" spans="1:2" x14ac:dyDescent="0.45">
      <c r="A14">
        <v>171</v>
      </c>
      <c r="B14" t="s">
        <v>1664</v>
      </c>
    </row>
    <row r="15" spans="1:2" x14ac:dyDescent="0.45">
      <c r="A15">
        <v>172</v>
      </c>
      <c r="B15" t="s">
        <v>1664</v>
      </c>
    </row>
    <row r="16" spans="1:2" x14ac:dyDescent="0.45">
      <c r="A16">
        <v>173</v>
      </c>
      <c r="B16" t="s">
        <v>1664</v>
      </c>
    </row>
    <row r="17" spans="1:2" x14ac:dyDescent="0.45">
      <c r="A17">
        <v>174</v>
      </c>
      <c r="B17" t="s">
        <v>1664</v>
      </c>
    </row>
    <row r="18" spans="1:2" x14ac:dyDescent="0.45">
      <c r="A18">
        <v>175</v>
      </c>
      <c r="B18" t="s">
        <v>1664</v>
      </c>
    </row>
    <row r="19" spans="1:2" x14ac:dyDescent="0.45">
      <c r="A19">
        <v>179</v>
      </c>
      <c r="B19" t="s">
        <v>1664</v>
      </c>
    </row>
    <row r="20" spans="1:2" x14ac:dyDescent="0.45">
      <c r="A20">
        <v>181</v>
      </c>
      <c r="B20" t="s">
        <v>1665</v>
      </c>
    </row>
    <row r="21" spans="1:2" x14ac:dyDescent="0.45">
      <c r="A21">
        <v>182</v>
      </c>
      <c r="B21" t="s">
        <v>1664</v>
      </c>
    </row>
    <row r="22" spans="1:2" x14ac:dyDescent="0.45">
      <c r="A22">
        <v>191</v>
      </c>
      <c r="B22" t="s">
        <v>1664</v>
      </c>
    </row>
    <row r="23" spans="1:2" x14ac:dyDescent="0.45">
      <c r="A23">
        <v>200</v>
      </c>
      <c r="B23" t="s">
        <v>1664</v>
      </c>
    </row>
    <row r="24" spans="1:2" x14ac:dyDescent="0.45">
      <c r="A24">
        <v>211</v>
      </c>
      <c r="B24" t="s">
        <v>1664</v>
      </c>
    </row>
    <row r="25" spans="1:2" x14ac:dyDescent="0.45">
      <c r="A25">
        <v>212</v>
      </c>
      <c r="B25" t="s">
        <v>1664</v>
      </c>
    </row>
    <row r="26" spans="1:2" x14ac:dyDescent="0.45">
      <c r="A26">
        <v>213</v>
      </c>
      <c r="B26" t="s">
        <v>1664</v>
      </c>
    </row>
    <row r="27" spans="1:2" x14ac:dyDescent="0.45">
      <c r="A27">
        <v>214</v>
      </c>
      <c r="B27" t="s">
        <v>1664</v>
      </c>
    </row>
    <row r="28" spans="1:2" x14ac:dyDescent="0.45">
      <c r="A28">
        <v>219</v>
      </c>
      <c r="B28" t="s">
        <v>1664</v>
      </c>
    </row>
    <row r="29" spans="1:2" x14ac:dyDescent="0.45">
      <c r="A29">
        <v>241</v>
      </c>
      <c r="B29" t="s">
        <v>1664</v>
      </c>
    </row>
    <row r="30" spans="1:2" x14ac:dyDescent="0.45">
      <c r="A30">
        <v>251</v>
      </c>
      <c r="B30" t="s">
        <v>1664</v>
      </c>
    </row>
    <row r="31" spans="1:2" x14ac:dyDescent="0.45">
      <c r="A31">
        <v>252</v>
      </c>
      <c r="B31" t="s">
        <v>1664</v>
      </c>
    </row>
    <row r="32" spans="1:2" x14ac:dyDescent="0.45">
      <c r="A32">
        <v>253</v>
      </c>
      <c r="B32" t="s">
        <v>1664</v>
      </c>
    </row>
    <row r="33" spans="1:2" x14ac:dyDescent="0.45">
      <c r="A33">
        <v>254</v>
      </c>
      <c r="B33" t="s">
        <v>1664</v>
      </c>
    </row>
    <row r="34" spans="1:2" x14ac:dyDescent="0.45">
      <c r="A34">
        <v>259</v>
      </c>
      <c r="B34" t="s">
        <v>1664</v>
      </c>
    </row>
    <row r="35" spans="1:2" x14ac:dyDescent="0.45">
      <c r="A35">
        <v>271</v>
      </c>
      <c r="B35" t="s">
        <v>1664</v>
      </c>
    </row>
    <row r="36" spans="1:2" x14ac:dyDescent="0.45">
      <c r="A36">
        <v>272</v>
      </c>
      <c r="B36" t="s">
        <v>1664</v>
      </c>
    </row>
    <row r="37" spans="1:2" x14ac:dyDescent="0.45">
      <c r="A37">
        <v>273</v>
      </c>
      <c r="B37" t="s">
        <v>1664</v>
      </c>
    </row>
    <row r="38" spans="1:2" x14ac:dyDescent="0.45">
      <c r="A38">
        <v>279</v>
      </c>
      <c r="B38" t="s">
        <v>1664</v>
      </c>
    </row>
    <row r="39" spans="1:2" x14ac:dyDescent="0.45">
      <c r="A39">
        <v>291</v>
      </c>
      <c r="B39" t="s">
        <v>1664</v>
      </c>
    </row>
    <row r="40" spans="1:2" x14ac:dyDescent="0.45">
      <c r="A40">
        <v>700</v>
      </c>
      <c r="B40" t="s">
        <v>1665</v>
      </c>
    </row>
    <row r="41" spans="1:2" x14ac:dyDescent="0.45">
      <c r="A41">
        <v>711</v>
      </c>
      <c r="B41" t="s">
        <v>1665</v>
      </c>
    </row>
    <row r="42" spans="1:2" x14ac:dyDescent="0.45">
      <c r="A42">
        <v>721</v>
      </c>
      <c r="B42" t="s">
        <v>1665</v>
      </c>
    </row>
    <row r="43" spans="1:2" x14ac:dyDescent="0.45">
      <c r="A43">
        <v>722</v>
      </c>
      <c r="B43" t="s">
        <v>1665</v>
      </c>
    </row>
    <row r="44" spans="1:2" x14ac:dyDescent="0.45">
      <c r="A44">
        <v>723</v>
      </c>
      <c r="B44" t="s">
        <v>1665</v>
      </c>
    </row>
    <row r="45" spans="1:2" x14ac:dyDescent="0.45">
      <c r="A45">
        <v>724</v>
      </c>
      <c r="B45" t="s">
        <v>1665</v>
      </c>
    </row>
    <row r="46" spans="1:2" x14ac:dyDescent="0.45">
      <c r="A46">
        <v>741</v>
      </c>
      <c r="B46" t="s">
        <v>1666</v>
      </c>
    </row>
    <row r="47" spans="1:2" x14ac:dyDescent="0.45">
      <c r="A47">
        <v>742</v>
      </c>
      <c r="B47" t="s">
        <v>1666</v>
      </c>
    </row>
    <row r="48" spans="1:2" x14ac:dyDescent="0.45">
      <c r="A48">
        <v>751</v>
      </c>
      <c r="B48" t="s">
        <v>1665</v>
      </c>
    </row>
    <row r="49" spans="1:2" x14ac:dyDescent="0.45">
      <c r="A49">
        <v>752</v>
      </c>
      <c r="B49" t="s">
        <v>1665</v>
      </c>
    </row>
    <row r="50" spans="1:2" x14ac:dyDescent="0.45">
      <c r="A50">
        <v>761</v>
      </c>
      <c r="B50" t="s">
        <v>1665</v>
      </c>
    </row>
    <row r="51" spans="1:2" x14ac:dyDescent="0.45">
      <c r="A51">
        <v>762</v>
      </c>
      <c r="B51" t="s">
        <v>1665</v>
      </c>
    </row>
    <row r="52" spans="1:2" x14ac:dyDescent="0.45">
      <c r="A52">
        <v>781</v>
      </c>
      <c r="B52" t="s">
        <v>1665</v>
      </c>
    </row>
    <row r="53" spans="1:2" x14ac:dyDescent="0.45">
      <c r="A53">
        <v>782</v>
      </c>
      <c r="B53" t="s">
        <v>1665</v>
      </c>
    </row>
    <row r="54" spans="1:2" x14ac:dyDescent="0.45">
      <c r="A54">
        <v>783</v>
      </c>
      <c r="B54" t="s">
        <v>1665</v>
      </c>
    </row>
    <row r="55" spans="1:2" x14ac:dyDescent="0.45">
      <c r="A55">
        <v>800</v>
      </c>
      <c r="B55" t="s">
        <v>1665</v>
      </c>
    </row>
    <row r="56" spans="1:2" x14ac:dyDescent="0.45">
      <c r="A56">
        <v>811</v>
      </c>
      <c r="B56" t="s">
        <v>1665</v>
      </c>
    </row>
    <row r="57" spans="1:2" x14ac:dyDescent="0.45">
      <c r="A57">
        <v>831</v>
      </c>
      <c r="B57" t="s">
        <v>1665</v>
      </c>
    </row>
    <row r="58" spans="1:2" x14ac:dyDescent="0.45">
      <c r="A58">
        <v>851</v>
      </c>
      <c r="B58" t="s">
        <v>1665</v>
      </c>
    </row>
    <row r="59" spans="1:2" x14ac:dyDescent="0.45">
      <c r="A59">
        <v>912</v>
      </c>
      <c r="B59" t="s">
        <v>1664</v>
      </c>
    </row>
    <row r="60" spans="1:2" x14ac:dyDescent="0.45">
      <c r="A60">
        <v>913</v>
      </c>
      <c r="B60" t="s">
        <v>1664</v>
      </c>
    </row>
    <row r="61" spans="1:2" x14ac:dyDescent="0.45">
      <c r="A61">
        <v>919</v>
      </c>
      <c r="B61" t="s">
        <v>1664</v>
      </c>
    </row>
    <row r="62" spans="1:2" x14ac:dyDescent="0.45">
      <c r="A62">
        <v>921</v>
      </c>
      <c r="B62" t="s">
        <v>1664</v>
      </c>
    </row>
    <row r="63" spans="1:2" x14ac:dyDescent="0.45">
      <c r="A63">
        <v>971</v>
      </c>
      <c r="B63" t="s">
        <v>1665</v>
      </c>
    </row>
    <row r="64" spans="1:2" x14ac:dyDescent="0.45">
      <c r="A64">
        <v>1000</v>
      </c>
      <c r="B64" t="s">
        <v>1665</v>
      </c>
    </row>
    <row r="65" spans="1:2" x14ac:dyDescent="0.45">
      <c r="A65">
        <v>1011</v>
      </c>
      <c r="B65" t="s">
        <v>1665</v>
      </c>
    </row>
    <row r="66" spans="1:2" x14ac:dyDescent="0.45">
      <c r="A66">
        <v>1021</v>
      </c>
      <c r="B66" t="s">
        <v>1665</v>
      </c>
    </row>
    <row r="67" spans="1:2" x14ac:dyDescent="0.45">
      <c r="A67">
        <v>1031</v>
      </c>
      <c r="B67" t="s">
        <v>1665</v>
      </c>
    </row>
    <row r="68" spans="1:2" x14ac:dyDescent="0.45">
      <c r="A68">
        <v>1040</v>
      </c>
      <c r="B68" t="s">
        <v>1665</v>
      </c>
    </row>
    <row r="69" spans="1:2" x14ac:dyDescent="0.45">
      <c r="A69">
        <v>1041</v>
      </c>
      <c r="B69" t="s">
        <v>1665</v>
      </c>
    </row>
    <row r="70" spans="1:2" x14ac:dyDescent="0.45">
      <c r="A70">
        <v>1044</v>
      </c>
      <c r="B70" t="s">
        <v>1665</v>
      </c>
    </row>
    <row r="71" spans="1:2" x14ac:dyDescent="0.45">
      <c r="A71">
        <v>1061</v>
      </c>
      <c r="B71" t="s">
        <v>1665</v>
      </c>
    </row>
    <row r="72" spans="1:2" x14ac:dyDescent="0.45">
      <c r="A72">
        <v>1081</v>
      </c>
      <c r="B72" t="s">
        <v>1667</v>
      </c>
    </row>
    <row r="73" spans="1:2" x14ac:dyDescent="0.45">
      <c r="A73">
        <v>1090</v>
      </c>
      <c r="B73" t="s">
        <v>1665</v>
      </c>
    </row>
    <row r="74" spans="1:2" x14ac:dyDescent="0.45">
      <c r="A74">
        <v>1094</v>
      </c>
      <c r="B74" t="s">
        <v>1665</v>
      </c>
    </row>
    <row r="75" spans="1:2" x14ac:dyDescent="0.45">
      <c r="A75">
        <v>1099</v>
      </c>
      <c r="B75" t="s">
        <v>1665</v>
      </c>
    </row>
    <row r="76" spans="1:2" x14ac:dyDescent="0.45">
      <c r="A76">
        <v>1220</v>
      </c>
      <c r="B76" t="s">
        <v>1665</v>
      </c>
    </row>
    <row r="77" spans="1:2" x14ac:dyDescent="0.45">
      <c r="A77">
        <v>1221</v>
      </c>
      <c r="B77" t="s">
        <v>1665</v>
      </c>
    </row>
    <row r="78" spans="1:2" x14ac:dyDescent="0.45">
      <c r="A78">
        <v>1222</v>
      </c>
      <c r="B78" t="s">
        <v>1665</v>
      </c>
    </row>
    <row r="79" spans="1:2" x14ac:dyDescent="0.45">
      <c r="A79">
        <v>1231</v>
      </c>
      <c r="B79" t="s">
        <v>1665</v>
      </c>
    </row>
    <row r="80" spans="1:2" x14ac:dyDescent="0.45">
      <c r="A80">
        <v>1241</v>
      </c>
      <c r="B80" t="s">
        <v>1665</v>
      </c>
    </row>
    <row r="81" spans="1:2" x14ac:dyDescent="0.45">
      <c r="A81">
        <v>1311</v>
      </c>
      <c r="B81" t="s">
        <v>1668</v>
      </c>
    </row>
    <row r="82" spans="1:2" x14ac:dyDescent="0.45">
      <c r="A82">
        <v>1321</v>
      </c>
      <c r="B82" t="s">
        <v>1668</v>
      </c>
    </row>
    <row r="83" spans="1:2" x14ac:dyDescent="0.45">
      <c r="A83">
        <v>1381</v>
      </c>
      <c r="B83" t="s">
        <v>1668</v>
      </c>
    </row>
    <row r="84" spans="1:2" x14ac:dyDescent="0.45">
      <c r="A84">
        <v>1382</v>
      </c>
      <c r="B84" t="s">
        <v>1668</v>
      </c>
    </row>
    <row r="85" spans="1:2" x14ac:dyDescent="0.45">
      <c r="A85">
        <v>1389</v>
      </c>
      <c r="B85" t="s">
        <v>1668</v>
      </c>
    </row>
    <row r="86" spans="1:2" x14ac:dyDescent="0.45">
      <c r="A86">
        <v>1400</v>
      </c>
      <c r="B86" t="s">
        <v>1668</v>
      </c>
    </row>
    <row r="87" spans="1:2" x14ac:dyDescent="0.45">
      <c r="A87">
        <v>1411</v>
      </c>
      <c r="B87" t="s">
        <v>1667</v>
      </c>
    </row>
    <row r="88" spans="1:2" x14ac:dyDescent="0.45">
      <c r="A88">
        <v>1422</v>
      </c>
      <c r="B88" t="s">
        <v>1667</v>
      </c>
    </row>
    <row r="89" spans="1:2" x14ac:dyDescent="0.45">
      <c r="A89">
        <v>1423</v>
      </c>
      <c r="B89" t="s">
        <v>1667</v>
      </c>
    </row>
    <row r="90" spans="1:2" x14ac:dyDescent="0.45">
      <c r="A90">
        <v>1429</v>
      </c>
      <c r="B90" t="s">
        <v>1667</v>
      </c>
    </row>
    <row r="91" spans="1:2" x14ac:dyDescent="0.45">
      <c r="A91">
        <v>1442</v>
      </c>
      <c r="B91" t="s">
        <v>1667</v>
      </c>
    </row>
    <row r="92" spans="1:2" x14ac:dyDescent="0.45">
      <c r="A92">
        <v>1446</v>
      </c>
      <c r="B92" t="s">
        <v>1667</v>
      </c>
    </row>
    <row r="93" spans="1:2" x14ac:dyDescent="0.45">
      <c r="A93">
        <v>1455</v>
      </c>
      <c r="B93" t="s">
        <v>1667</v>
      </c>
    </row>
    <row r="94" spans="1:2" x14ac:dyDescent="0.45">
      <c r="A94">
        <v>1459</v>
      </c>
      <c r="B94" t="s">
        <v>1667</v>
      </c>
    </row>
    <row r="95" spans="1:2" x14ac:dyDescent="0.45">
      <c r="A95">
        <v>1474</v>
      </c>
      <c r="B95" t="s">
        <v>1667</v>
      </c>
    </row>
    <row r="96" spans="1:2" x14ac:dyDescent="0.45">
      <c r="A96">
        <v>1475</v>
      </c>
      <c r="B96" t="s">
        <v>1667</v>
      </c>
    </row>
    <row r="97" spans="1:2" x14ac:dyDescent="0.45">
      <c r="A97">
        <v>1479</v>
      </c>
      <c r="B97" t="s">
        <v>1665</v>
      </c>
    </row>
    <row r="98" spans="1:2" x14ac:dyDescent="0.45">
      <c r="A98">
        <v>1481</v>
      </c>
      <c r="B98" t="s">
        <v>1665</v>
      </c>
    </row>
    <row r="99" spans="1:2" x14ac:dyDescent="0.45">
      <c r="A99">
        <v>1499</v>
      </c>
      <c r="B99" t="s">
        <v>1667</v>
      </c>
    </row>
    <row r="100" spans="1:2" x14ac:dyDescent="0.45">
      <c r="A100">
        <v>1520</v>
      </c>
      <c r="B100" t="s">
        <v>1665</v>
      </c>
    </row>
    <row r="101" spans="1:2" x14ac:dyDescent="0.45">
      <c r="A101">
        <v>1521</v>
      </c>
      <c r="B101" t="s">
        <v>1665</v>
      </c>
    </row>
    <row r="102" spans="1:2" x14ac:dyDescent="0.45">
      <c r="A102">
        <v>1522</v>
      </c>
      <c r="B102" t="s">
        <v>1665</v>
      </c>
    </row>
    <row r="103" spans="1:2" x14ac:dyDescent="0.45">
      <c r="A103">
        <v>1531</v>
      </c>
      <c r="B103" t="s">
        <v>1665</v>
      </c>
    </row>
    <row r="104" spans="1:2" x14ac:dyDescent="0.45">
      <c r="A104">
        <v>1540</v>
      </c>
      <c r="B104" t="s">
        <v>1665</v>
      </c>
    </row>
    <row r="105" spans="1:2" x14ac:dyDescent="0.45">
      <c r="A105">
        <v>1541</v>
      </c>
      <c r="B105" t="s">
        <v>1665</v>
      </c>
    </row>
    <row r="106" spans="1:2" x14ac:dyDescent="0.45">
      <c r="A106">
        <v>1542</v>
      </c>
      <c r="B106" t="s">
        <v>1665</v>
      </c>
    </row>
    <row r="107" spans="1:2" x14ac:dyDescent="0.45">
      <c r="A107">
        <v>1600</v>
      </c>
      <c r="B107" t="s">
        <v>1665</v>
      </c>
    </row>
    <row r="108" spans="1:2" x14ac:dyDescent="0.45">
      <c r="A108">
        <v>1611</v>
      </c>
      <c r="B108" t="s">
        <v>1665</v>
      </c>
    </row>
    <row r="109" spans="1:2" x14ac:dyDescent="0.45">
      <c r="A109">
        <v>1622</v>
      </c>
      <c r="B109" t="s">
        <v>1665</v>
      </c>
    </row>
    <row r="110" spans="1:2" x14ac:dyDescent="0.45">
      <c r="A110">
        <v>1623</v>
      </c>
      <c r="B110" t="s">
        <v>1665</v>
      </c>
    </row>
    <row r="111" spans="1:2" x14ac:dyDescent="0.45">
      <c r="A111">
        <v>1629</v>
      </c>
      <c r="B111" t="s">
        <v>1665</v>
      </c>
    </row>
    <row r="112" spans="1:2" x14ac:dyDescent="0.45">
      <c r="A112">
        <v>1700</v>
      </c>
      <c r="B112" t="s">
        <v>1665</v>
      </c>
    </row>
    <row r="113" spans="1:2" x14ac:dyDescent="0.45">
      <c r="A113">
        <v>1711</v>
      </c>
      <c r="B113" t="s">
        <v>1665</v>
      </c>
    </row>
    <row r="114" spans="1:2" x14ac:dyDescent="0.45">
      <c r="A114">
        <v>1721</v>
      </c>
      <c r="B114" t="s">
        <v>1665</v>
      </c>
    </row>
    <row r="115" spans="1:2" x14ac:dyDescent="0.45">
      <c r="A115">
        <v>1731</v>
      </c>
      <c r="B115" t="s">
        <v>1665</v>
      </c>
    </row>
    <row r="116" spans="1:2" x14ac:dyDescent="0.45">
      <c r="A116">
        <v>1741</v>
      </c>
      <c r="B116" t="s">
        <v>1665</v>
      </c>
    </row>
    <row r="117" spans="1:2" x14ac:dyDescent="0.45">
      <c r="A117">
        <v>1742</v>
      </c>
      <c r="B117" t="s">
        <v>1667</v>
      </c>
    </row>
    <row r="118" spans="1:2" x14ac:dyDescent="0.45">
      <c r="A118">
        <v>1743</v>
      </c>
      <c r="B118" t="s">
        <v>1665</v>
      </c>
    </row>
    <row r="119" spans="1:2" x14ac:dyDescent="0.45">
      <c r="A119">
        <v>1751</v>
      </c>
      <c r="B119" t="s">
        <v>1665</v>
      </c>
    </row>
    <row r="120" spans="1:2" x14ac:dyDescent="0.45">
      <c r="A120">
        <v>1752</v>
      </c>
      <c r="B120" t="s">
        <v>1665</v>
      </c>
    </row>
    <row r="121" spans="1:2" x14ac:dyDescent="0.45">
      <c r="A121">
        <v>1761</v>
      </c>
      <c r="B121" t="s">
        <v>1665</v>
      </c>
    </row>
    <row r="122" spans="1:2" x14ac:dyDescent="0.45">
      <c r="A122">
        <v>1771</v>
      </c>
      <c r="B122" t="s">
        <v>1665</v>
      </c>
    </row>
    <row r="123" spans="1:2" x14ac:dyDescent="0.45">
      <c r="A123">
        <v>1781</v>
      </c>
      <c r="B123" t="s">
        <v>1665</v>
      </c>
    </row>
    <row r="124" spans="1:2" x14ac:dyDescent="0.45">
      <c r="A124">
        <v>1791</v>
      </c>
      <c r="B124" t="s">
        <v>1665</v>
      </c>
    </row>
    <row r="125" spans="1:2" x14ac:dyDescent="0.45">
      <c r="A125">
        <v>1793</v>
      </c>
      <c r="B125" t="s">
        <v>1665</v>
      </c>
    </row>
    <row r="126" spans="1:2" x14ac:dyDescent="0.45">
      <c r="A126">
        <v>1794</v>
      </c>
      <c r="B126" t="s">
        <v>1665</v>
      </c>
    </row>
    <row r="127" spans="1:2" x14ac:dyDescent="0.45">
      <c r="A127">
        <v>1795</v>
      </c>
      <c r="B127" t="s">
        <v>1665</v>
      </c>
    </row>
    <row r="128" spans="1:2" x14ac:dyDescent="0.45">
      <c r="A128">
        <v>1796</v>
      </c>
      <c r="B128" t="s">
        <v>1665</v>
      </c>
    </row>
    <row r="129" spans="1:2" x14ac:dyDescent="0.45">
      <c r="A129">
        <v>1799</v>
      </c>
      <c r="B129" t="s">
        <v>1665</v>
      </c>
    </row>
    <row r="130" spans="1:2" x14ac:dyDescent="0.45">
      <c r="A130">
        <v>2000</v>
      </c>
      <c r="B130" t="s">
        <v>1665</v>
      </c>
    </row>
    <row r="131" spans="1:2" x14ac:dyDescent="0.45">
      <c r="A131">
        <v>2011</v>
      </c>
      <c r="B131" t="s">
        <v>1665</v>
      </c>
    </row>
    <row r="132" spans="1:2" x14ac:dyDescent="0.45">
      <c r="A132">
        <v>2013</v>
      </c>
      <c r="B132" t="s">
        <v>1664</v>
      </c>
    </row>
    <row r="133" spans="1:2" x14ac:dyDescent="0.45">
      <c r="A133">
        <v>2015</v>
      </c>
      <c r="B133" t="s">
        <v>1665</v>
      </c>
    </row>
    <row r="134" spans="1:2" x14ac:dyDescent="0.45">
      <c r="A134">
        <v>2020</v>
      </c>
      <c r="B134" t="s">
        <v>1664</v>
      </c>
    </row>
    <row r="135" spans="1:2" x14ac:dyDescent="0.45">
      <c r="A135">
        <v>2021</v>
      </c>
      <c r="B135" t="s">
        <v>1664</v>
      </c>
    </row>
    <row r="136" spans="1:2" x14ac:dyDescent="0.45">
      <c r="A136">
        <v>2022</v>
      </c>
      <c r="B136" t="s">
        <v>1664</v>
      </c>
    </row>
    <row r="137" spans="1:2" x14ac:dyDescent="0.45">
      <c r="A137">
        <v>2023</v>
      </c>
      <c r="B137" t="s">
        <v>1664</v>
      </c>
    </row>
    <row r="138" spans="1:2" x14ac:dyDescent="0.45">
      <c r="A138">
        <v>2024</v>
      </c>
      <c r="B138" t="s">
        <v>1664</v>
      </c>
    </row>
    <row r="139" spans="1:2" x14ac:dyDescent="0.45">
      <c r="A139">
        <v>2026</v>
      </c>
      <c r="B139" t="s">
        <v>1664</v>
      </c>
    </row>
    <row r="140" spans="1:2" x14ac:dyDescent="0.45">
      <c r="A140">
        <v>2030</v>
      </c>
      <c r="B140" t="s">
        <v>1664</v>
      </c>
    </row>
    <row r="141" spans="1:2" x14ac:dyDescent="0.45">
      <c r="A141">
        <v>2032</v>
      </c>
      <c r="B141" t="s">
        <v>1664</v>
      </c>
    </row>
    <row r="142" spans="1:2" x14ac:dyDescent="0.45">
      <c r="A142">
        <v>2033</v>
      </c>
      <c r="B142" t="s">
        <v>1664</v>
      </c>
    </row>
    <row r="143" spans="1:2" x14ac:dyDescent="0.45">
      <c r="A143">
        <v>2034</v>
      </c>
      <c r="B143" t="s">
        <v>1664</v>
      </c>
    </row>
    <row r="144" spans="1:2" x14ac:dyDescent="0.45">
      <c r="A144">
        <v>2035</v>
      </c>
      <c r="B144" t="s">
        <v>1664</v>
      </c>
    </row>
    <row r="145" spans="1:2" x14ac:dyDescent="0.45">
      <c r="A145">
        <v>2037</v>
      </c>
      <c r="B145" t="s">
        <v>1664</v>
      </c>
    </row>
    <row r="146" spans="1:2" x14ac:dyDescent="0.45">
      <c r="A146">
        <v>2038</v>
      </c>
      <c r="B146" t="s">
        <v>1664</v>
      </c>
    </row>
    <row r="147" spans="1:2" x14ac:dyDescent="0.45">
      <c r="A147">
        <v>2040</v>
      </c>
      <c r="B147" t="s">
        <v>1664</v>
      </c>
    </row>
    <row r="148" spans="1:2" x14ac:dyDescent="0.45">
      <c r="A148">
        <v>2041</v>
      </c>
      <c r="B148" t="s">
        <v>1664</v>
      </c>
    </row>
    <row r="149" spans="1:2" x14ac:dyDescent="0.45">
      <c r="A149">
        <v>2043</v>
      </c>
      <c r="B149" t="s">
        <v>1664</v>
      </c>
    </row>
    <row r="150" spans="1:2" x14ac:dyDescent="0.45">
      <c r="A150">
        <v>2044</v>
      </c>
      <c r="B150" t="s">
        <v>1665</v>
      </c>
    </row>
    <row r="151" spans="1:2" x14ac:dyDescent="0.45">
      <c r="A151">
        <v>2045</v>
      </c>
      <c r="B151" t="s">
        <v>1664</v>
      </c>
    </row>
    <row r="152" spans="1:2" x14ac:dyDescent="0.45">
      <c r="A152">
        <v>2046</v>
      </c>
      <c r="B152" t="s">
        <v>1665</v>
      </c>
    </row>
    <row r="153" spans="1:2" x14ac:dyDescent="0.45">
      <c r="A153">
        <v>2047</v>
      </c>
      <c r="B153" t="s">
        <v>1664</v>
      </c>
    </row>
    <row r="154" spans="1:2" x14ac:dyDescent="0.45">
      <c r="A154">
        <v>2048</v>
      </c>
      <c r="B154" t="s">
        <v>1664</v>
      </c>
    </row>
    <row r="155" spans="1:2" x14ac:dyDescent="0.45">
      <c r="A155">
        <v>2050</v>
      </c>
      <c r="B155" t="s">
        <v>1664</v>
      </c>
    </row>
    <row r="156" spans="1:2" x14ac:dyDescent="0.45">
      <c r="A156">
        <v>2051</v>
      </c>
      <c r="B156" t="s">
        <v>1664</v>
      </c>
    </row>
    <row r="157" spans="1:2" x14ac:dyDescent="0.45">
      <c r="A157">
        <v>2052</v>
      </c>
      <c r="B157" t="s">
        <v>1664</v>
      </c>
    </row>
    <row r="158" spans="1:2" x14ac:dyDescent="0.45">
      <c r="A158">
        <v>2053</v>
      </c>
      <c r="B158" t="s">
        <v>1664</v>
      </c>
    </row>
    <row r="159" spans="1:2" x14ac:dyDescent="0.45">
      <c r="A159">
        <v>2060</v>
      </c>
      <c r="B159" t="s">
        <v>1664</v>
      </c>
    </row>
    <row r="160" spans="1:2" x14ac:dyDescent="0.45">
      <c r="A160">
        <v>2061</v>
      </c>
      <c r="B160" t="s">
        <v>1664</v>
      </c>
    </row>
    <row r="161" spans="1:2" x14ac:dyDescent="0.45">
      <c r="A161">
        <v>2062</v>
      </c>
      <c r="B161" t="s">
        <v>1665</v>
      </c>
    </row>
    <row r="162" spans="1:2" x14ac:dyDescent="0.45">
      <c r="A162">
        <v>2063</v>
      </c>
      <c r="B162" t="s">
        <v>1664</v>
      </c>
    </row>
    <row r="163" spans="1:2" x14ac:dyDescent="0.45">
      <c r="A163">
        <v>2064</v>
      </c>
      <c r="B163" t="s">
        <v>1664</v>
      </c>
    </row>
    <row r="164" spans="1:2" x14ac:dyDescent="0.45">
      <c r="A164">
        <v>2066</v>
      </c>
      <c r="B164" t="s">
        <v>1664</v>
      </c>
    </row>
    <row r="165" spans="1:2" x14ac:dyDescent="0.45">
      <c r="A165">
        <v>2067</v>
      </c>
      <c r="B165" t="s">
        <v>1664</v>
      </c>
    </row>
    <row r="166" spans="1:2" x14ac:dyDescent="0.45">
      <c r="A166">
        <v>2068</v>
      </c>
      <c r="B166" t="s">
        <v>1664</v>
      </c>
    </row>
    <row r="167" spans="1:2" x14ac:dyDescent="0.45">
      <c r="A167">
        <v>2070</v>
      </c>
      <c r="B167" t="s">
        <v>1664</v>
      </c>
    </row>
    <row r="168" spans="1:2" x14ac:dyDescent="0.45">
      <c r="A168">
        <v>2074</v>
      </c>
      <c r="B168" t="s">
        <v>1665</v>
      </c>
    </row>
    <row r="169" spans="1:2" x14ac:dyDescent="0.45">
      <c r="A169">
        <v>2075</v>
      </c>
      <c r="B169" t="s">
        <v>1665</v>
      </c>
    </row>
    <row r="170" spans="1:2" x14ac:dyDescent="0.45">
      <c r="A170">
        <v>2076</v>
      </c>
      <c r="B170" t="s">
        <v>1665</v>
      </c>
    </row>
    <row r="171" spans="1:2" x14ac:dyDescent="0.45">
      <c r="A171">
        <v>2077</v>
      </c>
      <c r="B171" t="s">
        <v>1665</v>
      </c>
    </row>
    <row r="172" spans="1:2" x14ac:dyDescent="0.45">
      <c r="A172">
        <v>2079</v>
      </c>
      <c r="B172" t="s">
        <v>1664</v>
      </c>
    </row>
    <row r="173" spans="1:2" x14ac:dyDescent="0.45">
      <c r="A173">
        <v>2080</v>
      </c>
      <c r="B173" t="s">
        <v>1664</v>
      </c>
    </row>
    <row r="174" spans="1:2" x14ac:dyDescent="0.45">
      <c r="A174">
        <v>2082</v>
      </c>
      <c r="B174" t="s">
        <v>1669</v>
      </c>
    </row>
    <row r="175" spans="1:2" x14ac:dyDescent="0.45">
      <c r="A175">
        <v>2083</v>
      </c>
      <c r="B175" t="s">
        <v>1669</v>
      </c>
    </row>
    <row r="176" spans="1:2" x14ac:dyDescent="0.45">
      <c r="A176">
        <v>2084</v>
      </c>
      <c r="B176" t="s">
        <v>1669</v>
      </c>
    </row>
    <row r="177" spans="1:2" x14ac:dyDescent="0.45">
      <c r="A177">
        <v>2085</v>
      </c>
      <c r="B177" t="s">
        <v>1669</v>
      </c>
    </row>
    <row r="178" spans="1:2" x14ac:dyDescent="0.45">
      <c r="A178">
        <v>2086</v>
      </c>
      <c r="B178" t="s">
        <v>1669</v>
      </c>
    </row>
    <row r="179" spans="1:2" x14ac:dyDescent="0.45">
      <c r="A179">
        <v>2087</v>
      </c>
      <c r="B179" t="s">
        <v>1664</v>
      </c>
    </row>
    <row r="180" spans="1:2" x14ac:dyDescent="0.45">
      <c r="A180">
        <v>2090</v>
      </c>
      <c r="B180" t="s">
        <v>1664</v>
      </c>
    </row>
    <row r="181" spans="1:2" x14ac:dyDescent="0.45">
      <c r="A181">
        <v>2091</v>
      </c>
      <c r="B181" t="s">
        <v>1664</v>
      </c>
    </row>
    <row r="182" spans="1:2" x14ac:dyDescent="0.45">
      <c r="A182">
        <v>2092</v>
      </c>
      <c r="B182" t="s">
        <v>1664</v>
      </c>
    </row>
    <row r="183" spans="1:2" x14ac:dyDescent="0.45">
      <c r="A183">
        <v>2095</v>
      </c>
      <c r="B183" t="s">
        <v>1664</v>
      </c>
    </row>
    <row r="184" spans="1:2" x14ac:dyDescent="0.45">
      <c r="A184">
        <v>2096</v>
      </c>
      <c r="B184" t="s">
        <v>1664</v>
      </c>
    </row>
    <row r="185" spans="1:2" x14ac:dyDescent="0.45">
      <c r="A185">
        <v>2097</v>
      </c>
      <c r="B185" t="s">
        <v>1664</v>
      </c>
    </row>
    <row r="186" spans="1:2" x14ac:dyDescent="0.45">
      <c r="A186">
        <v>2098</v>
      </c>
      <c r="B186" t="s">
        <v>1664</v>
      </c>
    </row>
    <row r="187" spans="1:2" x14ac:dyDescent="0.45">
      <c r="A187">
        <v>2099</v>
      </c>
      <c r="B187" t="s">
        <v>1665</v>
      </c>
    </row>
    <row r="188" spans="1:2" x14ac:dyDescent="0.45">
      <c r="A188">
        <v>2100</v>
      </c>
      <c r="B188" t="s">
        <v>1665</v>
      </c>
    </row>
    <row r="189" spans="1:2" x14ac:dyDescent="0.45">
      <c r="A189">
        <v>2111</v>
      </c>
      <c r="B189" t="s">
        <v>1670</v>
      </c>
    </row>
    <row r="190" spans="1:2" x14ac:dyDescent="0.45">
      <c r="A190">
        <v>2121</v>
      </c>
      <c r="B190" t="s">
        <v>1670</v>
      </c>
    </row>
    <row r="191" spans="1:2" x14ac:dyDescent="0.45">
      <c r="A191">
        <v>2131</v>
      </c>
      <c r="B191" t="s">
        <v>1670</v>
      </c>
    </row>
    <row r="192" spans="1:2" x14ac:dyDescent="0.45">
      <c r="A192">
        <v>2141</v>
      </c>
      <c r="B192" t="s">
        <v>1670</v>
      </c>
    </row>
    <row r="193" spans="1:2" x14ac:dyDescent="0.45">
      <c r="A193">
        <v>2200</v>
      </c>
      <c r="B193" t="s">
        <v>1671</v>
      </c>
    </row>
    <row r="194" spans="1:2" x14ac:dyDescent="0.45">
      <c r="A194">
        <v>2211</v>
      </c>
      <c r="B194" t="s">
        <v>1671</v>
      </c>
    </row>
    <row r="195" spans="1:2" x14ac:dyDescent="0.45">
      <c r="A195">
        <v>2221</v>
      </c>
      <c r="B195" t="s">
        <v>1671</v>
      </c>
    </row>
    <row r="196" spans="1:2" x14ac:dyDescent="0.45">
      <c r="A196">
        <v>2231</v>
      </c>
      <c r="B196" t="s">
        <v>1671</v>
      </c>
    </row>
    <row r="197" spans="1:2" x14ac:dyDescent="0.45">
      <c r="A197">
        <v>2241</v>
      </c>
      <c r="B197" t="s">
        <v>1671</v>
      </c>
    </row>
    <row r="198" spans="1:2" x14ac:dyDescent="0.45">
      <c r="A198">
        <v>2250</v>
      </c>
      <c r="B198" t="s">
        <v>1671</v>
      </c>
    </row>
    <row r="199" spans="1:2" x14ac:dyDescent="0.45">
      <c r="A199">
        <v>2251</v>
      </c>
      <c r="B199" t="s">
        <v>1671</v>
      </c>
    </row>
    <row r="200" spans="1:2" x14ac:dyDescent="0.45">
      <c r="A200">
        <v>2252</v>
      </c>
      <c r="B200" t="s">
        <v>1671</v>
      </c>
    </row>
    <row r="201" spans="1:2" x14ac:dyDescent="0.45">
      <c r="A201">
        <v>2253</v>
      </c>
      <c r="B201" t="s">
        <v>1671</v>
      </c>
    </row>
    <row r="202" spans="1:2" x14ac:dyDescent="0.45">
      <c r="A202">
        <v>2254</v>
      </c>
      <c r="B202" t="s">
        <v>1671</v>
      </c>
    </row>
    <row r="203" spans="1:2" x14ac:dyDescent="0.45">
      <c r="A203">
        <v>2257</v>
      </c>
      <c r="B203" t="s">
        <v>1671</v>
      </c>
    </row>
    <row r="204" spans="1:2" x14ac:dyDescent="0.45">
      <c r="A204">
        <v>2258</v>
      </c>
      <c r="B204" t="s">
        <v>1671</v>
      </c>
    </row>
    <row r="205" spans="1:2" x14ac:dyDescent="0.45">
      <c r="A205">
        <v>2259</v>
      </c>
      <c r="B205" t="s">
        <v>1671</v>
      </c>
    </row>
    <row r="206" spans="1:2" x14ac:dyDescent="0.45">
      <c r="A206">
        <v>2261</v>
      </c>
      <c r="B206" t="s">
        <v>1671</v>
      </c>
    </row>
    <row r="207" spans="1:2" x14ac:dyDescent="0.45">
      <c r="A207">
        <v>2262</v>
      </c>
      <c r="B207" t="s">
        <v>1671</v>
      </c>
    </row>
    <row r="208" spans="1:2" x14ac:dyDescent="0.45">
      <c r="A208">
        <v>2269</v>
      </c>
      <c r="B208" t="s">
        <v>1671</v>
      </c>
    </row>
    <row r="209" spans="1:2" x14ac:dyDescent="0.45">
      <c r="A209">
        <v>2273</v>
      </c>
      <c r="B209" t="s">
        <v>1671</v>
      </c>
    </row>
    <row r="210" spans="1:2" x14ac:dyDescent="0.45">
      <c r="A210">
        <v>2281</v>
      </c>
      <c r="B210" t="s">
        <v>1671</v>
      </c>
    </row>
    <row r="211" spans="1:2" x14ac:dyDescent="0.45">
      <c r="A211">
        <v>2282</v>
      </c>
      <c r="B211" t="s">
        <v>1671</v>
      </c>
    </row>
    <row r="212" spans="1:2" x14ac:dyDescent="0.45">
      <c r="A212">
        <v>2284</v>
      </c>
      <c r="B212" t="s">
        <v>1671</v>
      </c>
    </row>
    <row r="213" spans="1:2" x14ac:dyDescent="0.45">
      <c r="A213">
        <v>2295</v>
      </c>
      <c r="B213" t="s">
        <v>1671</v>
      </c>
    </row>
    <row r="214" spans="1:2" x14ac:dyDescent="0.45">
      <c r="A214">
        <v>2296</v>
      </c>
      <c r="B214" t="s">
        <v>1671</v>
      </c>
    </row>
    <row r="215" spans="1:2" x14ac:dyDescent="0.45">
      <c r="A215">
        <v>2297</v>
      </c>
      <c r="B215" t="s">
        <v>1671</v>
      </c>
    </row>
    <row r="216" spans="1:2" x14ac:dyDescent="0.45">
      <c r="A216">
        <v>2298</v>
      </c>
      <c r="B216" t="s">
        <v>1671</v>
      </c>
    </row>
    <row r="217" spans="1:2" x14ac:dyDescent="0.45">
      <c r="A217">
        <v>2299</v>
      </c>
      <c r="B217" t="s">
        <v>1671</v>
      </c>
    </row>
    <row r="218" spans="1:2" x14ac:dyDescent="0.45">
      <c r="A218">
        <v>2300</v>
      </c>
      <c r="B218" t="s">
        <v>1671</v>
      </c>
    </row>
    <row r="219" spans="1:2" x14ac:dyDescent="0.45">
      <c r="A219">
        <v>2311</v>
      </c>
      <c r="B219" t="s">
        <v>1672</v>
      </c>
    </row>
    <row r="220" spans="1:2" x14ac:dyDescent="0.45">
      <c r="A220">
        <v>2320</v>
      </c>
      <c r="B220" t="s">
        <v>1672</v>
      </c>
    </row>
    <row r="221" spans="1:2" x14ac:dyDescent="0.45">
      <c r="A221">
        <v>2321</v>
      </c>
      <c r="B221" t="s">
        <v>1672</v>
      </c>
    </row>
    <row r="222" spans="1:2" x14ac:dyDescent="0.45">
      <c r="A222">
        <v>2322</v>
      </c>
      <c r="B222" t="s">
        <v>1672</v>
      </c>
    </row>
    <row r="223" spans="1:2" x14ac:dyDescent="0.45">
      <c r="A223">
        <v>2323</v>
      </c>
      <c r="B223" t="s">
        <v>1672</v>
      </c>
    </row>
    <row r="224" spans="1:2" x14ac:dyDescent="0.45">
      <c r="A224">
        <v>2325</v>
      </c>
      <c r="B224" t="s">
        <v>1672</v>
      </c>
    </row>
    <row r="225" spans="1:2" x14ac:dyDescent="0.45">
      <c r="A225">
        <v>2326</v>
      </c>
      <c r="B225" t="s">
        <v>1672</v>
      </c>
    </row>
    <row r="226" spans="1:2" x14ac:dyDescent="0.45">
      <c r="A226">
        <v>2329</v>
      </c>
      <c r="B226" t="s">
        <v>1672</v>
      </c>
    </row>
    <row r="227" spans="1:2" x14ac:dyDescent="0.45">
      <c r="A227">
        <v>2330</v>
      </c>
      <c r="B227" t="s">
        <v>1672</v>
      </c>
    </row>
    <row r="228" spans="1:2" x14ac:dyDescent="0.45">
      <c r="A228">
        <v>2331</v>
      </c>
      <c r="B228" t="s">
        <v>1672</v>
      </c>
    </row>
    <row r="229" spans="1:2" x14ac:dyDescent="0.45">
      <c r="A229">
        <v>2335</v>
      </c>
      <c r="B229" t="s">
        <v>1672</v>
      </c>
    </row>
    <row r="230" spans="1:2" x14ac:dyDescent="0.45">
      <c r="A230">
        <v>2337</v>
      </c>
      <c r="B230" t="s">
        <v>1672</v>
      </c>
    </row>
    <row r="231" spans="1:2" x14ac:dyDescent="0.45">
      <c r="A231">
        <v>2339</v>
      </c>
      <c r="B231" t="s">
        <v>1672</v>
      </c>
    </row>
    <row r="232" spans="1:2" x14ac:dyDescent="0.45">
      <c r="A232">
        <v>2340</v>
      </c>
      <c r="B232" t="s">
        <v>1672</v>
      </c>
    </row>
    <row r="233" spans="1:2" x14ac:dyDescent="0.45">
      <c r="A233">
        <v>2341</v>
      </c>
      <c r="B233" t="s">
        <v>1672</v>
      </c>
    </row>
    <row r="234" spans="1:2" x14ac:dyDescent="0.45">
      <c r="A234">
        <v>2342</v>
      </c>
      <c r="B234" t="s">
        <v>1672</v>
      </c>
    </row>
    <row r="235" spans="1:2" x14ac:dyDescent="0.45">
      <c r="A235">
        <v>2353</v>
      </c>
      <c r="B235" t="s">
        <v>1672</v>
      </c>
    </row>
    <row r="236" spans="1:2" x14ac:dyDescent="0.45">
      <c r="A236">
        <v>2361</v>
      </c>
      <c r="B236" t="s">
        <v>1672</v>
      </c>
    </row>
    <row r="237" spans="1:2" x14ac:dyDescent="0.45">
      <c r="A237">
        <v>2369</v>
      </c>
      <c r="B237" t="s">
        <v>1672</v>
      </c>
    </row>
    <row r="238" spans="1:2" x14ac:dyDescent="0.45">
      <c r="A238">
        <v>2371</v>
      </c>
      <c r="B238" t="s">
        <v>1672</v>
      </c>
    </row>
    <row r="239" spans="1:2" x14ac:dyDescent="0.45">
      <c r="A239">
        <v>2381</v>
      </c>
      <c r="B239" t="s">
        <v>1672</v>
      </c>
    </row>
    <row r="240" spans="1:2" x14ac:dyDescent="0.45">
      <c r="A240">
        <v>2384</v>
      </c>
      <c r="B240" t="s">
        <v>1672</v>
      </c>
    </row>
    <row r="241" spans="1:2" x14ac:dyDescent="0.45">
      <c r="A241">
        <v>2385</v>
      </c>
      <c r="B241" t="s">
        <v>1672</v>
      </c>
    </row>
    <row r="242" spans="1:2" x14ac:dyDescent="0.45">
      <c r="A242">
        <v>2386</v>
      </c>
      <c r="B242" t="s">
        <v>1672</v>
      </c>
    </row>
    <row r="243" spans="1:2" x14ac:dyDescent="0.45">
      <c r="A243">
        <v>2387</v>
      </c>
      <c r="B243" t="s">
        <v>1672</v>
      </c>
    </row>
    <row r="244" spans="1:2" x14ac:dyDescent="0.45">
      <c r="A244">
        <v>2389</v>
      </c>
      <c r="B244" t="s">
        <v>1672</v>
      </c>
    </row>
    <row r="245" spans="1:2" x14ac:dyDescent="0.45">
      <c r="A245">
        <v>2390</v>
      </c>
      <c r="B245" t="s">
        <v>1672</v>
      </c>
    </row>
    <row r="246" spans="1:2" x14ac:dyDescent="0.45">
      <c r="A246">
        <v>2391</v>
      </c>
      <c r="B246" t="s">
        <v>1672</v>
      </c>
    </row>
    <row r="247" spans="1:2" x14ac:dyDescent="0.45">
      <c r="A247">
        <v>2392</v>
      </c>
      <c r="B247" t="s">
        <v>1671</v>
      </c>
    </row>
    <row r="248" spans="1:2" x14ac:dyDescent="0.45">
      <c r="A248">
        <v>2393</v>
      </c>
      <c r="B248" t="s">
        <v>1672</v>
      </c>
    </row>
    <row r="249" spans="1:2" x14ac:dyDescent="0.45">
      <c r="A249">
        <v>2394</v>
      </c>
      <c r="B249" t="s">
        <v>1672</v>
      </c>
    </row>
    <row r="250" spans="1:2" x14ac:dyDescent="0.45">
      <c r="A250">
        <v>2395</v>
      </c>
      <c r="B250" t="s">
        <v>1672</v>
      </c>
    </row>
    <row r="251" spans="1:2" x14ac:dyDescent="0.45">
      <c r="A251">
        <v>2396</v>
      </c>
      <c r="B251" t="s">
        <v>1672</v>
      </c>
    </row>
    <row r="252" spans="1:2" x14ac:dyDescent="0.45">
      <c r="A252">
        <v>2397</v>
      </c>
      <c r="B252" t="s">
        <v>1671</v>
      </c>
    </row>
    <row r="253" spans="1:2" x14ac:dyDescent="0.45">
      <c r="A253">
        <v>2399</v>
      </c>
      <c r="B253" t="s">
        <v>1671</v>
      </c>
    </row>
    <row r="254" spans="1:2" x14ac:dyDescent="0.45">
      <c r="A254">
        <v>2400</v>
      </c>
      <c r="B254" t="s">
        <v>1671</v>
      </c>
    </row>
    <row r="255" spans="1:2" x14ac:dyDescent="0.45">
      <c r="A255">
        <v>2411</v>
      </c>
      <c r="B255" t="s">
        <v>1673</v>
      </c>
    </row>
    <row r="256" spans="1:2" x14ac:dyDescent="0.45">
      <c r="A256">
        <v>2421</v>
      </c>
      <c r="B256" t="s">
        <v>1673</v>
      </c>
    </row>
    <row r="257" spans="1:2" x14ac:dyDescent="0.45">
      <c r="A257">
        <v>2426</v>
      </c>
      <c r="B257" t="s">
        <v>1673</v>
      </c>
    </row>
    <row r="258" spans="1:2" x14ac:dyDescent="0.45">
      <c r="A258">
        <v>2429</v>
      </c>
      <c r="B258" t="s">
        <v>1673</v>
      </c>
    </row>
    <row r="259" spans="1:2" x14ac:dyDescent="0.45">
      <c r="A259">
        <v>2430</v>
      </c>
      <c r="B259" t="s">
        <v>1673</v>
      </c>
    </row>
    <row r="260" spans="1:2" x14ac:dyDescent="0.45">
      <c r="A260">
        <v>2431</v>
      </c>
      <c r="B260" t="s">
        <v>1673</v>
      </c>
    </row>
    <row r="261" spans="1:2" x14ac:dyDescent="0.45">
      <c r="A261">
        <v>2434</v>
      </c>
      <c r="B261" t="s">
        <v>1673</v>
      </c>
    </row>
    <row r="262" spans="1:2" x14ac:dyDescent="0.45">
      <c r="A262">
        <v>2435</v>
      </c>
      <c r="B262" t="s">
        <v>1673</v>
      </c>
    </row>
    <row r="263" spans="1:2" x14ac:dyDescent="0.45">
      <c r="A263">
        <v>2436</v>
      </c>
      <c r="B263" t="s">
        <v>1673</v>
      </c>
    </row>
    <row r="264" spans="1:2" x14ac:dyDescent="0.45">
      <c r="A264">
        <v>2439</v>
      </c>
      <c r="B264" t="s">
        <v>1673</v>
      </c>
    </row>
    <row r="265" spans="1:2" x14ac:dyDescent="0.45">
      <c r="A265">
        <v>2441</v>
      </c>
      <c r="B265" t="s">
        <v>1673</v>
      </c>
    </row>
    <row r="266" spans="1:2" x14ac:dyDescent="0.45">
      <c r="A266">
        <v>2448</v>
      </c>
      <c r="B266" t="s">
        <v>1673</v>
      </c>
    </row>
    <row r="267" spans="1:2" x14ac:dyDescent="0.45">
      <c r="A267">
        <v>2449</v>
      </c>
      <c r="B267" t="s">
        <v>1673</v>
      </c>
    </row>
    <row r="268" spans="1:2" x14ac:dyDescent="0.45">
      <c r="A268">
        <v>2451</v>
      </c>
      <c r="B268" t="s">
        <v>1673</v>
      </c>
    </row>
    <row r="269" spans="1:2" x14ac:dyDescent="0.45">
      <c r="A269">
        <v>2452</v>
      </c>
      <c r="B269" t="s">
        <v>1673</v>
      </c>
    </row>
    <row r="270" spans="1:2" x14ac:dyDescent="0.45">
      <c r="A270">
        <v>2491</v>
      </c>
      <c r="B270" t="s">
        <v>1673</v>
      </c>
    </row>
    <row r="271" spans="1:2" x14ac:dyDescent="0.45">
      <c r="A271">
        <v>2493</v>
      </c>
      <c r="B271" t="s">
        <v>1673</v>
      </c>
    </row>
    <row r="272" spans="1:2" x14ac:dyDescent="0.45">
      <c r="A272">
        <v>2499</v>
      </c>
      <c r="B272" t="s">
        <v>1673</v>
      </c>
    </row>
    <row r="273" spans="1:2" x14ac:dyDescent="0.45">
      <c r="A273">
        <v>2510</v>
      </c>
      <c r="B273" t="s">
        <v>1674</v>
      </c>
    </row>
    <row r="274" spans="1:2" x14ac:dyDescent="0.45">
      <c r="A274">
        <v>2511</v>
      </c>
      <c r="B274" t="s">
        <v>1674</v>
      </c>
    </row>
    <row r="275" spans="1:2" x14ac:dyDescent="0.45">
      <c r="A275">
        <v>2512</v>
      </c>
      <c r="B275" t="s">
        <v>1674</v>
      </c>
    </row>
    <row r="276" spans="1:2" x14ac:dyDescent="0.45">
      <c r="A276">
        <v>2514</v>
      </c>
      <c r="B276" t="s">
        <v>1674</v>
      </c>
    </row>
    <row r="277" spans="1:2" x14ac:dyDescent="0.45">
      <c r="A277">
        <v>2515</v>
      </c>
      <c r="B277" t="s">
        <v>1674</v>
      </c>
    </row>
    <row r="278" spans="1:2" x14ac:dyDescent="0.45">
      <c r="A278">
        <v>2517</v>
      </c>
      <c r="B278" t="s">
        <v>1674</v>
      </c>
    </row>
    <row r="279" spans="1:2" x14ac:dyDescent="0.45">
      <c r="A279">
        <v>2519</v>
      </c>
      <c r="B279" t="s">
        <v>1674</v>
      </c>
    </row>
    <row r="280" spans="1:2" x14ac:dyDescent="0.45">
      <c r="A280">
        <v>2521</v>
      </c>
      <c r="B280" t="s">
        <v>1674</v>
      </c>
    </row>
    <row r="281" spans="1:2" x14ac:dyDescent="0.45">
      <c r="A281">
        <v>2522</v>
      </c>
      <c r="B281" t="s">
        <v>1674</v>
      </c>
    </row>
    <row r="282" spans="1:2" x14ac:dyDescent="0.45">
      <c r="A282">
        <v>2531</v>
      </c>
      <c r="B282" t="s">
        <v>1674</v>
      </c>
    </row>
    <row r="283" spans="1:2" x14ac:dyDescent="0.45">
      <c r="A283">
        <v>2540</v>
      </c>
      <c r="B283" t="s">
        <v>1673</v>
      </c>
    </row>
    <row r="284" spans="1:2" x14ac:dyDescent="0.45">
      <c r="A284">
        <v>2541</v>
      </c>
      <c r="B284" t="s">
        <v>1673</v>
      </c>
    </row>
    <row r="285" spans="1:2" x14ac:dyDescent="0.45">
      <c r="A285">
        <v>2542</v>
      </c>
      <c r="B285" t="s">
        <v>1673</v>
      </c>
    </row>
    <row r="286" spans="1:2" x14ac:dyDescent="0.45">
      <c r="A286">
        <v>2590</v>
      </c>
      <c r="B286" t="s">
        <v>1673</v>
      </c>
    </row>
    <row r="287" spans="1:2" x14ac:dyDescent="0.45">
      <c r="A287">
        <v>2591</v>
      </c>
      <c r="B287" t="s">
        <v>1673</v>
      </c>
    </row>
    <row r="288" spans="1:2" x14ac:dyDescent="0.45">
      <c r="A288">
        <v>2599</v>
      </c>
      <c r="B288" t="s">
        <v>1674</v>
      </c>
    </row>
    <row r="289" spans="1:2" x14ac:dyDescent="0.45">
      <c r="A289">
        <v>2600</v>
      </c>
      <c r="B289" t="s">
        <v>1674</v>
      </c>
    </row>
    <row r="290" spans="1:2" x14ac:dyDescent="0.45">
      <c r="A290">
        <v>2611</v>
      </c>
      <c r="B290" t="s">
        <v>1675</v>
      </c>
    </row>
    <row r="291" spans="1:2" x14ac:dyDescent="0.45">
      <c r="A291">
        <v>2621</v>
      </c>
      <c r="B291" t="s">
        <v>1675</v>
      </c>
    </row>
    <row r="292" spans="1:2" x14ac:dyDescent="0.45">
      <c r="A292">
        <v>2631</v>
      </c>
      <c r="B292" t="s">
        <v>1675</v>
      </c>
    </row>
    <row r="293" spans="1:2" x14ac:dyDescent="0.45">
      <c r="A293">
        <v>2650</v>
      </c>
      <c r="B293" t="s">
        <v>1675</v>
      </c>
    </row>
    <row r="294" spans="1:2" x14ac:dyDescent="0.45">
      <c r="A294">
        <v>2652</v>
      </c>
      <c r="B294" t="s">
        <v>1675</v>
      </c>
    </row>
    <row r="295" spans="1:2" x14ac:dyDescent="0.45">
      <c r="A295">
        <v>2653</v>
      </c>
      <c r="B295" t="s">
        <v>1675</v>
      </c>
    </row>
    <row r="296" spans="1:2" x14ac:dyDescent="0.45">
      <c r="A296">
        <v>2655</v>
      </c>
      <c r="B296" t="s">
        <v>1675</v>
      </c>
    </row>
    <row r="297" spans="1:2" x14ac:dyDescent="0.45">
      <c r="A297">
        <v>2656</v>
      </c>
      <c r="B297" t="s">
        <v>1673</v>
      </c>
    </row>
    <row r="298" spans="1:2" x14ac:dyDescent="0.45">
      <c r="A298">
        <v>2657</v>
      </c>
      <c r="B298" t="s">
        <v>1675</v>
      </c>
    </row>
    <row r="299" spans="1:2" x14ac:dyDescent="0.45">
      <c r="A299">
        <v>2670</v>
      </c>
      <c r="B299" t="s">
        <v>1675</v>
      </c>
    </row>
    <row r="300" spans="1:2" x14ac:dyDescent="0.45">
      <c r="A300">
        <v>2671</v>
      </c>
      <c r="B300" t="s">
        <v>1675</v>
      </c>
    </row>
    <row r="301" spans="1:2" x14ac:dyDescent="0.45">
      <c r="A301">
        <v>2672</v>
      </c>
      <c r="B301" t="s">
        <v>1675</v>
      </c>
    </row>
    <row r="302" spans="1:2" x14ac:dyDescent="0.45">
      <c r="A302">
        <v>2673</v>
      </c>
      <c r="B302" t="s">
        <v>1675</v>
      </c>
    </row>
    <row r="303" spans="1:2" x14ac:dyDescent="0.45">
      <c r="A303">
        <v>2674</v>
      </c>
      <c r="B303" t="s">
        <v>1675</v>
      </c>
    </row>
    <row r="304" spans="1:2" x14ac:dyDescent="0.45">
      <c r="A304">
        <v>2675</v>
      </c>
      <c r="B304" t="s">
        <v>1675</v>
      </c>
    </row>
    <row r="305" spans="1:2" x14ac:dyDescent="0.45">
      <c r="A305">
        <v>2676</v>
      </c>
      <c r="B305" t="s">
        <v>1675</v>
      </c>
    </row>
    <row r="306" spans="1:2" x14ac:dyDescent="0.45">
      <c r="A306">
        <v>2677</v>
      </c>
      <c r="B306" t="s">
        <v>1675</v>
      </c>
    </row>
    <row r="307" spans="1:2" x14ac:dyDescent="0.45">
      <c r="A307">
        <v>2678</v>
      </c>
      <c r="B307" t="s">
        <v>1673</v>
      </c>
    </row>
    <row r="308" spans="1:2" x14ac:dyDescent="0.45">
      <c r="A308">
        <v>2679</v>
      </c>
      <c r="B308" t="s">
        <v>1675</v>
      </c>
    </row>
    <row r="309" spans="1:2" x14ac:dyDescent="0.45">
      <c r="A309">
        <v>2711</v>
      </c>
      <c r="B309" t="s">
        <v>1676</v>
      </c>
    </row>
    <row r="310" spans="1:2" x14ac:dyDescent="0.45">
      <c r="A310">
        <v>2721</v>
      </c>
      <c r="B310" t="s">
        <v>1676</v>
      </c>
    </row>
    <row r="311" spans="1:2" x14ac:dyDescent="0.45">
      <c r="A311">
        <v>2731</v>
      </c>
      <c r="B311" t="s">
        <v>1676</v>
      </c>
    </row>
    <row r="312" spans="1:2" x14ac:dyDescent="0.45">
      <c r="A312">
        <v>2732</v>
      </c>
      <c r="B312" t="s">
        <v>1676</v>
      </c>
    </row>
    <row r="313" spans="1:2" x14ac:dyDescent="0.45">
      <c r="A313">
        <v>2741</v>
      </c>
      <c r="B313" t="s">
        <v>1676</v>
      </c>
    </row>
    <row r="314" spans="1:2" x14ac:dyDescent="0.45">
      <c r="A314">
        <v>2750</v>
      </c>
      <c r="B314" t="s">
        <v>1676</v>
      </c>
    </row>
    <row r="315" spans="1:2" x14ac:dyDescent="0.45">
      <c r="A315">
        <v>2752</v>
      </c>
      <c r="B315" t="s">
        <v>1676</v>
      </c>
    </row>
    <row r="316" spans="1:2" x14ac:dyDescent="0.45">
      <c r="A316">
        <v>2754</v>
      </c>
      <c r="B316" t="s">
        <v>1676</v>
      </c>
    </row>
    <row r="317" spans="1:2" x14ac:dyDescent="0.45">
      <c r="A317">
        <v>2759</v>
      </c>
      <c r="B317" t="s">
        <v>1676</v>
      </c>
    </row>
    <row r="318" spans="1:2" x14ac:dyDescent="0.45">
      <c r="A318">
        <v>2761</v>
      </c>
      <c r="B318" t="s">
        <v>1676</v>
      </c>
    </row>
    <row r="319" spans="1:2" x14ac:dyDescent="0.45">
      <c r="A319">
        <v>2771</v>
      </c>
      <c r="B319" t="s">
        <v>1676</v>
      </c>
    </row>
    <row r="320" spans="1:2" x14ac:dyDescent="0.45">
      <c r="A320">
        <v>2780</v>
      </c>
      <c r="B320" t="s">
        <v>1675</v>
      </c>
    </row>
    <row r="321" spans="1:2" x14ac:dyDescent="0.45">
      <c r="A321">
        <v>2782</v>
      </c>
      <c r="B321" t="s">
        <v>1675</v>
      </c>
    </row>
    <row r="322" spans="1:2" x14ac:dyDescent="0.45">
      <c r="A322">
        <v>2789</v>
      </c>
      <c r="B322" t="s">
        <v>1675</v>
      </c>
    </row>
    <row r="323" spans="1:2" x14ac:dyDescent="0.45">
      <c r="A323">
        <v>2790</v>
      </c>
      <c r="B323" t="s">
        <v>1675</v>
      </c>
    </row>
    <row r="324" spans="1:2" x14ac:dyDescent="0.45">
      <c r="A324">
        <v>2791</v>
      </c>
      <c r="B324" t="s">
        <v>1676</v>
      </c>
    </row>
    <row r="325" spans="1:2" x14ac:dyDescent="0.45">
      <c r="A325">
        <v>2796</v>
      </c>
      <c r="B325" t="s">
        <v>1676</v>
      </c>
    </row>
    <row r="326" spans="1:2" x14ac:dyDescent="0.45">
      <c r="A326">
        <v>2800</v>
      </c>
      <c r="B326" t="s">
        <v>1676</v>
      </c>
    </row>
    <row r="327" spans="1:2" x14ac:dyDescent="0.45">
      <c r="A327">
        <v>2810</v>
      </c>
      <c r="B327" t="s">
        <v>1673</v>
      </c>
    </row>
    <row r="328" spans="1:2" x14ac:dyDescent="0.45">
      <c r="A328">
        <v>2812</v>
      </c>
      <c r="B328" t="s">
        <v>1673</v>
      </c>
    </row>
    <row r="329" spans="1:2" x14ac:dyDescent="0.45">
      <c r="A329">
        <v>2813</v>
      </c>
      <c r="B329" t="s">
        <v>1673</v>
      </c>
    </row>
    <row r="330" spans="1:2" x14ac:dyDescent="0.45">
      <c r="A330">
        <v>2816</v>
      </c>
      <c r="B330" t="s">
        <v>1673</v>
      </c>
    </row>
    <row r="331" spans="1:2" x14ac:dyDescent="0.45">
      <c r="A331">
        <v>2819</v>
      </c>
      <c r="B331" t="s">
        <v>1677</v>
      </c>
    </row>
    <row r="332" spans="1:2" x14ac:dyDescent="0.45">
      <c r="A332">
        <v>2820</v>
      </c>
      <c r="B332" t="s">
        <v>1677</v>
      </c>
    </row>
    <row r="333" spans="1:2" x14ac:dyDescent="0.45">
      <c r="A333">
        <v>2821</v>
      </c>
      <c r="B333" t="s">
        <v>1673</v>
      </c>
    </row>
    <row r="334" spans="1:2" x14ac:dyDescent="0.45">
      <c r="A334">
        <v>2822</v>
      </c>
      <c r="B334" t="s">
        <v>1673</v>
      </c>
    </row>
    <row r="335" spans="1:2" x14ac:dyDescent="0.45">
      <c r="A335">
        <v>2823</v>
      </c>
      <c r="B335" t="s">
        <v>1673</v>
      </c>
    </row>
    <row r="336" spans="1:2" x14ac:dyDescent="0.45">
      <c r="A336">
        <v>2824</v>
      </c>
      <c r="B336" t="s">
        <v>1673</v>
      </c>
    </row>
    <row r="337" spans="1:2" x14ac:dyDescent="0.45">
      <c r="A337">
        <v>2833</v>
      </c>
      <c r="B337" t="s">
        <v>1678</v>
      </c>
    </row>
    <row r="338" spans="1:2" x14ac:dyDescent="0.45">
      <c r="A338">
        <v>2834</v>
      </c>
      <c r="B338" t="s">
        <v>1678</v>
      </c>
    </row>
    <row r="339" spans="1:2" x14ac:dyDescent="0.45">
      <c r="A339">
        <v>2835</v>
      </c>
      <c r="B339" t="s">
        <v>1678</v>
      </c>
    </row>
    <row r="340" spans="1:2" x14ac:dyDescent="0.45">
      <c r="A340">
        <v>2836</v>
      </c>
      <c r="B340" t="s">
        <v>1678</v>
      </c>
    </row>
    <row r="341" spans="1:2" x14ac:dyDescent="0.45">
      <c r="A341">
        <v>2840</v>
      </c>
      <c r="B341" t="s">
        <v>1673</v>
      </c>
    </row>
    <row r="342" spans="1:2" x14ac:dyDescent="0.45">
      <c r="A342">
        <v>2841</v>
      </c>
      <c r="B342" t="s">
        <v>1673</v>
      </c>
    </row>
    <row r="343" spans="1:2" x14ac:dyDescent="0.45">
      <c r="A343">
        <v>2842</v>
      </c>
      <c r="B343" t="s">
        <v>1673</v>
      </c>
    </row>
    <row r="344" spans="1:2" x14ac:dyDescent="0.45">
      <c r="A344">
        <v>2843</v>
      </c>
      <c r="B344" t="s">
        <v>1673</v>
      </c>
    </row>
    <row r="345" spans="1:2" x14ac:dyDescent="0.45">
      <c r="A345">
        <v>2844</v>
      </c>
      <c r="B345" t="s">
        <v>1673</v>
      </c>
    </row>
    <row r="346" spans="1:2" x14ac:dyDescent="0.45">
      <c r="A346">
        <v>2851</v>
      </c>
      <c r="B346" t="s">
        <v>1673</v>
      </c>
    </row>
    <row r="347" spans="1:2" x14ac:dyDescent="0.45">
      <c r="A347">
        <v>2860</v>
      </c>
      <c r="B347" t="s">
        <v>1677</v>
      </c>
    </row>
    <row r="348" spans="1:2" x14ac:dyDescent="0.45">
      <c r="A348">
        <v>2861</v>
      </c>
      <c r="B348" t="s">
        <v>1677</v>
      </c>
    </row>
    <row r="349" spans="1:2" x14ac:dyDescent="0.45">
      <c r="A349">
        <v>2865</v>
      </c>
      <c r="B349" t="s">
        <v>1677</v>
      </c>
    </row>
    <row r="350" spans="1:2" x14ac:dyDescent="0.45">
      <c r="A350">
        <v>2869</v>
      </c>
      <c r="B350" t="s">
        <v>1677</v>
      </c>
    </row>
    <row r="351" spans="1:2" x14ac:dyDescent="0.45">
      <c r="A351">
        <v>2870</v>
      </c>
      <c r="B351" t="s">
        <v>1677</v>
      </c>
    </row>
    <row r="352" spans="1:2" x14ac:dyDescent="0.45">
      <c r="A352">
        <v>2873</v>
      </c>
      <c r="B352" t="s">
        <v>1677</v>
      </c>
    </row>
    <row r="353" spans="1:2" x14ac:dyDescent="0.45">
      <c r="A353">
        <v>2874</v>
      </c>
      <c r="B353" t="s">
        <v>1677</v>
      </c>
    </row>
    <row r="354" spans="1:2" x14ac:dyDescent="0.45">
      <c r="A354">
        <v>2875</v>
      </c>
      <c r="B354" t="s">
        <v>1677</v>
      </c>
    </row>
    <row r="355" spans="1:2" x14ac:dyDescent="0.45">
      <c r="A355">
        <v>2879</v>
      </c>
      <c r="B355" t="s">
        <v>1677</v>
      </c>
    </row>
    <row r="356" spans="1:2" x14ac:dyDescent="0.45">
      <c r="A356">
        <v>2890</v>
      </c>
      <c r="B356" t="s">
        <v>1677</v>
      </c>
    </row>
    <row r="357" spans="1:2" x14ac:dyDescent="0.45">
      <c r="A357">
        <v>2891</v>
      </c>
      <c r="B357" t="s">
        <v>1677</v>
      </c>
    </row>
    <row r="358" spans="1:2" x14ac:dyDescent="0.45">
      <c r="A358">
        <v>2892</v>
      </c>
      <c r="B358" t="s">
        <v>1677</v>
      </c>
    </row>
    <row r="359" spans="1:2" x14ac:dyDescent="0.45">
      <c r="A359">
        <v>2893</v>
      </c>
      <c r="B359" t="s">
        <v>1677</v>
      </c>
    </row>
    <row r="360" spans="1:2" x14ac:dyDescent="0.45">
      <c r="A360">
        <v>2895</v>
      </c>
      <c r="B360" t="s">
        <v>1677</v>
      </c>
    </row>
    <row r="361" spans="1:2" x14ac:dyDescent="0.45">
      <c r="A361">
        <v>2899</v>
      </c>
      <c r="B361" t="s">
        <v>1677</v>
      </c>
    </row>
    <row r="362" spans="1:2" x14ac:dyDescent="0.45">
      <c r="A362">
        <v>2911</v>
      </c>
      <c r="B362" t="s">
        <v>1668</v>
      </c>
    </row>
    <row r="363" spans="1:2" x14ac:dyDescent="0.45">
      <c r="A363">
        <v>2951</v>
      </c>
      <c r="B363" t="s">
        <v>1667</v>
      </c>
    </row>
    <row r="364" spans="1:2" x14ac:dyDescent="0.45">
      <c r="A364">
        <v>2952</v>
      </c>
      <c r="B364" t="s">
        <v>1667</v>
      </c>
    </row>
    <row r="365" spans="1:2" x14ac:dyDescent="0.45">
      <c r="A365">
        <v>2990</v>
      </c>
      <c r="B365" t="s">
        <v>1668</v>
      </c>
    </row>
    <row r="366" spans="1:2" x14ac:dyDescent="0.45">
      <c r="A366">
        <v>2992</v>
      </c>
      <c r="B366" t="s">
        <v>1668</v>
      </c>
    </row>
    <row r="367" spans="1:2" x14ac:dyDescent="0.45">
      <c r="A367">
        <v>2999</v>
      </c>
      <c r="B367" t="s">
        <v>1668</v>
      </c>
    </row>
    <row r="368" spans="1:2" x14ac:dyDescent="0.45">
      <c r="A368">
        <v>3011</v>
      </c>
      <c r="B368" t="s">
        <v>1673</v>
      </c>
    </row>
    <row r="369" spans="1:2" x14ac:dyDescent="0.45">
      <c r="A369">
        <v>3021</v>
      </c>
      <c r="B369" t="s">
        <v>1673</v>
      </c>
    </row>
    <row r="370" spans="1:2" x14ac:dyDescent="0.45">
      <c r="A370">
        <v>3050</v>
      </c>
      <c r="B370" t="s">
        <v>1673</v>
      </c>
    </row>
    <row r="371" spans="1:2" x14ac:dyDescent="0.45">
      <c r="A371">
        <v>3052</v>
      </c>
      <c r="B371" t="s">
        <v>1673</v>
      </c>
    </row>
    <row r="372" spans="1:2" x14ac:dyDescent="0.45">
      <c r="A372">
        <v>3053</v>
      </c>
      <c r="B372" t="s">
        <v>1673</v>
      </c>
    </row>
    <row r="373" spans="1:2" x14ac:dyDescent="0.45">
      <c r="A373">
        <v>3061</v>
      </c>
      <c r="B373" t="s">
        <v>1673</v>
      </c>
    </row>
    <row r="374" spans="1:2" x14ac:dyDescent="0.45">
      <c r="A374">
        <v>3069</v>
      </c>
      <c r="B374" t="s">
        <v>1673</v>
      </c>
    </row>
    <row r="375" spans="1:2" x14ac:dyDescent="0.45">
      <c r="A375">
        <v>3080</v>
      </c>
      <c r="B375" t="s">
        <v>1673</v>
      </c>
    </row>
    <row r="376" spans="1:2" x14ac:dyDescent="0.45">
      <c r="A376">
        <v>3081</v>
      </c>
      <c r="B376" t="s">
        <v>1673</v>
      </c>
    </row>
    <row r="377" spans="1:2" x14ac:dyDescent="0.45">
      <c r="A377">
        <v>3082</v>
      </c>
      <c r="B377" t="s">
        <v>1673</v>
      </c>
    </row>
    <row r="378" spans="1:2" x14ac:dyDescent="0.45">
      <c r="A378">
        <v>3083</v>
      </c>
      <c r="B378" t="s">
        <v>1673</v>
      </c>
    </row>
    <row r="379" spans="1:2" x14ac:dyDescent="0.45">
      <c r="A379">
        <v>3084</v>
      </c>
      <c r="B379" t="s">
        <v>1673</v>
      </c>
    </row>
    <row r="380" spans="1:2" x14ac:dyDescent="0.45">
      <c r="A380">
        <v>3085</v>
      </c>
      <c r="B380" t="s">
        <v>1673</v>
      </c>
    </row>
    <row r="381" spans="1:2" x14ac:dyDescent="0.45">
      <c r="A381">
        <v>3086</v>
      </c>
      <c r="B381" t="s">
        <v>1673</v>
      </c>
    </row>
    <row r="382" spans="1:2" x14ac:dyDescent="0.45">
      <c r="A382">
        <v>3087</v>
      </c>
      <c r="B382" t="s">
        <v>1673</v>
      </c>
    </row>
    <row r="383" spans="1:2" x14ac:dyDescent="0.45">
      <c r="A383">
        <v>3088</v>
      </c>
      <c r="B383" t="s">
        <v>1673</v>
      </c>
    </row>
    <row r="384" spans="1:2" x14ac:dyDescent="0.45">
      <c r="A384">
        <v>3089</v>
      </c>
      <c r="B384" t="s">
        <v>1673</v>
      </c>
    </row>
    <row r="385" spans="1:2" x14ac:dyDescent="0.45">
      <c r="A385">
        <v>3100</v>
      </c>
      <c r="B385" t="s">
        <v>1673</v>
      </c>
    </row>
    <row r="386" spans="1:2" x14ac:dyDescent="0.45">
      <c r="A386">
        <v>3111</v>
      </c>
      <c r="B386" t="s">
        <v>1673</v>
      </c>
    </row>
    <row r="387" spans="1:2" x14ac:dyDescent="0.45">
      <c r="A387">
        <v>3131</v>
      </c>
      <c r="B387" t="s">
        <v>1673</v>
      </c>
    </row>
    <row r="388" spans="1:2" x14ac:dyDescent="0.45">
      <c r="A388">
        <v>3140</v>
      </c>
      <c r="B388" t="s">
        <v>1672</v>
      </c>
    </row>
    <row r="389" spans="1:2" x14ac:dyDescent="0.45">
      <c r="A389">
        <v>3142</v>
      </c>
      <c r="B389" t="s">
        <v>1672</v>
      </c>
    </row>
    <row r="390" spans="1:2" x14ac:dyDescent="0.45">
      <c r="A390">
        <v>3143</v>
      </c>
      <c r="B390" t="s">
        <v>1672</v>
      </c>
    </row>
    <row r="391" spans="1:2" x14ac:dyDescent="0.45">
      <c r="A391">
        <v>3144</v>
      </c>
      <c r="B391" t="s">
        <v>1672</v>
      </c>
    </row>
    <row r="392" spans="1:2" x14ac:dyDescent="0.45">
      <c r="A392">
        <v>3149</v>
      </c>
      <c r="B392" t="s">
        <v>1672</v>
      </c>
    </row>
    <row r="393" spans="1:2" x14ac:dyDescent="0.45">
      <c r="A393">
        <v>3151</v>
      </c>
      <c r="B393" t="s">
        <v>1672</v>
      </c>
    </row>
    <row r="394" spans="1:2" x14ac:dyDescent="0.45">
      <c r="A394">
        <v>3161</v>
      </c>
      <c r="B394" t="s">
        <v>1665</v>
      </c>
    </row>
    <row r="395" spans="1:2" x14ac:dyDescent="0.45">
      <c r="A395">
        <v>3171</v>
      </c>
      <c r="B395" t="s">
        <v>1672</v>
      </c>
    </row>
    <row r="396" spans="1:2" x14ac:dyDescent="0.45">
      <c r="A396">
        <v>3172</v>
      </c>
      <c r="B396" t="s">
        <v>1672</v>
      </c>
    </row>
    <row r="397" spans="1:2" x14ac:dyDescent="0.45">
      <c r="A397">
        <v>3199</v>
      </c>
      <c r="B397" t="s">
        <v>1673</v>
      </c>
    </row>
    <row r="398" spans="1:2" x14ac:dyDescent="0.45">
      <c r="A398">
        <v>3211</v>
      </c>
      <c r="B398" t="s">
        <v>1667</v>
      </c>
    </row>
    <row r="399" spans="1:2" x14ac:dyDescent="0.45">
      <c r="A399">
        <v>3220</v>
      </c>
      <c r="B399" t="s">
        <v>1673</v>
      </c>
    </row>
    <row r="400" spans="1:2" x14ac:dyDescent="0.45">
      <c r="A400">
        <v>3221</v>
      </c>
      <c r="B400" t="s">
        <v>1673</v>
      </c>
    </row>
    <row r="401" spans="1:2" x14ac:dyDescent="0.45">
      <c r="A401">
        <v>3229</v>
      </c>
      <c r="B401" t="s">
        <v>1673</v>
      </c>
    </row>
    <row r="402" spans="1:2" x14ac:dyDescent="0.45">
      <c r="A402">
        <v>3231</v>
      </c>
      <c r="B402" t="s">
        <v>1673</v>
      </c>
    </row>
    <row r="403" spans="1:2" x14ac:dyDescent="0.45">
      <c r="A403">
        <v>3241</v>
      </c>
      <c r="B403" t="s">
        <v>1667</v>
      </c>
    </row>
    <row r="404" spans="1:2" x14ac:dyDescent="0.45">
      <c r="A404">
        <v>3250</v>
      </c>
      <c r="B404" t="s">
        <v>1667</v>
      </c>
    </row>
    <row r="405" spans="1:2" x14ac:dyDescent="0.45">
      <c r="A405">
        <v>3251</v>
      </c>
      <c r="B405" t="s">
        <v>1667</v>
      </c>
    </row>
    <row r="406" spans="1:2" x14ac:dyDescent="0.45">
      <c r="A406">
        <v>3253</v>
      </c>
      <c r="B406" t="s">
        <v>1667</v>
      </c>
    </row>
    <row r="407" spans="1:2" x14ac:dyDescent="0.45">
      <c r="A407">
        <v>3255</v>
      </c>
      <c r="B407" t="s">
        <v>1673</v>
      </c>
    </row>
    <row r="408" spans="1:2" x14ac:dyDescent="0.45">
      <c r="A408">
        <v>3259</v>
      </c>
      <c r="B408" t="s">
        <v>1667</v>
      </c>
    </row>
    <row r="409" spans="1:2" x14ac:dyDescent="0.45">
      <c r="A409">
        <v>3260</v>
      </c>
      <c r="B409" t="s">
        <v>1667</v>
      </c>
    </row>
    <row r="410" spans="1:2" x14ac:dyDescent="0.45">
      <c r="A410">
        <v>3261</v>
      </c>
      <c r="B410" t="s">
        <v>1673</v>
      </c>
    </row>
    <row r="411" spans="1:2" x14ac:dyDescent="0.45">
      <c r="A411">
        <v>3262</v>
      </c>
      <c r="B411" t="s">
        <v>1673</v>
      </c>
    </row>
    <row r="412" spans="1:2" x14ac:dyDescent="0.45">
      <c r="A412">
        <v>3263</v>
      </c>
      <c r="B412" t="s">
        <v>1673</v>
      </c>
    </row>
    <row r="413" spans="1:2" x14ac:dyDescent="0.45">
      <c r="A413">
        <v>3264</v>
      </c>
      <c r="B413" t="s">
        <v>1673</v>
      </c>
    </row>
    <row r="414" spans="1:2" x14ac:dyDescent="0.45">
      <c r="A414">
        <v>3269</v>
      </c>
      <c r="B414" t="s">
        <v>1673</v>
      </c>
    </row>
    <row r="415" spans="1:2" x14ac:dyDescent="0.45">
      <c r="A415">
        <v>3270</v>
      </c>
      <c r="B415" t="s">
        <v>1673</v>
      </c>
    </row>
    <row r="416" spans="1:2" x14ac:dyDescent="0.45">
      <c r="A416">
        <v>3271</v>
      </c>
      <c r="B416" t="s">
        <v>1667</v>
      </c>
    </row>
    <row r="417" spans="1:2" x14ac:dyDescent="0.45">
      <c r="A417">
        <v>3272</v>
      </c>
      <c r="B417" t="s">
        <v>1673</v>
      </c>
    </row>
    <row r="418" spans="1:2" x14ac:dyDescent="0.45">
      <c r="A418">
        <v>3273</v>
      </c>
      <c r="B418" t="s">
        <v>1667</v>
      </c>
    </row>
    <row r="419" spans="1:2" x14ac:dyDescent="0.45">
      <c r="A419">
        <v>3274</v>
      </c>
      <c r="B419" t="s">
        <v>1667</v>
      </c>
    </row>
    <row r="420" spans="1:2" x14ac:dyDescent="0.45">
      <c r="A420">
        <v>3275</v>
      </c>
      <c r="B420" t="s">
        <v>1673</v>
      </c>
    </row>
    <row r="421" spans="1:2" x14ac:dyDescent="0.45">
      <c r="A421">
        <v>3281</v>
      </c>
      <c r="B421" t="s">
        <v>1667</v>
      </c>
    </row>
    <row r="422" spans="1:2" x14ac:dyDescent="0.45">
      <c r="A422">
        <v>3290</v>
      </c>
      <c r="B422" t="s">
        <v>1673</v>
      </c>
    </row>
    <row r="423" spans="1:2" x14ac:dyDescent="0.45">
      <c r="A423">
        <v>3291</v>
      </c>
      <c r="B423" t="s">
        <v>1673</v>
      </c>
    </row>
    <row r="424" spans="1:2" x14ac:dyDescent="0.45">
      <c r="A424">
        <v>3292</v>
      </c>
      <c r="B424" t="s">
        <v>1673</v>
      </c>
    </row>
    <row r="425" spans="1:2" x14ac:dyDescent="0.45">
      <c r="A425">
        <v>3295</v>
      </c>
      <c r="B425" t="s">
        <v>1673</v>
      </c>
    </row>
    <row r="426" spans="1:2" x14ac:dyDescent="0.45">
      <c r="A426">
        <v>3296</v>
      </c>
      <c r="B426" t="s">
        <v>1665</v>
      </c>
    </row>
    <row r="427" spans="1:2" x14ac:dyDescent="0.45">
      <c r="A427">
        <v>3297</v>
      </c>
      <c r="B427" t="s">
        <v>1673</v>
      </c>
    </row>
    <row r="428" spans="1:2" x14ac:dyDescent="0.45">
      <c r="A428">
        <v>3299</v>
      </c>
      <c r="B428" t="s">
        <v>1673</v>
      </c>
    </row>
    <row r="429" spans="1:2" x14ac:dyDescent="0.45">
      <c r="A429">
        <v>3310</v>
      </c>
      <c r="B429" t="s">
        <v>1673</v>
      </c>
    </row>
    <row r="430" spans="1:2" x14ac:dyDescent="0.45">
      <c r="A430">
        <v>3312</v>
      </c>
      <c r="B430" t="s">
        <v>1673</v>
      </c>
    </row>
    <row r="431" spans="1:2" x14ac:dyDescent="0.45">
      <c r="A431">
        <v>3313</v>
      </c>
      <c r="B431" t="s">
        <v>1673</v>
      </c>
    </row>
    <row r="432" spans="1:2" x14ac:dyDescent="0.45">
      <c r="A432">
        <v>3315</v>
      </c>
      <c r="B432" t="s">
        <v>1673</v>
      </c>
    </row>
    <row r="433" spans="1:2" x14ac:dyDescent="0.45">
      <c r="A433">
        <v>3316</v>
      </c>
      <c r="B433" t="s">
        <v>1673</v>
      </c>
    </row>
    <row r="434" spans="1:2" x14ac:dyDescent="0.45">
      <c r="A434">
        <v>3317</v>
      </c>
      <c r="B434" t="s">
        <v>1673</v>
      </c>
    </row>
    <row r="435" spans="1:2" x14ac:dyDescent="0.45">
      <c r="A435">
        <v>3320</v>
      </c>
      <c r="B435" t="s">
        <v>1673</v>
      </c>
    </row>
    <row r="436" spans="1:2" x14ac:dyDescent="0.45">
      <c r="A436">
        <v>3321</v>
      </c>
      <c r="B436" t="s">
        <v>1673</v>
      </c>
    </row>
    <row r="437" spans="1:2" x14ac:dyDescent="0.45">
      <c r="A437">
        <v>3322</v>
      </c>
      <c r="B437" t="s">
        <v>1673</v>
      </c>
    </row>
    <row r="438" spans="1:2" x14ac:dyDescent="0.45">
      <c r="A438">
        <v>3324</v>
      </c>
      <c r="B438" t="s">
        <v>1673</v>
      </c>
    </row>
    <row r="439" spans="1:2" x14ac:dyDescent="0.45">
      <c r="A439">
        <v>3325</v>
      </c>
      <c r="B439" t="s">
        <v>1673</v>
      </c>
    </row>
    <row r="440" spans="1:2" x14ac:dyDescent="0.45">
      <c r="A440">
        <v>3330</v>
      </c>
      <c r="B440" t="s">
        <v>1673</v>
      </c>
    </row>
    <row r="441" spans="1:2" x14ac:dyDescent="0.45">
      <c r="A441">
        <v>3331</v>
      </c>
      <c r="B441" t="s">
        <v>1673</v>
      </c>
    </row>
    <row r="442" spans="1:2" x14ac:dyDescent="0.45">
      <c r="A442">
        <v>3334</v>
      </c>
      <c r="B442" t="s">
        <v>1673</v>
      </c>
    </row>
    <row r="443" spans="1:2" x14ac:dyDescent="0.45">
      <c r="A443">
        <v>3339</v>
      </c>
      <c r="B443" t="s">
        <v>1673</v>
      </c>
    </row>
    <row r="444" spans="1:2" x14ac:dyDescent="0.45">
      <c r="A444">
        <v>3341</v>
      </c>
      <c r="B444" t="s">
        <v>1673</v>
      </c>
    </row>
    <row r="445" spans="1:2" x14ac:dyDescent="0.45">
      <c r="A445">
        <v>3350</v>
      </c>
      <c r="B445" t="s">
        <v>1673</v>
      </c>
    </row>
    <row r="446" spans="1:2" x14ac:dyDescent="0.45">
      <c r="A446">
        <v>3351</v>
      </c>
      <c r="B446" t="s">
        <v>1673</v>
      </c>
    </row>
    <row r="447" spans="1:2" x14ac:dyDescent="0.45">
      <c r="A447">
        <v>3353</v>
      </c>
      <c r="B447" t="s">
        <v>1673</v>
      </c>
    </row>
    <row r="448" spans="1:2" x14ac:dyDescent="0.45">
      <c r="A448">
        <v>3354</v>
      </c>
      <c r="B448" t="s">
        <v>1673</v>
      </c>
    </row>
    <row r="449" spans="1:2" x14ac:dyDescent="0.45">
      <c r="A449">
        <v>3355</v>
      </c>
      <c r="B449" t="s">
        <v>1673</v>
      </c>
    </row>
    <row r="450" spans="1:2" x14ac:dyDescent="0.45">
      <c r="A450">
        <v>3356</v>
      </c>
      <c r="B450" t="s">
        <v>1673</v>
      </c>
    </row>
    <row r="451" spans="1:2" x14ac:dyDescent="0.45">
      <c r="A451">
        <v>3357</v>
      </c>
      <c r="B451" t="s">
        <v>1673</v>
      </c>
    </row>
    <row r="452" spans="1:2" x14ac:dyDescent="0.45">
      <c r="A452">
        <v>3360</v>
      </c>
      <c r="B452" t="s">
        <v>1673</v>
      </c>
    </row>
    <row r="453" spans="1:2" x14ac:dyDescent="0.45">
      <c r="A453">
        <v>3363</v>
      </c>
      <c r="B453" t="s">
        <v>1673</v>
      </c>
    </row>
    <row r="454" spans="1:2" x14ac:dyDescent="0.45">
      <c r="A454">
        <v>3364</v>
      </c>
      <c r="B454" t="s">
        <v>1673</v>
      </c>
    </row>
    <row r="455" spans="1:2" x14ac:dyDescent="0.45">
      <c r="A455">
        <v>3365</v>
      </c>
      <c r="B455" t="s">
        <v>1673</v>
      </c>
    </row>
    <row r="456" spans="1:2" x14ac:dyDescent="0.45">
      <c r="A456">
        <v>3366</v>
      </c>
      <c r="B456" t="s">
        <v>1673</v>
      </c>
    </row>
    <row r="457" spans="1:2" x14ac:dyDescent="0.45">
      <c r="A457">
        <v>3369</v>
      </c>
      <c r="B457" t="s">
        <v>1673</v>
      </c>
    </row>
    <row r="458" spans="1:2" x14ac:dyDescent="0.45">
      <c r="A458">
        <v>3390</v>
      </c>
      <c r="B458" t="s">
        <v>1673</v>
      </c>
    </row>
    <row r="459" spans="1:2" x14ac:dyDescent="0.45">
      <c r="A459">
        <v>3398</v>
      </c>
      <c r="B459" t="s">
        <v>1673</v>
      </c>
    </row>
    <row r="460" spans="1:2" x14ac:dyDescent="0.45">
      <c r="A460">
        <v>3399</v>
      </c>
      <c r="B460" t="s">
        <v>1673</v>
      </c>
    </row>
    <row r="461" spans="1:2" x14ac:dyDescent="0.45">
      <c r="A461">
        <v>3411</v>
      </c>
      <c r="B461" t="s">
        <v>1673</v>
      </c>
    </row>
    <row r="462" spans="1:2" x14ac:dyDescent="0.45">
      <c r="A462">
        <v>3412</v>
      </c>
      <c r="B462" t="s">
        <v>1673</v>
      </c>
    </row>
    <row r="463" spans="1:2" x14ac:dyDescent="0.45">
      <c r="A463">
        <v>3420</v>
      </c>
      <c r="B463" t="s">
        <v>1673</v>
      </c>
    </row>
    <row r="464" spans="1:2" x14ac:dyDescent="0.45">
      <c r="A464">
        <v>3421</v>
      </c>
      <c r="B464" t="s">
        <v>1673</v>
      </c>
    </row>
    <row r="465" spans="1:2" x14ac:dyDescent="0.45">
      <c r="A465">
        <v>3423</v>
      </c>
      <c r="B465" t="s">
        <v>1673</v>
      </c>
    </row>
    <row r="466" spans="1:2" x14ac:dyDescent="0.45">
      <c r="A466">
        <v>3425</v>
      </c>
      <c r="B466" t="s">
        <v>1673</v>
      </c>
    </row>
    <row r="467" spans="1:2" x14ac:dyDescent="0.45">
      <c r="A467">
        <v>3429</v>
      </c>
      <c r="B467" t="s">
        <v>1673</v>
      </c>
    </row>
    <row r="468" spans="1:2" x14ac:dyDescent="0.45">
      <c r="A468">
        <v>3430</v>
      </c>
      <c r="B468" t="s">
        <v>1673</v>
      </c>
    </row>
    <row r="469" spans="1:2" x14ac:dyDescent="0.45">
      <c r="A469">
        <v>3431</v>
      </c>
      <c r="B469" t="s">
        <v>1673</v>
      </c>
    </row>
    <row r="470" spans="1:2" x14ac:dyDescent="0.45">
      <c r="A470">
        <v>3432</v>
      </c>
      <c r="B470" t="s">
        <v>1673</v>
      </c>
    </row>
    <row r="471" spans="1:2" x14ac:dyDescent="0.45">
      <c r="A471">
        <v>3433</v>
      </c>
      <c r="B471" t="s">
        <v>1673</v>
      </c>
    </row>
    <row r="472" spans="1:2" x14ac:dyDescent="0.45">
      <c r="A472">
        <v>3440</v>
      </c>
      <c r="B472" t="s">
        <v>1673</v>
      </c>
    </row>
    <row r="473" spans="1:2" x14ac:dyDescent="0.45">
      <c r="A473">
        <v>3441</v>
      </c>
      <c r="B473" t="s">
        <v>1673</v>
      </c>
    </row>
    <row r="474" spans="1:2" x14ac:dyDescent="0.45">
      <c r="A474">
        <v>3442</v>
      </c>
      <c r="B474" t="s">
        <v>1673</v>
      </c>
    </row>
    <row r="475" spans="1:2" x14ac:dyDescent="0.45">
      <c r="A475">
        <v>3443</v>
      </c>
      <c r="B475" t="s">
        <v>1673</v>
      </c>
    </row>
    <row r="476" spans="1:2" x14ac:dyDescent="0.45">
      <c r="A476">
        <v>3444</v>
      </c>
      <c r="B476" t="s">
        <v>1673</v>
      </c>
    </row>
    <row r="477" spans="1:2" x14ac:dyDescent="0.45">
      <c r="A477">
        <v>3446</v>
      </c>
      <c r="B477" t="s">
        <v>1673</v>
      </c>
    </row>
    <row r="478" spans="1:2" x14ac:dyDescent="0.45">
      <c r="A478">
        <v>3448</v>
      </c>
      <c r="B478" t="s">
        <v>1673</v>
      </c>
    </row>
    <row r="479" spans="1:2" x14ac:dyDescent="0.45">
      <c r="A479">
        <v>3449</v>
      </c>
      <c r="B479" t="s">
        <v>1673</v>
      </c>
    </row>
    <row r="480" spans="1:2" x14ac:dyDescent="0.45">
      <c r="A480">
        <v>3451</v>
      </c>
      <c r="B480" t="s">
        <v>1673</v>
      </c>
    </row>
    <row r="481" spans="1:2" x14ac:dyDescent="0.45">
      <c r="A481">
        <v>3452</v>
      </c>
      <c r="B481" t="s">
        <v>1673</v>
      </c>
    </row>
    <row r="482" spans="1:2" x14ac:dyDescent="0.45">
      <c r="A482">
        <v>3460</v>
      </c>
      <c r="B482" t="s">
        <v>1673</v>
      </c>
    </row>
    <row r="483" spans="1:2" x14ac:dyDescent="0.45">
      <c r="A483">
        <v>3462</v>
      </c>
      <c r="B483" t="s">
        <v>1673</v>
      </c>
    </row>
    <row r="484" spans="1:2" x14ac:dyDescent="0.45">
      <c r="A484">
        <v>3463</v>
      </c>
      <c r="B484" t="s">
        <v>1673</v>
      </c>
    </row>
    <row r="485" spans="1:2" x14ac:dyDescent="0.45">
      <c r="A485">
        <v>3465</v>
      </c>
      <c r="B485" t="s">
        <v>1673</v>
      </c>
    </row>
    <row r="486" spans="1:2" x14ac:dyDescent="0.45">
      <c r="A486">
        <v>3466</v>
      </c>
      <c r="B486" t="s">
        <v>1673</v>
      </c>
    </row>
    <row r="487" spans="1:2" x14ac:dyDescent="0.45">
      <c r="A487">
        <v>3469</v>
      </c>
      <c r="B487" t="s">
        <v>1673</v>
      </c>
    </row>
    <row r="488" spans="1:2" x14ac:dyDescent="0.45">
      <c r="A488">
        <v>3470</v>
      </c>
      <c r="B488" t="s">
        <v>1673</v>
      </c>
    </row>
    <row r="489" spans="1:2" x14ac:dyDescent="0.45">
      <c r="A489">
        <v>3471</v>
      </c>
      <c r="B489" t="s">
        <v>1673</v>
      </c>
    </row>
    <row r="490" spans="1:2" x14ac:dyDescent="0.45">
      <c r="A490">
        <v>3479</v>
      </c>
      <c r="B490" t="s">
        <v>1673</v>
      </c>
    </row>
    <row r="491" spans="1:2" x14ac:dyDescent="0.45">
      <c r="A491">
        <v>3480</v>
      </c>
      <c r="B491" t="s">
        <v>1673</v>
      </c>
    </row>
    <row r="492" spans="1:2" x14ac:dyDescent="0.45">
      <c r="A492">
        <v>3482</v>
      </c>
      <c r="B492" t="s">
        <v>1673</v>
      </c>
    </row>
    <row r="493" spans="1:2" x14ac:dyDescent="0.45">
      <c r="A493">
        <v>3483</v>
      </c>
      <c r="B493" t="s">
        <v>1673</v>
      </c>
    </row>
    <row r="494" spans="1:2" x14ac:dyDescent="0.45">
      <c r="A494">
        <v>3484</v>
      </c>
      <c r="B494" t="s">
        <v>1673</v>
      </c>
    </row>
    <row r="495" spans="1:2" x14ac:dyDescent="0.45">
      <c r="A495">
        <v>3489</v>
      </c>
      <c r="B495" t="s">
        <v>1673</v>
      </c>
    </row>
    <row r="496" spans="1:2" x14ac:dyDescent="0.45">
      <c r="A496">
        <v>3490</v>
      </c>
      <c r="B496" t="s">
        <v>1673</v>
      </c>
    </row>
    <row r="497" spans="1:2" x14ac:dyDescent="0.45">
      <c r="A497">
        <v>3491</v>
      </c>
      <c r="B497" t="s">
        <v>1673</v>
      </c>
    </row>
    <row r="498" spans="1:2" x14ac:dyDescent="0.45">
      <c r="A498">
        <v>3492</v>
      </c>
      <c r="B498" t="s">
        <v>1673</v>
      </c>
    </row>
    <row r="499" spans="1:2" x14ac:dyDescent="0.45">
      <c r="A499">
        <v>3493</v>
      </c>
      <c r="B499" t="s">
        <v>1673</v>
      </c>
    </row>
    <row r="500" spans="1:2" x14ac:dyDescent="0.45">
      <c r="A500">
        <v>3494</v>
      </c>
      <c r="B500" t="s">
        <v>1673</v>
      </c>
    </row>
    <row r="501" spans="1:2" x14ac:dyDescent="0.45">
      <c r="A501">
        <v>3495</v>
      </c>
      <c r="B501" t="s">
        <v>1673</v>
      </c>
    </row>
    <row r="502" spans="1:2" x14ac:dyDescent="0.45">
      <c r="A502">
        <v>3496</v>
      </c>
      <c r="B502" t="s">
        <v>1673</v>
      </c>
    </row>
    <row r="503" spans="1:2" x14ac:dyDescent="0.45">
      <c r="A503">
        <v>3497</v>
      </c>
      <c r="B503" t="s">
        <v>1673</v>
      </c>
    </row>
    <row r="504" spans="1:2" x14ac:dyDescent="0.45">
      <c r="A504">
        <v>3498</v>
      </c>
      <c r="B504" t="s">
        <v>1673</v>
      </c>
    </row>
    <row r="505" spans="1:2" x14ac:dyDescent="0.45">
      <c r="A505">
        <v>3499</v>
      </c>
      <c r="B505" t="s">
        <v>1673</v>
      </c>
    </row>
    <row r="506" spans="1:2" x14ac:dyDescent="0.45">
      <c r="A506">
        <v>3510</v>
      </c>
      <c r="B506" t="s">
        <v>1679</v>
      </c>
    </row>
    <row r="507" spans="1:2" x14ac:dyDescent="0.45">
      <c r="A507">
        <v>3511</v>
      </c>
      <c r="B507" t="s">
        <v>1679</v>
      </c>
    </row>
    <row r="508" spans="1:2" x14ac:dyDescent="0.45">
      <c r="A508">
        <v>3519</v>
      </c>
      <c r="B508" t="s">
        <v>1679</v>
      </c>
    </row>
    <row r="509" spans="1:2" x14ac:dyDescent="0.45">
      <c r="A509">
        <v>3523</v>
      </c>
      <c r="B509" t="s">
        <v>1679</v>
      </c>
    </row>
    <row r="510" spans="1:2" x14ac:dyDescent="0.45">
      <c r="A510">
        <v>3524</v>
      </c>
      <c r="B510" t="s">
        <v>1673</v>
      </c>
    </row>
    <row r="511" spans="1:2" x14ac:dyDescent="0.45">
      <c r="A511">
        <v>3530</v>
      </c>
      <c r="B511" t="s">
        <v>1679</v>
      </c>
    </row>
    <row r="512" spans="1:2" x14ac:dyDescent="0.45">
      <c r="A512">
        <v>3531</v>
      </c>
      <c r="B512" t="s">
        <v>1679</v>
      </c>
    </row>
    <row r="513" spans="1:2" x14ac:dyDescent="0.45">
      <c r="A513">
        <v>3532</v>
      </c>
      <c r="B513" t="s">
        <v>1679</v>
      </c>
    </row>
    <row r="514" spans="1:2" x14ac:dyDescent="0.45">
      <c r="A514">
        <v>3533</v>
      </c>
      <c r="B514" t="s">
        <v>1679</v>
      </c>
    </row>
    <row r="515" spans="1:2" x14ac:dyDescent="0.45">
      <c r="A515">
        <v>3534</v>
      </c>
      <c r="B515" t="s">
        <v>1679</v>
      </c>
    </row>
    <row r="516" spans="1:2" x14ac:dyDescent="0.45">
      <c r="A516">
        <v>3535</v>
      </c>
      <c r="B516" t="s">
        <v>1679</v>
      </c>
    </row>
    <row r="517" spans="1:2" x14ac:dyDescent="0.45">
      <c r="A517">
        <v>3536</v>
      </c>
      <c r="B517" t="s">
        <v>1679</v>
      </c>
    </row>
    <row r="518" spans="1:2" x14ac:dyDescent="0.45">
      <c r="A518">
        <v>3537</v>
      </c>
      <c r="B518" t="s">
        <v>1679</v>
      </c>
    </row>
    <row r="519" spans="1:2" x14ac:dyDescent="0.45">
      <c r="A519">
        <v>3540</v>
      </c>
      <c r="B519" t="s">
        <v>1679</v>
      </c>
    </row>
    <row r="520" spans="1:2" x14ac:dyDescent="0.45">
      <c r="A520">
        <v>3541</v>
      </c>
      <c r="B520" t="s">
        <v>1679</v>
      </c>
    </row>
    <row r="521" spans="1:2" x14ac:dyDescent="0.45">
      <c r="A521">
        <v>3542</v>
      </c>
      <c r="B521" t="s">
        <v>1679</v>
      </c>
    </row>
    <row r="522" spans="1:2" x14ac:dyDescent="0.45">
      <c r="A522">
        <v>3543</v>
      </c>
      <c r="B522" t="s">
        <v>1679</v>
      </c>
    </row>
    <row r="523" spans="1:2" x14ac:dyDescent="0.45">
      <c r="A523">
        <v>3544</v>
      </c>
      <c r="B523" t="s">
        <v>1679</v>
      </c>
    </row>
    <row r="524" spans="1:2" x14ac:dyDescent="0.45">
      <c r="A524">
        <v>3545</v>
      </c>
      <c r="B524" t="s">
        <v>1679</v>
      </c>
    </row>
    <row r="525" spans="1:2" x14ac:dyDescent="0.45">
      <c r="A525">
        <v>3546</v>
      </c>
      <c r="B525" t="s">
        <v>1679</v>
      </c>
    </row>
    <row r="526" spans="1:2" x14ac:dyDescent="0.45">
      <c r="A526">
        <v>3547</v>
      </c>
      <c r="B526" t="s">
        <v>1679</v>
      </c>
    </row>
    <row r="527" spans="1:2" x14ac:dyDescent="0.45">
      <c r="A527">
        <v>3548</v>
      </c>
      <c r="B527" t="s">
        <v>1679</v>
      </c>
    </row>
    <row r="528" spans="1:2" x14ac:dyDescent="0.45">
      <c r="A528">
        <v>3549</v>
      </c>
      <c r="B528" t="s">
        <v>1679</v>
      </c>
    </row>
    <row r="529" spans="1:2" x14ac:dyDescent="0.45">
      <c r="A529">
        <v>3550</v>
      </c>
      <c r="B529" t="s">
        <v>1679</v>
      </c>
    </row>
    <row r="530" spans="1:2" x14ac:dyDescent="0.45">
      <c r="A530">
        <v>3552</v>
      </c>
      <c r="B530" t="s">
        <v>1679</v>
      </c>
    </row>
    <row r="531" spans="1:2" x14ac:dyDescent="0.45">
      <c r="A531">
        <v>3553</v>
      </c>
      <c r="B531" t="s">
        <v>1679</v>
      </c>
    </row>
    <row r="532" spans="1:2" x14ac:dyDescent="0.45">
      <c r="A532">
        <v>3554</v>
      </c>
      <c r="B532" t="s">
        <v>1679</v>
      </c>
    </row>
    <row r="533" spans="1:2" x14ac:dyDescent="0.45">
      <c r="A533">
        <v>3555</v>
      </c>
      <c r="B533" t="s">
        <v>1679</v>
      </c>
    </row>
    <row r="534" spans="1:2" x14ac:dyDescent="0.45">
      <c r="A534">
        <v>3556</v>
      </c>
      <c r="B534" t="s">
        <v>1679</v>
      </c>
    </row>
    <row r="535" spans="1:2" x14ac:dyDescent="0.45">
      <c r="A535">
        <v>3559</v>
      </c>
      <c r="B535" t="s">
        <v>1679</v>
      </c>
    </row>
    <row r="536" spans="1:2" x14ac:dyDescent="0.45">
      <c r="A536">
        <v>3560</v>
      </c>
      <c r="B536" t="s">
        <v>1679</v>
      </c>
    </row>
    <row r="537" spans="1:2" x14ac:dyDescent="0.45">
      <c r="A537">
        <v>3561</v>
      </c>
      <c r="B537" t="s">
        <v>1679</v>
      </c>
    </row>
    <row r="538" spans="1:2" x14ac:dyDescent="0.45">
      <c r="A538">
        <v>3562</v>
      </c>
      <c r="B538" t="s">
        <v>1679</v>
      </c>
    </row>
    <row r="539" spans="1:2" x14ac:dyDescent="0.45">
      <c r="A539">
        <v>3563</v>
      </c>
      <c r="B539" t="s">
        <v>1679</v>
      </c>
    </row>
    <row r="540" spans="1:2" x14ac:dyDescent="0.45">
      <c r="A540">
        <v>3564</v>
      </c>
      <c r="B540" t="s">
        <v>1679</v>
      </c>
    </row>
    <row r="541" spans="1:2" x14ac:dyDescent="0.45">
      <c r="A541">
        <v>3565</v>
      </c>
      <c r="B541" t="s">
        <v>1679</v>
      </c>
    </row>
    <row r="542" spans="1:2" x14ac:dyDescent="0.45">
      <c r="A542">
        <v>3566</v>
      </c>
      <c r="B542" t="s">
        <v>1679</v>
      </c>
    </row>
    <row r="543" spans="1:2" x14ac:dyDescent="0.45">
      <c r="A543">
        <v>3567</v>
      </c>
      <c r="B543" t="s">
        <v>1679</v>
      </c>
    </row>
    <row r="544" spans="1:2" x14ac:dyDescent="0.45">
      <c r="A544">
        <v>3568</v>
      </c>
      <c r="B544" t="s">
        <v>1679</v>
      </c>
    </row>
    <row r="545" spans="1:2" x14ac:dyDescent="0.45">
      <c r="A545">
        <v>3569</v>
      </c>
      <c r="B545" t="s">
        <v>1679</v>
      </c>
    </row>
    <row r="546" spans="1:2" x14ac:dyDescent="0.45">
      <c r="A546">
        <v>3570</v>
      </c>
      <c r="B546" t="s">
        <v>1679</v>
      </c>
    </row>
    <row r="547" spans="1:2" x14ac:dyDescent="0.45">
      <c r="A547">
        <v>3571</v>
      </c>
      <c r="B547" t="s">
        <v>1680</v>
      </c>
    </row>
    <row r="548" spans="1:2" x14ac:dyDescent="0.45">
      <c r="A548">
        <v>3572</v>
      </c>
      <c r="B548" t="s">
        <v>1680</v>
      </c>
    </row>
    <row r="549" spans="1:2" x14ac:dyDescent="0.45">
      <c r="A549">
        <v>3575</v>
      </c>
      <c r="B549" t="s">
        <v>1680</v>
      </c>
    </row>
    <row r="550" spans="1:2" x14ac:dyDescent="0.45">
      <c r="A550">
        <v>3576</v>
      </c>
      <c r="B550" t="s">
        <v>1680</v>
      </c>
    </row>
    <row r="551" spans="1:2" x14ac:dyDescent="0.45">
      <c r="A551">
        <v>3577</v>
      </c>
      <c r="B551" t="s">
        <v>1680</v>
      </c>
    </row>
    <row r="552" spans="1:2" x14ac:dyDescent="0.45">
      <c r="A552">
        <v>3578</v>
      </c>
      <c r="B552" t="s">
        <v>1680</v>
      </c>
    </row>
    <row r="553" spans="1:2" x14ac:dyDescent="0.45">
      <c r="A553">
        <v>3579</v>
      </c>
      <c r="B553" t="s">
        <v>1680</v>
      </c>
    </row>
    <row r="554" spans="1:2" x14ac:dyDescent="0.45">
      <c r="A554">
        <v>3580</v>
      </c>
      <c r="B554" t="s">
        <v>1680</v>
      </c>
    </row>
    <row r="555" spans="1:2" x14ac:dyDescent="0.45">
      <c r="A555">
        <v>3581</v>
      </c>
      <c r="B555" t="s">
        <v>1679</v>
      </c>
    </row>
    <row r="556" spans="1:2" x14ac:dyDescent="0.45">
      <c r="A556">
        <v>3582</v>
      </c>
      <c r="B556" t="s">
        <v>1679</v>
      </c>
    </row>
    <row r="557" spans="1:2" x14ac:dyDescent="0.45">
      <c r="A557">
        <v>3585</v>
      </c>
      <c r="B557" t="s">
        <v>1679</v>
      </c>
    </row>
    <row r="558" spans="1:2" x14ac:dyDescent="0.45">
      <c r="A558">
        <v>3586</v>
      </c>
      <c r="B558" t="s">
        <v>1679</v>
      </c>
    </row>
    <row r="559" spans="1:2" x14ac:dyDescent="0.45">
      <c r="A559">
        <v>3589</v>
      </c>
      <c r="B559" t="s">
        <v>1679</v>
      </c>
    </row>
    <row r="560" spans="1:2" x14ac:dyDescent="0.45">
      <c r="A560">
        <v>3590</v>
      </c>
      <c r="B560" t="s">
        <v>1679</v>
      </c>
    </row>
    <row r="561" spans="1:2" x14ac:dyDescent="0.45">
      <c r="A561">
        <v>3592</v>
      </c>
      <c r="B561" t="s">
        <v>1679</v>
      </c>
    </row>
    <row r="562" spans="1:2" x14ac:dyDescent="0.45">
      <c r="A562">
        <v>3593</v>
      </c>
      <c r="B562" t="s">
        <v>1679</v>
      </c>
    </row>
    <row r="563" spans="1:2" x14ac:dyDescent="0.45">
      <c r="A563">
        <v>3594</v>
      </c>
      <c r="B563" t="s">
        <v>1679</v>
      </c>
    </row>
    <row r="564" spans="1:2" x14ac:dyDescent="0.45">
      <c r="A564">
        <v>3596</v>
      </c>
      <c r="B564" t="s">
        <v>1679</v>
      </c>
    </row>
    <row r="565" spans="1:2" x14ac:dyDescent="0.45">
      <c r="A565">
        <v>3599</v>
      </c>
      <c r="B565" t="s">
        <v>1679</v>
      </c>
    </row>
    <row r="566" spans="1:2" x14ac:dyDescent="0.45">
      <c r="A566">
        <v>3600</v>
      </c>
      <c r="B566" t="s">
        <v>1679</v>
      </c>
    </row>
    <row r="567" spans="1:2" x14ac:dyDescent="0.45">
      <c r="A567">
        <v>3612</v>
      </c>
      <c r="B567" t="s">
        <v>1679</v>
      </c>
    </row>
    <row r="568" spans="1:2" x14ac:dyDescent="0.45">
      <c r="A568">
        <v>3613</v>
      </c>
      <c r="B568" t="s">
        <v>1679</v>
      </c>
    </row>
    <row r="569" spans="1:2" x14ac:dyDescent="0.45">
      <c r="A569">
        <v>3620</v>
      </c>
      <c r="B569" t="s">
        <v>1679</v>
      </c>
    </row>
    <row r="570" spans="1:2" x14ac:dyDescent="0.45">
      <c r="A570">
        <v>3621</v>
      </c>
      <c r="B570" t="s">
        <v>1679</v>
      </c>
    </row>
    <row r="571" spans="1:2" x14ac:dyDescent="0.45">
      <c r="A571">
        <v>3624</v>
      </c>
      <c r="B571" t="s">
        <v>1679</v>
      </c>
    </row>
    <row r="572" spans="1:2" x14ac:dyDescent="0.45">
      <c r="A572">
        <v>3625</v>
      </c>
      <c r="B572" t="s">
        <v>1679</v>
      </c>
    </row>
    <row r="573" spans="1:2" x14ac:dyDescent="0.45">
      <c r="A573">
        <v>3629</v>
      </c>
      <c r="B573" t="s">
        <v>1679</v>
      </c>
    </row>
    <row r="574" spans="1:2" x14ac:dyDescent="0.45">
      <c r="A574">
        <v>3630</v>
      </c>
      <c r="B574" t="s">
        <v>1681</v>
      </c>
    </row>
    <row r="575" spans="1:2" x14ac:dyDescent="0.45">
      <c r="A575">
        <v>3631</v>
      </c>
      <c r="B575" t="s">
        <v>1681</v>
      </c>
    </row>
    <row r="576" spans="1:2" x14ac:dyDescent="0.45">
      <c r="A576">
        <v>3632</v>
      </c>
      <c r="B576" t="s">
        <v>1681</v>
      </c>
    </row>
    <row r="577" spans="1:2" x14ac:dyDescent="0.45">
      <c r="A577">
        <v>3633</v>
      </c>
      <c r="B577" t="s">
        <v>1681</v>
      </c>
    </row>
    <row r="578" spans="1:2" x14ac:dyDescent="0.45">
      <c r="A578">
        <v>3634</v>
      </c>
      <c r="B578" t="s">
        <v>1681</v>
      </c>
    </row>
    <row r="579" spans="1:2" x14ac:dyDescent="0.45">
      <c r="A579">
        <v>3635</v>
      </c>
      <c r="B579" t="s">
        <v>1681</v>
      </c>
    </row>
    <row r="580" spans="1:2" x14ac:dyDescent="0.45">
      <c r="A580">
        <v>3639</v>
      </c>
      <c r="B580" t="s">
        <v>1681</v>
      </c>
    </row>
    <row r="581" spans="1:2" x14ac:dyDescent="0.45">
      <c r="A581">
        <v>3640</v>
      </c>
      <c r="B581" t="s">
        <v>1673</v>
      </c>
    </row>
    <row r="582" spans="1:2" x14ac:dyDescent="0.45">
      <c r="A582">
        <v>3641</v>
      </c>
      <c r="B582" t="s">
        <v>1673</v>
      </c>
    </row>
    <row r="583" spans="1:2" x14ac:dyDescent="0.45">
      <c r="A583">
        <v>3643</v>
      </c>
      <c r="B583" t="s">
        <v>1682</v>
      </c>
    </row>
    <row r="584" spans="1:2" x14ac:dyDescent="0.45">
      <c r="A584">
        <v>3644</v>
      </c>
      <c r="B584" t="s">
        <v>1682</v>
      </c>
    </row>
    <row r="585" spans="1:2" x14ac:dyDescent="0.45">
      <c r="A585">
        <v>3645</v>
      </c>
      <c r="B585" t="s">
        <v>1673</v>
      </c>
    </row>
    <row r="586" spans="1:2" x14ac:dyDescent="0.45">
      <c r="A586">
        <v>3646</v>
      </c>
      <c r="B586" t="s">
        <v>1673</v>
      </c>
    </row>
    <row r="587" spans="1:2" x14ac:dyDescent="0.45">
      <c r="A587">
        <v>3647</v>
      </c>
      <c r="B587" t="s">
        <v>1673</v>
      </c>
    </row>
    <row r="588" spans="1:2" x14ac:dyDescent="0.45">
      <c r="A588">
        <v>3648</v>
      </c>
      <c r="B588" t="s">
        <v>1673</v>
      </c>
    </row>
    <row r="589" spans="1:2" x14ac:dyDescent="0.45">
      <c r="A589">
        <v>3651</v>
      </c>
      <c r="B589" t="s">
        <v>1682</v>
      </c>
    </row>
    <row r="590" spans="1:2" x14ac:dyDescent="0.45">
      <c r="A590">
        <v>3652</v>
      </c>
      <c r="B590" t="s">
        <v>1673</v>
      </c>
    </row>
    <row r="591" spans="1:2" x14ac:dyDescent="0.45">
      <c r="A591">
        <v>3661</v>
      </c>
      <c r="B591" t="s">
        <v>1682</v>
      </c>
    </row>
    <row r="592" spans="1:2" x14ac:dyDescent="0.45">
      <c r="A592">
        <v>3663</v>
      </c>
      <c r="B592" t="s">
        <v>1682</v>
      </c>
    </row>
    <row r="593" spans="1:2" x14ac:dyDescent="0.45">
      <c r="A593">
        <v>3669</v>
      </c>
      <c r="B593" t="s">
        <v>1682</v>
      </c>
    </row>
    <row r="594" spans="1:2" x14ac:dyDescent="0.45">
      <c r="A594">
        <v>3670</v>
      </c>
      <c r="B594" t="s">
        <v>1682</v>
      </c>
    </row>
    <row r="595" spans="1:2" x14ac:dyDescent="0.45">
      <c r="A595">
        <v>3671</v>
      </c>
      <c r="B595" t="s">
        <v>1682</v>
      </c>
    </row>
    <row r="596" spans="1:2" x14ac:dyDescent="0.45">
      <c r="A596">
        <v>3672</v>
      </c>
      <c r="B596" t="s">
        <v>1682</v>
      </c>
    </row>
    <row r="597" spans="1:2" x14ac:dyDescent="0.45">
      <c r="A597">
        <v>3674</v>
      </c>
      <c r="B597" t="s">
        <v>1682</v>
      </c>
    </row>
    <row r="598" spans="1:2" x14ac:dyDescent="0.45">
      <c r="A598">
        <v>3675</v>
      </c>
      <c r="B598" t="s">
        <v>1682</v>
      </c>
    </row>
    <row r="599" spans="1:2" x14ac:dyDescent="0.45">
      <c r="A599">
        <v>3676</v>
      </c>
      <c r="B599" t="s">
        <v>1682</v>
      </c>
    </row>
    <row r="600" spans="1:2" x14ac:dyDescent="0.45">
      <c r="A600">
        <v>3677</v>
      </c>
      <c r="B600" t="s">
        <v>1682</v>
      </c>
    </row>
    <row r="601" spans="1:2" x14ac:dyDescent="0.45">
      <c r="A601">
        <v>3678</v>
      </c>
      <c r="B601" t="s">
        <v>1682</v>
      </c>
    </row>
    <row r="602" spans="1:2" x14ac:dyDescent="0.45">
      <c r="A602">
        <v>3679</v>
      </c>
      <c r="B602" t="s">
        <v>1682</v>
      </c>
    </row>
    <row r="603" spans="1:2" x14ac:dyDescent="0.45">
      <c r="A603">
        <v>3690</v>
      </c>
      <c r="B603" t="s">
        <v>1682</v>
      </c>
    </row>
    <row r="604" spans="1:2" x14ac:dyDescent="0.45">
      <c r="A604">
        <v>3691</v>
      </c>
      <c r="B604" t="s">
        <v>1682</v>
      </c>
    </row>
    <row r="605" spans="1:2" x14ac:dyDescent="0.45">
      <c r="A605">
        <v>3692</v>
      </c>
      <c r="B605" t="s">
        <v>1682</v>
      </c>
    </row>
    <row r="606" spans="1:2" x14ac:dyDescent="0.45">
      <c r="A606">
        <v>3694</v>
      </c>
      <c r="B606" t="s">
        <v>1682</v>
      </c>
    </row>
    <row r="607" spans="1:2" x14ac:dyDescent="0.45">
      <c r="A607">
        <v>3695</v>
      </c>
      <c r="B607" t="s">
        <v>1682</v>
      </c>
    </row>
    <row r="608" spans="1:2" x14ac:dyDescent="0.45">
      <c r="A608">
        <v>3699</v>
      </c>
      <c r="B608" t="s">
        <v>1682</v>
      </c>
    </row>
    <row r="609" spans="1:2" x14ac:dyDescent="0.45">
      <c r="A609">
        <v>3711</v>
      </c>
      <c r="B609" t="s">
        <v>1673</v>
      </c>
    </row>
    <row r="610" spans="1:2" x14ac:dyDescent="0.45">
      <c r="A610">
        <v>3713</v>
      </c>
      <c r="B610" t="s">
        <v>1673</v>
      </c>
    </row>
    <row r="611" spans="1:2" x14ac:dyDescent="0.45">
      <c r="A611">
        <v>3714</v>
      </c>
      <c r="B611" t="s">
        <v>1673</v>
      </c>
    </row>
    <row r="612" spans="1:2" x14ac:dyDescent="0.45">
      <c r="A612">
        <v>3715</v>
      </c>
      <c r="B612" t="s">
        <v>1673</v>
      </c>
    </row>
    <row r="613" spans="1:2" x14ac:dyDescent="0.45">
      <c r="A613">
        <v>3716</v>
      </c>
      <c r="B613" t="s">
        <v>1673</v>
      </c>
    </row>
    <row r="614" spans="1:2" x14ac:dyDescent="0.45">
      <c r="A614">
        <v>3720</v>
      </c>
      <c r="B614" t="s">
        <v>1673</v>
      </c>
    </row>
    <row r="615" spans="1:2" x14ac:dyDescent="0.45">
      <c r="A615">
        <v>3721</v>
      </c>
      <c r="B615" t="s">
        <v>1673</v>
      </c>
    </row>
    <row r="616" spans="1:2" x14ac:dyDescent="0.45">
      <c r="A616">
        <v>3724</v>
      </c>
      <c r="B616" t="s">
        <v>1673</v>
      </c>
    </row>
    <row r="617" spans="1:2" x14ac:dyDescent="0.45">
      <c r="A617">
        <v>3728</v>
      </c>
      <c r="B617" t="s">
        <v>1673</v>
      </c>
    </row>
    <row r="618" spans="1:2" x14ac:dyDescent="0.45">
      <c r="A618">
        <v>3730</v>
      </c>
      <c r="B618" t="s">
        <v>1673</v>
      </c>
    </row>
    <row r="619" spans="1:2" x14ac:dyDescent="0.45">
      <c r="A619">
        <v>3731</v>
      </c>
      <c r="B619" t="s">
        <v>1673</v>
      </c>
    </row>
    <row r="620" spans="1:2" x14ac:dyDescent="0.45">
      <c r="A620">
        <v>3732</v>
      </c>
      <c r="B620" t="s">
        <v>1673</v>
      </c>
    </row>
    <row r="621" spans="1:2" x14ac:dyDescent="0.45">
      <c r="A621">
        <v>3743</v>
      </c>
      <c r="B621" t="s">
        <v>1673</v>
      </c>
    </row>
    <row r="622" spans="1:2" x14ac:dyDescent="0.45">
      <c r="A622">
        <v>3751</v>
      </c>
      <c r="B622" t="s">
        <v>1673</v>
      </c>
    </row>
    <row r="623" spans="1:2" x14ac:dyDescent="0.45">
      <c r="A623">
        <v>3760</v>
      </c>
      <c r="B623" t="s">
        <v>1673</v>
      </c>
    </row>
    <row r="624" spans="1:2" x14ac:dyDescent="0.45">
      <c r="A624">
        <v>3761</v>
      </c>
      <c r="B624" t="s">
        <v>1673</v>
      </c>
    </row>
    <row r="625" spans="1:2" x14ac:dyDescent="0.45">
      <c r="A625">
        <v>3764</v>
      </c>
      <c r="B625" t="s">
        <v>1673</v>
      </c>
    </row>
    <row r="626" spans="1:2" x14ac:dyDescent="0.45">
      <c r="A626">
        <v>3769</v>
      </c>
      <c r="B626" t="s">
        <v>1673</v>
      </c>
    </row>
    <row r="627" spans="1:2" x14ac:dyDescent="0.45">
      <c r="A627">
        <v>3790</v>
      </c>
      <c r="B627" t="s">
        <v>1673</v>
      </c>
    </row>
    <row r="628" spans="1:2" x14ac:dyDescent="0.45">
      <c r="A628">
        <v>3792</v>
      </c>
      <c r="B628" t="s">
        <v>1673</v>
      </c>
    </row>
    <row r="629" spans="1:2" x14ac:dyDescent="0.45">
      <c r="A629">
        <v>3795</v>
      </c>
      <c r="B629" t="s">
        <v>1673</v>
      </c>
    </row>
    <row r="630" spans="1:2" x14ac:dyDescent="0.45">
      <c r="A630">
        <v>3799</v>
      </c>
      <c r="B630" t="s">
        <v>1673</v>
      </c>
    </row>
    <row r="631" spans="1:2" x14ac:dyDescent="0.45">
      <c r="A631">
        <v>3812</v>
      </c>
      <c r="B631" t="s">
        <v>1673</v>
      </c>
    </row>
    <row r="632" spans="1:2" x14ac:dyDescent="0.45">
      <c r="A632">
        <v>3821</v>
      </c>
      <c r="B632" t="s">
        <v>1673</v>
      </c>
    </row>
    <row r="633" spans="1:2" x14ac:dyDescent="0.45">
      <c r="A633">
        <v>3822</v>
      </c>
      <c r="B633" t="s">
        <v>1673</v>
      </c>
    </row>
    <row r="634" spans="1:2" x14ac:dyDescent="0.45">
      <c r="A634">
        <v>3823</v>
      </c>
      <c r="B634" t="s">
        <v>1673</v>
      </c>
    </row>
    <row r="635" spans="1:2" x14ac:dyDescent="0.45">
      <c r="A635">
        <v>3824</v>
      </c>
      <c r="B635" t="s">
        <v>1673</v>
      </c>
    </row>
    <row r="636" spans="1:2" x14ac:dyDescent="0.45">
      <c r="A636">
        <v>3825</v>
      </c>
      <c r="B636" t="s">
        <v>1673</v>
      </c>
    </row>
    <row r="637" spans="1:2" x14ac:dyDescent="0.45">
      <c r="A637">
        <v>3826</v>
      </c>
      <c r="B637" t="s">
        <v>1673</v>
      </c>
    </row>
    <row r="638" spans="1:2" x14ac:dyDescent="0.45">
      <c r="A638">
        <v>3827</v>
      </c>
      <c r="B638" t="s">
        <v>1673</v>
      </c>
    </row>
    <row r="639" spans="1:2" x14ac:dyDescent="0.45">
      <c r="A639">
        <v>3829</v>
      </c>
      <c r="B639" t="s">
        <v>1673</v>
      </c>
    </row>
    <row r="640" spans="1:2" x14ac:dyDescent="0.45">
      <c r="A640">
        <v>3841</v>
      </c>
      <c r="B640" t="s">
        <v>1673</v>
      </c>
    </row>
    <row r="641" spans="1:2" x14ac:dyDescent="0.45">
      <c r="A641">
        <v>3842</v>
      </c>
      <c r="B641" t="s">
        <v>1673</v>
      </c>
    </row>
    <row r="642" spans="1:2" x14ac:dyDescent="0.45">
      <c r="A642">
        <v>3843</v>
      </c>
      <c r="B642" t="s">
        <v>1673</v>
      </c>
    </row>
    <row r="643" spans="1:2" x14ac:dyDescent="0.45">
      <c r="A643">
        <v>3844</v>
      </c>
      <c r="B643" t="s">
        <v>1673</v>
      </c>
    </row>
    <row r="644" spans="1:2" x14ac:dyDescent="0.45">
      <c r="A644">
        <v>3845</v>
      </c>
      <c r="B644" t="s">
        <v>1673</v>
      </c>
    </row>
    <row r="645" spans="1:2" x14ac:dyDescent="0.45">
      <c r="A645">
        <v>3851</v>
      </c>
      <c r="B645" t="s">
        <v>1673</v>
      </c>
    </row>
    <row r="646" spans="1:2" x14ac:dyDescent="0.45">
      <c r="A646">
        <v>3861</v>
      </c>
      <c r="B646" t="s">
        <v>1673</v>
      </c>
    </row>
    <row r="647" spans="1:2" x14ac:dyDescent="0.45">
      <c r="A647">
        <v>3873</v>
      </c>
      <c r="B647" t="s">
        <v>1673</v>
      </c>
    </row>
    <row r="648" spans="1:2" x14ac:dyDescent="0.45">
      <c r="A648">
        <v>3910</v>
      </c>
      <c r="B648" t="s">
        <v>1673</v>
      </c>
    </row>
    <row r="649" spans="1:2" x14ac:dyDescent="0.45">
      <c r="A649">
        <v>3911</v>
      </c>
      <c r="B649" t="s">
        <v>1673</v>
      </c>
    </row>
    <row r="650" spans="1:2" x14ac:dyDescent="0.45">
      <c r="A650">
        <v>3914</v>
      </c>
      <c r="B650" t="s">
        <v>1673</v>
      </c>
    </row>
    <row r="651" spans="1:2" x14ac:dyDescent="0.45">
      <c r="A651">
        <v>3915</v>
      </c>
      <c r="B651" t="s">
        <v>1673</v>
      </c>
    </row>
    <row r="652" spans="1:2" x14ac:dyDescent="0.45">
      <c r="A652">
        <v>3931</v>
      </c>
      <c r="B652" t="s">
        <v>1673</v>
      </c>
    </row>
    <row r="653" spans="1:2" x14ac:dyDescent="0.45">
      <c r="A653">
        <v>3942</v>
      </c>
      <c r="B653" t="s">
        <v>1673</v>
      </c>
    </row>
    <row r="654" spans="1:2" x14ac:dyDescent="0.45">
      <c r="A654">
        <v>3944</v>
      </c>
      <c r="B654" t="s">
        <v>1673</v>
      </c>
    </row>
    <row r="655" spans="1:2" x14ac:dyDescent="0.45">
      <c r="A655">
        <v>3949</v>
      </c>
      <c r="B655" t="s">
        <v>1673</v>
      </c>
    </row>
    <row r="656" spans="1:2" x14ac:dyDescent="0.45">
      <c r="A656">
        <v>3950</v>
      </c>
      <c r="B656" t="s">
        <v>1673</v>
      </c>
    </row>
    <row r="657" spans="1:2" x14ac:dyDescent="0.45">
      <c r="A657">
        <v>3951</v>
      </c>
      <c r="B657" t="s">
        <v>1673</v>
      </c>
    </row>
    <row r="658" spans="1:2" x14ac:dyDescent="0.45">
      <c r="A658">
        <v>3952</v>
      </c>
      <c r="B658" t="s">
        <v>1673</v>
      </c>
    </row>
    <row r="659" spans="1:2" x14ac:dyDescent="0.45">
      <c r="A659">
        <v>3953</v>
      </c>
      <c r="B659" t="s">
        <v>1673</v>
      </c>
    </row>
    <row r="660" spans="1:2" x14ac:dyDescent="0.45">
      <c r="A660">
        <v>3955</v>
      </c>
      <c r="B660" t="s">
        <v>1673</v>
      </c>
    </row>
    <row r="661" spans="1:2" x14ac:dyDescent="0.45">
      <c r="A661">
        <v>3960</v>
      </c>
      <c r="B661" t="s">
        <v>1673</v>
      </c>
    </row>
    <row r="662" spans="1:2" x14ac:dyDescent="0.45">
      <c r="A662">
        <v>3961</v>
      </c>
      <c r="B662" t="s">
        <v>1673</v>
      </c>
    </row>
    <row r="663" spans="1:2" x14ac:dyDescent="0.45">
      <c r="A663">
        <v>3965</v>
      </c>
      <c r="B663" t="s">
        <v>1673</v>
      </c>
    </row>
    <row r="664" spans="1:2" x14ac:dyDescent="0.45">
      <c r="A664">
        <v>3990</v>
      </c>
      <c r="B664" t="s">
        <v>1673</v>
      </c>
    </row>
    <row r="665" spans="1:2" x14ac:dyDescent="0.45">
      <c r="A665">
        <v>3991</v>
      </c>
      <c r="B665" t="s">
        <v>1673</v>
      </c>
    </row>
    <row r="666" spans="1:2" x14ac:dyDescent="0.45">
      <c r="A666">
        <v>3993</v>
      </c>
      <c r="B666" t="s">
        <v>1673</v>
      </c>
    </row>
    <row r="667" spans="1:2" x14ac:dyDescent="0.45">
      <c r="A667">
        <v>3995</v>
      </c>
      <c r="B667" t="s">
        <v>1673</v>
      </c>
    </row>
    <row r="668" spans="1:2" x14ac:dyDescent="0.45">
      <c r="A668">
        <v>3996</v>
      </c>
      <c r="B668" t="s">
        <v>1673</v>
      </c>
    </row>
    <row r="669" spans="1:2" x14ac:dyDescent="0.45">
      <c r="A669">
        <v>3999</v>
      </c>
      <c r="B669" t="s">
        <v>1673</v>
      </c>
    </row>
    <row r="670" spans="1:2" x14ac:dyDescent="0.45">
      <c r="A670">
        <v>4011</v>
      </c>
      <c r="B670" t="s">
        <v>1683</v>
      </c>
    </row>
    <row r="671" spans="1:2" x14ac:dyDescent="0.45">
      <c r="A671">
        <v>4013</v>
      </c>
      <c r="B671" t="s">
        <v>1683</v>
      </c>
    </row>
    <row r="672" spans="1:2" x14ac:dyDescent="0.45">
      <c r="A672">
        <v>4100</v>
      </c>
      <c r="B672" t="s">
        <v>1683</v>
      </c>
    </row>
    <row r="673" spans="1:2" x14ac:dyDescent="0.45">
      <c r="A673">
        <v>4111</v>
      </c>
      <c r="B673" t="s">
        <v>1683</v>
      </c>
    </row>
    <row r="674" spans="1:2" x14ac:dyDescent="0.45">
      <c r="A674">
        <v>4119</v>
      </c>
      <c r="B674" t="s">
        <v>1683</v>
      </c>
    </row>
    <row r="675" spans="1:2" x14ac:dyDescent="0.45">
      <c r="A675">
        <v>4121</v>
      </c>
      <c r="B675" t="s">
        <v>1683</v>
      </c>
    </row>
    <row r="676" spans="1:2" x14ac:dyDescent="0.45">
      <c r="A676">
        <v>4131</v>
      </c>
      <c r="B676" t="s">
        <v>1683</v>
      </c>
    </row>
    <row r="677" spans="1:2" x14ac:dyDescent="0.45">
      <c r="A677">
        <v>4141</v>
      </c>
      <c r="B677" t="s">
        <v>1683</v>
      </c>
    </row>
    <row r="678" spans="1:2" x14ac:dyDescent="0.45">
      <c r="A678">
        <v>4142</v>
      </c>
      <c r="B678" t="s">
        <v>1683</v>
      </c>
    </row>
    <row r="679" spans="1:2" x14ac:dyDescent="0.45">
      <c r="A679">
        <v>4151</v>
      </c>
      <c r="B679" t="s">
        <v>1683</v>
      </c>
    </row>
    <row r="680" spans="1:2" x14ac:dyDescent="0.45">
      <c r="A680">
        <v>4173</v>
      </c>
      <c r="B680" t="s">
        <v>1683</v>
      </c>
    </row>
    <row r="681" spans="1:2" x14ac:dyDescent="0.45">
      <c r="A681">
        <v>4210</v>
      </c>
      <c r="B681" t="s">
        <v>1684</v>
      </c>
    </row>
    <row r="682" spans="1:2" x14ac:dyDescent="0.45">
      <c r="A682">
        <v>4212</v>
      </c>
      <c r="B682" t="s">
        <v>1684</v>
      </c>
    </row>
    <row r="683" spans="1:2" x14ac:dyDescent="0.45">
      <c r="A683">
        <v>4213</v>
      </c>
      <c r="B683" t="s">
        <v>1684</v>
      </c>
    </row>
    <row r="684" spans="1:2" x14ac:dyDescent="0.45">
      <c r="A684">
        <v>4214</v>
      </c>
      <c r="B684" t="s">
        <v>1684</v>
      </c>
    </row>
    <row r="685" spans="1:2" x14ac:dyDescent="0.45">
      <c r="A685">
        <v>4215</v>
      </c>
      <c r="B685" t="s">
        <v>1683</v>
      </c>
    </row>
    <row r="686" spans="1:2" x14ac:dyDescent="0.45">
      <c r="A686">
        <v>4220</v>
      </c>
      <c r="B686" t="s">
        <v>1665</v>
      </c>
    </row>
    <row r="687" spans="1:2" x14ac:dyDescent="0.45">
      <c r="A687">
        <v>4221</v>
      </c>
      <c r="B687" t="s">
        <v>1665</v>
      </c>
    </row>
    <row r="688" spans="1:2" x14ac:dyDescent="0.45">
      <c r="A688">
        <v>4222</v>
      </c>
      <c r="B688" t="s">
        <v>1665</v>
      </c>
    </row>
    <row r="689" spans="1:2" x14ac:dyDescent="0.45">
      <c r="A689">
        <v>4225</v>
      </c>
      <c r="B689" t="s">
        <v>1665</v>
      </c>
    </row>
    <row r="690" spans="1:2" x14ac:dyDescent="0.45">
      <c r="A690">
        <v>4226</v>
      </c>
      <c r="B690" t="s">
        <v>1665</v>
      </c>
    </row>
    <row r="691" spans="1:2" x14ac:dyDescent="0.45">
      <c r="A691">
        <v>4231</v>
      </c>
      <c r="B691" t="s">
        <v>1684</v>
      </c>
    </row>
    <row r="692" spans="1:2" x14ac:dyDescent="0.45">
      <c r="A692">
        <v>4311</v>
      </c>
      <c r="B692" t="s">
        <v>1683</v>
      </c>
    </row>
    <row r="693" spans="1:2" x14ac:dyDescent="0.45">
      <c r="A693">
        <v>4400</v>
      </c>
      <c r="B693" t="s">
        <v>1683</v>
      </c>
    </row>
    <row r="694" spans="1:2" x14ac:dyDescent="0.45">
      <c r="A694">
        <v>4412</v>
      </c>
      <c r="B694" t="s">
        <v>1683</v>
      </c>
    </row>
    <row r="695" spans="1:2" x14ac:dyDescent="0.45">
      <c r="A695">
        <v>4424</v>
      </c>
      <c r="B695" t="s">
        <v>1683</v>
      </c>
    </row>
    <row r="696" spans="1:2" x14ac:dyDescent="0.45">
      <c r="A696">
        <v>4432</v>
      </c>
      <c r="B696" t="s">
        <v>1683</v>
      </c>
    </row>
    <row r="697" spans="1:2" x14ac:dyDescent="0.45">
      <c r="A697">
        <v>4449</v>
      </c>
      <c r="B697" t="s">
        <v>1683</v>
      </c>
    </row>
    <row r="698" spans="1:2" x14ac:dyDescent="0.45">
      <c r="A698">
        <v>4481</v>
      </c>
      <c r="B698" t="s">
        <v>1683</v>
      </c>
    </row>
    <row r="699" spans="1:2" x14ac:dyDescent="0.45">
      <c r="A699">
        <v>4482</v>
      </c>
      <c r="B699" t="s">
        <v>1683</v>
      </c>
    </row>
    <row r="700" spans="1:2" x14ac:dyDescent="0.45">
      <c r="A700">
        <v>4489</v>
      </c>
      <c r="B700" t="s">
        <v>1683</v>
      </c>
    </row>
    <row r="701" spans="1:2" x14ac:dyDescent="0.45">
      <c r="A701">
        <v>4491</v>
      </c>
      <c r="B701" t="s">
        <v>1683</v>
      </c>
    </row>
    <row r="702" spans="1:2" x14ac:dyDescent="0.45">
      <c r="A702">
        <v>4492</v>
      </c>
      <c r="B702" t="s">
        <v>1683</v>
      </c>
    </row>
    <row r="703" spans="1:2" x14ac:dyDescent="0.45">
      <c r="A703">
        <v>4493</v>
      </c>
      <c r="B703" t="s">
        <v>1683</v>
      </c>
    </row>
    <row r="704" spans="1:2" x14ac:dyDescent="0.45">
      <c r="A704">
        <v>4499</v>
      </c>
      <c r="B704" t="s">
        <v>1683</v>
      </c>
    </row>
    <row r="705" spans="1:2" x14ac:dyDescent="0.45">
      <c r="A705">
        <v>4512</v>
      </c>
      <c r="B705" t="s">
        <v>1685</v>
      </c>
    </row>
    <row r="706" spans="1:2" x14ac:dyDescent="0.45">
      <c r="A706">
        <v>4513</v>
      </c>
      <c r="B706" t="s">
        <v>1685</v>
      </c>
    </row>
    <row r="707" spans="1:2" x14ac:dyDescent="0.45">
      <c r="A707">
        <v>4522</v>
      </c>
      <c r="B707" t="s">
        <v>1685</v>
      </c>
    </row>
    <row r="708" spans="1:2" x14ac:dyDescent="0.45">
      <c r="A708">
        <v>4581</v>
      </c>
      <c r="B708" t="s">
        <v>1685</v>
      </c>
    </row>
    <row r="709" spans="1:2" x14ac:dyDescent="0.45">
      <c r="A709">
        <v>4610</v>
      </c>
      <c r="B709" t="s">
        <v>1668</v>
      </c>
    </row>
    <row r="710" spans="1:2" x14ac:dyDescent="0.45">
      <c r="A710">
        <v>4612</v>
      </c>
      <c r="B710" t="s">
        <v>1668</v>
      </c>
    </row>
    <row r="711" spans="1:2" x14ac:dyDescent="0.45">
      <c r="A711">
        <v>4613</v>
      </c>
      <c r="B711" t="s">
        <v>1668</v>
      </c>
    </row>
    <row r="712" spans="1:2" x14ac:dyDescent="0.45">
      <c r="A712">
        <v>4619</v>
      </c>
      <c r="B712" t="s">
        <v>1668</v>
      </c>
    </row>
    <row r="713" spans="1:2" x14ac:dyDescent="0.45">
      <c r="A713">
        <v>4700</v>
      </c>
      <c r="B713" t="s">
        <v>1665</v>
      </c>
    </row>
    <row r="714" spans="1:2" x14ac:dyDescent="0.45">
      <c r="A714">
        <v>4724</v>
      </c>
      <c r="B714" t="s">
        <v>1665</v>
      </c>
    </row>
    <row r="715" spans="1:2" x14ac:dyDescent="0.45">
      <c r="A715">
        <v>4725</v>
      </c>
      <c r="B715" t="s">
        <v>1665</v>
      </c>
    </row>
    <row r="716" spans="1:2" x14ac:dyDescent="0.45">
      <c r="A716">
        <v>4729</v>
      </c>
      <c r="B716" t="s">
        <v>1683</v>
      </c>
    </row>
    <row r="717" spans="1:2" x14ac:dyDescent="0.45">
      <c r="A717">
        <v>4731</v>
      </c>
      <c r="B717" t="s">
        <v>1683</v>
      </c>
    </row>
    <row r="718" spans="1:2" x14ac:dyDescent="0.45">
      <c r="A718">
        <v>4741</v>
      </c>
      <c r="B718" t="s">
        <v>1665</v>
      </c>
    </row>
    <row r="719" spans="1:2" x14ac:dyDescent="0.45">
      <c r="A719">
        <v>4783</v>
      </c>
      <c r="B719" t="s">
        <v>1665</v>
      </c>
    </row>
    <row r="720" spans="1:2" x14ac:dyDescent="0.45">
      <c r="A720">
        <v>4785</v>
      </c>
      <c r="B720" t="s">
        <v>1665</v>
      </c>
    </row>
    <row r="721" spans="1:2" x14ac:dyDescent="0.45">
      <c r="A721">
        <v>4789</v>
      </c>
      <c r="B721" t="s">
        <v>1683</v>
      </c>
    </row>
    <row r="722" spans="1:2" x14ac:dyDescent="0.45">
      <c r="A722">
        <v>4812</v>
      </c>
      <c r="B722" t="s">
        <v>1686</v>
      </c>
    </row>
    <row r="723" spans="1:2" x14ac:dyDescent="0.45">
      <c r="A723">
        <v>4813</v>
      </c>
      <c r="B723" t="s">
        <v>1686</v>
      </c>
    </row>
    <row r="724" spans="1:2" x14ac:dyDescent="0.45">
      <c r="A724">
        <v>4822</v>
      </c>
      <c r="B724" t="s">
        <v>1686</v>
      </c>
    </row>
    <row r="725" spans="1:2" x14ac:dyDescent="0.45">
      <c r="A725">
        <v>4832</v>
      </c>
      <c r="B725" t="s">
        <v>1686</v>
      </c>
    </row>
    <row r="726" spans="1:2" x14ac:dyDescent="0.45">
      <c r="A726">
        <v>4833</v>
      </c>
      <c r="B726" t="s">
        <v>1686</v>
      </c>
    </row>
    <row r="727" spans="1:2" x14ac:dyDescent="0.45">
      <c r="A727">
        <v>4841</v>
      </c>
      <c r="B727" t="s">
        <v>1686</v>
      </c>
    </row>
    <row r="728" spans="1:2" x14ac:dyDescent="0.45">
      <c r="A728">
        <v>4899</v>
      </c>
      <c r="B728" t="s">
        <v>1686</v>
      </c>
    </row>
    <row r="729" spans="1:2" x14ac:dyDescent="0.45">
      <c r="A729">
        <v>4911</v>
      </c>
      <c r="B729" t="s">
        <v>1687</v>
      </c>
    </row>
    <row r="730" spans="1:2" x14ac:dyDescent="0.45">
      <c r="A730">
        <v>4922</v>
      </c>
      <c r="B730" t="s">
        <v>1668</v>
      </c>
    </row>
    <row r="731" spans="1:2" x14ac:dyDescent="0.45">
      <c r="A731">
        <v>4923</v>
      </c>
      <c r="B731" t="s">
        <v>1668</v>
      </c>
    </row>
    <row r="732" spans="1:2" x14ac:dyDescent="0.45">
      <c r="A732">
        <v>4924</v>
      </c>
      <c r="B732" t="s">
        <v>1668</v>
      </c>
    </row>
    <row r="733" spans="1:2" x14ac:dyDescent="0.45">
      <c r="A733">
        <v>4925</v>
      </c>
      <c r="B733" t="s">
        <v>1668</v>
      </c>
    </row>
    <row r="734" spans="1:2" x14ac:dyDescent="0.45">
      <c r="A734">
        <v>4931</v>
      </c>
      <c r="B734" t="s">
        <v>1687</v>
      </c>
    </row>
    <row r="735" spans="1:2" x14ac:dyDescent="0.45">
      <c r="A735">
        <v>4932</v>
      </c>
      <c r="B735" t="s">
        <v>1687</v>
      </c>
    </row>
    <row r="736" spans="1:2" x14ac:dyDescent="0.45">
      <c r="A736">
        <v>4939</v>
      </c>
      <c r="B736" t="s">
        <v>1687</v>
      </c>
    </row>
    <row r="737" spans="1:2" x14ac:dyDescent="0.45">
      <c r="A737">
        <v>4941</v>
      </c>
      <c r="B737" t="s">
        <v>1687</v>
      </c>
    </row>
    <row r="738" spans="1:2" x14ac:dyDescent="0.45">
      <c r="A738">
        <v>4950</v>
      </c>
      <c r="B738" t="s">
        <v>1687</v>
      </c>
    </row>
    <row r="739" spans="1:2" x14ac:dyDescent="0.45">
      <c r="A739">
        <v>4952</v>
      </c>
      <c r="B739" t="s">
        <v>1687</v>
      </c>
    </row>
    <row r="740" spans="1:2" x14ac:dyDescent="0.45">
      <c r="A740">
        <v>4953</v>
      </c>
      <c r="B740" t="s">
        <v>1687</v>
      </c>
    </row>
    <row r="741" spans="1:2" x14ac:dyDescent="0.45">
      <c r="A741">
        <v>4955</v>
      </c>
      <c r="B741" t="s">
        <v>1687</v>
      </c>
    </row>
    <row r="742" spans="1:2" x14ac:dyDescent="0.45">
      <c r="A742">
        <v>4959</v>
      </c>
      <c r="B742" t="s">
        <v>1687</v>
      </c>
    </row>
    <row r="743" spans="1:2" x14ac:dyDescent="0.45">
      <c r="A743">
        <v>4961</v>
      </c>
      <c r="B743" t="s">
        <v>1687</v>
      </c>
    </row>
    <row r="744" spans="1:2" x14ac:dyDescent="0.45">
      <c r="A744">
        <v>4971</v>
      </c>
      <c r="B744" t="s">
        <v>1687</v>
      </c>
    </row>
    <row r="745" spans="1:2" x14ac:dyDescent="0.45">
      <c r="A745">
        <v>4991</v>
      </c>
      <c r="B745" t="s">
        <v>1687</v>
      </c>
    </row>
    <row r="746" spans="1:2" x14ac:dyDescent="0.45">
      <c r="A746">
        <v>5000</v>
      </c>
      <c r="B746" t="s">
        <v>1687</v>
      </c>
    </row>
    <row r="747" spans="1:2" x14ac:dyDescent="0.45">
      <c r="A747">
        <v>5010</v>
      </c>
      <c r="B747" t="s">
        <v>1673</v>
      </c>
    </row>
    <row r="748" spans="1:2" x14ac:dyDescent="0.45">
      <c r="A748">
        <v>5012</v>
      </c>
      <c r="B748" t="s">
        <v>1673</v>
      </c>
    </row>
    <row r="749" spans="1:2" x14ac:dyDescent="0.45">
      <c r="A749">
        <v>5013</v>
      </c>
      <c r="B749" t="s">
        <v>1673</v>
      </c>
    </row>
    <row r="750" spans="1:2" x14ac:dyDescent="0.45">
      <c r="A750">
        <v>5014</v>
      </c>
      <c r="B750" t="s">
        <v>1673</v>
      </c>
    </row>
    <row r="751" spans="1:2" x14ac:dyDescent="0.45">
      <c r="A751">
        <v>5015</v>
      </c>
      <c r="B751" t="s">
        <v>1673</v>
      </c>
    </row>
    <row r="752" spans="1:2" x14ac:dyDescent="0.45">
      <c r="A752">
        <v>5020</v>
      </c>
      <c r="B752" t="s">
        <v>1674</v>
      </c>
    </row>
    <row r="753" spans="1:2" x14ac:dyDescent="0.45">
      <c r="A753">
        <v>5021</v>
      </c>
      <c r="B753" t="s">
        <v>1674</v>
      </c>
    </row>
    <row r="754" spans="1:2" x14ac:dyDescent="0.45">
      <c r="A754">
        <v>5023</v>
      </c>
      <c r="B754" t="s">
        <v>1674</v>
      </c>
    </row>
    <row r="755" spans="1:2" x14ac:dyDescent="0.45">
      <c r="A755">
        <v>5030</v>
      </c>
      <c r="B755" t="s">
        <v>1667</v>
      </c>
    </row>
    <row r="756" spans="1:2" x14ac:dyDescent="0.45">
      <c r="A756">
        <v>5031</v>
      </c>
      <c r="B756" t="s">
        <v>1667</v>
      </c>
    </row>
    <row r="757" spans="1:2" x14ac:dyDescent="0.45">
      <c r="A757">
        <v>5032</v>
      </c>
      <c r="B757" t="s">
        <v>1667</v>
      </c>
    </row>
    <row r="758" spans="1:2" x14ac:dyDescent="0.45">
      <c r="A758">
        <v>5033</v>
      </c>
      <c r="B758" t="s">
        <v>1667</v>
      </c>
    </row>
    <row r="759" spans="1:2" x14ac:dyDescent="0.45">
      <c r="A759">
        <v>5039</v>
      </c>
      <c r="B759" t="s">
        <v>1667</v>
      </c>
    </row>
    <row r="760" spans="1:2" x14ac:dyDescent="0.45">
      <c r="A760">
        <v>5040</v>
      </c>
      <c r="B760" t="s">
        <v>1667</v>
      </c>
    </row>
    <row r="761" spans="1:2" x14ac:dyDescent="0.45">
      <c r="A761">
        <v>5043</v>
      </c>
      <c r="B761" t="s">
        <v>1681</v>
      </c>
    </row>
    <row r="762" spans="1:2" x14ac:dyDescent="0.45">
      <c r="A762">
        <v>5044</v>
      </c>
      <c r="B762" t="s">
        <v>1681</v>
      </c>
    </row>
    <row r="763" spans="1:2" x14ac:dyDescent="0.45">
      <c r="A763">
        <v>5045</v>
      </c>
      <c r="B763" t="s">
        <v>1680</v>
      </c>
    </row>
    <row r="764" spans="1:2" x14ac:dyDescent="0.45">
      <c r="A764">
        <v>5046</v>
      </c>
      <c r="B764" t="s">
        <v>1681</v>
      </c>
    </row>
    <row r="765" spans="1:2" x14ac:dyDescent="0.45">
      <c r="A765">
        <v>5047</v>
      </c>
      <c r="B765" t="s">
        <v>1681</v>
      </c>
    </row>
    <row r="766" spans="1:2" x14ac:dyDescent="0.45">
      <c r="A766">
        <v>5048</v>
      </c>
      <c r="B766" t="s">
        <v>1673</v>
      </c>
    </row>
    <row r="767" spans="1:2" x14ac:dyDescent="0.45">
      <c r="A767">
        <v>5049</v>
      </c>
      <c r="B767" t="s">
        <v>1681</v>
      </c>
    </row>
    <row r="768" spans="1:2" x14ac:dyDescent="0.45">
      <c r="A768">
        <v>5051</v>
      </c>
      <c r="B768" t="s">
        <v>1673</v>
      </c>
    </row>
    <row r="769" spans="1:2" x14ac:dyDescent="0.45">
      <c r="A769">
        <v>5052</v>
      </c>
      <c r="B769" t="s">
        <v>1673</v>
      </c>
    </row>
    <row r="770" spans="1:2" x14ac:dyDescent="0.45">
      <c r="A770">
        <v>5063</v>
      </c>
      <c r="B770" t="s">
        <v>1673</v>
      </c>
    </row>
    <row r="771" spans="1:2" x14ac:dyDescent="0.45">
      <c r="A771">
        <v>5064</v>
      </c>
      <c r="B771" t="s">
        <v>1682</v>
      </c>
    </row>
    <row r="772" spans="1:2" x14ac:dyDescent="0.45">
      <c r="A772">
        <v>5065</v>
      </c>
      <c r="B772" t="s">
        <v>1682</v>
      </c>
    </row>
    <row r="773" spans="1:2" x14ac:dyDescent="0.45">
      <c r="A773">
        <v>5070</v>
      </c>
      <c r="B773" t="s">
        <v>1673</v>
      </c>
    </row>
    <row r="774" spans="1:2" x14ac:dyDescent="0.45">
      <c r="A774">
        <v>5072</v>
      </c>
      <c r="B774" t="s">
        <v>1673</v>
      </c>
    </row>
    <row r="775" spans="1:2" x14ac:dyDescent="0.45">
      <c r="A775">
        <v>5074</v>
      </c>
      <c r="B775" t="s">
        <v>1673</v>
      </c>
    </row>
    <row r="776" spans="1:2" x14ac:dyDescent="0.45">
      <c r="A776">
        <v>5075</v>
      </c>
      <c r="B776" t="s">
        <v>1673</v>
      </c>
    </row>
    <row r="777" spans="1:2" x14ac:dyDescent="0.45">
      <c r="A777">
        <v>5078</v>
      </c>
      <c r="B777" t="s">
        <v>1673</v>
      </c>
    </row>
    <row r="778" spans="1:2" x14ac:dyDescent="0.45">
      <c r="A778">
        <v>5080</v>
      </c>
      <c r="B778" t="s">
        <v>1673</v>
      </c>
    </row>
    <row r="779" spans="1:2" x14ac:dyDescent="0.45">
      <c r="A779">
        <v>5082</v>
      </c>
      <c r="B779" t="s">
        <v>1679</v>
      </c>
    </row>
    <row r="780" spans="1:2" x14ac:dyDescent="0.45">
      <c r="A780">
        <v>5083</v>
      </c>
      <c r="B780" t="s">
        <v>1679</v>
      </c>
    </row>
    <row r="781" spans="1:2" x14ac:dyDescent="0.45">
      <c r="A781">
        <v>5084</v>
      </c>
      <c r="B781" t="s">
        <v>1679</v>
      </c>
    </row>
    <row r="782" spans="1:2" x14ac:dyDescent="0.45">
      <c r="A782">
        <v>5085</v>
      </c>
      <c r="B782" t="s">
        <v>1679</v>
      </c>
    </row>
    <row r="783" spans="1:2" x14ac:dyDescent="0.45">
      <c r="A783">
        <v>5087</v>
      </c>
      <c r="B783" t="s">
        <v>1673</v>
      </c>
    </row>
    <row r="784" spans="1:2" x14ac:dyDescent="0.45">
      <c r="A784">
        <v>5088</v>
      </c>
      <c r="B784" t="s">
        <v>1683</v>
      </c>
    </row>
    <row r="785" spans="1:2" x14ac:dyDescent="0.45">
      <c r="A785">
        <v>5090</v>
      </c>
      <c r="B785" t="s">
        <v>1673</v>
      </c>
    </row>
    <row r="786" spans="1:2" x14ac:dyDescent="0.45">
      <c r="A786">
        <v>5091</v>
      </c>
      <c r="B786" t="s">
        <v>1673</v>
      </c>
    </row>
    <row r="787" spans="1:2" x14ac:dyDescent="0.45">
      <c r="A787">
        <v>5092</v>
      </c>
      <c r="B787" t="s">
        <v>1673</v>
      </c>
    </row>
    <row r="788" spans="1:2" x14ac:dyDescent="0.45">
      <c r="A788">
        <v>5093</v>
      </c>
      <c r="B788" t="s">
        <v>1673</v>
      </c>
    </row>
    <row r="789" spans="1:2" x14ac:dyDescent="0.45">
      <c r="A789">
        <v>5094</v>
      </c>
      <c r="B789" t="s">
        <v>1673</v>
      </c>
    </row>
    <row r="790" spans="1:2" x14ac:dyDescent="0.45">
      <c r="A790">
        <v>5099</v>
      </c>
      <c r="B790" t="s">
        <v>1673</v>
      </c>
    </row>
    <row r="791" spans="1:2" x14ac:dyDescent="0.45">
      <c r="A791">
        <v>5110</v>
      </c>
      <c r="B791" t="s">
        <v>1676</v>
      </c>
    </row>
    <row r="792" spans="1:2" x14ac:dyDescent="0.45">
      <c r="A792">
        <v>5111</v>
      </c>
      <c r="B792" t="s">
        <v>1676</v>
      </c>
    </row>
    <row r="793" spans="1:2" x14ac:dyDescent="0.45">
      <c r="A793">
        <v>5112</v>
      </c>
      <c r="B793" t="s">
        <v>1675</v>
      </c>
    </row>
    <row r="794" spans="1:2" x14ac:dyDescent="0.45">
      <c r="A794">
        <v>5113</v>
      </c>
      <c r="B794" t="s">
        <v>1675</v>
      </c>
    </row>
    <row r="795" spans="1:2" x14ac:dyDescent="0.45">
      <c r="A795">
        <v>5122</v>
      </c>
      <c r="B795" t="s">
        <v>1678</v>
      </c>
    </row>
    <row r="796" spans="1:2" x14ac:dyDescent="0.45">
      <c r="A796">
        <v>5130</v>
      </c>
      <c r="B796" t="s">
        <v>1672</v>
      </c>
    </row>
    <row r="797" spans="1:2" x14ac:dyDescent="0.45">
      <c r="A797">
        <v>5131</v>
      </c>
      <c r="B797" t="s">
        <v>1672</v>
      </c>
    </row>
    <row r="798" spans="1:2" x14ac:dyDescent="0.45">
      <c r="A798">
        <v>5136</v>
      </c>
      <c r="B798" t="s">
        <v>1672</v>
      </c>
    </row>
    <row r="799" spans="1:2" x14ac:dyDescent="0.45">
      <c r="A799">
        <v>5137</v>
      </c>
      <c r="B799" t="s">
        <v>1672</v>
      </c>
    </row>
    <row r="800" spans="1:2" x14ac:dyDescent="0.45">
      <c r="A800">
        <v>5139</v>
      </c>
      <c r="B800" t="s">
        <v>1672</v>
      </c>
    </row>
    <row r="801" spans="1:2" x14ac:dyDescent="0.45">
      <c r="A801">
        <v>5140</v>
      </c>
      <c r="B801" t="s">
        <v>1664</v>
      </c>
    </row>
    <row r="802" spans="1:2" x14ac:dyDescent="0.45">
      <c r="A802">
        <v>5141</v>
      </c>
      <c r="B802" t="s">
        <v>1664</v>
      </c>
    </row>
    <row r="803" spans="1:2" x14ac:dyDescent="0.45">
      <c r="A803">
        <v>5142</v>
      </c>
      <c r="B803" t="s">
        <v>1664</v>
      </c>
    </row>
    <row r="804" spans="1:2" x14ac:dyDescent="0.45">
      <c r="A804">
        <v>5143</v>
      </c>
      <c r="B804" t="s">
        <v>1664</v>
      </c>
    </row>
    <row r="805" spans="1:2" x14ac:dyDescent="0.45">
      <c r="A805">
        <v>5144</v>
      </c>
      <c r="B805" t="s">
        <v>1664</v>
      </c>
    </row>
    <row r="806" spans="1:2" x14ac:dyDescent="0.45">
      <c r="A806">
        <v>5145</v>
      </c>
      <c r="B806" t="s">
        <v>1664</v>
      </c>
    </row>
    <row r="807" spans="1:2" x14ac:dyDescent="0.45">
      <c r="A807">
        <v>5146</v>
      </c>
      <c r="B807" t="s">
        <v>1664</v>
      </c>
    </row>
    <row r="808" spans="1:2" x14ac:dyDescent="0.45">
      <c r="A808">
        <v>5147</v>
      </c>
      <c r="B808" t="s">
        <v>1664</v>
      </c>
    </row>
    <row r="809" spans="1:2" x14ac:dyDescent="0.45">
      <c r="A809">
        <v>5148</v>
      </c>
      <c r="B809" t="s">
        <v>1664</v>
      </c>
    </row>
    <row r="810" spans="1:2" x14ac:dyDescent="0.45">
      <c r="A810">
        <v>5149</v>
      </c>
      <c r="B810" t="s">
        <v>1664</v>
      </c>
    </row>
    <row r="811" spans="1:2" x14ac:dyDescent="0.45">
      <c r="A811">
        <v>5150</v>
      </c>
      <c r="B811" t="s">
        <v>1664</v>
      </c>
    </row>
    <row r="812" spans="1:2" x14ac:dyDescent="0.45">
      <c r="A812">
        <v>5153</v>
      </c>
      <c r="B812" t="s">
        <v>1664</v>
      </c>
    </row>
    <row r="813" spans="1:2" x14ac:dyDescent="0.45">
      <c r="A813">
        <v>5154</v>
      </c>
      <c r="B813" t="s">
        <v>1664</v>
      </c>
    </row>
    <row r="814" spans="1:2" x14ac:dyDescent="0.45">
      <c r="A814">
        <v>5159</v>
      </c>
      <c r="B814" t="s">
        <v>1665</v>
      </c>
    </row>
    <row r="815" spans="1:2" x14ac:dyDescent="0.45">
      <c r="A815">
        <v>5160</v>
      </c>
      <c r="B815" t="s">
        <v>1665</v>
      </c>
    </row>
    <row r="816" spans="1:2" x14ac:dyDescent="0.45">
      <c r="A816">
        <v>5162</v>
      </c>
      <c r="B816" t="s">
        <v>1673</v>
      </c>
    </row>
    <row r="817" spans="1:2" x14ac:dyDescent="0.45">
      <c r="A817">
        <v>5169</v>
      </c>
      <c r="B817" t="s">
        <v>1677</v>
      </c>
    </row>
    <row r="818" spans="1:2" x14ac:dyDescent="0.45">
      <c r="A818">
        <v>5171</v>
      </c>
      <c r="B818" t="s">
        <v>1668</v>
      </c>
    </row>
    <row r="819" spans="1:2" x14ac:dyDescent="0.45">
      <c r="A819">
        <v>5172</v>
      </c>
      <c r="B819" t="s">
        <v>1668</v>
      </c>
    </row>
    <row r="820" spans="1:2" x14ac:dyDescent="0.45">
      <c r="A820">
        <v>5180</v>
      </c>
      <c r="B820" t="s">
        <v>1669</v>
      </c>
    </row>
    <row r="821" spans="1:2" x14ac:dyDescent="0.45">
      <c r="A821">
        <v>5181</v>
      </c>
      <c r="B821" t="s">
        <v>1669</v>
      </c>
    </row>
    <row r="822" spans="1:2" x14ac:dyDescent="0.45">
      <c r="A822">
        <v>5182</v>
      </c>
      <c r="B822" t="s">
        <v>1669</v>
      </c>
    </row>
    <row r="823" spans="1:2" x14ac:dyDescent="0.45">
      <c r="A823">
        <v>5190</v>
      </c>
      <c r="B823" t="s">
        <v>1665</v>
      </c>
    </row>
    <row r="824" spans="1:2" x14ac:dyDescent="0.45">
      <c r="A824">
        <v>5191</v>
      </c>
      <c r="B824" t="s">
        <v>1665</v>
      </c>
    </row>
    <row r="825" spans="1:2" x14ac:dyDescent="0.45">
      <c r="A825">
        <v>5192</v>
      </c>
      <c r="B825" t="s">
        <v>1676</v>
      </c>
    </row>
    <row r="826" spans="1:2" x14ac:dyDescent="0.45">
      <c r="A826">
        <v>5193</v>
      </c>
      <c r="B826" t="s">
        <v>1665</v>
      </c>
    </row>
    <row r="827" spans="1:2" x14ac:dyDescent="0.45">
      <c r="A827">
        <v>5194</v>
      </c>
      <c r="B827" t="s">
        <v>1670</v>
      </c>
    </row>
    <row r="828" spans="1:2" x14ac:dyDescent="0.45">
      <c r="A828">
        <v>5198</v>
      </c>
      <c r="B828" t="s">
        <v>1665</v>
      </c>
    </row>
    <row r="829" spans="1:2" x14ac:dyDescent="0.45">
      <c r="A829">
        <v>5199</v>
      </c>
      <c r="B829" t="s">
        <v>1665</v>
      </c>
    </row>
    <row r="830" spans="1:2" x14ac:dyDescent="0.45">
      <c r="A830">
        <v>5200</v>
      </c>
      <c r="B830" t="s">
        <v>1665</v>
      </c>
    </row>
    <row r="831" spans="1:2" x14ac:dyDescent="0.45">
      <c r="A831">
        <v>5211</v>
      </c>
      <c r="B831" t="s">
        <v>1667</v>
      </c>
    </row>
    <row r="832" spans="1:2" x14ac:dyDescent="0.45">
      <c r="A832">
        <v>5231</v>
      </c>
      <c r="B832" t="s">
        <v>1665</v>
      </c>
    </row>
    <row r="833" spans="1:2" x14ac:dyDescent="0.45">
      <c r="A833">
        <v>5251</v>
      </c>
      <c r="B833" t="s">
        <v>1665</v>
      </c>
    </row>
    <row r="834" spans="1:2" x14ac:dyDescent="0.45">
      <c r="A834">
        <v>5261</v>
      </c>
      <c r="B834" t="s">
        <v>1688</v>
      </c>
    </row>
    <row r="835" spans="1:2" x14ac:dyDescent="0.45">
      <c r="A835">
        <v>5271</v>
      </c>
      <c r="B835" t="s">
        <v>1688</v>
      </c>
    </row>
    <row r="836" spans="1:2" x14ac:dyDescent="0.45">
      <c r="A836">
        <v>5311</v>
      </c>
      <c r="B836" t="s">
        <v>1689</v>
      </c>
    </row>
    <row r="837" spans="1:2" x14ac:dyDescent="0.45">
      <c r="A837">
        <v>5331</v>
      </c>
      <c r="B837" t="s">
        <v>1688</v>
      </c>
    </row>
    <row r="838" spans="1:2" x14ac:dyDescent="0.45">
      <c r="A838">
        <v>5399</v>
      </c>
      <c r="B838" t="s">
        <v>1688</v>
      </c>
    </row>
    <row r="839" spans="1:2" x14ac:dyDescent="0.45">
      <c r="A839">
        <v>5400</v>
      </c>
      <c r="B839" t="s">
        <v>1688</v>
      </c>
    </row>
    <row r="840" spans="1:2" x14ac:dyDescent="0.45">
      <c r="A840">
        <v>5411</v>
      </c>
      <c r="B840" t="s">
        <v>1688</v>
      </c>
    </row>
    <row r="841" spans="1:2" x14ac:dyDescent="0.45">
      <c r="A841">
        <v>5412</v>
      </c>
      <c r="B841" t="s">
        <v>1688</v>
      </c>
    </row>
    <row r="842" spans="1:2" x14ac:dyDescent="0.45">
      <c r="A842">
        <v>5421</v>
      </c>
      <c r="B842" t="s">
        <v>1688</v>
      </c>
    </row>
    <row r="843" spans="1:2" x14ac:dyDescent="0.45">
      <c r="A843">
        <v>5431</v>
      </c>
      <c r="B843" t="s">
        <v>1688</v>
      </c>
    </row>
    <row r="844" spans="1:2" x14ac:dyDescent="0.45">
      <c r="A844">
        <v>5441</v>
      </c>
      <c r="B844" t="s">
        <v>1688</v>
      </c>
    </row>
    <row r="845" spans="1:2" x14ac:dyDescent="0.45">
      <c r="A845">
        <v>5451</v>
      </c>
      <c r="B845" t="s">
        <v>1688</v>
      </c>
    </row>
    <row r="846" spans="1:2" x14ac:dyDescent="0.45">
      <c r="A846">
        <v>5461</v>
      </c>
      <c r="B846" t="s">
        <v>1688</v>
      </c>
    </row>
    <row r="847" spans="1:2" x14ac:dyDescent="0.45">
      <c r="A847">
        <v>5499</v>
      </c>
      <c r="B847" t="s">
        <v>1688</v>
      </c>
    </row>
    <row r="848" spans="1:2" x14ac:dyDescent="0.45">
      <c r="A848">
        <v>5500</v>
      </c>
      <c r="B848" t="s">
        <v>1688</v>
      </c>
    </row>
    <row r="849" spans="1:2" x14ac:dyDescent="0.45">
      <c r="A849">
        <v>5511</v>
      </c>
      <c r="B849" t="s">
        <v>1688</v>
      </c>
    </row>
    <row r="850" spans="1:2" x14ac:dyDescent="0.45">
      <c r="A850">
        <v>5521</v>
      </c>
      <c r="B850" t="s">
        <v>1688</v>
      </c>
    </row>
    <row r="851" spans="1:2" x14ac:dyDescent="0.45">
      <c r="A851">
        <v>5531</v>
      </c>
      <c r="B851" t="s">
        <v>1688</v>
      </c>
    </row>
    <row r="852" spans="1:2" x14ac:dyDescent="0.45">
      <c r="A852">
        <v>5541</v>
      </c>
      <c r="B852" t="s">
        <v>1688</v>
      </c>
    </row>
    <row r="853" spans="1:2" x14ac:dyDescent="0.45">
      <c r="A853">
        <v>5551</v>
      </c>
      <c r="B853" t="s">
        <v>1688</v>
      </c>
    </row>
    <row r="854" spans="1:2" x14ac:dyDescent="0.45">
      <c r="A854">
        <v>5561</v>
      </c>
      <c r="B854" t="s">
        <v>1688</v>
      </c>
    </row>
    <row r="855" spans="1:2" x14ac:dyDescent="0.45">
      <c r="A855">
        <v>5571</v>
      </c>
      <c r="B855" t="s">
        <v>1688</v>
      </c>
    </row>
    <row r="856" spans="1:2" x14ac:dyDescent="0.45">
      <c r="A856">
        <v>5599</v>
      </c>
      <c r="B856" t="s">
        <v>1688</v>
      </c>
    </row>
    <row r="857" spans="1:2" x14ac:dyDescent="0.45">
      <c r="A857">
        <v>5600</v>
      </c>
      <c r="B857" t="s">
        <v>1688</v>
      </c>
    </row>
    <row r="858" spans="1:2" x14ac:dyDescent="0.45">
      <c r="A858">
        <v>5611</v>
      </c>
      <c r="B858" t="s">
        <v>1688</v>
      </c>
    </row>
    <row r="859" spans="1:2" x14ac:dyDescent="0.45">
      <c r="A859">
        <v>5621</v>
      </c>
      <c r="B859" t="s">
        <v>1688</v>
      </c>
    </row>
    <row r="860" spans="1:2" x14ac:dyDescent="0.45">
      <c r="A860">
        <v>5632</v>
      </c>
      <c r="B860" t="s">
        <v>1688</v>
      </c>
    </row>
    <row r="861" spans="1:2" x14ac:dyDescent="0.45">
      <c r="A861">
        <v>5641</v>
      </c>
      <c r="B861" t="s">
        <v>1688</v>
      </c>
    </row>
    <row r="862" spans="1:2" x14ac:dyDescent="0.45">
      <c r="A862">
        <v>5651</v>
      </c>
      <c r="B862" t="s">
        <v>1688</v>
      </c>
    </row>
    <row r="863" spans="1:2" x14ac:dyDescent="0.45">
      <c r="A863">
        <v>5661</v>
      </c>
      <c r="B863" t="s">
        <v>1688</v>
      </c>
    </row>
    <row r="864" spans="1:2" x14ac:dyDescent="0.45">
      <c r="A864">
        <v>5699</v>
      </c>
      <c r="B864" t="s">
        <v>1688</v>
      </c>
    </row>
    <row r="865" spans="1:2" x14ac:dyDescent="0.45">
      <c r="A865">
        <v>5700</v>
      </c>
      <c r="B865" t="s">
        <v>1688</v>
      </c>
    </row>
    <row r="866" spans="1:2" x14ac:dyDescent="0.45">
      <c r="A866">
        <v>5712</v>
      </c>
      <c r="B866" t="s">
        <v>1688</v>
      </c>
    </row>
    <row r="867" spans="1:2" x14ac:dyDescent="0.45">
      <c r="A867">
        <v>5713</v>
      </c>
      <c r="B867" t="s">
        <v>1688</v>
      </c>
    </row>
    <row r="868" spans="1:2" x14ac:dyDescent="0.45">
      <c r="A868">
        <v>5714</v>
      </c>
      <c r="B868" t="s">
        <v>1688</v>
      </c>
    </row>
    <row r="869" spans="1:2" x14ac:dyDescent="0.45">
      <c r="A869">
        <v>5719</v>
      </c>
      <c r="B869" t="s">
        <v>1688</v>
      </c>
    </row>
    <row r="870" spans="1:2" x14ac:dyDescent="0.45">
      <c r="A870">
        <v>5722</v>
      </c>
      <c r="B870" t="s">
        <v>1688</v>
      </c>
    </row>
    <row r="871" spans="1:2" x14ac:dyDescent="0.45">
      <c r="A871">
        <v>5731</v>
      </c>
      <c r="B871" t="s">
        <v>1688</v>
      </c>
    </row>
    <row r="872" spans="1:2" x14ac:dyDescent="0.45">
      <c r="A872">
        <v>5734</v>
      </c>
      <c r="B872" t="s">
        <v>1688</v>
      </c>
    </row>
    <row r="873" spans="1:2" x14ac:dyDescent="0.45">
      <c r="A873">
        <v>5735</v>
      </c>
      <c r="B873" t="s">
        <v>1688</v>
      </c>
    </row>
    <row r="874" spans="1:2" x14ac:dyDescent="0.45">
      <c r="A874">
        <v>5736</v>
      </c>
      <c r="B874" t="s">
        <v>1688</v>
      </c>
    </row>
    <row r="875" spans="1:2" x14ac:dyDescent="0.45">
      <c r="A875">
        <v>5810</v>
      </c>
      <c r="B875" t="s">
        <v>1688</v>
      </c>
    </row>
    <row r="876" spans="1:2" x14ac:dyDescent="0.45">
      <c r="A876">
        <v>5812</v>
      </c>
      <c r="B876" t="s">
        <v>1688</v>
      </c>
    </row>
    <row r="877" spans="1:2" x14ac:dyDescent="0.45">
      <c r="A877">
        <v>5813</v>
      </c>
      <c r="B877" t="s">
        <v>1688</v>
      </c>
    </row>
    <row r="878" spans="1:2" x14ac:dyDescent="0.45">
      <c r="A878">
        <v>5900</v>
      </c>
      <c r="B878" t="s">
        <v>1688</v>
      </c>
    </row>
    <row r="879" spans="1:2" x14ac:dyDescent="0.45">
      <c r="A879">
        <v>5912</v>
      </c>
      <c r="B879" t="s">
        <v>1688</v>
      </c>
    </row>
    <row r="880" spans="1:2" x14ac:dyDescent="0.45">
      <c r="A880">
        <v>5921</v>
      </c>
      <c r="B880" t="s">
        <v>1688</v>
      </c>
    </row>
    <row r="881" spans="1:2" x14ac:dyDescent="0.45">
      <c r="A881">
        <v>5932</v>
      </c>
      <c r="B881" t="s">
        <v>1688</v>
      </c>
    </row>
    <row r="882" spans="1:2" x14ac:dyDescent="0.45">
      <c r="A882">
        <v>5940</v>
      </c>
      <c r="B882" t="s">
        <v>1688</v>
      </c>
    </row>
    <row r="883" spans="1:2" x14ac:dyDescent="0.45">
      <c r="A883">
        <v>5941</v>
      </c>
      <c r="B883" t="s">
        <v>1688</v>
      </c>
    </row>
    <row r="884" spans="1:2" x14ac:dyDescent="0.45">
      <c r="A884">
        <v>5942</v>
      </c>
      <c r="B884" t="s">
        <v>1688</v>
      </c>
    </row>
    <row r="885" spans="1:2" x14ac:dyDescent="0.45">
      <c r="A885">
        <v>5943</v>
      </c>
      <c r="B885" t="s">
        <v>1688</v>
      </c>
    </row>
    <row r="886" spans="1:2" x14ac:dyDescent="0.45">
      <c r="A886">
        <v>5944</v>
      </c>
      <c r="B886" t="s">
        <v>1688</v>
      </c>
    </row>
    <row r="887" spans="1:2" x14ac:dyDescent="0.45">
      <c r="A887">
        <v>5945</v>
      </c>
      <c r="B887" t="s">
        <v>1688</v>
      </c>
    </row>
    <row r="888" spans="1:2" x14ac:dyDescent="0.45">
      <c r="A888">
        <v>5946</v>
      </c>
      <c r="B888" t="s">
        <v>1688</v>
      </c>
    </row>
    <row r="889" spans="1:2" x14ac:dyDescent="0.45">
      <c r="A889">
        <v>5947</v>
      </c>
      <c r="B889" t="s">
        <v>1688</v>
      </c>
    </row>
    <row r="890" spans="1:2" x14ac:dyDescent="0.45">
      <c r="A890">
        <v>5948</v>
      </c>
      <c r="B890" t="s">
        <v>1688</v>
      </c>
    </row>
    <row r="891" spans="1:2" x14ac:dyDescent="0.45">
      <c r="A891">
        <v>5949</v>
      </c>
      <c r="B891" t="s">
        <v>1688</v>
      </c>
    </row>
    <row r="892" spans="1:2" x14ac:dyDescent="0.45">
      <c r="A892">
        <v>5960</v>
      </c>
      <c r="B892" t="s">
        <v>1688</v>
      </c>
    </row>
    <row r="893" spans="1:2" x14ac:dyDescent="0.45">
      <c r="A893">
        <v>5961</v>
      </c>
      <c r="B893" t="s">
        <v>1688</v>
      </c>
    </row>
    <row r="894" spans="1:2" x14ac:dyDescent="0.45">
      <c r="A894">
        <v>5962</v>
      </c>
      <c r="B894" t="s">
        <v>1688</v>
      </c>
    </row>
    <row r="895" spans="1:2" x14ac:dyDescent="0.45">
      <c r="A895">
        <v>5963</v>
      </c>
      <c r="B895" t="s">
        <v>1688</v>
      </c>
    </row>
    <row r="896" spans="1:2" x14ac:dyDescent="0.45">
      <c r="A896">
        <v>5983</v>
      </c>
      <c r="B896" t="s">
        <v>1688</v>
      </c>
    </row>
    <row r="897" spans="1:2" x14ac:dyDescent="0.45">
      <c r="A897">
        <v>5984</v>
      </c>
      <c r="B897" t="s">
        <v>1688</v>
      </c>
    </row>
    <row r="898" spans="1:2" x14ac:dyDescent="0.45">
      <c r="A898">
        <v>5989</v>
      </c>
      <c r="B898" t="s">
        <v>1688</v>
      </c>
    </row>
    <row r="899" spans="1:2" x14ac:dyDescent="0.45">
      <c r="A899">
        <v>5990</v>
      </c>
      <c r="B899" t="s">
        <v>1688</v>
      </c>
    </row>
    <row r="900" spans="1:2" x14ac:dyDescent="0.45">
      <c r="A900">
        <v>5992</v>
      </c>
      <c r="B900" t="s">
        <v>1688</v>
      </c>
    </row>
    <row r="901" spans="1:2" x14ac:dyDescent="0.45">
      <c r="A901">
        <v>5993</v>
      </c>
      <c r="B901" t="s">
        <v>1688</v>
      </c>
    </row>
    <row r="902" spans="1:2" x14ac:dyDescent="0.45">
      <c r="A902">
        <v>5994</v>
      </c>
      <c r="B902" t="s">
        <v>1688</v>
      </c>
    </row>
    <row r="903" spans="1:2" x14ac:dyDescent="0.45">
      <c r="A903">
        <v>5995</v>
      </c>
      <c r="B903" t="s">
        <v>1688</v>
      </c>
    </row>
    <row r="904" spans="1:2" x14ac:dyDescent="0.45">
      <c r="A904">
        <v>5999</v>
      </c>
      <c r="B904" t="s">
        <v>1688</v>
      </c>
    </row>
    <row r="905" spans="1:2" x14ac:dyDescent="0.45">
      <c r="A905">
        <v>6011</v>
      </c>
      <c r="B905" t="s">
        <v>1666</v>
      </c>
    </row>
    <row r="906" spans="1:2" x14ac:dyDescent="0.45">
      <c r="A906">
        <v>6019</v>
      </c>
      <c r="B906" t="s">
        <v>1666</v>
      </c>
    </row>
    <row r="907" spans="1:2" x14ac:dyDescent="0.45">
      <c r="A907">
        <v>6020</v>
      </c>
      <c r="B907" t="s">
        <v>1666</v>
      </c>
    </row>
    <row r="908" spans="1:2" x14ac:dyDescent="0.45">
      <c r="A908">
        <v>6021</v>
      </c>
      <c r="B908" t="s">
        <v>1666</v>
      </c>
    </row>
    <row r="909" spans="1:2" x14ac:dyDescent="0.45">
      <c r="A909">
        <v>6022</v>
      </c>
      <c r="B909" t="s">
        <v>1666</v>
      </c>
    </row>
    <row r="910" spans="1:2" x14ac:dyDescent="0.45">
      <c r="A910">
        <v>6029</v>
      </c>
      <c r="B910" t="s">
        <v>1666</v>
      </c>
    </row>
    <row r="911" spans="1:2" x14ac:dyDescent="0.45">
      <c r="A911">
        <v>6035</v>
      </c>
      <c r="B911" t="s">
        <v>1666</v>
      </c>
    </row>
    <row r="912" spans="1:2" x14ac:dyDescent="0.45">
      <c r="A912">
        <v>6036</v>
      </c>
      <c r="B912" t="s">
        <v>1666</v>
      </c>
    </row>
    <row r="913" spans="1:2" x14ac:dyDescent="0.45">
      <c r="A913">
        <v>6061</v>
      </c>
      <c r="B913" t="s">
        <v>1666</v>
      </c>
    </row>
    <row r="914" spans="1:2" x14ac:dyDescent="0.45">
      <c r="A914">
        <v>6062</v>
      </c>
      <c r="B914" t="s">
        <v>1666</v>
      </c>
    </row>
    <row r="915" spans="1:2" x14ac:dyDescent="0.45">
      <c r="A915">
        <v>6081</v>
      </c>
      <c r="B915" t="s">
        <v>1666</v>
      </c>
    </row>
    <row r="916" spans="1:2" x14ac:dyDescent="0.45">
      <c r="A916">
        <v>6082</v>
      </c>
      <c r="B916" t="s">
        <v>1666</v>
      </c>
    </row>
    <row r="917" spans="1:2" x14ac:dyDescent="0.45">
      <c r="A917">
        <v>6091</v>
      </c>
      <c r="B917" t="s">
        <v>1666</v>
      </c>
    </row>
    <row r="918" spans="1:2" x14ac:dyDescent="0.45">
      <c r="A918">
        <v>6099</v>
      </c>
      <c r="B918" t="s">
        <v>1666</v>
      </c>
    </row>
    <row r="919" spans="1:2" x14ac:dyDescent="0.45">
      <c r="A919">
        <v>6111</v>
      </c>
      <c r="B919" t="s">
        <v>1666</v>
      </c>
    </row>
    <row r="920" spans="1:2" x14ac:dyDescent="0.45">
      <c r="A920">
        <v>6141</v>
      </c>
      <c r="B920" t="s">
        <v>1666</v>
      </c>
    </row>
    <row r="921" spans="1:2" x14ac:dyDescent="0.45">
      <c r="A921">
        <v>6153</v>
      </c>
      <c r="B921" t="s">
        <v>1666</v>
      </c>
    </row>
    <row r="922" spans="1:2" x14ac:dyDescent="0.45">
      <c r="A922">
        <v>6159</v>
      </c>
      <c r="B922" t="s">
        <v>1666</v>
      </c>
    </row>
    <row r="923" spans="1:2" x14ac:dyDescent="0.45">
      <c r="A923">
        <v>6162</v>
      </c>
      <c r="B923" t="s">
        <v>1666</v>
      </c>
    </row>
    <row r="924" spans="1:2" x14ac:dyDescent="0.45">
      <c r="A924">
        <v>6163</v>
      </c>
      <c r="B924" t="s">
        <v>1666</v>
      </c>
    </row>
    <row r="925" spans="1:2" x14ac:dyDescent="0.45">
      <c r="A925">
        <v>6172</v>
      </c>
      <c r="B925" t="s">
        <v>1666</v>
      </c>
    </row>
    <row r="926" spans="1:2" x14ac:dyDescent="0.45">
      <c r="A926">
        <v>6189</v>
      </c>
      <c r="B926" t="s">
        <v>1666</v>
      </c>
    </row>
    <row r="927" spans="1:2" x14ac:dyDescent="0.45">
      <c r="A927">
        <v>6199</v>
      </c>
      <c r="B927" t="s">
        <v>1666</v>
      </c>
    </row>
    <row r="928" spans="1:2" x14ac:dyDescent="0.45">
      <c r="A928">
        <v>6200</v>
      </c>
      <c r="B928" t="s">
        <v>1666</v>
      </c>
    </row>
    <row r="929" spans="1:2" x14ac:dyDescent="0.45">
      <c r="A929">
        <v>6211</v>
      </c>
      <c r="B929" t="s">
        <v>1666</v>
      </c>
    </row>
    <row r="930" spans="1:2" x14ac:dyDescent="0.45">
      <c r="A930">
        <v>6221</v>
      </c>
      <c r="B930" t="s">
        <v>1666</v>
      </c>
    </row>
    <row r="931" spans="1:2" x14ac:dyDescent="0.45">
      <c r="A931">
        <v>6231</v>
      </c>
      <c r="B931" t="s">
        <v>1666</v>
      </c>
    </row>
    <row r="932" spans="1:2" x14ac:dyDescent="0.45">
      <c r="A932">
        <v>6282</v>
      </c>
      <c r="B932" t="s">
        <v>1666</v>
      </c>
    </row>
    <row r="933" spans="1:2" x14ac:dyDescent="0.45">
      <c r="A933">
        <v>6289</v>
      </c>
      <c r="B933" t="s">
        <v>1666</v>
      </c>
    </row>
    <row r="934" spans="1:2" x14ac:dyDescent="0.45">
      <c r="A934">
        <v>6311</v>
      </c>
      <c r="B934" t="s">
        <v>1666</v>
      </c>
    </row>
    <row r="935" spans="1:2" x14ac:dyDescent="0.45">
      <c r="A935">
        <v>6321</v>
      </c>
      <c r="B935" t="s">
        <v>1666</v>
      </c>
    </row>
    <row r="936" spans="1:2" x14ac:dyDescent="0.45">
      <c r="A936">
        <v>6324</v>
      </c>
      <c r="B936" t="s">
        <v>1666</v>
      </c>
    </row>
    <row r="937" spans="1:2" x14ac:dyDescent="0.45">
      <c r="A937">
        <v>6331</v>
      </c>
      <c r="B937" t="s">
        <v>1666</v>
      </c>
    </row>
    <row r="938" spans="1:2" x14ac:dyDescent="0.45">
      <c r="A938">
        <v>6351</v>
      </c>
      <c r="B938" t="s">
        <v>1666</v>
      </c>
    </row>
    <row r="939" spans="1:2" x14ac:dyDescent="0.45">
      <c r="A939">
        <v>6361</v>
      </c>
      <c r="B939" t="s">
        <v>1666</v>
      </c>
    </row>
    <row r="940" spans="1:2" x14ac:dyDescent="0.45">
      <c r="A940">
        <v>6371</v>
      </c>
      <c r="B940" t="s">
        <v>1666</v>
      </c>
    </row>
    <row r="941" spans="1:2" x14ac:dyDescent="0.45">
      <c r="A941">
        <v>6380</v>
      </c>
      <c r="B941" t="s">
        <v>1666</v>
      </c>
    </row>
    <row r="942" spans="1:2" x14ac:dyDescent="0.45">
      <c r="A942">
        <v>6382</v>
      </c>
      <c r="B942" t="s">
        <v>1666</v>
      </c>
    </row>
    <row r="943" spans="1:2" x14ac:dyDescent="0.45">
      <c r="A943">
        <v>6399</v>
      </c>
      <c r="B943" t="s">
        <v>1666</v>
      </c>
    </row>
    <row r="944" spans="1:2" x14ac:dyDescent="0.45">
      <c r="A944">
        <v>6411</v>
      </c>
      <c r="B944" t="s">
        <v>1666</v>
      </c>
    </row>
    <row r="945" spans="1:2" x14ac:dyDescent="0.45">
      <c r="A945">
        <v>6500</v>
      </c>
      <c r="B945" t="s">
        <v>1690</v>
      </c>
    </row>
    <row r="946" spans="1:2" x14ac:dyDescent="0.45">
      <c r="A946">
        <v>6510</v>
      </c>
      <c r="B946" t="s">
        <v>1690</v>
      </c>
    </row>
    <row r="947" spans="1:2" x14ac:dyDescent="0.45">
      <c r="A947">
        <v>6512</v>
      </c>
      <c r="B947" t="s">
        <v>1690</v>
      </c>
    </row>
    <row r="948" spans="1:2" x14ac:dyDescent="0.45">
      <c r="A948">
        <v>6513</v>
      </c>
      <c r="B948" t="s">
        <v>1690</v>
      </c>
    </row>
    <row r="949" spans="1:2" x14ac:dyDescent="0.45">
      <c r="A949">
        <v>6514</v>
      </c>
      <c r="B949" t="s">
        <v>1690</v>
      </c>
    </row>
    <row r="950" spans="1:2" x14ac:dyDescent="0.45">
      <c r="A950">
        <v>6515</v>
      </c>
      <c r="B950" t="s">
        <v>1690</v>
      </c>
    </row>
    <row r="951" spans="1:2" x14ac:dyDescent="0.45">
      <c r="A951">
        <v>6517</v>
      </c>
      <c r="B951" t="s">
        <v>1690</v>
      </c>
    </row>
    <row r="952" spans="1:2" x14ac:dyDescent="0.45">
      <c r="A952">
        <v>6519</v>
      </c>
      <c r="B952" t="s">
        <v>1690</v>
      </c>
    </row>
    <row r="953" spans="1:2" x14ac:dyDescent="0.45">
      <c r="A953">
        <v>6531</v>
      </c>
      <c r="B953" t="s">
        <v>1690</v>
      </c>
    </row>
    <row r="954" spans="1:2" x14ac:dyDescent="0.45">
      <c r="A954">
        <v>6532</v>
      </c>
      <c r="B954" t="s">
        <v>1690</v>
      </c>
    </row>
    <row r="955" spans="1:2" x14ac:dyDescent="0.45">
      <c r="A955">
        <v>6541</v>
      </c>
      <c r="B955" t="s">
        <v>1690</v>
      </c>
    </row>
    <row r="956" spans="1:2" x14ac:dyDescent="0.45">
      <c r="A956">
        <v>6552</v>
      </c>
      <c r="B956" t="s">
        <v>1690</v>
      </c>
    </row>
    <row r="957" spans="1:2" x14ac:dyDescent="0.45">
      <c r="A957">
        <v>6553</v>
      </c>
      <c r="B957" t="s">
        <v>1690</v>
      </c>
    </row>
    <row r="958" spans="1:2" x14ac:dyDescent="0.45">
      <c r="A958">
        <v>6712</v>
      </c>
      <c r="B958" t="s">
        <v>1666</v>
      </c>
    </row>
    <row r="959" spans="1:2" x14ac:dyDescent="0.45">
      <c r="A959">
        <v>6719</v>
      </c>
      <c r="B959" t="s">
        <v>1666</v>
      </c>
    </row>
    <row r="960" spans="1:2" x14ac:dyDescent="0.45">
      <c r="A960">
        <v>6722</v>
      </c>
      <c r="B960" t="s">
        <v>1666</v>
      </c>
    </row>
    <row r="961" spans="1:2" x14ac:dyDescent="0.45">
      <c r="A961">
        <v>6726</v>
      </c>
      <c r="B961" t="s">
        <v>1666</v>
      </c>
    </row>
    <row r="962" spans="1:2" x14ac:dyDescent="0.45">
      <c r="A962">
        <v>6732</v>
      </c>
      <c r="B962" t="s">
        <v>1666</v>
      </c>
    </row>
    <row r="963" spans="1:2" x14ac:dyDescent="0.45">
      <c r="A963">
        <v>6733</v>
      </c>
      <c r="B963" t="s">
        <v>1666</v>
      </c>
    </row>
    <row r="964" spans="1:2" x14ac:dyDescent="0.45">
      <c r="A964">
        <v>6770</v>
      </c>
      <c r="B964" t="s">
        <v>1668</v>
      </c>
    </row>
    <row r="965" spans="1:2" x14ac:dyDescent="0.45">
      <c r="A965">
        <v>6792</v>
      </c>
      <c r="B965" t="s">
        <v>1668</v>
      </c>
    </row>
    <row r="966" spans="1:2" x14ac:dyDescent="0.45">
      <c r="A966">
        <v>6794</v>
      </c>
      <c r="B966" t="s">
        <v>1666</v>
      </c>
    </row>
    <row r="967" spans="1:2" x14ac:dyDescent="0.45">
      <c r="A967">
        <v>6795</v>
      </c>
      <c r="B967" t="s">
        <v>1666</v>
      </c>
    </row>
    <row r="968" spans="1:2" x14ac:dyDescent="0.45">
      <c r="A968">
        <v>6798</v>
      </c>
      <c r="B968" t="s">
        <v>1666</v>
      </c>
    </row>
    <row r="969" spans="1:2" x14ac:dyDescent="0.45">
      <c r="A969">
        <v>6799</v>
      </c>
      <c r="B969" t="s">
        <v>1666</v>
      </c>
    </row>
    <row r="970" spans="1:2" x14ac:dyDescent="0.45">
      <c r="A970">
        <v>7011</v>
      </c>
      <c r="B970" t="s">
        <v>1691</v>
      </c>
    </row>
    <row r="971" spans="1:2" x14ac:dyDescent="0.45">
      <c r="A971">
        <v>7021</v>
      </c>
      <c r="B971" t="s">
        <v>1691</v>
      </c>
    </row>
    <row r="972" spans="1:2" x14ac:dyDescent="0.45">
      <c r="A972">
        <v>7032</v>
      </c>
      <c r="B972" t="s">
        <v>1691</v>
      </c>
    </row>
    <row r="973" spans="1:2" x14ac:dyDescent="0.45">
      <c r="A973">
        <v>7033</v>
      </c>
      <c r="B973" t="s">
        <v>1691</v>
      </c>
    </row>
    <row r="974" spans="1:2" x14ac:dyDescent="0.45">
      <c r="A974">
        <v>7041</v>
      </c>
      <c r="B974" t="s">
        <v>1691</v>
      </c>
    </row>
    <row r="975" spans="1:2" x14ac:dyDescent="0.45">
      <c r="A975">
        <v>7200</v>
      </c>
      <c r="B975" t="s">
        <v>1665</v>
      </c>
    </row>
    <row r="976" spans="1:2" x14ac:dyDescent="0.45">
      <c r="A976">
        <v>7211</v>
      </c>
      <c r="B976" t="s">
        <v>1665</v>
      </c>
    </row>
    <row r="977" spans="1:2" x14ac:dyDescent="0.45">
      <c r="A977">
        <v>7212</v>
      </c>
      <c r="B977" t="s">
        <v>1665</v>
      </c>
    </row>
    <row r="978" spans="1:2" x14ac:dyDescent="0.45">
      <c r="A978">
        <v>7213</v>
      </c>
      <c r="B978" t="s">
        <v>1665</v>
      </c>
    </row>
    <row r="979" spans="1:2" x14ac:dyDescent="0.45">
      <c r="A979">
        <v>7215</v>
      </c>
      <c r="B979" t="s">
        <v>1665</v>
      </c>
    </row>
    <row r="980" spans="1:2" x14ac:dyDescent="0.45">
      <c r="A980">
        <v>7216</v>
      </c>
      <c r="B980" t="s">
        <v>1665</v>
      </c>
    </row>
    <row r="981" spans="1:2" x14ac:dyDescent="0.45">
      <c r="A981">
        <v>7217</v>
      </c>
      <c r="B981" t="s">
        <v>1665</v>
      </c>
    </row>
    <row r="982" spans="1:2" x14ac:dyDescent="0.45">
      <c r="A982">
        <v>7218</v>
      </c>
      <c r="B982" t="s">
        <v>1665</v>
      </c>
    </row>
    <row r="983" spans="1:2" x14ac:dyDescent="0.45">
      <c r="A983">
        <v>7219</v>
      </c>
      <c r="B983" t="s">
        <v>1665</v>
      </c>
    </row>
    <row r="984" spans="1:2" x14ac:dyDescent="0.45">
      <c r="A984">
        <v>7221</v>
      </c>
      <c r="B984" t="s">
        <v>1665</v>
      </c>
    </row>
    <row r="985" spans="1:2" x14ac:dyDescent="0.45">
      <c r="A985">
        <v>7231</v>
      </c>
      <c r="B985" t="s">
        <v>1666</v>
      </c>
    </row>
    <row r="986" spans="1:2" x14ac:dyDescent="0.45">
      <c r="A986">
        <v>7241</v>
      </c>
      <c r="B986" t="s">
        <v>1665</v>
      </c>
    </row>
    <row r="987" spans="1:2" x14ac:dyDescent="0.45">
      <c r="A987">
        <v>7251</v>
      </c>
      <c r="B987" t="s">
        <v>1665</v>
      </c>
    </row>
    <row r="988" spans="1:2" x14ac:dyDescent="0.45">
      <c r="A988">
        <v>7261</v>
      </c>
      <c r="B988" t="s">
        <v>1665</v>
      </c>
    </row>
    <row r="989" spans="1:2" x14ac:dyDescent="0.45">
      <c r="A989">
        <v>7291</v>
      </c>
      <c r="B989" t="s">
        <v>1666</v>
      </c>
    </row>
    <row r="990" spans="1:2" x14ac:dyDescent="0.45">
      <c r="A990">
        <v>7299</v>
      </c>
      <c r="B990" t="s">
        <v>1665</v>
      </c>
    </row>
    <row r="991" spans="1:2" x14ac:dyDescent="0.45">
      <c r="A991">
        <v>7310</v>
      </c>
      <c r="B991" t="s">
        <v>1692</v>
      </c>
    </row>
    <row r="992" spans="1:2" x14ac:dyDescent="0.45">
      <c r="A992">
        <v>7311</v>
      </c>
      <c r="B992" t="s">
        <v>1692</v>
      </c>
    </row>
    <row r="993" spans="1:2" x14ac:dyDescent="0.45">
      <c r="A993">
        <v>7312</v>
      </c>
      <c r="B993" t="s">
        <v>1692</v>
      </c>
    </row>
    <row r="994" spans="1:2" x14ac:dyDescent="0.45">
      <c r="A994">
        <v>7313</v>
      </c>
      <c r="B994" t="s">
        <v>1692</v>
      </c>
    </row>
    <row r="995" spans="1:2" x14ac:dyDescent="0.45">
      <c r="A995">
        <v>7319</v>
      </c>
      <c r="B995" t="s">
        <v>1665</v>
      </c>
    </row>
    <row r="996" spans="1:2" x14ac:dyDescent="0.45">
      <c r="A996">
        <v>7320</v>
      </c>
      <c r="B996" t="s">
        <v>1665</v>
      </c>
    </row>
    <row r="997" spans="1:2" x14ac:dyDescent="0.45">
      <c r="A997">
        <v>7322</v>
      </c>
      <c r="B997" t="s">
        <v>1666</v>
      </c>
    </row>
    <row r="998" spans="1:2" x14ac:dyDescent="0.45">
      <c r="A998">
        <v>7323</v>
      </c>
      <c r="B998" t="s">
        <v>1666</v>
      </c>
    </row>
    <row r="999" spans="1:2" x14ac:dyDescent="0.45">
      <c r="A999">
        <v>7330</v>
      </c>
      <c r="B999" t="s">
        <v>1666</v>
      </c>
    </row>
    <row r="1000" spans="1:2" x14ac:dyDescent="0.45">
      <c r="A1000">
        <v>7331</v>
      </c>
      <c r="B1000" t="s">
        <v>1666</v>
      </c>
    </row>
    <row r="1001" spans="1:2" x14ac:dyDescent="0.45">
      <c r="A1001">
        <v>7334</v>
      </c>
      <c r="B1001" t="s">
        <v>1665</v>
      </c>
    </row>
    <row r="1002" spans="1:2" x14ac:dyDescent="0.45">
      <c r="A1002">
        <v>7335</v>
      </c>
      <c r="B1002" t="s">
        <v>1665</v>
      </c>
    </row>
    <row r="1003" spans="1:2" x14ac:dyDescent="0.45">
      <c r="A1003">
        <v>7336</v>
      </c>
      <c r="B1003" t="s">
        <v>1665</v>
      </c>
    </row>
    <row r="1004" spans="1:2" x14ac:dyDescent="0.45">
      <c r="A1004">
        <v>7338</v>
      </c>
      <c r="B1004" t="s">
        <v>1665</v>
      </c>
    </row>
    <row r="1005" spans="1:2" x14ac:dyDescent="0.45">
      <c r="A1005">
        <v>7340</v>
      </c>
      <c r="B1005" t="s">
        <v>1665</v>
      </c>
    </row>
    <row r="1006" spans="1:2" x14ac:dyDescent="0.45">
      <c r="A1006">
        <v>7342</v>
      </c>
      <c r="B1006" t="s">
        <v>1665</v>
      </c>
    </row>
    <row r="1007" spans="1:2" x14ac:dyDescent="0.45">
      <c r="A1007">
        <v>7349</v>
      </c>
      <c r="B1007" t="s">
        <v>1665</v>
      </c>
    </row>
    <row r="1008" spans="1:2" x14ac:dyDescent="0.45">
      <c r="A1008">
        <v>7350</v>
      </c>
      <c r="B1008" t="s">
        <v>1665</v>
      </c>
    </row>
    <row r="1009" spans="1:2" x14ac:dyDescent="0.45">
      <c r="A1009">
        <v>7352</v>
      </c>
      <c r="B1009" t="s">
        <v>1665</v>
      </c>
    </row>
    <row r="1010" spans="1:2" x14ac:dyDescent="0.45">
      <c r="A1010">
        <v>7353</v>
      </c>
      <c r="B1010" t="s">
        <v>1665</v>
      </c>
    </row>
    <row r="1011" spans="1:2" x14ac:dyDescent="0.45">
      <c r="A1011">
        <v>7359</v>
      </c>
      <c r="B1011" t="s">
        <v>1665</v>
      </c>
    </row>
    <row r="1012" spans="1:2" x14ac:dyDescent="0.45">
      <c r="A1012">
        <v>7361</v>
      </c>
      <c r="B1012" t="s">
        <v>1665</v>
      </c>
    </row>
    <row r="1013" spans="1:2" x14ac:dyDescent="0.45">
      <c r="A1013">
        <v>7363</v>
      </c>
      <c r="B1013" t="s">
        <v>1665</v>
      </c>
    </row>
    <row r="1014" spans="1:2" x14ac:dyDescent="0.45">
      <c r="A1014">
        <v>7370</v>
      </c>
      <c r="B1014" t="s">
        <v>1665</v>
      </c>
    </row>
    <row r="1015" spans="1:2" x14ac:dyDescent="0.45">
      <c r="A1015">
        <v>7371</v>
      </c>
      <c r="B1015" t="s">
        <v>1693</v>
      </c>
    </row>
    <row r="1016" spans="1:2" x14ac:dyDescent="0.45">
      <c r="A1016">
        <v>7372</v>
      </c>
      <c r="B1016" t="s">
        <v>1693</v>
      </c>
    </row>
    <row r="1017" spans="1:2" x14ac:dyDescent="0.45">
      <c r="A1017">
        <v>7373</v>
      </c>
      <c r="B1017" t="s">
        <v>1693</v>
      </c>
    </row>
    <row r="1018" spans="1:2" x14ac:dyDescent="0.45">
      <c r="A1018">
        <v>7374</v>
      </c>
      <c r="B1018" t="s">
        <v>1693</v>
      </c>
    </row>
    <row r="1019" spans="1:2" x14ac:dyDescent="0.45">
      <c r="A1019">
        <v>7375</v>
      </c>
      <c r="B1019" t="s">
        <v>1693</v>
      </c>
    </row>
    <row r="1020" spans="1:2" x14ac:dyDescent="0.45">
      <c r="A1020">
        <v>7376</v>
      </c>
      <c r="B1020" t="s">
        <v>1693</v>
      </c>
    </row>
    <row r="1021" spans="1:2" x14ac:dyDescent="0.45">
      <c r="A1021">
        <v>7377</v>
      </c>
      <c r="B1021" t="s">
        <v>1693</v>
      </c>
    </row>
    <row r="1022" spans="1:2" x14ac:dyDescent="0.45">
      <c r="A1022">
        <v>7378</v>
      </c>
      <c r="B1022" t="s">
        <v>1693</v>
      </c>
    </row>
    <row r="1023" spans="1:2" x14ac:dyDescent="0.45">
      <c r="A1023">
        <v>7379</v>
      </c>
      <c r="B1023" t="s">
        <v>1693</v>
      </c>
    </row>
    <row r="1024" spans="1:2" x14ac:dyDescent="0.45">
      <c r="A1024">
        <v>7380</v>
      </c>
      <c r="B1024" t="s">
        <v>1666</v>
      </c>
    </row>
    <row r="1025" spans="1:2" x14ac:dyDescent="0.45">
      <c r="A1025">
        <v>7381</v>
      </c>
      <c r="B1025" t="s">
        <v>1666</v>
      </c>
    </row>
    <row r="1026" spans="1:2" x14ac:dyDescent="0.45">
      <c r="A1026">
        <v>7382</v>
      </c>
      <c r="B1026" t="s">
        <v>1666</v>
      </c>
    </row>
    <row r="1027" spans="1:2" x14ac:dyDescent="0.45">
      <c r="A1027">
        <v>7383</v>
      </c>
      <c r="B1027" t="s">
        <v>1666</v>
      </c>
    </row>
    <row r="1028" spans="1:2" x14ac:dyDescent="0.45">
      <c r="A1028">
        <v>7384</v>
      </c>
      <c r="B1028" t="s">
        <v>1665</v>
      </c>
    </row>
    <row r="1029" spans="1:2" x14ac:dyDescent="0.45">
      <c r="A1029">
        <v>7385</v>
      </c>
      <c r="B1029" t="s">
        <v>1665</v>
      </c>
    </row>
    <row r="1030" spans="1:2" x14ac:dyDescent="0.45">
      <c r="A1030">
        <v>7389</v>
      </c>
      <c r="B1030" t="s">
        <v>1665</v>
      </c>
    </row>
    <row r="1031" spans="1:2" x14ac:dyDescent="0.45">
      <c r="A1031">
        <v>7500</v>
      </c>
      <c r="B1031" t="s">
        <v>1665</v>
      </c>
    </row>
    <row r="1032" spans="1:2" x14ac:dyDescent="0.45">
      <c r="A1032">
        <v>7510</v>
      </c>
      <c r="B1032" t="s">
        <v>1665</v>
      </c>
    </row>
    <row r="1033" spans="1:2" x14ac:dyDescent="0.45">
      <c r="A1033">
        <v>7513</v>
      </c>
      <c r="B1033" t="s">
        <v>1665</v>
      </c>
    </row>
    <row r="1034" spans="1:2" x14ac:dyDescent="0.45">
      <c r="A1034">
        <v>7514</v>
      </c>
      <c r="B1034" t="s">
        <v>1665</v>
      </c>
    </row>
    <row r="1035" spans="1:2" x14ac:dyDescent="0.45">
      <c r="A1035">
        <v>7515</v>
      </c>
      <c r="B1035" t="s">
        <v>1665</v>
      </c>
    </row>
    <row r="1036" spans="1:2" x14ac:dyDescent="0.45">
      <c r="A1036">
        <v>7519</v>
      </c>
      <c r="B1036" t="s">
        <v>1665</v>
      </c>
    </row>
    <row r="1037" spans="1:2" x14ac:dyDescent="0.45">
      <c r="A1037">
        <v>7521</v>
      </c>
      <c r="B1037" t="s">
        <v>1665</v>
      </c>
    </row>
    <row r="1038" spans="1:2" x14ac:dyDescent="0.45">
      <c r="A1038">
        <v>7532</v>
      </c>
      <c r="B1038" t="s">
        <v>1665</v>
      </c>
    </row>
    <row r="1039" spans="1:2" x14ac:dyDescent="0.45">
      <c r="A1039">
        <v>7533</v>
      </c>
      <c r="B1039" t="s">
        <v>1665</v>
      </c>
    </row>
    <row r="1040" spans="1:2" x14ac:dyDescent="0.45">
      <c r="A1040">
        <v>7534</v>
      </c>
      <c r="B1040" t="s">
        <v>1665</v>
      </c>
    </row>
    <row r="1041" spans="1:2" x14ac:dyDescent="0.45">
      <c r="A1041">
        <v>7536</v>
      </c>
      <c r="B1041" t="s">
        <v>1665</v>
      </c>
    </row>
    <row r="1042" spans="1:2" x14ac:dyDescent="0.45">
      <c r="A1042">
        <v>7537</v>
      </c>
      <c r="B1042" t="s">
        <v>1665</v>
      </c>
    </row>
    <row r="1043" spans="1:2" x14ac:dyDescent="0.45">
      <c r="A1043">
        <v>7538</v>
      </c>
      <c r="B1043" t="s">
        <v>1665</v>
      </c>
    </row>
    <row r="1044" spans="1:2" x14ac:dyDescent="0.45">
      <c r="A1044">
        <v>7539</v>
      </c>
      <c r="B1044" t="s">
        <v>1665</v>
      </c>
    </row>
    <row r="1045" spans="1:2" x14ac:dyDescent="0.45">
      <c r="A1045">
        <v>7542</v>
      </c>
      <c r="B1045" t="s">
        <v>1665</v>
      </c>
    </row>
    <row r="1046" spans="1:2" x14ac:dyDescent="0.45">
      <c r="A1046">
        <v>7549</v>
      </c>
      <c r="B1046" t="s">
        <v>1665</v>
      </c>
    </row>
    <row r="1047" spans="1:2" x14ac:dyDescent="0.45">
      <c r="A1047">
        <v>7600</v>
      </c>
      <c r="B1047" t="s">
        <v>1665</v>
      </c>
    </row>
    <row r="1048" spans="1:2" x14ac:dyDescent="0.45">
      <c r="A1048">
        <v>7622</v>
      </c>
      <c r="B1048" t="s">
        <v>1665</v>
      </c>
    </row>
    <row r="1049" spans="1:2" x14ac:dyDescent="0.45">
      <c r="A1049">
        <v>7623</v>
      </c>
      <c r="B1049" t="s">
        <v>1665</v>
      </c>
    </row>
    <row r="1050" spans="1:2" x14ac:dyDescent="0.45">
      <c r="A1050">
        <v>7629</v>
      </c>
      <c r="B1050" t="s">
        <v>1665</v>
      </c>
    </row>
    <row r="1051" spans="1:2" x14ac:dyDescent="0.45">
      <c r="A1051">
        <v>7631</v>
      </c>
      <c r="B1051" t="s">
        <v>1665</v>
      </c>
    </row>
    <row r="1052" spans="1:2" x14ac:dyDescent="0.45">
      <c r="A1052">
        <v>7641</v>
      </c>
      <c r="B1052" t="s">
        <v>1665</v>
      </c>
    </row>
    <row r="1053" spans="1:2" x14ac:dyDescent="0.45">
      <c r="A1053">
        <v>7692</v>
      </c>
      <c r="B1053" t="s">
        <v>1665</v>
      </c>
    </row>
    <row r="1054" spans="1:2" x14ac:dyDescent="0.45">
      <c r="A1054">
        <v>7694</v>
      </c>
      <c r="B1054" t="s">
        <v>1665</v>
      </c>
    </row>
    <row r="1055" spans="1:2" x14ac:dyDescent="0.45">
      <c r="A1055">
        <v>7699</v>
      </c>
      <c r="B1055" t="s">
        <v>1665</v>
      </c>
    </row>
    <row r="1056" spans="1:2" x14ac:dyDescent="0.45">
      <c r="A1056">
        <v>7812</v>
      </c>
      <c r="B1056" t="s">
        <v>1665</v>
      </c>
    </row>
    <row r="1057" spans="1:2" x14ac:dyDescent="0.45">
      <c r="A1057">
        <v>7819</v>
      </c>
      <c r="B1057" t="s">
        <v>1665</v>
      </c>
    </row>
    <row r="1058" spans="1:2" x14ac:dyDescent="0.45">
      <c r="A1058">
        <v>7822</v>
      </c>
      <c r="B1058" t="s">
        <v>1665</v>
      </c>
    </row>
    <row r="1059" spans="1:2" x14ac:dyDescent="0.45">
      <c r="A1059">
        <v>7829</v>
      </c>
      <c r="B1059" t="s">
        <v>1665</v>
      </c>
    </row>
    <row r="1060" spans="1:2" x14ac:dyDescent="0.45">
      <c r="A1060">
        <v>7830</v>
      </c>
      <c r="B1060" t="s">
        <v>1665</v>
      </c>
    </row>
    <row r="1061" spans="1:2" x14ac:dyDescent="0.45">
      <c r="A1061">
        <v>7832</v>
      </c>
      <c r="B1061" t="s">
        <v>1694</v>
      </c>
    </row>
    <row r="1062" spans="1:2" x14ac:dyDescent="0.45">
      <c r="A1062">
        <v>7833</v>
      </c>
      <c r="B1062" t="s">
        <v>1694</v>
      </c>
    </row>
    <row r="1063" spans="1:2" x14ac:dyDescent="0.45">
      <c r="A1063">
        <v>7841</v>
      </c>
      <c r="B1063" t="s">
        <v>1694</v>
      </c>
    </row>
    <row r="1064" spans="1:2" x14ac:dyDescent="0.45">
      <c r="A1064">
        <v>7900</v>
      </c>
      <c r="B1064" t="s">
        <v>1694</v>
      </c>
    </row>
    <row r="1065" spans="1:2" x14ac:dyDescent="0.45">
      <c r="A1065">
        <v>7911</v>
      </c>
      <c r="B1065" t="s">
        <v>1694</v>
      </c>
    </row>
    <row r="1066" spans="1:2" x14ac:dyDescent="0.45">
      <c r="A1066">
        <v>7922</v>
      </c>
      <c r="B1066" t="s">
        <v>1665</v>
      </c>
    </row>
    <row r="1067" spans="1:2" x14ac:dyDescent="0.45">
      <c r="A1067">
        <v>7929</v>
      </c>
      <c r="B1067" t="s">
        <v>1694</v>
      </c>
    </row>
    <row r="1068" spans="1:2" x14ac:dyDescent="0.45">
      <c r="A1068">
        <v>7933</v>
      </c>
      <c r="B1068" t="s">
        <v>1694</v>
      </c>
    </row>
    <row r="1069" spans="1:2" x14ac:dyDescent="0.45">
      <c r="A1069">
        <v>7941</v>
      </c>
      <c r="B1069" t="s">
        <v>1694</v>
      </c>
    </row>
    <row r="1070" spans="1:2" x14ac:dyDescent="0.45">
      <c r="A1070">
        <v>7948</v>
      </c>
      <c r="B1070" t="s">
        <v>1694</v>
      </c>
    </row>
    <row r="1071" spans="1:2" x14ac:dyDescent="0.45">
      <c r="A1071">
        <v>7990</v>
      </c>
      <c r="B1071" t="s">
        <v>1694</v>
      </c>
    </row>
    <row r="1072" spans="1:2" x14ac:dyDescent="0.45">
      <c r="A1072">
        <v>7991</v>
      </c>
      <c r="B1072" t="s">
        <v>1694</v>
      </c>
    </row>
    <row r="1073" spans="1:2" x14ac:dyDescent="0.45">
      <c r="A1073">
        <v>7992</v>
      </c>
      <c r="B1073" t="s">
        <v>1694</v>
      </c>
    </row>
    <row r="1074" spans="1:2" x14ac:dyDescent="0.45">
      <c r="A1074">
        <v>7993</v>
      </c>
      <c r="B1074" t="s">
        <v>1694</v>
      </c>
    </row>
    <row r="1075" spans="1:2" x14ac:dyDescent="0.45">
      <c r="A1075">
        <v>7996</v>
      </c>
      <c r="B1075" t="s">
        <v>1694</v>
      </c>
    </row>
    <row r="1076" spans="1:2" x14ac:dyDescent="0.45">
      <c r="A1076">
        <v>7997</v>
      </c>
      <c r="B1076" t="s">
        <v>1694</v>
      </c>
    </row>
    <row r="1077" spans="1:2" x14ac:dyDescent="0.45">
      <c r="A1077">
        <v>7999</v>
      </c>
      <c r="B1077" t="s">
        <v>1694</v>
      </c>
    </row>
    <row r="1078" spans="1:2" x14ac:dyDescent="0.45">
      <c r="A1078">
        <v>8000</v>
      </c>
      <c r="B1078" t="s">
        <v>1694</v>
      </c>
    </row>
    <row r="1079" spans="1:2" x14ac:dyDescent="0.45">
      <c r="A1079">
        <v>8011</v>
      </c>
      <c r="B1079" t="s">
        <v>1666</v>
      </c>
    </row>
    <row r="1080" spans="1:2" x14ac:dyDescent="0.45">
      <c r="A1080">
        <v>8021</v>
      </c>
      <c r="B1080" t="s">
        <v>1666</v>
      </c>
    </row>
    <row r="1081" spans="1:2" x14ac:dyDescent="0.45">
      <c r="A1081">
        <v>8031</v>
      </c>
      <c r="B1081" t="s">
        <v>1666</v>
      </c>
    </row>
    <row r="1082" spans="1:2" x14ac:dyDescent="0.45">
      <c r="A1082">
        <v>8041</v>
      </c>
      <c r="B1082" t="s">
        <v>1666</v>
      </c>
    </row>
    <row r="1083" spans="1:2" x14ac:dyDescent="0.45">
      <c r="A1083">
        <v>8042</v>
      </c>
      <c r="B1083" t="s">
        <v>1666</v>
      </c>
    </row>
    <row r="1084" spans="1:2" x14ac:dyDescent="0.45">
      <c r="A1084">
        <v>8043</v>
      </c>
      <c r="B1084" t="s">
        <v>1666</v>
      </c>
    </row>
    <row r="1085" spans="1:2" x14ac:dyDescent="0.45">
      <c r="A1085">
        <v>8049</v>
      </c>
      <c r="B1085" t="s">
        <v>1666</v>
      </c>
    </row>
    <row r="1086" spans="1:2" x14ac:dyDescent="0.45">
      <c r="A1086">
        <v>8050</v>
      </c>
      <c r="B1086" t="s">
        <v>1666</v>
      </c>
    </row>
    <row r="1087" spans="1:2" x14ac:dyDescent="0.45">
      <c r="A1087">
        <v>8051</v>
      </c>
      <c r="B1087" t="s">
        <v>1666</v>
      </c>
    </row>
    <row r="1088" spans="1:2" x14ac:dyDescent="0.45">
      <c r="A1088">
        <v>8052</v>
      </c>
      <c r="B1088" t="s">
        <v>1666</v>
      </c>
    </row>
    <row r="1089" spans="1:2" x14ac:dyDescent="0.45">
      <c r="A1089">
        <v>8059</v>
      </c>
      <c r="B1089" t="s">
        <v>1666</v>
      </c>
    </row>
    <row r="1090" spans="1:2" x14ac:dyDescent="0.45">
      <c r="A1090">
        <v>8060</v>
      </c>
      <c r="B1090" t="s">
        <v>1666</v>
      </c>
    </row>
    <row r="1091" spans="1:2" x14ac:dyDescent="0.45">
      <c r="A1091">
        <v>8062</v>
      </c>
      <c r="B1091" t="s">
        <v>1666</v>
      </c>
    </row>
    <row r="1092" spans="1:2" x14ac:dyDescent="0.45">
      <c r="A1092">
        <v>8063</v>
      </c>
      <c r="B1092" t="s">
        <v>1666</v>
      </c>
    </row>
    <row r="1093" spans="1:2" x14ac:dyDescent="0.45">
      <c r="A1093">
        <v>8069</v>
      </c>
      <c r="B1093" t="s">
        <v>1666</v>
      </c>
    </row>
    <row r="1094" spans="1:2" x14ac:dyDescent="0.45">
      <c r="A1094">
        <v>8071</v>
      </c>
      <c r="B1094" t="s">
        <v>1666</v>
      </c>
    </row>
    <row r="1095" spans="1:2" x14ac:dyDescent="0.45">
      <c r="A1095">
        <v>8072</v>
      </c>
      <c r="B1095" t="s">
        <v>1666</v>
      </c>
    </row>
    <row r="1096" spans="1:2" x14ac:dyDescent="0.45">
      <c r="A1096">
        <v>8082</v>
      </c>
      <c r="B1096" t="s">
        <v>1666</v>
      </c>
    </row>
    <row r="1097" spans="1:2" x14ac:dyDescent="0.45">
      <c r="A1097">
        <v>8090</v>
      </c>
      <c r="B1097" t="s">
        <v>1666</v>
      </c>
    </row>
    <row r="1098" spans="1:2" x14ac:dyDescent="0.45">
      <c r="A1098">
        <v>8092</v>
      </c>
      <c r="B1098" t="s">
        <v>1666</v>
      </c>
    </row>
    <row r="1099" spans="1:2" x14ac:dyDescent="0.45">
      <c r="A1099">
        <v>8093</v>
      </c>
      <c r="B1099" t="s">
        <v>1666</v>
      </c>
    </row>
    <row r="1100" spans="1:2" x14ac:dyDescent="0.45">
      <c r="A1100">
        <v>8099</v>
      </c>
      <c r="B1100" t="s">
        <v>1666</v>
      </c>
    </row>
    <row r="1101" spans="1:2" x14ac:dyDescent="0.45">
      <c r="A1101">
        <v>8111</v>
      </c>
      <c r="B1101" t="s">
        <v>1666</v>
      </c>
    </row>
    <row r="1102" spans="1:2" x14ac:dyDescent="0.45">
      <c r="A1102">
        <v>8200</v>
      </c>
      <c r="B1102" t="s">
        <v>1666</v>
      </c>
    </row>
    <row r="1103" spans="1:2" x14ac:dyDescent="0.45">
      <c r="A1103">
        <v>8211</v>
      </c>
      <c r="B1103" t="s">
        <v>1666</v>
      </c>
    </row>
    <row r="1104" spans="1:2" x14ac:dyDescent="0.45">
      <c r="A1104">
        <v>8221</v>
      </c>
      <c r="B1104" t="s">
        <v>1666</v>
      </c>
    </row>
    <row r="1105" spans="1:2" x14ac:dyDescent="0.45">
      <c r="A1105">
        <v>8222</v>
      </c>
      <c r="B1105" t="s">
        <v>1666</v>
      </c>
    </row>
    <row r="1106" spans="1:2" x14ac:dyDescent="0.45">
      <c r="A1106">
        <v>8231</v>
      </c>
      <c r="B1106" t="s">
        <v>1665</v>
      </c>
    </row>
    <row r="1107" spans="1:2" x14ac:dyDescent="0.45">
      <c r="A1107">
        <v>8243</v>
      </c>
      <c r="B1107" t="s">
        <v>1666</v>
      </c>
    </row>
    <row r="1108" spans="1:2" x14ac:dyDescent="0.45">
      <c r="A1108">
        <v>8244</v>
      </c>
      <c r="B1108" t="s">
        <v>1666</v>
      </c>
    </row>
    <row r="1109" spans="1:2" x14ac:dyDescent="0.45">
      <c r="A1109">
        <v>8249</v>
      </c>
      <c r="B1109" t="s">
        <v>1666</v>
      </c>
    </row>
    <row r="1110" spans="1:2" x14ac:dyDescent="0.45">
      <c r="A1110">
        <v>8299</v>
      </c>
      <c r="B1110" t="s">
        <v>1666</v>
      </c>
    </row>
    <row r="1111" spans="1:2" x14ac:dyDescent="0.45">
      <c r="A1111">
        <v>8300</v>
      </c>
      <c r="B1111" t="s">
        <v>1666</v>
      </c>
    </row>
    <row r="1112" spans="1:2" x14ac:dyDescent="0.45">
      <c r="A1112">
        <v>8322</v>
      </c>
      <c r="B1112" t="s">
        <v>1666</v>
      </c>
    </row>
    <row r="1113" spans="1:2" x14ac:dyDescent="0.45">
      <c r="A1113">
        <v>8331</v>
      </c>
      <c r="B1113" t="s">
        <v>1665</v>
      </c>
    </row>
    <row r="1114" spans="1:2" x14ac:dyDescent="0.45">
      <c r="A1114">
        <v>8351</v>
      </c>
      <c r="B1114" t="s">
        <v>1665</v>
      </c>
    </row>
    <row r="1115" spans="1:2" x14ac:dyDescent="0.45">
      <c r="A1115">
        <v>8361</v>
      </c>
      <c r="B1115" t="s">
        <v>1665</v>
      </c>
    </row>
    <row r="1116" spans="1:2" x14ac:dyDescent="0.45">
      <c r="A1116">
        <v>8399</v>
      </c>
      <c r="B1116" t="s">
        <v>1665</v>
      </c>
    </row>
    <row r="1117" spans="1:2" x14ac:dyDescent="0.45">
      <c r="A1117">
        <v>8412</v>
      </c>
      <c r="B1117" t="s">
        <v>1665</v>
      </c>
    </row>
    <row r="1118" spans="1:2" x14ac:dyDescent="0.45">
      <c r="A1118">
        <v>8422</v>
      </c>
      <c r="B1118" t="s">
        <v>1665</v>
      </c>
    </row>
    <row r="1119" spans="1:2" x14ac:dyDescent="0.45">
      <c r="A1119">
        <v>8611</v>
      </c>
      <c r="B1119" t="s">
        <v>1665</v>
      </c>
    </row>
    <row r="1120" spans="1:2" x14ac:dyDescent="0.45">
      <c r="A1120">
        <v>8621</v>
      </c>
      <c r="B1120" t="s">
        <v>1665</v>
      </c>
    </row>
    <row r="1121" spans="1:2" x14ac:dyDescent="0.45">
      <c r="A1121">
        <v>8631</v>
      </c>
      <c r="B1121" t="s">
        <v>1665</v>
      </c>
    </row>
    <row r="1122" spans="1:2" x14ac:dyDescent="0.45">
      <c r="A1122">
        <v>8641</v>
      </c>
      <c r="B1122" t="s">
        <v>1665</v>
      </c>
    </row>
    <row r="1123" spans="1:2" x14ac:dyDescent="0.45">
      <c r="A1123">
        <v>8651</v>
      </c>
      <c r="B1123" t="s">
        <v>1665</v>
      </c>
    </row>
    <row r="1124" spans="1:2" x14ac:dyDescent="0.45">
      <c r="A1124">
        <v>8661</v>
      </c>
      <c r="B1124" t="s">
        <v>1665</v>
      </c>
    </row>
    <row r="1125" spans="1:2" x14ac:dyDescent="0.45">
      <c r="A1125">
        <v>8699</v>
      </c>
      <c r="B1125" t="s">
        <v>1665</v>
      </c>
    </row>
    <row r="1126" spans="1:2" x14ac:dyDescent="0.45">
      <c r="A1126">
        <v>8700</v>
      </c>
      <c r="B1126" t="s">
        <v>1665</v>
      </c>
    </row>
    <row r="1127" spans="1:2" x14ac:dyDescent="0.45">
      <c r="A1127">
        <v>8711</v>
      </c>
      <c r="B1127" t="s">
        <v>1666</v>
      </c>
    </row>
    <row r="1128" spans="1:2" x14ac:dyDescent="0.45">
      <c r="A1128">
        <v>8712</v>
      </c>
      <c r="B1128" t="s">
        <v>1666</v>
      </c>
    </row>
    <row r="1129" spans="1:2" x14ac:dyDescent="0.45">
      <c r="A1129">
        <v>8713</v>
      </c>
      <c r="B1129" t="s">
        <v>1666</v>
      </c>
    </row>
    <row r="1130" spans="1:2" x14ac:dyDescent="0.45">
      <c r="A1130">
        <v>8721</v>
      </c>
      <c r="B1130" t="s">
        <v>1666</v>
      </c>
    </row>
    <row r="1131" spans="1:2" x14ac:dyDescent="0.45">
      <c r="A1131">
        <v>8731</v>
      </c>
      <c r="B1131" t="s">
        <v>1666</v>
      </c>
    </row>
    <row r="1132" spans="1:2" x14ac:dyDescent="0.45">
      <c r="A1132">
        <v>8732</v>
      </c>
      <c r="B1132" t="s">
        <v>1666</v>
      </c>
    </row>
    <row r="1133" spans="1:2" x14ac:dyDescent="0.45">
      <c r="A1133">
        <v>8733</v>
      </c>
      <c r="B1133" t="s">
        <v>1666</v>
      </c>
    </row>
    <row r="1134" spans="1:2" x14ac:dyDescent="0.45">
      <c r="A1134">
        <v>8734</v>
      </c>
      <c r="B1134" t="s">
        <v>1666</v>
      </c>
    </row>
    <row r="1135" spans="1:2" x14ac:dyDescent="0.45">
      <c r="A1135">
        <v>8741</v>
      </c>
      <c r="B1135" t="s">
        <v>1666</v>
      </c>
    </row>
    <row r="1136" spans="1:2" x14ac:dyDescent="0.45">
      <c r="A1136">
        <v>8742</v>
      </c>
      <c r="B1136" t="s">
        <v>1666</v>
      </c>
    </row>
    <row r="1137" spans="1:2" x14ac:dyDescent="0.45">
      <c r="A1137">
        <v>8743</v>
      </c>
      <c r="B1137" t="s">
        <v>1665</v>
      </c>
    </row>
    <row r="1138" spans="1:2" x14ac:dyDescent="0.45">
      <c r="A1138">
        <v>8744</v>
      </c>
      <c r="B1138" t="s">
        <v>1665</v>
      </c>
    </row>
    <row r="1139" spans="1:2" x14ac:dyDescent="0.45">
      <c r="A1139">
        <v>8748</v>
      </c>
      <c r="B1139" t="s">
        <v>1666</v>
      </c>
    </row>
    <row r="1140" spans="1:2" x14ac:dyDescent="0.45">
      <c r="A1140">
        <v>8811</v>
      </c>
      <c r="B1140" t="s">
        <v>1665</v>
      </c>
    </row>
    <row r="1141" spans="1:2" x14ac:dyDescent="0.45">
      <c r="A1141">
        <v>8900</v>
      </c>
      <c r="B1141" t="s">
        <v>1665</v>
      </c>
    </row>
    <row r="1142" spans="1:2" x14ac:dyDescent="0.45">
      <c r="A1142">
        <v>8999</v>
      </c>
      <c r="B1142" t="s">
        <v>1665</v>
      </c>
    </row>
    <row r="1143" spans="1:2" x14ac:dyDescent="0.45">
      <c r="A1143">
        <v>9111</v>
      </c>
      <c r="B1143" t="s">
        <v>1665</v>
      </c>
    </row>
    <row r="1144" spans="1:2" x14ac:dyDescent="0.45">
      <c r="A1144">
        <v>9121</v>
      </c>
      <c r="B1144" t="s">
        <v>1665</v>
      </c>
    </row>
    <row r="1145" spans="1:2" x14ac:dyDescent="0.45">
      <c r="A1145">
        <v>9131</v>
      </c>
      <c r="B1145" t="s">
        <v>1665</v>
      </c>
    </row>
    <row r="1146" spans="1:2" x14ac:dyDescent="0.45">
      <c r="A1146">
        <v>9199</v>
      </c>
      <c r="B1146" t="s">
        <v>1665</v>
      </c>
    </row>
    <row r="1147" spans="1:2" x14ac:dyDescent="0.45">
      <c r="A1147">
        <v>9211</v>
      </c>
      <c r="B1147" t="s">
        <v>1665</v>
      </c>
    </row>
    <row r="1148" spans="1:2" x14ac:dyDescent="0.45">
      <c r="A1148">
        <v>9221</v>
      </c>
      <c r="B1148" t="s">
        <v>1665</v>
      </c>
    </row>
    <row r="1149" spans="1:2" x14ac:dyDescent="0.45">
      <c r="A1149">
        <v>9222</v>
      </c>
      <c r="B1149" t="s">
        <v>1665</v>
      </c>
    </row>
    <row r="1150" spans="1:2" x14ac:dyDescent="0.45">
      <c r="A1150">
        <v>9223</v>
      </c>
      <c r="B1150" t="s">
        <v>1665</v>
      </c>
    </row>
    <row r="1151" spans="1:2" x14ac:dyDescent="0.45">
      <c r="A1151">
        <v>9224</v>
      </c>
      <c r="B1151" t="s">
        <v>1665</v>
      </c>
    </row>
    <row r="1152" spans="1:2" x14ac:dyDescent="0.45">
      <c r="A1152">
        <v>9229</v>
      </c>
      <c r="B1152" t="s">
        <v>1665</v>
      </c>
    </row>
    <row r="1153" spans="1:2" x14ac:dyDescent="0.45">
      <c r="A1153">
        <v>9311</v>
      </c>
      <c r="B1153" t="s">
        <v>1665</v>
      </c>
    </row>
    <row r="1154" spans="1:2" x14ac:dyDescent="0.45">
      <c r="A1154">
        <v>9411</v>
      </c>
      <c r="B1154" t="s">
        <v>1665</v>
      </c>
    </row>
    <row r="1155" spans="1:2" x14ac:dyDescent="0.45">
      <c r="A1155">
        <v>9431</v>
      </c>
      <c r="B1155" t="s">
        <v>1665</v>
      </c>
    </row>
    <row r="1156" spans="1:2" x14ac:dyDescent="0.45">
      <c r="A1156">
        <v>9441</v>
      </c>
      <c r="B1156" t="s">
        <v>1665</v>
      </c>
    </row>
    <row r="1157" spans="1:2" x14ac:dyDescent="0.45">
      <c r="A1157">
        <v>9451</v>
      </c>
      <c r="B1157" t="s">
        <v>1665</v>
      </c>
    </row>
    <row r="1158" spans="1:2" x14ac:dyDescent="0.45">
      <c r="A1158">
        <v>9511</v>
      </c>
      <c r="B1158" t="s">
        <v>1665</v>
      </c>
    </row>
    <row r="1159" spans="1:2" x14ac:dyDescent="0.45">
      <c r="A1159">
        <v>9512</v>
      </c>
      <c r="B1159" t="s">
        <v>1665</v>
      </c>
    </row>
    <row r="1160" spans="1:2" x14ac:dyDescent="0.45">
      <c r="A1160">
        <v>9531</v>
      </c>
      <c r="B1160" t="s">
        <v>1665</v>
      </c>
    </row>
    <row r="1161" spans="1:2" x14ac:dyDescent="0.45">
      <c r="A1161">
        <v>9532</v>
      </c>
      <c r="B1161" t="s">
        <v>1665</v>
      </c>
    </row>
    <row r="1162" spans="1:2" x14ac:dyDescent="0.45">
      <c r="A1162">
        <v>9611</v>
      </c>
      <c r="B1162" t="s">
        <v>1665</v>
      </c>
    </row>
    <row r="1163" spans="1:2" x14ac:dyDescent="0.45">
      <c r="A1163">
        <v>9621</v>
      </c>
      <c r="B1163" t="s">
        <v>1665</v>
      </c>
    </row>
    <row r="1164" spans="1:2" x14ac:dyDescent="0.45">
      <c r="A1164">
        <v>9631</v>
      </c>
      <c r="B1164" t="s">
        <v>1665</v>
      </c>
    </row>
    <row r="1165" spans="1:2" x14ac:dyDescent="0.45">
      <c r="A1165">
        <v>9641</v>
      </c>
      <c r="B1165" t="s">
        <v>1665</v>
      </c>
    </row>
    <row r="1166" spans="1:2" x14ac:dyDescent="0.45">
      <c r="A1166">
        <v>9651</v>
      </c>
      <c r="B1166" t="s">
        <v>1665</v>
      </c>
    </row>
    <row r="1167" spans="1:2" x14ac:dyDescent="0.45">
      <c r="A1167">
        <v>9661</v>
      </c>
      <c r="B1167" t="s">
        <v>1665</v>
      </c>
    </row>
    <row r="1168" spans="1:2" x14ac:dyDescent="0.45">
      <c r="A1168">
        <v>9711</v>
      </c>
      <c r="B1168" t="s">
        <v>1665</v>
      </c>
    </row>
    <row r="1169" spans="1:2" x14ac:dyDescent="0.45">
      <c r="A1169">
        <v>9721</v>
      </c>
      <c r="B1169" t="s">
        <v>1665</v>
      </c>
    </row>
    <row r="1170" spans="1:2" x14ac:dyDescent="0.45">
      <c r="A1170">
        <v>9995</v>
      </c>
      <c r="B1170" t="s">
        <v>1665</v>
      </c>
    </row>
    <row r="1171" spans="1:2" x14ac:dyDescent="0.45">
      <c r="A1171">
        <v>9999</v>
      </c>
      <c r="B1171" t="s">
        <v>1665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4E36-F534-4291-B872-0F148D4BCECD}">
  <dimension ref="A1:E36"/>
  <sheetViews>
    <sheetView workbookViewId="0">
      <selection activeCell="J1" sqref="J1"/>
    </sheetView>
  </sheetViews>
  <sheetFormatPr defaultRowHeight="14.25" x14ac:dyDescent="0.45"/>
  <cols>
    <col min="1" max="1" width="30" bestFit="1" customWidth="1"/>
    <col min="2" max="2" width="14.1328125" bestFit="1" customWidth="1"/>
  </cols>
  <sheetData>
    <row r="1" spans="1:5" x14ac:dyDescent="0.45">
      <c r="A1" t="s">
        <v>1695</v>
      </c>
      <c r="B1" t="s">
        <v>1696</v>
      </c>
      <c r="C1" t="s">
        <v>1535</v>
      </c>
      <c r="D1" t="s">
        <v>1536</v>
      </c>
      <c r="E1" t="s">
        <v>1697</v>
      </c>
    </row>
    <row r="2" spans="1:5" x14ac:dyDescent="0.45">
      <c r="A2" t="s">
        <v>1692</v>
      </c>
      <c r="B2" t="s">
        <v>1698</v>
      </c>
      <c r="C2">
        <v>1</v>
      </c>
      <c r="D2">
        <v>1.5</v>
      </c>
      <c r="E2">
        <v>1.25</v>
      </c>
    </row>
    <row r="3" spans="1:5" x14ac:dyDescent="0.45">
      <c r="A3" t="s">
        <v>1665</v>
      </c>
      <c r="B3" t="s">
        <v>1699</v>
      </c>
      <c r="C3">
        <v>0.8</v>
      </c>
      <c r="D3">
        <v>1.5</v>
      </c>
      <c r="E3">
        <v>1</v>
      </c>
    </row>
    <row r="4" spans="1:5" x14ac:dyDescent="0.45">
      <c r="A4" t="s">
        <v>1688</v>
      </c>
      <c r="B4" t="s">
        <v>1700</v>
      </c>
      <c r="C4">
        <v>0.8</v>
      </c>
      <c r="D4">
        <v>1.2</v>
      </c>
      <c r="E4">
        <v>1</v>
      </c>
    </row>
    <row r="5" spans="1:5" x14ac:dyDescent="0.45">
      <c r="A5" t="s">
        <v>1694</v>
      </c>
      <c r="B5" t="s">
        <v>1700</v>
      </c>
      <c r="C5">
        <v>0.8</v>
      </c>
      <c r="D5">
        <v>1.2</v>
      </c>
      <c r="E5">
        <v>1</v>
      </c>
    </row>
    <row r="6" spans="1:5" x14ac:dyDescent="0.45">
      <c r="A6" t="s">
        <v>1669</v>
      </c>
      <c r="B6" t="s">
        <v>1701</v>
      </c>
      <c r="C6">
        <v>1</v>
      </c>
      <c r="D6">
        <v>1.3</v>
      </c>
      <c r="E6">
        <v>1.1499999999999999</v>
      </c>
    </row>
    <row r="7" spans="1:5" x14ac:dyDescent="0.45">
      <c r="A7" t="s">
        <v>1702</v>
      </c>
      <c r="B7" t="s">
        <v>1703</v>
      </c>
      <c r="C7">
        <v>0.9</v>
      </c>
      <c r="D7">
        <v>1.3</v>
      </c>
      <c r="E7">
        <v>1.1000000000000001</v>
      </c>
    </row>
    <row r="8" spans="1:5" x14ac:dyDescent="0.45">
      <c r="A8" t="s">
        <v>1667</v>
      </c>
      <c r="B8" t="s">
        <v>1700</v>
      </c>
      <c r="C8">
        <v>0.8</v>
      </c>
      <c r="D8">
        <v>1.2</v>
      </c>
      <c r="E8">
        <v>1</v>
      </c>
    </row>
    <row r="9" spans="1:5" x14ac:dyDescent="0.45">
      <c r="A9" t="s">
        <v>1689</v>
      </c>
      <c r="B9" t="s">
        <v>1698</v>
      </c>
      <c r="C9">
        <v>1</v>
      </c>
      <c r="D9">
        <v>1.5</v>
      </c>
      <c r="E9">
        <v>1.25</v>
      </c>
    </row>
    <row r="10" spans="1:5" x14ac:dyDescent="0.45">
      <c r="A10" t="s">
        <v>1664</v>
      </c>
      <c r="B10" t="s">
        <v>1700</v>
      </c>
      <c r="C10">
        <v>0.8</v>
      </c>
      <c r="D10">
        <v>1.2</v>
      </c>
      <c r="E10">
        <v>1</v>
      </c>
    </row>
    <row r="11" spans="1:5" x14ac:dyDescent="0.45">
      <c r="A11" t="s">
        <v>1691</v>
      </c>
      <c r="B11" t="s">
        <v>1698</v>
      </c>
      <c r="C11">
        <v>1</v>
      </c>
      <c r="D11">
        <v>1.5</v>
      </c>
      <c r="E11">
        <v>1.25</v>
      </c>
    </row>
    <row r="12" spans="1:5" x14ac:dyDescent="0.45">
      <c r="A12" t="s">
        <v>1704</v>
      </c>
      <c r="B12" t="s">
        <v>1705</v>
      </c>
      <c r="C12">
        <v>1.5</v>
      </c>
      <c r="D12">
        <v>4</v>
      </c>
      <c r="E12">
        <v>2.75</v>
      </c>
    </row>
    <row r="13" spans="1:5" x14ac:dyDescent="0.45">
      <c r="A13" t="s">
        <v>1673</v>
      </c>
      <c r="B13" t="s">
        <v>1700</v>
      </c>
      <c r="C13">
        <v>0.8</v>
      </c>
      <c r="D13">
        <v>1.2</v>
      </c>
      <c r="E13">
        <v>1</v>
      </c>
    </row>
    <row r="14" spans="1:5" x14ac:dyDescent="0.45">
      <c r="A14" t="s">
        <v>1672</v>
      </c>
      <c r="B14" t="s">
        <v>1700</v>
      </c>
      <c r="C14">
        <v>0.8</v>
      </c>
      <c r="D14">
        <v>1.2</v>
      </c>
      <c r="E14">
        <v>1</v>
      </c>
    </row>
    <row r="15" spans="1:5" x14ac:dyDescent="0.45">
      <c r="A15" t="s">
        <v>1681</v>
      </c>
      <c r="B15" t="s">
        <v>1698</v>
      </c>
      <c r="C15">
        <v>1</v>
      </c>
      <c r="D15">
        <v>1.5</v>
      </c>
      <c r="E15">
        <v>1.25</v>
      </c>
    </row>
    <row r="16" spans="1:5" x14ac:dyDescent="0.45">
      <c r="A16" t="s">
        <v>1677</v>
      </c>
      <c r="B16" t="s">
        <v>1698</v>
      </c>
      <c r="C16">
        <v>1</v>
      </c>
      <c r="D16">
        <v>1.5</v>
      </c>
      <c r="E16">
        <v>1.25</v>
      </c>
    </row>
    <row r="17" spans="1:5" x14ac:dyDescent="0.45">
      <c r="A17" t="s">
        <v>1680</v>
      </c>
      <c r="B17" t="s">
        <v>1706</v>
      </c>
      <c r="C17">
        <v>2</v>
      </c>
      <c r="D17">
        <v>4</v>
      </c>
      <c r="E17">
        <v>3</v>
      </c>
    </row>
    <row r="18" spans="1:5" x14ac:dyDescent="0.45">
      <c r="A18" t="s">
        <v>1682</v>
      </c>
      <c r="B18" t="s">
        <v>1707</v>
      </c>
      <c r="C18">
        <v>1.5</v>
      </c>
      <c r="D18">
        <v>3</v>
      </c>
      <c r="E18">
        <v>2.25</v>
      </c>
    </row>
    <row r="19" spans="1:5" x14ac:dyDescent="0.45">
      <c r="A19" t="s">
        <v>1674</v>
      </c>
      <c r="B19" t="s">
        <v>1700</v>
      </c>
      <c r="C19">
        <v>0.8</v>
      </c>
      <c r="D19">
        <v>1.2</v>
      </c>
      <c r="E19">
        <v>1</v>
      </c>
    </row>
    <row r="20" spans="1:5" x14ac:dyDescent="0.45">
      <c r="A20" t="s">
        <v>1679</v>
      </c>
      <c r="B20" t="s">
        <v>1698</v>
      </c>
      <c r="C20">
        <v>1</v>
      </c>
      <c r="D20">
        <v>1.5</v>
      </c>
      <c r="E20">
        <v>1.25</v>
      </c>
    </row>
    <row r="21" spans="1:5" x14ac:dyDescent="0.45">
      <c r="A21" t="s">
        <v>1668</v>
      </c>
      <c r="B21" t="s">
        <v>1708</v>
      </c>
      <c r="C21">
        <v>1.2</v>
      </c>
      <c r="D21">
        <v>1.8</v>
      </c>
      <c r="E21">
        <v>1.5</v>
      </c>
    </row>
    <row r="22" spans="1:5" x14ac:dyDescent="0.45">
      <c r="A22" t="s">
        <v>1675</v>
      </c>
      <c r="B22" t="s">
        <v>1700</v>
      </c>
      <c r="C22">
        <v>0.8</v>
      </c>
      <c r="D22">
        <v>1.2</v>
      </c>
      <c r="E22">
        <v>1</v>
      </c>
    </row>
    <row r="23" spans="1:5" x14ac:dyDescent="0.45">
      <c r="A23" t="s">
        <v>1678</v>
      </c>
      <c r="B23" t="s">
        <v>1700</v>
      </c>
      <c r="C23">
        <v>0.8</v>
      </c>
      <c r="D23">
        <v>1.2</v>
      </c>
      <c r="E23">
        <v>1</v>
      </c>
    </row>
    <row r="24" spans="1:5" x14ac:dyDescent="0.45">
      <c r="A24" t="s">
        <v>1676</v>
      </c>
      <c r="B24" t="s">
        <v>1700</v>
      </c>
      <c r="C24">
        <v>0.8</v>
      </c>
      <c r="D24">
        <v>1.2</v>
      </c>
      <c r="E24">
        <v>1</v>
      </c>
    </row>
    <row r="25" spans="1:5" x14ac:dyDescent="0.45">
      <c r="A25" t="s">
        <v>1666</v>
      </c>
      <c r="B25" t="s">
        <v>1709</v>
      </c>
      <c r="C25">
        <v>1</v>
      </c>
      <c r="D25">
        <v>1.4</v>
      </c>
      <c r="E25">
        <v>1.2</v>
      </c>
    </row>
    <row r="26" spans="1:5" x14ac:dyDescent="0.45">
      <c r="A26" t="s">
        <v>1690</v>
      </c>
      <c r="B26" t="s">
        <v>1708</v>
      </c>
      <c r="C26">
        <v>1.2</v>
      </c>
      <c r="D26">
        <v>1.8</v>
      </c>
      <c r="E26">
        <v>1.5</v>
      </c>
    </row>
    <row r="27" spans="1:5" x14ac:dyDescent="0.45">
      <c r="A27" t="s">
        <v>1693</v>
      </c>
      <c r="B27" t="s">
        <v>1710</v>
      </c>
      <c r="C27">
        <v>2.5</v>
      </c>
      <c r="D27">
        <v>4</v>
      </c>
      <c r="E27">
        <v>3.25</v>
      </c>
    </row>
    <row r="28" spans="1:5" x14ac:dyDescent="0.45">
      <c r="A28" t="s">
        <v>1711</v>
      </c>
      <c r="B28" t="s">
        <v>1700</v>
      </c>
      <c r="C28">
        <v>0.8</v>
      </c>
      <c r="D28">
        <v>1.2</v>
      </c>
      <c r="E28">
        <v>1</v>
      </c>
    </row>
    <row r="29" spans="1:5" x14ac:dyDescent="0.45">
      <c r="A29" t="s">
        <v>1686</v>
      </c>
      <c r="B29" t="s">
        <v>1712</v>
      </c>
      <c r="C29">
        <v>1.2</v>
      </c>
      <c r="D29">
        <v>2</v>
      </c>
      <c r="E29">
        <v>1.4</v>
      </c>
    </row>
    <row r="30" spans="1:5" x14ac:dyDescent="0.45">
      <c r="A30" t="s">
        <v>1671</v>
      </c>
      <c r="B30" t="s">
        <v>1713</v>
      </c>
      <c r="C30">
        <v>0.9</v>
      </c>
      <c r="D30">
        <v>1.4</v>
      </c>
      <c r="E30">
        <v>1.1499999999999999</v>
      </c>
    </row>
    <row r="31" spans="1:5" x14ac:dyDescent="0.45">
      <c r="A31" t="s">
        <v>1670</v>
      </c>
      <c r="B31" t="s">
        <v>1707</v>
      </c>
      <c r="C31">
        <v>1.5</v>
      </c>
      <c r="D31">
        <v>3</v>
      </c>
      <c r="E31">
        <v>2.25</v>
      </c>
    </row>
    <row r="32" spans="1:5" x14ac:dyDescent="0.45">
      <c r="A32" t="s">
        <v>1685</v>
      </c>
      <c r="B32" t="s">
        <v>1714</v>
      </c>
      <c r="C32">
        <v>1.5</v>
      </c>
      <c r="D32">
        <v>2</v>
      </c>
      <c r="E32">
        <v>1.75</v>
      </c>
    </row>
    <row r="33" spans="1:5" x14ac:dyDescent="0.45">
      <c r="A33" t="s">
        <v>1683</v>
      </c>
      <c r="B33" t="s">
        <v>1698</v>
      </c>
      <c r="C33">
        <v>1</v>
      </c>
      <c r="D33">
        <v>1.5</v>
      </c>
      <c r="E33">
        <v>1.25</v>
      </c>
    </row>
    <row r="34" spans="1:5" x14ac:dyDescent="0.45">
      <c r="A34" t="s">
        <v>1684</v>
      </c>
      <c r="B34" t="s">
        <v>1698</v>
      </c>
      <c r="C34">
        <v>1</v>
      </c>
      <c r="D34">
        <v>1.5</v>
      </c>
      <c r="E34">
        <v>1.25</v>
      </c>
    </row>
    <row r="35" spans="1:5" x14ac:dyDescent="0.45">
      <c r="A35" t="s">
        <v>1687</v>
      </c>
      <c r="B35" t="s">
        <v>1715</v>
      </c>
      <c r="C35">
        <v>0.7</v>
      </c>
      <c r="D35">
        <v>1.7</v>
      </c>
      <c r="E35">
        <v>1.1000000000000001</v>
      </c>
    </row>
    <row r="36" spans="1:5" x14ac:dyDescent="0.45">
      <c r="A36" t="s">
        <v>1716</v>
      </c>
      <c r="B36" t="s">
        <v>1708</v>
      </c>
      <c r="C36">
        <v>1.2</v>
      </c>
      <c r="D36">
        <v>1.8</v>
      </c>
      <c r="E36">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7CC2-93CB-40C2-B5CF-C7531022E849}">
  <dimension ref="A1:H12"/>
  <sheetViews>
    <sheetView workbookViewId="0">
      <selection activeCell="F12" sqref="F12"/>
    </sheetView>
  </sheetViews>
  <sheetFormatPr defaultRowHeight="14.25" x14ac:dyDescent="0.45"/>
  <cols>
    <col min="1" max="1" width="17.1328125" bestFit="1" customWidth="1"/>
    <col min="2" max="2" width="12" bestFit="1" customWidth="1"/>
  </cols>
  <sheetData>
    <row r="1" spans="1:8" x14ac:dyDescent="0.45">
      <c r="A1" t="s">
        <v>1926</v>
      </c>
      <c r="B1" t="s">
        <v>1646</v>
      </c>
      <c r="C1">
        <v>100000</v>
      </c>
      <c r="D1">
        <v>250000</v>
      </c>
      <c r="E1">
        <v>500000</v>
      </c>
      <c r="F1">
        <v>1000000</v>
      </c>
      <c r="G1">
        <v>2500000</v>
      </c>
      <c r="H1">
        <v>5000001</v>
      </c>
    </row>
    <row r="2" spans="1:8" x14ac:dyDescent="0.45">
      <c r="A2" t="s">
        <v>1915</v>
      </c>
      <c r="B2">
        <v>0</v>
      </c>
      <c r="C2">
        <v>1</v>
      </c>
      <c r="D2">
        <v>0.9</v>
      </c>
      <c r="E2">
        <v>0.8</v>
      </c>
      <c r="F2">
        <v>0.7</v>
      </c>
      <c r="G2">
        <v>0.7</v>
      </c>
      <c r="H2">
        <v>0.7</v>
      </c>
    </row>
    <row r="3" spans="1:8" x14ac:dyDescent="0.45">
      <c r="A3" t="s">
        <v>1916</v>
      </c>
      <c r="B3">
        <v>25000000</v>
      </c>
      <c r="C3">
        <v>1</v>
      </c>
      <c r="D3">
        <v>0.9</v>
      </c>
      <c r="E3">
        <v>0.8</v>
      </c>
      <c r="F3">
        <v>0.7</v>
      </c>
      <c r="G3">
        <v>0.7</v>
      </c>
      <c r="H3">
        <v>0.7</v>
      </c>
    </row>
    <row r="4" spans="1:8" x14ac:dyDescent="0.45">
      <c r="A4" t="s">
        <v>1917</v>
      </c>
      <c r="B4">
        <v>50000000</v>
      </c>
      <c r="C4">
        <v>1</v>
      </c>
      <c r="D4">
        <v>0.9</v>
      </c>
      <c r="E4">
        <v>0.8</v>
      </c>
      <c r="F4">
        <v>0.7</v>
      </c>
      <c r="G4">
        <v>0.7</v>
      </c>
      <c r="H4">
        <v>0.7</v>
      </c>
    </row>
    <row r="5" spans="1:8" x14ac:dyDescent="0.45">
      <c r="A5" t="s">
        <v>1918</v>
      </c>
      <c r="B5">
        <v>100000000</v>
      </c>
      <c r="C5">
        <v>1</v>
      </c>
      <c r="D5">
        <v>0.9</v>
      </c>
      <c r="E5">
        <v>0.8</v>
      </c>
      <c r="F5">
        <v>0.7</v>
      </c>
      <c r="G5">
        <v>0.7</v>
      </c>
      <c r="H5">
        <v>0.7</v>
      </c>
    </row>
    <row r="6" spans="1:8" x14ac:dyDescent="0.45">
      <c r="A6" t="s">
        <v>1919</v>
      </c>
      <c r="B6">
        <v>250000000</v>
      </c>
      <c r="C6">
        <v>1.1000000000000001</v>
      </c>
      <c r="D6">
        <v>1</v>
      </c>
      <c r="E6">
        <v>0.9</v>
      </c>
      <c r="F6">
        <v>0.8</v>
      </c>
      <c r="G6">
        <v>0.7</v>
      </c>
      <c r="H6">
        <v>0.7</v>
      </c>
    </row>
    <row r="7" spans="1:8" x14ac:dyDescent="0.45">
      <c r="A7" t="s">
        <v>1920</v>
      </c>
      <c r="B7">
        <v>500000000</v>
      </c>
      <c r="C7">
        <v>0</v>
      </c>
      <c r="D7">
        <v>1</v>
      </c>
      <c r="E7">
        <v>0.9</v>
      </c>
      <c r="F7">
        <v>0.8</v>
      </c>
      <c r="G7">
        <v>0.7</v>
      </c>
      <c r="H7">
        <v>0.7</v>
      </c>
    </row>
    <row r="8" spans="1:8" x14ac:dyDescent="0.45">
      <c r="A8" t="s">
        <v>1921</v>
      </c>
      <c r="B8">
        <v>1000000000</v>
      </c>
      <c r="C8">
        <v>0</v>
      </c>
      <c r="D8">
        <v>1</v>
      </c>
      <c r="E8">
        <v>0.9</v>
      </c>
      <c r="F8">
        <v>0.8</v>
      </c>
      <c r="G8">
        <v>0.7</v>
      </c>
      <c r="H8">
        <v>0.7</v>
      </c>
    </row>
    <row r="9" spans="1:8" x14ac:dyDescent="0.45">
      <c r="A9" t="s">
        <v>1922</v>
      </c>
      <c r="B9">
        <v>2500000000</v>
      </c>
      <c r="C9">
        <v>0</v>
      </c>
      <c r="D9">
        <v>1.25</v>
      </c>
      <c r="E9">
        <v>1</v>
      </c>
      <c r="F9">
        <v>0.9</v>
      </c>
      <c r="G9">
        <v>0.8</v>
      </c>
      <c r="H9">
        <v>0.7</v>
      </c>
    </row>
    <row r="10" spans="1:8" x14ac:dyDescent="0.45">
      <c r="A10" t="s">
        <v>1923</v>
      </c>
      <c r="B10">
        <v>5000000000</v>
      </c>
      <c r="C10">
        <v>0</v>
      </c>
      <c r="D10">
        <v>1.25</v>
      </c>
      <c r="E10">
        <v>1.1000000000000001</v>
      </c>
      <c r="F10">
        <v>1</v>
      </c>
      <c r="G10">
        <v>0.9</v>
      </c>
      <c r="H10">
        <v>0.8</v>
      </c>
    </row>
    <row r="11" spans="1:8" x14ac:dyDescent="0.45">
      <c r="A11" t="s">
        <v>1924</v>
      </c>
      <c r="B11">
        <v>10000000000</v>
      </c>
      <c r="C11">
        <v>0</v>
      </c>
      <c r="D11">
        <v>1.5</v>
      </c>
      <c r="E11">
        <v>1.1000000000000001</v>
      </c>
      <c r="F11">
        <v>1</v>
      </c>
      <c r="G11">
        <v>0.9</v>
      </c>
      <c r="H11">
        <v>0.8</v>
      </c>
    </row>
    <row r="12" spans="1:8" x14ac:dyDescent="0.45">
      <c r="A12" t="s">
        <v>1925</v>
      </c>
      <c r="B12">
        <v>50000000000</v>
      </c>
      <c r="C12">
        <v>0</v>
      </c>
      <c r="D12">
        <v>2</v>
      </c>
      <c r="E12">
        <v>1.25</v>
      </c>
      <c r="F12">
        <v>1.1000000000000001</v>
      </c>
      <c r="G12">
        <v>1</v>
      </c>
      <c r="H12">
        <v>0.9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18DF-AC7B-4891-BB68-0B2757754EB3}">
  <dimension ref="A1:I12"/>
  <sheetViews>
    <sheetView workbookViewId="0">
      <selection activeCell="L47" sqref="L47"/>
    </sheetView>
  </sheetViews>
  <sheetFormatPr defaultRowHeight="14.25" x14ac:dyDescent="0.45"/>
  <cols>
    <col min="1" max="1" width="17.1328125" bestFit="1" customWidth="1"/>
    <col min="2" max="2" width="12" bestFit="1" customWidth="1"/>
  </cols>
  <sheetData>
    <row r="1" spans="1:9" x14ac:dyDescent="0.45">
      <c r="A1" t="s">
        <v>1926</v>
      </c>
      <c r="B1" t="s">
        <v>1646</v>
      </c>
      <c r="C1">
        <v>10000</v>
      </c>
      <c r="D1">
        <v>100000</v>
      </c>
      <c r="E1">
        <v>250000</v>
      </c>
      <c r="F1">
        <v>500000</v>
      </c>
      <c r="G1">
        <v>1000000</v>
      </c>
      <c r="H1">
        <v>2500000</v>
      </c>
      <c r="I1">
        <v>5000001</v>
      </c>
    </row>
    <row r="2" spans="1:9" x14ac:dyDescent="0.45">
      <c r="A2" t="s">
        <v>1915</v>
      </c>
      <c r="B2">
        <v>0</v>
      </c>
      <c r="C2">
        <v>1.3</v>
      </c>
      <c r="D2">
        <v>1</v>
      </c>
      <c r="E2">
        <v>0.9</v>
      </c>
      <c r="F2">
        <v>0.8</v>
      </c>
      <c r="G2">
        <v>0.7</v>
      </c>
      <c r="H2">
        <v>0.7</v>
      </c>
      <c r="I2">
        <v>0.7</v>
      </c>
    </row>
    <row r="3" spans="1:9" x14ac:dyDescent="0.45">
      <c r="A3" t="s">
        <v>1916</v>
      </c>
      <c r="B3">
        <v>25000000</v>
      </c>
      <c r="C3">
        <v>1.3</v>
      </c>
      <c r="D3">
        <v>1</v>
      </c>
      <c r="E3">
        <v>0.9</v>
      </c>
      <c r="F3">
        <v>0.8</v>
      </c>
      <c r="G3">
        <v>0.7</v>
      </c>
      <c r="H3">
        <v>0.7</v>
      </c>
      <c r="I3">
        <v>0.7</v>
      </c>
    </row>
    <row r="4" spans="1:9" x14ac:dyDescent="0.45">
      <c r="A4" t="s">
        <v>1917</v>
      </c>
      <c r="B4">
        <v>50000000</v>
      </c>
      <c r="C4">
        <v>1.3</v>
      </c>
      <c r="D4">
        <v>1</v>
      </c>
      <c r="E4">
        <v>0.9</v>
      </c>
      <c r="F4">
        <v>0.8</v>
      </c>
      <c r="G4">
        <v>0.7</v>
      </c>
      <c r="H4">
        <v>0.7</v>
      </c>
      <c r="I4">
        <v>0.7</v>
      </c>
    </row>
    <row r="5" spans="1:9" x14ac:dyDescent="0.45">
      <c r="A5" t="s">
        <v>1918</v>
      </c>
      <c r="B5">
        <v>100000000</v>
      </c>
      <c r="C5">
        <v>1.3</v>
      </c>
      <c r="D5">
        <v>1</v>
      </c>
      <c r="E5">
        <v>0.9</v>
      </c>
      <c r="F5">
        <v>0.8</v>
      </c>
      <c r="G5">
        <v>0.7</v>
      </c>
      <c r="H5">
        <v>0.7</v>
      </c>
      <c r="I5">
        <v>0.7</v>
      </c>
    </row>
    <row r="6" spans="1:9" x14ac:dyDescent="0.45">
      <c r="A6" t="s">
        <v>1919</v>
      </c>
      <c r="B6">
        <v>250000000</v>
      </c>
      <c r="C6">
        <v>1.2</v>
      </c>
      <c r="D6">
        <v>1.1000000000000001</v>
      </c>
      <c r="E6">
        <v>1</v>
      </c>
      <c r="F6">
        <v>0.9</v>
      </c>
      <c r="G6">
        <v>0.8</v>
      </c>
      <c r="H6">
        <v>0.7</v>
      </c>
      <c r="I6">
        <v>0.7</v>
      </c>
    </row>
    <row r="7" spans="1:9" x14ac:dyDescent="0.45">
      <c r="A7" t="s">
        <v>1920</v>
      </c>
      <c r="B7">
        <v>500000000</v>
      </c>
      <c r="C7">
        <v>0</v>
      </c>
      <c r="D7">
        <v>1.2</v>
      </c>
      <c r="E7">
        <v>1</v>
      </c>
      <c r="F7">
        <v>0.9</v>
      </c>
      <c r="G7">
        <v>0.8</v>
      </c>
      <c r="H7">
        <v>0.7</v>
      </c>
      <c r="I7">
        <v>0.7</v>
      </c>
    </row>
    <row r="8" spans="1:9" x14ac:dyDescent="0.45">
      <c r="A8" t="s">
        <v>1921</v>
      </c>
      <c r="B8">
        <v>1000000000</v>
      </c>
      <c r="C8">
        <v>0</v>
      </c>
      <c r="D8">
        <v>1.2</v>
      </c>
      <c r="E8">
        <v>1</v>
      </c>
      <c r="F8">
        <v>0.9</v>
      </c>
      <c r="G8">
        <v>0.8</v>
      </c>
      <c r="H8">
        <v>0.7</v>
      </c>
      <c r="I8">
        <v>0.7</v>
      </c>
    </row>
    <row r="9" spans="1:9" x14ac:dyDescent="0.45">
      <c r="A9" t="s">
        <v>1922</v>
      </c>
      <c r="B9">
        <v>2500000000</v>
      </c>
      <c r="C9">
        <v>0</v>
      </c>
      <c r="D9">
        <v>0</v>
      </c>
      <c r="E9">
        <v>1.25</v>
      </c>
      <c r="F9">
        <v>1</v>
      </c>
      <c r="G9">
        <v>0.9</v>
      </c>
      <c r="H9">
        <v>0.8</v>
      </c>
      <c r="I9">
        <v>0.7</v>
      </c>
    </row>
    <row r="10" spans="1:9" x14ac:dyDescent="0.45">
      <c r="A10" t="s">
        <v>1923</v>
      </c>
      <c r="B10">
        <v>5000000000</v>
      </c>
      <c r="C10">
        <v>0</v>
      </c>
      <c r="D10">
        <v>0</v>
      </c>
      <c r="E10">
        <v>1.25</v>
      </c>
      <c r="F10">
        <v>1.1000000000000001</v>
      </c>
      <c r="G10">
        <v>1</v>
      </c>
      <c r="H10">
        <v>0.9</v>
      </c>
      <c r="I10">
        <v>0.8</v>
      </c>
    </row>
    <row r="11" spans="1:9" x14ac:dyDescent="0.45">
      <c r="A11" t="s">
        <v>1924</v>
      </c>
      <c r="B11">
        <v>10000000000</v>
      </c>
      <c r="C11">
        <v>0</v>
      </c>
      <c r="D11">
        <v>0</v>
      </c>
      <c r="E11">
        <v>1.5</v>
      </c>
      <c r="F11">
        <v>1.1000000000000001</v>
      </c>
      <c r="G11">
        <v>1</v>
      </c>
      <c r="H11">
        <v>0.9</v>
      </c>
      <c r="I11">
        <v>0.8</v>
      </c>
    </row>
    <row r="12" spans="1:9" x14ac:dyDescent="0.45">
      <c r="A12" t="s">
        <v>1925</v>
      </c>
      <c r="B12">
        <v>50000000000</v>
      </c>
      <c r="C12">
        <v>0</v>
      </c>
      <c r="D12">
        <v>0</v>
      </c>
      <c r="E12">
        <v>2</v>
      </c>
      <c r="F12">
        <v>1.25</v>
      </c>
      <c r="G12">
        <v>1.1000000000000001</v>
      </c>
      <c r="H12">
        <v>1</v>
      </c>
      <c r="I12">
        <v>0.9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A53-A4F2-4D52-96D3-8888D387EFCF}">
  <dimension ref="A1:G10"/>
  <sheetViews>
    <sheetView workbookViewId="0">
      <selection activeCell="G22" sqref="G22"/>
    </sheetView>
  </sheetViews>
  <sheetFormatPr defaultRowHeight="14.25" x14ac:dyDescent="0.45"/>
  <cols>
    <col min="1" max="1" width="11" bestFit="1" customWidth="1"/>
    <col min="3" max="3" width="10.1328125" bestFit="1" customWidth="1"/>
    <col min="4" max="4" width="10.1328125" customWidth="1"/>
  </cols>
  <sheetData>
    <row r="1" spans="1:7" x14ac:dyDescent="0.45">
      <c r="A1" t="s">
        <v>1941</v>
      </c>
      <c r="B1" t="s">
        <v>1928</v>
      </c>
      <c r="C1" t="s">
        <v>2067</v>
      </c>
      <c r="D1" t="s">
        <v>2068</v>
      </c>
      <c r="E1" t="s">
        <v>1929</v>
      </c>
      <c r="F1" t="s">
        <v>1930</v>
      </c>
      <c r="G1" t="s">
        <v>1931</v>
      </c>
    </row>
    <row r="2" spans="1:7" x14ac:dyDescent="0.45">
      <c r="A2" t="s">
        <v>1932</v>
      </c>
      <c r="B2">
        <v>1</v>
      </c>
      <c r="C2">
        <v>1000000</v>
      </c>
      <c r="D2">
        <f>C2+E2</f>
        <v>2000000</v>
      </c>
      <c r="E2">
        <v>1000000</v>
      </c>
      <c r="F2">
        <v>1</v>
      </c>
      <c r="G2">
        <v>0.39999999999999991</v>
      </c>
    </row>
    <row r="3" spans="1:7" x14ac:dyDescent="0.45">
      <c r="A3" t="s">
        <v>1933</v>
      </c>
      <c r="B3">
        <v>2</v>
      </c>
      <c r="C3">
        <v>2000000</v>
      </c>
      <c r="D3">
        <f t="shared" ref="D3:D10" si="0">C3+E3</f>
        <v>3000000</v>
      </c>
      <c r="E3">
        <v>1000000</v>
      </c>
      <c r="F3">
        <v>1.4</v>
      </c>
      <c r="G3">
        <v>0.375</v>
      </c>
    </row>
    <row r="4" spans="1:7" x14ac:dyDescent="0.45">
      <c r="A4" t="s">
        <v>1934</v>
      </c>
      <c r="B4">
        <v>3</v>
      </c>
      <c r="C4">
        <v>3000000</v>
      </c>
      <c r="D4">
        <f t="shared" si="0"/>
        <v>5000000</v>
      </c>
      <c r="E4">
        <v>2000000</v>
      </c>
      <c r="F4">
        <v>1.7749999999999999</v>
      </c>
      <c r="G4">
        <v>0.47500000000000009</v>
      </c>
    </row>
    <row r="5" spans="1:7" x14ac:dyDescent="0.45">
      <c r="A5" t="s">
        <v>1935</v>
      </c>
      <c r="B5">
        <v>4</v>
      </c>
      <c r="C5">
        <v>5000000</v>
      </c>
      <c r="D5">
        <f t="shared" si="0"/>
        <v>10000000</v>
      </c>
      <c r="E5">
        <v>5000000</v>
      </c>
      <c r="F5">
        <v>2.25</v>
      </c>
      <c r="G5">
        <v>1.0499999999999998</v>
      </c>
    </row>
    <row r="6" spans="1:7" x14ac:dyDescent="0.45">
      <c r="A6" t="s">
        <v>1936</v>
      </c>
      <c r="B6">
        <v>5</v>
      </c>
      <c r="C6">
        <v>10000000</v>
      </c>
      <c r="D6">
        <f t="shared" si="0"/>
        <v>15000000</v>
      </c>
      <c r="E6">
        <v>5000000</v>
      </c>
      <c r="F6">
        <v>3.3</v>
      </c>
      <c r="G6">
        <v>0.95000000000000018</v>
      </c>
    </row>
    <row r="7" spans="1:7" x14ac:dyDescent="0.45">
      <c r="A7" t="s">
        <v>1937</v>
      </c>
      <c r="B7">
        <v>6</v>
      </c>
      <c r="C7">
        <v>15000000</v>
      </c>
      <c r="D7">
        <f t="shared" si="0"/>
        <v>20000000</v>
      </c>
      <c r="E7">
        <v>5000000</v>
      </c>
      <c r="F7">
        <v>4.25</v>
      </c>
      <c r="G7">
        <v>0.90000000000000036</v>
      </c>
    </row>
    <row r="8" spans="1:7" x14ac:dyDescent="0.45">
      <c r="A8" t="s">
        <v>1938</v>
      </c>
      <c r="B8">
        <v>7</v>
      </c>
      <c r="C8">
        <v>20000000</v>
      </c>
      <c r="D8">
        <f t="shared" si="0"/>
        <v>25000000</v>
      </c>
      <c r="E8">
        <v>5000000</v>
      </c>
      <c r="F8">
        <v>5.15</v>
      </c>
      <c r="G8">
        <v>0.69999999999999929</v>
      </c>
    </row>
    <row r="9" spans="1:7" x14ac:dyDescent="0.45">
      <c r="A9" t="s">
        <v>1939</v>
      </c>
      <c r="B9">
        <v>8</v>
      </c>
      <c r="C9">
        <v>25000000</v>
      </c>
      <c r="D9">
        <f t="shared" si="0"/>
        <v>25000001</v>
      </c>
      <c r="E9">
        <v>1</v>
      </c>
      <c r="F9">
        <v>5.85</v>
      </c>
      <c r="G9">
        <v>0</v>
      </c>
    </row>
    <row r="10" spans="1:7" x14ac:dyDescent="0.45">
      <c r="A10" t="s">
        <v>1940</v>
      </c>
      <c r="B10">
        <v>9</v>
      </c>
      <c r="C10">
        <v>25000001</v>
      </c>
      <c r="D10">
        <f t="shared" si="0"/>
        <v>25000001</v>
      </c>
      <c r="E10">
        <v>0</v>
      </c>
      <c r="F10">
        <v>5.85</v>
      </c>
      <c r="G10">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D83CF-B4CE-43B5-8219-04691226B522}">
  <dimension ref="A1:H135"/>
  <sheetViews>
    <sheetView workbookViewId="0">
      <selection activeCell="C12" sqref="C12"/>
    </sheetView>
  </sheetViews>
  <sheetFormatPr defaultRowHeight="14.25" x14ac:dyDescent="0.45"/>
  <cols>
    <col min="2" max="2" width="32.3984375" bestFit="1" customWidth="1"/>
    <col min="4" max="4" width="9.3984375" bestFit="1" customWidth="1"/>
    <col min="5" max="5" width="193.59765625" bestFit="1" customWidth="1"/>
  </cols>
  <sheetData>
    <row r="1" spans="1:8" x14ac:dyDescent="0.45">
      <c r="A1" t="s">
        <v>1834</v>
      </c>
      <c r="B1" t="s">
        <v>42</v>
      </c>
      <c r="C1" t="s">
        <v>1832</v>
      </c>
      <c r="D1" t="s">
        <v>1719</v>
      </c>
      <c r="E1" t="s">
        <v>1833</v>
      </c>
      <c r="F1" t="s">
        <v>1401</v>
      </c>
      <c r="G1" t="s">
        <v>1835</v>
      </c>
      <c r="H1" t="s">
        <v>1836</v>
      </c>
    </row>
    <row r="2" spans="1:8" x14ac:dyDescent="0.45">
      <c r="A2">
        <v>3</v>
      </c>
      <c r="B2" t="s">
        <v>1860</v>
      </c>
      <c r="C2" t="b">
        <v>1</v>
      </c>
      <c r="D2" t="s">
        <v>1697</v>
      </c>
      <c r="E2" t="s">
        <v>1837</v>
      </c>
      <c r="F2">
        <v>1</v>
      </c>
      <c r="G2">
        <v>0</v>
      </c>
      <c r="H2">
        <v>0</v>
      </c>
    </row>
    <row r="3" spans="1:8" x14ac:dyDescent="0.45">
      <c r="A3">
        <v>3</v>
      </c>
      <c r="B3" t="s">
        <v>1860</v>
      </c>
      <c r="C3" t="b">
        <v>1</v>
      </c>
      <c r="D3" t="s">
        <v>1697</v>
      </c>
      <c r="E3" t="s">
        <v>1838</v>
      </c>
      <c r="F3">
        <v>1.1000000000000001</v>
      </c>
      <c r="G3">
        <v>0</v>
      </c>
      <c r="H3">
        <v>0</v>
      </c>
    </row>
    <row r="4" spans="1:8" x14ac:dyDescent="0.45">
      <c r="A4">
        <v>3</v>
      </c>
      <c r="B4" t="s">
        <v>1860</v>
      </c>
      <c r="C4" t="b">
        <v>1</v>
      </c>
      <c r="D4" t="s">
        <v>1697</v>
      </c>
      <c r="E4" t="s">
        <v>1839</v>
      </c>
      <c r="F4">
        <v>1.2</v>
      </c>
      <c r="G4">
        <v>0</v>
      </c>
      <c r="H4">
        <v>0</v>
      </c>
    </row>
    <row r="5" spans="1:8" x14ac:dyDescent="0.45">
      <c r="A5">
        <v>3</v>
      </c>
      <c r="B5" t="s">
        <v>1860</v>
      </c>
      <c r="C5" t="b">
        <v>0</v>
      </c>
      <c r="D5" t="s">
        <v>1697</v>
      </c>
      <c r="E5" t="s">
        <v>1837</v>
      </c>
      <c r="F5">
        <v>1</v>
      </c>
      <c r="G5">
        <v>0</v>
      </c>
      <c r="H5">
        <v>0</v>
      </c>
    </row>
    <row r="6" spans="1:8" x14ac:dyDescent="0.45">
      <c r="A6">
        <v>3</v>
      </c>
      <c r="B6" t="s">
        <v>1860</v>
      </c>
      <c r="C6" t="b">
        <v>0</v>
      </c>
      <c r="D6" t="s">
        <v>1697</v>
      </c>
      <c r="E6" t="s">
        <v>1840</v>
      </c>
      <c r="F6">
        <v>1.1000000000000001</v>
      </c>
      <c r="G6">
        <v>0</v>
      </c>
      <c r="H6">
        <v>0</v>
      </c>
    </row>
    <row r="7" spans="1:8" x14ac:dyDescent="0.45">
      <c r="A7">
        <v>3</v>
      </c>
      <c r="B7" t="s">
        <v>1860</v>
      </c>
      <c r="C7" t="b">
        <v>0</v>
      </c>
      <c r="D7" t="s">
        <v>1697</v>
      </c>
      <c r="E7" t="s">
        <v>1841</v>
      </c>
      <c r="F7">
        <v>1.2</v>
      </c>
      <c r="G7">
        <v>0</v>
      </c>
      <c r="H7">
        <v>0</v>
      </c>
    </row>
    <row r="8" spans="1:8" x14ac:dyDescent="0.45">
      <c r="A8">
        <v>3</v>
      </c>
      <c r="B8" t="s">
        <v>1860</v>
      </c>
      <c r="C8" t="b">
        <v>0</v>
      </c>
      <c r="D8" t="s">
        <v>1728</v>
      </c>
      <c r="E8" t="s">
        <v>1837</v>
      </c>
      <c r="F8">
        <v>0</v>
      </c>
      <c r="G8">
        <v>0.85</v>
      </c>
      <c r="H8">
        <v>1</v>
      </c>
    </row>
    <row r="9" spans="1:8" x14ac:dyDescent="0.45">
      <c r="A9">
        <v>3</v>
      </c>
      <c r="B9" t="s">
        <v>1860</v>
      </c>
      <c r="C9" t="b">
        <v>0</v>
      </c>
      <c r="D9" t="s">
        <v>1728</v>
      </c>
      <c r="E9" t="s">
        <v>1840</v>
      </c>
      <c r="F9">
        <v>0</v>
      </c>
      <c r="G9">
        <v>1</v>
      </c>
      <c r="H9">
        <v>1.1499999999999999</v>
      </c>
    </row>
    <row r="10" spans="1:8" x14ac:dyDescent="0.45">
      <c r="A10">
        <v>3</v>
      </c>
      <c r="B10" t="s">
        <v>1860</v>
      </c>
      <c r="C10" t="b">
        <v>0</v>
      </c>
      <c r="D10" t="s">
        <v>1728</v>
      </c>
      <c r="E10" t="s">
        <v>1841</v>
      </c>
      <c r="F10">
        <v>0</v>
      </c>
      <c r="G10">
        <v>1.1499999999999999</v>
      </c>
      <c r="H10">
        <v>1.3</v>
      </c>
    </row>
    <row r="11" spans="1:8" x14ac:dyDescent="0.45">
      <c r="A11">
        <v>4</v>
      </c>
      <c r="B11" t="s">
        <v>1861</v>
      </c>
      <c r="C11" t="b">
        <v>1</v>
      </c>
      <c r="D11" t="s">
        <v>1697</v>
      </c>
      <c r="E11" t="s">
        <v>1842</v>
      </c>
      <c r="F11">
        <v>1.1499999999999999</v>
      </c>
      <c r="G11">
        <v>0</v>
      </c>
      <c r="H11">
        <v>0</v>
      </c>
    </row>
    <row r="12" spans="1:8" x14ac:dyDescent="0.45">
      <c r="A12">
        <v>4</v>
      </c>
      <c r="B12" t="s">
        <v>1861</v>
      </c>
      <c r="C12" t="b">
        <v>1</v>
      </c>
      <c r="D12" t="s">
        <v>1697</v>
      </c>
      <c r="E12" t="s">
        <v>1843</v>
      </c>
      <c r="F12">
        <v>1.05</v>
      </c>
      <c r="G12">
        <v>0</v>
      </c>
      <c r="H12">
        <v>0</v>
      </c>
    </row>
    <row r="13" spans="1:8" x14ac:dyDescent="0.45">
      <c r="A13">
        <v>4</v>
      </c>
      <c r="B13" t="s">
        <v>1861</v>
      </c>
      <c r="C13" t="b">
        <v>1</v>
      </c>
      <c r="D13" t="s">
        <v>1697</v>
      </c>
      <c r="E13" t="s">
        <v>1844</v>
      </c>
      <c r="F13">
        <v>1</v>
      </c>
      <c r="G13">
        <v>0</v>
      </c>
      <c r="H13">
        <v>0</v>
      </c>
    </row>
    <row r="14" spans="1:8" x14ac:dyDescent="0.45">
      <c r="A14">
        <v>4</v>
      </c>
      <c r="B14" t="s">
        <v>1861</v>
      </c>
      <c r="C14" t="b">
        <v>1</v>
      </c>
      <c r="D14" t="s">
        <v>1697</v>
      </c>
      <c r="E14" t="s">
        <v>1845</v>
      </c>
      <c r="F14">
        <v>0.9</v>
      </c>
      <c r="G14">
        <v>0</v>
      </c>
      <c r="H14">
        <v>0</v>
      </c>
    </row>
    <row r="15" spans="1:8" x14ac:dyDescent="0.45">
      <c r="A15">
        <v>4</v>
      </c>
      <c r="B15" t="s">
        <v>1861</v>
      </c>
      <c r="C15" t="b">
        <v>1</v>
      </c>
      <c r="D15" t="s">
        <v>1697</v>
      </c>
      <c r="E15" t="s">
        <v>1846</v>
      </c>
      <c r="F15">
        <v>0.85</v>
      </c>
      <c r="G15">
        <v>0</v>
      </c>
      <c r="H15">
        <v>0</v>
      </c>
    </row>
    <row r="16" spans="1:8" x14ac:dyDescent="0.45">
      <c r="A16">
        <v>4</v>
      </c>
      <c r="B16" t="s">
        <v>1861</v>
      </c>
      <c r="C16" t="b">
        <v>0</v>
      </c>
      <c r="D16" t="s">
        <v>1697</v>
      </c>
      <c r="E16" t="s">
        <v>1847</v>
      </c>
      <c r="F16">
        <v>1.1499999999999999</v>
      </c>
      <c r="G16">
        <v>0</v>
      </c>
      <c r="H16">
        <v>0</v>
      </c>
    </row>
    <row r="17" spans="1:8" x14ac:dyDescent="0.45">
      <c r="A17">
        <v>4</v>
      </c>
      <c r="B17" t="s">
        <v>1861</v>
      </c>
      <c r="C17" t="b">
        <v>0</v>
      </c>
      <c r="D17" t="s">
        <v>1697</v>
      </c>
      <c r="E17" t="s">
        <v>1848</v>
      </c>
      <c r="F17">
        <v>1.05</v>
      </c>
      <c r="G17">
        <v>0</v>
      </c>
      <c r="H17">
        <v>0</v>
      </c>
    </row>
    <row r="18" spans="1:8" x14ac:dyDescent="0.45">
      <c r="A18">
        <v>4</v>
      </c>
      <c r="B18" t="s">
        <v>1861</v>
      </c>
      <c r="C18" t="b">
        <v>0</v>
      </c>
      <c r="D18" t="s">
        <v>1697</v>
      </c>
      <c r="E18" t="s">
        <v>1849</v>
      </c>
      <c r="F18">
        <v>1</v>
      </c>
      <c r="G18">
        <v>0</v>
      </c>
      <c r="H18">
        <v>0</v>
      </c>
    </row>
    <row r="19" spans="1:8" x14ac:dyDescent="0.45">
      <c r="A19">
        <v>4</v>
      </c>
      <c r="B19" t="s">
        <v>1861</v>
      </c>
      <c r="C19" t="b">
        <v>0</v>
      </c>
      <c r="D19" t="s">
        <v>1697</v>
      </c>
      <c r="E19" t="s">
        <v>1850</v>
      </c>
      <c r="F19">
        <v>0.9</v>
      </c>
      <c r="G19">
        <v>0</v>
      </c>
      <c r="H19">
        <v>0</v>
      </c>
    </row>
    <row r="20" spans="1:8" x14ac:dyDescent="0.45">
      <c r="A20">
        <v>4</v>
      </c>
      <c r="B20" t="s">
        <v>1861</v>
      </c>
      <c r="C20" t="b">
        <v>0</v>
      </c>
      <c r="D20" t="s">
        <v>1697</v>
      </c>
      <c r="E20" t="s">
        <v>1851</v>
      </c>
      <c r="F20">
        <v>0.85</v>
      </c>
      <c r="G20">
        <v>0</v>
      </c>
      <c r="H20">
        <v>0</v>
      </c>
    </row>
    <row r="21" spans="1:8" x14ac:dyDescent="0.45">
      <c r="A21">
        <v>4</v>
      </c>
      <c r="B21" t="s">
        <v>1861</v>
      </c>
      <c r="C21" t="b">
        <v>0</v>
      </c>
      <c r="D21" t="s">
        <v>1728</v>
      </c>
      <c r="E21" t="s">
        <v>1852</v>
      </c>
      <c r="F21">
        <v>0</v>
      </c>
      <c r="G21">
        <v>1</v>
      </c>
      <c r="H21">
        <v>1.1499999999999999</v>
      </c>
    </row>
    <row r="22" spans="1:8" x14ac:dyDescent="0.45">
      <c r="A22">
        <v>4</v>
      </c>
      <c r="B22" t="s">
        <v>1861</v>
      </c>
      <c r="C22" t="b">
        <v>0</v>
      </c>
      <c r="D22" t="s">
        <v>1728</v>
      </c>
      <c r="E22" t="s">
        <v>1853</v>
      </c>
      <c r="F22">
        <v>0</v>
      </c>
      <c r="G22">
        <v>1</v>
      </c>
      <c r="H22">
        <v>1</v>
      </c>
    </row>
    <row r="23" spans="1:8" x14ac:dyDescent="0.45">
      <c r="A23">
        <v>4</v>
      </c>
      <c r="B23" t="s">
        <v>1861</v>
      </c>
      <c r="C23" t="b">
        <v>0</v>
      </c>
      <c r="D23" t="s">
        <v>1728</v>
      </c>
      <c r="E23" t="s">
        <v>1854</v>
      </c>
      <c r="F23">
        <v>0</v>
      </c>
      <c r="G23">
        <v>0.85</v>
      </c>
      <c r="H23">
        <v>1</v>
      </c>
    </row>
    <row r="24" spans="1:8" x14ac:dyDescent="0.45">
      <c r="A24">
        <v>5</v>
      </c>
      <c r="B24" t="s">
        <v>1862</v>
      </c>
      <c r="C24" t="b">
        <v>1</v>
      </c>
      <c r="D24" t="s">
        <v>1697</v>
      </c>
      <c r="E24" t="s">
        <v>1855</v>
      </c>
      <c r="F24">
        <v>1.1499999999999999</v>
      </c>
      <c r="G24">
        <v>0</v>
      </c>
      <c r="H24">
        <v>0</v>
      </c>
    </row>
    <row r="25" spans="1:8" x14ac:dyDescent="0.45">
      <c r="A25">
        <v>5</v>
      </c>
      <c r="B25" t="s">
        <v>1862</v>
      </c>
      <c r="C25" t="b">
        <v>1</v>
      </c>
      <c r="D25" t="s">
        <v>1697</v>
      </c>
      <c r="E25" t="s">
        <v>1856</v>
      </c>
      <c r="F25">
        <v>1.05</v>
      </c>
      <c r="G25">
        <v>0</v>
      </c>
      <c r="H25">
        <v>0</v>
      </c>
    </row>
    <row r="26" spans="1:8" x14ac:dyDescent="0.45">
      <c r="A26">
        <v>5</v>
      </c>
      <c r="B26" t="s">
        <v>1862</v>
      </c>
      <c r="C26" t="b">
        <v>1</v>
      </c>
      <c r="D26" t="s">
        <v>1697</v>
      </c>
      <c r="E26" t="s">
        <v>1857</v>
      </c>
      <c r="F26">
        <v>1</v>
      </c>
      <c r="G26">
        <v>0</v>
      </c>
      <c r="H26">
        <v>0</v>
      </c>
    </row>
    <row r="27" spans="1:8" x14ac:dyDescent="0.45">
      <c r="A27">
        <v>5</v>
      </c>
      <c r="B27" t="s">
        <v>1862</v>
      </c>
      <c r="C27" t="b">
        <v>1</v>
      </c>
      <c r="D27" t="s">
        <v>1697</v>
      </c>
      <c r="E27" t="s">
        <v>1858</v>
      </c>
      <c r="F27">
        <v>0.9</v>
      </c>
      <c r="G27">
        <v>0</v>
      </c>
      <c r="H27">
        <v>0</v>
      </c>
    </row>
    <row r="28" spans="1:8" x14ac:dyDescent="0.45">
      <c r="A28">
        <v>5</v>
      </c>
      <c r="B28" t="s">
        <v>1862</v>
      </c>
      <c r="C28" t="b">
        <v>1</v>
      </c>
      <c r="D28" t="s">
        <v>1697</v>
      </c>
      <c r="E28" t="s">
        <v>1859</v>
      </c>
      <c r="F28">
        <v>0.85</v>
      </c>
      <c r="G28">
        <v>0</v>
      </c>
      <c r="H28">
        <v>0</v>
      </c>
    </row>
    <row r="29" spans="1:8" x14ac:dyDescent="0.45">
      <c r="A29">
        <v>5</v>
      </c>
      <c r="B29" t="s">
        <v>1862</v>
      </c>
      <c r="C29" t="b">
        <v>0</v>
      </c>
      <c r="D29" t="s">
        <v>1697</v>
      </c>
      <c r="E29" t="s">
        <v>1847</v>
      </c>
      <c r="F29">
        <v>1.1499999999999999</v>
      </c>
      <c r="G29">
        <v>0</v>
      </c>
      <c r="H29">
        <v>0</v>
      </c>
    </row>
    <row r="30" spans="1:8" x14ac:dyDescent="0.45">
      <c r="A30">
        <v>5</v>
      </c>
      <c r="B30" t="s">
        <v>1862</v>
      </c>
      <c r="C30" t="b">
        <v>0</v>
      </c>
      <c r="D30" t="s">
        <v>1697</v>
      </c>
      <c r="E30" t="s">
        <v>1848</v>
      </c>
      <c r="F30">
        <v>1.05</v>
      </c>
      <c r="G30">
        <v>0</v>
      </c>
      <c r="H30">
        <v>0</v>
      </c>
    </row>
    <row r="31" spans="1:8" x14ac:dyDescent="0.45">
      <c r="A31">
        <v>5</v>
      </c>
      <c r="B31" t="s">
        <v>1862</v>
      </c>
      <c r="C31" t="b">
        <v>0</v>
      </c>
      <c r="D31" t="s">
        <v>1697</v>
      </c>
      <c r="E31" t="s">
        <v>1849</v>
      </c>
      <c r="F31">
        <v>1</v>
      </c>
      <c r="G31">
        <v>0</v>
      </c>
      <c r="H31">
        <v>0</v>
      </c>
    </row>
    <row r="32" spans="1:8" x14ac:dyDescent="0.45">
      <c r="A32">
        <v>5</v>
      </c>
      <c r="B32" t="s">
        <v>1862</v>
      </c>
      <c r="C32" t="b">
        <v>0</v>
      </c>
      <c r="D32" t="s">
        <v>1697</v>
      </c>
      <c r="E32" t="s">
        <v>1850</v>
      </c>
      <c r="F32">
        <v>0.9</v>
      </c>
      <c r="G32">
        <v>0</v>
      </c>
      <c r="H32">
        <v>0</v>
      </c>
    </row>
    <row r="33" spans="1:8" x14ac:dyDescent="0.45">
      <c r="A33">
        <v>5</v>
      </c>
      <c r="B33" t="s">
        <v>1862</v>
      </c>
      <c r="C33" t="b">
        <v>0</v>
      </c>
      <c r="D33" t="s">
        <v>1697</v>
      </c>
      <c r="E33" t="s">
        <v>1851</v>
      </c>
      <c r="F33">
        <v>0.85</v>
      </c>
      <c r="G33">
        <v>0</v>
      </c>
      <c r="H33">
        <v>0</v>
      </c>
    </row>
    <row r="34" spans="1:8" x14ac:dyDescent="0.45">
      <c r="A34">
        <v>5</v>
      </c>
      <c r="B34" t="s">
        <v>1862</v>
      </c>
      <c r="C34" t="b">
        <v>0</v>
      </c>
      <c r="D34" t="s">
        <v>1728</v>
      </c>
      <c r="E34" t="s">
        <v>1852</v>
      </c>
      <c r="F34">
        <v>0</v>
      </c>
      <c r="G34">
        <v>1</v>
      </c>
      <c r="H34">
        <v>1.1499999999999999</v>
      </c>
    </row>
    <row r="35" spans="1:8" x14ac:dyDescent="0.45">
      <c r="A35">
        <v>5</v>
      </c>
      <c r="B35" t="s">
        <v>1862</v>
      </c>
      <c r="C35" t="b">
        <v>0</v>
      </c>
      <c r="D35" t="s">
        <v>1728</v>
      </c>
      <c r="E35" t="s">
        <v>1853</v>
      </c>
      <c r="F35">
        <v>0</v>
      </c>
      <c r="G35">
        <v>1</v>
      </c>
      <c r="H35">
        <v>1</v>
      </c>
    </row>
    <row r="36" spans="1:8" x14ac:dyDescent="0.45">
      <c r="A36">
        <v>5</v>
      </c>
      <c r="B36" t="s">
        <v>1862</v>
      </c>
      <c r="C36" t="b">
        <v>0</v>
      </c>
      <c r="D36" t="s">
        <v>1728</v>
      </c>
      <c r="E36" t="s">
        <v>1854</v>
      </c>
      <c r="F36">
        <v>0</v>
      </c>
      <c r="G36">
        <v>0.85</v>
      </c>
      <c r="H36">
        <v>1</v>
      </c>
    </row>
    <row r="37" spans="1:8" x14ac:dyDescent="0.45">
      <c r="A37">
        <v>6</v>
      </c>
      <c r="B37" t="s">
        <v>1863</v>
      </c>
      <c r="C37" t="b">
        <v>1</v>
      </c>
      <c r="D37" t="s">
        <v>1697</v>
      </c>
      <c r="E37" t="s">
        <v>1864</v>
      </c>
      <c r="F37">
        <v>1.1499999999999999</v>
      </c>
      <c r="G37">
        <v>0</v>
      </c>
      <c r="H37">
        <v>0</v>
      </c>
    </row>
    <row r="38" spans="1:8" x14ac:dyDescent="0.45">
      <c r="A38">
        <v>6</v>
      </c>
      <c r="B38" t="s">
        <v>1863</v>
      </c>
      <c r="C38" t="b">
        <v>1</v>
      </c>
      <c r="D38" t="s">
        <v>1697</v>
      </c>
      <c r="E38" t="s">
        <v>1865</v>
      </c>
      <c r="F38">
        <v>1.05</v>
      </c>
      <c r="G38">
        <v>0</v>
      </c>
      <c r="H38">
        <v>0</v>
      </c>
    </row>
    <row r="39" spans="1:8" x14ac:dyDescent="0.45">
      <c r="A39">
        <v>6</v>
      </c>
      <c r="B39" t="s">
        <v>1863</v>
      </c>
      <c r="C39" t="b">
        <v>1</v>
      </c>
      <c r="D39" t="s">
        <v>1697</v>
      </c>
      <c r="E39" t="s">
        <v>1866</v>
      </c>
      <c r="F39">
        <v>1</v>
      </c>
      <c r="G39">
        <v>0</v>
      </c>
      <c r="H39">
        <v>0</v>
      </c>
    </row>
    <row r="40" spans="1:8" x14ac:dyDescent="0.45">
      <c r="A40">
        <v>6</v>
      </c>
      <c r="B40" t="s">
        <v>1863</v>
      </c>
      <c r="C40" t="b">
        <v>1</v>
      </c>
      <c r="D40" t="s">
        <v>1697</v>
      </c>
      <c r="E40" t="s">
        <v>1867</v>
      </c>
      <c r="F40">
        <v>0.9</v>
      </c>
      <c r="G40">
        <v>0</v>
      </c>
      <c r="H40">
        <v>0</v>
      </c>
    </row>
    <row r="41" spans="1:8" x14ac:dyDescent="0.45">
      <c r="A41">
        <v>6</v>
      </c>
      <c r="B41" t="s">
        <v>1863</v>
      </c>
      <c r="C41" t="b">
        <v>1</v>
      </c>
      <c r="D41" t="s">
        <v>1697</v>
      </c>
      <c r="E41" t="s">
        <v>1868</v>
      </c>
      <c r="F41">
        <v>0.85</v>
      </c>
      <c r="G41">
        <v>0</v>
      </c>
      <c r="H41">
        <v>0</v>
      </c>
    </row>
    <row r="42" spans="1:8" x14ac:dyDescent="0.45">
      <c r="A42">
        <v>6</v>
      </c>
      <c r="B42" t="s">
        <v>1863</v>
      </c>
      <c r="C42" t="b">
        <v>0</v>
      </c>
      <c r="D42" t="s">
        <v>1697</v>
      </c>
      <c r="E42" t="s">
        <v>1847</v>
      </c>
      <c r="F42">
        <v>1.1499999999999999</v>
      </c>
      <c r="G42">
        <v>0</v>
      </c>
      <c r="H42">
        <v>0</v>
      </c>
    </row>
    <row r="43" spans="1:8" x14ac:dyDescent="0.45">
      <c r="A43">
        <v>6</v>
      </c>
      <c r="B43" t="s">
        <v>1863</v>
      </c>
      <c r="C43" t="b">
        <v>0</v>
      </c>
      <c r="D43" t="s">
        <v>1697</v>
      </c>
      <c r="E43" t="s">
        <v>1848</v>
      </c>
      <c r="F43">
        <v>1.05</v>
      </c>
      <c r="G43">
        <v>0</v>
      </c>
      <c r="H43">
        <v>0</v>
      </c>
    </row>
    <row r="44" spans="1:8" x14ac:dyDescent="0.45">
      <c r="A44">
        <v>6</v>
      </c>
      <c r="B44" t="s">
        <v>1863</v>
      </c>
      <c r="C44" t="b">
        <v>0</v>
      </c>
      <c r="D44" t="s">
        <v>1697</v>
      </c>
      <c r="E44" t="s">
        <v>1849</v>
      </c>
      <c r="F44">
        <v>1</v>
      </c>
      <c r="G44">
        <v>0</v>
      </c>
      <c r="H44">
        <v>0</v>
      </c>
    </row>
    <row r="45" spans="1:8" x14ac:dyDescent="0.45">
      <c r="A45">
        <v>6</v>
      </c>
      <c r="B45" t="s">
        <v>1863</v>
      </c>
      <c r="C45" t="b">
        <v>0</v>
      </c>
      <c r="D45" t="s">
        <v>1697</v>
      </c>
      <c r="E45" t="s">
        <v>1850</v>
      </c>
      <c r="F45">
        <v>0.9</v>
      </c>
      <c r="G45">
        <v>0</v>
      </c>
      <c r="H45">
        <v>0</v>
      </c>
    </row>
    <row r="46" spans="1:8" x14ac:dyDescent="0.45">
      <c r="A46">
        <v>6</v>
      </c>
      <c r="B46" t="s">
        <v>1863</v>
      </c>
      <c r="C46" t="b">
        <v>0</v>
      </c>
      <c r="D46" t="s">
        <v>1697</v>
      </c>
      <c r="E46" t="s">
        <v>1851</v>
      </c>
      <c r="F46">
        <v>0.85</v>
      </c>
      <c r="G46">
        <v>0</v>
      </c>
      <c r="H46">
        <v>0</v>
      </c>
    </row>
    <row r="47" spans="1:8" x14ac:dyDescent="0.45">
      <c r="A47">
        <v>6</v>
      </c>
      <c r="B47" t="s">
        <v>1863</v>
      </c>
      <c r="C47" t="b">
        <v>0</v>
      </c>
      <c r="D47" t="s">
        <v>1728</v>
      </c>
      <c r="E47" t="s">
        <v>1852</v>
      </c>
      <c r="F47">
        <v>0</v>
      </c>
      <c r="G47">
        <v>1</v>
      </c>
      <c r="H47">
        <v>1.1499999999999999</v>
      </c>
    </row>
    <row r="48" spans="1:8" x14ac:dyDescent="0.45">
      <c r="A48">
        <v>6</v>
      </c>
      <c r="B48" t="s">
        <v>1863</v>
      </c>
      <c r="C48" t="b">
        <v>0</v>
      </c>
      <c r="D48" t="s">
        <v>1728</v>
      </c>
      <c r="E48" t="s">
        <v>1853</v>
      </c>
      <c r="F48">
        <v>0</v>
      </c>
      <c r="G48">
        <v>1</v>
      </c>
      <c r="H48">
        <v>1</v>
      </c>
    </row>
    <row r="49" spans="1:8" x14ac:dyDescent="0.45">
      <c r="A49">
        <v>6</v>
      </c>
      <c r="B49" t="s">
        <v>1863</v>
      </c>
      <c r="C49" t="b">
        <v>0</v>
      </c>
      <c r="D49" t="s">
        <v>1728</v>
      </c>
      <c r="E49" t="s">
        <v>1854</v>
      </c>
      <c r="F49">
        <v>0</v>
      </c>
      <c r="G49">
        <v>0.85</v>
      </c>
      <c r="H49">
        <v>1</v>
      </c>
    </row>
    <row r="50" spans="1:8" x14ac:dyDescent="0.45">
      <c r="A50">
        <v>7</v>
      </c>
      <c r="B50" t="s">
        <v>1869</v>
      </c>
      <c r="C50" t="b">
        <v>1</v>
      </c>
      <c r="D50" t="s">
        <v>1697</v>
      </c>
      <c r="E50" t="s">
        <v>1870</v>
      </c>
      <c r="F50">
        <v>1.2</v>
      </c>
      <c r="G50">
        <v>0</v>
      </c>
      <c r="H50">
        <v>0</v>
      </c>
    </row>
    <row r="51" spans="1:8" x14ac:dyDescent="0.45">
      <c r="A51">
        <v>7</v>
      </c>
      <c r="B51" t="s">
        <v>1869</v>
      </c>
      <c r="C51" t="b">
        <v>1</v>
      </c>
      <c r="D51" t="s">
        <v>1697</v>
      </c>
      <c r="E51" t="s">
        <v>1871</v>
      </c>
      <c r="F51">
        <v>1</v>
      </c>
      <c r="G51">
        <v>0</v>
      </c>
      <c r="H51">
        <v>0</v>
      </c>
    </row>
    <row r="52" spans="1:8" x14ac:dyDescent="0.45">
      <c r="A52">
        <v>7</v>
      </c>
      <c r="B52" t="s">
        <v>1869</v>
      </c>
      <c r="C52" t="b">
        <v>0</v>
      </c>
      <c r="D52" t="s">
        <v>1697</v>
      </c>
      <c r="E52" t="s">
        <v>1870</v>
      </c>
      <c r="F52">
        <v>1.2</v>
      </c>
      <c r="G52">
        <v>0</v>
      </c>
      <c r="H52">
        <v>0</v>
      </c>
    </row>
    <row r="53" spans="1:8" x14ac:dyDescent="0.45">
      <c r="A53">
        <v>7</v>
      </c>
      <c r="B53" t="s">
        <v>1869</v>
      </c>
      <c r="C53" t="b">
        <v>0</v>
      </c>
      <c r="D53" t="s">
        <v>1697</v>
      </c>
      <c r="E53" t="s">
        <v>1871</v>
      </c>
      <c r="F53">
        <v>1</v>
      </c>
      <c r="G53">
        <v>0</v>
      </c>
      <c r="H53">
        <v>0</v>
      </c>
    </row>
    <row r="54" spans="1:8" x14ac:dyDescent="0.45">
      <c r="A54">
        <v>7</v>
      </c>
      <c r="B54" t="s">
        <v>1869</v>
      </c>
      <c r="C54" t="b">
        <v>0</v>
      </c>
      <c r="D54" t="s">
        <v>1728</v>
      </c>
      <c r="E54" t="s">
        <v>1870</v>
      </c>
      <c r="F54">
        <v>0</v>
      </c>
      <c r="G54">
        <v>1</v>
      </c>
      <c r="H54">
        <v>1.5</v>
      </c>
    </row>
    <row r="55" spans="1:8" x14ac:dyDescent="0.45">
      <c r="A55">
        <v>7</v>
      </c>
      <c r="B55" t="s">
        <v>1869</v>
      </c>
      <c r="C55" t="b">
        <v>0</v>
      </c>
      <c r="D55" t="s">
        <v>1728</v>
      </c>
      <c r="E55" t="s">
        <v>1871</v>
      </c>
      <c r="F55">
        <v>0</v>
      </c>
      <c r="G55">
        <v>1</v>
      </c>
      <c r="H55">
        <v>1</v>
      </c>
    </row>
    <row r="56" spans="1:8" x14ac:dyDescent="0.45">
      <c r="A56">
        <v>8</v>
      </c>
      <c r="B56" t="s">
        <v>1872</v>
      </c>
      <c r="C56" t="b">
        <v>1</v>
      </c>
      <c r="D56" t="s">
        <v>1697</v>
      </c>
      <c r="E56" t="s">
        <v>1873</v>
      </c>
      <c r="F56">
        <v>1.1499999999999999</v>
      </c>
      <c r="G56">
        <v>0</v>
      </c>
      <c r="H56">
        <v>0</v>
      </c>
    </row>
    <row r="57" spans="1:8" x14ac:dyDescent="0.45">
      <c r="A57">
        <v>8</v>
      </c>
      <c r="B57" t="s">
        <v>1872</v>
      </c>
      <c r="C57" t="b">
        <v>1</v>
      </c>
      <c r="D57" t="s">
        <v>1697</v>
      </c>
      <c r="E57" t="s">
        <v>1874</v>
      </c>
      <c r="F57">
        <v>1.05</v>
      </c>
      <c r="G57">
        <v>0</v>
      </c>
      <c r="H57">
        <v>0</v>
      </c>
    </row>
    <row r="58" spans="1:8" x14ac:dyDescent="0.45">
      <c r="A58">
        <v>8</v>
      </c>
      <c r="B58" t="s">
        <v>1872</v>
      </c>
      <c r="C58" t="b">
        <v>1</v>
      </c>
      <c r="D58" t="s">
        <v>1697</v>
      </c>
      <c r="E58" t="s">
        <v>1875</v>
      </c>
      <c r="F58">
        <v>1</v>
      </c>
      <c r="G58">
        <v>0</v>
      </c>
      <c r="H58">
        <v>0</v>
      </c>
    </row>
    <row r="59" spans="1:8" x14ac:dyDescent="0.45">
      <c r="A59">
        <v>8</v>
      </c>
      <c r="B59" t="s">
        <v>1872</v>
      </c>
      <c r="C59" t="b">
        <v>1</v>
      </c>
      <c r="D59" t="s">
        <v>1697</v>
      </c>
      <c r="E59" t="s">
        <v>1876</v>
      </c>
      <c r="F59">
        <v>0.9</v>
      </c>
      <c r="G59">
        <v>0</v>
      </c>
      <c r="H59">
        <v>0</v>
      </c>
    </row>
    <row r="60" spans="1:8" x14ac:dyDescent="0.45">
      <c r="A60">
        <v>8</v>
      </c>
      <c r="B60" t="s">
        <v>1872</v>
      </c>
      <c r="C60" t="b">
        <v>1</v>
      </c>
      <c r="D60" t="s">
        <v>1697</v>
      </c>
      <c r="E60" t="s">
        <v>1877</v>
      </c>
      <c r="F60">
        <v>0.85</v>
      </c>
      <c r="G60">
        <v>0</v>
      </c>
      <c r="H60">
        <v>0</v>
      </c>
    </row>
    <row r="61" spans="1:8" x14ac:dyDescent="0.45">
      <c r="A61">
        <v>8</v>
      </c>
      <c r="B61" t="s">
        <v>1872</v>
      </c>
      <c r="C61" t="b">
        <v>0</v>
      </c>
      <c r="D61" t="s">
        <v>1697</v>
      </c>
      <c r="E61" t="s">
        <v>1847</v>
      </c>
      <c r="F61">
        <v>1.1499999999999999</v>
      </c>
      <c r="G61">
        <v>0</v>
      </c>
      <c r="H61">
        <v>0</v>
      </c>
    </row>
    <row r="62" spans="1:8" x14ac:dyDescent="0.45">
      <c r="A62">
        <v>8</v>
      </c>
      <c r="B62" t="s">
        <v>1872</v>
      </c>
      <c r="C62" t="b">
        <v>0</v>
      </c>
      <c r="D62" t="s">
        <v>1697</v>
      </c>
      <c r="E62" t="s">
        <v>1848</v>
      </c>
      <c r="F62">
        <v>1.05</v>
      </c>
      <c r="G62">
        <v>0</v>
      </c>
      <c r="H62">
        <v>0</v>
      </c>
    </row>
    <row r="63" spans="1:8" x14ac:dyDescent="0.45">
      <c r="A63">
        <v>8</v>
      </c>
      <c r="B63" t="s">
        <v>1872</v>
      </c>
      <c r="C63" t="b">
        <v>0</v>
      </c>
      <c r="D63" t="s">
        <v>1697</v>
      </c>
      <c r="E63" t="s">
        <v>1849</v>
      </c>
      <c r="F63">
        <v>1</v>
      </c>
      <c r="G63">
        <v>0</v>
      </c>
      <c r="H63">
        <v>0</v>
      </c>
    </row>
    <row r="64" spans="1:8" x14ac:dyDescent="0.45">
      <c r="A64">
        <v>8</v>
      </c>
      <c r="B64" t="s">
        <v>1872</v>
      </c>
      <c r="C64" t="b">
        <v>0</v>
      </c>
      <c r="D64" t="s">
        <v>1697</v>
      </c>
      <c r="E64" t="s">
        <v>1850</v>
      </c>
      <c r="F64">
        <v>0.9</v>
      </c>
      <c r="G64">
        <v>0</v>
      </c>
      <c r="H64">
        <v>0</v>
      </c>
    </row>
    <row r="65" spans="1:8" x14ac:dyDescent="0.45">
      <c r="A65">
        <v>8</v>
      </c>
      <c r="B65" t="s">
        <v>1872</v>
      </c>
      <c r="C65" t="b">
        <v>0</v>
      </c>
      <c r="D65" t="s">
        <v>1697</v>
      </c>
      <c r="E65" t="s">
        <v>1851</v>
      </c>
      <c r="F65">
        <v>0.85</v>
      </c>
      <c r="G65">
        <v>0</v>
      </c>
      <c r="H65">
        <v>0</v>
      </c>
    </row>
    <row r="66" spans="1:8" x14ac:dyDescent="0.45">
      <c r="A66">
        <v>8</v>
      </c>
      <c r="B66" t="s">
        <v>1872</v>
      </c>
      <c r="C66" t="b">
        <v>0</v>
      </c>
      <c r="D66" t="s">
        <v>1728</v>
      </c>
      <c r="E66" t="s">
        <v>1852</v>
      </c>
      <c r="F66">
        <v>0</v>
      </c>
      <c r="G66">
        <v>1</v>
      </c>
      <c r="H66">
        <v>1.1499999999999999</v>
      </c>
    </row>
    <row r="67" spans="1:8" x14ac:dyDescent="0.45">
      <c r="A67">
        <v>8</v>
      </c>
      <c r="B67" t="s">
        <v>1872</v>
      </c>
      <c r="C67" t="b">
        <v>0</v>
      </c>
      <c r="D67" t="s">
        <v>1728</v>
      </c>
      <c r="E67" t="s">
        <v>1853</v>
      </c>
      <c r="F67">
        <v>0</v>
      </c>
      <c r="G67">
        <v>1</v>
      </c>
      <c r="H67">
        <v>1</v>
      </c>
    </row>
    <row r="68" spans="1:8" x14ac:dyDescent="0.45">
      <c r="A68">
        <v>8</v>
      </c>
      <c r="B68" t="s">
        <v>1872</v>
      </c>
      <c r="C68" t="b">
        <v>0</v>
      </c>
      <c r="D68" t="s">
        <v>1728</v>
      </c>
      <c r="E68" t="s">
        <v>1854</v>
      </c>
      <c r="F68">
        <v>0</v>
      </c>
      <c r="G68">
        <v>0.85</v>
      </c>
      <c r="H68">
        <v>1</v>
      </c>
    </row>
    <row r="69" spans="1:8" x14ac:dyDescent="0.45">
      <c r="A69">
        <v>9</v>
      </c>
      <c r="B69" t="s">
        <v>1878</v>
      </c>
      <c r="C69" t="b">
        <v>1</v>
      </c>
      <c r="D69" t="s">
        <v>1697</v>
      </c>
      <c r="E69" t="s">
        <v>1879</v>
      </c>
      <c r="F69">
        <v>1.1499999999999999</v>
      </c>
      <c r="G69">
        <v>0</v>
      </c>
      <c r="H69">
        <v>0</v>
      </c>
    </row>
    <row r="70" spans="1:8" x14ac:dyDescent="0.45">
      <c r="A70">
        <v>9</v>
      </c>
      <c r="B70" t="s">
        <v>1878</v>
      </c>
      <c r="C70" t="b">
        <v>1</v>
      </c>
      <c r="D70" t="s">
        <v>1697</v>
      </c>
      <c r="E70" t="s">
        <v>1880</v>
      </c>
      <c r="F70">
        <v>1.05</v>
      </c>
      <c r="G70">
        <v>0</v>
      </c>
      <c r="H70">
        <v>0</v>
      </c>
    </row>
    <row r="71" spans="1:8" x14ac:dyDescent="0.45">
      <c r="A71">
        <v>9</v>
      </c>
      <c r="B71" t="s">
        <v>1878</v>
      </c>
      <c r="C71" t="b">
        <v>1</v>
      </c>
      <c r="D71" t="s">
        <v>1697</v>
      </c>
      <c r="E71" t="s">
        <v>1881</v>
      </c>
      <c r="F71">
        <v>1</v>
      </c>
      <c r="G71">
        <v>0</v>
      </c>
      <c r="H71">
        <v>0</v>
      </c>
    </row>
    <row r="72" spans="1:8" x14ac:dyDescent="0.45">
      <c r="A72">
        <v>9</v>
      </c>
      <c r="B72" t="s">
        <v>1878</v>
      </c>
      <c r="C72" t="b">
        <v>1</v>
      </c>
      <c r="D72" t="s">
        <v>1697</v>
      </c>
      <c r="E72" t="s">
        <v>1882</v>
      </c>
      <c r="F72">
        <v>0.9</v>
      </c>
      <c r="G72">
        <v>0</v>
      </c>
      <c r="H72">
        <v>0</v>
      </c>
    </row>
    <row r="73" spans="1:8" x14ac:dyDescent="0.45">
      <c r="A73">
        <v>9</v>
      </c>
      <c r="B73" t="s">
        <v>1878</v>
      </c>
      <c r="C73" t="b">
        <v>1</v>
      </c>
      <c r="D73" t="s">
        <v>1697</v>
      </c>
      <c r="E73" t="s">
        <v>1883</v>
      </c>
      <c r="F73">
        <v>0.85</v>
      </c>
      <c r="G73">
        <v>0</v>
      </c>
      <c r="H73">
        <v>0</v>
      </c>
    </row>
    <row r="74" spans="1:8" x14ac:dyDescent="0.45">
      <c r="A74">
        <v>9</v>
      </c>
      <c r="B74" t="s">
        <v>1878</v>
      </c>
      <c r="C74" t="b">
        <v>0</v>
      </c>
      <c r="D74" t="s">
        <v>1697</v>
      </c>
      <c r="E74" t="s">
        <v>1847</v>
      </c>
      <c r="F74">
        <v>1.1499999999999999</v>
      </c>
      <c r="G74">
        <v>0</v>
      </c>
      <c r="H74">
        <v>0</v>
      </c>
    </row>
    <row r="75" spans="1:8" x14ac:dyDescent="0.45">
      <c r="A75">
        <v>9</v>
      </c>
      <c r="B75" t="s">
        <v>1878</v>
      </c>
      <c r="C75" t="b">
        <v>0</v>
      </c>
      <c r="D75" t="s">
        <v>1697</v>
      </c>
      <c r="E75" t="s">
        <v>1848</v>
      </c>
      <c r="F75">
        <v>1.05</v>
      </c>
      <c r="G75">
        <v>0</v>
      </c>
      <c r="H75">
        <v>0</v>
      </c>
    </row>
    <row r="76" spans="1:8" x14ac:dyDescent="0.45">
      <c r="A76">
        <v>9</v>
      </c>
      <c r="B76" t="s">
        <v>1878</v>
      </c>
      <c r="C76" t="b">
        <v>0</v>
      </c>
      <c r="D76" t="s">
        <v>1697</v>
      </c>
      <c r="E76" t="s">
        <v>1849</v>
      </c>
      <c r="F76">
        <v>1</v>
      </c>
      <c r="G76">
        <v>0</v>
      </c>
      <c r="H76">
        <v>0</v>
      </c>
    </row>
    <row r="77" spans="1:8" x14ac:dyDescent="0.45">
      <c r="A77">
        <v>9</v>
      </c>
      <c r="B77" t="s">
        <v>1878</v>
      </c>
      <c r="C77" t="b">
        <v>0</v>
      </c>
      <c r="D77" t="s">
        <v>1697</v>
      </c>
      <c r="E77" t="s">
        <v>1850</v>
      </c>
      <c r="F77">
        <v>0.9</v>
      </c>
      <c r="G77">
        <v>0</v>
      </c>
      <c r="H77">
        <v>0</v>
      </c>
    </row>
    <row r="78" spans="1:8" x14ac:dyDescent="0.45">
      <c r="A78">
        <v>9</v>
      </c>
      <c r="B78" t="s">
        <v>1878</v>
      </c>
      <c r="C78" t="b">
        <v>0</v>
      </c>
      <c r="D78" t="s">
        <v>1697</v>
      </c>
      <c r="E78" t="s">
        <v>1851</v>
      </c>
      <c r="F78">
        <v>0.85</v>
      </c>
      <c r="G78">
        <v>0</v>
      </c>
      <c r="H78">
        <v>0</v>
      </c>
    </row>
    <row r="79" spans="1:8" x14ac:dyDescent="0.45">
      <c r="A79">
        <v>9</v>
      </c>
      <c r="B79" t="s">
        <v>1878</v>
      </c>
      <c r="C79" t="b">
        <v>0</v>
      </c>
      <c r="D79" t="s">
        <v>1728</v>
      </c>
      <c r="E79" t="s">
        <v>1852</v>
      </c>
      <c r="F79">
        <v>0</v>
      </c>
      <c r="G79">
        <v>1</v>
      </c>
      <c r="H79">
        <v>1.1499999999999999</v>
      </c>
    </row>
    <row r="80" spans="1:8" x14ac:dyDescent="0.45">
      <c r="A80">
        <v>9</v>
      </c>
      <c r="B80" t="s">
        <v>1878</v>
      </c>
      <c r="C80" t="b">
        <v>0</v>
      </c>
      <c r="D80" t="s">
        <v>1728</v>
      </c>
      <c r="E80" t="s">
        <v>1853</v>
      </c>
      <c r="F80">
        <v>0</v>
      </c>
      <c r="G80">
        <v>1</v>
      </c>
      <c r="H80">
        <v>1</v>
      </c>
    </row>
    <row r="81" spans="1:8" x14ac:dyDescent="0.45">
      <c r="A81">
        <v>9</v>
      </c>
      <c r="B81" t="s">
        <v>1878</v>
      </c>
      <c r="C81" t="b">
        <v>0</v>
      </c>
      <c r="D81" t="s">
        <v>1728</v>
      </c>
      <c r="E81" t="s">
        <v>1854</v>
      </c>
      <c r="F81">
        <v>0</v>
      </c>
      <c r="G81">
        <v>0.85</v>
      </c>
      <c r="H81">
        <v>1</v>
      </c>
    </row>
    <row r="82" spans="1:8" x14ac:dyDescent="0.45">
      <c r="A82">
        <v>10</v>
      </c>
      <c r="B82" t="s">
        <v>1884</v>
      </c>
      <c r="C82" t="b">
        <v>1</v>
      </c>
      <c r="D82" t="s">
        <v>1697</v>
      </c>
      <c r="E82" t="s">
        <v>1885</v>
      </c>
      <c r="F82">
        <v>0.85</v>
      </c>
      <c r="G82">
        <v>0</v>
      </c>
      <c r="H82">
        <v>0</v>
      </c>
    </row>
    <row r="83" spans="1:8" x14ac:dyDescent="0.45">
      <c r="A83">
        <v>10</v>
      </c>
      <c r="B83" t="s">
        <v>1884</v>
      </c>
      <c r="C83" t="b">
        <v>1</v>
      </c>
      <c r="D83" t="s">
        <v>1697</v>
      </c>
      <c r="E83" t="s">
        <v>1886</v>
      </c>
      <c r="F83">
        <v>1</v>
      </c>
      <c r="G83">
        <v>0</v>
      </c>
      <c r="H83">
        <v>0</v>
      </c>
    </row>
    <row r="84" spans="1:8" x14ac:dyDescent="0.45">
      <c r="A84">
        <v>10</v>
      </c>
      <c r="B84" t="s">
        <v>1884</v>
      </c>
      <c r="C84" t="b">
        <v>1</v>
      </c>
      <c r="D84" t="s">
        <v>1697</v>
      </c>
      <c r="E84" t="s">
        <v>1887</v>
      </c>
      <c r="F84">
        <v>1.2</v>
      </c>
      <c r="G84">
        <v>0</v>
      </c>
      <c r="H84">
        <v>0</v>
      </c>
    </row>
    <row r="85" spans="1:8" x14ac:dyDescent="0.45">
      <c r="A85">
        <v>10</v>
      </c>
      <c r="B85" t="s">
        <v>1884</v>
      </c>
      <c r="C85" t="b">
        <v>0</v>
      </c>
      <c r="D85" t="s">
        <v>1697</v>
      </c>
      <c r="E85" t="s">
        <v>1852</v>
      </c>
      <c r="F85">
        <v>0.85</v>
      </c>
      <c r="G85">
        <v>0</v>
      </c>
      <c r="H85">
        <v>0</v>
      </c>
    </row>
    <row r="86" spans="1:8" x14ac:dyDescent="0.45">
      <c r="A86">
        <v>10</v>
      </c>
      <c r="B86" t="s">
        <v>1884</v>
      </c>
      <c r="C86" t="b">
        <v>0</v>
      </c>
      <c r="D86" t="s">
        <v>1697</v>
      </c>
      <c r="E86" t="s">
        <v>1853</v>
      </c>
      <c r="F86">
        <v>1</v>
      </c>
      <c r="G86">
        <v>0</v>
      </c>
      <c r="H86">
        <v>0</v>
      </c>
    </row>
    <row r="87" spans="1:8" x14ac:dyDescent="0.45">
      <c r="A87">
        <v>10</v>
      </c>
      <c r="B87" t="s">
        <v>1884</v>
      </c>
      <c r="C87" t="b">
        <v>0</v>
      </c>
      <c r="D87" t="s">
        <v>1697</v>
      </c>
      <c r="E87" t="s">
        <v>1888</v>
      </c>
      <c r="F87">
        <v>1.2</v>
      </c>
      <c r="G87">
        <v>0</v>
      </c>
      <c r="H87">
        <v>0</v>
      </c>
    </row>
    <row r="88" spans="1:8" x14ac:dyDescent="0.45">
      <c r="A88">
        <v>10</v>
      </c>
      <c r="B88" t="s">
        <v>1884</v>
      </c>
      <c r="C88" t="b">
        <v>0</v>
      </c>
      <c r="D88" t="s">
        <v>1728</v>
      </c>
      <c r="E88" t="s">
        <v>1853</v>
      </c>
      <c r="F88">
        <v>0</v>
      </c>
      <c r="G88">
        <v>0.85</v>
      </c>
      <c r="H88">
        <v>1</v>
      </c>
    </row>
    <row r="89" spans="1:8" x14ac:dyDescent="0.45">
      <c r="A89">
        <v>10</v>
      </c>
      <c r="B89" t="s">
        <v>1884</v>
      </c>
      <c r="C89" t="b">
        <v>0</v>
      </c>
      <c r="D89" t="s">
        <v>1728</v>
      </c>
      <c r="E89" t="s">
        <v>1888</v>
      </c>
      <c r="F89">
        <v>0</v>
      </c>
      <c r="G89">
        <v>1.1000000000000001</v>
      </c>
      <c r="H89">
        <v>1.25</v>
      </c>
    </row>
    <row r="90" spans="1:8" x14ac:dyDescent="0.45">
      <c r="A90">
        <v>11</v>
      </c>
      <c r="B90" t="s">
        <v>1889</v>
      </c>
      <c r="C90" t="b">
        <v>1</v>
      </c>
      <c r="D90" t="s">
        <v>1697</v>
      </c>
      <c r="E90" t="s">
        <v>1890</v>
      </c>
      <c r="F90">
        <v>0.8</v>
      </c>
      <c r="G90">
        <v>0</v>
      </c>
      <c r="H90">
        <v>0</v>
      </c>
    </row>
    <row r="91" spans="1:8" x14ac:dyDescent="0.45">
      <c r="A91">
        <v>11</v>
      </c>
      <c r="B91" t="s">
        <v>1889</v>
      </c>
      <c r="C91" t="b">
        <v>1</v>
      </c>
      <c r="D91" t="s">
        <v>1697</v>
      </c>
      <c r="E91" t="s">
        <v>1891</v>
      </c>
      <c r="F91">
        <v>1</v>
      </c>
      <c r="G91">
        <v>0</v>
      </c>
      <c r="H91">
        <v>0</v>
      </c>
    </row>
    <row r="92" spans="1:8" x14ac:dyDescent="0.45">
      <c r="A92">
        <v>11</v>
      </c>
      <c r="B92" t="s">
        <v>1889</v>
      </c>
      <c r="C92" t="b">
        <v>1</v>
      </c>
      <c r="D92" t="s">
        <v>1697</v>
      </c>
      <c r="E92" t="s">
        <v>1892</v>
      </c>
      <c r="F92">
        <v>1.2</v>
      </c>
      <c r="G92">
        <v>0</v>
      </c>
      <c r="H92">
        <v>0</v>
      </c>
    </row>
    <row r="93" spans="1:8" x14ac:dyDescent="0.45">
      <c r="A93">
        <v>11</v>
      </c>
      <c r="B93" t="s">
        <v>1889</v>
      </c>
      <c r="C93" t="b">
        <v>0</v>
      </c>
      <c r="D93" t="s">
        <v>1697</v>
      </c>
      <c r="E93" t="s">
        <v>1893</v>
      </c>
      <c r="F93">
        <v>0.8</v>
      </c>
      <c r="G93">
        <v>0</v>
      </c>
      <c r="H93">
        <v>0</v>
      </c>
    </row>
    <row r="94" spans="1:8" x14ac:dyDescent="0.45">
      <c r="A94">
        <v>11</v>
      </c>
      <c r="B94" t="s">
        <v>1889</v>
      </c>
      <c r="C94" t="b">
        <v>0</v>
      </c>
      <c r="D94" t="s">
        <v>1697</v>
      </c>
      <c r="E94" t="s">
        <v>1853</v>
      </c>
      <c r="F94">
        <v>1</v>
      </c>
      <c r="G94">
        <v>0</v>
      </c>
      <c r="H94">
        <v>0</v>
      </c>
    </row>
    <row r="95" spans="1:8" x14ac:dyDescent="0.45">
      <c r="A95">
        <v>11</v>
      </c>
      <c r="B95" t="s">
        <v>1889</v>
      </c>
      <c r="C95" t="b">
        <v>0</v>
      </c>
      <c r="D95" t="s">
        <v>1697</v>
      </c>
      <c r="E95" t="s">
        <v>1888</v>
      </c>
      <c r="F95">
        <v>1.2</v>
      </c>
      <c r="G95">
        <v>0</v>
      </c>
      <c r="H95">
        <v>0</v>
      </c>
    </row>
    <row r="96" spans="1:8" x14ac:dyDescent="0.45">
      <c r="A96">
        <v>11</v>
      </c>
      <c r="B96" t="s">
        <v>1889</v>
      </c>
      <c r="C96" t="b">
        <v>0</v>
      </c>
      <c r="D96" t="s">
        <v>1728</v>
      </c>
      <c r="E96" t="s">
        <v>1893</v>
      </c>
      <c r="F96">
        <v>0</v>
      </c>
      <c r="G96">
        <v>0.8</v>
      </c>
      <c r="H96">
        <v>0.8</v>
      </c>
    </row>
    <row r="97" spans="1:8" x14ac:dyDescent="0.45">
      <c r="A97">
        <v>11</v>
      </c>
      <c r="B97" t="s">
        <v>1889</v>
      </c>
      <c r="C97" t="b">
        <v>0</v>
      </c>
      <c r="D97" t="s">
        <v>1728</v>
      </c>
      <c r="E97" t="s">
        <v>1853</v>
      </c>
      <c r="F97">
        <v>0</v>
      </c>
      <c r="G97">
        <v>1</v>
      </c>
      <c r="H97">
        <v>1</v>
      </c>
    </row>
    <row r="98" spans="1:8" x14ac:dyDescent="0.45">
      <c r="A98">
        <v>11</v>
      </c>
      <c r="B98" t="s">
        <v>1889</v>
      </c>
      <c r="C98" t="b">
        <v>0</v>
      </c>
      <c r="D98" t="s">
        <v>1728</v>
      </c>
      <c r="E98" t="s">
        <v>1888</v>
      </c>
      <c r="F98">
        <v>0</v>
      </c>
      <c r="G98">
        <v>1.1000000000000001</v>
      </c>
      <c r="H98">
        <v>1.25</v>
      </c>
    </row>
    <row r="99" spans="1:8" x14ac:dyDescent="0.45">
      <c r="A99">
        <v>12</v>
      </c>
      <c r="B99" t="s">
        <v>1894</v>
      </c>
      <c r="C99" t="b">
        <v>1</v>
      </c>
      <c r="D99" t="s">
        <v>1697</v>
      </c>
      <c r="E99" t="s">
        <v>1895</v>
      </c>
      <c r="F99">
        <v>1</v>
      </c>
      <c r="G99">
        <v>0</v>
      </c>
      <c r="H99">
        <v>0</v>
      </c>
    </row>
    <row r="100" spans="1:8" x14ac:dyDescent="0.45">
      <c r="A100">
        <v>12</v>
      </c>
      <c r="B100" t="s">
        <v>1894</v>
      </c>
      <c r="C100" t="b">
        <v>1</v>
      </c>
      <c r="D100" t="s">
        <v>1697</v>
      </c>
      <c r="E100" t="s">
        <v>1896</v>
      </c>
      <c r="F100">
        <v>1.25</v>
      </c>
      <c r="G100">
        <v>0</v>
      </c>
      <c r="H100">
        <v>0</v>
      </c>
    </row>
    <row r="101" spans="1:8" x14ac:dyDescent="0.45">
      <c r="A101">
        <v>12</v>
      </c>
      <c r="B101" t="s">
        <v>1894</v>
      </c>
      <c r="C101" t="b">
        <v>1</v>
      </c>
      <c r="D101" t="s">
        <v>1697</v>
      </c>
      <c r="E101" t="s">
        <v>1897</v>
      </c>
      <c r="F101">
        <v>1.1000000000000001</v>
      </c>
      <c r="G101">
        <v>0</v>
      </c>
      <c r="H101">
        <v>0</v>
      </c>
    </row>
    <row r="102" spans="1:8" x14ac:dyDescent="0.45">
      <c r="A102">
        <v>12</v>
      </c>
      <c r="B102" t="s">
        <v>1894</v>
      </c>
      <c r="C102" t="b">
        <v>0</v>
      </c>
      <c r="D102" t="s">
        <v>1697</v>
      </c>
      <c r="E102" s="3" t="s">
        <v>1895</v>
      </c>
      <c r="F102">
        <v>1</v>
      </c>
      <c r="G102">
        <v>0</v>
      </c>
      <c r="H102">
        <v>0</v>
      </c>
    </row>
    <row r="103" spans="1:8" x14ac:dyDescent="0.45">
      <c r="A103">
        <v>12</v>
      </c>
      <c r="B103" t="s">
        <v>1894</v>
      </c>
      <c r="C103" t="b">
        <v>0</v>
      </c>
      <c r="D103" t="s">
        <v>1697</v>
      </c>
      <c r="E103" t="s">
        <v>1896</v>
      </c>
      <c r="F103">
        <v>1.25</v>
      </c>
      <c r="G103">
        <v>0</v>
      </c>
      <c r="H103">
        <v>0</v>
      </c>
    </row>
    <row r="104" spans="1:8" x14ac:dyDescent="0.45">
      <c r="A104">
        <v>12</v>
      </c>
      <c r="B104" t="s">
        <v>1894</v>
      </c>
      <c r="C104" t="b">
        <v>0</v>
      </c>
      <c r="D104" t="s">
        <v>1697</v>
      </c>
      <c r="E104" s="3" t="s">
        <v>1898</v>
      </c>
      <c r="F104">
        <v>1.1000000000000001</v>
      </c>
      <c r="G104">
        <v>0</v>
      </c>
      <c r="H104">
        <v>0</v>
      </c>
    </row>
    <row r="105" spans="1:8" x14ac:dyDescent="0.45">
      <c r="A105">
        <v>12</v>
      </c>
      <c r="B105" t="s">
        <v>1894</v>
      </c>
      <c r="C105" t="b">
        <v>0</v>
      </c>
      <c r="D105" t="s">
        <v>1728</v>
      </c>
      <c r="E105" s="3" t="s">
        <v>1895</v>
      </c>
      <c r="F105">
        <v>0</v>
      </c>
      <c r="G105">
        <v>1</v>
      </c>
      <c r="H105">
        <v>1.1499999999999999</v>
      </c>
    </row>
    <row r="106" spans="1:8" x14ac:dyDescent="0.45">
      <c r="A106">
        <v>12</v>
      </c>
      <c r="B106" t="s">
        <v>1894</v>
      </c>
      <c r="C106" t="b">
        <v>0</v>
      </c>
      <c r="D106" t="s">
        <v>1728</v>
      </c>
      <c r="E106" t="s">
        <v>1896</v>
      </c>
      <c r="F106">
        <v>0</v>
      </c>
      <c r="G106">
        <v>1</v>
      </c>
      <c r="H106">
        <v>1.5</v>
      </c>
    </row>
    <row r="107" spans="1:8" x14ac:dyDescent="0.45">
      <c r="A107">
        <v>12</v>
      </c>
      <c r="B107" t="s">
        <v>1894</v>
      </c>
      <c r="C107" t="b">
        <v>0</v>
      </c>
      <c r="D107" t="s">
        <v>1728</v>
      </c>
      <c r="E107" s="3" t="s">
        <v>1898</v>
      </c>
      <c r="F107">
        <v>0</v>
      </c>
      <c r="G107">
        <v>1</v>
      </c>
      <c r="H107">
        <v>1.1499999999999999</v>
      </c>
    </row>
    <row r="108" spans="1:8" x14ac:dyDescent="0.45">
      <c r="A108">
        <v>13</v>
      </c>
      <c r="B108" t="s">
        <v>1899</v>
      </c>
      <c r="C108" t="b">
        <v>1</v>
      </c>
      <c r="D108" t="s">
        <v>1697</v>
      </c>
      <c r="E108" t="s">
        <v>1900</v>
      </c>
      <c r="F108">
        <v>1.5</v>
      </c>
      <c r="G108">
        <v>0</v>
      </c>
      <c r="H108">
        <v>0</v>
      </c>
    </row>
    <row r="109" spans="1:8" x14ac:dyDescent="0.45">
      <c r="A109">
        <v>13</v>
      </c>
      <c r="B109" t="s">
        <v>1899</v>
      </c>
      <c r="C109" t="b">
        <v>1</v>
      </c>
      <c r="D109" t="s">
        <v>1697</v>
      </c>
      <c r="E109" t="s">
        <v>1901</v>
      </c>
      <c r="F109">
        <v>1</v>
      </c>
      <c r="G109">
        <v>0</v>
      </c>
      <c r="H109">
        <v>0</v>
      </c>
    </row>
    <row r="110" spans="1:8" x14ac:dyDescent="0.45">
      <c r="A110">
        <v>13</v>
      </c>
      <c r="B110" t="s">
        <v>1899</v>
      </c>
      <c r="C110" t="b">
        <v>0</v>
      </c>
      <c r="D110" t="s">
        <v>1697</v>
      </c>
      <c r="E110" t="s">
        <v>1900</v>
      </c>
      <c r="F110">
        <v>1.5</v>
      </c>
      <c r="G110">
        <v>0</v>
      </c>
      <c r="H110">
        <v>0</v>
      </c>
    </row>
    <row r="111" spans="1:8" x14ac:dyDescent="0.45">
      <c r="A111">
        <v>13</v>
      </c>
      <c r="B111" t="s">
        <v>1899</v>
      </c>
      <c r="C111" t="b">
        <v>0</v>
      </c>
      <c r="D111" t="s">
        <v>1697</v>
      </c>
      <c r="E111" t="s">
        <v>1901</v>
      </c>
      <c r="F111">
        <v>1</v>
      </c>
      <c r="G111">
        <v>0</v>
      </c>
      <c r="H111">
        <v>0</v>
      </c>
    </row>
    <row r="112" spans="1:8" x14ac:dyDescent="0.45">
      <c r="A112">
        <v>13</v>
      </c>
      <c r="B112" t="s">
        <v>1899</v>
      </c>
      <c r="C112" t="b">
        <v>0</v>
      </c>
      <c r="D112" t="s">
        <v>1728</v>
      </c>
      <c r="E112" t="s">
        <v>1900</v>
      </c>
      <c r="F112">
        <v>0</v>
      </c>
      <c r="G112">
        <v>1</v>
      </c>
      <c r="H112">
        <v>2</v>
      </c>
    </row>
    <row r="113" spans="1:8" x14ac:dyDescent="0.45">
      <c r="A113">
        <v>14</v>
      </c>
      <c r="B113" t="s">
        <v>1902</v>
      </c>
      <c r="C113" t="b">
        <v>1</v>
      </c>
      <c r="D113" t="s">
        <v>1697</v>
      </c>
      <c r="E113" t="s">
        <v>1903</v>
      </c>
      <c r="F113">
        <v>1.1000000000000001</v>
      </c>
      <c r="G113">
        <v>0</v>
      </c>
      <c r="H113">
        <v>0</v>
      </c>
    </row>
    <row r="114" spans="1:8" x14ac:dyDescent="0.45">
      <c r="A114">
        <v>14</v>
      </c>
      <c r="B114" t="s">
        <v>1902</v>
      </c>
      <c r="C114" t="b">
        <v>1</v>
      </c>
      <c r="D114" t="s">
        <v>1697</v>
      </c>
      <c r="E114" t="s">
        <v>1904</v>
      </c>
      <c r="F114">
        <v>1</v>
      </c>
      <c r="G114">
        <v>0</v>
      </c>
      <c r="H114">
        <v>0</v>
      </c>
    </row>
    <row r="115" spans="1:8" x14ac:dyDescent="0.45">
      <c r="A115">
        <v>14</v>
      </c>
      <c r="B115" t="s">
        <v>1902</v>
      </c>
      <c r="C115" t="b">
        <v>1</v>
      </c>
      <c r="D115" t="s">
        <v>1697</v>
      </c>
      <c r="E115" t="s">
        <v>1905</v>
      </c>
      <c r="F115">
        <v>0.9</v>
      </c>
      <c r="G115">
        <v>0</v>
      </c>
      <c r="H115">
        <v>0</v>
      </c>
    </row>
    <row r="116" spans="1:8" x14ac:dyDescent="0.45">
      <c r="A116">
        <v>14</v>
      </c>
      <c r="B116" t="s">
        <v>1902</v>
      </c>
      <c r="C116" t="b">
        <v>0</v>
      </c>
      <c r="D116" t="s">
        <v>1697</v>
      </c>
      <c r="E116" t="s">
        <v>1906</v>
      </c>
      <c r="F116">
        <v>1.1000000000000001</v>
      </c>
      <c r="G116">
        <v>0</v>
      </c>
      <c r="H116">
        <v>0</v>
      </c>
    </row>
    <row r="117" spans="1:8" x14ac:dyDescent="0.45">
      <c r="A117">
        <v>14</v>
      </c>
      <c r="B117" t="s">
        <v>1902</v>
      </c>
      <c r="C117" t="b">
        <v>0</v>
      </c>
      <c r="D117" t="s">
        <v>1697</v>
      </c>
      <c r="E117" t="s">
        <v>1907</v>
      </c>
      <c r="F117">
        <v>1</v>
      </c>
      <c r="G117">
        <v>0</v>
      </c>
      <c r="H117">
        <v>0</v>
      </c>
    </row>
    <row r="118" spans="1:8" x14ac:dyDescent="0.45">
      <c r="A118">
        <v>14</v>
      </c>
      <c r="B118" t="s">
        <v>1902</v>
      </c>
      <c r="C118" t="b">
        <v>0</v>
      </c>
      <c r="D118" t="s">
        <v>1697</v>
      </c>
      <c r="E118" t="s">
        <v>1908</v>
      </c>
      <c r="F118">
        <v>0.9</v>
      </c>
      <c r="G118">
        <v>0</v>
      </c>
      <c r="H118">
        <v>0</v>
      </c>
    </row>
    <row r="119" spans="1:8" x14ac:dyDescent="0.45">
      <c r="A119">
        <v>14</v>
      </c>
      <c r="B119" t="s">
        <v>1902</v>
      </c>
      <c r="C119" t="b">
        <v>0</v>
      </c>
      <c r="D119" t="s">
        <v>1728</v>
      </c>
      <c r="E119" t="s">
        <v>1906</v>
      </c>
      <c r="F119">
        <v>0</v>
      </c>
      <c r="G119">
        <v>1</v>
      </c>
      <c r="H119">
        <v>1.1499999999999999</v>
      </c>
    </row>
    <row r="120" spans="1:8" x14ac:dyDescent="0.45">
      <c r="A120">
        <v>14</v>
      </c>
      <c r="B120" t="s">
        <v>1902</v>
      </c>
      <c r="C120" t="b">
        <v>0</v>
      </c>
      <c r="D120" t="s">
        <v>1728</v>
      </c>
      <c r="E120" t="s">
        <v>1907</v>
      </c>
      <c r="F120">
        <v>0</v>
      </c>
      <c r="G120">
        <v>1</v>
      </c>
      <c r="H120">
        <v>1</v>
      </c>
    </row>
    <row r="121" spans="1:8" x14ac:dyDescent="0.45">
      <c r="A121">
        <v>14</v>
      </c>
      <c r="B121" t="s">
        <v>1902</v>
      </c>
      <c r="C121" t="b">
        <v>0</v>
      </c>
      <c r="D121" t="s">
        <v>1728</v>
      </c>
      <c r="E121" t="s">
        <v>1908</v>
      </c>
      <c r="F121">
        <v>0</v>
      </c>
      <c r="G121">
        <v>0.85</v>
      </c>
      <c r="H121">
        <v>1</v>
      </c>
    </row>
    <row r="122" spans="1:8" x14ac:dyDescent="0.45">
      <c r="A122">
        <v>16</v>
      </c>
      <c r="B122" t="s">
        <v>1909</v>
      </c>
      <c r="C122" t="b">
        <v>1</v>
      </c>
      <c r="D122" t="s">
        <v>1697</v>
      </c>
      <c r="E122" t="s">
        <v>1910</v>
      </c>
      <c r="F122">
        <v>0.5</v>
      </c>
      <c r="G122">
        <v>0</v>
      </c>
      <c r="H122">
        <v>0</v>
      </c>
    </row>
    <row r="123" spans="1:8" x14ac:dyDescent="0.45">
      <c r="A123">
        <v>16</v>
      </c>
      <c r="B123" t="s">
        <v>1909</v>
      </c>
      <c r="C123" t="b">
        <v>1</v>
      </c>
      <c r="D123" t="s">
        <v>1697</v>
      </c>
      <c r="E123" t="s">
        <v>1911</v>
      </c>
      <c r="F123">
        <v>1</v>
      </c>
      <c r="G123">
        <v>0</v>
      </c>
      <c r="H123">
        <v>0</v>
      </c>
    </row>
    <row r="124" spans="1:8" x14ac:dyDescent="0.45">
      <c r="A124">
        <v>16</v>
      </c>
      <c r="B124" t="s">
        <v>1909</v>
      </c>
      <c r="C124" t="b">
        <v>0</v>
      </c>
      <c r="D124" t="s">
        <v>1697</v>
      </c>
      <c r="E124" t="s">
        <v>1910</v>
      </c>
      <c r="F124">
        <v>0.5</v>
      </c>
      <c r="G124">
        <v>0</v>
      </c>
      <c r="H124">
        <v>0</v>
      </c>
    </row>
    <row r="125" spans="1:8" x14ac:dyDescent="0.45">
      <c r="A125">
        <v>16</v>
      </c>
      <c r="B125" t="s">
        <v>1909</v>
      </c>
      <c r="C125" t="b">
        <v>0</v>
      </c>
      <c r="D125" t="s">
        <v>1697</v>
      </c>
      <c r="E125" t="s">
        <v>1911</v>
      </c>
      <c r="F125">
        <v>1</v>
      </c>
      <c r="G125">
        <v>0</v>
      </c>
      <c r="H125">
        <v>0</v>
      </c>
    </row>
    <row r="126" spans="1:8" x14ac:dyDescent="0.45">
      <c r="A126">
        <v>16</v>
      </c>
      <c r="B126" t="s">
        <v>1909</v>
      </c>
      <c r="C126" t="b">
        <v>0</v>
      </c>
      <c r="D126" t="s">
        <v>1728</v>
      </c>
      <c r="E126" t="s">
        <v>1910</v>
      </c>
      <c r="F126">
        <v>0</v>
      </c>
      <c r="G126">
        <v>0.5</v>
      </c>
      <c r="H126">
        <v>0.5</v>
      </c>
    </row>
    <row r="127" spans="1:8" x14ac:dyDescent="0.45">
      <c r="A127">
        <v>16</v>
      </c>
      <c r="B127" t="s">
        <v>1909</v>
      </c>
      <c r="C127" t="b">
        <v>0</v>
      </c>
      <c r="D127" t="s">
        <v>1728</v>
      </c>
      <c r="E127" t="s">
        <v>1911</v>
      </c>
      <c r="F127">
        <v>0</v>
      </c>
      <c r="G127">
        <v>1</v>
      </c>
      <c r="H127">
        <v>1</v>
      </c>
    </row>
    <row r="128" spans="1:8" x14ac:dyDescent="0.45">
      <c r="A128">
        <v>17</v>
      </c>
      <c r="B128" t="s">
        <v>1912</v>
      </c>
      <c r="C128" t="b">
        <v>1</v>
      </c>
      <c r="D128" t="s">
        <v>1697</v>
      </c>
      <c r="E128" t="s">
        <v>1913</v>
      </c>
      <c r="F128">
        <v>0.65</v>
      </c>
      <c r="G128">
        <v>0</v>
      </c>
      <c r="H128">
        <v>0</v>
      </c>
    </row>
    <row r="129" spans="1:8" x14ac:dyDescent="0.45">
      <c r="A129">
        <v>17</v>
      </c>
      <c r="B129" t="s">
        <v>1912</v>
      </c>
      <c r="C129" t="b">
        <v>1</v>
      </c>
      <c r="D129" t="s">
        <v>1697</v>
      </c>
      <c r="E129" t="s">
        <v>1914</v>
      </c>
      <c r="F129">
        <v>0.95</v>
      </c>
      <c r="G129">
        <v>0</v>
      </c>
      <c r="H129">
        <v>0</v>
      </c>
    </row>
    <row r="130" spans="1:8" x14ac:dyDescent="0.45">
      <c r="A130">
        <v>17</v>
      </c>
      <c r="B130" t="s">
        <v>1912</v>
      </c>
      <c r="C130" t="b">
        <v>1</v>
      </c>
      <c r="D130" t="s">
        <v>1697</v>
      </c>
      <c r="E130" t="s">
        <v>1893</v>
      </c>
      <c r="F130">
        <v>1</v>
      </c>
      <c r="G130">
        <v>0</v>
      </c>
      <c r="H130">
        <v>0</v>
      </c>
    </row>
    <row r="131" spans="1:8" x14ac:dyDescent="0.45">
      <c r="A131">
        <v>17</v>
      </c>
      <c r="B131" t="s">
        <v>1912</v>
      </c>
      <c r="C131" t="b">
        <v>0</v>
      </c>
      <c r="D131" t="s">
        <v>1697</v>
      </c>
      <c r="E131" s="3" t="s">
        <v>1913</v>
      </c>
      <c r="F131">
        <v>0.65</v>
      </c>
      <c r="G131">
        <v>0</v>
      </c>
      <c r="H131">
        <v>0</v>
      </c>
    </row>
    <row r="132" spans="1:8" x14ac:dyDescent="0.45">
      <c r="A132">
        <v>17</v>
      </c>
      <c r="B132" t="s">
        <v>1912</v>
      </c>
      <c r="C132" t="b">
        <v>0</v>
      </c>
      <c r="D132" t="s">
        <v>1697</v>
      </c>
      <c r="E132" s="3" t="s">
        <v>1914</v>
      </c>
      <c r="F132">
        <v>0.95</v>
      </c>
      <c r="G132">
        <v>0</v>
      </c>
      <c r="H132">
        <v>0</v>
      </c>
    </row>
    <row r="133" spans="1:8" x14ac:dyDescent="0.45">
      <c r="A133">
        <v>17</v>
      </c>
      <c r="B133" t="s">
        <v>1912</v>
      </c>
      <c r="C133" t="b">
        <v>0</v>
      </c>
      <c r="D133" t="s">
        <v>1697</v>
      </c>
      <c r="E133" t="s">
        <v>1893</v>
      </c>
      <c r="F133">
        <v>1</v>
      </c>
      <c r="G133">
        <v>0</v>
      </c>
      <c r="H133">
        <v>0</v>
      </c>
    </row>
    <row r="134" spans="1:8" x14ac:dyDescent="0.45">
      <c r="A134">
        <v>17</v>
      </c>
      <c r="B134" t="s">
        <v>1912</v>
      </c>
      <c r="C134" t="b">
        <v>0</v>
      </c>
      <c r="D134" t="s">
        <v>1728</v>
      </c>
      <c r="E134" s="3" t="s">
        <v>1913</v>
      </c>
      <c r="F134">
        <v>0</v>
      </c>
      <c r="G134">
        <v>0.5</v>
      </c>
      <c r="H134">
        <v>0.9</v>
      </c>
    </row>
    <row r="135" spans="1:8" x14ac:dyDescent="0.45">
      <c r="A135">
        <v>17</v>
      </c>
      <c r="B135" t="s">
        <v>1912</v>
      </c>
      <c r="C135" t="b">
        <v>0</v>
      </c>
      <c r="D135" t="s">
        <v>1728</v>
      </c>
      <c r="E135" s="3" t="s">
        <v>1914</v>
      </c>
      <c r="F135">
        <v>0</v>
      </c>
      <c r="G135">
        <v>0.9</v>
      </c>
      <c r="H135">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29A59-C5DF-48CA-97DD-A7D091B25006}">
  <dimension ref="A1:G53"/>
  <sheetViews>
    <sheetView workbookViewId="0">
      <selection activeCell="F39" sqref="F39"/>
    </sheetView>
  </sheetViews>
  <sheetFormatPr defaultRowHeight="14.25" x14ac:dyDescent="0.45"/>
  <cols>
    <col min="1" max="1" width="8.3984375" bestFit="1" customWidth="1"/>
    <col min="2" max="2" width="18.86328125" bestFit="1" customWidth="1"/>
    <col min="3" max="3" width="9.3984375" bestFit="1" customWidth="1"/>
    <col min="4" max="4" width="12" bestFit="1" customWidth="1"/>
    <col min="5" max="5" width="12.1328125" bestFit="1" customWidth="1"/>
    <col min="6" max="6" width="19" bestFit="1" customWidth="1"/>
    <col min="7" max="7" width="22.1328125" bestFit="1" customWidth="1"/>
  </cols>
  <sheetData>
    <row r="1" spans="1:7" x14ac:dyDescent="0.45">
      <c r="A1" t="s">
        <v>1717</v>
      </c>
      <c r="B1" t="s">
        <v>1718</v>
      </c>
      <c r="C1" t="s">
        <v>1719</v>
      </c>
      <c r="D1" t="s">
        <v>1720</v>
      </c>
      <c r="E1" t="s">
        <v>1721</v>
      </c>
      <c r="F1" t="s">
        <v>1722</v>
      </c>
      <c r="G1" t="s">
        <v>1723</v>
      </c>
    </row>
    <row r="2" spans="1:7" x14ac:dyDescent="0.45">
      <c r="A2" t="s">
        <v>1724</v>
      </c>
      <c r="B2" t="s">
        <v>1725</v>
      </c>
      <c r="C2" t="s">
        <v>1965</v>
      </c>
      <c r="D2" t="b">
        <v>0</v>
      </c>
      <c r="E2" t="b">
        <v>0</v>
      </c>
      <c r="F2" t="b">
        <v>0</v>
      </c>
      <c r="G2" t="s">
        <v>1965</v>
      </c>
    </row>
    <row r="3" spans="1:7" x14ac:dyDescent="0.45">
      <c r="A3" t="s">
        <v>1726</v>
      </c>
      <c r="B3" t="s">
        <v>1727</v>
      </c>
      <c r="C3" t="s">
        <v>1728</v>
      </c>
      <c r="D3" t="b">
        <v>0</v>
      </c>
      <c r="E3" t="b">
        <v>0</v>
      </c>
      <c r="F3" t="b">
        <v>1</v>
      </c>
      <c r="G3" t="s">
        <v>1729</v>
      </c>
    </row>
    <row r="4" spans="1:7" x14ac:dyDescent="0.45">
      <c r="A4" t="s">
        <v>1730</v>
      </c>
      <c r="B4" t="s">
        <v>1731</v>
      </c>
      <c r="C4" t="s">
        <v>1728</v>
      </c>
      <c r="D4" t="b">
        <v>0</v>
      </c>
      <c r="E4" t="b">
        <v>0</v>
      </c>
      <c r="F4" t="b">
        <v>1</v>
      </c>
      <c r="G4" t="s">
        <v>1729</v>
      </c>
    </row>
    <row r="5" spans="1:7" x14ac:dyDescent="0.45">
      <c r="A5" t="s">
        <v>1732</v>
      </c>
      <c r="B5" t="s">
        <v>1733</v>
      </c>
      <c r="C5" t="s">
        <v>1728</v>
      </c>
      <c r="D5" t="b">
        <v>0</v>
      </c>
      <c r="E5" t="b">
        <v>0</v>
      </c>
      <c r="F5" t="b">
        <v>1</v>
      </c>
      <c r="G5" t="s">
        <v>1729</v>
      </c>
    </row>
    <row r="6" spans="1:7" x14ac:dyDescent="0.45">
      <c r="A6" t="s">
        <v>1734</v>
      </c>
      <c r="B6" t="s">
        <v>1735</v>
      </c>
      <c r="C6" t="s">
        <v>1697</v>
      </c>
      <c r="D6" t="b">
        <v>1</v>
      </c>
      <c r="E6" t="b">
        <v>1</v>
      </c>
      <c r="F6" t="b">
        <v>0</v>
      </c>
      <c r="G6" t="s">
        <v>1736</v>
      </c>
    </row>
    <row r="7" spans="1:7" x14ac:dyDescent="0.45">
      <c r="A7" t="s">
        <v>1737</v>
      </c>
      <c r="B7" t="s">
        <v>1738</v>
      </c>
      <c r="C7" t="s">
        <v>1728</v>
      </c>
      <c r="D7" t="b">
        <v>0</v>
      </c>
      <c r="E7" t="b">
        <v>0</v>
      </c>
      <c r="F7" t="b">
        <v>1</v>
      </c>
      <c r="G7" t="s">
        <v>1729</v>
      </c>
    </row>
    <row r="8" spans="1:7" x14ac:dyDescent="0.45">
      <c r="A8" t="s">
        <v>1739</v>
      </c>
      <c r="B8" t="s">
        <v>1740</v>
      </c>
      <c r="C8" t="s">
        <v>1728</v>
      </c>
      <c r="D8" t="b">
        <v>0</v>
      </c>
      <c r="E8" t="b">
        <v>0</v>
      </c>
      <c r="F8" t="b">
        <v>1</v>
      </c>
      <c r="G8" t="s">
        <v>1729</v>
      </c>
    </row>
    <row r="9" spans="1:7" x14ac:dyDescent="0.45">
      <c r="A9" t="s">
        <v>1741</v>
      </c>
      <c r="B9" t="s">
        <v>1742</v>
      </c>
      <c r="C9" t="s">
        <v>1728</v>
      </c>
      <c r="D9" t="b">
        <v>1</v>
      </c>
      <c r="E9" t="b">
        <v>0</v>
      </c>
      <c r="F9" t="b">
        <v>0</v>
      </c>
      <c r="G9" t="s">
        <v>1729</v>
      </c>
    </row>
    <row r="10" spans="1:7" x14ac:dyDescent="0.45">
      <c r="A10" t="s">
        <v>1743</v>
      </c>
      <c r="B10" t="s">
        <v>1744</v>
      </c>
      <c r="C10" t="s">
        <v>1728</v>
      </c>
      <c r="D10" t="b">
        <v>0</v>
      </c>
      <c r="E10" t="b">
        <v>0</v>
      </c>
      <c r="F10" t="b">
        <v>1</v>
      </c>
      <c r="G10" t="s">
        <v>1729</v>
      </c>
    </row>
    <row r="11" spans="1:7" x14ac:dyDescent="0.45">
      <c r="A11" t="s">
        <v>1745</v>
      </c>
      <c r="B11" t="s">
        <v>1746</v>
      </c>
      <c r="C11" t="s">
        <v>1697</v>
      </c>
      <c r="D11" t="b">
        <v>1</v>
      </c>
      <c r="E11" t="b">
        <v>1</v>
      </c>
      <c r="F11" t="b">
        <v>0</v>
      </c>
      <c r="G11" t="s">
        <v>1736</v>
      </c>
    </row>
    <row r="12" spans="1:7" x14ac:dyDescent="0.45">
      <c r="A12" t="s">
        <v>1747</v>
      </c>
      <c r="B12" t="s">
        <v>1748</v>
      </c>
      <c r="C12" t="s">
        <v>1697</v>
      </c>
      <c r="D12" t="b">
        <v>0</v>
      </c>
      <c r="E12" t="b">
        <v>1</v>
      </c>
      <c r="F12" t="b">
        <v>1</v>
      </c>
      <c r="G12" t="s">
        <v>1736</v>
      </c>
    </row>
    <row r="13" spans="1:7" x14ac:dyDescent="0.45">
      <c r="A13" t="s">
        <v>1749</v>
      </c>
      <c r="B13" t="s">
        <v>1750</v>
      </c>
      <c r="C13" t="s">
        <v>1697</v>
      </c>
      <c r="D13" t="b">
        <v>0</v>
      </c>
      <c r="E13" t="b">
        <v>1</v>
      </c>
      <c r="F13" t="b">
        <v>1</v>
      </c>
      <c r="G13" t="s">
        <v>1736</v>
      </c>
    </row>
    <row r="14" spans="1:7" x14ac:dyDescent="0.45">
      <c r="A14" t="s">
        <v>1751</v>
      </c>
      <c r="B14" t="s">
        <v>1752</v>
      </c>
      <c r="C14" t="s">
        <v>1728</v>
      </c>
      <c r="D14" t="b">
        <v>0</v>
      </c>
      <c r="E14" t="b">
        <v>0</v>
      </c>
      <c r="F14" t="b">
        <v>1</v>
      </c>
      <c r="G14" t="s">
        <v>1729</v>
      </c>
    </row>
    <row r="15" spans="1:7" x14ac:dyDescent="0.45">
      <c r="A15" t="s">
        <v>1753</v>
      </c>
      <c r="B15" t="s">
        <v>1754</v>
      </c>
      <c r="C15" t="s">
        <v>1728</v>
      </c>
      <c r="D15" t="b">
        <v>0</v>
      </c>
      <c r="E15" t="b">
        <v>0</v>
      </c>
      <c r="F15" t="b">
        <v>1</v>
      </c>
      <c r="G15" t="s">
        <v>1729</v>
      </c>
    </row>
    <row r="16" spans="1:7" x14ac:dyDescent="0.45">
      <c r="A16" t="s">
        <v>1755</v>
      </c>
      <c r="B16" t="s">
        <v>1756</v>
      </c>
      <c r="C16" t="s">
        <v>1728</v>
      </c>
      <c r="D16" t="b">
        <v>0</v>
      </c>
      <c r="E16" t="b">
        <v>0</v>
      </c>
      <c r="F16" t="b">
        <v>1</v>
      </c>
      <c r="G16" t="s">
        <v>1729</v>
      </c>
    </row>
    <row r="17" spans="1:7" x14ac:dyDescent="0.45">
      <c r="A17" t="s">
        <v>1757</v>
      </c>
      <c r="B17" t="s">
        <v>1758</v>
      </c>
      <c r="C17" t="s">
        <v>1728</v>
      </c>
      <c r="D17" t="b">
        <v>1</v>
      </c>
      <c r="E17" t="b">
        <v>0</v>
      </c>
      <c r="F17" t="b">
        <v>0</v>
      </c>
      <c r="G17" t="s">
        <v>1729</v>
      </c>
    </row>
    <row r="18" spans="1:7" x14ac:dyDescent="0.45">
      <c r="A18" t="s">
        <v>1759</v>
      </c>
      <c r="B18" t="s">
        <v>1760</v>
      </c>
      <c r="C18" t="s">
        <v>1697</v>
      </c>
      <c r="D18" t="b">
        <v>0</v>
      </c>
      <c r="E18" t="b">
        <v>0</v>
      </c>
      <c r="F18" t="b">
        <v>1</v>
      </c>
      <c r="G18" t="s">
        <v>1761</v>
      </c>
    </row>
    <row r="19" spans="1:7" x14ac:dyDescent="0.45">
      <c r="A19" t="s">
        <v>1762</v>
      </c>
      <c r="B19" t="s">
        <v>1763</v>
      </c>
      <c r="C19" t="s">
        <v>1728</v>
      </c>
      <c r="D19" t="b">
        <v>0</v>
      </c>
      <c r="E19" t="b">
        <v>0</v>
      </c>
      <c r="F19" t="b">
        <v>1</v>
      </c>
      <c r="G19" t="s">
        <v>1729</v>
      </c>
    </row>
    <row r="20" spans="1:7" x14ac:dyDescent="0.45">
      <c r="A20" t="s">
        <v>1764</v>
      </c>
      <c r="B20" t="s">
        <v>1765</v>
      </c>
      <c r="C20" t="s">
        <v>1965</v>
      </c>
      <c r="D20" t="b">
        <v>0</v>
      </c>
      <c r="E20" t="b">
        <v>0</v>
      </c>
      <c r="F20" t="b">
        <v>0</v>
      </c>
      <c r="G20" t="s">
        <v>1965</v>
      </c>
    </row>
    <row r="21" spans="1:7" x14ac:dyDescent="0.45">
      <c r="A21" t="s">
        <v>1766</v>
      </c>
      <c r="B21" t="s">
        <v>1767</v>
      </c>
      <c r="C21" t="s">
        <v>1728</v>
      </c>
      <c r="D21" t="b">
        <v>0</v>
      </c>
      <c r="E21" t="b">
        <v>0</v>
      </c>
      <c r="F21" t="b">
        <v>1</v>
      </c>
      <c r="G21" t="s">
        <v>1729</v>
      </c>
    </row>
    <row r="22" spans="1:7" x14ac:dyDescent="0.45">
      <c r="A22" t="s">
        <v>1768</v>
      </c>
      <c r="B22" t="s">
        <v>1769</v>
      </c>
      <c r="C22" t="s">
        <v>1697</v>
      </c>
      <c r="D22" t="b">
        <v>0</v>
      </c>
      <c r="E22" t="b">
        <v>0</v>
      </c>
      <c r="F22" t="b">
        <v>1</v>
      </c>
      <c r="G22" t="s">
        <v>1761</v>
      </c>
    </row>
    <row r="23" spans="1:7" x14ac:dyDescent="0.45">
      <c r="A23" t="s">
        <v>1770</v>
      </c>
      <c r="B23" t="s">
        <v>1771</v>
      </c>
      <c r="C23" t="s">
        <v>1965</v>
      </c>
      <c r="D23" t="b">
        <v>0</v>
      </c>
      <c r="E23" t="b">
        <v>0</v>
      </c>
      <c r="F23" t="b">
        <v>0</v>
      </c>
      <c r="G23" t="s">
        <v>1965</v>
      </c>
    </row>
    <row r="24" spans="1:7" x14ac:dyDescent="0.45">
      <c r="A24" t="s">
        <v>1772</v>
      </c>
      <c r="B24" t="s">
        <v>1773</v>
      </c>
      <c r="C24" t="s">
        <v>1728</v>
      </c>
      <c r="D24" t="b">
        <v>0</v>
      </c>
      <c r="E24" t="b">
        <v>0</v>
      </c>
      <c r="F24" t="b">
        <v>1</v>
      </c>
      <c r="G24" t="s">
        <v>1729</v>
      </c>
    </row>
    <row r="25" spans="1:7" x14ac:dyDescent="0.45">
      <c r="A25" t="s">
        <v>1774</v>
      </c>
      <c r="B25" t="s">
        <v>1775</v>
      </c>
      <c r="C25" t="s">
        <v>1728</v>
      </c>
      <c r="D25" t="b">
        <v>0</v>
      </c>
      <c r="E25" t="b">
        <v>0</v>
      </c>
      <c r="F25" t="b">
        <v>1</v>
      </c>
      <c r="G25" t="s">
        <v>1729</v>
      </c>
    </row>
    <row r="26" spans="1:7" x14ac:dyDescent="0.45">
      <c r="A26" t="s">
        <v>1776</v>
      </c>
      <c r="B26" t="s">
        <v>1777</v>
      </c>
      <c r="C26" t="s">
        <v>1697</v>
      </c>
      <c r="D26" t="b">
        <v>0</v>
      </c>
      <c r="E26" t="b">
        <v>1</v>
      </c>
      <c r="F26" t="b">
        <v>1</v>
      </c>
      <c r="G26" t="s">
        <v>1736</v>
      </c>
    </row>
    <row r="27" spans="1:7" x14ac:dyDescent="0.45">
      <c r="A27" t="s">
        <v>1778</v>
      </c>
      <c r="B27" t="s">
        <v>1779</v>
      </c>
      <c r="C27" t="s">
        <v>1728</v>
      </c>
      <c r="D27" t="b">
        <v>0</v>
      </c>
      <c r="E27" t="b">
        <v>0</v>
      </c>
      <c r="F27" t="b">
        <v>1</v>
      </c>
      <c r="G27" t="s">
        <v>1729</v>
      </c>
    </row>
    <row r="28" spans="1:7" x14ac:dyDescent="0.45">
      <c r="A28" t="s">
        <v>1780</v>
      </c>
      <c r="B28" t="s">
        <v>1781</v>
      </c>
      <c r="C28" t="s">
        <v>1728</v>
      </c>
      <c r="D28" t="b">
        <v>0</v>
      </c>
      <c r="E28" t="b">
        <v>0</v>
      </c>
      <c r="F28" t="b">
        <v>1</v>
      </c>
      <c r="G28" t="s">
        <v>1729</v>
      </c>
    </row>
    <row r="29" spans="1:7" x14ac:dyDescent="0.45">
      <c r="A29" t="s">
        <v>1782</v>
      </c>
      <c r="B29" t="s">
        <v>1783</v>
      </c>
      <c r="C29" t="s">
        <v>1728</v>
      </c>
      <c r="D29" t="b">
        <v>0</v>
      </c>
      <c r="E29" t="b">
        <v>0</v>
      </c>
      <c r="F29" t="b">
        <v>1</v>
      </c>
      <c r="G29" t="s">
        <v>1729</v>
      </c>
    </row>
    <row r="30" spans="1:7" x14ac:dyDescent="0.45">
      <c r="A30" t="s">
        <v>1784</v>
      </c>
      <c r="B30" t="s">
        <v>1785</v>
      </c>
      <c r="C30" t="s">
        <v>1728</v>
      </c>
      <c r="D30" t="b">
        <v>0</v>
      </c>
      <c r="E30" t="b">
        <v>0</v>
      </c>
      <c r="F30" t="b">
        <v>1</v>
      </c>
      <c r="G30" t="s">
        <v>1729</v>
      </c>
    </row>
    <row r="31" spans="1:7" x14ac:dyDescent="0.45">
      <c r="A31" t="s">
        <v>1786</v>
      </c>
      <c r="B31" t="s">
        <v>1787</v>
      </c>
      <c r="C31" t="s">
        <v>1697</v>
      </c>
      <c r="D31" t="b">
        <v>0</v>
      </c>
      <c r="E31" t="b">
        <v>0</v>
      </c>
      <c r="F31" t="b">
        <v>1</v>
      </c>
      <c r="G31" t="s">
        <v>1761</v>
      </c>
    </row>
    <row r="32" spans="1:7" x14ac:dyDescent="0.45">
      <c r="A32" t="s">
        <v>1788</v>
      </c>
      <c r="B32" t="s">
        <v>1789</v>
      </c>
      <c r="C32" t="s">
        <v>1728</v>
      </c>
      <c r="D32" t="b">
        <v>0</v>
      </c>
      <c r="E32" t="b">
        <v>0</v>
      </c>
      <c r="F32" t="b">
        <v>1</v>
      </c>
      <c r="G32" t="s">
        <v>1729</v>
      </c>
    </row>
    <row r="33" spans="1:7" x14ac:dyDescent="0.45">
      <c r="A33" t="s">
        <v>1790</v>
      </c>
      <c r="B33" t="s">
        <v>1791</v>
      </c>
      <c r="C33" t="s">
        <v>1728</v>
      </c>
      <c r="D33" t="b">
        <v>0</v>
      </c>
      <c r="E33" t="b">
        <v>0</v>
      </c>
      <c r="F33" t="b">
        <v>1</v>
      </c>
      <c r="G33" t="s">
        <v>1729</v>
      </c>
    </row>
    <row r="34" spans="1:7" x14ac:dyDescent="0.45">
      <c r="A34" t="s">
        <v>1792</v>
      </c>
      <c r="B34" t="s">
        <v>1793</v>
      </c>
      <c r="C34" t="s">
        <v>1965</v>
      </c>
      <c r="D34" t="b">
        <v>0</v>
      </c>
      <c r="E34" t="b">
        <v>0</v>
      </c>
      <c r="F34" t="b">
        <v>0</v>
      </c>
      <c r="G34" t="s">
        <v>1965</v>
      </c>
    </row>
    <row r="35" spans="1:7" x14ac:dyDescent="0.45">
      <c r="A35" t="s">
        <v>1794</v>
      </c>
      <c r="B35" t="s">
        <v>1795</v>
      </c>
      <c r="C35" t="s">
        <v>1728</v>
      </c>
      <c r="D35" t="b">
        <v>0</v>
      </c>
      <c r="E35" t="b">
        <v>0</v>
      </c>
      <c r="F35" t="b">
        <v>1</v>
      </c>
      <c r="G35" t="s">
        <v>1729</v>
      </c>
    </row>
    <row r="36" spans="1:7" x14ac:dyDescent="0.45">
      <c r="A36" t="s">
        <v>1796</v>
      </c>
      <c r="B36" t="s">
        <v>1797</v>
      </c>
      <c r="C36" t="s">
        <v>1965</v>
      </c>
      <c r="D36" t="b">
        <v>0</v>
      </c>
      <c r="E36" t="b">
        <v>0</v>
      </c>
      <c r="F36" t="b">
        <v>0</v>
      </c>
      <c r="G36" t="s">
        <v>1965</v>
      </c>
    </row>
    <row r="37" spans="1:7" x14ac:dyDescent="0.45">
      <c r="A37" t="s">
        <v>1798</v>
      </c>
      <c r="B37" t="s">
        <v>1799</v>
      </c>
      <c r="C37" t="s">
        <v>1697</v>
      </c>
      <c r="D37" t="b">
        <v>1</v>
      </c>
      <c r="E37" t="b">
        <v>1</v>
      </c>
      <c r="F37" t="b">
        <v>0</v>
      </c>
      <c r="G37" t="s">
        <v>1736</v>
      </c>
    </row>
    <row r="38" spans="1:7" x14ac:dyDescent="0.45">
      <c r="A38" t="s">
        <v>1800</v>
      </c>
      <c r="B38" t="s">
        <v>1801</v>
      </c>
      <c r="C38" t="s">
        <v>1728</v>
      </c>
      <c r="D38" t="b">
        <v>0</v>
      </c>
      <c r="E38" t="b">
        <v>0</v>
      </c>
      <c r="F38" t="b">
        <v>1</v>
      </c>
      <c r="G38" t="s">
        <v>1729</v>
      </c>
    </row>
    <row r="39" spans="1:7" x14ac:dyDescent="0.45">
      <c r="A39" t="s">
        <v>1802</v>
      </c>
      <c r="B39" t="s">
        <v>1803</v>
      </c>
      <c r="C39" t="s">
        <v>1697</v>
      </c>
      <c r="D39" t="b">
        <v>0</v>
      </c>
      <c r="E39" t="b">
        <v>1</v>
      </c>
      <c r="F39" t="b">
        <v>1</v>
      </c>
      <c r="G39" t="s">
        <v>1736</v>
      </c>
    </row>
    <row r="40" spans="1:7" x14ac:dyDescent="0.45">
      <c r="A40" t="s">
        <v>1804</v>
      </c>
      <c r="B40" t="s">
        <v>1805</v>
      </c>
      <c r="C40" t="s">
        <v>1728</v>
      </c>
      <c r="D40" t="b">
        <v>0</v>
      </c>
      <c r="E40" t="b">
        <v>0</v>
      </c>
      <c r="F40" t="b">
        <v>1</v>
      </c>
      <c r="G40" t="s">
        <v>1729</v>
      </c>
    </row>
    <row r="41" spans="1:7" x14ac:dyDescent="0.45">
      <c r="A41" t="s">
        <v>1806</v>
      </c>
      <c r="B41" t="s">
        <v>1807</v>
      </c>
      <c r="C41" t="s">
        <v>1728</v>
      </c>
      <c r="D41" t="b">
        <v>0</v>
      </c>
      <c r="E41" t="b">
        <v>0</v>
      </c>
      <c r="F41" t="b">
        <v>1</v>
      </c>
      <c r="G41" t="s">
        <v>1729</v>
      </c>
    </row>
    <row r="42" spans="1:7" x14ac:dyDescent="0.45">
      <c r="A42" t="s">
        <v>1808</v>
      </c>
      <c r="B42" t="s">
        <v>1809</v>
      </c>
      <c r="C42" t="s">
        <v>1697</v>
      </c>
      <c r="D42" t="b">
        <v>0</v>
      </c>
      <c r="E42" t="b">
        <v>0</v>
      </c>
      <c r="F42" t="b">
        <v>1</v>
      </c>
      <c r="G42" t="s">
        <v>1761</v>
      </c>
    </row>
    <row r="43" spans="1:7" x14ac:dyDescent="0.45">
      <c r="A43" t="s">
        <v>1810</v>
      </c>
      <c r="B43" t="s">
        <v>1811</v>
      </c>
      <c r="C43" t="s">
        <v>1728</v>
      </c>
      <c r="D43" t="b">
        <v>0</v>
      </c>
      <c r="E43" t="b">
        <v>0</v>
      </c>
      <c r="F43" t="b">
        <v>1</v>
      </c>
      <c r="G43" t="s">
        <v>1729</v>
      </c>
    </row>
    <row r="44" spans="1:7" x14ac:dyDescent="0.45">
      <c r="A44" t="s">
        <v>1812</v>
      </c>
      <c r="B44" t="s">
        <v>1813</v>
      </c>
      <c r="C44" t="s">
        <v>1697</v>
      </c>
      <c r="D44" t="b">
        <v>1</v>
      </c>
      <c r="E44" t="b">
        <v>0</v>
      </c>
      <c r="F44" t="b">
        <v>0</v>
      </c>
      <c r="G44" t="s">
        <v>1761</v>
      </c>
    </row>
    <row r="45" spans="1:7" x14ac:dyDescent="0.45">
      <c r="A45" t="s">
        <v>1814</v>
      </c>
      <c r="B45" t="s">
        <v>1815</v>
      </c>
      <c r="C45" t="s">
        <v>1728</v>
      </c>
      <c r="D45" t="b">
        <v>0</v>
      </c>
      <c r="E45" t="b">
        <v>0</v>
      </c>
      <c r="F45" t="b">
        <v>1</v>
      </c>
      <c r="G45" t="s">
        <v>1729</v>
      </c>
    </row>
    <row r="46" spans="1:7" x14ac:dyDescent="0.45">
      <c r="A46" t="s">
        <v>1816</v>
      </c>
      <c r="B46" t="s">
        <v>1817</v>
      </c>
      <c r="C46" t="s">
        <v>1728</v>
      </c>
      <c r="D46" t="b">
        <v>0</v>
      </c>
      <c r="E46" t="b">
        <v>0</v>
      </c>
      <c r="F46" t="b">
        <v>1</v>
      </c>
      <c r="G46" t="s">
        <v>1729</v>
      </c>
    </row>
    <row r="47" spans="1:7" x14ac:dyDescent="0.45">
      <c r="A47" t="s">
        <v>1818</v>
      </c>
      <c r="B47" t="s">
        <v>1819</v>
      </c>
      <c r="C47" t="s">
        <v>1728</v>
      </c>
      <c r="D47" t="b">
        <v>0</v>
      </c>
      <c r="E47" t="b">
        <v>0</v>
      </c>
      <c r="F47" t="b">
        <v>1</v>
      </c>
      <c r="G47" t="s">
        <v>1729</v>
      </c>
    </row>
    <row r="48" spans="1:7" x14ac:dyDescent="0.45">
      <c r="A48" t="s">
        <v>1820</v>
      </c>
      <c r="B48" t="s">
        <v>1821</v>
      </c>
      <c r="C48" t="s">
        <v>1728</v>
      </c>
      <c r="D48" t="b">
        <v>0</v>
      </c>
      <c r="E48" t="b">
        <v>0</v>
      </c>
      <c r="F48" t="b">
        <v>1</v>
      </c>
      <c r="G48" t="s">
        <v>1729</v>
      </c>
    </row>
    <row r="49" spans="1:7" x14ac:dyDescent="0.45">
      <c r="A49" t="s">
        <v>1822</v>
      </c>
      <c r="B49" t="s">
        <v>1823</v>
      </c>
      <c r="C49" t="s">
        <v>1965</v>
      </c>
      <c r="D49" t="b">
        <v>0</v>
      </c>
      <c r="E49" t="b">
        <v>0</v>
      </c>
      <c r="F49" t="b">
        <v>0</v>
      </c>
      <c r="G49" t="s">
        <v>1965</v>
      </c>
    </row>
    <row r="50" spans="1:7" x14ac:dyDescent="0.45">
      <c r="A50" t="s">
        <v>1824</v>
      </c>
      <c r="B50" t="s">
        <v>1825</v>
      </c>
      <c r="C50" t="s">
        <v>1697</v>
      </c>
      <c r="D50" t="b">
        <v>1</v>
      </c>
      <c r="E50" t="b">
        <v>0</v>
      </c>
      <c r="F50" t="b">
        <v>0</v>
      </c>
      <c r="G50" t="s">
        <v>1761</v>
      </c>
    </row>
    <row r="51" spans="1:7" x14ac:dyDescent="0.45">
      <c r="A51" t="s">
        <v>1826</v>
      </c>
      <c r="B51" t="s">
        <v>1827</v>
      </c>
      <c r="C51" t="s">
        <v>1728</v>
      </c>
      <c r="D51" t="b">
        <v>0</v>
      </c>
      <c r="E51" t="b">
        <v>0</v>
      </c>
      <c r="F51" t="b">
        <v>1</v>
      </c>
      <c r="G51" t="s">
        <v>1729</v>
      </c>
    </row>
    <row r="52" spans="1:7" x14ac:dyDescent="0.45">
      <c r="A52" t="s">
        <v>1828</v>
      </c>
      <c r="B52" t="s">
        <v>1829</v>
      </c>
      <c r="C52" t="s">
        <v>1728</v>
      </c>
      <c r="D52" t="b">
        <v>0</v>
      </c>
      <c r="E52" t="b">
        <v>0</v>
      </c>
      <c r="F52" t="b">
        <v>1</v>
      </c>
      <c r="G52" t="s">
        <v>1729</v>
      </c>
    </row>
    <row r="53" spans="1:7" x14ac:dyDescent="0.45">
      <c r="A53" t="s">
        <v>1830</v>
      </c>
      <c r="B53" t="s">
        <v>1831</v>
      </c>
      <c r="C53" t="s">
        <v>1965</v>
      </c>
      <c r="D53" t="b">
        <v>0</v>
      </c>
      <c r="E53" t="b">
        <v>0</v>
      </c>
      <c r="F53" t="b">
        <v>0</v>
      </c>
      <c r="G53" t="s">
        <v>1965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7FBD-BBEA-483A-AE1F-FD55C6508BFC}">
  <dimension ref="A1:E8"/>
  <sheetViews>
    <sheetView workbookViewId="0">
      <selection activeCell="C1" sqref="C1:D8"/>
    </sheetView>
  </sheetViews>
  <sheetFormatPr defaultRowHeight="14.25" x14ac:dyDescent="0.45"/>
  <cols>
    <col min="1" max="1" width="20.3984375" customWidth="1"/>
    <col min="2" max="2" width="5.1328125" bestFit="1" customWidth="1"/>
    <col min="3" max="5" width="16.3984375" customWidth="1"/>
  </cols>
  <sheetData>
    <row r="1" spans="1:5" x14ac:dyDescent="0.45">
      <c r="A1" t="s">
        <v>1942</v>
      </c>
      <c r="B1" t="s">
        <v>1951</v>
      </c>
      <c r="C1" t="s">
        <v>2069</v>
      </c>
      <c r="D1" t="s">
        <v>2070</v>
      </c>
      <c r="E1" t="s">
        <v>1943</v>
      </c>
    </row>
    <row r="2" spans="1:5" x14ac:dyDescent="0.45">
      <c r="A2" t="s">
        <v>1944</v>
      </c>
      <c r="B2">
        <v>1</v>
      </c>
      <c r="C2">
        <v>0</v>
      </c>
      <c r="D2">
        <v>8000</v>
      </c>
      <c r="E2">
        <v>150</v>
      </c>
    </row>
    <row r="3" spans="1:5" x14ac:dyDescent="0.45">
      <c r="A3" t="s">
        <v>1945</v>
      </c>
      <c r="B3">
        <v>2</v>
      </c>
      <c r="C3">
        <v>8001</v>
      </c>
      <c r="D3">
        <v>25000</v>
      </c>
      <c r="E3">
        <v>250</v>
      </c>
    </row>
    <row r="4" spans="1:5" x14ac:dyDescent="0.45">
      <c r="A4" t="s">
        <v>1946</v>
      </c>
      <c r="B4">
        <v>3</v>
      </c>
      <c r="C4">
        <v>25001</v>
      </c>
      <c r="D4">
        <v>50000</v>
      </c>
      <c r="E4">
        <v>450</v>
      </c>
    </row>
    <row r="5" spans="1:5" x14ac:dyDescent="0.45">
      <c r="A5" t="s">
        <v>1947</v>
      </c>
      <c r="B5">
        <v>4</v>
      </c>
      <c r="C5">
        <v>50001</v>
      </c>
      <c r="D5">
        <v>100000</v>
      </c>
      <c r="E5">
        <v>750</v>
      </c>
    </row>
    <row r="6" spans="1:5" x14ac:dyDescent="0.45">
      <c r="A6" t="s">
        <v>1948</v>
      </c>
      <c r="B6">
        <v>5</v>
      </c>
      <c r="C6">
        <v>100001</v>
      </c>
      <c r="D6">
        <v>250000</v>
      </c>
      <c r="E6">
        <v>1500</v>
      </c>
    </row>
    <row r="7" spans="1:5" x14ac:dyDescent="0.45">
      <c r="A7" t="s">
        <v>1949</v>
      </c>
      <c r="B7">
        <v>6</v>
      </c>
      <c r="C7">
        <v>250001</v>
      </c>
      <c r="D7">
        <v>500000</v>
      </c>
      <c r="E7">
        <v>2500</v>
      </c>
    </row>
    <row r="8" spans="1:5" x14ac:dyDescent="0.45">
      <c r="A8" t="s">
        <v>1950</v>
      </c>
      <c r="B8">
        <v>7</v>
      </c>
      <c r="C8">
        <v>500001</v>
      </c>
      <c r="D8">
        <v>0</v>
      </c>
      <c r="E8">
        <v>5500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A106-F418-4FD8-8FD4-4162FED86047}">
  <dimension ref="A1:B53"/>
  <sheetViews>
    <sheetView workbookViewId="0">
      <selection activeCell="J44" sqref="J44"/>
    </sheetView>
  </sheetViews>
  <sheetFormatPr defaultRowHeight="14.25" x14ac:dyDescent="0.45"/>
  <cols>
    <col min="1" max="1" width="18.86328125" bestFit="1" customWidth="1"/>
    <col min="2" max="2" width="11.86328125" bestFit="1" customWidth="1"/>
  </cols>
  <sheetData>
    <row r="1" spans="1:2" x14ac:dyDescent="0.45">
      <c r="A1" t="s">
        <v>1718</v>
      </c>
      <c r="B1" t="s">
        <v>1952</v>
      </c>
    </row>
    <row r="2" spans="1:2" x14ac:dyDescent="0.45">
      <c r="A2" t="s">
        <v>1725</v>
      </c>
      <c r="B2">
        <v>0</v>
      </c>
    </row>
    <row r="3" spans="1:2" x14ac:dyDescent="0.45">
      <c r="A3" t="s">
        <v>1727</v>
      </c>
      <c r="B3">
        <v>2</v>
      </c>
    </row>
    <row r="4" spans="1:2" x14ac:dyDescent="0.45">
      <c r="A4" t="s">
        <v>1731</v>
      </c>
      <c r="B4">
        <v>2</v>
      </c>
    </row>
    <row r="5" spans="1:2" x14ac:dyDescent="0.45">
      <c r="A5" t="s">
        <v>1733</v>
      </c>
      <c r="B5">
        <v>2</v>
      </c>
    </row>
    <row r="6" spans="1:2" x14ac:dyDescent="0.45">
      <c r="A6" t="s">
        <v>1735</v>
      </c>
      <c r="B6">
        <v>3</v>
      </c>
    </row>
    <row r="7" spans="1:2" x14ac:dyDescent="0.45">
      <c r="A7" t="s">
        <v>1738</v>
      </c>
      <c r="B7">
        <v>2</v>
      </c>
    </row>
    <row r="8" spans="1:2" x14ac:dyDescent="0.45">
      <c r="A8" t="s">
        <v>1740</v>
      </c>
      <c r="B8">
        <v>2</v>
      </c>
    </row>
    <row r="9" spans="1:2" x14ac:dyDescent="0.45">
      <c r="A9" t="s">
        <v>1742</v>
      </c>
      <c r="B9">
        <v>2</v>
      </c>
    </row>
    <row r="10" spans="1:2" x14ac:dyDescent="0.45">
      <c r="A10" t="s">
        <v>1744</v>
      </c>
      <c r="B10">
        <v>2</v>
      </c>
    </row>
    <row r="11" spans="1:2" x14ac:dyDescent="0.45">
      <c r="A11" t="s">
        <v>1746</v>
      </c>
      <c r="B11">
        <v>2</v>
      </c>
    </row>
    <row r="12" spans="1:2" x14ac:dyDescent="0.45">
      <c r="A12" t="s">
        <v>1748</v>
      </c>
      <c r="B12">
        <v>2</v>
      </c>
    </row>
    <row r="13" spans="1:2" x14ac:dyDescent="0.45">
      <c r="A13" t="s">
        <v>1750</v>
      </c>
      <c r="B13">
        <v>2</v>
      </c>
    </row>
    <row r="14" spans="1:2" x14ac:dyDescent="0.45">
      <c r="A14" t="s">
        <v>1752</v>
      </c>
      <c r="B14">
        <v>2</v>
      </c>
    </row>
    <row r="15" spans="1:2" x14ac:dyDescent="0.45">
      <c r="A15" t="s">
        <v>1754</v>
      </c>
      <c r="B15">
        <v>2</v>
      </c>
    </row>
    <row r="16" spans="1:2" x14ac:dyDescent="0.45">
      <c r="A16" t="s">
        <v>1756</v>
      </c>
      <c r="B16">
        <v>2</v>
      </c>
    </row>
    <row r="17" spans="1:2" x14ac:dyDescent="0.45">
      <c r="A17" t="s">
        <v>1758</v>
      </c>
      <c r="B17">
        <v>2</v>
      </c>
    </row>
    <row r="18" spans="1:2" x14ac:dyDescent="0.45">
      <c r="A18" t="s">
        <v>1760</v>
      </c>
      <c r="B18">
        <v>2</v>
      </c>
    </row>
    <row r="19" spans="1:2" x14ac:dyDescent="0.45">
      <c r="A19" t="s">
        <v>1763</v>
      </c>
      <c r="B19">
        <v>2</v>
      </c>
    </row>
    <row r="20" spans="1:2" x14ac:dyDescent="0.45">
      <c r="A20" t="s">
        <v>1765</v>
      </c>
      <c r="B20">
        <v>0</v>
      </c>
    </row>
    <row r="21" spans="1:2" x14ac:dyDescent="0.45">
      <c r="A21" t="s">
        <v>1767</v>
      </c>
      <c r="B21">
        <v>2</v>
      </c>
    </row>
    <row r="22" spans="1:2" x14ac:dyDescent="0.45">
      <c r="A22" t="s">
        <v>1769</v>
      </c>
      <c r="B22">
        <v>2</v>
      </c>
    </row>
    <row r="23" spans="1:2" x14ac:dyDescent="0.45">
      <c r="A23" t="s">
        <v>1771</v>
      </c>
      <c r="B23">
        <v>0</v>
      </c>
    </row>
    <row r="24" spans="1:2" x14ac:dyDescent="0.45">
      <c r="A24" t="s">
        <v>1773</v>
      </c>
      <c r="B24">
        <v>2</v>
      </c>
    </row>
    <row r="25" spans="1:2" x14ac:dyDescent="0.45">
      <c r="A25" t="s">
        <v>1775</v>
      </c>
      <c r="B25">
        <v>2</v>
      </c>
    </row>
    <row r="26" spans="1:2" x14ac:dyDescent="0.45">
      <c r="A26" t="s">
        <v>1777</v>
      </c>
      <c r="B26">
        <v>2</v>
      </c>
    </row>
    <row r="27" spans="1:2" x14ac:dyDescent="0.45">
      <c r="A27" t="s">
        <v>1779</v>
      </c>
      <c r="B27">
        <v>2</v>
      </c>
    </row>
    <row r="28" spans="1:2" x14ac:dyDescent="0.45">
      <c r="A28" t="s">
        <v>1781</v>
      </c>
      <c r="B28">
        <v>2</v>
      </c>
    </row>
    <row r="29" spans="1:2" x14ac:dyDescent="0.45">
      <c r="A29" t="s">
        <v>1783</v>
      </c>
      <c r="B29">
        <v>2</v>
      </c>
    </row>
    <row r="30" spans="1:2" x14ac:dyDescent="0.45">
      <c r="A30" t="s">
        <v>1785</v>
      </c>
      <c r="B30">
        <v>2</v>
      </c>
    </row>
    <row r="31" spans="1:2" x14ac:dyDescent="0.45">
      <c r="A31" t="s">
        <v>1787</v>
      </c>
      <c r="B31">
        <v>2</v>
      </c>
    </row>
    <row r="32" spans="1:2" x14ac:dyDescent="0.45">
      <c r="A32" t="s">
        <v>1789</v>
      </c>
      <c r="B32">
        <v>2</v>
      </c>
    </row>
    <row r="33" spans="1:2" x14ac:dyDescent="0.45">
      <c r="A33" t="s">
        <v>1791</v>
      </c>
      <c r="B33">
        <v>2</v>
      </c>
    </row>
    <row r="34" spans="1:2" x14ac:dyDescent="0.45">
      <c r="A34" t="s">
        <v>1793</v>
      </c>
      <c r="B34">
        <v>0</v>
      </c>
    </row>
    <row r="35" spans="1:2" x14ac:dyDescent="0.45">
      <c r="A35" t="s">
        <v>1795</v>
      </c>
      <c r="B35">
        <v>2</v>
      </c>
    </row>
    <row r="36" spans="1:2" x14ac:dyDescent="0.45">
      <c r="A36" t="s">
        <v>1797</v>
      </c>
      <c r="B36">
        <v>0</v>
      </c>
    </row>
    <row r="37" spans="1:2" x14ac:dyDescent="0.45">
      <c r="A37" t="s">
        <v>1799</v>
      </c>
      <c r="B37">
        <v>1</v>
      </c>
    </row>
    <row r="38" spans="1:2" x14ac:dyDescent="0.45">
      <c r="A38" t="s">
        <v>1801</v>
      </c>
      <c r="B38">
        <v>2</v>
      </c>
    </row>
    <row r="39" spans="1:2" x14ac:dyDescent="0.45">
      <c r="A39" t="s">
        <v>1803</v>
      </c>
      <c r="B39">
        <v>2</v>
      </c>
    </row>
    <row r="40" spans="1:2" x14ac:dyDescent="0.45">
      <c r="A40" t="s">
        <v>1805</v>
      </c>
      <c r="B40">
        <v>2</v>
      </c>
    </row>
    <row r="41" spans="1:2" x14ac:dyDescent="0.45">
      <c r="A41" t="s">
        <v>1807</v>
      </c>
      <c r="B41">
        <v>2</v>
      </c>
    </row>
    <row r="42" spans="1:2" x14ac:dyDescent="0.45">
      <c r="A42" t="s">
        <v>1809</v>
      </c>
      <c r="B42">
        <v>2</v>
      </c>
    </row>
    <row r="43" spans="1:2" x14ac:dyDescent="0.45">
      <c r="A43" t="s">
        <v>1811</v>
      </c>
      <c r="B43">
        <v>2</v>
      </c>
    </row>
    <row r="44" spans="1:2" x14ac:dyDescent="0.45">
      <c r="A44" t="s">
        <v>1813</v>
      </c>
      <c r="B44">
        <v>2</v>
      </c>
    </row>
    <row r="45" spans="1:2" x14ac:dyDescent="0.45">
      <c r="A45" t="s">
        <v>1815</v>
      </c>
      <c r="B45">
        <v>2</v>
      </c>
    </row>
    <row r="46" spans="1:2" x14ac:dyDescent="0.45">
      <c r="A46" t="s">
        <v>1817</v>
      </c>
      <c r="B46">
        <v>2</v>
      </c>
    </row>
    <row r="47" spans="1:2" x14ac:dyDescent="0.45">
      <c r="A47" t="s">
        <v>1819</v>
      </c>
      <c r="B47">
        <v>2</v>
      </c>
    </row>
    <row r="48" spans="1:2" x14ac:dyDescent="0.45">
      <c r="A48" t="s">
        <v>1821</v>
      </c>
      <c r="B48">
        <v>2</v>
      </c>
    </row>
    <row r="49" spans="1:2" x14ac:dyDescent="0.45">
      <c r="A49" t="s">
        <v>1823</v>
      </c>
      <c r="B49">
        <v>0</v>
      </c>
    </row>
    <row r="50" spans="1:2" x14ac:dyDescent="0.45">
      <c r="A50" t="s">
        <v>1825</v>
      </c>
      <c r="B50">
        <v>2</v>
      </c>
    </row>
    <row r="51" spans="1:2" x14ac:dyDescent="0.45">
      <c r="A51" t="s">
        <v>1827</v>
      </c>
      <c r="B51">
        <v>2</v>
      </c>
    </row>
    <row r="52" spans="1:2" x14ac:dyDescent="0.45">
      <c r="A52" t="s">
        <v>1829</v>
      </c>
      <c r="B52">
        <v>2</v>
      </c>
    </row>
    <row r="53" spans="1:2" x14ac:dyDescent="0.45">
      <c r="A53" t="s">
        <v>1831</v>
      </c>
      <c r="B53">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21FA-7FD6-459C-8BC8-349C179F4581}">
  <dimension ref="A1:F19"/>
  <sheetViews>
    <sheetView workbookViewId="0">
      <selection activeCell="F1" sqref="F1"/>
    </sheetView>
  </sheetViews>
  <sheetFormatPr defaultRowHeight="14.25" x14ac:dyDescent="0.45"/>
  <cols>
    <col min="1" max="3" width="17.59765625" bestFit="1" customWidth="1"/>
    <col min="4" max="4" width="16" bestFit="1" customWidth="1"/>
    <col min="5" max="5" width="13.3984375" bestFit="1" customWidth="1"/>
    <col min="6" max="6" width="18.1328125" bestFit="1" customWidth="1"/>
  </cols>
  <sheetData>
    <row r="1" spans="1:6" x14ac:dyDescent="0.45">
      <c r="A1" t="s">
        <v>1646</v>
      </c>
      <c r="B1" t="s">
        <v>1647</v>
      </c>
      <c r="C1" t="s">
        <v>1648</v>
      </c>
      <c r="D1" t="s">
        <v>1649</v>
      </c>
      <c r="E1" t="s">
        <v>1953</v>
      </c>
      <c r="F1" t="s">
        <v>1954</v>
      </c>
    </row>
    <row r="2" spans="1:6" x14ac:dyDescent="0.45">
      <c r="A2" s="6">
        <v>2500000</v>
      </c>
      <c r="B2" s="6">
        <v>0</v>
      </c>
      <c r="C2" s="6">
        <v>2500000</v>
      </c>
      <c r="D2" s="7">
        <v>28178.14</v>
      </c>
      <c r="E2" s="7">
        <v>134.75</v>
      </c>
      <c r="F2" s="6">
        <v>100000</v>
      </c>
    </row>
    <row r="3" spans="1:6" x14ac:dyDescent="0.45">
      <c r="A3" s="6">
        <v>5000000</v>
      </c>
      <c r="B3" s="6">
        <v>2500000</v>
      </c>
      <c r="C3" s="6">
        <v>5000000</v>
      </c>
      <c r="D3" s="7">
        <v>31546.98</v>
      </c>
      <c r="E3" s="7">
        <v>752.48</v>
      </c>
      <c r="F3" s="6">
        <v>1000000</v>
      </c>
    </row>
    <row r="4" spans="1:6" x14ac:dyDescent="0.45">
      <c r="A4" s="6">
        <v>10000000</v>
      </c>
      <c r="B4" s="6">
        <v>5000000</v>
      </c>
      <c r="C4" s="6">
        <v>10000000</v>
      </c>
      <c r="D4" s="7">
        <v>35309.4</v>
      </c>
      <c r="E4" s="7">
        <v>481.64</v>
      </c>
      <c r="F4" s="6">
        <v>1000000</v>
      </c>
    </row>
    <row r="5" spans="1:6" x14ac:dyDescent="0.45">
      <c r="A5" s="6">
        <v>15000000</v>
      </c>
      <c r="B5" s="6">
        <v>10000000</v>
      </c>
      <c r="C5" s="6">
        <v>15000000</v>
      </c>
      <c r="D5" s="7">
        <v>37717.61</v>
      </c>
      <c r="E5" s="7">
        <v>361.57</v>
      </c>
      <c r="F5" s="6">
        <v>1000000</v>
      </c>
    </row>
    <row r="6" spans="1:6" x14ac:dyDescent="0.45">
      <c r="A6" s="6">
        <v>20000000</v>
      </c>
      <c r="B6" s="6">
        <v>15000000</v>
      </c>
      <c r="C6" s="6">
        <v>20000000</v>
      </c>
      <c r="D6" s="7">
        <v>39525.440000000002</v>
      </c>
      <c r="E6" s="7">
        <v>292.19</v>
      </c>
      <c r="F6" s="6">
        <v>1000000</v>
      </c>
    </row>
    <row r="7" spans="1:6" x14ac:dyDescent="0.45">
      <c r="A7" s="6">
        <v>25000000</v>
      </c>
      <c r="B7" s="6">
        <v>20000000</v>
      </c>
      <c r="C7" s="6">
        <v>25000000</v>
      </c>
      <c r="D7" s="7">
        <v>40986.39</v>
      </c>
      <c r="E7" s="7">
        <v>977.96</v>
      </c>
      <c r="F7" s="6">
        <v>5000000</v>
      </c>
    </row>
    <row r="8" spans="1:6" x14ac:dyDescent="0.45">
      <c r="A8" s="6">
        <v>50000000</v>
      </c>
      <c r="B8" s="6">
        <v>25000000</v>
      </c>
      <c r="C8" s="6">
        <v>50000000</v>
      </c>
      <c r="D8" s="7">
        <v>45876.2</v>
      </c>
      <c r="E8" s="7">
        <v>625.74</v>
      </c>
      <c r="F8" s="6">
        <v>5000000</v>
      </c>
    </row>
    <row r="9" spans="1:6" x14ac:dyDescent="0.45">
      <c r="A9" s="6">
        <v>75000000</v>
      </c>
      <c r="B9" s="6">
        <v>50000000</v>
      </c>
      <c r="C9" s="6">
        <v>75000000</v>
      </c>
      <c r="D9" s="7">
        <v>49004.88</v>
      </c>
      <c r="E9" s="7">
        <v>469.64</v>
      </c>
      <c r="F9" s="6">
        <v>5000000</v>
      </c>
    </row>
    <row r="10" spans="1:6" x14ac:dyDescent="0.45">
      <c r="A10" s="6">
        <v>100000000</v>
      </c>
      <c r="B10" s="6">
        <v>75000000</v>
      </c>
      <c r="C10" s="6">
        <v>100000000</v>
      </c>
      <c r="D10" s="7">
        <v>51353.06</v>
      </c>
      <c r="E10" s="7">
        <v>549.69000000000005</v>
      </c>
      <c r="F10" s="6">
        <v>10000000</v>
      </c>
    </row>
    <row r="11" spans="1:6" x14ac:dyDescent="0.45">
      <c r="A11" s="6">
        <v>250000000</v>
      </c>
      <c r="B11" s="6">
        <v>100000000</v>
      </c>
      <c r="C11" s="6">
        <v>250000000</v>
      </c>
      <c r="D11" s="7">
        <v>59598.37</v>
      </c>
      <c r="E11" s="7">
        <v>284.18</v>
      </c>
      <c r="F11" s="6">
        <v>10000000</v>
      </c>
    </row>
    <row r="12" spans="1:6" x14ac:dyDescent="0.45">
      <c r="A12" s="6">
        <v>500000000</v>
      </c>
      <c r="B12" s="6">
        <v>250000000</v>
      </c>
      <c r="C12" s="6">
        <v>500000000</v>
      </c>
      <c r="D12" s="7">
        <v>66702.94</v>
      </c>
      <c r="E12" s="7">
        <v>158.77000000000001</v>
      </c>
      <c r="F12" s="6">
        <v>10000000</v>
      </c>
    </row>
    <row r="13" spans="1:6" x14ac:dyDescent="0.45">
      <c r="A13" s="6">
        <v>1000000000</v>
      </c>
      <c r="B13" s="6">
        <v>500000000</v>
      </c>
      <c r="C13" s="6">
        <v>1000000000</v>
      </c>
      <c r="D13" s="7">
        <v>74641.38</v>
      </c>
      <c r="E13" s="7">
        <v>559.03</v>
      </c>
      <c r="F13" s="6">
        <v>100000000</v>
      </c>
    </row>
    <row r="14" spans="1:6" x14ac:dyDescent="0.45">
      <c r="A14" s="6">
        <v>5000000000</v>
      </c>
      <c r="B14" s="6">
        <v>1000000000</v>
      </c>
      <c r="C14" s="6">
        <v>5000000000</v>
      </c>
      <c r="D14" s="7">
        <v>97002.45</v>
      </c>
      <c r="E14" s="7">
        <v>232.15</v>
      </c>
      <c r="F14" s="6">
        <v>100000000</v>
      </c>
    </row>
    <row r="15" spans="1:6" x14ac:dyDescent="0.45">
      <c r="A15" s="6">
        <v>10000000000</v>
      </c>
      <c r="B15" s="6">
        <v>5000000000</v>
      </c>
      <c r="C15" s="6">
        <v>10000000000</v>
      </c>
      <c r="D15" s="7">
        <v>108609.92</v>
      </c>
      <c r="E15" s="7">
        <v>116.07</v>
      </c>
      <c r="F15" s="6">
        <v>100000000</v>
      </c>
    </row>
    <row r="16" spans="1:6" x14ac:dyDescent="0.45">
      <c r="A16" s="6">
        <v>25000000000</v>
      </c>
      <c r="B16" s="6">
        <v>10000000000</v>
      </c>
      <c r="C16" s="6">
        <v>25000000000</v>
      </c>
      <c r="D16" s="7">
        <v>126021.13</v>
      </c>
      <c r="E16" s="7">
        <v>601.72</v>
      </c>
      <c r="F16" s="6">
        <v>1000000000</v>
      </c>
    </row>
    <row r="17" spans="1:6" x14ac:dyDescent="0.45">
      <c r="A17" s="6">
        <v>50000000000</v>
      </c>
      <c r="B17" s="6">
        <v>25000000000</v>
      </c>
      <c r="C17" s="6">
        <v>50000000000</v>
      </c>
      <c r="D17" s="7">
        <v>141064.14000000001</v>
      </c>
      <c r="E17" s="7">
        <v>336.22</v>
      </c>
      <c r="F17" s="6">
        <v>1000000000</v>
      </c>
    </row>
    <row r="18" spans="1:6" x14ac:dyDescent="0.45">
      <c r="A18" s="6">
        <v>100000000000</v>
      </c>
      <c r="B18" s="6">
        <v>50000000000</v>
      </c>
      <c r="C18" s="6">
        <v>100000000000</v>
      </c>
      <c r="D18" s="7">
        <v>157874.97</v>
      </c>
      <c r="E18" s="7">
        <v>118.74</v>
      </c>
      <c r="F18" s="6">
        <v>1000000000</v>
      </c>
    </row>
    <row r="19" spans="1:6" x14ac:dyDescent="0.45">
      <c r="A19" s="6">
        <v>500000000000</v>
      </c>
      <c r="B19" s="6">
        <v>100000000000</v>
      </c>
      <c r="C19" s="6">
        <v>500000000000</v>
      </c>
      <c r="D19" s="7">
        <v>205370.97</v>
      </c>
      <c r="E19" s="7">
        <v>489.65</v>
      </c>
      <c r="F19" s="6">
        <v>10000000000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63E4-0603-4CCA-B8BA-1060CB3E87E0}">
  <dimension ref="A1:B1171"/>
  <sheetViews>
    <sheetView workbookViewId="0">
      <selection activeCell="B1" sqref="B1"/>
    </sheetView>
  </sheetViews>
  <sheetFormatPr defaultRowHeight="14.25" x14ac:dyDescent="0.45"/>
  <cols>
    <col min="2" max="2" width="26" bestFit="1" customWidth="1"/>
  </cols>
  <sheetData>
    <row r="1" spans="1:2" x14ac:dyDescent="0.45">
      <c r="A1" t="s">
        <v>44</v>
      </c>
      <c r="B1" t="s">
        <v>1663</v>
      </c>
    </row>
    <row r="2" spans="1:2" x14ac:dyDescent="0.45">
      <c r="A2">
        <v>100</v>
      </c>
      <c r="B2" t="s">
        <v>1664</v>
      </c>
    </row>
    <row r="3" spans="1:2" x14ac:dyDescent="0.45">
      <c r="A3">
        <v>111</v>
      </c>
      <c r="B3" t="s">
        <v>1664</v>
      </c>
    </row>
    <row r="4" spans="1:2" x14ac:dyDescent="0.45">
      <c r="A4">
        <v>112</v>
      </c>
      <c r="B4" t="s">
        <v>1664</v>
      </c>
    </row>
    <row r="5" spans="1:2" x14ac:dyDescent="0.45">
      <c r="A5">
        <v>115</v>
      </c>
      <c r="B5" t="s">
        <v>1664</v>
      </c>
    </row>
    <row r="6" spans="1:2" x14ac:dyDescent="0.45">
      <c r="A6">
        <v>116</v>
      </c>
      <c r="B6" t="s">
        <v>1664</v>
      </c>
    </row>
    <row r="7" spans="1:2" x14ac:dyDescent="0.45">
      <c r="A7">
        <v>119</v>
      </c>
      <c r="B7" t="s">
        <v>1664</v>
      </c>
    </row>
    <row r="8" spans="1:2" x14ac:dyDescent="0.45">
      <c r="A8">
        <v>131</v>
      </c>
      <c r="B8" t="s">
        <v>1665</v>
      </c>
    </row>
    <row r="9" spans="1:2" x14ac:dyDescent="0.45">
      <c r="A9">
        <v>132</v>
      </c>
      <c r="B9" t="s">
        <v>1665</v>
      </c>
    </row>
    <row r="10" spans="1:2" x14ac:dyDescent="0.45">
      <c r="A10">
        <v>133</v>
      </c>
      <c r="B10" t="s">
        <v>1664</v>
      </c>
    </row>
    <row r="11" spans="1:2" x14ac:dyDescent="0.45">
      <c r="A11">
        <v>134</v>
      </c>
      <c r="B11" t="s">
        <v>1664</v>
      </c>
    </row>
    <row r="12" spans="1:2" x14ac:dyDescent="0.45">
      <c r="A12">
        <v>139</v>
      </c>
      <c r="B12" t="s">
        <v>1664</v>
      </c>
    </row>
    <row r="13" spans="1:2" x14ac:dyDescent="0.45">
      <c r="A13">
        <v>161</v>
      </c>
      <c r="B13" t="s">
        <v>1664</v>
      </c>
    </row>
    <row r="14" spans="1:2" x14ac:dyDescent="0.45">
      <c r="A14">
        <v>171</v>
      </c>
      <c r="B14" t="s">
        <v>1664</v>
      </c>
    </row>
    <row r="15" spans="1:2" x14ac:dyDescent="0.45">
      <c r="A15">
        <v>172</v>
      </c>
      <c r="B15" t="s">
        <v>1664</v>
      </c>
    </row>
    <row r="16" spans="1:2" x14ac:dyDescent="0.45">
      <c r="A16">
        <v>173</v>
      </c>
      <c r="B16" t="s">
        <v>1664</v>
      </c>
    </row>
    <row r="17" spans="1:2" x14ac:dyDescent="0.45">
      <c r="A17">
        <v>174</v>
      </c>
      <c r="B17" t="s">
        <v>1664</v>
      </c>
    </row>
    <row r="18" spans="1:2" x14ac:dyDescent="0.45">
      <c r="A18">
        <v>175</v>
      </c>
      <c r="B18" t="s">
        <v>1664</v>
      </c>
    </row>
    <row r="19" spans="1:2" x14ac:dyDescent="0.45">
      <c r="A19">
        <v>179</v>
      </c>
      <c r="B19" t="s">
        <v>1664</v>
      </c>
    </row>
    <row r="20" spans="1:2" x14ac:dyDescent="0.45">
      <c r="A20">
        <v>181</v>
      </c>
      <c r="B20" t="s">
        <v>1665</v>
      </c>
    </row>
    <row r="21" spans="1:2" x14ac:dyDescent="0.45">
      <c r="A21">
        <v>182</v>
      </c>
      <c r="B21" t="s">
        <v>1664</v>
      </c>
    </row>
    <row r="22" spans="1:2" x14ac:dyDescent="0.45">
      <c r="A22">
        <v>191</v>
      </c>
      <c r="B22" t="s">
        <v>1664</v>
      </c>
    </row>
    <row r="23" spans="1:2" x14ac:dyDescent="0.45">
      <c r="A23">
        <v>200</v>
      </c>
      <c r="B23" t="s">
        <v>1664</v>
      </c>
    </row>
    <row r="24" spans="1:2" x14ac:dyDescent="0.45">
      <c r="A24">
        <v>211</v>
      </c>
      <c r="B24" t="s">
        <v>1664</v>
      </c>
    </row>
    <row r="25" spans="1:2" x14ac:dyDescent="0.45">
      <c r="A25">
        <v>212</v>
      </c>
      <c r="B25" t="s">
        <v>1664</v>
      </c>
    </row>
    <row r="26" spans="1:2" x14ac:dyDescent="0.45">
      <c r="A26">
        <v>213</v>
      </c>
      <c r="B26" t="s">
        <v>1664</v>
      </c>
    </row>
    <row r="27" spans="1:2" x14ac:dyDescent="0.45">
      <c r="A27">
        <v>214</v>
      </c>
      <c r="B27" t="s">
        <v>1664</v>
      </c>
    </row>
    <row r="28" spans="1:2" x14ac:dyDescent="0.45">
      <c r="A28">
        <v>219</v>
      </c>
      <c r="B28" t="s">
        <v>1664</v>
      </c>
    </row>
    <row r="29" spans="1:2" x14ac:dyDescent="0.45">
      <c r="A29">
        <v>241</v>
      </c>
      <c r="B29" t="s">
        <v>1664</v>
      </c>
    </row>
    <row r="30" spans="1:2" x14ac:dyDescent="0.45">
      <c r="A30">
        <v>251</v>
      </c>
      <c r="B30" t="s">
        <v>1664</v>
      </c>
    </row>
    <row r="31" spans="1:2" x14ac:dyDescent="0.45">
      <c r="A31">
        <v>252</v>
      </c>
      <c r="B31" t="s">
        <v>1664</v>
      </c>
    </row>
    <row r="32" spans="1:2" x14ac:dyDescent="0.45">
      <c r="A32">
        <v>253</v>
      </c>
      <c r="B32" t="s">
        <v>1664</v>
      </c>
    </row>
    <row r="33" spans="1:2" x14ac:dyDescent="0.45">
      <c r="A33">
        <v>254</v>
      </c>
      <c r="B33" t="s">
        <v>1664</v>
      </c>
    </row>
    <row r="34" spans="1:2" x14ac:dyDescent="0.45">
      <c r="A34">
        <v>259</v>
      </c>
      <c r="B34" t="s">
        <v>1664</v>
      </c>
    </row>
    <row r="35" spans="1:2" x14ac:dyDescent="0.45">
      <c r="A35">
        <v>271</v>
      </c>
      <c r="B35" t="s">
        <v>1664</v>
      </c>
    </row>
    <row r="36" spans="1:2" x14ac:dyDescent="0.45">
      <c r="A36">
        <v>272</v>
      </c>
      <c r="B36" t="s">
        <v>1664</v>
      </c>
    </row>
    <row r="37" spans="1:2" x14ac:dyDescent="0.45">
      <c r="A37">
        <v>273</v>
      </c>
      <c r="B37" t="s">
        <v>1664</v>
      </c>
    </row>
    <row r="38" spans="1:2" x14ac:dyDescent="0.45">
      <c r="A38">
        <v>279</v>
      </c>
      <c r="B38" t="s">
        <v>1664</v>
      </c>
    </row>
    <row r="39" spans="1:2" x14ac:dyDescent="0.45">
      <c r="A39">
        <v>291</v>
      </c>
      <c r="B39" t="s">
        <v>1664</v>
      </c>
    </row>
    <row r="40" spans="1:2" x14ac:dyDescent="0.45">
      <c r="A40">
        <v>700</v>
      </c>
      <c r="B40" t="s">
        <v>1665</v>
      </c>
    </row>
    <row r="41" spans="1:2" x14ac:dyDescent="0.45">
      <c r="A41">
        <v>711</v>
      </c>
      <c r="B41" t="s">
        <v>1665</v>
      </c>
    </row>
    <row r="42" spans="1:2" x14ac:dyDescent="0.45">
      <c r="A42">
        <v>721</v>
      </c>
      <c r="B42" t="s">
        <v>1665</v>
      </c>
    </row>
    <row r="43" spans="1:2" x14ac:dyDescent="0.45">
      <c r="A43">
        <v>722</v>
      </c>
      <c r="B43" t="s">
        <v>1665</v>
      </c>
    </row>
    <row r="44" spans="1:2" x14ac:dyDescent="0.45">
      <c r="A44">
        <v>723</v>
      </c>
      <c r="B44" t="s">
        <v>1665</v>
      </c>
    </row>
    <row r="45" spans="1:2" x14ac:dyDescent="0.45">
      <c r="A45">
        <v>724</v>
      </c>
      <c r="B45" t="s">
        <v>1665</v>
      </c>
    </row>
    <row r="46" spans="1:2" x14ac:dyDescent="0.45">
      <c r="A46">
        <v>741</v>
      </c>
      <c r="B46" t="s">
        <v>1666</v>
      </c>
    </row>
    <row r="47" spans="1:2" x14ac:dyDescent="0.45">
      <c r="A47">
        <v>742</v>
      </c>
      <c r="B47" t="s">
        <v>1666</v>
      </c>
    </row>
    <row r="48" spans="1:2" x14ac:dyDescent="0.45">
      <c r="A48">
        <v>751</v>
      </c>
      <c r="B48" t="s">
        <v>1665</v>
      </c>
    </row>
    <row r="49" spans="1:2" x14ac:dyDescent="0.45">
      <c r="A49">
        <v>752</v>
      </c>
      <c r="B49" t="s">
        <v>1665</v>
      </c>
    </row>
    <row r="50" spans="1:2" x14ac:dyDescent="0.45">
      <c r="A50">
        <v>761</v>
      </c>
      <c r="B50" t="s">
        <v>1665</v>
      </c>
    </row>
    <row r="51" spans="1:2" x14ac:dyDescent="0.45">
      <c r="A51">
        <v>762</v>
      </c>
      <c r="B51" t="s">
        <v>1665</v>
      </c>
    </row>
    <row r="52" spans="1:2" x14ac:dyDescent="0.45">
      <c r="A52">
        <v>781</v>
      </c>
      <c r="B52" t="s">
        <v>1665</v>
      </c>
    </row>
    <row r="53" spans="1:2" x14ac:dyDescent="0.45">
      <c r="A53">
        <v>782</v>
      </c>
      <c r="B53" t="s">
        <v>1665</v>
      </c>
    </row>
    <row r="54" spans="1:2" x14ac:dyDescent="0.45">
      <c r="A54">
        <v>783</v>
      </c>
      <c r="B54" t="s">
        <v>1665</v>
      </c>
    </row>
    <row r="55" spans="1:2" x14ac:dyDescent="0.45">
      <c r="A55">
        <v>800</v>
      </c>
      <c r="B55" t="s">
        <v>1665</v>
      </c>
    </row>
    <row r="56" spans="1:2" x14ac:dyDescent="0.45">
      <c r="A56">
        <v>811</v>
      </c>
      <c r="B56" t="s">
        <v>1665</v>
      </c>
    </row>
    <row r="57" spans="1:2" x14ac:dyDescent="0.45">
      <c r="A57">
        <v>831</v>
      </c>
      <c r="B57" t="s">
        <v>1665</v>
      </c>
    </row>
    <row r="58" spans="1:2" x14ac:dyDescent="0.45">
      <c r="A58">
        <v>851</v>
      </c>
      <c r="B58" t="s">
        <v>1665</v>
      </c>
    </row>
    <row r="59" spans="1:2" x14ac:dyDescent="0.45">
      <c r="A59">
        <v>912</v>
      </c>
      <c r="B59" t="s">
        <v>1664</v>
      </c>
    </row>
    <row r="60" spans="1:2" x14ac:dyDescent="0.45">
      <c r="A60">
        <v>913</v>
      </c>
      <c r="B60" t="s">
        <v>1664</v>
      </c>
    </row>
    <row r="61" spans="1:2" x14ac:dyDescent="0.45">
      <c r="A61">
        <v>919</v>
      </c>
      <c r="B61" t="s">
        <v>1664</v>
      </c>
    </row>
    <row r="62" spans="1:2" x14ac:dyDescent="0.45">
      <c r="A62">
        <v>921</v>
      </c>
      <c r="B62" t="s">
        <v>1664</v>
      </c>
    </row>
    <row r="63" spans="1:2" x14ac:dyDescent="0.45">
      <c r="A63">
        <v>971</v>
      </c>
      <c r="B63" t="s">
        <v>1665</v>
      </c>
    </row>
    <row r="64" spans="1:2" x14ac:dyDescent="0.45">
      <c r="A64">
        <v>1000</v>
      </c>
      <c r="B64" t="s">
        <v>1665</v>
      </c>
    </row>
    <row r="65" spans="1:2" x14ac:dyDescent="0.45">
      <c r="A65">
        <v>1011</v>
      </c>
      <c r="B65" t="s">
        <v>1665</v>
      </c>
    </row>
    <row r="66" spans="1:2" x14ac:dyDescent="0.45">
      <c r="A66">
        <v>1021</v>
      </c>
      <c r="B66" t="s">
        <v>1665</v>
      </c>
    </row>
    <row r="67" spans="1:2" x14ac:dyDescent="0.45">
      <c r="A67">
        <v>1031</v>
      </c>
      <c r="B67" t="s">
        <v>1665</v>
      </c>
    </row>
    <row r="68" spans="1:2" x14ac:dyDescent="0.45">
      <c r="A68">
        <v>1040</v>
      </c>
      <c r="B68" t="s">
        <v>1665</v>
      </c>
    </row>
    <row r="69" spans="1:2" x14ac:dyDescent="0.45">
      <c r="A69">
        <v>1041</v>
      </c>
      <c r="B69" t="s">
        <v>1665</v>
      </c>
    </row>
    <row r="70" spans="1:2" x14ac:dyDescent="0.45">
      <c r="A70">
        <v>1044</v>
      </c>
      <c r="B70" t="s">
        <v>1665</v>
      </c>
    </row>
    <row r="71" spans="1:2" x14ac:dyDescent="0.45">
      <c r="A71">
        <v>1061</v>
      </c>
      <c r="B71" t="s">
        <v>1665</v>
      </c>
    </row>
    <row r="72" spans="1:2" x14ac:dyDescent="0.45">
      <c r="A72">
        <v>1081</v>
      </c>
      <c r="B72" t="s">
        <v>1667</v>
      </c>
    </row>
    <row r="73" spans="1:2" x14ac:dyDescent="0.45">
      <c r="A73">
        <v>1090</v>
      </c>
      <c r="B73" t="s">
        <v>1665</v>
      </c>
    </row>
    <row r="74" spans="1:2" x14ac:dyDescent="0.45">
      <c r="A74">
        <v>1094</v>
      </c>
      <c r="B74" t="s">
        <v>1665</v>
      </c>
    </row>
    <row r="75" spans="1:2" x14ac:dyDescent="0.45">
      <c r="A75">
        <v>1099</v>
      </c>
      <c r="B75" t="s">
        <v>1665</v>
      </c>
    </row>
    <row r="76" spans="1:2" x14ac:dyDescent="0.45">
      <c r="A76">
        <v>1220</v>
      </c>
      <c r="B76" t="s">
        <v>1665</v>
      </c>
    </row>
    <row r="77" spans="1:2" x14ac:dyDescent="0.45">
      <c r="A77">
        <v>1221</v>
      </c>
      <c r="B77" t="s">
        <v>1665</v>
      </c>
    </row>
    <row r="78" spans="1:2" x14ac:dyDescent="0.45">
      <c r="A78">
        <v>1222</v>
      </c>
      <c r="B78" t="s">
        <v>1665</v>
      </c>
    </row>
    <row r="79" spans="1:2" x14ac:dyDescent="0.45">
      <c r="A79">
        <v>1231</v>
      </c>
      <c r="B79" t="s">
        <v>1665</v>
      </c>
    </row>
    <row r="80" spans="1:2" x14ac:dyDescent="0.45">
      <c r="A80">
        <v>1241</v>
      </c>
      <c r="B80" t="s">
        <v>1665</v>
      </c>
    </row>
    <row r="81" spans="1:2" x14ac:dyDescent="0.45">
      <c r="A81">
        <v>1311</v>
      </c>
      <c r="B81" t="s">
        <v>1668</v>
      </c>
    </row>
    <row r="82" spans="1:2" x14ac:dyDescent="0.45">
      <c r="A82">
        <v>1321</v>
      </c>
      <c r="B82" t="s">
        <v>1668</v>
      </c>
    </row>
    <row r="83" spans="1:2" x14ac:dyDescent="0.45">
      <c r="A83">
        <v>1381</v>
      </c>
      <c r="B83" t="s">
        <v>1668</v>
      </c>
    </row>
    <row r="84" spans="1:2" x14ac:dyDescent="0.45">
      <c r="A84">
        <v>1382</v>
      </c>
      <c r="B84" t="s">
        <v>1668</v>
      </c>
    </row>
    <row r="85" spans="1:2" x14ac:dyDescent="0.45">
      <c r="A85">
        <v>1389</v>
      </c>
      <c r="B85" t="s">
        <v>1668</v>
      </c>
    </row>
    <row r="86" spans="1:2" x14ac:dyDescent="0.45">
      <c r="A86">
        <v>1400</v>
      </c>
      <c r="B86" t="s">
        <v>1668</v>
      </c>
    </row>
    <row r="87" spans="1:2" x14ac:dyDescent="0.45">
      <c r="A87">
        <v>1411</v>
      </c>
      <c r="B87" t="s">
        <v>1667</v>
      </c>
    </row>
    <row r="88" spans="1:2" x14ac:dyDescent="0.45">
      <c r="A88">
        <v>1422</v>
      </c>
      <c r="B88" t="s">
        <v>1667</v>
      </c>
    </row>
    <row r="89" spans="1:2" x14ac:dyDescent="0.45">
      <c r="A89">
        <v>1423</v>
      </c>
      <c r="B89" t="s">
        <v>1667</v>
      </c>
    </row>
    <row r="90" spans="1:2" x14ac:dyDescent="0.45">
      <c r="A90">
        <v>1429</v>
      </c>
      <c r="B90" t="s">
        <v>1667</v>
      </c>
    </row>
    <row r="91" spans="1:2" x14ac:dyDescent="0.45">
      <c r="A91">
        <v>1442</v>
      </c>
      <c r="B91" t="s">
        <v>1667</v>
      </c>
    </row>
    <row r="92" spans="1:2" x14ac:dyDescent="0.45">
      <c r="A92">
        <v>1446</v>
      </c>
      <c r="B92" t="s">
        <v>1667</v>
      </c>
    </row>
    <row r="93" spans="1:2" x14ac:dyDescent="0.45">
      <c r="A93">
        <v>1455</v>
      </c>
      <c r="B93" t="s">
        <v>1667</v>
      </c>
    </row>
    <row r="94" spans="1:2" x14ac:dyDescent="0.45">
      <c r="A94">
        <v>1459</v>
      </c>
      <c r="B94" t="s">
        <v>1667</v>
      </c>
    </row>
    <row r="95" spans="1:2" x14ac:dyDescent="0.45">
      <c r="A95">
        <v>1474</v>
      </c>
      <c r="B95" t="s">
        <v>1667</v>
      </c>
    </row>
    <row r="96" spans="1:2" x14ac:dyDescent="0.45">
      <c r="A96">
        <v>1475</v>
      </c>
      <c r="B96" t="s">
        <v>1667</v>
      </c>
    </row>
    <row r="97" spans="1:2" x14ac:dyDescent="0.45">
      <c r="A97">
        <v>1479</v>
      </c>
      <c r="B97" t="s">
        <v>1665</v>
      </c>
    </row>
    <row r="98" spans="1:2" x14ac:dyDescent="0.45">
      <c r="A98">
        <v>1481</v>
      </c>
      <c r="B98" t="s">
        <v>1665</v>
      </c>
    </row>
    <row r="99" spans="1:2" x14ac:dyDescent="0.45">
      <c r="A99">
        <v>1499</v>
      </c>
      <c r="B99" t="s">
        <v>1667</v>
      </c>
    </row>
    <row r="100" spans="1:2" x14ac:dyDescent="0.45">
      <c r="A100">
        <v>1520</v>
      </c>
      <c r="B100" t="s">
        <v>1665</v>
      </c>
    </row>
    <row r="101" spans="1:2" x14ac:dyDescent="0.45">
      <c r="A101">
        <v>1521</v>
      </c>
      <c r="B101" t="s">
        <v>1665</v>
      </c>
    </row>
    <row r="102" spans="1:2" x14ac:dyDescent="0.45">
      <c r="A102">
        <v>1522</v>
      </c>
      <c r="B102" t="s">
        <v>1665</v>
      </c>
    </row>
    <row r="103" spans="1:2" x14ac:dyDescent="0.45">
      <c r="A103">
        <v>1531</v>
      </c>
      <c r="B103" t="s">
        <v>1665</v>
      </c>
    </row>
    <row r="104" spans="1:2" x14ac:dyDescent="0.45">
      <c r="A104">
        <v>1540</v>
      </c>
      <c r="B104" t="s">
        <v>1665</v>
      </c>
    </row>
    <row r="105" spans="1:2" x14ac:dyDescent="0.45">
      <c r="A105">
        <v>1541</v>
      </c>
      <c r="B105" t="s">
        <v>1665</v>
      </c>
    </row>
    <row r="106" spans="1:2" x14ac:dyDescent="0.45">
      <c r="A106">
        <v>1542</v>
      </c>
      <c r="B106" t="s">
        <v>1665</v>
      </c>
    </row>
    <row r="107" spans="1:2" x14ac:dyDescent="0.45">
      <c r="A107">
        <v>1600</v>
      </c>
      <c r="B107" t="s">
        <v>1665</v>
      </c>
    </row>
    <row r="108" spans="1:2" x14ac:dyDescent="0.45">
      <c r="A108">
        <v>1611</v>
      </c>
      <c r="B108" t="s">
        <v>1665</v>
      </c>
    </row>
    <row r="109" spans="1:2" x14ac:dyDescent="0.45">
      <c r="A109">
        <v>1622</v>
      </c>
      <c r="B109" t="s">
        <v>1665</v>
      </c>
    </row>
    <row r="110" spans="1:2" x14ac:dyDescent="0.45">
      <c r="A110">
        <v>1623</v>
      </c>
      <c r="B110" t="s">
        <v>1665</v>
      </c>
    </row>
    <row r="111" spans="1:2" x14ac:dyDescent="0.45">
      <c r="A111">
        <v>1629</v>
      </c>
      <c r="B111" t="s">
        <v>1665</v>
      </c>
    </row>
    <row r="112" spans="1:2" x14ac:dyDescent="0.45">
      <c r="A112">
        <v>1700</v>
      </c>
      <c r="B112" t="s">
        <v>1665</v>
      </c>
    </row>
    <row r="113" spans="1:2" x14ac:dyDescent="0.45">
      <c r="A113">
        <v>1711</v>
      </c>
      <c r="B113" t="s">
        <v>1665</v>
      </c>
    </row>
    <row r="114" spans="1:2" x14ac:dyDescent="0.45">
      <c r="A114">
        <v>1721</v>
      </c>
      <c r="B114" t="s">
        <v>1665</v>
      </c>
    </row>
    <row r="115" spans="1:2" x14ac:dyDescent="0.45">
      <c r="A115">
        <v>1731</v>
      </c>
      <c r="B115" t="s">
        <v>1665</v>
      </c>
    </row>
    <row r="116" spans="1:2" x14ac:dyDescent="0.45">
      <c r="A116">
        <v>1741</v>
      </c>
      <c r="B116" t="s">
        <v>1665</v>
      </c>
    </row>
    <row r="117" spans="1:2" x14ac:dyDescent="0.45">
      <c r="A117">
        <v>1742</v>
      </c>
      <c r="B117" t="s">
        <v>1667</v>
      </c>
    </row>
    <row r="118" spans="1:2" x14ac:dyDescent="0.45">
      <c r="A118">
        <v>1743</v>
      </c>
      <c r="B118" t="s">
        <v>1665</v>
      </c>
    </row>
    <row r="119" spans="1:2" x14ac:dyDescent="0.45">
      <c r="A119">
        <v>1751</v>
      </c>
      <c r="B119" t="s">
        <v>1665</v>
      </c>
    </row>
    <row r="120" spans="1:2" x14ac:dyDescent="0.45">
      <c r="A120">
        <v>1752</v>
      </c>
      <c r="B120" t="s">
        <v>1665</v>
      </c>
    </row>
    <row r="121" spans="1:2" x14ac:dyDescent="0.45">
      <c r="A121">
        <v>1761</v>
      </c>
      <c r="B121" t="s">
        <v>1665</v>
      </c>
    </row>
    <row r="122" spans="1:2" x14ac:dyDescent="0.45">
      <c r="A122">
        <v>1771</v>
      </c>
      <c r="B122" t="s">
        <v>1665</v>
      </c>
    </row>
    <row r="123" spans="1:2" x14ac:dyDescent="0.45">
      <c r="A123">
        <v>1781</v>
      </c>
      <c r="B123" t="s">
        <v>1665</v>
      </c>
    </row>
    <row r="124" spans="1:2" x14ac:dyDescent="0.45">
      <c r="A124">
        <v>1791</v>
      </c>
      <c r="B124" t="s">
        <v>1665</v>
      </c>
    </row>
    <row r="125" spans="1:2" x14ac:dyDescent="0.45">
      <c r="A125">
        <v>1793</v>
      </c>
      <c r="B125" t="s">
        <v>1665</v>
      </c>
    </row>
    <row r="126" spans="1:2" x14ac:dyDescent="0.45">
      <c r="A126">
        <v>1794</v>
      </c>
      <c r="B126" t="s">
        <v>1665</v>
      </c>
    </row>
    <row r="127" spans="1:2" x14ac:dyDescent="0.45">
      <c r="A127">
        <v>1795</v>
      </c>
      <c r="B127" t="s">
        <v>1665</v>
      </c>
    </row>
    <row r="128" spans="1:2" x14ac:dyDescent="0.45">
      <c r="A128">
        <v>1796</v>
      </c>
      <c r="B128" t="s">
        <v>1665</v>
      </c>
    </row>
    <row r="129" spans="1:2" x14ac:dyDescent="0.45">
      <c r="A129">
        <v>1799</v>
      </c>
      <c r="B129" t="s">
        <v>1665</v>
      </c>
    </row>
    <row r="130" spans="1:2" x14ac:dyDescent="0.45">
      <c r="A130">
        <v>2000</v>
      </c>
      <c r="B130" t="s">
        <v>1665</v>
      </c>
    </row>
    <row r="131" spans="1:2" x14ac:dyDescent="0.45">
      <c r="A131">
        <v>2011</v>
      </c>
      <c r="B131" t="s">
        <v>1665</v>
      </c>
    </row>
    <row r="132" spans="1:2" x14ac:dyDescent="0.45">
      <c r="A132">
        <v>2013</v>
      </c>
      <c r="B132" t="s">
        <v>1664</v>
      </c>
    </row>
    <row r="133" spans="1:2" x14ac:dyDescent="0.45">
      <c r="A133">
        <v>2015</v>
      </c>
      <c r="B133" t="s">
        <v>1665</v>
      </c>
    </row>
    <row r="134" spans="1:2" x14ac:dyDescent="0.45">
      <c r="A134">
        <v>2020</v>
      </c>
      <c r="B134" t="s">
        <v>1664</v>
      </c>
    </row>
    <row r="135" spans="1:2" x14ac:dyDescent="0.45">
      <c r="A135">
        <v>2021</v>
      </c>
      <c r="B135" t="s">
        <v>1664</v>
      </c>
    </row>
    <row r="136" spans="1:2" x14ac:dyDescent="0.45">
      <c r="A136">
        <v>2022</v>
      </c>
      <c r="B136" t="s">
        <v>1664</v>
      </c>
    </row>
    <row r="137" spans="1:2" x14ac:dyDescent="0.45">
      <c r="A137">
        <v>2023</v>
      </c>
      <c r="B137" t="s">
        <v>1664</v>
      </c>
    </row>
    <row r="138" spans="1:2" x14ac:dyDescent="0.45">
      <c r="A138">
        <v>2024</v>
      </c>
      <c r="B138" t="s">
        <v>1664</v>
      </c>
    </row>
    <row r="139" spans="1:2" x14ac:dyDescent="0.45">
      <c r="A139">
        <v>2026</v>
      </c>
      <c r="B139" t="s">
        <v>1664</v>
      </c>
    </row>
    <row r="140" spans="1:2" x14ac:dyDescent="0.45">
      <c r="A140">
        <v>2030</v>
      </c>
      <c r="B140" t="s">
        <v>1664</v>
      </c>
    </row>
    <row r="141" spans="1:2" x14ac:dyDescent="0.45">
      <c r="A141">
        <v>2032</v>
      </c>
      <c r="B141" t="s">
        <v>1664</v>
      </c>
    </row>
    <row r="142" spans="1:2" x14ac:dyDescent="0.45">
      <c r="A142">
        <v>2033</v>
      </c>
      <c r="B142" t="s">
        <v>1664</v>
      </c>
    </row>
    <row r="143" spans="1:2" x14ac:dyDescent="0.45">
      <c r="A143">
        <v>2034</v>
      </c>
      <c r="B143" t="s">
        <v>1664</v>
      </c>
    </row>
    <row r="144" spans="1:2" x14ac:dyDescent="0.45">
      <c r="A144">
        <v>2035</v>
      </c>
      <c r="B144" t="s">
        <v>1664</v>
      </c>
    </row>
    <row r="145" spans="1:2" x14ac:dyDescent="0.45">
      <c r="A145">
        <v>2037</v>
      </c>
      <c r="B145" t="s">
        <v>1664</v>
      </c>
    </row>
    <row r="146" spans="1:2" x14ac:dyDescent="0.45">
      <c r="A146">
        <v>2038</v>
      </c>
      <c r="B146" t="s">
        <v>1664</v>
      </c>
    </row>
    <row r="147" spans="1:2" x14ac:dyDescent="0.45">
      <c r="A147">
        <v>2040</v>
      </c>
      <c r="B147" t="s">
        <v>1664</v>
      </c>
    </row>
    <row r="148" spans="1:2" x14ac:dyDescent="0.45">
      <c r="A148">
        <v>2041</v>
      </c>
      <c r="B148" t="s">
        <v>1664</v>
      </c>
    </row>
    <row r="149" spans="1:2" x14ac:dyDescent="0.45">
      <c r="A149">
        <v>2043</v>
      </c>
      <c r="B149" t="s">
        <v>1664</v>
      </c>
    </row>
    <row r="150" spans="1:2" x14ac:dyDescent="0.45">
      <c r="A150">
        <v>2044</v>
      </c>
      <c r="B150" t="s">
        <v>1665</v>
      </c>
    </row>
    <row r="151" spans="1:2" x14ac:dyDescent="0.45">
      <c r="A151">
        <v>2045</v>
      </c>
      <c r="B151" t="s">
        <v>1664</v>
      </c>
    </row>
    <row r="152" spans="1:2" x14ac:dyDescent="0.45">
      <c r="A152">
        <v>2046</v>
      </c>
      <c r="B152" t="s">
        <v>1665</v>
      </c>
    </row>
    <row r="153" spans="1:2" x14ac:dyDescent="0.45">
      <c r="A153">
        <v>2047</v>
      </c>
      <c r="B153" t="s">
        <v>1664</v>
      </c>
    </row>
    <row r="154" spans="1:2" x14ac:dyDescent="0.45">
      <c r="A154">
        <v>2048</v>
      </c>
      <c r="B154" t="s">
        <v>1664</v>
      </c>
    </row>
    <row r="155" spans="1:2" x14ac:dyDescent="0.45">
      <c r="A155">
        <v>2050</v>
      </c>
      <c r="B155" t="s">
        <v>1664</v>
      </c>
    </row>
    <row r="156" spans="1:2" x14ac:dyDescent="0.45">
      <c r="A156">
        <v>2051</v>
      </c>
      <c r="B156" t="s">
        <v>1664</v>
      </c>
    </row>
    <row r="157" spans="1:2" x14ac:dyDescent="0.45">
      <c r="A157">
        <v>2052</v>
      </c>
      <c r="B157" t="s">
        <v>1664</v>
      </c>
    </row>
    <row r="158" spans="1:2" x14ac:dyDescent="0.45">
      <c r="A158">
        <v>2053</v>
      </c>
      <c r="B158" t="s">
        <v>1664</v>
      </c>
    </row>
    <row r="159" spans="1:2" x14ac:dyDescent="0.45">
      <c r="A159">
        <v>2060</v>
      </c>
      <c r="B159" t="s">
        <v>1664</v>
      </c>
    </row>
    <row r="160" spans="1:2" x14ac:dyDescent="0.45">
      <c r="A160">
        <v>2061</v>
      </c>
      <c r="B160" t="s">
        <v>1664</v>
      </c>
    </row>
    <row r="161" spans="1:2" x14ac:dyDescent="0.45">
      <c r="A161">
        <v>2062</v>
      </c>
      <c r="B161" t="s">
        <v>1665</v>
      </c>
    </row>
    <row r="162" spans="1:2" x14ac:dyDescent="0.45">
      <c r="A162">
        <v>2063</v>
      </c>
      <c r="B162" t="s">
        <v>1664</v>
      </c>
    </row>
    <row r="163" spans="1:2" x14ac:dyDescent="0.45">
      <c r="A163">
        <v>2064</v>
      </c>
      <c r="B163" t="s">
        <v>1664</v>
      </c>
    </row>
    <row r="164" spans="1:2" x14ac:dyDescent="0.45">
      <c r="A164">
        <v>2066</v>
      </c>
      <c r="B164" t="s">
        <v>1664</v>
      </c>
    </row>
    <row r="165" spans="1:2" x14ac:dyDescent="0.45">
      <c r="A165">
        <v>2067</v>
      </c>
      <c r="B165" t="s">
        <v>1664</v>
      </c>
    </row>
    <row r="166" spans="1:2" x14ac:dyDescent="0.45">
      <c r="A166">
        <v>2068</v>
      </c>
      <c r="B166" t="s">
        <v>1664</v>
      </c>
    </row>
    <row r="167" spans="1:2" x14ac:dyDescent="0.45">
      <c r="A167">
        <v>2070</v>
      </c>
      <c r="B167" t="s">
        <v>1664</v>
      </c>
    </row>
    <row r="168" spans="1:2" x14ac:dyDescent="0.45">
      <c r="A168">
        <v>2074</v>
      </c>
      <c r="B168" t="s">
        <v>1665</v>
      </c>
    </row>
    <row r="169" spans="1:2" x14ac:dyDescent="0.45">
      <c r="A169">
        <v>2075</v>
      </c>
      <c r="B169" t="s">
        <v>1665</v>
      </c>
    </row>
    <row r="170" spans="1:2" x14ac:dyDescent="0.45">
      <c r="A170">
        <v>2076</v>
      </c>
      <c r="B170" t="s">
        <v>1665</v>
      </c>
    </row>
    <row r="171" spans="1:2" x14ac:dyDescent="0.45">
      <c r="A171">
        <v>2077</v>
      </c>
      <c r="B171" t="s">
        <v>1665</v>
      </c>
    </row>
    <row r="172" spans="1:2" x14ac:dyDescent="0.45">
      <c r="A172">
        <v>2079</v>
      </c>
      <c r="B172" t="s">
        <v>1664</v>
      </c>
    </row>
    <row r="173" spans="1:2" x14ac:dyDescent="0.45">
      <c r="A173">
        <v>2080</v>
      </c>
      <c r="B173" t="s">
        <v>1664</v>
      </c>
    </row>
    <row r="174" spans="1:2" x14ac:dyDescent="0.45">
      <c r="A174">
        <v>2082</v>
      </c>
      <c r="B174" t="s">
        <v>1669</v>
      </c>
    </row>
    <row r="175" spans="1:2" x14ac:dyDescent="0.45">
      <c r="A175">
        <v>2083</v>
      </c>
      <c r="B175" t="s">
        <v>1669</v>
      </c>
    </row>
    <row r="176" spans="1:2" x14ac:dyDescent="0.45">
      <c r="A176">
        <v>2084</v>
      </c>
      <c r="B176" t="s">
        <v>1669</v>
      </c>
    </row>
    <row r="177" spans="1:2" x14ac:dyDescent="0.45">
      <c r="A177">
        <v>2085</v>
      </c>
      <c r="B177" t="s">
        <v>1669</v>
      </c>
    </row>
    <row r="178" spans="1:2" x14ac:dyDescent="0.45">
      <c r="A178">
        <v>2086</v>
      </c>
      <c r="B178" t="s">
        <v>1669</v>
      </c>
    </row>
    <row r="179" spans="1:2" x14ac:dyDescent="0.45">
      <c r="A179">
        <v>2087</v>
      </c>
      <c r="B179" t="s">
        <v>1664</v>
      </c>
    </row>
    <row r="180" spans="1:2" x14ac:dyDescent="0.45">
      <c r="A180">
        <v>2090</v>
      </c>
      <c r="B180" t="s">
        <v>1664</v>
      </c>
    </row>
    <row r="181" spans="1:2" x14ac:dyDescent="0.45">
      <c r="A181">
        <v>2091</v>
      </c>
      <c r="B181" t="s">
        <v>1664</v>
      </c>
    </row>
    <row r="182" spans="1:2" x14ac:dyDescent="0.45">
      <c r="A182">
        <v>2092</v>
      </c>
      <c r="B182" t="s">
        <v>1664</v>
      </c>
    </row>
    <row r="183" spans="1:2" x14ac:dyDescent="0.45">
      <c r="A183">
        <v>2095</v>
      </c>
      <c r="B183" t="s">
        <v>1664</v>
      </c>
    </row>
    <row r="184" spans="1:2" x14ac:dyDescent="0.45">
      <c r="A184">
        <v>2096</v>
      </c>
      <c r="B184" t="s">
        <v>1664</v>
      </c>
    </row>
    <row r="185" spans="1:2" x14ac:dyDescent="0.45">
      <c r="A185">
        <v>2097</v>
      </c>
      <c r="B185" t="s">
        <v>1664</v>
      </c>
    </row>
    <row r="186" spans="1:2" x14ac:dyDescent="0.45">
      <c r="A186">
        <v>2098</v>
      </c>
      <c r="B186" t="s">
        <v>1664</v>
      </c>
    </row>
    <row r="187" spans="1:2" x14ac:dyDescent="0.45">
      <c r="A187">
        <v>2099</v>
      </c>
      <c r="B187" t="s">
        <v>1665</v>
      </c>
    </row>
    <row r="188" spans="1:2" x14ac:dyDescent="0.45">
      <c r="A188">
        <v>2100</v>
      </c>
      <c r="B188" t="s">
        <v>1665</v>
      </c>
    </row>
    <row r="189" spans="1:2" x14ac:dyDescent="0.45">
      <c r="A189">
        <v>2111</v>
      </c>
      <c r="B189" t="s">
        <v>1670</v>
      </c>
    </row>
    <row r="190" spans="1:2" x14ac:dyDescent="0.45">
      <c r="A190">
        <v>2121</v>
      </c>
      <c r="B190" t="s">
        <v>1670</v>
      </c>
    </row>
    <row r="191" spans="1:2" x14ac:dyDescent="0.45">
      <c r="A191">
        <v>2131</v>
      </c>
      <c r="B191" t="s">
        <v>1670</v>
      </c>
    </row>
    <row r="192" spans="1:2" x14ac:dyDescent="0.45">
      <c r="A192">
        <v>2141</v>
      </c>
      <c r="B192" t="s">
        <v>1670</v>
      </c>
    </row>
    <row r="193" spans="1:2" x14ac:dyDescent="0.45">
      <c r="A193">
        <v>2200</v>
      </c>
      <c r="B193" t="s">
        <v>1671</v>
      </c>
    </row>
    <row r="194" spans="1:2" x14ac:dyDescent="0.45">
      <c r="A194">
        <v>2211</v>
      </c>
      <c r="B194" t="s">
        <v>1671</v>
      </c>
    </row>
    <row r="195" spans="1:2" x14ac:dyDescent="0.45">
      <c r="A195">
        <v>2221</v>
      </c>
      <c r="B195" t="s">
        <v>1671</v>
      </c>
    </row>
    <row r="196" spans="1:2" x14ac:dyDescent="0.45">
      <c r="A196">
        <v>2231</v>
      </c>
      <c r="B196" t="s">
        <v>1671</v>
      </c>
    </row>
    <row r="197" spans="1:2" x14ac:dyDescent="0.45">
      <c r="A197">
        <v>2241</v>
      </c>
      <c r="B197" t="s">
        <v>1671</v>
      </c>
    </row>
    <row r="198" spans="1:2" x14ac:dyDescent="0.45">
      <c r="A198">
        <v>2250</v>
      </c>
      <c r="B198" t="s">
        <v>1671</v>
      </c>
    </row>
    <row r="199" spans="1:2" x14ac:dyDescent="0.45">
      <c r="A199">
        <v>2251</v>
      </c>
      <c r="B199" t="s">
        <v>1671</v>
      </c>
    </row>
    <row r="200" spans="1:2" x14ac:dyDescent="0.45">
      <c r="A200">
        <v>2252</v>
      </c>
      <c r="B200" t="s">
        <v>1671</v>
      </c>
    </row>
    <row r="201" spans="1:2" x14ac:dyDescent="0.45">
      <c r="A201">
        <v>2253</v>
      </c>
      <c r="B201" t="s">
        <v>1671</v>
      </c>
    </row>
    <row r="202" spans="1:2" x14ac:dyDescent="0.45">
      <c r="A202">
        <v>2254</v>
      </c>
      <c r="B202" t="s">
        <v>1671</v>
      </c>
    </row>
    <row r="203" spans="1:2" x14ac:dyDescent="0.45">
      <c r="A203">
        <v>2257</v>
      </c>
      <c r="B203" t="s">
        <v>1671</v>
      </c>
    </row>
    <row r="204" spans="1:2" x14ac:dyDescent="0.45">
      <c r="A204">
        <v>2258</v>
      </c>
      <c r="B204" t="s">
        <v>1671</v>
      </c>
    </row>
    <row r="205" spans="1:2" x14ac:dyDescent="0.45">
      <c r="A205">
        <v>2259</v>
      </c>
      <c r="B205" t="s">
        <v>1671</v>
      </c>
    </row>
    <row r="206" spans="1:2" x14ac:dyDescent="0.45">
      <c r="A206">
        <v>2261</v>
      </c>
      <c r="B206" t="s">
        <v>1671</v>
      </c>
    </row>
    <row r="207" spans="1:2" x14ac:dyDescent="0.45">
      <c r="A207">
        <v>2262</v>
      </c>
      <c r="B207" t="s">
        <v>1671</v>
      </c>
    </row>
    <row r="208" spans="1:2" x14ac:dyDescent="0.45">
      <c r="A208">
        <v>2269</v>
      </c>
      <c r="B208" t="s">
        <v>1671</v>
      </c>
    </row>
    <row r="209" spans="1:2" x14ac:dyDescent="0.45">
      <c r="A209">
        <v>2273</v>
      </c>
      <c r="B209" t="s">
        <v>1671</v>
      </c>
    </row>
    <row r="210" spans="1:2" x14ac:dyDescent="0.45">
      <c r="A210">
        <v>2281</v>
      </c>
      <c r="B210" t="s">
        <v>1671</v>
      </c>
    </row>
    <row r="211" spans="1:2" x14ac:dyDescent="0.45">
      <c r="A211">
        <v>2282</v>
      </c>
      <c r="B211" t="s">
        <v>1671</v>
      </c>
    </row>
    <row r="212" spans="1:2" x14ac:dyDescent="0.45">
      <c r="A212">
        <v>2284</v>
      </c>
      <c r="B212" t="s">
        <v>1671</v>
      </c>
    </row>
    <row r="213" spans="1:2" x14ac:dyDescent="0.45">
      <c r="A213">
        <v>2295</v>
      </c>
      <c r="B213" t="s">
        <v>1671</v>
      </c>
    </row>
    <row r="214" spans="1:2" x14ac:dyDescent="0.45">
      <c r="A214">
        <v>2296</v>
      </c>
      <c r="B214" t="s">
        <v>1671</v>
      </c>
    </row>
    <row r="215" spans="1:2" x14ac:dyDescent="0.45">
      <c r="A215">
        <v>2297</v>
      </c>
      <c r="B215" t="s">
        <v>1671</v>
      </c>
    </row>
    <row r="216" spans="1:2" x14ac:dyDescent="0.45">
      <c r="A216">
        <v>2298</v>
      </c>
      <c r="B216" t="s">
        <v>1671</v>
      </c>
    </row>
    <row r="217" spans="1:2" x14ac:dyDescent="0.45">
      <c r="A217">
        <v>2299</v>
      </c>
      <c r="B217" t="s">
        <v>1671</v>
      </c>
    </row>
    <row r="218" spans="1:2" x14ac:dyDescent="0.45">
      <c r="A218">
        <v>2300</v>
      </c>
      <c r="B218" t="s">
        <v>1671</v>
      </c>
    </row>
    <row r="219" spans="1:2" x14ac:dyDescent="0.45">
      <c r="A219">
        <v>2311</v>
      </c>
      <c r="B219" t="s">
        <v>1672</v>
      </c>
    </row>
    <row r="220" spans="1:2" x14ac:dyDescent="0.45">
      <c r="A220">
        <v>2320</v>
      </c>
      <c r="B220" t="s">
        <v>1672</v>
      </c>
    </row>
    <row r="221" spans="1:2" x14ac:dyDescent="0.45">
      <c r="A221">
        <v>2321</v>
      </c>
      <c r="B221" t="s">
        <v>1672</v>
      </c>
    </row>
    <row r="222" spans="1:2" x14ac:dyDescent="0.45">
      <c r="A222">
        <v>2322</v>
      </c>
      <c r="B222" t="s">
        <v>1672</v>
      </c>
    </row>
    <row r="223" spans="1:2" x14ac:dyDescent="0.45">
      <c r="A223">
        <v>2323</v>
      </c>
      <c r="B223" t="s">
        <v>1672</v>
      </c>
    </row>
    <row r="224" spans="1:2" x14ac:dyDescent="0.45">
      <c r="A224">
        <v>2325</v>
      </c>
      <c r="B224" t="s">
        <v>1672</v>
      </c>
    </row>
    <row r="225" spans="1:2" x14ac:dyDescent="0.45">
      <c r="A225">
        <v>2326</v>
      </c>
      <c r="B225" t="s">
        <v>1672</v>
      </c>
    </row>
    <row r="226" spans="1:2" x14ac:dyDescent="0.45">
      <c r="A226">
        <v>2329</v>
      </c>
      <c r="B226" t="s">
        <v>1672</v>
      </c>
    </row>
    <row r="227" spans="1:2" x14ac:dyDescent="0.45">
      <c r="A227">
        <v>2330</v>
      </c>
      <c r="B227" t="s">
        <v>1672</v>
      </c>
    </row>
    <row r="228" spans="1:2" x14ac:dyDescent="0.45">
      <c r="A228">
        <v>2331</v>
      </c>
      <c r="B228" t="s">
        <v>1672</v>
      </c>
    </row>
    <row r="229" spans="1:2" x14ac:dyDescent="0.45">
      <c r="A229">
        <v>2335</v>
      </c>
      <c r="B229" t="s">
        <v>1672</v>
      </c>
    </row>
    <row r="230" spans="1:2" x14ac:dyDescent="0.45">
      <c r="A230">
        <v>2337</v>
      </c>
      <c r="B230" t="s">
        <v>1672</v>
      </c>
    </row>
    <row r="231" spans="1:2" x14ac:dyDescent="0.45">
      <c r="A231">
        <v>2339</v>
      </c>
      <c r="B231" t="s">
        <v>1672</v>
      </c>
    </row>
    <row r="232" spans="1:2" x14ac:dyDescent="0.45">
      <c r="A232">
        <v>2340</v>
      </c>
      <c r="B232" t="s">
        <v>1672</v>
      </c>
    </row>
    <row r="233" spans="1:2" x14ac:dyDescent="0.45">
      <c r="A233">
        <v>2341</v>
      </c>
      <c r="B233" t="s">
        <v>1672</v>
      </c>
    </row>
    <row r="234" spans="1:2" x14ac:dyDescent="0.45">
      <c r="A234">
        <v>2342</v>
      </c>
      <c r="B234" t="s">
        <v>1672</v>
      </c>
    </row>
    <row r="235" spans="1:2" x14ac:dyDescent="0.45">
      <c r="A235">
        <v>2353</v>
      </c>
      <c r="B235" t="s">
        <v>1672</v>
      </c>
    </row>
    <row r="236" spans="1:2" x14ac:dyDescent="0.45">
      <c r="A236">
        <v>2361</v>
      </c>
      <c r="B236" t="s">
        <v>1672</v>
      </c>
    </row>
    <row r="237" spans="1:2" x14ac:dyDescent="0.45">
      <c r="A237">
        <v>2369</v>
      </c>
      <c r="B237" t="s">
        <v>1672</v>
      </c>
    </row>
    <row r="238" spans="1:2" x14ac:dyDescent="0.45">
      <c r="A238">
        <v>2371</v>
      </c>
      <c r="B238" t="s">
        <v>1672</v>
      </c>
    </row>
    <row r="239" spans="1:2" x14ac:dyDescent="0.45">
      <c r="A239">
        <v>2381</v>
      </c>
      <c r="B239" t="s">
        <v>1672</v>
      </c>
    </row>
    <row r="240" spans="1:2" x14ac:dyDescent="0.45">
      <c r="A240">
        <v>2384</v>
      </c>
      <c r="B240" t="s">
        <v>1672</v>
      </c>
    </row>
    <row r="241" spans="1:2" x14ac:dyDescent="0.45">
      <c r="A241">
        <v>2385</v>
      </c>
      <c r="B241" t="s">
        <v>1672</v>
      </c>
    </row>
    <row r="242" spans="1:2" x14ac:dyDescent="0.45">
      <c r="A242">
        <v>2386</v>
      </c>
      <c r="B242" t="s">
        <v>1672</v>
      </c>
    </row>
    <row r="243" spans="1:2" x14ac:dyDescent="0.45">
      <c r="A243">
        <v>2387</v>
      </c>
      <c r="B243" t="s">
        <v>1672</v>
      </c>
    </row>
    <row r="244" spans="1:2" x14ac:dyDescent="0.45">
      <c r="A244">
        <v>2389</v>
      </c>
      <c r="B244" t="s">
        <v>1672</v>
      </c>
    </row>
    <row r="245" spans="1:2" x14ac:dyDescent="0.45">
      <c r="A245">
        <v>2390</v>
      </c>
      <c r="B245" t="s">
        <v>1672</v>
      </c>
    </row>
    <row r="246" spans="1:2" x14ac:dyDescent="0.45">
      <c r="A246">
        <v>2391</v>
      </c>
      <c r="B246" t="s">
        <v>1672</v>
      </c>
    </row>
    <row r="247" spans="1:2" x14ac:dyDescent="0.45">
      <c r="A247">
        <v>2392</v>
      </c>
      <c r="B247" t="s">
        <v>1671</v>
      </c>
    </row>
    <row r="248" spans="1:2" x14ac:dyDescent="0.45">
      <c r="A248">
        <v>2393</v>
      </c>
      <c r="B248" t="s">
        <v>1672</v>
      </c>
    </row>
    <row r="249" spans="1:2" x14ac:dyDescent="0.45">
      <c r="A249">
        <v>2394</v>
      </c>
      <c r="B249" t="s">
        <v>1672</v>
      </c>
    </row>
    <row r="250" spans="1:2" x14ac:dyDescent="0.45">
      <c r="A250">
        <v>2395</v>
      </c>
      <c r="B250" t="s">
        <v>1672</v>
      </c>
    </row>
    <row r="251" spans="1:2" x14ac:dyDescent="0.45">
      <c r="A251">
        <v>2396</v>
      </c>
      <c r="B251" t="s">
        <v>1672</v>
      </c>
    </row>
    <row r="252" spans="1:2" x14ac:dyDescent="0.45">
      <c r="A252">
        <v>2397</v>
      </c>
      <c r="B252" t="s">
        <v>1671</v>
      </c>
    </row>
    <row r="253" spans="1:2" x14ac:dyDescent="0.45">
      <c r="A253">
        <v>2399</v>
      </c>
      <c r="B253" t="s">
        <v>1671</v>
      </c>
    </row>
    <row r="254" spans="1:2" x14ac:dyDescent="0.45">
      <c r="A254">
        <v>2400</v>
      </c>
      <c r="B254" t="s">
        <v>1671</v>
      </c>
    </row>
    <row r="255" spans="1:2" x14ac:dyDescent="0.45">
      <c r="A255">
        <v>2411</v>
      </c>
      <c r="B255" t="s">
        <v>1673</v>
      </c>
    </row>
    <row r="256" spans="1:2" x14ac:dyDescent="0.45">
      <c r="A256">
        <v>2421</v>
      </c>
      <c r="B256" t="s">
        <v>1673</v>
      </c>
    </row>
    <row r="257" spans="1:2" x14ac:dyDescent="0.45">
      <c r="A257">
        <v>2426</v>
      </c>
      <c r="B257" t="s">
        <v>1673</v>
      </c>
    </row>
    <row r="258" spans="1:2" x14ac:dyDescent="0.45">
      <c r="A258">
        <v>2429</v>
      </c>
      <c r="B258" t="s">
        <v>1673</v>
      </c>
    </row>
    <row r="259" spans="1:2" x14ac:dyDescent="0.45">
      <c r="A259">
        <v>2430</v>
      </c>
      <c r="B259" t="s">
        <v>1673</v>
      </c>
    </row>
    <row r="260" spans="1:2" x14ac:dyDescent="0.45">
      <c r="A260">
        <v>2431</v>
      </c>
      <c r="B260" t="s">
        <v>1673</v>
      </c>
    </row>
    <row r="261" spans="1:2" x14ac:dyDescent="0.45">
      <c r="A261">
        <v>2434</v>
      </c>
      <c r="B261" t="s">
        <v>1673</v>
      </c>
    </row>
    <row r="262" spans="1:2" x14ac:dyDescent="0.45">
      <c r="A262">
        <v>2435</v>
      </c>
      <c r="B262" t="s">
        <v>1673</v>
      </c>
    </row>
    <row r="263" spans="1:2" x14ac:dyDescent="0.45">
      <c r="A263">
        <v>2436</v>
      </c>
      <c r="B263" t="s">
        <v>1673</v>
      </c>
    </row>
    <row r="264" spans="1:2" x14ac:dyDescent="0.45">
      <c r="A264">
        <v>2439</v>
      </c>
      <c r="B264" t="s">
        <v>1673</v>
      </c>
    </row>
    <row r="265" spans="1:2" x14ac:dyDescent="0.45">
      <c r="A265">
        <v>2441</v>
      </c>
      <c r="B265" t="s">
        <v>1673</v>
      </c>
    </row>
    <row r="266" spans="1:2" x14ac:dyDescent="0.45">
      <c r="A266">
        <v>2448</v>
      </c>
      <c r="B266" t="s">
        <v>1673</v>
      </c>
    </row>
    <row r="267" spans="1:2" x14ac:dyDescent="0.45">
      <c r="A267">
        <v>2449</v>
      </c>
      <c r="B267" t="s">
        <v>1673</v>
      </c>
    </row>
    <row r="268" spans="1:2" x14ac:dyDescent="0.45">
      <c r="A268">
        <v>2451</v>
      </c>
      <c r="B268" t="s">
        <v>1673</v>
      </c>
    </row>
    <row r="269" spans="1:2" x14ac:dyDescent="0.45">
      <c r="A269">
        <v>2452</v>
      </c>
      <c r="B269" t="s">
        <v>1673</v>
      </c>
    </row>
    <row r="270" spans="1:2" x14ac:dyDescent="0.45">
      <c r="A270">
        <v>2491</v>
      </c>
      <c r="B270" t="s">
        <v>1673</v>
      </c>
    </row>
    <row r="271" spans="1:2" x14ac:dyDescent="0.45">
      <c r="A271">
        <v>2493</v>
      </c>
      <c r="B271" t="s">
        <v>1673</v>
      </c>
    </row>
    <row r="272" spans="1:2" x14ac:dyDescent="0.45">
      <c r="A272">
        <v>2499</v>
      </c>
      <c r="B272" t="s">
        <v>1673</v>
      </c>
    </row>
    <row r="273" spans="1:2" x14ac:dyDescent="0.45">
      <c r="A273">
        <v>2510</v>
      </c>
      <c r="B273" t="s">
        <v>1674</v>
      </c>
    </row>
    <row r="274" spans="1:2" x14ac:dyDescent="0.45">
      <c r="A274">
        <v>2511</v>
      </c>
      <c r="B274" t="s">
        <v>1674</v>
      </c>
    </row>
    <row r="275" spans="1:2" x14ac:dyDescent="0.45">
      <c r="A275">
        <v>2512</v>
      </c>
      <c r="B275" t="s">
        <v>1674</v>
      </c>
    </row>
    <row r="276" spans="1:2" x14ac:dyDescent="0.45">
      <c r="A276">
        <v>2514</v>
      </c>
      <c r="B276" t="s">
        <v>1674</v>
      </c>
    </row>
    <row r="277" spans="1:2" x14ac:dyDescent="0.45">
      <c r="A277">
        <v>2515</v>
      </c>
      <c r="B277" t="s">
        <v>1674</v>
      </c>
    </row>
    <row r="278" spans="1:2" x14ac:dyDescent="0.45">
      <c r="A278">
        <v>2517</v>
      </c>
      <c r="B278" t="s">
        <v>1674</v>
      </c>
    </row>
    <row r="279" spans="1:2" x14ac:dyDescent="0.45">
      <c r="A279">
        <v>2519</v>
      </c>
      <c r="B279" t="s">
        <v>1674</v>
      </c>
    </row>
    <row r="280" spans="1:2" x14ac:dyDescent="0.45">
      <c r="A280">
        <v>2521</v>
      </c>
      <c r="B280" t="s">
        <v>1674</v>
      </c>
    </row>
    <row r="281" spans="1:2" x14ac:dyDescent="0.45">
      <c r="A281">
        <v>2522</v>
      </c>
      <c r="B281" t="s">
        <v>1674</v>
      </c>
    </row>
    <row r="282" spans="1:2" x14ac:dyDescent="0.45">
      <c r="A282">
        <v>2531</v>
      </c>
      <c r="B282" t="s">
        <v>1674</v>
      </c>
    </row>
    <row r="283" spans="1:2" x14ac:dyDescent="0.45">
      <c r="A283">
        <v>2540</v>
      </c>
      <c r="B283" t="s">
        <v>1673</v>
      </c>
    </row>
    <row r="284" spans="1:2" x14ac:dyDescent="0.45">
      <c r="A284">
        <v>2541</v>
      </c>
      <c r="B284" t="s">
        <v>1673</v>
      </c>
    </row>
    <row r="285" spans="1:2" x14ac:dyDescent="0.45">
      <c r="A285">
        <v>2542</v>
      </c>
      <c r="B285" t="s">
        <v>1673</v>
      </c>
    </row>
    <row r="286" spans="1:2" x14ac:dyDescent="0.45">
      <c r="A286">
        <v>2590</v>
      </c>
      <c r="B286" t="s">
        <v>1673</v>
      </c>
    </row>
    <row r="287" spans="1:2" x14ac:dyDescent="0.45">
      <c r="A287">
        <v>2591</v>
      </c>
      <c r="B287" t="s">
        <v>1673</v>
      </c>
    </row>
    <row r="288" spans="1:2" x14ac:dyDescent="0.45">
      <c r="A288">
        <v>2599</v>
      </c>
      <c r="B288" t="s">
        <v>1674</v>
      </c>
    </row>
    <row r="289" spans="1:2" x14ac:dyDescent="0.45">
      <c r="A289">
        <v>2600</v>
      </c>
      <c r="B289" t="s">
        <v>1674</v>
      </c>
    </row>
    <row r="290" spans="1:2" x14ac:dyDescent="0.45">
      <c r="A290">
        <v>2611</v>
      </c>
      <c r="B290" t="s">
        <v>1675</v>
      </c>
    </row>
    <row r="291" spans="1:2" x14ac:dyDescent="0.45">
      <c r="A291">
        <v>2621</v>
      </c>
      <c r="B291" t="s">
        <v>1675</v>
      </c>
    </row>
    <row r="292" spans="1:2" x14ac:dyDescent="0.45">
      <c r="A292">
        <v>2631</v>
      </c>
      <c r="B292" t="s">
        <v>1675</v>
      </c>
    </row>
    <row r="293" spans="1:2" x14ac:dyDescent="0.45">
      <c r="A293">
        <v>2650</v>
      </c>
      <c r="B293" t="s">
        <v>1675</v>
      </c>
    </row>
    <row r="294" spans="1:2" x14ac:dyDescent="0.45">
      <c r="A294">
        <v>2652</v>
      </c>
      <c r="B294" t="s">
        <v>1675</v>
      </c>
    </row>
    <row r="295" spans="1:2" x14ac:dyDescent="0.45">
      <c r="A295">
        <v>2653</v>
      </c>
      <c r="B295" t="s">
        <v>1675</v>
      </c>
    </row>
    <row r="296" spans="1:2" x14ac:dyDescent="0.45">
      <c r="A296">
        <v>2655</v>
      </c>
      <c r="B296" t="s">
        <v>1675</v>
      </c>
    </row>
    <row r="297" spans="1:2" x14ac:dyDescent="0.45">
      <c r="A297">
        <v>2656</v>
      </c>
      <c r="B297" t="s">
        <v>1673</v>
      </c>
    </row>
    <row r="298" spans="1:2" x14ac:dyDescent="0.45">
      <c r="A298">
        <v>2657</v>
      </c>
      <c r="B298" t="s">
        <v>1675</v>
      </c>
    </row>
    <row r="299" spans="1:2" x14ac:dyDescent="0.45">
      <c r="A299">
        <v>2670</v>
      </c>
      <c r="B299" t="s">
        <v>1675</v>
      </c>
    </row>
    <row r="300" spans="1:2" x14ac:dyDescent="0.45">
      <c r="A300">
        <v>2671</v>
      </c>
      <c r="B300" t="s">
        <v>1675</v>
      </c>
    </row>
    <row r="301" spans="1:2" x14ac:dyDescent="0.45">
      <c r="A301">
        <v>2672</v>
      </c>
      <c r="B301" t="s">
        <v>1675</v>
      </c>
    </row>
    <row r="302" spans="1:2" x14ac:dyDescent="0.45">
      <c r="A302">
        <v>2673</v>
      </c>
      <c r="B302" t="s">
        <v>1675</v>
      </c>
    </row>
    <row r="303" spans="1:2" x14ac:dyDescent="0.45">
      <c r="A303">
        <v>2674</v>
      </c>
      <c r="B303" t="s">
        <v>1675</v>
      </c>
    </row>
    <row r="304" spans="1:2" x14ac:dyDescent="0.45">
      <c r="A304">
        <v>2675</v>
      </c>
      <c r="B304" t="s">
        <v>1675</v>
      </c>
    </row>
    <row r="305" spans="1:2" x14ac:dyDescent="0.45">
      <c r="A305">
        <v>2676</v>
      </c>
      <c r="B305" t="s">
        <v>1675</v>
      </c>
    </row>
    <row r="306" spans="1:2" x14ac:dyDescent="0.45">
      <c r="A306">
        <v>2677</v>
      </c>
      <c r="B306" t="s">
        <v>1675</v>
      </c>
    </row>
    <row r="307" spans="1:2" x14ac:dyDescent="0.45">
      <c r="A307">
        <v>2678</v>
      </c>
      <c r="B307" t="s">
        <v>1673</v>
      </c>
    </row>
    <row r="308" spans="1:2" x14ac:dyDescent="0.45">
      <c r="A308">
        <v>2679</v>
      </c>
      <c r="B308" t="s">
        <v>1675</v>
      </c>
    </row>
    <row r="309" spans="1:2" x14ac:dyDescent="0.45">
      <c r="A309">
        <v>2711</v>
      </c>
      <c r="B309" t="s">
        <v>1676</v>
      </c>
    </row>
    <row r="310" spans="1:2" x14ac:dyDescent="0.45">
      <c r="A310">
        <v>2721</v>
      </c>
      <c r="B310" t="s">
        <v>1676</v>
      </c>
    </row>
    <row r="311" spans="1:2" x14ac:dyDescent="0.45">
      <c r="A311">
        <v>2731</v>
      </c>
      <c r="B311" t="s">
        <v>1676</v>
      </c>
    </row>
    <row r="312" spans="1:2" x14ac:dyDescent="0.45">
      <c r="A312">
        <v>2732</v>
      </c>
      <c r="B312" t="s">
        <v>1676</v>
      </c>
    </row>
    <row r="313" spans="1:2" x14ac:dyDescent="0.45">
      <c r="A313">
        <v>2741</v>
      </c>
      <c r="B313" t="s">
        <v>1676</v>
      </c>
    </row>
    <row r="314" spans="1:2" x14ac:dyDescent="0.45">
      <c r="A314">
        <v>2750</v>
      </c>
      <c r="B314" t="s">
        <v>1676</v>
      </c>
    </row>
    <row r="315" spans="1:2" x14ac:dyDescent="0.45">
      <c r="A315">
        <v>2752</v>
      </c>
      <c r="B315" t="s">
        <v>1676</v>
      </c>
    </row>
    <row r="316" spans="1:2" x14ac:dyDescent="0.45">
      <c r="A316">
        <v>2754</v>
      </c>
      <c r="B316" t="s">
        <v>1676</v>
      </c>
    </row>
    <row r="317" spans="1:2" x14ac:dyDescent="0.45">
      <c r="A317">
        <v>2759</v>
      </c>
      <c r="B317" t="s">
        <v>1676</v>
      </c>
    </row>
    <row r="318" spans="1:2" x14ac:dyDescent="0.45">
      <c r="A318">
        <v>2761</v>
      </c>
      <c r="B318" t="s">
        <v>1676</v>
      </c>
    </row>
    <row r="319" spans="1:2" x14ac:dyDescent="0.45">
      <c r="A319">
        <v>2771</v>
      </c>
      <c r="B319" t="s">
        <v>1676</v>
      </c>
    </row>
    <row r="320" spans="1:2" x14ac:dyDescent="0.45">
      <c r="A320">
        <v>2780</v>
      </c>
      <c r="B320" t="s">
        <v>1675</v>
      </c>
    </row>
    <row r="321" spans="1:2" x14ac:dyDescent="0.45">
      <c r="A321">
        <v>2782</v>
      </c>
      <c r="B321" t="s">
        <v>1675</v>
      </c>
    </row>
    <row r="322" spans="1:2" x14ac:dyDescent="0.45">
      <c r="A322">
        <v>2789</v>
      </c>
      <c r="B322" t="s">
        <v>1675</v>
      </c>
    </row>
    <row r="323" spans="1:2" x14ac:dyDescent="0.45">
      <c r="A323">
        <v>2790</v>
      </c>
      <c r="B323" t="s">
        <v>1675</v>
      </c>
    </row>
    <row r="324" spans="1:2" x14ac:dyDescent="0.45">
      <c r="A324">
        <v>2791</v>
      </c>
      <c r="B324" t="s">
        <v>1676</v>
      </c>
    </row>
    <row r="325" spans="1:2" x14ac:dyDescent="0.45">
      <c r="A325">
        <v>2796</v>
      </c>
      <c r="B325" t="s">
        <v>1676</v>
      </c>
    </row>
    <row r="326" spans="1:2" x14ac:dyDescent="0.45">
      <c r="A326">
        <v>2800</v>
      </c>
      <c r="B326" t="s">
        <v>1676</v>
      </c>
    </row>
    <row r="327" spans="1:2" x14ac:dyDescent="0.45">
      <c r="A327">
        <v>2810</v>
      </c>
      <c r="B327" t="s">
        <v>1673</v>
      </c>
    </row>
    <row r="328" spans="1:2" x14ac:dyDescent="0.45">
      <c r="A328">
        <v>2812</v>
      </c>
      <c r="B328" t="s">
        <v>1673</v>
      </c>
    </row>
    <row r="329" spans="1:2" x14ac:dyDescent="0.45">
      <c r="A329">
        <v>2813</v>
      </c>
      <c r="B329" t="s">
        <v>1673</v>
      </c>
    </row>
    <row r="330" spans="1:2" x14ac:dyDescent="0.45">
      <c r="A330">
        <v>2816</v>
      </c>
      <c r="B330" t="s">
        <v>1673</v>
      </c>
    </row>
    <row r="331" spans="1:2" x14ac:dyDescent="0.45">
      <c r="A331">
        <v>2819</v>
      </c>
      <c r="B331" t="s">
        <v>1677</v>
      </c>
    </row>
    <row r="332" spans="1:2" x14ac:dyDescent="0.45">
      <c r="A332">
        <v>2820</v>
      </c>
      <c r="B332" t="s">
        <v>1677</v>
      </c>
    </row>
    <row r="333" spans="1:2" x14ac:dyDescent="0.45">
      <c r="A333">
        <v>2821</v>
      </c>
      <c r="B333" t="s">
        <v>1673</v>
      </c>
    </row>
    <row r="334" spans="1:2" x14ac:dyDescent="0.45">
      <c r="A334">
        <v>2822</v>
      </c>
      <c r="B334" t="s">
        <v>1673</v>
      </c>
    </row>
    <row r="335" spans="1:2" x14ac:dyDescent="0.45">
      <c r="A335">
        <v>2823</v>
      </c>
      <c r="B335" t="s">
        <v>1673</v>
      </c>
    </row>
    <row r="336" spans="1:2" x14ac:dyDescent="0.45">
      <c r="A336">
        <v>2824</v>
      </c>
      <c r="B336" t="s">
        <v>1673</v>
      </c>
    </row>
    <row r="337" spans="1:2" x14ac:dyDescent="0.45">
      <c r="A337">
        <v>2833</v>
      </c>
      <c r="B337" t="s">
        <v>1678</v>
      </c>
    </row>
    <row r="338" spans="1:2" x14ac:dyDescent="0.45">
      <c r="A338">
        <v>2834</v>
      </c>
      <c r="B338" t="s">
        <v>1678</v>
      </c>
    </row>
    <row r="339" spans="1:2" x14ac:dyDescent="0.45">
      <c r="A339">
        <v>2835</v>
      </c>
      <c r="B339" t="s">
        <v>1678</v>
      </c>
    </row>
    <row r="340" spans="1:2" x14ac:dyDescent="0.45">
      <c r="A340">
        <v>2836</v>
      </c>
      <c r="B340" t="s">
        <v>1678</v>
      </c>
    </row>
    <row r="341" spans="1:2" x14ac:dyDescent="0.45">
      <c r="A341">
        <v>2840</v>
      </c>
      <c r="B341" t="s">
        <v>1673</v>
      </c>
    </row>
    <row r="342" spans="1:2" x14ac:dyDescent="0.45">
      <c r="A342">
        <v>2841</v>
      </c>
      <c r="B342" t="s">
        <v>1673</v>
      </c>
    </row>
    <row r="343" spans="1:2" x14ac:dyDescent="0.45">
      <c r="A343">
        <v>2842</v>
      </c>
      <c r="B343" t="s">
        <v>1673</v>
      </c>
    </row>
    <row r="344" spans="1:2" x14ac:dyDescent="0.45">
      <c r="A344">
        <v>2843</v>
      </c>
      <c r="B344" t="s">
        <v>1673</v>
      </c>
    </row>
    <row r="345" spans="1:2" x14ac:dyDescent="0.45">
      <c r="A345">
        <v>2844</v>
      </c>
      <c r="B345" t="s">
        <v>1673</v>
      </c>
    </row>
    <row r="346" spans="1:2" x14ac:dyDescent="0.45">
      <c r="A346">
        <v>2851</v>
      </c>
      <c r="B346" t="s">
        <v>1673</v>
      </c>
    </row>
    <row r="347" spans="1:2" x14ac:dyDescent="0.45">
      <c r="A347">
        <v>2860</v>
      </c>
      <c r="B347" t="s">
        <v>1677</v>
      </c>
    </row>
    <row r="348" spans="1:2" x14ac:dyDescent="0.45">
      <c r="A348">
        <v>2861</v>
      </c>
      <c r="B348" t="s">
        <v>1677</v>
      </c>
    </row>
    <row r="349" spans="1:2" x14ac:dyDescent="0.45">
      <c r="A349">
        <v>2865</v>
      </c>
      <c r="B349" t="s">
        <v>1677</v>
      </c>
    </row>
    <row r="350" spans="1:2" x14ac:dyDescent="0.45">
      <c r="A350">
        <v>2869</v>
      </c>
      <c r="B350" t="s">
        <v>1677</v>
      </c>
    </row>
    <row r="351" spans="1:2" x14ac:dyDescent="0.45">
      <c r="A351">
        <v>2870</v>
      </c>
      <c r="B351" t="s">
        <v>1677</v>
      </c>
    </row>
    <row r="352" spans="1:2" x14ac:dyDescent="0.45">
      <c r="A352">
        <v>2873</v>
      </c>
      <c r="B352" t="s">
        <v>1677</v>
      </c>
    </row>
    <row r="353" spans="1:2" x14ac:dyDescent="0.45">
      <c r="A353">
        <v>2874</v>
      </c>
      <c r="B353" t="s">
        <v>1677</v>
      </c>
    </row>
    <row r="354" spans="1:2" x14ac:dyDescent="0.45">
      <c r="A354">
        <v>2875</v>
      </c>
      <c r="B354" t="s">
        <v>1677</v>
      </c>
    </row>
    <row r="355" spans="1:2" x14ac:dyDescent="0.45">
      <c r="A355">
        <v>2879</v>
      </c>
      <c r="B355" t="s">
        <v>1677</v>
      </c>
    </row>
    <row r="356" spans="1:2" x14ac:dyDescent="0.45">
      <c r="A356">
        <v>2890</v>
      </c>
      <c r="B356" t="s">
        <v>1677</v>
      </c>
    </row>
    <row r="357" spans="1:2" x14ac:dyDescent="0.45">
      <c r="A357">
        <v>2891</v>
      </c>
      <c r="B357" t="s">
        <v>1677</v>
      </c>
    </row>
    <row r="358" spans="1:2" x14ac:dyDescent="0.45">
      <c r="A358">
        <v>2892</v>
      </c>
      <c r="B358" t="s">
        <v>1677</v>
      </c>
    </row>
    <row r="359" spans="1:2" x14ac:dyDescent="0.45">
      <c r="A359">
        <v>2893</v>
      </c>
      <c r="B359" t="s">
        <v>1677</v>
      </c>
    </row>
    <row r="360" spans="1:2" x14ac:dyDescent="0.45">
      <c r="A360">
        <v>2895</v>
      </c>
      <c r="B360" t="s">
        <v>1677</v>
      </c>
    </row>
    <row r="361" spans="1:2" x14ac:dyDescent="0.45">
      <c r="A361">
        <v>2899</v>
      </c>
      <c r="B361" t="s">
        <v>1677</v>
      </c>
    </row>
    <row r="362" spans="1:2" x14ac:dyDescent="0.45">
      <c r="A362">
        <v>2911</v>
      </c>
      <c r="B362" t="s">
        <v>1668</v>
      </c>
    </row>
    <row r="363" spans="1:2" x14ac:dyDescent="0.45">
      <c r="A363">
        <v>2951</v>
      </c>
      <c r="B363" t="s">
        <v>1667</v>
      </c>
    </row>
    <row r="364" spans="1:2" x14ac:dyDescent="0.45">
      <c r="A364">
        <v>2952</v>
      </c>
      <c r="B364" t="s">
        <v>1667</v>
      </c>
    </row>
    <row r="365" spans="1:2" x14ac:dyDescent="0.45">
      <c r="A365">
        <v>2990</v>
      </c>
      <c r="B365" t="s">
        <v>1668</v>
      </c>
    </row>
    <row r="366" spans="1:2" x14ac:dyDescent="0.45">
      <c r="A366">
        <v>2992</v>
      </c>
      <c r="B366" t="s">
        <v>1668</v>
      </c>
    </row>
    <row r="367" spans="1:2" x14ac:dyDescent="0.45">
      <c r="A367">
        <v>2999</v>
      </c>
      <c r="B367" t="s">
        <v>1668</v>
      </c>
    </row>
    <row r="368" spans="1:2" x14ac:dyDescent="0.45">
      <c r="A368">
        <v>3011</v>
      </c>
      <c r="B368" t="s">
        <v>1673</v>
      </c>
    </row>
    <row r="369" spans="1:2" x14ac:dyDescent="0.45">
      <c r="A369">
        <v>3021</v>
      </c>
      <c r="B369" t="s">
        <v>1673</v>
      </c>
    </row>
    <row r="370" spans="1:2" x14ac:dyDescent="0.45">
      <c r="A370">
        <v>3050</v>
      </c>
      <c r="B370" t="s">
        <v>1673</v>
      </c>
    </row>
    <row r="371" spans="1:2" x14ac:dyDescent="0.45">
      <c r="A371">
        <v>3052</v>
      </c>
      <c r="B371" t="s">
        <v>1673</v>
      </c>
    </row>
    <row r="372" spans="1:2" x14ac:dyDescent="0.45">
      <c r="A372">
        <v>3053</v>
      </c>
      <c r="B372" t="s">
        <v>1673</v>
      </c>
    </row>
    <row r="373" spans="1:2" x14ac:dyDescent="0.45">
      <c r="A373">
        <v>3061</v>
      </c>
      <c r="B373" t="s">
        <v>1673</v>
      </c>
    </row>
    <row r="374" spans="1:2" x14ac:dyDescent="0.45">
      <c r="A374">
        <v>3069</v>
      </c>
      <c r="B374" t="s">
        <v>1673</v>
      </c>
    </row>
    <row r="375" spans="1:2" x14ac:dyDescent="0.45">
      <c r="A375">
        <v>3080</v>
      </c>
      <c r="B375" t="s">
        <v>1673</v>
      </c>
    </row>
    <row r="376" spans="1:2" x14ac:dyDescent="0.45">
      <c r="A376">
        <v>3081</v>
      </c>
      <c r="B376" t="s">
        <v>1673</v>
      </c>
    </row>
    <row r="377" spans="1:2" x14ac:dyDescent="0.45">
      <c r="A377">
        <v>3082</v>
      </c>
      <c r="B377" t="s">
        <v>1673</v>
      </c>
    </row>
    <row r="378" spans="1:2" x14ac:dyDescent="0.45">
      <c r="A378">
        <v>3083</v>
      </c>
      <c r="B378" t="s">
        <v>1673</v>
      </c>
    </row>
    <row r="379" spans="1:2" x14ac:dyDescent="0.45">
      <c r="A379">
        <v>3084</v>
      </c>
      <c r="B379" t="s">
        <v>1673</v>
      </c>
    </row>
    <row r="380" spans="1:2" x14ac:dyDescent="0.45">
      <c r="A380">
        <v>3085</v>
      </c>
      <c r="B380" t="s">
        <v>1673</v>
      </c>
    </row>
    <row r="381" spans="1:2" x14ac:dyDescent="0.45">
      <c r="A381">
        <v>3086</v>
      </c>
      <c r="B381" t="s">
        <v>1673</v>
      </c>
    </row>
    <row r="382" spans="1:2" x14ac:dyDescent="0.45">
      <c r="A382">
        <v>3087</v>
      </c>
      <c r="B382" t="s">
        <v>1673</v>
      </c>
    </row>
    <row r="383" spans="1:2" x14ac:dyDescent="0.45">
      <c r="A383">
        <v>3088</v>
      </c>
      <c r="B383" t="s">
        <v>1673</v>
      </c>
    </row>
    <row r="384" spans="1:2" x14ac:dyDescent="0.45">
      <c r="A384">
        <v>3089</v>
      </c>
      <c r="B384" t="s">
        <v>1673</v>
      </c>
    </row>
    <row r="385" spans="1:2" x14ac:dyDescent="0.45">
      <c r="A385">
        <v>3100</v>
      </c>
      <c r="B385" t="s">
        <v>1673</v>
      </c>
    </row>
    <row r="386" spans="1:2" x14ac:dyDescent="0.45">
      <c r="A386">
        <v>3111</v>
      </c>
      <c r="B386" t="s">
        <v>1673</v>
      </c>
    </row>
    <row r="387" spans="1:2" x14ac:dyDescent="0.45">
      <c r="A387">
        <v>3131</v>
      </c>
      <c r="B387" t="s">
        <v>1673</v>
      </c>
    </row>
    <row r="388" spans="1:2" x14ac:dyDescent="0.45">
      <c r="A388">
        <v>3140</v>
      </c>
      <c r="B388" t="s">
        <v>1672</v>
      </c>
    </row>
    <row r="389" spans="1:2" x14ac:dyDescent="0.45">
      <c r="A389">
        <v>3142</v>
      </c>
      <c r="B389" t="s">
        <v>1672</v>
      </c>
    </row>
    <row r="390" spans="1:2" x14ac:dyDescent="0.45">
      <c r="A390">
        <v>3143</v>
      </c>
      <c r="B390" t="s">
        <v>1672</v>
      </c>
    </row>
    <row r="391" spans="1:2" x14ac:dyDescent="0.45">
      <c r="A391">
        <v>3144</v>
      </c>
      <c r="B391" t="s">
        <v>1672</v>
      </c>
    </row>
    <row r="392" spans="1:2" x14ac:dyDescent="0.45">
      <c r="A392">
        <v>3149</v>
      </c>
      <c r="B392" t="s">
        <v>1672</v>
      </c>
    </row>
    <row r="393" spans="1:2" x14ac:dyDescent="0.45">
      <c r="A393">
        <v>3151</v>
      </c>
      <c r="B393" t="s">
        <v>1672</v>
      </c>
    </row>
    <row r="394" spans="1:2" x14ac:dyDescent="0.45">
      <c r="A394">
        <v>3161</v>
      </c>
      <c r="B394" t="s">
        <v>1665</v>
      </c>
    </row>
    <row r="395" spans="1:2" x14ac:dyDescent="0.45">
      <c r="A395">
        <v>3171</v>
      </c>
      <c r="B395" t="s">
        <v>1672</v>
      </c>
    </row>
    <row r="396" spans="1:2" x14ac:dyDescent="0.45">
      <c r="A396">
        <v>3172</v>
      </c>
      <c r="B396" t="s">
        <v>1672</v>
      </c>
    </row>
    <row r="397" spans="1:2" x14ac:dyDescent="0.45">
      <c r="A397">
        <v>3199</v>
      </c>
      <c r="B397" t="s">
        <v>1673</v>
      </c>
    </row>
    <row r="398" spans="1:2" x14ac:dyDescent="0.45">
      <c r="A398">
        <v>3211</v>
      </c>
      <c r="B398" t="s">
        <v>1667</v>
      </c>
    </row>
    <row r="399" spans="1:2" x14ac:dyDescent="0.45">
      <c r="A399">
        <v>3220</v>
      </c>
      <c r="B399" t="s">
        <v>1673</v>
      </c>
    </row>
    <row r="400" spans="1:2" x14ac:dyDescent="0.45">
      <c r="A400">
        <v>3221</v>
      </c>
      <c r="B400" t="s">
        <v>1673</v>
      </c>
    </row>
    <row r="401" spans="1:2" x14ac:dyDescent="0.45">
      <c r="A401">
        <v>3229</v>
      </c>
      <c r="B401" t="s">
        <v>1673</v>
      </c>
    </row>
    <row r="402" spans="1:2" x14ac:dyDescent="0.45">
      <c r="A402">
        <v>3231</v>
      </c>
      <c r="B402" t="s">
        <v>1673</v>
      </c>
    </row>
    <row r="403" spans="1:2" x14ac:dyDescent="0.45">
      <c r="A403">
        <v>3241</v>
      </c>
      <c r="B403" t="s">
        <v>1667</v>
      </c>
    </row>
    <row r="404" spans="1:2" x14ac:dyDescent="0.45">
      <c r="A404">
        <v>3250</v>
      </c>
      <c r="B404" t="s">
        <v>1667</v>
      </c>
    </row>
    <row r="405" spans="1:2" x14ac:dyDescent="0.45">
      <c r="A405">
        <v>3251</v>
      </c>
      <c r="B405" t="s">
        <v>1667</v>
      </c>
    </row>
    <row r="406" spans="1:2" x14ac:dyDescent="0.45">
      <c r="A406">
        <v>3253</v>
      </c>
      <c r="B406" t="s">
        <v>1667</v>
      </c>
    </row>
    <row r="407" spans="1:2" x14ac:dyDescent="0.45">
      <c r="A407">
        <v>3255</v>
      </c>
      <c r="B407" t="s">
        <v>1673</v>
      </c>
    </row>
    <row r="408" spans="1:2" x14ac:dyDescent="0.45">
      <c r="A408">
        <v>3259</v>
      </c>
      <c r="B408" t="s">
        <v>1667</v>
      </c>
    </row>
    <row r="409" spans="1:2" x14ac:dyDescent="0.45">
      <c r="A409">
        <v>3260</v>
      </c>
      <c r="B409" t="s">
        <v>1667</v>
      </c>
    </row>
    <row r="410" spans="1:2" x14ac:dyDescent="0.45">
      <c r="A410">
        <v>3261</v>
      </c>
      <c r="B410" t="s">
        <v>1673</v>
      </c>
    </row>
    <row r="411" spans="1:2" x14ac:dyDescent="0.45">
      <c r="A411">
        <v>3262</v>
      </c>
      <c r="B411" t="s">
        <v>1673</v>
      </c>
    </row>
    <row r="412" spans="1:2" x14ac:dyDescent="0.45">
      <c r="A412">
        <v>3263</v>
      </c>
      <c r="B412" t="s">
        <v>1673</v>
      </c>
    </row>
    <row r="413" spans="1:2" x14ac:dyDescent="0.45">
      <c r="A413">
        <v>3264</v>
      </c>
      <c r="B413" t="s">
        <v>1673</v>
      </c>
    </row>
    <row r="414" spans="1:2" x14ac:dyDescent="0.45">
      <c r="A414">
        <v>3269</v>
      </c>
      <c r="B414" t="s">
        <v>1673</v>
      </c>
    </row>
    <row r="415" spans="1:2" x14ac:dyDescent="0.45">
      <c r="A415">
        <v>3270</v>
      </c>
      <c r="B415" t="s">
        <v>1673</v>
      </c>
    </row>
    <row r="416" spans="1:2" x14ac:dyDescent="0.45">
      <c r="A416">
        <v>3271</v>
      </c>
      <c r="B416" t="s">
        <v>1667</v>
      </c>
    </row>
    <row r="417" spans="1:2" x14ac:dyDescent="0.45">
      <c r="A417">
        <v>3272</v>
      </c>
      <c r="B417" t="s">
        <v>1673</v>
      </c>
    </row>
    <row r="418" spans="1:2" x14ac:dyDescent="0.45">
      <c r="A418">
        <v>3273</v>
      </c>
      <c r="B418" t="s">
        <v>1667</v>
      </c>
    </row>
    <row r="419" spans="1:2" x14ac:dyDescent="0.45">
      <c r="A419">
        <v>3274</v>
      </c>
      <c r="B419" t="s">
        <v>1667</v>
      </c>
    </row>
    <row r="420" spans="1:2" x14ac:dyDescent="0.45">
      <c r="A420">
        <v>3275</v>
      </c>
      <c r="B420" t="s">
        <v>1673</v>
      </c>
    </row>
    <row r="421" spans="1:2" x14ac:dyDescent="0.45">
      <c r="A421">
        <v>3281</v>
      </c>
      <c r="B421" t="s">
        <v>1667</v>
      </c>
    </row>
    <row r="422" spans="1:2" x14ac:dyDescent="0.45">
      <c r="A422">
        <v>3290</v>
      </c>
      <c r="B422" t="s">
        <v>1673</v>
      </c>
    </row>
    <row r="423" spans="1:2" x14ac:dyDescent="0.45">
      <c r="A423">
        <v>3291</v>
      </c>
      <c r="B423" t="s">
        <v>1673</v>
      </c>
    </row>
    <row r="424" spans="1:2" x14ac:dyDescent="0.45">
      <c r="A424">
        <v>3292</v>
      </c>
      <c r="B424" t="s">
        <v>1673</v>
      </c>
    </row>
    <row r="425" spans="1:2" x14ac:dyDescent="0.45">
      <c r="A425">
        <v>3295</v>
      </c>
      <c r="B425" t="s">
        <v>1673</v>
      </c>
    </row>
    <row r="426" spans="1:2" x14ac:dyDescent="0.45">
      <c r="A426">
        <v>3296</v>
      </c>
      <c r="B426" t="s">
        <v>1665</v>
      </c>
    </row>
    <row r="427" spans="1:2" x14ac:dyDescent="0.45">
      <c r="A427">
        <v>3297</v>
      </c>
      <c r="B427" t="s">
        <v>1673</v>
      </c>
    </row>
    <row r="428" spans="1:2" x14ac:dyDescent="0.45">
      <c r="A428">
        <v>3299</v>
      </c>
      <c r="B428" t="s">
        <v>1673</v>
      </c>
    </row>
    <row r="429" spans="1:2" x14ac:dyDescent="0.45">
      <c r="A429">
        <v>3310</v>
      </c>
      <c r="B429" t="s">
        <v>1673</v>
      </c>
    </row>
    <row r="430" spans="1:2" x14ac:dyDescent="0.45">
      <c r="A430">
        <v>3312</v>
      </c>
      <c r="B430" t="s">
        <v>1673</v>
      </c>
    </row>
    <row r="431" spans="1:2" x14ac:dyDescent="0.45">
      <c r="A431">
        <v>3313</v>
      </c>
      <c r="B431" t="s">
        <v>1673</v>
      </c>
    </row>
    <row r="432" spans="1:2" x14ac:dyDescent="0.45">
      <c r="A432">
        <v>3315</v>
      </c>
      <c r="B432" t="s">
        <v>1673</v>
      </c>
    </row>
    <row r="433" spans="1:2" x14ac:dyDescent="0.45">
      <c r="A433">
        <v>3316</v>
      </c>
      <c r="B433" t="s">
        <v>1673</v>
      </c>
    </row>
    <row r="434" spans="1:2" x14ac:dyDescent="0.45">
      <c r="A434">
        <v>3317</v>
      </c>
      <c r="B434" t="s">
        <v>1673</v>
      </c>
    </row>
    <row r="435" spans="1:2" x14ac:dyDescent="0.45">
      <c r="A435">
        <v>3320</v>
      </c>
      <c r="B435" t="s">
        <v>1673</v>
      </c>
    </row>
    <row r="436" spans="1:2" x14ac:dyDescent="0.45">
      <c r="A436">
        <v>3321</v>
      </c>
      <c r="B436" t="s">
        <v>1673</v>
      </c>
    </row>
    <row r="437" spans="1:2" x14ac:dyDescent="0.45">
      <c r="A437">
        <v>3322</v>
      </c>
      <c r="B437" t="s">
        <v>1673</v>
      </c>
    </row>
    <row r="438" spans="1:2" x14ac:dyDescent="0.45">
      <c r="A438">
        <v>3324</v>
      </c>
      <c r="B438" t="s">
        <v>1673</v>
      </c>
    </row>
    <row r="439" spans="1:2" x14ac:dyDescent="0.45">
      <c r="A439">
        <v>3325</v>
      </c>
      <c r="B439" t="s">
        <v>1673</v>
      </c>
    </row>
    <row r="440" spans="1:2" x14ac:dyDescent="0.45">
      <c r="A440">
        <v>3330</v>
      </c>
      <c r="B440" t="s">
        <v>1673</v>
      </c>
    </row>
    <row r="441" spans="1:2" x14ac:dyDescent="0.45">
      <c r="A441">
        <v>3331</v>
      </c>
      <c r="B441" t="s">
        <v>1673</v>
      </c>
    </row>
    <row r="442" spans="1:2" x14ac:dyDescent="0.45">
      <c r="A442">
        <v>3334</v>
      </c>
      <c r="B442" t="s">
        <v>1673</v>
      </c>
    </row>
    <row r="443" spans="1:2" x14ac:dyDescent="0.45">
      <c r="A443">
        <v>3339</v>
      </c>
      <c r="B443" t="s">
        <v>1673</v>
      </c>
    </row>
    <row r="444" spans="1:2" x14ac:dyDescent="0.45">
      <c r="A444">
        <v>3341</v>
      </c>
      <c r="B444" t="s">
        <v>1673</v>
      </c>
    </row>
    <row r="445" spans="1:2" x14ac:dyDescent="0.45">
      <c r="A445">
        <v>3350</v>
      </c>
      <c r="B445" t="s">
        <v>1673</v>
      </c>
    </row>
    <row r="446" spans="1:2" x14ac:dyDescent="0.45">
      <c r="A446">
        <v>3351</v>
      </c>
      <c r="B446" t="s">
        <v>1673</v>
      </c>
    </row>
    <row r="447" spans="1:2" x14ac:dyDescent="0.45">
      <c r="A447">
        <v>3353</v>
      </c>
      <c r="B447" t="s">
        <v>1673</v>
      </c>
    </row>
    <row r="448" spans="1:2" x14ac:dyDescent="0.45">
      <c r="A448">
        <v>3354</v>
      </c>
      <c r="B448" t="s">
        <v>1673</v>
      </c>
    </row>
    <row r="449" spans="1:2" x14ac:dyDescent="0.45">
      <c r="A449">
        <v>3355</v>
      </c>
      <c r="B449" t="s">
        <v>1673</v>
      </c>
    </row>
    <row r="450" spans="1:2" x14ac:dyDescent="0.45">
      <c r="A450">
        <v>3356</v>
      </c>
      <c r="B450" t="s">
        <v>1673</v>
      </c>
    </row>
    <row r="451" spans="1:2" x14ac:dyDescent="0.45">
      <c r="A451">
        <v>3357</v>
      </c>
      <c r="B451" t="s">
        <v>1673</v>
      </c>
    </row>
    <row r="452" spans="1:2" x14ac:dyDescent="0.45">
      <c r="A452">
        <v>3360</v>
      </c>
      <c r="B452" t="s">
        <v>1673</v>
      </c>
    </row>
    <row r="453" spans="1:2" x14ac:dyDescent="0.45">
      <c r="A453">
        <v>3363</v>
      </c>
      <c r="B453" t="s">
        <v>1673</v>
      </c>
    </row>
    <row r="454" spans="1:2" x14ac:dyDescent="0.45">
      <c r="A454">
        <v>3364</v>
      </c>
      <c r="B454" t="s">
        <v>1673</v>
      </c>
    </row>
    <row r="455" spans="1:2" x14ac:dyDescent="0.45">
      <c r="A455">
        <v>3365</v>
      </c>
      <c r="B455" t="s">
        <v>1673</v>
      </c>
    </row>
    <row r="456" spans="1:2" x14ac:dyDescent="0.45">
      <c r="A456">
        <v>3366</v>
      </c>
      <c r="B456" t="s">
        <v>1673</v>
      </c>
    </row>
    <row r="457" spans="1:2" x14ac:dyDescent="0.45">
      <c r="A457">
        <v>3369</v>
      </c>
      <c r="B457" t="s">
        <v>1673</v>
      </c>
    </row>
    <row r="458" spans="1:2" x14ac:dyDescent="0.45">
      <c r="A458">
        <v>3390</v>
      </c>
      <c r="B458" t="s">
        <v>1673</v>
      </c>
    </row>
    <row r="459" spans="1:2" x14ac:dyDescent="0.45">
      <c r="A459">
        <v>3398</v>
      </c>
      <c r="B459" t="s">
        <v>1673</v>
      </c>
    </row>
    <row r="460" spans="1:2" x14ac:dyDescent="0.45">
      <c r="A460">
        <v>3399</v>
      </c>
      <c r="B460" t="s">
        <v>1673</v>
      </c>
    </row>
    <row r="461" spans="1:2" x14ac:dyDescent="0.45">
      <c r="A461">
        <v>3411</v>
      </c>
      <c r="B461" t="s">
        <v>1673</v>
      </c>
    </row>
    <row r="462" spans="1:2" x14ac:dyDescent="0.45">
      <c r="A462">
        <v>3412</v>
      </c>
      <c r="B462" t="s">
        <v>1673</v>
      </c>
    </row>
    <row r="463" spans="1:2" x14ac:dyDescent="0.45">
      <c r="A463">
        <v>3420</v>
      </c>
      <c r="B463" t="s">
        <v>1673</v>
      </c>
    </row>
    <row r="464" spans="1:2" x14ac:dyDescent="0.45">
      <c r="A464">
        <v>3421</v>
      </c>
      <c r="B464" t="s">
        <v>1673</v>
      </c>
    </row>
    <row r="465" spans="1:2" x14ac:dyDescent="0.45">
      <c r="A465">
        <v>3423</v>
      </c>
      <c r="B465" t="s">
        <v>1673</v>
      </c>
    </row>
    <row r="466" spans="1:2" x14ac:dyDescent="0.45">
      <c r="A466">
        <v>3425</v>
      </c>
      <c r="B466" t="s">
        <v>1673</v>
      </c>
    </row>
    <row r="467" spans="1:2" x14ac:dyDescent="0.45">
      <c r="A467">
        <v>3429</v>
      </c>
      <c r="B467" t="s">
        <v>1673</v>
      </c>
    </row>
    <row r="468" spans="1:2" x14ac:dyDescent="0.45">
      <c r="A468">
        <v>3430</v>
      </c>
      <c r="B468" t="s">
        <v>1673</v>
      </c>
    </row>
    <row r="469" spans="1:2" x14ac:dyDescent="0.45">
      <c r="A469">
        <v>3431</v>
      </c>
      <c r="B469" t="s">
        <v>1673</v>
      </c>
    </row>
    <row r="470" spans="1:2" x14ac:dyDescent="0.45">
      <c r="A470">
        <v>3432</v>
      </c>
      <c r="B470" t="s">
        <v>1673</v>
      </c>
    </row>
    <row r="471" spans="1:2" x14ac:dyDescent="0.45">
      <c r="A471">
        <v>3433</v>
      </c>
      <c r="B471" t="s">
        <v>1673</v>
      </c>
    </row>
    <row r="472" spans="1:2" x14ac:dyDescent="0.45">
      <c r="A472">
        <v>3440</v>
      </c>
      <c r="B472" t="s">
        <v>1673</v>
      </c>
    </row>
    <row r="473" spans="1:2" x14ac:dyDescent="0.45">
      <c r="A473">
        <v>3441</v>
      </c>
      <c r="B473" t="s">
        <v>1673</v>
      </c>
    </row>
    <row r="474" spans="1:2" x14ac:dyDescent="0.45">
      <c r="A474">
        <v>3442</v>
      </c>
      <c r="B474" t="s">
        <v>1673</v>
      </c>
    </row>
    <row r="475" spans="1:2" x14ac:dyDescent="0.45">
      <c r="A475">
        <v>3443</v>
      </c>
      <c r="B475" t="s">
        <v>1673</v>
      </c>
    </row>
    <row r="476" spans="1:2" x14ac:dyDescent="0.45">
      <c r="A476">
        <v>3444</v>
      </c>
      <c r="B476" t="s">
        <v>1673</v>
      </c>
    </row>
    <row r="477" spans="1:2" x14ac:dyDescent="0.45">
      <c r="A477">
        <v>3446</v>
      </c>
      <c r="B477" t="s">
        <v>1673</v>
      </c>
    </row>
    <row r="478" spans="1:2" x14ac:dyDescent="0.45">
      <c r="A478">
        <v>3448</v>
      </c>
      <c r="B478" t="s">
        <v>1673</v>
      </c>
    </row>
    <row r="479" spans="1:2" x14ac:dyDescent="0.45">
      <c r="A479">
        <v>3449</v>
      </c>
      <c r="B479" t="s">
        <v>1673</v>
      </c>
    </row>
    <row r="480" spans="1:2" x14ac:dyDescent="0.45">
      <c r="A480">
        <v>3451</v>
      </c>
      <c r="B480" t="s">
        <v>1673</v>
      </c>
    </row>
    <row r="481" spans="1:2" x14ac:dyDescent="0.45">
      <c r="A481">
        <v>3452</v>
      </c>
      <c r="B481" t="s">
        <v>1673</v>
      </c>
    </row>
    <row r="482" spans="1:2" x14ac:dyDescent="0.45">
      <c r="A482">
        <v>3460</v>
      </c>
      <c r="B482" t="s">
        <v>1673</v>
      </c>
    </row>
    <row r="483" spans="1:2" x14ac:dyDescent="0.45">
      <c r="A483">
        <v>3462</v>
      </c>
      <c r="B483" t="s">
        <v>1673</v>
      </c>
    </row>
    <row r="484" spans="1:2" x14ac:dyDescent="0.45">
      <c r="A484">
        <v>3463</v>
      </c>
      <c r="B484" t="s">
        <v>1673</v>
      </c>
    </row>
    <row r="485" spans="1:2" x14ac:dyDescent="0.45">
      <c r="A485">
        <v>3465</v>
      </c>
      <c r="B485" t="s">
        <v>1673</v>
      </c>
    </row>
    <row r="486" spans="1:2" x14ac:dyDescent="0.45">
      <c r="A486">
        <v>3466</v>
      </c>
      <c r="B486" t="s">
        <v>1673</v>
      </c>
    </row>
    <row r="487" spans="1:2" x14ac:dyDescent="0.45">
      <c r="A487">
        <v>3469</v>
      </c>
      <c r="B487" t="s">
        <v>1673</v>
      </c>
    </row>
    <row r="488" spans="1:2" x14ac:dyDescent="0.45">
      <c r="A488">
        <v>3470</v>
      </c>
      <c r="B488" t="s">
        <v>1673</v>
      </c>
    </row>
    <row r="489" spans="1:2" x14ac:dyDescent="0.45">
      <c r="A489">
        <v>3471</v>
      </c>
      <c r="B489" t="s">
        <v>1673</v>
      </c>
    </row>
    <row r="490" spans="1:2" x14ac:dyDescent="0.45">
      <c r="A490">
        <v>3479</v>
      </c>
      <c r="B490" t="s">
        <v>1673</v>
      </c>
    </row>
    <row r="491" spans="1:2" x14ac:dyDescent="0.45">
      <c r="A491">
        <v>3480</v>
      </c>
      <c r="B491" t="s">
        <v>1673</v>
      </c>
    </row>
    <row r="492" spans="1:2" x14ac:dyDescent="0.45">
      <c r="A492">
        <v>3482</v>
      </c>
      <c r="B492" t="s">
        <v>1673</v>
      </c>
    </row>
    <row r="493" spans="1:2" x14ac:dyDescent="0.45">
      <c r="A493">
        <v>3483</v>
      </c>
      <c r="B493" t="s">
        <v>1673</v>
      </c>
    </row>
    <row r="494" spans="1:2" x14ac:dyDescent="0.45">
      <c r="A494">
        <v>3484</v>
      </c>
      <c r="B494" t="s">
        <v>1673</v>
      </c>
    </row>
    <row r="495" spans="1:2" x14ac:dyDescent="0.45">
      <c r="A495">
        <v>3489</v>
      </c>
      <c r="B495" t="s">
        <v>1673</v>
      </c>
    </row>
    <row r="496" spans="1:2" x14ac:dyDescent="0.45">
      <c r="A496">
        <v>3490</v>
      </c>
      <c r="B496" t="s">
        <v>1673</v>
      </c>
    </row>
    <row r="497" spans="1:2" x14ac:dyDescent="0.45">
      <c r="A497">
        <v>3491</v>
      </c>
      <c r="B497" t="s">
        <v>1673</v>
      </c>
    </row>
    <row r="498" spans="1:2" x14ac:dyDescent="0.45">
      <c r="A498">
        <v>3492</v>
      </c>
      <c r="B498" t="s">
        <v>1673</v>
      </c>
    </row>
    <row r="499" spans="1:2" x14ac:dyDescent="0.45">
      <c r="A499">
        <v>3493</v>
      </c>
      <c r="B499" t="s">
        <v>1673</v>
      </c>
    </row>
    <row r="500" spans="1:2" x14ac:dyDescent="0.45">
      <c r="A500">
        <v>3494</v>
      </c>
      <c r="B500" t="s">
        <v>1673</v>
      </c>
    </row>
    <row r="501" spans="1:2" x14ac:dyDescent="0.45">
      <c r="A501">
        <v>3495</v>
      </c>
      <c r="B501" t="s">
        <v>1673</v>
      </c>
    </row>
    <row r="502" spans="1:2" x14ac:dyDescent="0.45">
      <c r="A502">
        <v>3496</v>
      </c>
      <c r="B502" t="s">
        <v>1673</v>
      </c>
    </row>
    <row r="503" spans="1:2" x14ac:dyDescent="0.45">
      <c r="A503">
        <v>3497</v>
      </c>
      <c r="B503" t="s">
        <v>1673</v>
      </c>
    </row>
    <row r="504" spans="1:2" x14ac:dyDescent="0.45">
      <c r="A504">
        <v>3498</v>
      </c>
      <c r="B504" t="s">
        <v>1673</v>
      </c>
    </row>
    <row r="505" spans="1:2" x14ac:dyDescent="0.45">
      <c r="A505">
        <v>3499</v>
      </c>
      <c r="B505" t="s">
        <v>1673</v>
      </c>
    </row>
    <row r="506" spans="1:2" x14ac:dyDescent="0.45">
      <c r="A506">
        <v>3510</v>
      </c>
      <c r="B506" t="s">
        <v>1679</v>
      </c>
    </row>
    <row r="507" spans="1:2" x14ac:dyDescent="0.45">
      <c r="A507">
        <v>3511</v>
      </c>
      <c r="B507" t="s">
        <v>1679</v>
      </c>
    </row>
    <row r="508" spans="1:2" x14ac:dyDescent="0.45">
      <c r="A508">
        <v>3519</v>
      </c>
      <c r="B508" t="s">
        <v>1679</v>
      </c>
    </row>
    <row r="509" spans="1:2" x14ac:dyDescent="0.45">
      <c r="A509">
        <v>3523</v>
      </c>
      <c r="B509" t="s">
        <v>1679</v>
      </c>
    </row>
    <row r="510" spans="1:2" x14ac:dyDescent="0.45">
      <c r="A510">
        <v>3524</v>
      </c>
      <c r="B510" t="s">
        <v>1673</v>
      </c>
    </row>
    <row r="511" spans="1:2" x14ac:dyDescent="0.45">
      <c r="A511">
        <v>3530</v>
      </c>
      <c r="B511" t="s">
        <v>1679</v>
      </c>
    </row>
    <row r="512" spans="1:2" x14ac:dyDescent="0.45">
      <c r="A512">
        <v>3531</v>
      </c>
      <c r="B512" t="s">
        <v>1679</v>
      </c>
    </row>
    <row r="513" spans="1:2" x14ac:dyDescent="0.45">
      <c r="A513">
        <v>3532</v>
      </c>
      <c r="B513" t="s">
        <v>1679</v>
      </c>
    </row>
    <row r="514" spans="1:2" x14ac:dyDescent="0.45">
      <c r="A514">
        <v>3533</v>
      </c>
      <c r="B514" t="s">
        <v>1679</v>
      </c>
    </row>
    <row r="515" spans="1:2" x14ac:dyDescent="0.45">
      <c r="A515">
        <v>3534</v>
      </c>
      <c r="B515" t="s">
        <v>1679</v>
      </c>
    </row>
    <row r="516" spans="1:2" x14ac:dyDescent="0.45">
      <c r="A516">
        <v>3535</v>
      </c>
      <c r="B516" t="s">
        <v>1679</v>
      </c>
    </row>
    <row r="517" spans="1:2" x14ac:dyDescent="0.45">
      <c r="A517">
        <v>3536</v>
      </c>
      <c r="B517" t="s">
        <v>1679</v>
      </c>
    </row>
    <row r="518" spans="1:2" x14ac:dyDescent="0.45">
      <c r="A518">
        <v>3537</v>
      </c>
      <c r="B518" t="s">
        <v>1679</v>
      </c>
    </row>
    <row r="519" spans="1:2" x14ac:dyDescent="0.45">
      <c r="A519">
        <v>3540</v>
      </c>
      <c r="B519" t="s">
        <v>1679</v>
      </c>
    </row>
    <row r="520" spans="1:2" x14ac:dyDescent="0.45">
      <c r="A520">
        <v>3541</v>
      </c>
      <c r="B520" t="s">
        <v>1679</v>
      </c>
    </row>
    <row r="521" spans="1:2" x14ac:dyDescent="0.45">
      <c r="A521">
        <v>3542</v>
      </c>
      <c r="B521" t="s">
        <v>1679</v>
      </c>
    </row>
    <row r="522" spans="1:2" x14ac:dyDescent="0.45">
      <c r="A522">
        <v>3543</v>
      </c>
      <c r="B522" t="s">
        <v>1679</v>
      </c>
    </row>
    <row r="523" spans="1:2" x14ac:dyDescent="0.45">
      <c r="A523">
        <v>3544</v>
      </c>
      <c r="B523" t="s">
        <v>1679</v>
      </c>
    </row>
    <row r="524" spans="1:2" x14ac:dyDescent="0.45">
      <c r="A524">
        <v>3545</v>
      </c>
      <c r="B524" t="s">
        <v>1679</v>
      </c>
    </row>
    <row r="525" spans="1:2" x14ac:dyDescent="0.45">
      <c r="A525">
        <v>3546</v>
      </c>
      <c r="B525" t="s">
        <v>1679</v>
      </c>
    </row>
    <row r="526" spans="1:2" x14ac:dyDescent="0.45">
      <c r="A526">
        <v>3547</v>
      </c>
      <c r="B526" t="s">
        <v>1679</v>
      </c>
    </row>
    <row r="527" spans="1:2" x14ac:dyDescent="0.45">
      <c r="A527">
        <v>3548</v>
      </c>
      <c r="B527" t="s">
        <v>1679</v>
      </c>
    </row>
    <row r="528" spans="1:2" x14ac:dyDescent="0.45">
      <c r="A528">
        <v>3549</v>
      </c>
      <c r="B528" t="s">
        <v>1679</v>
      </c>
    </row>
    <row r="529" spans="1:2" x14ac:dyDescent="0.45">
      <c r="A529">
        <v>3550</v>
      </c>
      <c r="B529" t="s">
        <v>1679</v>
      </c>
    </row>
    <row r="530" spans="1:2" x14ac:dyDescent="0.45">
      <c r="A530">
        <v>3552</v>
      </c>
      <c r="B530" t="s">
        <v>1679</v>
      </c>
    </row>
    <row r="531" spans="1:2" x14ac:dyDescent="0.45">
      <c r="A531">
        <v>3553</v>
      </c>
      <c r="B531" t="s">
        <v>1679</v>
      </c>
    </row>
    <row r="532" spans="1:2" x14ac:dyDescent="0.45">
      <c r="A532">
        <v>3554</v>
      </c>
      <c r="B532" t="s">
        <v>1679</v>
      </c>
    </row>
    <row r="533" spans="1:2" x14ac:dyDescent="0.45">
      <c r="A533">
        <v>3555</v>
      </c>
      <c r="B533" t="s">
        <v>1679</v>
      </c>
    </row>
    <row r="534" spans="1:2" x14ac:dyDescent="0.45">
      <c r="A534">
        <v>3556</v>
      </c>
      <c r="B534" t="s">
        <v>1679</v>
      </c>
    </row>
    <row r="535" spans="1:2" x14ac:dyDescent="0.45">
      <c r="A535">
        <v>3559</v>
      </c>
      <c r="B535" t="s">
        <v>1679</v>
      </c>
    </row>
    <row r="536" spans="1:2" x14ac:dyDescent="0.45">
      <c r="A536">
        <v>3560</v>
      </c>
      <c r="B536" t="s">
        <v>1679</v>
      </c>
    </row>
    <row r="537" spans="1:2" x14ac:dyDescent="0.45">
      <c r="A537">
        <v>3561</v>
      </c>
      <c r="B537" t="s">
        <v>1679</v>
      </c>
    </row>
    <row r="538" spans="1:2" x14ac:dyDescent="0.45">
      <c r="A538">
        <v>3562</v>
      </c>
      <c r="B538" t="s">
        <v>1679</v>
      </c>
    </row>
    <row r="539" spans="1:2" x14ac:dyDescent="0.45">
      <c r="A539">
        <v>3563</v>
      </c>
      <c r="B539" t="s">
        <v>1679</v>
      </c>
    </row>
    <row r="540" spans="1:2" x14ac:dyDescent="0.45">
      <c r="A540">
        <v>3564</v>
      </c>
      <c r="B540" t="s">
        <v>1679</v>
      </c>
    </row>
    <row r="541" spans="1:2" x14ac:dyDescent="0.45">
      <c r="A541">
        <v>3565</v>
      </c>
      <c r="B541" t="s">
        <v>1679</v>
      </c>
    </row>
    <row r="542" spans="1:2" x14ac:dyDescent="0.45">
      <c r="A542">
        <v>3566</v>
      </c>
      <c r="B542" t="s">
        <v>1679</v>
      </c>
    </row>
    <row r="543" spans="1:2" x14ac:dyDescent="0.45">
      <c r="A543">
        <v>3567</v>
      </c>
      <c r="B543" t="s">
        <v>1679</v>
      </c>
    </row>
    <row r="544" spans="1:2" x14ac:dyDescent="0.45">
      <c r="A544">
        <v>3568</v>
      </c>
      <c r="B544" t="s">
        <v>1679</v>
      </c>
    </row>
    <row r="545" spans="1:2" x14ac:dyDescent="0.45">
      <c r="A545">
        <v>3569</v>
      </c>
      <c r="B545" t="s">
        <v>1679</v>
      </c>
    </row>
    <row r="546" spans="1:2" x14ac:dyDescent="0.45">
      <c r="A546">
        <v>3570</v>
      </c>
      <c r="B546" t="s">
        <v>1679</v>
      </c>
    </row>
    <row r="547" spans="1:2" x14ac:dyDescent="0.45">
      <c r="A547">
        <v>3571</v>
      </c>
      <c r="B547" t="s">
        <v>1680</v>
      </c>
    </row>
    <row r="548" spans="1:2" x14ac:dyDescent="0.45">
      <c r="A548">
        <v>3572</v>
      </c>
      <c r="B548" t="s">
        <v>1680</v>
      </c>
    </row>
    <row r="549" spans="1:2" x14ac:dyDescent="0.45">
      <c r="A549">
        <v>3575</v>
      </c>
      <c r="B549" t="s">
        <v>1680</v>
      </c>
    </row>
    <row r="550" spans="1:2" x14ac:dyDescent="0.45">
      <c r="A550">
        <v>3576</v>
      </c>
      <c r="B550" t="s">
        <v>1680</v>
      </c>
    </row>
    <row r="551" spans="1:2" x14ac:dyDescent="0.45">
      <c r="A551">
        <v>3577</v>
      </c>
      <c r="B551" t="s">
        <v>1680</v>
      </c>
    </row>
    <row r="552" spans="1:2" x14ac:dyDescent="0.45">
      <c r="A552">
        <v>3578</v>
      </c>
      <c r="B552" t="s">
        <v>1680</v>
      </c>
    </row>
    <row r="553" spans="1:2" x14ac:dyDescent="0.45">
      <c r="A553">
        <v>3579</v>
      </c>
      <c r="B553" t="s">
        <v>1680</v>
      </c>
    </row>
    <row r="554" spans="1:2" x14ac:dyDescent="0.45">
      <c r="A554">
        <v>3580</v>
      </c>
      <c r="B554" t="s">
        <v>1680</v>
      </c>
    </row>
    <row r="555" spans="1:2" x14ac:dyDescent="0.45">
      <c r="A555">
        <v>3581</v>
      </c>
      <c r="B555" t="s">
        <v>1679</v>
      </c>
    </row>
    <row r="556" spans="1:2" x14ac:dyDescent="0.45">
      <c r="A556">
        <v>3582</v>
      </c>
      <c r="B556" t="s">
        <v>1679</v>
      </c>
    </row>
    <row r="557" spans="1:2" x14ac:dyDescent="0.45">
      <c r="A557">
        <v>3585</v>
      </c>
      <c r="B557" t="s">
        <v>1679</v>
      </c>
    </row>
    <row r="558" spans="1:2" x14ac:dyDescent="0.45">
      <c r="A558">
        <v>3586</v>
      </c>
      <c r="B558" t="s">
        <v>1679</v>
      </c>
    </row>
    <row r="559" spans="1:2" x14ac:dyDescent="0.45">
      <c r="A559">
        <v>3589</v>
      </c>
      <c r="B559" t="s">
        <v>1679</v>
      </c>
    </row>
    <row r="560" spans="1:2" x14ac:dyDescent="0.45">
      <c r="A560">
        <v>3590</v>
      </c>
      <c r="B560" t="s">
        <v>1679</v>
      </c>
    </row>
    <row r="561" spans="1:2" x14ac:dyDescent="0.45">
      <c r="A561">
        <v>3592</v>
      </c>
      <c r="B561" t="s">
        <v>1679</v>
      </c>
    </row>
    <row r="562" spans="1:2" x14ac:dyDescent="0.45">
      <c r="A562">
        <v>3593</v>
      </c>
      <c r="B562" t="s">
        <v>1679</v>
      </c>
    </row>
    <row r="563" spans="1:2" x14ac:dyDescent="0.45">
      <c r="A563">
        <v>3594</v>
      </c>
      <c r="B563" t="s">
        <v>1679</v>
      </c>
    </row>
    <row r="564" spans="1:2" x14ac:dyDescent="0.45">
      <c r="A564">
        <v>3596</v>
      </c>
      <c r="B564" t="s">
        <v>1679</v>
      </c>
    </row>
    <row r="565" spans="1:2" x14ac:dyDescent="0.45">
      <c r="A565">
        <v>3599</v>
      </c>
      <c r="B565" t="s">
        <v>1679</v>
      </c>
    </row>
    <row r="566" spans="1:2" x14ac:dyDescent="0.45">
      <c r="A566">
        <v>3600</v>
      </c>
      <c r="B566" t="s">
        <v>1679</v>
      </c>
    </row>
    <row r="567" spans="1:2" x14ac:dyDescent="0.45">
      <c r="A567">
        <v>3612</v>
      </c>
      <c r="B567" t="s">
        <v>1679</v>
      </c>
    </row>
    <row r="568" spans="1:2" x14ac:dyDescent="0.45">
      <c r="A568">
        <v>3613</v>
      </c>
      <c r="B568" t="s">
        <v>1679</v>
      </c>
    </row>
    <row r="569" spans="1:2" x14ac:dyDescent="0.45">
      <c r="A569">
        <v>3620</v>
      </c>
      <c r="B569" t="s">
        <v>1679</v>
      </c>
    </row>
    <row r="570" spans="1:2" x14ac:dyDescent="0.45">
      <c r="A570">
        <v>3621</v>
      </c>
      <c r="B570" t="s">
        <v>1679</v>
      </c>
    </row>
    <row r="571" spans="1:2" x14ac:dyDescent="0.45">
      <c r="A571">
        <v>3624</v>
      </c>
      <c r="B571" t="s">
        <v>1679</v>
      </c>
    </row>
    <row r="572" spans="1:2" x14ac:dyDescent="0.45">
      <c r="A572">
        <v>3625</v>
      </c>
      <c r="B572" t="s">
        <v>1679</v>
      </c>
    </row>
    <row r="573" spans="1:2" x14ac:dyDescent="0.45">
      <c r="A573">
        <v>3629</v>
      </c>
      <c r="B573" t="s">
        <v>1679</v>
      </c>
    </row>
    <row r="574" spans="1:2" x14ac:dyDescent="0.45">
      <c r="A574">
        <v>3630</v>
      </c>
      <c r="B574" t="s">
        <v>1681</v>
      </c>
    </row>
    <row r="575" spans="1:2" x14ac:dyDescent="0.45">
      <c r="A575">
        <v>3631</v>
      </c>
      <c r="B575" t="s">
        <v>1681</v>
      </c>
    </row>
    <row r="576" spans="1:2" x14ac:dyDescent="0.45">
      <c r="A576">
        <v>3632</v>
      </c>
      <c r="B576" t="s">
        <v>1681</v>
      </c>
    </row>
    <row r="577" spans="1:2" x14ac:dyDescent="0.45">
      <c r="A577">
        <v>3633</v>
      </c>
      <c r="B577" t="s">
        <v>1681</v>
      </c>
    </row>
    <row r="578" spans="1:2" x14ac:dyDescent="0.45">
      <c r="A578">
        <v>3634</v>
      </c>
      <c r="B578" t="s">
        <v>1681</v>
      </c>
    </row>
    <row r="579" spans="1:2" x14ac:dyDescent="0.45">
      <c r="A579">
        <v>3635</v>
      </c>
      <c r="B579" t="s">
        <v>1681</v>
      </c>
    </row>
    <row r="580" spans="1:2" x14ac:dyDescent="0.45">
      <c r="A580">
        <v>3639</v>
      </c>
      <c r="B580" t="s">
        <v>1681</v>
      </c>
    </row>
    <row r="581" spans="1:2" x14ac:dyDescent="0.45">
      <c r="A581">
        <v>3640</v>
      </c>
      <c r="B581" t="s">
        <v>1673</v>
      </c>
    </row>
    <row r="582" spans="1:2" x14ac:dyDescent="0.45">
      <c r="A582">
        <v>3641</v>
      </c>
      <c r="B582" t="s">
        <v>1673</v>
      </c>
    </row>
    <row r="583" spans="1:2" x14ac:dyDescent="0.45">
      <c r="A583">
        <v>3643</v>
      </c>
      <c r="B583" t="s">
        <v>1682</v>
      </c>
    </row>
    <row r="584" spans="1:2" x14ac:dyDescent="0.45">
      <c r="A584">
        <v>3644</v>
      </c>
      <c r="B584" t="s">
        <v>1682</v>
      </c>
    </row>
    <row r="585" spans="1:2" x14ac:dyDescent="0.45">
      <c r="A585">
        <v>3645</v>
      </c>
      <c r="B585" t="s">
        <v>1673</v>
      </c>
    </row>
    <row r="586" spans="1:2" x14ac:dyDescent="0.45">
      <c r="A586">
        <v>3646</v>
      </c>
      <c r="B586" t="s">
        <v>1673</v>
      </c>
    </row>
    <row r="587" spans="1:2" x14ac:dyDescent="0.45">
      <c r="A587">
        <v>3647</v>
      </c>
      <c r="B587" t="s">
        <v>1673</v>
      </c>
    </row>
    <row r="588" spans="1:2" x14ac:dyDescent="0.45">
      <c r="A588">
        <v>3648</v>
      </c>
      <c r="B588" t="s">
        <v>1673</v>
      </c>
    </row>
    <row r="589" spans="1:2" x14ac:dyDescent="0.45">
      <c r="A589">
        <v>3651</v>
      </c>
      <c r="B589" t="s">
        <v>1682</v>
      </c>
    </row>
    <row r="590" spans="1:2" x14ac:dyDescent="0.45">
      <c r="A590">
        <v>3652</v>
      </c>
      <c r="B590" t="s">
        <v>1673</v>
      </c>
    </row>
    <row r="591" spans="1:2" x14ac:dyDescent="0.45">
      <c r="A591">
        <v>3661</v>
      </c>
      <c r="B591" t="s">
        <v>1682</v>
      </c>
    </row>
    <row r="592" spans="1:2" x14ac:dyDescent="0.45">
      <c r="A592">
        <v>3663</v>
      </c>
      <c r="B592" t="s">
        <v>1682</v>
      </c>
    </row>
    <row r="593" spans="1:2" x14ac:dyDescent="0.45">
      <c r="A593">
        <v>3669</v>
      </c>
      <c r="B593" t="s">
        <v>1682</v>
      </c>
    </row>
    <row r="594" spans="1:2" x14ac:dyDescent="0.45">
      <c r="A594">
        <v>3670</v>
      </c>
      <c r="B594" t="s">
        <v>1682</v>
      </c>
    </row>
    <row r="595" spans="1:2" x14ac:dyDescent="0.45">
      <c r="A595">
        <v>3671</v>
      </c>
      <c r="B595" t="s">
        <v>1682</v>
      </c>
    </row>
    <row r="596" spans="1:2" x14ac:dyDescent="0.45">
      <c r="A596">
        <v>3672</v>
      </c>
      <c r="B596" t="s">
        <v>1682</v>
      </c>
    </row>
    <row r="597" spans="1:2" x14ac:dyDescent="0.45">
      <c r="A597">
        <v>3674</v>
      </c>
      <c r="B597" t="s">
        <v>1682</v>
      </c>
    </row>
    <row r="598" spans="1:2" x14ac:dyDescent="0.45">
      <c r="A598">
        <v>3675</v>
      </c>
      <c r="B598" t="s">
        <v>1682</v>
      </c>
    </row>
    <row r="599" spans="1:2" x14ac:dyDescent="0.45">
      <c r="A599">
        <v>3676</v>
      </c>
      <c r="B599" t="s">
        <v>1682</v>
      </c>
    </row>
    <row r="600" spans="1:2" x14ac:dyDescent="0.45">
      <c r="A600">
        <v>3677</v>
      </c>
      <c r="B600" t="s">
        <v>1682</v>
      </c>
    </row>
    <row r="601" spans="1:2" x14ac:dyDescent="0.45">
      <c r="A601">
        <v>3678</v>
      </c>
      <c r="B601" t="s">
        <v>1682</v>
      </c>
    </row>
    <row r="602" spans="1:2" x14ac:dyDescent="0.45">
      <c r="A602">
        <v>3679</v>
      </c>
      <c r="B602" t="s">
        <v>1682</v>
      </c>
    </row>
    <row r="603" spans="1:2" x14ac:dyDescent="0.45">
      <c r="A603">
        <v>3690</v>
      </c>
      <c r="B603" t="s">
        <v>1682</v>
      </c>
    </row>
    <row r="604" spans="1:2" x14ac:dyDescent="0.45">
      <c r="A604">
        <v>3691</v>
      </c>
      <c r="B604" t="s">
        <v>1682</v>
      </c>
    </row>
    <row r="605" spans="1:2" x14ac:dyDescent="0.45">
      <c r="A605">
        <v>3692</v>
      </c>
      <c r="B605" t="s">
        <v>1682</v>
      </c>
    </row>
    <row r="606" spans="1:2" x14ac:dyDescent="0.45">
      <c r="A606">
        <v>3694</v>
      </c>
      <c r="B606" t="s">
        <v>1682</v>
      </c>
    </row>
    <row r="607" spans="1:2" x14ac:dyDescent="0.45">
      <c r="A607">
        <v>3695</v>
      </c>
      <c r="B607" t="s">
        <v>1682</v>
      </c>
    </row>
    <row r="608" spans="1:2" x14ac:dyDescent="0.45">
      <c r="A608">
        <v>3699</v>
      </c>
      <c r="B608" t="s">
        <v>1682</v>
      </c>
    </row>
    <row r="609" spans="1:2" x14ac:dyDescent="0.45">
      <c r="A609">
        <v>3711</v>
      </c>
      <c r="B609" t="s">
        <v>1673</v>
      </c>
    </row>
    <row r="610" spans="1:2" x14ac:dyDescent="0.45">
      <c r="A610">
        <v>3713</v>
      </c>
      <c r="B610" t="s">
        <v>1673</v>
      </c>
    </row>
    <row r="611" spans="1:2" x14ac:dyDescent="0.45">
      <c r="A611">
        <v>3714</v>
      </c>
      <c r="B611" t="s">
        <v>1673</v>
      </c>
    </row>
    <row r="612" spans="1:2" x14ac:dyDescent="0.45">
      <c r="A612">
        <v>3715</v>
      </c>
      <c r="B612" t="s">
        <v>1673</v>
      </c>
    </row>
    <row r="613" spans="1:2" x14ac:dyDescent="0.45">
      <c r="A613">
        <v>3716</v>
      </c>
      <c r="B613" t="s">
        <v>1673</v>
      </c>
    </row>
    <row r="614" spans="1:2" x14ac:dyDescent="0.45">
      <c r="A614">
        <v>3720</v>
      </c>
      <c r="B614" t="s">
        <v>1673</v>
      </c>
    </row>
    <row r="615" spans="1:2" x14ac:dyDescent="0.45">
      <c r="A615">
        <v>3721</v>
      </c>
      <c r="B615" t="s">
        <v>1673</v>
      </c>
    </row>
    <row r="616" spans="1:2" x14ac:dyDescent="0.45">
      <c r="A616">
        <v>3724</v>
      </c>
      <c r="B616" t="s">
        <v>1673</v>
      </c>
    </row>
    <row r="617" spans="1:2" x14ac:dyDescent="0.45">
      <c r="A617">
        <v>3728</v>
      </c>
      <c r="B617" t="s">
        <v>1673</v>
      </c>
    </row>
    <row r="618" spans="1:2" x14ac:dyDescent="0.45">
      <c r="A618">
        <v>3730</v>
      </c>
      <c r="B618" t="s">
        <v>1673</v>
      </c>
    </row>
    <row r="619" spans="1:2" x14ac:dyDescent="0.45">
      <c r="A619">
        <v>3731</v>
      </c>
      <c r="B619" t="s">
        <v>1673</v>
      </c>
    </row>
    <row r="620" spans="1:2" x14ac:dyDescent="0.45">
      <c r="A620">
        <v>3732</v>
      </c>
      <c r="B620" t="s">
        <v>1673</v>
      </c>
    </row>
    <row r="621" spans="1:2" x14ac:dyDescent="0.45">
      <c r="A621">
        <v>3743</v>
      </c>
      <c r="B621" t="s">
        <v>1673</v>
      </c>
    </row>
    <row r="622" spans="1:2" x14ac:dyDescent="0.45">
      <c r="A622">
        <v>3751</v>
      </c>
      <c r="B622" t="s">
        <v>1673</v>
      </c>
    </row>
    <row r="623" spans="1:2" x14ac:dyDescent="0.45">
      <c r="A623">
        <v>3760</v>
      </c>
      <c r="B623" t="s">
        <v>1673</v>
      </c>
    </row>
    <row r="624" spans="1:2" x14ac:dyDescent="0.45">
      <c r="A624">
        <v>3761</v>
      </c>
      <c r="B624" t="s">
        <v>1673</v>
      </c>
    </row>
    <row r="625" spans="1:2" x14ac:dyDescent="0.45">
      <c r="A625">
        <v>3764</v>
      </c>
      <c r="B625" t="s">
        <v>1673</v>
      </c>
    </row>
    <row r="626" spans="1:2" x14ac:dyDescent="0.45">
      <c r="A626">
        <v>3769</v>
      </c>
      <c r="B626" t="s">
        <v>1673</v>
      </c>
    </row>
    <row r="627" spans="1:2" x14ac:dyDescent="0.45">
      <c r="A627">
        <v>3790</v>
      </c>
      <c r="B627" t="s">
        <v>1673</v>
      </c>
    </row>
    <row r="628" spans="1:2" x14ac:dyDescent="0.45">
      <c r="A628">
        <v>3792</v>
      </c>
      <c r="B628" t="s">
        <v>1673</v>
      </c>
    </row>
    <row r="629" spans="1:2" x14ac:dyDescent="0.45">
      <c r="A629">
        <v>3795</v>
      </c>
      <c r="B629" t="s">
        <v>1673</v>
      </c>
    </row>
    <row r="630" spans="1:2" x14ac:dyDescent="0.45">
      <c r="A630">
        <v>3799</v>
      </c>
      <c r="B630" t="s">
        <v>1673</v>
      </c>
    </row>
    <row r="631" spans="1:2" x14ac:dyDescent="0.45">
      <c r="A631">
        <v>3812</v>
      </c>
      <c r="B631" t="s">
        <v>1673</v>
      </c>
    </row>
    <row r="632" spans="1:2" x14ac:dyDescent="0.45">
      <c r="A632">
        <v>3821</v>
      </c>
      <c r="B632" t="s">
        <v>1673</v>
      </c>
    </row>
    <row r="633" spans="1:2" x14ac:dyDescent="0.45">
      <c r="A633">
        <v>3822</v>
      </c>
      <c r="B633" t="s">
        <v>1673</v>
      </c>
    </row>
    <row r="634" spans="1:2" x14ac:dyDescent="0.45">
      <c r="A634">
        <v>3823</v>
      </c>
      <c r="B634" t="s">
        <v>1673</v>
      </c>
    </row>
    <row r="635" spans="1:2" x14ac:dyDescent="0.45">
      <c r="A635">
        <v>3824</v>
      </c>
      <c r="B635" t="s">
        <v>1673</v>
      </c>
    </row>
    <row r="636" spans="1:2" x14ac:dyDescent="0.45">
      <c r="A636">
        <v>3825</v>
      </c>
      <c r="B636" t="s">
        <v>1673</v>
      </c>
    </row>
    <row r="637" spans="1:2" x14ac:dyDescent="0.45">
      <c r="A637">
        <v>3826</v>
      </c>
      <c r="B637" t="s">
        <v>1673</v>
      </c>
    </row>
    <row r="638" spans="1:2" x14ac:dyDescent="0.45">
      <c r="A638">
        <v>3827</v>
      </c>
      <c r="B638" t="s">
        <v>1673</v>
      </c>
    </row>
    <row r="639" spans="1:2" x14ac:dyDescent="0.45">
      <c r="A639">
        <v>3829</v>
      </c>
      <c r="B639" t="s">
        <v>1673</v>
      </c>
    </row>
    <row r="640" spans="1:2" x14ac:dyDescent="0.45">
      <c r="A640">
        <v>3841</v>
      </c>
      <c r="B640" t="s">
        <v>1673</v>
      </c>
    </row>
    <row r="641" spans="1:2" x14ac:dyDescent="0.45">
      <c r="A641">
        <v>3842</v>
      </c>
      <c r="B641" t="s">
        <v>1673</v>
      </c>
    </row>
    <row r="642" spans="1:2" x14ac:dyDescent="0.45">
      <c r="A642">
        <v>3843</v>
      </c>
      <c r="B642" t="s">
        <v>1673</v>
      </c>
    </row>
    <row r="643" spans="1:2" x14ac:dyDescent="0.45">
      <c r="A643">
        <v>3844</v>
      </c>
      <c r="B643" t="s">
        <v>1673</v>
      </c>
    </row>
    <row r="644" spans="1:2" x14ac:dyDescent="0.45">
      <c r="A644">
        <v>3845</v>
      </c>
      <c r="B644" t="s">
        <v>1673</v>
      </c>
    </row>
    <row r="645" spans="1:2" x14ac:dyDescent="0.45">
      <c r="A645">
        <v>3851</v>
      </c>
      <c r="B645" t="s">
        <v>1673</v>
      </c>
    </row>
    <row r="646" spans="1:2" x14ac:dyDescent="0.45">
      <c r="A646">
        <v>3861</v>
      </c>
      <c r="B646" t="s">
        <v>1673</v>
      </c>
    </row>
    <row r="647" spans="1:2" x14ac:dyDescent="0.45">
      <c r="A647">
        <v>3873</v>
      </c>
      <c r="B647" t="s">
        <v>1673</v>
      </c>
    </row>
    <row r="648" spans="1:2" x14ac:dyDescent="0.45">
      <c r="A648">
        <v>3910</v>
      </c>
      <c r="B648" t="s">
        <v>1673</v>
      </c>
    </row>
    <row r="649" spans="1:2" x14ac:dyDescent="0.45">
      <c r="A649">
        <v>3911</v>
      </c>
      <c r="B649" t="s">
        <v>1673</v>
      </c>
    </row>
    <row r="650" spans="1:2" x14ac:dyDescent="0.45">
      <c r="A650">
        <v>3914</v>
      </c>
      <c r="B650" t="s">
        <v>1673</v>
      </c>
    </row>
    <row r="651" spans="1:2" x14ac:dyDescent="0.45">
      <c r="A651">
        <v>3915</v>
      </c>
      <c r="B651" t="s">
        <v>1673</v>
      </c>
    </row>
    <row r="652" spans="1:2" x14ac:dyDescent="0.45">
      <c r="A652">
        <v>3931</v>
      </c>
      <c r="B652" t="s">
        <v>1673</v>
      </c>
    </row>
    <row r="653" spans="1:2" x14ac:dyDescent="0.45">
      <c r="A653">
        <v>3942</v>
      </c>
      <c r="B653" t="s">
        <v>1673</v>
      </c>
    </row>
    <row r="654" spans="1:2" x14ac:dyDescent="0.45">
      <c r="A654">
        <v>3944</v>
      </c>
      <c r="B654" t="s">
        <v>1673</v>
      </c>
    </row>
    <row r="655" spans="1:2" x14ac:dyDescent="0.45">
      <c r="A655">
        <v>3949</v>
      </c>
      <c r="B655" t="s">
        <v>1673</v>
      </c>
    </row>
    <row r="656" spans="1:2" x14ac:dyDescent="0.45">
      <c r="A656">
        <v>3950</v>
      </c>
      <c r="B656" t="s">
        <v>1673</v>
      </c>
    </row>
    <row r="657" spans="1:2" x14ac:dyDescent="0.45">
      <c r="A657">
        <v>3951</v>
      </c>
      <c r="B657" t="s">
        <v>1673</v>
      </c>
    </row>
    <row r="658" spans="1:2" x14ac:dyDescent="0.45">
      <c r="A658">
        <v>3952</v>
      </c>
      <c r="B658" t="s">
        <v>1673</v>
      </c>
    </row>
    <row r="659" spans="1:2" x14ac:dyDescent="0.45">
      <c r="A659">
        <v>3953</v>
      </c>
      <c r="B659" t="s">
        <v>1673</v>
      </c>
    </row>
    <row r="660" spans="1:2" x14ac:dyDescent="0.45">
      <c r="A660">
        <v>3955</v>
      </c>
      <c r="B660" t="s">
        <v>1673</v>
      </c>
    </row>
    <row r="661" spans="1:2" x14ac:dyDescent="0.45">
      <c r="A661">
        <v>3960</v>
      </c>
      <c r="B661" t="s">
        <v>1673</v>
      </c>
    </row>
    <row r="662" spans="1:2" x14ac:dyDescent="0.45">
      <c r="A662">
        <v>3961</v>
      </c>
      <c r="B662" t="s">
        <v>1673</v>
      </c>
    </row>
    <row r="663" spans="1:2" x14ac:dyDescent="0.45">
      <c r="A663">
        <v>3965</v>
      </c>
      <c r="B663" t="s">
        <v>1673</v>
      </c>
    </row>
    <row r="664" spans="1:2" x14ac:dyDescent="0.45">
      <c r="A664">
        <v>3990</v>
      </c>
      <c r="B664" t="s">
        <v>1673</v>
      </c>
    </row>
    <row r="665" spans="1:2" x14ac:dyDescent="0.45">
      <c r="A665">
        <v>3991</v>
      </c>
      <c r="B665" t="s">
        <v>1673</v>
      </c>
    </row>
    <row r="666" spans="1:2" x14ac:dyDescent="0.45">
      <c r="A666">
        <v>3993</v>
      </c>
      <c r="B666" t="s">
        <v>1673</v>
      </c>
    </row>
    <row r="667" spans="1:2" x14ac:dyDescent="0.45">
      <c r="A667">
        <v>3995</v>
      </c>
      <c r="B667" t="s">
        <v>1673</v>
      </c>
    </row>
    <row r="668" spans="1:2" x14ac:dyDescent="0.45">
      <c r="A668">
        <v>3996</v>
      </c>
      <c r="B668" t="s">
        <v>1673</v>
      </c>
    </row>
    <row r="669" spans="1:2" x14ac:dyDescent="0.45">
      <c r="A669">
        <v>3999</v>
      </c>
      <c r="B669" t="s">
        <v>1673</v>
      </c>
    </row>
    <row r="670" spans="1:2" x14ac:dyDescent="0.45">
      <c r="A670">
        <v>4011</v>
      </c>
      <c r="B670" t="s">
        <v>1683</v>
      </c>
    </row>
    <row r="671" spans="1:2" x14ac:dyDescent="0.45">
      <c r="A671">
        <v>4013</v>
      </c>
      <c r="B671" t="s">
        <v>1683</v>
      </c>
    </row>
    <row r="672" spans="1:2" x14ac:dyDescent="0.45">
      <c r="A672">
        <v>4100</v>
      </c>
      <c r="B672" t="s">
        <v>1683</v>
      </c>
    </row>
    <row r="673" spans="1:2" x14ac:dyDescent="0.45">
      <c r="A673">
        <v>4111</v>
      </c>
      <c r="B673" t="s">
        <v>1683</v>
      </c>
    </row>
    <row r="674" spans="1:2" x14ac:dyDescent="0.45">
      <c r="A674">
        <v>4119</v>
      </c>
      <c r="B674" t="s">
        <v>1683</v>
      </c>
    </row>
    <row r="675" spans="1:2" x14ac:dyDescent="0.45">
      <c r="A675">
        <v>4121</v>
      </c>
      <c r="B675" t="s">
        <v>1683</v>
      </c>
    </row>
    <row r="676" spans="1:2" x14ac:dyDescent="0.45">
      <c r="A676">
        <v>4131</v>
      </c>
      <c r="B676" t="s">
        <v>1683</v>
      </c>
    </row>
    <row r="677" spans="1:2" x14ac:dyDescent="0.45">
      <c r="A677">
        <v>4141</v>
      </c>
      <c r="B677" t="s">
        <v>1683</v>
      </c>
    </row>
    <row r="678" spans="1:2" x14ac:dyDescent="0.45">
      <c r="A678">
        <v>4142</v>
      </c>
      <c r="B678" t="s">
        <v>1683</v>
      </c>
    </row>
    <row r="679" spans="1:2" x14ac:dyDescent="0.45">
      <c r="A679">
        <v>4151</v>
      </c>
      <c r="B679" t="s">
        <v>1683</v>
      </c>
    </row>
    <row r="680" spans="1:2" x14ac:dyDescent="0.45">
      <c r="A680">
        <v>4173</v>
      </c>
      <c r="B680" t="s">
        <v>1683</v>
      </c>
    </row>
    <row r="681" spans="1:2" x14ac:dyDescent="0.45">
      <c r="A681">
        <v>4210</v>
      </c>
      <c r="B681" t="s">
        <v>1684</v>
      </c>
    </row>
    <row r="682" spans="1:2" x14ac:dyDescent="0.45">
      <c r="A682">
        <v>4212</v>
      </c>
      <c r="B682" t="s">
        <v>1684</v>
      </c>
    </row>
    <row r="683" spans="1:2" x14ac:dyDescent="0.45">
      <c r="A683">
        <v>4213</v>
      </c>
      <c r="B683" t="s">
        <v>1684</v>
      </c>
    </row>
    <row r="684" spans="1:2" x14ac:dyDescent="0.45">
      <c r="A684">
        <v>4214</v>
      </c>
      <c r="B684" t="s">
        <v>1684</v>
      </c>
    </row>
    <row r="685" spans="1:2" x14ac:dyDescent="0.45">
      <c r="A685">
        <v>4215</v>
      </c>
      <c r="B685" t="s">
        <v>1683</v>
      </c>
    </row>
    <row r="686" spans="1:2" x14ac:dyDescent="0.45">
      <c r="A686">
        <v>4220</v>
      </c>
      <c r="B686" t="s">
        <v>1665</v>
      </c>
    </row>
    <row r="687" spans="1:2" x14ac:dyDescent="0.45">
      <c r="A687">
        <v>4221</v>
      </c>
      <c r="B687" t="s">
        <v>1665</v>
      </c>
    </row>
    <row r="688" spans="1:2" x14ac:dyDescent="0.45">
      <c r="A688">
        <v>4222</v>
      </c>
      <c r="B688" t="s">
        <v>1665</v>
      </c>
    </row>
    <row r="689" spans="1:2" x14ac:dyDescent="0.45">
      <c r="A689">
        <v>4225</v>
      </c>
      <c r="B689" t="s">
        <v>1665</v>
      </c>
    </row>
    <row r="690" spans="1:2" x14ac:dyDescent="0.45">
      <c r="A690">
        <v>4226</v>
      </c>
      <c r="B690" t="s">
        <v>1665</v>
      </c>
    </row>
    <row r="691" spans="1:2" x14ac:dyDescent="0.45">
      <c r="A691">
        <v>4231</v>
      </c>
      <c r="B691" t="s">
        <v>1684</v>
      </c>
    </row>
    <row r="692" spans="1:2" x14ac:dyDescent="0.45">
      <c r="A692">
        <v>4311</v>
      </c>
      <c r="B692" t="s">
        <v>1683</v>
      </c>
    </row>
    <row r="693" spans="1:2" x14ac:dyDescent="0.45">
      <c r="A693">
        <v>4400</v>
      </c>
      <c r="B693" t="s">
        <v>1683</v>
      </c>
    </row>
    <row r="694" spans="1:2" x14ac:dyDescent="0.45">
      <c r="A694">
        <v>4412</v>
      </c>
      <c r="B694" t="s">
        <v>1683</v>
      </c>
    </row>
    <row r="695" spans="1:2" x14ac:dyDescent="0.45">
      <c r="A695">
        <v>4424</v>
      </c>
      <c r="B695" t="s">
        <v>1683</v>
      </c>
    </row>
    <row r="696" spans="1:2" x14ac:dyDescent="0.45">
      <c r="A696">
        <v>4432</v>
      </c>
      <c r="B696" t="s">
        <v>1683</v>
      </c>
    </row>
    <row r="697" spans="1:2" x14ac:dyDescent="0.45">
      <c r="A697">
        <v>4449</v>
      </c>
      <c r="B697" t="s">
        <v>1683</v>
      </c>
    </row>
    <row r="698" spans="1:2" x14ac:dyDescent="0.45">
      <c r="A698">
        <v>4481</v>
      </c>
      <c r="B698" t="s">
        <v>1683</v>
      </c>
    </row>
    <row r="699" spans="1:2" x14ac:dyDescent="0.45">
      <c r="A699">
        <v>4482</v>
      </c>
      <c r="B699" t="s">
        <v>1683</v>
      </c>
    </row>
    <row r="700" spans="1:2" x14ac:dyDescent="0.45">
      <c r="A700">
        <v>4489</v>
      </c>
      <c r="B700" t="s">
        <v>1683</v>
      </c>
    </row>
    <row r="701" spans="1:2" x14ac:dyDescent="0.45">
      <c r="A701">
        <v>4491</v>
      </c>
      <c r="B701" t="s">
        <v>1683</v>
      </c>
    </row>
    <row r="702" spans="1:2" x14ac:dyDescent="0.45">
      <c r="A702">
        <v>4492</v>
      </c>
      <c r="B702" t="s">
        <v>1683</v>
      </c>
    </row>
    <row r="703" spans="1:2" x14ac:dyDescent="0.45">
      <c r="A703">
        <v>4493</v>
      </c>
      <c r="B703" t="s">
        <v>1683</v>
      </c>
    </row>
    <row r="704" spans="1:2" x14ac:dyDescent="0.45">
      <c r="A704">
        <v>4499</v>
      </c>
      <c r="B704" t="s">
        <v>1683</v>
      </c>
    </row>
    <row r="705" spans="1:2" x14ac:dyDescent="0.45">
      <c r="A705">
        <v>4512</v>
      </c>
      <c r="B705" t="s">
        <v>1685</v>
      </c>
    </row>
    <row r="706" spans="1:2" x14ac:dyDescent="0.45">
      <c r="A706">
        <v>4513</v>
      </c>
      <c r="B706" t="s">
        <v>1685</v>
      </c>
    </row>
    <row r="707" spans="1:2" x14ac:dyDescent="0.45">
      <c r="A707">
        <v>4522</v>
      </c>
      <c r="B707" t="s">
        <v>1685</v>
      </c>
    </row>
    <row r="708" spans="1:2" x14ac:dyDescent="0.45">
      <c r="A708">
        <v>4581</v>
      </c>
      <c r="B708" t="s">
        <v>1685</v>
      </c>
    </row>
    <row r="709" spans="1:2" x14ac:dyDescent="0.45">
      <c r="A709">
        <v>4610</v>
      </c>
      <c r="B709" t="s">
        <v>1668</v>
      </c>
    </row>
    <row r="710" spans="1:2" x14ac:dyDescent="0.45">
      <c r="A710">
        <v>4612</v>
      </c>
      <c r="B710" t="s">
        <v>1668</v>
      </c>
    </row>
    <row r="711" spans="1:2" x14ac:dyDescent="0.45">
      <c r="A711">
        <v>4613</v>
      </c>
      <c r="B711" t="s">
        <v>1668</v>
      </c>
    </row>
    <row r="712" spans="1:2" x14ac:dyDescent="0.45">
      <c r="A712">
        <v>4619</v>
      </c>
      <c r="B712" t="s">
        <v>1668</v>
      </c>
    </row>
    <row r="713" spans="1:2" x14ac:dyDescent="0.45">
      <c r="A713">
        <v>4700</v>
      </c>
      <c r="B713" t="s">
        <v>1665</v>
      </c>
    </row>
    <row r="714" spans="1:2" x14ac:dyDescent="0.45">
      <c r="A714">
        <v>4724</v>
      </c>
      <c r="B714" t="s">
        <v>1665</v>
      </c>
    </row>
    <row r="715" spans="1:2" x14ac:dyDescent="0.45">
      <c r="A715">
        <v>4725</v>
      </c>
      <c r="B715" t="s">
        <v>1665</v>
      </c>
    </row>
    <row r="716" spans="1:2" x14ac:dyDescent="0.45">
      <c r="A716">
        <v>4729</v>
      </c>
      <c r="B716" t="s">
        <v>1683</v>
      </c>
    </row>
    <row r="717" spans="1:2" x14ac:dyDescent="0.45">
      <c r="A717">
        <v>4731</v>
      </c>
      <c r="B717" t="s">
        <v>1683</v>
      </c>
    </row>
    <row r="718" spans="1:2" x14ac:dyDescent="0.45">
      <c r="A718">
        <v>4741</v>
      </c>
      <c r="B718" t="s">
        <v>1665</v>
      </c>
    </row>
    <row r="719" spans="1:2" x14ac:dyDescent="0.45">
      <c r="A719">
        <v>4783</v>
      </c>
      <c r="B719" t="s">
        <v>1665</v>
      </c>
    </row>
    <row r="720" spans="1:2" x14ac:dyDescent="0.45">
      <c r="A720">
        <v>4785</v>
      </c>
      <c r="B720" t="s">
        <v>1665</v>
      </c>
    </row>
    <row r="721" spans="1:2" x14ac:dyDescent="0.45">
      <c r="A721">
        <v>4789</v>
      </c>
      <c r="B721" t="s">
        <v>1683</v>
      </c>
    </row>
    <row r="722" spans="1:2" x14ac:dyDescent="0.45">
      <c r="A722">
        <v>4812</v>
      </c>
      <c r="B722" t="s">
        <v>1686</v>
      </c>
    </row>
    <row r="723" spans="1:2" x14ac:dyDescent="0.45">
      <c r="A723">
        <v>4813</v>
      </c>
      <c r="B723" t="s">
        <v>1686</v>
      </c>
    </row>
    <row r="724" spans="1:2" x14ac:dyDescent="0.45">
      <c r="A724">
        <v>4822</v>
      </c>
      <c r="B724" t="s">
        <v>1686</v>
      </c>
    </row>
    <row r="725" spans="1:2" x14ac:dyDescent="0.45">
      <c r="A725">
        <v>4832</v>
      </c>
      <c r="B725" t="s">
        <v>1686</v>
      </c>
    </row>
    <row r="726" spans="1:2" x14ac:dyDescent="0.45">
      <c r="A726">
        <v>4833</v>
      </c>
      <c r="B726" t="s">
        <v>1686</v>
      </c>
    </row>
    <row r="727" spans="1:2" x14ac:dyDescent="0.45">
      <c r="A727">
        <v>4841</v>
      </c>
      <c r="B727" t="s">
        <v>1686</v>
      </c>
    </row>
    <row r="728" spans="1:2" x14ac:dyDescent="0.45">
      <c r="A728">
        <v>4899</v>
      </c>
      <c r="B728" t="s">
        <v>1686</v>
      </c>
    </row>
    <row r="729" spans="1:2" x14ac:dyDescent="0.45">
      <c r="A729">
        <v>4911</v>
      </c>
      <c r="B729" t="s">
        <v>1687</v>
      </c>
    </row>
    <row r="730" spans="1:2" x14ac:dyDescent="0.45">
      <c r="A730">
        <v>4922</v>
      </c>
      <c r="B730" t="s">
        <v>1668</v>
      </c>
    </row>
    <row r="731" spans="1:2" x14ac:dyDescent="0.45">
      <c r="A731">
        <v>4923</v>
      </c>
      <c r="B731" t="s">
        <v>1668</v>
      </c>
    </row>
    <row r="732" spans="1:2" x14ac:dyDescent="0.45">
      <c r="A732">
        <v>4924</v>
      </c>
      <c r="B732" t="s">
        <v>1668</v>
      </c>
    </row>
    <row r="733" spans="1:2" x14ac:dyDescent="0.45">
      <c r="A733">
        <v>4925</v>
      </c>
      <c r="B733" t="s">
        <v>1668</v>
      </c>
    </row>
    <row r="734" spans="1:2" x14ac:dyDescent="0.45">
      <c r="A734">
        <v>4931</v>
      </c>
      <c r="B734" t="s">
        <v>1687</v>
      </c>
    </row>
    <row r="735" spans="1:2" x14ac:dyDescent="0.45">
      <c r="A735">
        <v>4932</v>
      </c>
      <c r="B735" t="s">
        <v>1687</v>
      </c>
    </row>
    <row r="736" spans="1:2" x14ac:dyDescent="0.45">
      <c r="A736">
        <v>4939</v>
      </c>
      <c r="B736" t="s">
        <v>1687</v>
      </c>
    </row>
    <row r="737" spans="1:2" x14ac:dyDescent="0.45">
      <c r="A737">
        <v>4941</v>
      </c>
      <c r="B737" t="s">
        <v>1687</v>
      </c>
    </row>
    <row r="738" spans="1:2" x14ac:dyDescent="0.45">
      <c r="A738">
        <v>4950</v>
      </c>
      <c r="B738" t="s">
        <v>1687</v>
      </c>
    </row>
    <row r="739" spans="1:2" x14ac:dyDescent="0.45">
      <c r="A739">
        <v>4952</v>
      </c>
      <c r="B739" t="s">
        <v>1687</v>
      </c>
    </row>
    <row r="740" spans="1:2" x14ac:dyDescent="0.45">
      <c r="A740">
        <v>4953</v>
      </c>
      <c r="B740" t="s">
        <v>1687</v>
      </c>
    </row>
    <row r="741" spans="1:2" x14ac:dyDescent="0.45">
      <c r="A741">
        <v>4955</v>
      </c>
      <c r="B741" t="s">
        <v>1687</v>
      </c>
    </row>
    <row r="742" spans="1:2" x14ac:dyDescent="0.45">
      <c r="A742">
        <v>4959</v>
      </c>
      <c r="B742" t="s">
        <v>1687</v>
      </c>
    </row>
    <row r="743" spans="1:2" x14ac:dyDescent="0.45">
      <c r="A743">
        <v>4961</v>
      </c>
      <c r="B743" t="s">
        <v>1687</v>
      </c>
    </row>
    <row r="744" spans="1:2" x14ac:dyDescent="0.45">
      <c r="A744">
        <v>4971</v>
      </c>
      <c r="B744" t="s">
        <v>1687</v>
      </c>
    </row>
    <row r="745" spans="1:2" x14ac:dyDescent="0.45">
      <c r="A745">
        <v>4991</v>
      </c>
      <c r="B745" t="s">
        <v>1687</v>
      </c>
    </row>
    <row r="746" spans="1:2" x14ac:dyDescent="0.45">
      <c r="A746">
        <v>5000</v>
      </c>
      <c r="B746" t="s">
        <v>1687</v>
      </c>
    </row>
    <row r="747" spans="1:2" x14ac:dyDescent="0.45">
      <c r="A747">
        <v>5010</v>
      </c>
      <c r="B747" t="s">
        <v>1673</v>
      </c>
    </row>
    <row r="748" spans="1:2" x14ac:dyDescent="0.45">
      <c r="A748">
        <v>5012</v>
      </c>
      <c r="B748" t="s">
        <v>1673</v>
      </c>
    </row>
    <row r="749" spans="1:2" x14ac:dyDescent="0.45">
      <c r="A749">
        <v>5013</v>
      </c>
      <c r="B749" t="s">
        <v>1673</v>
      </c>
    </row>
    <row r="750" spans="1:2" x14ac:dyDescent="0.45">
      <c r="A750">
        <v>5014</v>
      </c>
      <c r="B750" t="s">
        <v>1673</v>
      </c>
    </row>
    <row r="751" spans="1:2" x14ac:dyDescent="0.45">
      <c r="A751">
        <v>5015</v>
      </c>
      <c r="B751" t="s">
        <v>1673</v>
      </c>
    </row>
    <row r="752" spans="1:2" x14ac:dyDescent="0.45">
      <c r="A752">
        <v>5020</v>
      </c>
      <c r="B752" t="s">
        <v>1674</v>
      </c>
    </row>
    <row r="753" spans="1:2" x14ac:dyDescent="0.45">
      <c r="A753">
        <v>5021</v>
      </c>
      <c r="B753" t="s">
        <v>1674</v>
      </c>
    </row>
    <row r="754" spans="1:2" x14ac:dyDescent="0.45">
      <c r="A754">
        <v>5023</v>
      </c>
      <c r="B754" t="s">
        <v>1674</v>
      </c>
    </row>
    <row r="755" spans="1:2" x14ac:dyDescent="0.45">
      <c r="A755">
        <v>5030</v>
      </c>
      <c r="B755" t="s">
        <v>1667</v>
      </c>
    </row>
    <row r="756" spans="1:2" x14ac:dyDescent="0.45">
      <c r="A756">
        <v>5031</v>
      </c>
      <c r="B756" t="s">
        <v>1667</v>
      </c>
    </row>
    <row r="757" spans="1:2" x14ac:dyDescent="0.45">
      <c r="A757">
        <v>5032</v>
      </c>
      <c r="B757" t="s">
        <v>1667</v>
      </c>
    </row>
    <row r="758" spans="1:2" x14ac:dyDescent="0.45">
      <c r="A758">
        <v>5033</v>
      </c>
      <c r="B758" t="s">
        <v>1667</v>
      </c>
    </row>
    <row r="759" spans="1:2" x14ac:dyDescent="0.45">
      <c r="A759">
        <v>5039</v>
      </c>
      <c r="B759" t="s">
        <v>1667</v>
      </c>
    </row>
    <row r="760" spans="1:2" x14ac:dyDescent="0.45">
      <c r="A760">
        <v>5040</v>
      </c>
      <c r="B760" t="s">
        <v>1667</v>
      </c>
    </row>
    <row r="761" spans="1:2" x14ac:dyDescent="0.45">
      <c r="A761">
        <v>5043</v>
      </c>
      <c r="B761" t="s">
        <v>1681</v>
      </c>
    </row>
    <row r="762" spans="1:2" x14ac:dyDescent="0.45">
      <c r="A762">
        <v>5044</v>
      </c>
      <c r="B762" t="s">
        <v>1681</v>
      </c>
    </row>
    <row r="763" spans="1:2" x14ac:dyDescent="0.45">
      <c r="A763">
        <v>5045</v>
      </c>
      <c r="B763" t="s">
        <v>1680</v>
      </c>
    </row>
    <row r="764" spans="1:2" x14ac:dyDescent="0.45">
      <c r="A764">
        <v>5046</v>
      </c>
      <c r="B764" t="s">
        <v>1681</v>
      </c>
    </row>
    <row r="765" spans="1:2" x14ac:dyDescent="0.45">
      <c r="A765">
        <v>5047</v>
      </c>
      <c r="B765" t="s">
        <v>1681</v>
      </c>
    </row>
    <row r="766" spans="1:2" x14ac:dyDescent="0.45">
      <c r="A766">
        <v>5048</v>
      </c>
      <c r="B766" t="s">
        <v>1673</v>
      </c>
    </row>
    <row r="767" spans="1:2" x14ac:dyDescent="0.45">
      <c r="A767">
        <v>5049</v>
      </c>
      <c r="B767" t="s">
        <v>1681</v>
      </c>
    </row>
    <row r="768" spans="1:2" x14ac:dyDescent="0.45">
      <c r="A768">
        <v>5051</v>
      </c>
      <c r="B768" t="s">
        <v>1673</v>
      </c>
    </row>
    <row r="769" spans="1:2" x14ac:dyDescent="0.45">
      <c r="A769">
        <v>5052</v>
      </c>
      <c r="B769" t="s">
        <v>1673</v>
      </c>
    </row>
    <row r="770" spans="1:2" x14ac:dyDescent="0.45">
      <c r="A770">
        <v>5063</v>
      </c>
      <c r="B770" t="s">
        <v>1673</v>
      </c>
    </row>
    <row r="771" spans="1:2" x14ac:dyDescent="0.45">
      <c r="A771">
        <v>5064</v>
      </c>
      <c r="B771" t="s">
        <v>1682</v>
      </c>
    </row>
    <row r="772" spans="1:2" x14ac:dyDescent="0.45">
      <c r="A772">
        <v>5065</v>
      </c>
      <c r="B772" t="s">
        <v>1682</v>
      </c>
    </row>
    <row r="773" spans="1:2" x14ac:dyDescent="0.45">
      <c r="A773">
        <v>5070</v>
      </c>
      <c r="B773" t="s">
        <v>1673</v>
      </c>
    </row>
    <row r="774" spans="1:2" x14ac:dyDescent="0.45">
      <c r="A774">
        <v>5072</v>
      </c>
      <c r="B774" t="s">
        <v>1673</v>
      </c>
    </row>
    <row r="775" spans="1:2" x14ac:dyDescent="0.45">
      <c r="A775">
        <v>5074</v>
      </c>
      <c r="B775" t="s">
        <v>1673</v>
      </c>
    </row>
    <row r="776" spans="1:2" x14ac:dyDescent="0.45">
      <c r="A776">
        <v>5075</v>
      </c>
      <c r="B776" t="s">
        <v>1673</v>
      </c>
    </row>
    <row r="777" spans="1:2" x14ac:dyDescent="0.45">
      <c r="A777">
        <v>5078</v>
      </c>
      <c r="B777" t="s">
        <v>1673</v>
      </c>
    </row>
    <row r="778" spans="1:2" x14ac:dyDescent="0.45">
      <c r="A778">
        <v>5080</v>
      </c>
      <c r="B778" t="s">
        <v>1673</v>
      </c>
    </row>
    <row r="779" spans="1:2" x14ac:dyDescent="0.45">
      <c r="A779">
        <v>5082</v>
      </c>
      <c r="B779" t="s">
        <v>1679</v>
      </c>
    </row>
    <row r="780" spans="1:2" x14ac:dyDescent="0.45">
      <c r="A780">
        <v>5083</v>
      </c>
      <c r="B780" t="s">
        <v>1679</v>
      </c>
    </row>
    <row r="781" spans="1:2" x14ac:dyDescent="0.45">
      <c r="A781">
        <v>5084</v>
      </c>
      <c r="B781" t="s">
        <v>1679</v>
      </c>
    </row>
    <row r="782" spans="1:2" x14ac:dyDescent="0.45">
      <c r="A782">
        <v>5085</v>
      </c>
      <c r="B782" t="s">
        <v>1679</v>
      </c>
    </row>
    <row r="783" spans="1:2" x14ac:dyDescent="0.45">
      <c r="A783">
        <v>5087</v>
      </c>
      <c r="B783" t="s">
        <v>1673</v>
      </c>
    </row>
    <row r="784" spans="1:2" x14ac:dyDescent="0.45">
      <c r="A784">
        <v>5088</v>
      </c>
      <c r="B784" t="s">
        <v>1683</v>
      </c>
    </row>
    <row r="785" spans="1:2" x14ac:dyDescent="0.45">
      <c r="A785">
        <v>5090</v>
      </c>
      <c r="B785" t="s">
        <v>1673</v>
      </c>
    </row>
    <row r="786" spans="1:2" x14ac:dyDescent="0.45">
      <c r="A786">
        <v>5091</v>
      </c>
      <c r="B786" t="s">
        <v>1673</v>
      </c>
    </row>
    <row r="787" spans="1:2" x14ac:dyDescent="0.45">
      <c r="A787">
        <v>5092</v>
      </c>
      <c r="B787" t="s">
        <v>1673</v>
      </c>
    </row>
    <row r="788" spans="1:2" x14ac:dyDescent="0.45">
      <c r="A788">
        <v>5093</v>
      </c>
      <c r="B788" t="s">
        <v>1673</v>
      </c>
    </row>
    <row r="789" spans="1:2" x14ac:dyDescent="0.45">
      <c r="A789">
        <v>5094</v>
      </c>
      <c r="B789" t="s">
        <v>1673</v>
      </c>
    </row>
    <row r="790" spans="1:2" x14ac:dyDescent="0.45">
      <c r="A790">
        <v>5099</v>
      </c>
      <c r="B790" t="s">
        <v>1673</v>
      </c>
    </row>
    <row r="791" spans="1:2" x14ac:dyDescent="0.45">
      <c r="A791">
        <v>5110</v>
      </c>
      <c r="B791" t="s">
        <v>1676</v>
      </c>
    </row>
    <row r="792" spans="1:2" x14ac:dyDescent="0.45">
      <c r="A792">
        <v>5111</v>
      </c>
      <c r="B792" t="s">
        <v>1676</v>
      </c>
    </row>
    <row r="793" spans="1:2" x14ac:dyDescent="0.45">
      <c r="A793">
        <v>5112</v>
      </c>
      <c r="B793" t="s">
        <v>1675</v>
      </c>
    </row>
    <row r="794" spans="1:2" x14ac:dyDescent="0.45">
      <c r="A794">
        <v>5113</v>
      </c>
      <c r="B794" t="s">
        <v>1675</v>
      </c>
    </row>
    <row r="795" spans="1:2" x14ac:dyDescent="0.45">
      <c r="A795">
        <v>5122</v>
      </c>
      <c r="B795" t="s">
        <v>1678</v>
      </c>
    </row>
    <row r="796" spans="1:2" x14ac:dyDescent="0.45">
      <c r="A796">
        <v>5130</v>
      </c>
      <c r="B796" t="s">
        <v>1672</v>
      </c>
    </row>
    <row r="797" spans="1:2" x14ac:dyDescent="0.45">
      <c r="A797">
        <v>5131</v>
      </c>
      <c r="B797" t="s">
        <v>1672</v>
      </c>
    </row>
    <row r="798" spans="1:2" x14ac:dyDescent="0.45">
      <c r="A798">
        <v>5136</v>
      </c>
      <c r="B798" t="s">
        <v>1672</v>
      </c>
    </row>
    <row r="799" spans="1:2" x14ac:dyDescent="0.45">
      <c r="A799">
        <v>5137</v>
      </c>
      <c r="B799" t="s">
        <v>1672</v>
      </c>
    </row>
    <row r="800" spans="1:2" x14ac:dyDescent="0.45">
      <c r="A800">
        <v>5139</v>
      </c>
      <c r="B800" t="s">
        <v>1672</v>
      </c>
    </row>
    <row r="801" spans="1:2" x14ac:dyDescent="0.45">
      <c r="A801">
        <v>5140</v>
      </c>
      <c r="B801" t="s">
        <v>1664</v>
      </c>
    </row>
    <row r="802" spans="1:2" x14ac:dyDescent="0.45">
      <c r="A802">
        <v>5141</v>
      </c>
      <c r="B802" t="s">
        <v>1664</v>
      </c>
    </row>
    <row r="803" spans="1:2" x14ac:dyDescent="0.45">
      <c r="A803">
        <v>5142</v>
      </c>
      <c r="B803" t="s">
        <v>1664</v>
      </c>
    </row>
    <row r="804" spans="1:2" x14ac:dyDescent="0.45">
      <c r="A804">
        <v>5143</v>
      </c>
      <c r="B804" t="s">
        <v>1664</v>
      </c>
    </row>
    <row r="805" spans="1:2" x14ac:dyDescent="0.45">
      <c r="A805">
        <v>5144</v>
      </c>
      <c r="B805" t="s">
        <v>1664</v>
      </c>
    </row>
    <row r="806" spans="1:2" x14ac:dyDescent="0.45">
      <c r="A806">
        <v>5145</v>
      </c>
      <c r="B806" t="s">
        <v>1664</v>
      </c>
    </row>
    <row r="807" spans="1:2" x14ac:dyDescent="0.45">
      <c r="A807">
        <v>5146</v>
      </c>
      <c r="B807" t="s">
        <v>1664</v>
      </c>
    </row>
    <row r="808" spans="1:2" x14ac:dyDescent="0.45">
      <c r="A808">
        <v>5147</v>
      </c>
      <c r="B808" t="s">
        <v>1664</v>
      </c>
    </row>
    <row r="809" spans="1:2" x14ac:dyDescent="0.45">
      <c r="A809">
        <v>5148</v>
      </c>
      <c r="B809" t="s">
        <v>1664</v>
      </c>
    </row>
    <row r="810" spans="1:2" x14ac:dyDescent="0.45">
      <c r="A810">
        <v>5149</v>
      </c>
      <c r="B810" t="s">
        <v>1664</v>
      </c>
    </row>
    <row r="811" spans="1:2" x14ac:dyDescent="0.45">
      <c r="A811">
        <v>5150</v>
      </c>
      <c r="B811" t="s">
        <v>1664</v>
      </c>
    </row>
    <row r="812" spans="1:2" x14ac:dyDescent="0.45">
      <c r="A812">
        <v>5153</v>
      </c>
      <c r="B812" t="s">
        <v>1664</v>
      </c>
    </row>
    <row r="813" spans="1:2" x14ac:dyDescent="0.45">
      <c r="A813">
        <v>5154</v>
      </c>
      <c r="B813" t="s">
        <v>1664</v>
      </c>
    </row>
    <row r="814" spans="1:2" x14ac:dyDescent="0.45">
      <c r="A814">
        <v>5159</v>
      </c>
      <c r="B814" t="s">
        <v>1665</v>
      </c>
    </row>
    <row r="815" spans="1:2" x14ac:dyDescent="0.45">
      <c r="A815">
        <v>5160</v>
      </c>
      <c r="B815" t="s">
        <v>1665</v>
      </c>
    </row>
    <row r="816" spans="1:2" x14ac:dyDescent="0.45">
      <c r="A816">
        <v>5162</v>
      </c>
      <c r="B816" t="s">
        <v>1673</v>
      </c>
    </row>
    <row r="817" spans="1:2" x14ac:dyDescent="0.45">
      <c r="A817">
        <v>5169</v>
      </c>
      <c r="B817" t="s">
        <v>1677</v>
      </c>
    </row>
    <row r="818" spans="1:2" x14ac:dyDescent="0.45">
      <c r="A818">
        <v>5171</v>
      </c>
      <c r="B818" t="s">
        <v>1668</v>
      </c>
    </row>
    <row r="819" spans="1:2" x14ac:dyDescent="0.45">
      <c r="A819">
        <v>5172</v>
      </c>
      <c r="B819" t="s">
        <v>1668</v>
      </c>
    </row>
    <row r="820" spans="1:2" x14ac:dyDescent="0.45">
      <c r="A820">
        <v>5180</v>
      </c>
      <c r="B820" t="s">
        <v>1669</v>
      </c>
    </row>
    <row r="821" spans="1:2" x14ac:dyDescent="0.45">
      <c r="A821">
        <v>5181</v>
      </c>
      <c r="B821" t="s">
        <v>1669</v>
      </c>
    </row>
    <row r="822" spans="1:2" x14ac:dyDescent="0.45">
      <c r="A822">
        <v>5182</v>
      </c>
      <c r="B822" t="s">
        <v>1669</v>
      </c>
    </row>
    <row r="823" spans="1:2" x14ac:dyDescent="0.45">
      <c r="A823">
        <v>5190</v>
      </c>
      <c r="B823" t="s">
        <v>1665</v>
      </c>
    </row>
    <row r="824" spans="1:2" x14ac:dyDescent="0.45">
      <c r="A824">
        <v>5191</v>
      </c>
      <c r="B824" t="s">
        <v>1665</v>
      </c>
    </row>
    <row r="825" spans="1:2" x14ac:dyDescent="0.45">
      <c r="A825">
        <v>5192</v>
      </c>
      <c r="B825" t="s">
        <v>1676</v>
      </c>
    </row>
    <row r="826" spans="1:2" x14ac:dyDescent="0.45">
      <c r="A826">
        <v>5193</v>
      </c>
      <c r="B826" t="s">
        <v>1665</v>
      </c>
    </row>
    <row r="827" spans="1:2" x14ac:dyDescent="0.45">
      <c r="A827">
        <v>5194</v>
      </c>
      <c r="B827" t="s">
        <v>1670</v>
      </c>
    </row>
    <row r="828" spans="1:2" x14ac:dyDescent="0.45">
      <c r="A828">
        <v>5198</v>
      </c>
      <c r="B828" t="s">
        <v>1665</v>
      </c>
    </row>
    <row r="829" spans="1:2" x14ac:dyDescent="0.45">
      <c r="A829">
        <v>5199</v>
      </c>
      <c r="B829" t="s">
        <v>1665</v>
      </c>
    </row>
    <row r="830" spans="1:2" x14ac:dyDescent="0.45">
      <c r="A830">
        <v>5200</v>
      </c>
      <c r="B830" t="s">
        <v>1665</v>
      </c>
    </row>
    <row r="831" spans="1:2" x14ac:dyDescent="0.45">
      <c r="A831">
        <v>5211</v>
      </c>
      <c r="B831" t="s">
        <v>1667</v>
      </c>
    </row>
    <row r="832" spans="1:2" x14ac:dyDescent="0.45">
      <c r="A832">
        <v>5231</v>
      </c>
      <c r="B832" t="s">
        <v>1665</v>
      </c>
    </row>
    <row r="833" spans="1:2" x14ac:dyDescent="0.45">
      <c r="A833">
        <v>5251</v>
      </c>
      <c r="B833" t="s">
        <v>1665</v>
      </c>
    </row>
    <row r="834" spans="1:2" x14ac:dyDescent="0.45">
      <c r="A834">
        <v>5261</v>
      </c>
      <c r="B834" t="s">
        <v>1688</v>
      </c>
    </row>
    <row r="835" spans="1:2" x14ac:dyDescent="0.45">
      <c r="A835">
        <v>5271</v>
      </c>
      <c r="B835" t="s">
        <v>1688</v>
      </c>
    </row>
    <row r="836" spans="1:2" x14ac:dyDescent="0.45">
      <c r="A836">
        <v>5311</v>
      </c>
      <c r="B836" t="s">
        <v>1689</v>
      </c>
    </row>
    <row r="837" spans="1:2" x14ac:dyDescent="0.45">
      <c r="A837">
        <v>5331</v>
      </c>
      <c r="B837" t="s">
        <v>1688</v>
      </c>
    </row>
    <row r="838" spans="1:2" x14ac:dyDescent="0.45">
      <c r="A838">
        <v>5399</v>
      </c>
      <c r="B838" t="s">
        <v>1688</v>
      </c>
    </row>
    <row r="839" spans="1:2" x14ac:dyDescent="0.45">
      <c r="A839">
        <v>5400</v>
      </c>
      <c r="B839" t="s">
        <v>1688</v>
      </c>
    </row>
    <row r="840" spans="1:2" x14ac:dyDescent="0.45">
      <c r="A840">
        <v>5411</v>
      </c>
      <c r="B840" t="s">
        <v>1688</v>
      </c>
    </row>
    <row r="841" spans="1:2" x14ac:dyDescent="0.45">
      <c r="A841">
        <v>5412</v>
      </c>
      <c r="B841" t="s">
        <v>1688</v>
      </c>
    </row>
    <row r="842" spans="1:2" x14ac:dyDescent="0.45">
      <c r="A842">
        <v>5421</v>
      </c>
      <c r="B842" t="s">
        <v>1688</v>
      </c>
    </row>
    <row r="843" spans="1:2" x14ac:dyDescent="0.45">
      <c r="A843">
        <v>5431</v>
      </c>
      <c r="B843" t="s">
        <v>1688</v>
      </c>
    </row>
    <row r="844" spans="1:2" x14ac:dyDescent="0.45">
      <c r="A844">
        <v>5441</v>
      </c>
      <c r="B844" t="s">
        <v>1688</v>
      </c>
    </row>
    <row r="845" spans="1:2" x14ac:dyDescent="0.45">
      <c r="A845">
        <v>5451</v>
      </c>
      <c r="B845" t="s">
        <v>1688</v>
      </c>
    </row>
    <row r="846" spans="1:2" x14ac:dyDescent="0.45">
      <c r="A846">
        <v>5461</v>
      </c>
      <c r="B846" t="s">
        <v>1688</v>
      </c>
    </row>
    <row r="847" spans="1:2" x14ac:dyDescent="0.45">
      <c r="A847">
        <v>5499</v>
      </c>
      <c r="B847" t="s">
        <v>1688</v>
      </c>
    </row>
    <row r="848" spans="1:2" x14ac:dyDescent="0.45">
      <c r="A848">
        <v>5500</v>
      </c>
      <c r="B848" t="s">
        <v>1688</v>
      </c>
    </row>
    <row r="849" spans="1:2" x14ac:dyDescent="0.45">
      <c r="A849">
        <v>5511</v>
      </c>
      <c r="B849" t="s">
        <v>1688</v>
      </c>
    </row>
    <row r="850" spans="1:2" x14ac:dyDescent="0.45">
      <c r="A850">
        <v>5521</v>
      </c>
      <c r="B850" t="s">
        <v>1688</v>
      </c>
    </row>
    <row r="851" spans="1:2" x14ac:dyDescent="0.45">
      <c r="A851">
        <v>5531</v>
      </c>
      <c r="B851" t="s">
        <v>1688</v>
      </c>
    </row>
    <row r="852" spans="1:2" x14ac:dyDescent="0.45">
      <c r="A852">
        <v>5541</v>
      </c>
      <c r="B852" t="s">
        <v>1688</v>
      </c>
    </row>
    <row r="853" spans="1:2" x14ac:dyDescent="0.45">
      <c r="A853">
        <v>5551</v>
      </c>
      <c r="B853" t="s">
        <v>1688</v>
      </c>
    </row>
    <row r="854" spans="1:2" x14ac:dyDescent="0.45">
      <c r="A854">
        <v>5561</v>
      </c>
      <c r="B854" t="s">
        <v>1688</v>
      </c>
    </row>
    <row r="855" spans="1:2" x14ac:dyDescent="0.45">
      <c r="A855">
        <v>5571</v>
      </c>
      <c r="B855" t="s">
        <v>1688</v>
      </c>
    </row>
    <row r="856" spans="1:2" x14ac:dyDescent="0.45">
      <c r="A856">
        <v>5599</v>
      </c>
      <c r="B856" t="s">
        <v>1688</v>
      </c>
    </row>
    <row r="857" spans="1:2" x14ac:dyDescent="0.45">
      <c r="A857">
        <v>5600</v>
      </c>
      <c r="B857" t="s">
        <v>1688</v>
      </c>
    </row>
    <row r="858" spans="1:2" x14ac:dyDescent="0.45">
      <c r="A858">
        <v>5611</v>
      </c>
      <c r="B858" t="s">
        <v>1688</v>
      </c>
    </row>
    <row r="859" spans="1:2" x14ac:dyDescent="0.45">
      <c r="A859">
        <v>5621</v>
      </c>
      <c r="B859" t="s">
        <v>1688</v>
      </c>
    </row>
    <row r="860" spans="1:2" x14ac:dyDescent="0.45">
      <c r="A860">
        <v>5632</v>
      </c>
      <c r="B860" t="s">
        <v>1688</v>
      </c>
    </row>
    <row r="861" spans="1:2" x14ac:dyDescent="0.45">
      <c r="A861">
        <v>5641</v>
      </c>
      <c r="B861" t="s">
        <v>1688</v>
      </c>
    </row>
    <row r="862" spans="1:2" x14ac:dyDescent="0.45">
      <c r="A862">
        <v>5651</v>
      </c>
      <c r="B862" t="s">
        <v>1688</v>
      </c>
    </row>
    <row r="863" spans="1:2" x14ac:dyDescent="0.45">
      <c r="A863">
        <v>5661</v>
      </c>
      <c r="B863" t="s">
        <v>1688</v>
      </c>
    </row>
    <row r="864" spans="1:2" x14ac:dyDescent="0.45">
      <c r="A864">
        <v>5699</v>
      </c>
      <c r="B864" t="s">
        <v>1688</v>
      </c>
    </row>
    <row r="865" spans="1:2" x14ac:dyDescent="0.45">
      <c r="A865">
        <v>5700</v>
      </c>
      <c r="B865" t="s">
        <v>1688</v>
      </c>
    </row>
    <row r="866" spans="1:2" x14ac:dyDescent="0.45">
      <c r="A866">
        <v>5712</v>
      </c>
      <c r="B866" t="s">
        <v>1688</v>
      </c>
    </row>
    <row r="867" spans="1:2" x14ac:dyDescent="0.45">
      <c r="A867">
        <v>5713</v>
      </c>
      <c r="B867" t="s">
        <v>1688</v>
      </c>
    </row>
    <row r="868" spans="1:2" x14ac:dyDescent="0.45">
      <c r="A868">
        <v>5714</v>
      </c>
      <c r="B868" t="s">
        <v>1688</v>
      </c>
    </row>
    <row r="869" spans="1:2" x14ac:dyDescent="0.45">
      <c r="A869">
        <v>5719</v>
      </c>
      <c r="B869" t="s">
        <v>1688</v>
      </c>
    </row>
    <row r="870" spans="1:2" x14ac:dyDescent="0.45">
      <c r="A870">
        <v>5722</v>
      </c>
      <c r="B870" t="s">
        <v>1688</v>
      </c>
    </row>
    <row r="871" spans="1:2" x14ac:dyDescent="0.45">
      <c r="A871">
        <v>5731</v>
      </c>
      <c r="B871" t="s">
        <v>1688</v>
      </c>
    </row>
    <row r="872" spans="1:2" x14ac:dyDescent="0.45">
      <c r="A872">
        <v>5734</v>
      </c>
      <c r="B872" t="s">
        <v>1688</v>
      </c>
    </row>
    <row r="873" spans="1:2" x14ac:dyDescent="0.45">
      <c r="A873">
        <v>5735</v>
      </c>
      <c r="B873" t="s">
        <v>1688</v>
      </c>
    </row>
    <row r="874" spans="1:2" x14ac:dyDescent="0.45">
      <c r="A874">
        <v>5736</v>
      </c>
      <c r="B874" t="s">
        <v>1688</v>
      </c>
    </row>
    <row r="875" spans="1:2" x14ac:dyDescent="0.45">
      <c r="A875">
        <v>5810</v>
      </c>
      <c r="B875" t="s">
        <v>1688</v>
      </c>
    </row>
    <row r="876" spans="1:2" x14ac:dyDescent="0.45">
      <c r="A876">
        <v>5812</v>
      </c>
      <c r="B876" t="s">
        <v>1688</v>
      </c>
    </row>
    <row r="877" spans="1:2" x14ac:dyDescent="0.45">
      <c r="A877">
        <v>5813</v>
      </c>
      <c r="B877" t="s">
        <v>1688</v>
      </c>
    </row>
    <row r="878" spans="1:2" x14ac:dyDescent="0.45">
      <c r="A878">
        <v>5900</v>
      </c>
      <c r="B878" t="s">
        <v>1688</v>
      </c>
    </row>
    <row r="879" spans="1:2" x14ac:dyDescent="0.45">
      <c r="A879">
        <v>5912</v>
      </c>
      <c r="B879" t="s">
        <v>1688</v>
      </c>
    </row>
    <row r="880" spans="1:2" x14ac:dyDescent="0.45">
      <c r="A880">
        <v>5921</v>
      </c>
      <c r="B880" t="s">
        <v>1688</v>
      </c>
    </row>
    <row r="881" spans="1:2" x14ac:dyDescent="0.45">
      <c r="A881">
        <v>5932</v>
      </c>
      <c r="B881" t="s">
        <v>1688</v>
      </c>
    </row>
    <row r="882" spans="1:2" x14ac:dyDescent="0.45">
      <c r="A882">
        <v>5940</v>
      </c>
      <c r="B882" t="s">
        <v>1688</v>
      </c>
    </row>
    <row r="883" spans="1:2" x14ac:dyDescent="0.45">
      <c r="A883">
        <v>5941</v>
      </c>
      <c r="B883" t="s">
        <v>1688</v>
      </c>
    </row>
    <row r="884" spans="1:2" x14ac:dyDescent="0.45">
      <c r="A884">
        <v>5942</v>
      </c>
      <c r="B884" t="s">
        <v>1688</v>
      </c>
    </row>
    <row r="885" spans="1:2" x14ac:dyDescent="0.45">
      <c r="A885">
        <v>5943</v>
      </c>
      <c r="B885" t="s">
        <v>1688</v>
      </c>
    </row>
    <row r="886" spans="1:2" x14ac:dyDescent="0.45">
      <c r="A886">
        <v>5944</v>
      </c>
      <c r="B886" t="s">
        <v>1688</v>
      </c>
    </row>
    <row r="887" spans="1:2" x14ac:dyDescent="0.45">
      <c r="A887">
        <v>5945</v>
      </c>
      <c r="B887" t="s">
        <v>1688</v>
      </c>
    </row>
    <row r="888" spans="1:2" x14ac:dyDescent="0.45">
      <c r="A888">
        <v>5946</v>
      </c>
      <c r="B888" t="s">
        <v>1688</v>
      </c>
    </row>
    <row r="889" spans="1:2" x14ac:dyDescent="0.45">
      <c r="A889">
        <v>5947</v>
      </c>
      <c r="B889" t="s">
        <v>1688</v>
      </c>
    </row>
    <row r="890" spans="1:2" x14ac:dyDescent="0.45">
      <c r="A890">
        <v>5948</v>
      </c>
      <c r="B890" t="s">
        <v>1688</v>
      </c>
    </row>
    <row r="891" spans="1:2" x14ac:dyDescent="0.45">
      <c r="A891">
        <v>5949</v>
      </c>
      <c r="B891" t="s">
        <v>1688</v>
      </c>
    </row>
    <row r="892" spans="1:2" x14ac:dyDescent="0.45">
      <c r="A892">
        <v>5960</v>
      </c>
      <c r="B892" t="s">
        <v>1688</v>
      </c>
    </row>
    <row r="893" spans="1:2" x14ac:dyDescent="0.45">
      <c r="A893">
        <v>5961</v>
      </c>
      <c r="B893" t="s">
        <v>1688</v>
      </c>
    </row>
    <row r="894" spans="1:2" x14ac:dyDescent="0.45">
      <c r="A894">
        <v>5962</v>
      </c>
      <c r="B894" t="s">
        <v>1688</v>
      </c>
    </row>
    <row r="895" spans="1:2" x14ac:dyDescent="0.45">
      <c r="A895">
        <v>5963</v>
      </c>
      <c r="B895" t="s">
        <v>1688</v>
      </c>
    </row>
    <row r="896" spans="1:2" x14ac:dyDescent="0.45">
      <c r="A896">
        <v>5983</v>
      </c>
      <c r="B896" t="s">
        <v>1688</v>
      </c>
    </row>
    <row r="897" spans="1:2" x14ac:dyDescent="0.45">
      <c r="A897">
        <v>5984</v>
      </c>
      <c r="B897" t="s">
        <v>1688</v>
      </c>
    </row>
    <row r="898" spans="1:2" x14ac:dyDescent="0.45">
      <c r="A898">
        <v>5989</v>
      </c>
      <c r="B898" t="s">
        <v>1688</v>
      </c>
    </row>
    <row r="899" spans="1:2" x14ac:dyDescent="0.45">
      <c r="A899">
        <v>5990</v>
      </c>
      <c r="B899" t="s">
        <v>1688</v>
      </c>
    </row>
    <row r="900" spans="1:2" x14ac:dyDescent="0.45">
      <c r="A900">
        <v>5992</v>
      </c>
      <c r="B900" t="s">
        <v>1688</v>
      </c>
    </row>
    <row r="901" spans="1:2" x14ac:dyDescent="0.45">
      <c r="A901">
        <v>5993</v>
      </c>
      <c r="B901" t="s">
        <v>1688</v>
      </c>
    </row>
    <row r="902" spans="1:2" x14ac:dyDescent="0.45">
      <c r="A902">
        <v>5994</v>
      </c>
      <c r="B902" t="s">
        <v>1688</v>
      </c>
    </row>
    <row r="903" spans="1:2" x14ac:dyDescent="0.45">
      <c r="A903">
        <v>5995</v>
      </c>
      <c r="B903" t="s">
        <v>1688</v>
      </c>
    </row>
    <row r="904" spans="1:2" x14ac:dyDescent="0.45">
      <c r="A904">
        <v>5999</v>
      </c>
      <c r="B904" t="s">
        <v>1688</v>
      </c>
    </row>
    <row r="905" spans="1:2" x14ac:dyDescent="0.45">
      <c r="A905">
        <v>6011</v>
      </c>
      <c r="B905" t="s">
        <v>1666</v>
      </c>
    </row>
    <row r="906" spans="1:2" x14ac:dyDescent="0.45">
      <c r="A906">
        <v>6019</v>
      </c>
      <c r="B906" t="s">
        <v>1666</v>
      </c>
    </row>
    <row r="907" spans="1:2" x14ac:dyDescent="0.45">
      <c r="A907">
        <v>6020</v>
      </c>
      <c r="B907" t="s">
        <v>1666</v>
      </c>
    </row>
    <row r="908" spans="1:2" x14ac:dyDescent="0.45">
      <c r="A908">
        <v>6021</v>
      </c>
      <c r="B908" t="s">
        <v>1666</v>
      </c>
    </row>
    <row r="909" spans="1:2" x14ac:dyDescent="0.45">
      <c r="A909">
        <v>6022</v>
      </c>
      <c r="B909" t="s">
        <v>1666</v>
      </c>
    </row>
    <row r="910" spans="1:2" x14ac:dyDescent="0.45">
      <c r="A910">
        <v>6029</v>
      </c>
      <c r="B910" t="s">
        <v>1666</v>
      </c>
    </row>
    <row r="911" spans="1:2" x14ac:dyDescent="0.45">
      <c r="A911">
        <v>6035</v>
      </c>
      <c r="B911" t="s">
        <v>1666</v>
      </c>
    </row>
    <row r="912" spans="1:2" x14ac:dyDescent="0.45">
      <c r="A912">
        <v>6036</v>
      </c>
      <c r="B912" t="s">
        <v>1666</v>
      </c>
    </row>
    <row r="913" spans="1:2" x14ac:dyDescent="0.45">
      <c r="A913">
        <v>6061</v>
      </c>
      <c r="B913" t="s">
        <v>1666</v>
      </c>
    </row>
    <row r="914" spans="1:2" x14ac:dyDescent="0.45">
      <c r="A914">
        <v>6062</v>
      </c>
      <c r="B914" t="s">
        <v>1666</v>
      </c>
    </row>
    <row r="915" spans="1:2" x14ac:dyDescent="0.45">
      <c r="A915">
        <v>6081</v>
      </c>
      <c r="B915" t="s">
        <v>1666</v>
      </c>
    </row>
    <row r="916" spans="1:2" x14ac:dyDescent="0.45">
      <c r="A916">
        <v>6082</v>
      </c>
      <c r="B916" t="s">
        <v>1666</v>
      </c>
    </row>
    <row r="917" spans="1:2" x14ac:dyDescent="0.45">
      <c r="A917">
        <v>6091</v>
      </c>
      <c r="B917" t="s">
        <v>1666</v>
      </c>
    </row>
    <row r="918" spans="1:2" x14ac:dyDescent="0.45">
      <c r="A918">
        <v>6099</v>
      </c>
      <c r="B918" t="s">
        <v>1666</v>
      </c>
    </row>
    <row r="919" spans="1:2" x14ac:dyDescent="0.45">
      <c r="A919">
        <v>6111</v>
      </c>
      <c r="B919" t="s">
        <v>1666</v>
      </c>
    </row>
    <row r="920" spans="1:2" x14ac:dyDescent="0.45">
      <c r="A920">
        <v>6141</v>
      </c>
      <c r="B920" t="s">
        <v>1666</v>
      </c>
    </row>
    <row r="921" spans="1:2" x14ac:dyDescent="0.45">
      <c r="A921">
        <v>6153</v>
      </c>
      <c r="B921" t="s">
        <v>1666</v>
      </c>
    </row>
    <row r="922" spans="1:2" x14ac:dyDescent="0.45">
      <c r="A922">
        <v>6159</v>
      </c>
      <c r="B922" t="s">
        <v>1666</v>
      </c>
    </row>
    <row r="923" spans="1:2" x14ac:dyDescent="0.45">
      <c r="A923">
        <v>6162</v>
      </c>
      <c r="B923" t="s">
        <v>1666</v>
      </c>
    </row>
    <row r="924" spans="1:2" x14ac:dyDescent="0.45">
      <c r="A924">
        <v>6163</v>
      </c>
      <c r="B924" t="s">
        <v>1666</v>
      </c>
    </row>
    <row r="925" spans="1:2" x14ac:dyDescent="0.45">
      <c r="A925">
        <v>6172</v>
      </c>
      <c r="B925" t="s">
        <v>1666</v>
      </c>
    </row>
    <row r="926" spans="1:2" x14ac:dyDescent="0.45">
      <c r="A926">
        <v>6189</v>
      </c>
      <c r="B926" t="s">
        <v>1666</v>
      </c>
    </row>
    <row r="927" spans="1:2" x14ac:dyDescent="0.45">
      <c r="A927">
        <v>6199</v>
      </c>
      <c r="B927" t="s">
        <v>1666</v>
      </c>
    </row>
    <row r="928" spans="1:2" x14ac:dyDescent="0.45">
      <c r="A928">
        <v>6200</v>
      </c>
      <c r="B928" t="s">
        <v>1666</v>
      </c>
    </row>
    <row r="929" spans="1:2" x14ac:dyDescent="0.45">
      <c r="A929">
        <v>6211</v>
      </c>
      <c r="B929" t="s">
        <v>1666</v>
      </c>
    </row>
    <row r="930" spans="1:2" x14ac:dyDescent="0.45">
      <c r="A930">
        <v>6221</v>
      </c>
      <c r="B930" t="s">
        <v>1666</v>
      </c>
    </row>
    <row r="931" spans="1:2" x14ac:dyDescent="0.45">
      <c r="A931">
        <v>6231</v>
      </c>
      <c r="B931" t="s">
        <v>1666</v>
      </c>
    </row>
    <row r="932" spans="1:2" x14ac:dyDescent="0.45">
      <c r="A932">
        <v>6282</v>
      </c>
      <c r="B932" t="s">
        <v>1666</v>
      </c>
    </row>
    <row r="933" spans="1:2" x14ac:dyDescent="0.45">
      <c r="A933">
        <v>6289</v>
      </c>
      <c r="B933" t="s">
        <v>1666</v>
      </c>
    </row>
    <row r="934" spans="1:2" x14ac:dyDescent="0.45">
      <c r="A934">
        <v>6311</v>
      </c>
      <c r="B934" t="s">
        <v>1666</v>
      </c>
    </row>
    <row r="935" spans="1:2" x14ac:dyDescent="0.45">
      <c r="A935">
        <v>6321</v>
      </c>
      <c r="B935" t="s">
        <v>1666</v>
      </c>
    </row>
    <row r="936" spans="1:2" x14ac:dyDescent="0.45">
      <c r="A936">
        <v>6324</v>
      </c>
      <c r="B936" t="s">
        <v>1666</v>
      </c>
    </row>
    <row r="937" spans="1:2" x14ac:dyDescent="0.45">
      <c r="A937">
        <v>6331</v>
      </c>
      <c r="B937" t="s">
        <v>1666</v>
      </c>
    </row>
    <row r="938" spans="1:2" x14ac:dyDescent="0.45">
      <c r="A938">
        <v>6351</v>
      </c>
      <c r="B938" t="s">
        <v>1666</v>
      </c>
    </row>
    <row r="939" spans="1:2" x14ac:dyDescent="0.45">
      <c r="A939">
        <v>6361</v>
      </c>
      <c r="B939" t="s">
        <v>1666</v>
      </c>
    </row>
    <row r="940" spans="1:2" x14ac:dyDescent="0.45">
      <c r="A940">
        <v>6371</v>
      </c>
      <c r="B940" t="s">
        <v>1666</v>
      </c>
    </row>
    <row r="941" spans="1:2" x14ac:dyDescent="0.45">
      <c r="A941">
        <v>6380</v>
      </c>
      <c r="B941" t="s">
        <v>1666</v>
      </c>
    </row>
    <row r="942" spans="1:2" x14ac:dyDescent="0.45">
      <c r="A942">
        <v>6382</v>
      </c>
      <c r="B942" t="s">
        <v>1666</v>
      </c>
    </row>
    <row r="943" spans="1:2" x14ac:dyDescent="0.45">
      <c r="A943">
        <v>6399</v>
      </c>
      <c r="B943" t="s">
        <v>1666</v>
      </c>
    </row>
    <row r="944" spans="1:2" x14ac:dyDescent="0.45">
      <c r="A944">
        <v>6411</v>
      </c>
      <c r="B944" t="s">
        <v>1666</v>
      </c>
    </row>
    <row r="945" spans="1:2" x14ac:dyDescent="0.45">
      <c r="A945">
        <v>6500</v>
      </c>
      <c r="B945" t="s">
        <v>1690</v>
      </c>
    </row>
    <row r="946" spans="1:2" x14ac:dyDescent="0.45">
      <c r="A946">
        <v>6510</v>
      </c>
      <c r="B946" t="s">
        <v>1690</v>
      </c>
    </row>
    <row r="947" spans="1:2" x14ac:dyDescent="0.45">
      <c r="A947">
        <v>6512</v>
      </c>
      <c r="B947" t="s">
        <v>1690</v>
      </c>
    </row>
    <row r="948" spans="1:2" x14ac:dyDescent="0.45">
      <c r="A948">
        <v>6513</v>
      </c>
      <c r="B948" t="s">
        <v>1690</v>
      </c>
    </row>
    <row r="949" spans="1:2" x14ac:dyDescent="0.45">
      <c r="A949">
        <v>6514</v>
      </c>
      <c r="B949" t="s">
        <v>1690</v>
      </c>
    </row>
    <row r="950" spans="1:2" x14ac:dyDescent="0.45">
      <c r="A950">
        <v>6515</v>
      </c>
      <c r="B950" t="s">
        <v>1690</v>
      </c>
    </row>
    <row r="951" spans="1:2" x14ac:dyDescent="0.45">
      <c r="A951">
        <v>6517</v>
      </c>
      <c r="B951" t="s">
        <v>1690</v>
      </c>
    </row>
    <row r="952" spans="1:2" x14ac:dyDescent="0.45">
      <c r="A952">
        <v>6519</v>
      </c>
      <c r="B952" t="s">
        <v>1690</v>
      </c>
    </row>
    <row r="953" spans="1:2" x14ac:dyDescent="0.45">
      <c r="A953">
        <v>6531</v>
      </c>
      <c r="B953" t="s">
        <v>1690</v>
      </c>
    </row>
    <row r="954" spans="1:2" x14ac:dyDescent="0.45">
      <c r="A954">
        <v>6532</v>
      </c>
      <c r="B954" t="s">
        <v>1690</v>
      </c>
    </row>
    <row r="955" spans="1:2" x14ac:dyDescent="0.45">
      <c r="A955">
        <v>6541</v>
      </c>
      <c r="B955" t="s">
        <v>1690</v>
      </c>
    </row>
    <row r="956" spans="1:2" x14ac:dyDescent="0.45">
      <c r="A956">
        <v>6552</v>
      </c>
      <c r="B956" t="s">
        <v>1690</v>
      </c>
    </row>
    <row r="957" spans="1:2" x14ac:dyDescent="0.45">
      <c r="A957">
        <v>6553</v>
      </c>
      <c r="B957" t="s">
        <v>1690</v>
      </c>
    </row>
    <row r="958" spans="1:2" x14ac:dyDescent="0.45">
      <c r="A958">
        <v>6712</v>
      </c>
      <c r="B958" t="s">
        <v>1666</v>
      </c>
    </row>
    <row r="959" spans="1:2" x14ac:dyDescent="0.45">
      <c r="A959">
        <v>6719</v>
      </c>
      <c r="B959" t="s">
        <v>1666</v>
      </c>
    </row>
    <row r="960" spans="1:2" x14ac:dyDescent="0.45">
      <c r="A960">
        <v>6722</v>
      </c>
      <c r="B960" t="s">
        <v>1666</v>
      </c>
    </row>
    <row r="961" spans="1:2" x14ac:dyDescent="0.45">
      <c r="A961">
        <v>6726</v>
      </c>
      <c r="B961" t="s">
        <v>1666</v>
      </c>
    </row>
    <row r="962" spans="1:2" x14ac:dyDescent="0.45">
      <c r="A962">
        <v>6732</v>
      </c>
      <c r="B962" t="s">
        <v>1666</v>
      </c>
    </row>
    <row r="963" spans="1:2" x14ac:dyDescent="0.45">
      <c r="A963">
        <v>6733</v>
      </c>
      <c r="B963" t="s">
        <v>1666</v>
      </c>
    </row>
    <row r="964" spans="1:2" x14ac:dyDescent="0.45">
      <c r="A964">
        <v>6770</v>
      </c>
      <c r="B964" t="s">
        <v>1668</v>
      </c>
    </row>
    <row r="965" spans="1:2" x14ac:dyDescent="0.45">
      <c r="A965">
        <v>6792</v>
      </c>
      <c r="B965" t="s">
        <v>1668</v>
      </c>
    </row>
    <row r="966" spans="1:2" x14ac:dyDescent="0.45">
      <c r="A966">
        <v>6794</v>
      </c>
      <c r="B966" t="s">
        <v>1666</v>
      </c>
    </row>
    <row r="967" spans="1:2" x14ac:dyDescent="0.45">
      <c r="A967">
        <v>6795</v>
      </c>
      <c r="B967" t="s">
        <v>1666</v>
      </c>
    </row>
    <row r="968" spans="1:2" x14ac:dyDescent="0.45">
      <c r="A968">
        <v>6798</v>
      </c>
      <c r="B968" t="s">
        <v>1666</v>
      </c>
    </row>
    <row r="969" spans="1:2" x14ac:dyDescent="0.45">
      <c r="A969">
        <v>6799</v>
      </c>
      <c r="B969" t="s">
        <v>1666</v>
      </c>
    </row>
    <row r="970" spans="1:2" x14ac:dyDescent="0.45">
      <c r="A970">
        <v>7011</v>
      </c>
      <c r="B970" t="s">
        <v>1691</v>
      </c>
    </row>
    <row r="971" spans="1:2" x14ac:dyDescent="0.45">
      <c r="A971">
        <v>7021</v>
      </c>
      <c r="B971" t="s">
        <v>1691</v>
      </c>
    </row>
    <row r="972" spans="1:2" x14ac:dyDescent="0.45">
      <c r="A972">
        <v>7032</v>
      </c>
      <c r="B972" t="s">
        <v>1691</v>
      </c>
    </row>
    <row r="973" spans="1:2" x14ac:dyDescent="0.45">
      <c r="A973">
        <v>7033</v>
      </c>
      <c r="B973" t="s">
        <v>1691</v>
      </c>
    </row>
    <row r="974" spans="1:2" x14ac:dyDescent="0.45">
      <c r="A974">
        <v>7041</v>
      </c>
      <c r="B974" t="s">
        <v>1691</v>
      </c>
    </row>
    <row r="975" spans="1:2" x14ac:dyDescent="0.45">
      <c r="A975">
        <v>7200</v>
      </c>
      <c r="B975" t="s">
        <v>1665</v>
      </c>
    </row>
    <row r="976" spans="1:2" x14ac:dyDescent="0.45">
      <c r="A976">
        <v>7211</v>
      </c>
      <c r="B976" t="s">
        <v>1665</v>
      </c>
    </row>
    <row r="977" spans="1:2" x14ac:dyDescent="0.45">
      <c r="A977">
        <v>7212</v>
      </c>
      <c r="B977" t="s">
        <v>1665</v>
      </c>
    </row>
    <row r="978" spans="1:2" x14ac:dyDescent="0.45">
      <c r="A978">
        <v>7213</v>
      </c>
      <c r="B978" t="s">
        <v>1665</v>
      </c>
    </row>
    <row r="979" spans="1:2" x14ac:dyDescent="0.45">
      <c r="A979">
        <v>7215</v>
      </c>
      <c r="B979" t="s">
        <v>1665</v>
      </c>
    </row>
    <row r="980" spans="1:2" x14ac:dyDescent="0.45">
      <c r="A980">
        <v>7216</v>
      </c>
      <c r="B980" t="s">
        <v>1665</v>
      </c>
    </row>
    <row r="981" spans="1:2" x14ac:dyDescent="0.45">
      <c r="A981">
        <v>7217</v>
      </c>
      <c r="B981" t="s">
        <v>1665</v>
      </c>
    </row>
    <row r="982" spans="1:2" x14ac:dyDescent="0.45">
      <c r="A982">
        <v>7218</v>
      </c>
      <c r="B982" t="s">
        <v>1665</v>
      </c>
    </row>
    <row r="983" spans="1:2" x14ac:dyDescent="0.45">
      <c r="A983">
        <v>7219</v>
      </c>
      <c r="B983" t="s">
        <v>1665</v>
      </c>
    </row>
    <row r="984" spans="1:2" x14ac:dyDescent="0.45">
      <c r="A984">
        <v>7221</v>
      </c>
      <c r="B984" t="s">
        <v>1665</v>
      </c>
    </row>
    <row r="985" spans="1:2" x14ac:dyDescent="0.45">
      <c r="A985">
        <v>7231</v>
      </c>
      <c r="B985" t="s">
        <v>1666</v>
      </c>
    </row>
    <row r="986" spans="1:2" x14ac:dyDescent="0.45">
      <c r="A986">
        <v>7241</v>
      </c>
      <c r="B986" t="s">
        <v>1665</v>
      </c>
    </row>
    <row r="987" spans="1:2" x14ac:dyDescent="0.45">
      <c r="A987">
        <v>7251</v>
      </c>
      <c r="B987" t="s">
        <v>1665</v>
      </c>
    </row>
    <row r="988" spans="1:2" x14ac:dyDescent="0.45">
      <c r="A988">
        <v>7261</v>
      </c>
      <c r="B988" t="s">
        <v>1665</v>
      </c>
    </row>
    <row r="989" spans="1:2" x14ac:dyDescent="0.45">
      <c r="A989">
        <v>7291</v>
      </c>
      <c r="B989" t="s">
        <v>1666</v>
      </c>
    </row>
    <row r="990" spans="1:2" x14ac:dyDescent="0.45">
      <c r="A990">
        <v>7299</v>
      </c>
      <c r="B990" t="s">
        <v>1665</v>
      </c>
    </row>
    <row r="991" spans="1:2" x14ac:dyDescent="0.45">
      <c r="A991">
        <v>7310</v>
      </c>
      <c r="B991" t="s">
        <v>1692</v>
      </c>
    </row>
    <row r="992" spans="1:2" x14ac:dyDescent="0.45">
      <c r="A992">
        <v>7311</v>
      </c>
      <c r="B992" t="s">
        <v>1692</v>
      </c>
    </row>
    <row r="993" spans="1:2" x14ac:dyDescent="0.45">
      <c r="A993">
        <v>7312</v>
      </c>
      <c r="B993" t="s">
        <v>1692</v>
      </c>
    </row>
    <row r="994" spans="1:2" x14ac:dyDescent="0.45">
      <c r="A994">
        <v>7313</v>
      </c>
      <c r="B994" t="s">
        <v>1692</v>
      </c>
    </row>
    <row r="995" spans="1:2" x14ac:dyDescent="0.45">
      <c r="A995">
        <v>7319</v>
      </c>
      <c r="B995" t="s">
        <v>1665</v>
      </c>
    </row>
    <row r="996" spans="1:2" x14ac:dyDescent="0.45">
      <c r="A996">
        <v>7320</v>
      </c>
      <c r="B996" t="s">
        <v>1665</v>
      </c>
    </row>
    <row r="997" spans="1:2" x14ac:dyDescent="0.45">
      <c r="A997">
        <v>7322</v>
      </c>
      <c r="B997" t="s">
        <v>1666</v>
      </c>
    </row>
    <row r="998" spans="1:2" x14ac:dyDescent="0.45">
      <c r="A998">
        <v>7323</v>
      </c>
      <c r="B998" t="s">
        <v>1666</v>
      </c>
    </row>
    <row r="999" spans="1:2" x14ac:dyDescent="0.45">
      <c r="A999">
        <v>7330</v>
      </c>
      <c r="B999" t="s">
        <v>1666</v>
      </c>
    </row>
    <row r="1000" spans="1:2" x14ac:dyDescent="0.45">
      <c r="A1000">
        <v>7331</v>
      </c>
      <c r="B1000" t="s">
        <v>1666</v>
      </c>
    </row>
    <row r="1001" spans="1:2" x14ac:dyDescent="0.45">
      <c r="A1001">
        <v>7334</v>
      </c>
      <c r="B1001" t="s">
        <v>1665</v>
      </c>
    </row>
    <row r="1002" spans="1:2" x14ac:dyDescent="0.45">
      <c r="A1002">
        <v>7335</v>
      </c>
      <c r="B1002" t="s">
        <v>1665</v>
      </c>
    </row>
    <row r="1003" spans="1:2" x14ac:dyDescent="0.45">
      <c r="A1003">
        <v>7336</v>
      </c>
      <c r="B1003" t="s">
        <v>1665</v>
      </c>
    </row>
    <row r="1004" spans="1:2" x14ac:dyDescent="0.45">
      <c r="A1004">
        <v>7338</v>
      </c>
      <c r="B1004" t="s">
        <v>1665</v>
      </c>
    </row>
    <row r="1005" spans="1:2" x14ac:dyDescent="0.45">
      <c r="A1005">
        <v>7340</v>
      </c>
      <c r="B1005" t="s">
        <v>1665</v>
      </c>
    </row>
    <row r="1006" spans="1:2" x14ac:dyDescent="0.45">
      <c r="A1006">
        <v>7342</v>
      </c>
      <c r="B1006" t="s">
        <v>1665</v>
      </c>
    </row>
    <row r="1007" spans="1:2" x14ac:dyDescent="0.45">
      <c r="A1007">
        <v>7349</v>
      </c>
      <c r="B1007" t="s">
        <v>1665</v>
      </c>
    </row>
    <row r="1008" spans="1:2" x14ac:dyDescent="0.45">
      <c r="A1008">
        <v>7350</v>
      </c>
      <c r="B1008" t="s">
        <v>1665</v>
      </c>
    </row>
    <row r="1009" spans="1:2" x14ac:dyDescent="0.45">
      <c r="A1009">
        <v>7352</v>
      </c>
      <c r="B1009" t="s">
        <v>1665</v>
      </c>
    </row>
    <row r="1010" spans="1:2" x14ac:dyDescent="0.45">
      <c r="A1010">
        <v>7353</v>
      </c>
      <c r="B1010" t="s">
        <v>1665</v>
      </c>
    </row>
    <row r="1011" spans="1:2" x14ac:dyDescent="0.45">
      <c r="A1011">
        <v>7359</v>
      </c>
      <c r="B1011" t="s">
        <v>1665</v>
      </c>
    </row>
    <row r="1012" spans="1:2" x14ac:dyDescent="0.45">
      <c r="A1012">
        <v>7361</v>
      </c>
      <c r="B1012" t="s">
        <v>1665</v>
      </c>
    </row>
    <row r="1013" spans="1:2" x14ac:dyDescent="0.45">
      <c r="A1013">
        <v>7363</v>
      </c>
      <c r="B1013" t="s">
        <v>1665</v>
      </c>
    </row>
    <row r="1014" spans="1:2" x14ac:dyDescent="0.45">
      <c r="A1014">
        <v>7370</v>
      </c>
      <c r="B1014" t="s">
        <v>1665</v>
      </c>
    </row>
    <row r="1015" spans="1:2" x14ac:dyDescent="0.45">
      <c r="A1015">
        <v>7371</v>
      </c>
      <c r="B1015" t="s">
        <v>1693</v>
      </c>
    </row>
    <row r="1016" spans="1:2" x14ac:dyDescent="0.45">
      <c r="A1016">
        <v>7372</v>
      </c>
      <c r="B1016" t="s">
        <v>1693</v>
      </c>
    </row>
    <row r="1017" spans="1:2" x14ac:dyDescent="0.45">
      <c r="A1017">
        <v>7373</v>
      </c>
      <c r="B1017" t="s">
        <v>1693</v>
      </c>
    </row>
    <row r="1018" spans="1:2" x14ac:dyDescent="0.45">
      <c r="A1018">
        <v>7374</v>
      </c>
      <c r="B1018" t="s">
        <v>1693</v>
      </c>
    </row>
    <row r="1019" spans="1:2" x14ac:dyDescent="0.45">
      <c r="A1019">
        <v>7375</v>
      </c>
      <c r="B1019" t="s">
        <v>1693</v>
      </c>
    </row>
    <row r="1020" spans="1:2" x14ac:dyDescent="0.45">
      <c r="A1020">
        <v>7376</v>
      </c>
      <c r="B1020" t="s">
        <v>1693</v>
      </c>
    </row>
    <row r="1021" spans="1:2" x14ac:dyDescent="0.45">
      <c r="A1021">
        <v>7377</v>
      </c>
      <c r="B1021" t="s">
        <v>1693</v>
      </c>
    </row>
    <row r="1022" spans="1:2" x14ac:dyDescent="0.45">
      <c r="A1022">
        <v>7378</v>
      </c>
      <c r="B1022" t="s">
        <v>1693</v>
      </c>
    </row>
    <row r="1023" spans="1:2" x14ac:dyDescent="0.45">
      <c r="A1023">
        <v>7379</v>
      </c>
      <c r="B1023" t="s">
        <v>1693</v>
      </c>
    </row>
    <row r="1024" spans="1:2" x14ac:dyDescent="0.45">
      <c r="A1024">
        <v>7380</v>
      </c>
      <c r="B1024" t="s">
        <v>1666</v>
      </c>
    </row>
    <row r="1025" spans="1:2" x14ac:dyDescent="0.45">
      <c r="A1025">
        <v>7381</v>
      </c>
      <c r="B1025" t="s">
        <v>1666</v>
      </c>
    </row>
    <row r="1026" spans="1:2" x14ac:dyDescent="0.45">
      <c r="A1026">
        <v>7382</v>
      </c>
      <c r="B1026" t="s">
        <v>1666</v>
      </c>
    </row>
    <row r="1027" spans="1:2" x14ac:dyDescent="0.45">
      <c r="A1027">
        <v>7383</v>
      </c>
      <c r="B1027" t="s">
        <v>1666</v>
      </c>
    </row>
    <row r="1028" spans="1:2" x14ac:dyDescent="0.45">
      <c r="A1028">
        <v>7384</v>
      </c>
      <c r="B1028" t="s">
        <v>1665</v>
      </c>
    </row>
    <row r="1029" spans="1:2" x14ac:dyDescent="0.45">
      <c r="A1029">
        <v>7385</v>
      </c>
      <c r="B1029" t="s">
        <v>1665</v>
      </c>
    </row>
    <row r="1030" spans="1:2" x14ac:dyDescent="0.45">
      <c r="A1030">
        <v>7389</v>
      </c>
      <c r="B1030" t="s">
        <v>1665</v>
      </c>
    </row>
    <row r="1031" spans="1:2" x14ac:dyDescent="0.45">
      <c r="A1031">
        <v>7500</v>
      </c>
      <c r="B1031" t="s">
        <v>1665</v>
      </c>
    </row>
    <row r="1032" spans="1:2" x14ac:dyDescent="0.45">
      <c r="A1032">
        <v>7510</v>
      </c>
      <c r="B1032" t="s">
        <v>1665</v>
      </c>
    </row>
    <row r="1033" spans="1:2" x14ac:dyDescent="0.45">
      <c r="A1033">
        <v>7513</v>
      </c>
      <c r="B1033" t="s">
        <v>1665</v>
      </c>
    </row>
    <row r="1034" spans="1:2" x14ac:dyDescent="0.45">
      <c r="A1034">
        <v>7514</v>
      </c>
      <c r="B1034" t="s">
        <v>1665</v>
      </c>
    </row>
    <row r="1035" spans="1:2" x14ac:dyDescent="0.45">
      <c r="A1035">
        <v>7515</v>
      </c>
      <c r="B1035" t="s">
        <v>1665</v>
      </c>
    </row>
    <row r="1036" spans="1:2" x14ac:dyDescent="0.45">
      <c r="A1036">
        <v>7519</v>
      </c>
      <c r="B1036" t="s">
        <v>1665</v>
      </c>
    </row>
    <row r="1037" spans="1:2" x14ac:dyDescent="0.45">
      <c r="A1037">
        <v>7521</v>
      </c>
      <c r="B1037" t="s">
        <v>1665</v>
      </c>
    </row>
    <row r="1038" spans="1:2" x14ac:dyDescent="0.45">
      <c r="A1038">
        <v>7532</v>
      </c>
      <c r="B1038" t="s">
        <v>1665</v>
      </c>
    </row>
    <row r="1039" spans="1:2" x14ac:dyDescent="0.45">
      <c r="A1039">
        <v>7533</v>
      </c>
      <c r="B1039" t="s">
        <v>1665</v>
      </c>
    </row>
    <row r="1040" spans="1:2" x14ac:dyDescent="0.45">
      <c r="A1040">
        <v>7534</v>
      </c>
      <c r="B1040" t="s">
        <v>1665</v>
      </c>
    </row>
    <row r="1041" spans="1:2" x14ac:dyDescent="0.45">
      <c r="A1041">
        <v>7536</v>
      </c>
      <c r="B1041" t="s">
        <v>1665</v>
      </c>
    </row>
    <row r="1042" spans="1:2" x14ac:dyDescent="0.45">
      <c r="A1042">
        <v>7537</v>
      </c>
      <c r="B1042" t="s">
        <v>1665</v>
      </c>
    </row>
    <row r="1043" spans="1:2" x14ac:dyDescent="0.45">
      <c r="A1043">
        <v>7538</v>
      </c>
      <c r="B1043" t="s">
        <v>1665</v>
      </c>
    </row>
    <row r="1044" spans="1:2" x14ac:dyDescent="0.45">
      <c r="A1044">
        <v>7539</v>
      </c>
      <c r="B1044" t="s">
        <v>1665</v>
      </c>
    </row>
    <row r="1045" spans="1:2" x14ac:dyDescent="0.45">
      <c r="A1045">
        <v>7542</v>
      </c>
      <c r="B1045" t="s">
        <v>1665</v>
      </c>
    </row>
    <row r="1046" spans="1:2" x14ac:dyDescent="0.45">
      <c r="A1046">
        <v>7549</v>
      </c>
      <c r="B1046" t="s">
        <v>1665</v>
      </c>
    </row>
    <row r="1047" spans="1:2" x14ac:dyDescent="0.45">
      <c r="A1047">
        <v>7600</v>
      </c>
      <c r="B1047" t="s">
        <v>1665</v>
      </c>
    </row>
    <row r="1048" spans="1:2" x14ac:dyDescent="0.45">
      <c r="A1048">
        <v>7622</v>
      </c>
      <c r="B1048" t="s">
        <v>1665</v>
      </c>
    </row>
    <row r="1049" spans="1:2" x14ac:dyDescent="0.45">
      <c r="A1049">
        <v>7623</v>
      </c>
      <c r="B1049" t="s">
        <v>1665</v>
      </c>
    </row>
    <row r="1050" spans="1:2" x14ac:dyDescent="0.45">
      <c r="A1050">
        <v>7629</v>
      </c>
      <c r="B1050" t="s">
        <v>1665</v>
      </c>
    </row>
    <row r="1051" spans="1:2" x14ac:dyDescent="0.45">
      <c r="A1051">
        <v>7631</v>
      </c>
      <c r="B1051" t="s">
        <v>1665</v>
      </c>
    </row>
    <row r="1052" spans="1:2" x14ac:dyDescent="0.45">
      <c r="A1052">
        <v>7641</v>
      </c>
      <c r="B1052" t="s">
        <v>1665</v>
      </c>
    </row>
    <row r="1053" spans="1:2" x14ac:dyDescent="0.45">
      <c r="A1053">
        <v>7692</v>
      </c>
      <c r="B1053" t="s">
        <v>1665</v>
      </c>
    </row>
    <row r="1054" spans="1:2" x14ac:dyDescent="0.45">
      <c r="A1054">
        <v>7694</v>
      </c>
      <c r="B1054" t="s">
        <v>1665</v>
      </c>
    </row>
    <row r="1055" spans="1:2" x14ac:dyDescent="0.45">
      <c r="A1055">
        <v>7699</v>
      </c>
      <c r="B1055" t="s">
        <v>1665</v>
      </c>
    </row>
    <row r="1056" spans="1:2" x14ac:dyDescent="0.45">
      <c r="A1056">
        <v>7812</v>
      </c>
      <c r="B1056" t="s">
        <v>1665</v>
      </c>
    </row>
    <row r="1057" spans="1:2" x14ac:dyDescent="0.45">
      <c r="A1057">
        <v>7819</v>
      </c>
      <c r="B1057" t="s">
        <v>1665</v>
      </c>
    </row>
    <row r="1058" spans="1:2" x14ac:dyDescent="0.45">
      <c r="A1058">
        <v>7822</v>
      </c>
      <c r="B1058" t="s">
        <v>1665</v>
      </c>
    </row>
    <row r="1059" spans="1:2" x14ac:dyDescent="0.45">
      <c r="A1059">
        <v>7829</v>
      </c>
      <c r="B1059" t="s">
        <v>1665</v>
      </c>
    </row>
    <row r="1060" spans="1:2" x14ac:dyDescent="0.45">
      <c r="A1060">
        <v>7830</v>
      </c>
      <c r="B1060" t="s">
        <v>1665</v>
      </c>
    </row>
    <row r="1061" spans="1:2" x14ac:dyDescent="0.45">
      <c r="A1061">
        <v>7832</v>
      </c>
      <c r="B1061" t="s">
        <v>1694</v>
      </c>
    </row>
    <row r="1062" spans="1:2" x14ac:dyDescent="0.45">
      <c r="A1062">
        <v>7833</v>
      </c>
      <c r="B1062" t="s">
        <v>1694</v>
      </c>
    </row>
    <row r="1063" spans="1:2" x14ac:dyDescent="0.45">
      <c r="A1063">
        <v>7841</v>
      </c>
      <c r="B1063" t="s">
        <v>1694</v>
      </c>
    </row>
    <row r="1064" spans="1:2" x14ac:dyDescent="0.45">
      <c r="A1064">
        <v>7900</v>
      </c>
      <c r="B1064" t="s">
        <v>1694</v>
      </c>
    </row>
    <row r="1065" spans="1:2" x14ac:dyDescent="0.45">
      <c r="A1065">
        <v>7911</v>
      </c>
      <c r="B1065" t="s">
        <v>1694</v>
      </c>
    </row>
    <row r="1066" spans="1:2" x14ac:dyDescent="0.45">
      <c r="A1066">
        <v>7922</v>
      </c>
      <c r="B1066" t="s">
        <v>1665</v>
      </c>
    </row>
    <row r="1067" spans="1:2" x14ac:dyDescent="0.45">
      <c r="A1067">
        <v>7929</v>
      </c>
      <c r="B1067" t="s">
        <v>1694</v>
      </c>
    </row>
    <row r="1068" spans="1:2" x14ac:dyDescent="0.45">
      <c r="A1068">
        <v>7933</v>
      </c>
      <c r="B1068" t="s">
        <v>1694</v>
      </c>
    </row>
    <row r="1069" spans="1:2" x14ac:dyDescent="0.45">
      <c r="A1069">
        <v>7941</v>
      </c>
      <c r="B1069" t="s">
        <v>1694</v>
      </c>
    </row>
    <row r="1070" spans="1:2" x14ac:dyDescent="0.45">
      <c r="A1070">
        <v>7948</v>
      </c>
      <c r="B1070" t="s">
        <v>1694</v>
      </c>
    </row>
    <row r="1071" spans="1:2" x14ac:dyDescent="0.45">
      <c r="A1071">
        <v>7990</v>
      </c>
      <c r="B1071" t="s">
        <v>1694</v>
      </c>
    </row>
    <row r="1072" spans="1:2" x14ac:dyDescent="0.45">
      <c r="A1072">
        <v>7991</v>
      </c>
      <c r="B1072" t="s">
        <v>1694</v>
      </c>
    </row>
    <row r="1073" spans="1:2" x14ac:dyDescent="0.45">
      <c r="A1073">
        <v>7992</v>
      </c>
      <c r="B1073" t="s">
        <v>1694</v>
      </c>
    </row>
    <row r="1074" spans="1:2" x14ac:dyDescent="0.45">
      <c r="A1074">
        <v>7993</v>
      </c>
      <c r="B1074" t="s">
        <v>1694</v>
      </c>
    </row>
    <row r="1075" spans="1:2" x14ac:dyDescent="0.45">
      <c r="A1075">
        <v>7996</v>
      </c>
      <c r="B1075" t="s">
        <v>1694</v>
      </c>
    </row>
    <row r="1076" spans="1:2" x14ac:dyDescent="0.45">
      <c r="A1076">
        <v>7997</v>
      </c>
      <c r="B1076" t="s">
        <v>1694</v>
      </c>
    </row>
    <row r="1077" spans="1:2" x14ac:dyDescent="0.45">
      <c r="A1077">
        <v>7999</v>
      </c>
      <c r="B1077" t="s">
        <v>1694</v>
      </c>
    </row>
    <row r="1078" spans="1:2" x14ac:dyDescent="0.45">
      <c r="A1078">
        <v>8000</v>
      </c>
      <c r="B1078" t="s">
        <v>1694</v>
      </c>
    </row>
    <row r="1079" spans="1:2" x14ac:dyDescent="0.45">
      <c r="A1079">
        <v>8011</v>
      </c>
      <c r="B1079" t="s">
        <v>1666</v>
      </c>
    </row>
    <row r="1080" spans="1:2" x14ac:dyDescent="0.45">
      <c r="A1080">
        <v>8021</v>
      </c>
      <c r="B1080" t="s">
        <v>1666</v>
      </c>
    </row>
    <row r="1081" spans="1:2" x14ac:dyDescent="0.45">
      <c r="A1081">
        <v>8031</v>
      </c>
      <c r="B1081" t="s">
        <v>1666</v>
      </c>
    </row>
    <row r="1082" spans="1:2" x14ac:dyDescent="0.45">
      <c r="A1082">
        <v>8041</v>
      </c>
      <c r="B1082" t="s">
        <v>1666</v>
      </c>
    </row>
    <row r="1083" spans="1:2" x14ac:dyDescent="0.45">
      <c r="A1083">
        <v>8042</v>
      </c>
      <c r="B1083" t="s">
        <v>1666</v>
      </c>
    </row>
    <row r="1084" spans="1:2" x14ac:dyDescent="0.45">
      <c r="A1084">
        <v>8043</v>
      </c>
      <c r="B1084" t="s">
        <v>1666</v>
      </c>
    </row>
    <row r="1085" spans="1:2" x14ac:dyDescent="0.45">
      <c r="A1085">
        <v>8049</v>
      </c>
      <c r="B1085" t="s">
        <v>1666</v>
      </c>
    </row>
    <row r="1086" spans="1:2" x14ac:dyDescent="0.45">
      <c r="A1086">
        <v>8050</v>
      </c>
      <c r="B1086" t="s">
        <v>1666</v>
      </c>
    </row>
    <row r="1087" spans="1:2" x14ac:dyDescent="0.45">
      <c r="A1087">
        <v>8051</v>
      </c>
      <c r="B1087" t="s">
        <v>1666</v>
      </c>
    </row>
    <row r="1088" spans="1:2" x14ac:dyDescent="0.45">
      <c r="A1088">
        <v>8052</v>
      </c>
      <c r="B1088" t="s">
        <v>1666</v>
      </c>
    </row>
    <row r="1089" spans="1:2" x14ac:dyDescent="0.45">
      <c r="A1089">
        <v>8059</v>
      </c>
      <c r="B1089" t="s">
        <v>1666</v>
      </c>
    </row>
    <row r="1090" spans="1:2" x14ac:dyDescent="0.45">
      <c r="A1090">
        <v>8060</v>
      </c>
      <c r="B1090" t="s">
        <v>1666</v>
      </c>
    </row>
    <row r="1091" spans="1:2" x14ac:dyDescent="0.45">
      <c r="A1091">
        <v>8062</v>
      </c>
      <c r="B1091" t="s">
        <v>1666</v>
      </c>
    </row>
    <row r="1092" spans="1:2" x14ac:dyDescent="0.45">
      <c r="A1092">
        <v>8063</v>
      </c>
      <c r="B1092" t="s">
        <v>1666</v>
      </c>
    </row>
    <row r="1093" spans="1:2" x14ac:dyDescent="0.45">
      <c r="A1093">
        <v>8069</v>
      </c>
      <c r="B1093" t="s">
        <v>1666</v>
      </c>
    </row>
    <row r="1094" spans="1:2" x14ac:dyDescent="0.45">
      <c r="A1094">
        <v>8071</v>
      </c>
      <c r="B1094" t="s">
        <v>1666</v>
      </c>
    </row>
    <row r="1095" spans="1:2" x14ac:dyDescent="0.45">
      <c r="A1095">
        <v>8072</v>
      </c>
      <c r="B1095" t="s">
        <v>1666</v>
      </c>
    </row>
    <row r="1096" spans="1:2" x14ac:dyDescent="0.45">
      <c r="A1096">
        <v>8082</v>
      </c>
      <c r="B1096" t="s">
        <v>1666</v>
      </c>
    </row>
    <row r="1097" spans="1:2" x14ac:dyDescent="0.45">
      <c r="A1097">
        <v>8090</v>
      </c>
      <c r="B1097" t="s">
        <v>1666</v>
      </c>
    </row>
    <row r="1098" spans="1:2" x14ac:dyDescent="0.45">
      <c r="A1098">
        <v>8092</v>
      </c>
      <c r="B1098" t="s">
        <v>1666</v>
      </c>
    </row>
    <row r="1099" spans="1:2" x14ac:dyDescent="0.45">
      <c r="A1099">
        <v>8093</v>
      </c>
      <c r="B1099" t="s">
        <v>1666</v>
      </c>
    </row>
    <row r="1100" spans="1:2" x14ac:dyDescent="0.45">
      <c r="A1100">
        <v>8099</v>
      </c>
      <c r="B1100" t="s">
        <v>1666</v>
      </c>
    </row>
    <row r="1101" spans="1:2" x14ac:dyDescent="0.45">
      <c r="A1101">
        <v>8111</v>
      </c>
      <c r="B1101" t="s">
        <v>1666</v>
      </c>
    </row>
    <row r="1102" spans="1:2" x14ac:dyDescent="0.45">
      <c r="A1102">
        <v>8200</v>
      </c>
      <c r="B1102" t="s">
        <v>1666</v>
      </c>
    </row>
    <row r="1103" spans="1:2" x14ac:dyDescent="0.45">
      <c r="A1103">
        <v>8211</v>
      </c>
      <c r="B1103" t="s">
        <v>1666</v>
      </c>
    </row>
    <row r="1104" spans="1:2" x14ac:dyDescent="0.45">
      <c r="A1104">
        <v>8221</v>
      </c>
      <c r="B1104" t="s">
        <v>1666</v>
      </c>
    </row>
    <row r="1105" spans="1:2" x14ac:dyDescent="0.45">
      <c r="A1105">
        <v>8222</v>
      </c>
      <c r="B1105" t="s">
        <v>1666</v>
      </c>
    </row>
    <row r="1106" spans="1:2" x14ac:dyDescent="0.45">
      <c r="A1106">
        <v>8231</v>
      </c>
      <c r="B1106" t="s">
        <v>1665</v>
      </c>
    </row>
    <row r="1107" spans="1:2" x14ac:dyDescent="0.45">
      <c r="A1107">
        <v>8243</v>
      </c>
      <c r="B1107" t="s">
        <v>1666</v>
      </c>
    </row>
    <row r="1108" spans="1:2" x14ac:dyDescent="0.45">
      <c r="A1108">
        <v>8244</v>
      </c>
      <c r="B1108" t="s">
        <v>1666</v>
      </c>
    </row>
    <row r="1109" spans="1:2" x14ac:dyDescent="0.45">
      <c r="A1109">
        <v>8249</v>
      </c>
      <c r="B1109" t="s">
        <v>1666</v>
      </c>
    </row>
    <row r="1110" spans="1:2" x14ac:dyDescent="0.45">
      <c r="A1110">
        <v>8299</v>
      </c>
      <c r="B1110" t="s">
        <v>1666</v>
      </c>
    </row>
    <row r="1111" spans="1:2" x14ac:dyDescent="0.45">
      <c r="A1111">
        <v>8300</v>
      </c>
      <c r="B1111" t="s">
        <v>1666</v>
      </c>
    </row>
    <row r="1112" spans="1:2" x14ac:dyDescent="0.45">
      <c r="A1112">
        <v>8322</v>
      </c>
      <c r="B1112" t="s">
        <v>1666</v>
      </c>
    </row>
    <row r="1113" spans="1:2" x14ac:dyDescent="0.45">
      <c r="A1113">
        <v>8331</v>
      </c>
      <c r="B1113" t="s">
        <v>1665</v>
      </c>
    </row>
    <row r="1114" spans="1:2" x14ac:dyDescent="0.45">
      <c r="A1114">
        <v>8351</v>
      </c>
      <c r="B1114" t="s">
        <v>1665</v>
      </c>
    </row>
    <row r="1115" spans="1:2" x14ac:dyDescent="0.45">
      <c r="A1115">
        <v>8361</v>
      </c>
      <c r="B1115" t="s">
        <v>1665</v>
      </c>
    </row>
    <row r="1116" spans="1:2" x14ac:dyDescent="0.45">
      <c r="A1116">
        <v>8399</v>
      </c>
      <c r="B1116" t="s">
        <v>1665</v>
      </c>
    </row>
    <row r="1117" spans="1:2" x14ac:dyDescent="0.45">
      <c r="A1117">
        <v>8412</v>
      </c>
      <c r="B1117" t="s">
        <v>1665</v>
      </c>
    </row>
    <row r="1118" spans="1:2" x14ac:dyDescent="0.45">
      <c r="A1118">
        <v>8422</v>
      </c>
      <c r="B1118" t="s">
        <v>1665</v>
      </c>
    </row>
    <row r="1119" spans="1:2" x14ac:dyDescent="0.45">
      <c r="A1119">
        <v>8611</v>
      </c>
      <c r="B1119" t="s">
        <v>1665</v>
      </c>
    </row>
    <row r="1120" spans="1:2" x14ac:dyDescent="0.45">
      <c r="A1120">
        <v>8621</v>
      </c>
      <c r="B1120" t="s">
        <v>1665</v>
      </c>
    </row>
    <row r="1121" spans="1:2" x14ac:dyDescent="0.45">
      <c r="A1121">
        <v>8631</v>
      </c>
      <c r="B1121" t="s">
        <v>1665</v>
      </c>
    </row>
    <row r="1122" spans="1:2" x14ac:dyDescent="0.45">
      <c r="A1122">
        <v>8641</v>
      </c>
      <c r="B1122" t="s">
        <v>1665</v>
      </c>
    </row>
    <row r="1123" spans="1:2" x14ac:dyDescent="0.45">
      <c r="A1123">
        <v>8651</v>
      </c>
      <c r="B1123" t="s">
        <v>1665</v>
      </c>
    </row>
    <row r="1124" spans="1:2" x14ac:dyDescent="0.45">
      <c r="A1124">
        <v>8661</v>
      </c>
      <c r="B1124" t="s">
        <v>1665</v>
      </c>
    </row>
    <row r="1125" spans="1:2" x14ac:dyDescent="0.45">
      <c r="A1125">
        <v>8699</v>
      </c>
      <c r="B1125" t="s">
        <v>1665</v>
      </c>
    </row>
    <row r="1126" spans="1:2" x14ac:dyDescent="0.45">
      <c r="A1126">
        <v>8700</v>
      </c>
      <c r="B1126" t="s">
        <v>1665</v>
      </c>
    </row>
    <row r="1127" spans="1:2" x14ac:dyDescent="0.45">
      <c r="A1127">
        <v>8711</v>
      </c>
      <c r="B1127" t="s">
        <v>1666</v>
      </c>
    </row>
    <row r="1128" spans="1:2" x14ac:dyDescent="0.45">
      <c r="A1128">
        <v>8712</v>
      </c>
      <c r="B1128" t="s">
        <v>1666</v>
      </c>
    </row>
    <row r="1129" spans="1:2" x14ac:dyDescent="0.45">
      <c r="A1129">
        <v>8713</v>
      </c>
      <c r="B1129" t="s">
        <v>1666</v>
      </c>
    </row>
    <row r="1130" spans="1:2" x14ac:dyDescent="0.45">
      <c r="A1130">
        <v>8721</v>
      </c>
      <c r="B1130" t="s">
        <v>1666</v>
      </c>
    </row>
    <row r="1131" spans="1:2" x14ac:dyDescent="0.45">
      <c r="A1131">
        <v>8731</v>
      </c>
      <c r="B1131" t="s">
        <v>1666</v>
      </c>
    </row>
    <row r="1132" spans="1:2" x14ac:dyDescent="0.45">
      <c r="A1132">
        <v>8732</v>
      </c>
      <c r="B1132" t="s">
        <v>1666</v>
      </c>
    </row>
    <row r="1133" spans="1:2" x14ac:dyDescent="0.45">
      <c r="A1133">
        <v>8733</v>
      </c>
      <c r="B1133" t="s">
        <v>1666</v>
      </c>
    </row>
    <row r="1134" spans="1:2" x14ac:dyDescent="0.45">
      <c r="A1134">
        <v>8734</v>
      </c>
      <c r="B1134" t="s">
        <v>1666</v>
      </c>
    </row>
    <row r="1135" spans="1:2" x14ac:dyDescent="0.45">
      <c r="A1135">
        <v>8741</v>
      </c>
      <c r="B1135" t="s">
        <v>1666</v>
      </c>
    </row>
    <row r="1136" spans="1:2" x14ac:dyDescent="0.45">
      <c r="A1136">
        <v>8742</v>
      </c>
      <c r="B1136" t="s">
        <v>1666</v>
      </c>
    </row>
    <row r="1137" spans="1:2" x14ac:dyDescent="0.45">
      <c r="A1137">
        <v>8743</v>
      </c>
      <c r="B1137" t="s">
        <v>1665</v>
      </c>
    </row>
    <row r="1138" spans="1:2" x14ac:dyDescent="0.45">
      <c r="A1138">
        <v>8744</v>
      </c>
      <c r="B1138" t="s">
        <v>1665</v>
      </c>
    </row>
    <row r="1139" spans="1:2" x14ac:dyDescent="0.45">
      <c r="A1139">
        <v>8748</v>
      </c>
      <c r="B1139" t="s">
        <v>1666</v>
      </c>
    </row>
    <row r="1140" spans="1:2" x14ac:dyDescent="0.45">
      <c r="A1140">
        <v>8811</v>
      </c>
      <c r="B1140" t="s">
        <v>1665</v>
      </c>
    </row>
    <row r="1141" spans="1:2" x14ac:dyDescent="0.45">
      <c r="A1141">
        <v>8900</v>
      </c>
      <c r="B1141" t="s">
        <v>1665</v>
      </c>
    </row>
    <row r="1142" spans="1:2" x14ac:dyDescent="0.45">
      <c r="A1142">
        <v>8999</v>
      </c>
      <c r="B1142" t="s">
        <v>1665</v>
      </c>
    </row>
    <row r="1143" spans="1:2" x14ac:dyDescent="0.45">
      <c r="A1143">
        <v>9111</v>
      </c>
      <c r="B1143" t="s">
        <v>1665</v>
      </c>
    </row>
    <row r="1144" spans="1:2" x14ac:dyDescent="0.45">
      <c r="A1144">
        <v>9121</v>
      </c>
      <c r="B1144" t="s">
        <v>1665</v>
      </c>
    </row>
    <row r="1145" spans="1:2" x14ac:dyDescent="0.45">
      <c r="A1145">
        <v>9131</v>
      </c>
      <c r="B1145" t="s">
        <v>1665</v>
      </c>
    </row>
    <row r="1146" spans="1:2" x14ac:dyDescent="0.45">
      <c r="A1146">
        <v>9199</v>
      </c>
      <c r="B1146" t="s">
        <v>1665</v>
      </c>
    </row>
    <row r="1147" spans="1:2" x14ac:dyDescent="0.45">
      <c r="A1147">
        <v>9211</v>
      </c>
      <c r="B1147" t="s">
        <v>1665</v>
      </c>
    </row>
    <row r="1148" spans="1:2" x14ac:dyDescent="0.45">
      <c r="A1148">
        <v>9221</v>
      </c>
      <c r="B1148" t="s">
        <v>1665</v>
      </c>
    </row>
    <row r="1149" spans="1:2" x14ac:dyDescent="0.45">
      <c r="A1149">
        <v>9222</v>
      </c>
      <c r="B1149" t="s">
        <v>1665</v>
      </c>
    </row>
    <row r="1150" spans="1:2" x14ac:dyDescent="0.45">
      <c r="A1150">
        <v>9223</v>
      </c>
      <c r="B1150" t="s">
        <v>1665</v>
      </c>
    </row>
    <row r="1151" spans="1:2" x14ac:dyDescent="0.45">
      <c r="A1151">
        <v>9224</v>
      </c>
      <c r="B1151" t="s">
        <v>1665</v>
      </c>
    </row>
    <row r="1152" spans="1:2" x14ac:dyDescent="0.45">
      <c r="A1152">
        <v>9229</v>
      </c>
      <c r="B1152" t="s">
        <v>1665</v>
      </c>
    </row>
    <row r="1153" spans="1:2" x14ac:dyDescent="0.45">
      <c r="A1153">
        <v>9311</v>
      </c>
      <c r="B1153" t="s">
        <v>1665</v>
      </c>
    </row>
    <row r="1154" spans="1:2" x14ac:dyDescent="0.45">
      <c r="A1154">
        <v>9411</v>
      </c>
      <c r="B1154" t="s">
        <v>1665</v>
      </c>
    </row>
    <row r="1155" spans="1:2" x14ac:dyDescent="0.45">
      <c r="A1155">
        <v>9431</v>
      </c>
      <c r="B1155" t="s">
        <v>1665</v>
      </c>
    </row>
    <row r="1156" spans="1:2" x14ac:dyDescent="0.45">
      <c r="A1156">
        <v>9441</v>
      </c>
      <c r="B1156" t="s">
        <v>1665</v>
      </c>
    </row>
    <row r="1157" spans="1:2" x14ac:dyDescent="0.45">
      <c r="A1157">
        <v>9451</v>
      </c>
      <c r="B1157" t="s">
        <v>1665</v>
      </c>
    </row>
    <row r="1158" spans="1:2" x14ac:dyDescent="0.45">
      <c r="A1158">
        <v>9511</v>
      </c>
      <c r="B1158" t="s">
        <v>1665</v>
      </c>
    </row>
    <row r="1159" spans="1:2" x14ac:dyDescent="0.45">
      <c r="A1159">
        <v>9512</v>
      </c>
      <c r="B1159" t="s">
        <v>1665</v>
      </c>
    </row>
    <row r="1160" spans="1:2" x14ac:dyDescent="0.45">
      <c r="A1160">
        <v>9531</v>
      </c>
      <c r="B1160" t="s">
        <v>1665</v>
      </c>
    </row>
    <row r="1161" spans="1:2" x14ac:dyDescent="0.45">
      <c r="A1161">
        <v>9532</v>
      </c>
      <c r="B1161" t="s">
        <v>1665</v>
      </c>
    </row>
    <row r="1162" spans="1:2" x14ac:dyDescent="0.45">
      <c r="A1162">
        <v>9611</v>
      </c>
      <c r="B1162" t="s">
        <v>1665</v>
      </c>
    </row>
    <row r="1163" spans="1:2" x14ac:dyDescent="0.45">
      <c r="A1163">
        <v>9621</v>
      </c>
      <c r="B1163" t="s">
        <v>1665</v>
      </c>
    </row>
    <row r="1164" spans="1:2" x14ac:dyDescent="0.45">
      <c r="A1164">
        <v>9631</v>
      </c>
      <c r="B1164" t="s">
        <v>1665</v>
      </c>
    </row>
    <row r="1165" spans="1:2" x14ac:dyDescent="0.45">
      <c r="A1165">
        <v>9641</v>
      </c>
      <c r="B1165" t="s">
        <v>1665</v>
      </c>
    </row>
    <row r="1166" spans="1:2" x14ac:dyDescent="0.45">
      <c r="A1166">
        <v>9651</v>
      </c>
      <c r="B1166" t="s">
        <v>1665</v>
      </c>
    </row>
    <row r="1167" spans="1:2" x14ac:dyDescent="0.45">
      <c r="A1167">
        <v>9661</v>
      </c>
      <c r="B1167" t="s">
        <v>1665</v>
      </c>
    </row>
    <row r="1168" spans="1:2" x14ac:dyDescent="0.45">
      <c r="A1168">
        <v>9711</v>
      </c>
      <c r="B1168" t="s">
        <v>1665</v>
      </c>
    </row>
    <row r="1169" spans="1:2" x14ac:dyDescent="0.45">
      <c r="A1169">
        <v>9721</v>
      </c>
      <c r="B1169" t="s">
        <v>1665</v>
      </c>
    </row>
    <row r="1170" spans="1:2" x14ac:dyDescent="0.45">
      <c r="A1170">
        <v>9995</v>
      </c>
      <c r="B1170" t="s">
        <v>1665</v>
      </c>
    </row>
    <row r="1171" spans="1:2" x14ac:dyDescent="0.45">
      <c r="A1171">
        <v>9999</v>
      </c>
      <c r="B1171" t="s">
        <v>1665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C896-3755-4F2B-899D-46C3A9D78053}">
  <dimension ref="A1:E36"/>
  <sheetViews>
    <sheetView workbookViewId="0">
      <selection activeCell="J23" sqref="J23"/>
    </sheetView>
  </sheetViews>
  <sheetFormatPr defaultRowHeight="14.25" x14ac:dyDescent="0.45"/>
  <cols>
    <col min="1" max="1" width="30" bestFit="1" customWidth="1"/>
    <col min="2" max="2" width="14.1328125" bestFit="1" customWidth="1"/>
  </cols>
  <sheetData>
    <row r="1" spans="1:5" x14ac:dyDescent="0.45">
      <c r="A1" t="s">
        <v>1695</v>
      </c>
      <c r="B1" t="s">
        <v>1696</v>
      </c>
      <c r="C1" t="s">
        <v>1535</v>
      </c>
      <c r="D1" t="s">
        <v>1536</v>
      </c>
      <c r="E1" t="s">
        <v>1697</v>
      </c>
    </row>
    <row r="2" spans="1:5" x14ac:dyDescent="0.45">
      <c r="A2" t="s">
        <v>1692</v>
      </c>
      <c r="B2" t="s">
        <v>1698</v>
      </c>
      <c r="C2">
        <v>1</v>
      </c>
      <c r="D2">
        <v>1.5</v>
      </c>
      <c r="E2">
        <v>1.25</v>
      </c>
    </row>
    <row r="3" spans="1:5" x14ac:dyDescent="0.45">
      <c r="A3" t="s">
        <v>1665</v>
      </c>
      <c r="B3" t="s">
        <v>1699</v>
      </c>
      <c r="C3">
        <v>0.8</v>
      </c>
      <c r="D3">
        <v>1.5</v>
      </c>
      <c r="E3">
        <v>1</v>
      </c>
    </row>
    <row r="4" spans="1:5" x14ac:dyDescent="0.45">
      <c r="A4" t="s">
        <v>1688</v>
      </c>
      <c r="B4" t="s">
        <v>1700</v>
      </c>
      <c r="C4">
        <v>0.8</v>
      </c>
      <c r="D4">
        <v>1.2</v>
      </c>
      <c r="E4">
        <v>1</v>
      </c>
    </row>
    <row r="5" spans="1:5" x14ac:dyDescent="0.45">
      <c r="A5" t="s">
        <v>1694</v>
      </c>
      <c r="B5" t="s">
        <v>1700</v>
      </c>
      <c r="C5">
        <v>0.8</v>
      </c>
      <c r="D5">
        <v>1.2</v>
      </c>
      <c r="E5">
        <v>1</v>
      </c>
    </row>
    <row r="6" spans="1:5" x14ac:dyDescent="0.45">
      <c r="A6" t="s">
        <v>1669</v>
      </c>
      <c r="B6" t="s">
        <v>1701</v>
      </c>
      <c r="C6">
        <v>1</v>
      </c>
      <c r="D6">
        <v>1.3</v>
      </c>
      <c r="E6">
        <v>1.1499999999999999</v>
      </c>
    </row>
    <row r="7" spans="1:5" x14ac:dyDescent="0.45">
      <c r="A7" t="s">
        <v>1702</v>
      </c>
      <c r="B7" t="s">
        <v>1703</v>
      </c>
      <c r="C7">
        <v>0.9</v>
      </c>
      <c r="D7">
        <v>1.3</v>
      </c>
      <c r="E7">
        <v>1.1000000000000001</v>
      </c>
    </row>
    <row r="8" spans="1:5" x14ac:dyDescent="0.45">
      <c r="A8" t="s">
        <v>1667</v>
      </c>
      <c r="B8" t="s">
        <v>1700</v>
      </c>
      <c r="C8">
        <v>0.8</v>
      </c>
      <c r="D8">
        <v>1.2</v>
      </c>
      <c r="E8">
        <v>1</v>
      </c>
    </row>
    <row r="9" spans="1:5" x14ac:dyDescent="0.45">
      <c r="A9" t="s">
        <v>1689</v>
      </c>
      <c r="B9" t="s">
        <v>1698</v>
      </c>
      <c r="C9">
        <v>1</v>
      </c>
      <c r="D9">
        <v>1.5</v>
      </c>
      <c r="E9">
        <v>1.25</v>
      </c>
    </row>
    <row r="10" spans="1:5" x14ac:dyDescent="0.45">
      <c r="A10" t="s">
        <v>1664</v>
      </c>
      <c r="B10" t="s">
        <v>1700</v>
      </c>
      <c r="C10">
        <v>0.8</v>
      </c>
      <c r="D10">
        <v>1.2</v>
      </c>
      <c r="E10">
        <v>1</v>
      </c>
    </row>
    <row r="11" spans="1:5" x14ac:dyDescent="0.45">
      <c r="A11" t="s">
        <v>1691</v>
      </c>
      <c r="B11" t="s">
        <v>1698</v>
      </c>
      <c r="C11">
        <v>1</v>
      </c>
      <c r="D11">
        <v>1.5</v>
      </c>
      <c r="E11">
        <v>1.25</v>
      </c>
    </row>
    <row r="12" spans="1:5" x14ac:dyDescent="0.45">
      <c r="A12" t="s">
        <v>1704</v>
      </c>
      <c r="B12" t="s">
        <v>1705</v>
      </c>
      <c r="C12">
        <v>1.5</v>
      </c>
      <c r="D12">
        <v>4</v>
      </c>
      <c r="E12">
        <v>2.75</v>
      </c>
    </row>
    <row r="13" spans="1:5" x14ac:dyDescent="0.45">
      <c r="A13" t="s">
        <v>1673</v>
      </c>
      <c r="B13" t="s">
        <v>1700</v>
      </c>
      <c r="C13">
        <v>0.8</v>
      </c>
      <c r="D13">
        <v>1.2</v>
      </c>
      <c r="E13">
        <v>1</v>
      </c>
    </row>
    <row r="14" spans="1:5" x14ac:dyDescent="0.45">
      <c r="A14" t="s">
        <v>1672</v>
      </c>
      <c r="B14" t="s">
        <v>1700</v>
      </c>
      <c r="C14">
        <v>0.8</v>
      </c>
      <c r="D14">
        <v>1.2</v>
      </c>
      <c r="E14">
        <v>1</v>
      </c>
    </row>
    <row r="15" spans="1:5" x14ac:dyDescent="0.45">
      <c r="A15" t="s">
        <v>1681</v>
      </c>
      <c r="B15" t="s">
        <v>1698</v>
      </c>
      <c r="C15">
        <v>1</v>
      </c>
      <c r="D15">
        <v>1.5</v>
      </c>
      <c r="E15">
        <v>1.25</v>
      </c>
    </row>
    <row r="16" spans="1:5" x14ac:dyDescent="0.45">
      <c r="A16" t="s">
        <v>1677</v>
      </c>
      <c r="B16" t="s">
        <v>1698</v>
      </c>
      <c r="C16">
        <v>1</v>
      </c>
      <c r="D16">
        <v>1.5</v>
      </c>
      <c r="E16">
        <v>1.25</v>
      </c>
    </row>
    <row r="17" spans="1:5" x14ac:dyDescent="0.45">
      <c r="A17" t="s">
        <v>1680</v>
      </c>
      <c r="B17" t="s">
        <v>1706</v>
      </c>
      <c r="C17">
        <v>2</v>
      </c>
      <c r="D17">
        <v>4</v>
      </c>
      <c r="E17">
        <v>3</v>
      </c>
    </row>
    <row r="18" spans="1:5" x14ac:dyDescent="0.45">
      <c r="A18" t="s">
        <v>1682</v>
      </c>
      <c r="B18" t="s">
        <v>1707</v>
      </c>
      <c r="C18">
        <v>1.5</v>
      </c>
      <c r="D18">
        <v>3</v>
      </c>
      <c r="E18">
        <v>2.25</v>
      </c>
    </row>
    <row r="19" spans="1:5" x14ac:dyDescent="0.45">
      <c r="A19" t="s">
        <v>1674</v>
      </c>
      <c r="B19" t="s">
        <v>1700</v>
      </c>
      <c r="C19">
        <v>0.8</v>
      </c>
      <c r="D19">
        <v>1.2</v>
      </c>
      <c r="E19">
        <v>1</v>
      </c>
    </row>
    <row r="20" spans="1:5" x14ac:dyDescent="0.45">
      <c r="A20" t="s">
        <v>1679</v>
      </c>
      <c r="B20" t="s">
        <v>1698</v>
      </c>
      <c r="C20">
        <v>1</v>
      </c>
      <c r="D20">
        <v>1.5</v>
      </c>
      <c r="E20">
        <v>1.25</v>
      </c>
    </row>
    <row r="21" spans="1:5" x14ac:dyDescent="0.45">
      <c r="A21" t="s">
        <v>1668</v>
      </c>
      <c r="B21" t="s">
        <v>1708</v>
      </c>
      <c r="C21">
        <v>1.2</v>
      </c>
      <c r="D21">
        <v>1.8</v>
      </c>
      <c r="E21">
        <v>1.5</v>
      </c>
    </row>
    <row r="22" spans="1:5" x14ac:dyDescent="0.45">
      <c r="A22" t="s">
        <v>1675</v>
      </c>
      <c r="B22" t="s">
        <v>1700</v>
      </c>
      <c r="C22">
        <v>0.8</v>
      </c>
      <c r="D22">
        <v>1.2</v>
      </c>
      <c r="E22">
        <v>1</v>
      </c>
    </row>
    <row r="23" spans="1:5" x14ac:dyDescent="0.45">
      <c r="A23" t="s">
        <v>1678</v>
      </c>
      <c r="B23" t="s">
        <v>1700</v>
      </c>
      <c r="C23">
        <v>0.8</v>
      </c>
      <c r="D23">
        <v>1.2</v>
      </c>
      <c r="E23">
        <v>1</v>
      </c>
    </row>
    <row r="24" spans="1:5" x14ac:dyDescent="0.45">
      <c r="A24" t="s">
        <v>1676</v>
      </c>
      <c r="B24" t="s">
        <v>1700</v>
      </c>
      <c r="C24">
        <v>0.8</v>
      </c>
      <c r="D24">
        <v>1.2</v>
      </c>
      <c r="E24">
        <v>1</v>
      </c>
    </row>
    <row r="25" spans="1:5" x14ac:dyDescent="0.45">
      <c r="A25" t="s">
        <v>1666</v>
      </c>
      <c r="B25" t="s">
        <v>1709</v>
      </c>
      <c r="C25">
        <v>1</v>
      </c>
      <c r="D25">
        <v>1.4</v>
      </c>
      <c r="E25">
        <v>1.2</v>
      </c>
    </row>
    <row r="26" spans="1:5" x14ac:dyDescent="0.45">
      <c r="A26" t="s">
        <v>1690</v>
      </c>
      <c r="B26" t="s">
        <v>1708</v>
      </c>
      <c r="C26">
        <v>1.2</v>
      </c>
      <c r="D26">
        <v>1.8</v>
      </c>
      <c r="E26">
        <v>1.5</v>
      </c>
    </row>
    <row r="27" spans="1:5" x14ac:dyDescent="0.45">
      <c r="A27" t="s">
        <v>1693</v>
      </c>
      <c r="B27" t="s">
        <v>1710</v>
      </c>
      <c r="C27">
        <v>2.5</v>
      </c>
      <c r="D27">
        <v>4</v>
      </c>
      <c r="E27">
        <v>3.25</v>
      </c>
    </row>
    <row r="28" spans="1:5" x14ac:dyDescent="0.45">
      <c r="A28" t="s">
        <v>1711</v>
      </c>
      <c r="B28" t="s">
        <v>1700</v>
      </c>
      <c r="C28">
        <v>0.8</v>
      </c>
      <c r="D28">
        <v>1.2</v>
      </c>
      <c r="E28">
        <v>1</v>
      </c>
    </row>
    <row r="29" spans="1:5" x14ac:dyDescent="0.45">
      <c r="A29" t="s">
        <v>1686</v>
      </c>
      <c r="B29" t="s">
        <v>1712</v>
      </c>
      <c r="C29">
        <v>1.2</v>
      </c>
      <c r="D29">
        <v>2</v>
      </c>
      <c r="E29">
        <v>1.4</v>
      </c>
    </row>
    <row r="30" spans="1:5" x14ac:dyDescent="0.45">
      <c r="A30" t="s">
        <v>1671</v>
      </c>
      <c r="B30" t="s">
        <v>1713</v>
      </c>
      <c r="C30">
        <v>0.9</v>
      </c>
      <c r="D30">
        <v>1.4</v>
      </c>
      <c r="E30">
        <v>1.1499999999999999</v>
      </c>
    </row>
    <row r="31" spans="1:5" x14ac:dyDescent="0.45">
      <c r="A31" t="s">
        <v>1670</v>
      </c>
      <c r="B31" t="s">
        <v>1707</v>
      </c>
      <c r="C31">
        <v>1.5</v>
      </c>
      <c r="D31">
        <v>3</v>
      </c>
      <c r="E31">
        <v>2.25</v>
      </c>
    </row>
    <row r="32" spans="1:5" x14ac:dyDescent="0.45">
      <c r="A32" t="s">
        <v>1685</v>
      </c>
      <c r="B32" t="s">
        <v>1714</v>
      </c>
      <c r="C32">
        <v>1.5</v>
      </c>
      <c r="D32">
        <v>2</v>
      </c>
      <c r="E32">
        <v>1.75</v>
      </c>
    </row>
    <row r="33" spans="1:5" x14ac:dyDescent="0.45">
      <c r="A33" t="s">
        <v>1683</v>
      </c>
      <c r="B33" t="s">
        <v>1698</v>
      </c>
      <c r="C33">
        <v>1</v>
      </c>
      <c r="D33">
        <v>1.5</v>
      </c>
      <c r="E33">
        <v>1.25</v>
      </c>
    </row>
    <row r="34" spans="1:5" x14ac:dyDescent="0.45">
      <c r="A34" t="s">
        <v>1684</v>
      </c>
      <c r="B34" t="s">
        <v>1698</v>
      </c>
      <c r="C34">
        <v>1</v>
      </c>
      <c r="D34">
        <v>1.5</v>
      </c>
      <c r="E34">
        <v>1.25</v>
      </c>
    </row>
    <row r="35" spans="1:5" x14ac:dyDescent="0.45">
      <c r="A35" t="s">
        <v>1687</v>
      </c>
      <c r="B35" t="s">
        <v>1715</v>
      </c>
      <c r="C35">
        <v>0.7</v>
      </c>
      <c r="D35">
        <v>1.7</v>
      </c>
      <c r="E35">
        <v>1.1000000000000001</v>
      </c>
    </row>
    <row r="36" spans="1:5" x14ac:dyDescent="0.45">
      <c r="A36" t="s">
        <v>1716</v>
      </c>
      <c r="B36" t="s">
        <v>1708</v>
      </c>
      <c r="C36">
        <v>1.2</v>
      </c>
      <c r="D36">
        <v>1.8</v>
      </c>
      <c r="E36">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1A71-19BD-4E53-9BBE-02945FB50857}">
  <dimension ref="A1:K206"/>
  <sheetViews>
    <sheetView workbookViewId="0">
      <pane ySplit="1" topLeftCell="A32" activePane="bottomLeft" state="frozen"/>
      <selection pane="bottomLeft" activeCell="J25" sqref="J25"/>
    </sheetView>
  </sheetViews>
  <sheetFormatPr defaultRowHeight="14.25" x14ac:dyDescent="0.45"/>
  <cols>
    <col min="2" max="2" width="13.3984375" bestFit="1" customWidth="1"/>
    <col min="3" max="3" width="32.3984375" bestFit="1" customWidth="1"/>
    <col min="5" max="5" width="9.3984375" bestFit="1" customWidth="1"/>
    <col min="6" max="6" width="75" bestFit="1" customWidth="1"/>
    <col min="10" max="10" width="12.265625" customWidth="1"/>
  </cols>
  <sheetData>
    <row r="1" spans="1:11" x14ac:dyDescent="0.45">
      <c r="A1" t="s">
        <v>1834</v>
      </c>
      <c r="B1" t="s">
        <v>2558</v>
      </c>
      <c r="C1" t="s">
        <v>42</v>
      </c>
      <c r="D1" t="s">
        <v>1832</v>
      </c>
      <c r="E1" t="s">
        <v>1719</v>
      </c>
      <c r="F1" t="s">
        <v>1833</v>
      </c>
      <c r="G1" t="s">
        <v>1401</v>
      </c>
      <c r="H1" t="s">
        <v>1835</v>
      </c>
      <c r="I1" t="s">
        <v>1836</v>
      </c>
      <c r="J1" t="s">
        <v>2629</v>
      </c>
      <c r="K1" t="s">
        <v>2630</v>
      </c>
    </row>
    <row r="2" spans="1:11" ht="14.45" customHeight="1" x14ac:dyDescent="0.45">
      <c r="A2">
        <v>3</v>
      </c>
      <c r="B2" t="s">
        <v>2563</v>
      </c>
      <c r="C2" t="s">
        <v>1860</v>
      </c>
      <c r="D2" t="b">
        <v>1</v>
      </c>
      <c r="E2" t="s">
        <v>1697</v>
      </c>
      <c r="F2" t="s">
        <v>2106</v>
      </c>
      <c r="G2">
        <v>0.85</v>
      </c>
      <c r="H2">
        <v>0</v>
      </c>
      <c r="I2">
        <v>0</v>
      </c>
      <c r="J2" t="s">
        <v>2072</v>
      </c>
      <c r="K2" t="s">
        <v>2655</v>
      </c>
    </row>
    <row r="3" spans="1:11" ht="14.45" customHeight="1" x14ac:dyDescent="0.45">
      <c r="A3">
        <v>3</v>
      </c>
      <c r="B3" t="s">
        <v>2563</v>
      </c>
      <c r="C3" t="s">
        <v>1860</v>
      </c>
      <c r="D3" t="b">
        <v>1</v>
      </c>
      <c r="E3" t="s">
        <v>1697</v>
      </c>
      <c r="F3" t="s">
        <v>2107</v>
      </c>
      <c r="G3">
        <v>0.95</v>
      </c>
      <c r="H3">
        <v>0</v>
      </c>
      <c r="I3">
        <v>0</v>
      </c>
      <c r="J3" t="s">
        <v>2073</v>
      </c>
      <c r="K3" s="3" t="s">
        <v>2656</v>
      </c>
    </row>
    <row r="4" spans="1:11" ht="14.45" customHeight="1" x14ac:dyDescent="0.45">
      <c r="A4">
        <v>3</v>
      </c>
      <c r="B4" t="s">
        <v>2563</v>
      </c>
      <c r="C4" t="s">
        <v>1860</v>
      </c>
      <c r="D4" t="b">
        <v>1</v>
      </c>
      <c r="E4" t="s">
        <v>1697</v>
      </c>
      <c r="F4" t="s">
        <v>2108</v>
      </c>
      <c r="G4">
        <v>1</v>
      </c>
      <c r="H4">
        <v>0</v>
      </c>
      <c r="I4">
        <v>0</v>
      </c>
      <c r="J4" t="s">
        <v>2074</v>
      </c>
      <c r="K4" s="3" t="s">
        <v>2657</v>
      </c>
    </row>
    <row r="5" spans="1:11" ht="14.45" customHeight="1" x14ac:dyDescent="0.45">
      <c r="A5">
        <v>3</v>
      </c>
      <c r="B5" t="s">
        <v>2563</v>
      </c>
      <c r="C5" t="s">
        <v>1860</v>
      </c>
      <c r="D5" t="b">
        <v>1</v>
      </c>
      <c r="E5" t="s">
        <v>1697</v>
      </c>
      <c r="F5" t="s">
        <v>2109</v>
      </c>
      <c r="G5">
        <v>1.05</v>
      </c>
      <c r="H5">
        <v>0</v>
      </c>
      <c r="I5">
        <v>0</v>
      </c>
      <c r="J5" t="s">
        <v>2075</v>
      </c>
      <c r="K5" s="3" t="s">
        <v>2658</v>
      </c>
    </row>
    <row r="6" spans="1:11" ht="14.45" customHeight="1" x14ac:dyDescent="0.45">
      <c r="A6">
        <v>3</v>
      </c>
      <c r="B6" t="s">
        <v>2563</v>
      </c>
      <c r="C6" t="s">
        <v>1860</v>
      </c>
      <c r="D6" t="b">
        <v>1</v>
      </c>
      <c r="E6" t="s">
        <v>1697</v>
      </c>
      <c r="F6" t="s">
        <v>2110</v>
      </c>
      <c r="G6">
        <v>1.1499999999999999</v>
      </c>
      <c r="H6">
        <v>0</v>
      </c>
      <c r="I6">
        <v>0</v>
      </c>
      <c r="J6" t="s">
        <v>2076</v>
      </c>
      <c r="K6" s="3" t="s">
        <v>2659</v>
      </c>
    </row>
    <row r="7" spans="1:11" ht="14.45" customHeight="1" x14ac:dyDescent="0.45">
      <c r="A7">
        <v>3</v>
      </c>
      <c r="B7" t="s">
        <v>2563</v>
      </c>
      <c r="C7" t="s">
        <v>1860</v>
      </c>
      <c r="D7" t="b">
        <v>1</v>
      </c>
      <c r="E7" t="s">
        <v>1697</v>
      </c>
      <c r="F7" t="s">
        <v>2111</v>
      </c>
      <c r="G7">
        <v>1.25</v>
      </c>
      <c r="H7">
        <v>0</v>
      </c>
      <c r="I7">
        <v>0</v>
      </c>
      <c r="J7" t="s">
        <v>2077</v>
      </c>
      <c r="K7" s="3" t="s">
        <v>2660</v>
      </c>
    </row>
    <row r="8" spans="1:11" ht="14.45" customHeight="1" x14ac:dyDescent="0.45">
      <c r="A8">
        <v>3</v>
      </c>
      <c r="B8" t="s">
        <v>2563</v>
      </c>
      <c r="C8" t="s">
        <v>1860</v>
      </c>
      <c r="D8" t="b">
        <v>1</v>
      </c>
      <c r="E8" t="s">
        <v>1697</v>
      </c>
      <c r="F8" t="s">
        <v>2112</v>
      </c>
      <c r="G8">
        <v>1.4</v>
      </c>
      <c r="H8">
        <v>0</v>
      </c>
      <c r="I8">
        <v>0</v>
      </c>
      <c r="J8" t="s">
        <v>2078</v>
      </c>
      <c r="K8" s="3" t="s">
        <v>2661</v>
      </c>
    </row>
    <row r="9" spans="1:11" ht="14.45" customHeight="1" x14ac:dyDescent="0.45">
      <c r="A9">
        <v>3</v>
      </c>
      <c r="B9" t="s">
        <v>2563</v>
      </c>
      <c r="C9" t="s">
        <v>1860</v>
      </c>
      <c r="D9" t="b">
        <v>0</v>
      </c>
      <c r="E9" t="s">
        <v>1697</v>
      </c>
      <c r="F9" t="s">
        <v>2106</v>
      </c>
      <c r="G9">
        <v>0.85</v>
      </c>
      <c r="H9">
        <v>0</v>
      </c>
      <c r="I9">
        <v>0</v>
      </c>
      <c r="J9" t="s">
        <v>2072</v>
      </c>
      <c r="K9" s="3" t="s">
        <v>2655</v>
      </c>
    </row>
    <row r="10" spans="1:11" ht="14.45" customHeight="1" x14ac:dyDescent="0.45">
      <c r="A10">
        <v>3</v>
      </c>
      <c r="B10" t="s">
        <v>2563</v>
      </c>
      <c r="C10" t="s">
        <v>1860</v>
      </c>
      <c r="D10" t="b">
        <v>0</v>
      </c>
      <c r="E10" t="s">
        <v>1697</v>
      </c>
      <c r="F10" t="s">
        <v>2107</v>
      </c>
      <c r="G10">
        <v>0.95</v>
      </c>
      <c r="H10">
        <v>0</v>
      </c>
      <c r="I10">
        <v>0</v>
      </c>
      <c r="J10" t="s">
        <v>2073</v>
      </c>
      <c r="K10" s="3" t="s">
        <v>2656</v>
      </c>
    </row>
    <row r="11" spans="1:11" ht="14.45" customHeight="1" x14ac:dyDescent="0.45">
      <c r="A11">
        <v>3</v>
      </c>
      <c r="B11" t="s">
        <v>2563</v>
      </c>
      <c r="C11" t="s">
        <v>1860</v>
      </c>
      <c r="D11" t="b">
        <v>0</v>
      </c>
      <c r="E11" t="s">
        <v>1697</v>
      </c>
      <c r="F11" t="s">
        <v>2108</v>
      </c>
      <c r="G11">
        <v>1</v>
      </c>
      <c r="H11">
        <v>0</v>
      </c>
      <c r="I11">
        <v>0</v>
      </c>
      <c r="J11" t="s">
        <v>2074</v>
      </c>
      <c r="K11" s="3" t="s">
        <v>2657</v>
      </c>
    </row>
    <row r="12" spans="1:11" ht="14.45" customHeight="1" x14ac:dyDescent="0.45">
      <c r="A12">
        <v>3</v>
      </c>
      <c r="B12" t="s">
        <v>2563</v>
      </c>
      <c r="C12" t="s">
        <v>1860</v>
      </c>
      <c r="D12" t="b">
        <v>0</v>
      </c>
      <c r="E12" t="s">
        <v>1697</v>
      </c>
      <c r="F12" t="s">
        <v>2109</v>
      </c>
      <c r="G12">
        <v>1.05</v>
      </c>
      <c r="H12">
        <v>0</v>
      </c>
      <c r="I12">
        <v>0</v>
      </c>
      <c r="J12" t="s">
        <v>2075</v>
      </c>
      <c r="K12" s="3" t="s">
        <v>2658</v>
      </c>
    </row>
    <row r="13" spans="1:11" ht="14.45" customHeight="1" x14ac:dyDescent="0.45">
      <c r="A13">
        <v>3</v>
      </c>
      <c r="B13" t="s">
        <v>2563</v>
      </c>
      <c r="C13" t="s">
        <v>1860</v>
      </c>
      <c r="D13" t="b">
        <v>0</v>
      </c>
      <c r="E13" t="s">
        <v>1697</v>
      </c>
      <c r="F13" t="s">
        <v>2110</v>
      </c>
      <c r="G13">
        <v>1.1499999999999999</v>
      </c>
      <c r="H13">
        <v>0</v>
      </c>
      <c r="I13">
        <v>0</v>
      </c>
      <c r="J13" t="s">
        <v>2076</v>
      </c>
      <c r="K13" s="3" t="s">
        <v>2659</v>
      </c>
    </row>
    <row r="14" spans="1:11" ht="14.45" customHeight="1" x14ac:dyDescent="0.45">
      <c r="A14">
        <v>3</v>
      </c>
      <c r="B14" t="s">
        <v>2563</v>
      </c>
      <c r="C14" t="s">
        <v>1860</v>
      </c>
      <c r="D14" t="b">
        <v>0</v>
      </c>
      <c r="E14" t="s">
        <v>1697</v>
      </c>
      <c r="F14" t="s">
        <v>2111</v>
      </c>
      <c r="G14">
        <v>1.25</v>
      </c>
      <c r="H14">
        <v>0</v>
      </c>
      <c r="I14">
        <v>0</v>
      </c>
      <c r="J14" t="s">
        <v>2077</v>
      </c>
      <c r="K14" s="3" t="s">
        <v>2660</v>
      </c>
    </row>
    <row r="15" spans="1:11" ht="14.45" customHeight="1" x14ac:dyDescent="0.45">
      <c r="A15">
        <v>3</v>
      </c>
      <c r="B15" t="s">
        <v>2563</v>
      </c>
      <c r="C15" t="s">
        <v>1860</v>
      </c>
      <c r="D15" t="b">
        <v>0</v>
      </c>
      <c r="E15" t="s">
        <v>1697</v>
      </c>
      <c r="F15" t="s">
        <v>2112</v>
      </c>
      <c r="G15">
        <v>1.4</v>
      </c>
      <c r="H15">
        <v>0</v>
      </c>
      <c r="I15">
        <v>0</v>
      </c>
      <c r="J15" t="s">
        <v>2078</v>
      </c>
      <c r="K15" s="3" t="s">
        <v>2661</v>
      </c>
    </row>
    <row r="16" spans="1:11" ht="14.45" customHeight="1" x14ac:dyDescent="0.45">
      <c r="A16">
        <v>3</v>
      </c>
      <c r="B16" t="s">
        <v>2563</v>
      </c>
      <c r="C16" t="s">
        <v>1860</v>
      </c>
      <c r="D16" t="b">
        <v>0</v>
      </c>
      <c r="E16" t="s">
        <v>1728</v>
      </c>
      <c r="F16" t="s">
        <v>2106</v>
      </c>
      <c r="G16">
        <v>0</v>
      </c>
      <c r="H16">
        <v>0.8</v>
      </c>
      <c r="I16">
        <v>0.9</v>
      </c>
      <c r="J16" t="s">
        <v>2072</v>
      </c>
      <c r="K16" s="3" t="s">
        <v>2655</v>
      </c>
    </row>
    <row r="17" spans="1:11" ht="14.45" customHeight="1" x14ac:dyDescent="0.45">
      <c r="A17">
        <v>3</v>
      </c>
      <c r="B17" t="s">
        <v>2563</v>
      </c>
      <c r="C17" t="s">
        <v>1860</v>
      </c>
      <c r="D17" t="b">
        <v>0</v>
      </c>
      <c r="E17" t="s">
        <v>1728</v>
      </c>
      <c r="F17" t="s">
        <v>2107</v>
      </c>
      <c r="G17">
        <v>0</v>
      </c>
      <c r="H17">
        <v>0.9</v>
      </c>
      <c r="I17">
        <v>1</v>
      </c>
      <c r="J17" t="s">
        <v>2073</v>
      </c>
      <c r="K17" s="3" t="s">
        <v>2656</v>
      </c>
    </row>
    <row r="18" spans="1:11" ht="14.45" customHeight="1" x14ac:dyDescent="0.45">
      <c r="A18">
        <v>3</v>
      </c>
      <c r="B18" t="s">
        <v>2563</v>
      </c>
      <c r="C18" t="s">
        <v>1860</v>
      </c>
      <c r="D18" t="b">
        <v>0</v>
      </c>
      <c r="E18" t="s">
        <v>1728</v>
      </c>
      <c r="F18" t="s">
        <v>2108</v>
      </c>
      <c r="G18">
        <v>0</v>
      </c>
      <c r="H18">
        <v>1</v>
      </c>
      <c r="I18">
        <v>1</v>
      </c>
      <c r="J18" t="s">
        <v>2074</v>
      </c>
      <c r="K18" s="3" t="s">
        <v>2657</v>
      </c>
    </row>
    <row r="19" spans="1:11" ht="14.45" customHeight="1" x14ac:dyDescent="0.45">
      <c r="A19">
        <v>3</v>
      </c>
      <c r="B19" t="s">
        <v>2563</v>
      </c>
      <c r="C19" t="s">
        <v>1860</v>
      </c>
      <c r="D19" t="b">
        <v>0</v>
      </c>
      <c r="E19" t="s">
        <v>1728</v>
      </c>
      <c r="F19" t="s">
        <v>2109</v>
      </c>
      <c r="G19">
        <v>0</v>
      </c>
      <c r="H19">
        <v>1</v>
      </c>
      <c r="I19">
        <v>1.1000000000000001</v>
      </c>
      <c r="J19" t="s">
        <v>2075</v>
      </c>
      <c r="K19" s="3" t="s">
        <v>2658</v>
      </c>
    </row>
    <row r="20" spans="1:11" ht="14.45" customHeight="1" x14ac:dyDescent="0.45">
      <c r="A20">
        <v>3</v>
      </c>
      <c r="B20" t="s">
        <v>2563</v>
      </c>
      <c r="C20" t="s">
        <v>1860</v>
      </c>
      <c r="D20" t="b">
        <v>0</v>
      </c>
      <c r="E20" t="s">
        <v>1728</v>
      </c>
      <c r="F20" t="s">
        <v>2110</v>
      </c>
      <c r="G20">
        <v>0</v>
      </c>
      <c r="H20">
        <v>1.1000000000000001</v>
      </c>
      <c r="I20">
        <v>1.2</v>
      </c>
      <c r="J20" t="s">
        <v>2076</v>
      </c>
      <c r="K20" s="3" t="s">
        <v>2659</v>
      </c>
    </row>
    <row r="21" spans="1:11" ht="14.45" customHeight="1" x14ac:dyDescent="0.45">
      <c r="A21">
        <v>3</v>
      </c>
      <c r="B21" t="s">
        <v>2563</v>
      </c>
      <c r="C21" t="s">
        <v>1860</v>
      </c>
      <c r="D21" t="b">
        <v>0</v>
      </c>
      <c r="E21" t="s">
        <v>1728</v>
      </c>
      <c r="F21" t="s">
        <v>2111</v>
      </c>
      <c r="G21">
        <v>0</v>
      </c>
      <c r="H21">
        <v>1.2</v>
      </c>
      <c r="I21">
        <v>1.3</v>
      </c>
      <c r="J21" t="s">
        <v>2077</v>
      </c>
      <c r="K21" s="3" t="s">
        <v>2660</v>
      </c>
    </row>
    <row r="22" spans="1:11" ht="14.45" customHeight="1" x14ac:dyDescent="0.45">
      <c r="A22">
        <v>3</v>
      </c>
      <c r="B22" t="s">
        <v>2563</v>
      </c>
      <c r="C22" t="s">
        <v>1860</v>
      </c>
      <c r="D22" t="b">
        <v>0</v>
      </c>
      <c r="E22" t="s">
        <v>1728</v>
      </c>
      <c r="F22" t="s">
        <v>2112</v>
      </c>
      <c r="G22">
        <v>0</v>
      </c>
      <c r="H22">
        <v>1.3</v>
      </c>
      <c r="I22">
        <v>1.5</v>
      </c>
      <c r="J22" t="s">
        <v>2078</v>
      </c>
      <c r="K22" s="3" t="s">
        <v>2661</v>
      </c>
    </row>
    <row r="23" spans="1:11" x14ac:dyDescent="0.45">
      <c r="A23">
        <v>4</v>
      </c>
      <c r="B23" t="s">
        <v>2564</v>
      </c>
      <c r="C23" t="s">
        <v>1861</v>
      </c>
      <c r="D23" t="b">
        <v>1</v>
      </c>
      <c r="E23" t="s">
        <v>1697</v>
      </c>
      <c r="F23" t="s">
        <v>2106</v>
      </c>
      <c r="G23">
        <v>0.85</v>
      </c>
      <c r="H23">
        <v>0</v>
      </c>
      <c r="I23">
        <v>0</v>
      </c>
      <c r="J23" t="s">
        <v>2079</v>
      </c>
      <c r="K23" t="s">
        <v>2565</v>
      </c>
    </row>
    <row r="24" spans="1:11" x14ac:dyDescent="0.45">
      <c r="A24">
        <v>4</v>
      </c>
      <c r="B24" t="s">
        <v>2564</v>
      </c>
      <c r="C24" t="s">
        <v>1861</v>
      </c>
      <c r="D24" t="b">
        <v>1</v>
      </c>
      <c r="E24" t="s">
        <v>1697</v>
      </c>
      <c r="F24" t="s">
        <v>2107</v>
      </c>
      <c r="G24">
        <v>0.95</v>
      </c>
      <c r="H24">
        <v>0</v>
      </c>
      <c r="I24">
        <v>0</v>
      </c>
      <c r="J24" t="s">
        <v>2080</v>
      </c>
      <c r="K24" t="s">
        <v>2566</v>
      </c>
    </row>
    <row r="25" spans="1:11" x14ac:dyDescent="0.45">
      <c r="A25">
        <v>4</v>
      </c>
      <c r="B25" t="s">
        <v>2564</v>
      </c>
      <c r="C25" t="s">
        <v>1861</v>
      </c>
      <c r="D25" t="b">
        <v>1</v>
      </c>
      <c r="E25" t="s">
        <v>1697</v>
      </c>
      <c r="F25" t="s">
        <v>2113</v>
      </c>
      <c r="G25">
        <v>1</v>
      </c>
      <c r="H25">
        <v>0</v>
      </c>
      <c r="I25">
        <v>0</v>
      </c>
      <c r="J25" t="s">
        <v>2081</v>
      </c>
      <c r="K25" t="s">
        <v>2567</v>
      </c>
    </row>
    <row r="26" spans="1:11" x14ac:dyDescent="0.45">
      <c r="A26">
        <v>4</v>
      </c>
      <c r="B26" t="s">
        <v>2564</v>
      </c>
      <c r="C26" t="s">
        <v>1861</v>
      </c>
      <c r="D26" t="b">
        <v>1</v>
      </c>
      <c r="E26" t="s">
        <v>1697</v>
      </c>
      <c r="F26" t="s">
        <v>2109</v>
      </c>
      <c r="G26">
        <v>1.05</v>
      </c>
      <c r="H26">
        <v>0</v>
      </c>
      <c r="I26">
        <v>0</v>
      </c>
      <c r="J26" t="s">
        <v>2082</v>
      </c>
      <c r="K26" t="s">
        <v>2568</v>
      </c>
    </row>
    <row r="27" spans="1:11" x14ac:dyDescent="0.45">
      <c r="A27">
        <v>4</v>
      </c>
      <c r="B27" t="s">
        <v>2564</v>
      </c>
      <c r="C27" t="s">
        <v>1861</v>
      </c>
      <c r="D27" t="b">
        <v>1</v>
      </c>
      <c r="E27" t="s">
        <v>1697</v>
      </c>
      <c r="F27" t="s">
        <v>2110</v>
      </c>
      <c r="G27">
        <v>1.18</v>
      </c>
      <c r="H27">
        <v>0</v>
      </c>
      <c r="I27">
        <v>0</v>
      </c>
      <c r="J27" t="s">
        <v>2083</v>
      </c>
      <c r="K27" t="s">
        <v>2569</v>
      </c>
    </row>
    <row r="28" spans="1:11" x14ac:dyDescent="0.45">
      <c r="A28">
        <v>4</v>
      </c>
      <c r="B28" t="s">
        <v>2564</v>
      </c>
      <c r="C28" t="s">
        <v>1861</v>
      </c>
      <c r="D28" t="b">
        <v>1</v>
      </c>
      <c r="E28" t="s">
        <v>1697</v>
      </c>
      <c r="F28" t="s">
        <v>2111</v>
      </c>
      <c r="G28">
        <v>1.38</v>
      </c>
      <c r="H28">
        <v>0</v>
      </c>
      <c r="I28">
        <v>0</v>
      </c>
      <c r="J28" t="s">
        <v>2084</v>
      </c>
      <c r="K28" t="s">
        <v>2570</v>
      </c>
    </row>
    <row r="29" spans="1:11" x14ac:dyDescent="0.45">
      <c r="A29">
        <v>4</v>
      </c>
      <c r="B29" t="s">
        <v>2564</v>
      </c>
      <c r="C29" t="s">
        <v>1861</v>
      </c>
      <c r="D29" t="b">
        <v>1</v>
      </c>
      <c r="E29" t="s">
        <v>1697</v>
      </c>
      <c r="F29" t="s">
        <v>2112</v>
      </c>
      <c r="G29">
        <v>1.75</v>
      </c>
      <c r="H29">
        <v>0</v>
      </c>
      <c r="I29">
        <v>0</v>
      </c>
      <c r="J29" t="s">
        <v>2085</v>
      </c>
      <c r="K29" t="s">
        <v>2571</v>
      </c>
    </row>
    <row r="30" spans="1:11" x14ac:dyDescent="0.45">
      <c r="A30">
        <v>4</v>
      </c>
      <c r="B30" t="s">
        <v>2564</v>
      </c>
      <c r="C30" t="s">
        <v>1861</v>
      </c>
      <c r="D30" t="b">
        <v>0</v>
      </c>
      <c r="E30" t="s">
        <v>1697</v>
      </c>
      <c r="F30" t="s">
        <v>2106</v>
      </c>
      <c r="G30">
        <v>0.85</v>
      </c>
      <c r="H30">
        <v>0</v>
      </c>
      <c r="I30">
        <v>0</v>
      </c>
      <c r="J30" t="s">
        <v>2079</v>
      </c>
      <c r="K30" t="s">
        <v>2565</v>
      </c>
    </row>
    <row r="31" spans="1:11" x14ac:dyDescent="0.45">
      <c r="A31">
        <v>4</v>
      </c>
      <c r="B31" t="s">
        <v>2564</v>
      </c>
      <c r="C31" t="s">
        <v>1861</v>
      </c>
      <c r="D31" t="b">
        <v>0</v>
      </c>
      <c r="E31" t="s">
        <v>1697</v>
      </c>
      <c r="F31" t="s">
        <v>2107</v>
      </c>
      <c r="G31">
        <v>0.95</v>
      </c>
      <c r="H31">
        <v>0</v>
      </c>
      <c r="I31">
        <v>0</v>
      </c>
      <c r="J31" t="s">
        <v>2080</v>
      </c>
      <c r="K31" t="s">
        <v>2566</v>
      </c>
    </row>
    <row r="32" spans="1:11" x14ac:dyDescent="0.45">
      <c r="A32">
        <v>4</v>
      </c>
      <c r="B32" t="s">
        <v>2564</v>
      </c>
      <c r="C32" t="s">
        <v>1861</v>
      </c>
      <c r="D32" t="b">
        <v>0</v>
      </c>
      <c r="E32" t="s">
        <v>1697</v>
      </c>
      <c r="F32" t="s">
        <v>2113</v>
      </c>
      <c r="G32">
        <v>1</v>
      </c>
      <c r="H32">
        <v>0</v>
      </c>
      <c r="I32">
        <v>0</v>
      </c>
      <c r="J32" t="s">
        <v>2081</v>
      </c>
      <c r="K32" t="s">
        <v>2567</v>
      </c>
    </row>
    <row r="33" spans="1:11" x14ac:dyDescent="0.45">
      <c r="A33">
        <v>4</v>
      </c>
      <c r="B33" t="s">
        <v>2564</v>
      </c>
      <c r="C33" t="s">
        <v>1861</v>
      </c>
      <c r="D33" t="b">
        <v>0</v>
      </c>
      <c r="E33" t="s">
        <v>1697</v>
      </c>
      <c r="F33" t="s">
        <v>2109</v>
      </c>
      <c r="G33">
        <v>1.05</v>
      </c>
      <c r="H33">
        <v>0</v>
      </c>
      <c r="I33">
        <v>0</v>
      </c>
      <c r="J33" t="s">
        <v>2082</v>
      </c>
      <c r="K33" t="s">
        <v>2568</v>
      </c>
    </row>
    <row r="34" spans="1:11" x14ac:dyDescent="0.45">
      <c r="A34">
        <v>4</v>
      </c>
      <c r="B34" t="s">
        <v>2564</v>
      </c>
      <c r="C34" t="s">
        <v>1861</v>
      </c>
      <c r="D34" t="b">
        <v>0</v>
      </c>
      <c r="E34" t="s">
        <v>1697</v>
      </c>
      <c r="F34" t="s">
        <v>2110</v>
      </c>
      <c r="G34">
        <v>1.18</v>
      </c>
      <c r="H34">
        <v>0</v>
      </c>
      <c r="I34">
        <v>0</v>
      </c>
      <c r="J34" t="s">
        <v>2083</v>
      </c>
      <c r="K34" t="s">
        <v>2569</v>
      </c>
    </row>
    <row r="35" spans="1:11" x14ac:dyDescent="0.45">
      <c r="A35">
        <v>4</v>
      </c>
      <c r="B35" t="s">
        <v>2564</v>
      </c>
      <c r="C35" t="s">
        <v>1861</v>
      </c>
      <c r="D35" t="b">
        <v>0</v>
      </c>
      <c r="E35" t="s">
        <v>1697</v>
      </c>
      <c r="F35" t="s">
        <v>2111</v>
      </c>
      <c r="G35">
        <v>1.38</v>
      </c>
      <c r="H35">
        <v>0</v>
      </c>
      <c r="I35">
        <v>0</v>
      </c>
      <c r="J35" t="s">
        <v>2084</v>
      </c>
      <c r="K35" t="s">
        <v>2570</v>
      </c>
    </row>
    <row r="36" spans="1:11" x14ac:dyDescent="0.45">
      <c r="A36">
        <v>4</v>
      </c>
      <c r="B36" t="s">
        <v>2564</v>
      </c>
      <c r="C36" t="s">
        <v>1861</v>
      </c>
      <c r="D36" t="b">
        <v>0</v>
      </c>
      <c r="E36" t="s">
        <v>1697</v>
      </c>
      <c r="F36" t="s">
        <v>2112</v>
      </c>
      <c r="G36">
        <v>1.75</v>
      </c>
      <c r="H36">
        <v>0</v>
      </c>
      <c r="I36">
        <v>0</v>
      </c>
      <c r="J36" t="s">
        <v>2085</v>
      </c>
      <c r="K36" t="s">
        <v>2571</v>
      </c>
    </row>
    <row r="37" spans="1:11" x14ac:dyDescent="0.45">
      <c r="A37">
        <v>4</v>
      </c>
      <c r="B37" t="s">
        <v>2564</v>
      </c>
      <c r="C37" t="s">
        <v>1861</v>
      </c>
      <c r="D37" t="b">
        <v>0</v>
      </c>
      <c r="E37" t="s">
        <v>1728</v>
      </c>
      <c r="F37" t="s">
        <v>2106</v>
      </c>
      <c r="G37">
        <v>0</v>
      </c>
      <c r="H37">
        <v>0.8</v>
      </c>
      <c r="I37">
        <v>0.9</v>
      </c>
      <c r="J37" t="s">
        <v>2079</v>
      </c>
      <c r="K37" t="s">
        <v>2565</v>
      </c>
    </row>
    <row r="38" spans="1:11" x14ac:dyDescent="0.45">
      <c r="A38">
        <v>4</v>
      </c>
      <c r="B38" t="s">
        <v>2564</v>
      </c>
      <c r="C38" t="s">
        <v>1861</v>
      </c>
      <c r="D38" t="b">
        <v>0</v>
      </c>
      <c r="E38" t="s">
        <v>1728</v>
      </c>
      <c r="F38" t="s">
        <v>2107</v>
      </c>
      <c r="G38">
        <v>0</v>
      </c>
      <c r="H38">
        <v>0.9</v>
      </c>
      <c r="I38">
        <v>1</v>
      </c>
      <c r="J38" t="s">
        <v>2080</v>
      </c>
      <c r="K38" t="s">
        <v>2566</v>
      </c>
    </row>
    <row r="39" spans="1:11" x14ac:dyDescent="0.45">
      <c r="A39">
        <v>4</v>
      </c>
      <c r="B39" t="s">
        <v>2564</v>
      </c>
      <c r="C39" t="s">
        <v>1861</v>
      </c>
      <c r="D39" t="b">
        <v>0</v>
      </c>
      <c r="E39" t="s">
        <v>1728</v>
      </c>
      <c r="F39" t="s">
        <v>2113</v>
      </c>
      <c r="G39">
        <v>0</v>
      </c>
      <c r="H39">
        <v>1</v>
      </c>
      <c r="I39">
        <v>1</v>
      </c>
      <c r="J39" t="s">
        <v>2081</v>
      </c>
      <c r="K39" t="s">
        <v>2567</v>
      </c>
    </row>
    <row r="40" spans="1:11" x14ac:dyDescent="0.45">
      <c r="A40">
        <v>4</v>
      </c>
      <c r="B40" t="s">
        <v>2564</v>
      </c>
      <c r="C40" t="s">
        <v>1861</v>
      </c>
      <c r="D40" t="b">
        <v>0</v>
      </c>
      <c r="E40" t="s">
        <v>1728</v>
      </c>
      <c r="F40" t="s">
        <v>2109</v>
      </c>
      <c r="G40">
        <v>0</v>
      </c>
      <c r="H40">
        <v>1</v>
      </c>
      <c r="I40">
        <v>1.1000000000000001</v>
      </c>
      <c r="J40" t="s">
        <v>2082</v>
      </c>
      <c r="K40" t="s">
        <v>2568</v>
      </c>
    </row>
    <row r="41" spans="1:11" x14ac:dyDescent="0.45">
      <c r="A41">
        <v>4</v>
      </c>
      <c r="B41" t="s">
        <v>2564</v>
      </c>
      <c r="C41" t="s">
        <v>1861</v>
      </c>
      <c r="D41" t="b">
        <v>0</v>
      </c>
      <c r="E41" t="s">
        <v>1728</v>
      </c>
      <c r="F41" t="s">
        <v>2110</v>
      </c>
      <c r="G41">
        <v>0</v>
      </c>
      <c r="H41">
        <v>1.1000000000000001</v>
      </c>
      <c r="I41">
        <v>1.25</v>
      </c>
      <c r="J41" t="s">
        <v>2083</v>
      </c>
      <c r="K41" t="s">
        <v>2569</v>
      </c>
    </row>
    <row r="42" spans="1:11" x14ac:dyDescent="0.45">
      <c r="A42">
        <v>4</v>
      </c>
      <c r="B42" t="s">
        <v>2564</v>
      </c>
      <c r="C42" t="s">
        <v>1861</v>
      </c>
      <c r="D42" t="b">
        <v>0</v>
      </c>
      <c r="E42" t="s">
        <v>1728</v>
      </c>
      <c r="F42" t="s">
        <v>2111</v>
      </c>
      <c r="G42">
        <v>0</v>
      </c>
      <c r="H42">
        <v>1.25</v>
      </c>
      <c r="I42">
        <v>1.5</v>
      </c>
      <c r="J42" t="s">
        <v>2084</v>
      </c>
      <c r="K42" t="s">
        <v>2570</v>
      </c>
    </row>
    <row r="43" spans="1:11" x14ac:dyDescent="0.45">
      <c r="A43">
        <v>4</v>
      </c>
      <c r="B43" t="s">
        <v>2564</v>
      </c>
      <c r="C43" t="s">
        <v>1861</v>
      </c>
      <c r="D43" t="b">
        <v>0</v>
      </c>
      <c r="E43" t="s">
        <v>1728</v>
      </c>
      <c r="F43" t="s">
        <v>2112</v>
      </c>
      <c r="G43">
        <v>0</v>
      </c>
      <c r="H43">
        <v>1.5</v>
      </c>
      <c r="I43">
        <v>2</v>
      </c>
      <c r="J43" t="s">
        <v>2085</v>
      </c>
      <c r="K43" t="s">
        <v>2571</v>
      </c>
    </row>
    <row r="44" spans="1:11" x14ac:dyDescent="0.45">
      <c r="A44">
        <v>5</v>
      </c>
      <c r="B44" t="s">
        <v>2572</v>
      </c>
      <c r="C44" t="s">
        <v>1862</v>
      </c>
      <c r="D44" t="b">
        <v>1</v>
      </c>
      <c r="E44" t="s">
        <v>1697</v>
      </c>
      <c r="F44" t="s">
        <v>2106</v>
      </c>
      <c r="G44">
        <v>0.85</v>
      </c>
      <c r="H44">
        <v>0</v>
      </c>
      <c r="I44">
        <v>0</v>
      </c>
      <c r="J44" t="s">
        <v>2086</v>
      </c>
      <c r="K44" t="s">
        <v>2573</v>
      </c>
    </row>
    <row r="45" spans="1:11" x14ac:dyDescent="0.45">
      <c r="A45">
        <v>5</v>
      </c>
      <c r="B45" t="s">
        <v>2572</v>
      </c>
      <c r="C45" t="s">
        <v>1862</v>
      </c>
      <c r="D45" t="b">
        <v>1</v>
      </c>
      <c r="E45" t="s">
        <v>1697</v>
      </c>
      <c r="F45" t="s">
        <v>2107</v>
      </c>
      <c r="G45">
        <v>0.95</v>
      </c>
      <c r="H45">
        <v>0</v>
      </c>
      <c r="I45">
        <v>0</v>
      </c>
      <c r="J45" t="s">
        <v>2087</v>
      </c>
      <c r="K45" t="s">
        <v>2574</v>
      </c>
    </row>
    <row r="46" spans="1:11" x14ac:dyDescent="0.45">
      <c r="A46">
        <v>5</v>
      </c>
      <c r="B46" t="s">
        <v>2572</v>
      </c>
      <c r="C46" t="s">
        <v>1862</v>
      </c>
      <c r="D46" t="b">
        <v>1</v>
      </c>
      <c r="E46" t="s">
        <v>1697</v>
      </c>
      <c r="F46" t="s">
        <v>2113</v>
      </c>
      <c r="G46">
        <v>1</v>
      </c>
      <c r="H46">
        <v>0</v>
      </c>
      <c r="I46">
        <v>0</v>
      </c>
      <c r="J46" t="s">
        <v>2088</v>
      </c>
      <c r="K46" t="s">
        <v>2575</v>
      </c>
    </row>
    <row r="47" spans="1:11" x14ac:dyDescent="0.45">
      <c r="A47">
        <v>5</v>
      </c>
      <c r="B47" t="s">
        <v>2572</v>
      </c>
      <c r="C47" t="s">
        <v>1862</v>
      </c>
      <c r="D47" t="b">
        <v>1</v>
      </c>
      <c r="E47" t="s">
        <v>1697</v>
      </c>
      <c r="F47" t="s">
        <v>2109</v>
      </c>
      <c r="G47">
        <v>1.05</v>
      </c>
      <c r="H47">
        <v>0</v>
      </c>
      <c r="I47">
        <v>0</v>
      </c>
      <c r="J47" t="s">
        <v>2089</v>
      </c>
      <c r="K47" t="s">
        <v>2576</v>
      </c>
    </row>
    <row r="48" spans="1:11" x14ac:dyDescent="0.45">
      <c r="A48">
        <v>5</v>
      </c>
      <c r="B48" t="s">
        <v>2572</v>
      </c>
      <c r="C48" t="s">
        <v>1862</v>
      </c>
      <c r="D48" t="b">
        <v>1</v>
      </c>
      <c r="E48" t="s">
        <v>1697</v>
      </c>
      <c r="F48" t="s">
        <v>2110</v>
      </c>
      <c r="G48">
        <v>1.18</v>
      </c>
      <c r="H48">
        <v>0</v>
      </c>
      <c r="I48">
        <v>0</v>
      </c>
      <c r="J48" t="s">
        <v>2090</v>
      </c>
      <c r="K48" t="s">
        <v>2577</v>
      </c>
    </row>
    <row r="49" spans="1:11" x14ac:dyDescent="0.45">
      <c r="A49">
        <v>5</v>
      </c>
      <c r="B49" t="s">
        <v>2572</v>
      </c>
      <c r="C49" t="s">
        <v>1862</v>
      </c>
      <c r="D49" t="b">
        <v>1</v>
      </c>
      <c r="E49" t="s">
        <v>1697</v>
      </c>
      <c r="F49" t="s">
        <v>2111</v>
      </c>
      <c r="G49">
        <v>1.38</v>
      </c>
      <c r="H49">
        <v>0</v>
      </c>
      <c r="I49">
        <v>0</v>
      </c>
      <c r="J49" t="s">
        <v>2091</v>
      </c>
      <c r="K49" t="s">
        <v>2578</v>
      </c>
    </row>
    <row r="50" spans="1:11" x14ac:dyDescent="0.45">
      <c r="A50">
        <v>5</v>
      </c>
      <c r="B50" t="s">
        <v>2572</v>
      </c>
      <c r="C50" t="s">
        <v>1862</v>
      </c>
      <c r="D50" t="b">
        <v>1</v>
      </c>
      <c r="E50" t="s">
        <v>1697</v>
      </c>
      <c r="F50" t="s">
        <v>2112</v>
      </c>
      <c r="G50">
        <v>1.75</v>
      </c>
      <c r="H50">
        <v>0</v>
      </c>
      <c r="I50">
        <v>0</v>
      </c>
      <c r="J50" t="s">
        <v>2092</v>
      </c>
      <c r="K50" t="s">
        <v>2579</v>
      </c>
    </row>
    <row r="51" spans="1:11" x14ac:dyDescent="0.45">
      <c r="A51">
        <v>5</v>
      </c>
      <c r="B51" t="s">
        <v>2572</v>
      </c>
      <c r="C51" t="s">
        <v>1862</v>
      </c>
      <c r="D51" t="b">
        <v>0</v>
      </c>
      <c r="E51" t="s">
        <v>1697</v>
      </c>
      <c r="F51" t="s">
        <v>2106</v>
      </c>
      <c r="G51">
        <v>0.85</v>
      </c>
      <c r="H51">
        <v>0</v>
      </c>
      <c r="I51">
        <v>0</v>
      </c>
      <c r="J51" t="s">
        <v>2086</v>
      </c>
      <c r="K51" t="s">
        <v>2573</v>
      </c>
    </row>
    <row r="52" spans="1:11" x14ac:dyDescent="0.45">
      <c r="A52">
        <v>5</v>
      </c>
      <c r="B52" t="s">
        <v>2572</v>
      </c>
      <c r="C52" t="s">
        <v>1862</v>
      </c>
      <c r="D52" t="b">
        <v>0</v>
      </c>
      <c r="E52" t="s">
        <v>1697</v>
      </c>
      <c r="F52" t="s">
        <v>2107</v>
      </c>
      <c r="G52">
        <v>0.95</v>
      </c>
      <c r="H52">
        <v>0</v>
      </c>
      <c r="I52">
        <v>0</v>
      </c>
      <c r="J52" t="s">
        <v>2087</v>
      </c>
      <c r="K52" t="s">
        <v>2574</v>
      </c>
    </row>
    <row r="53" spans="1:11" x14ac:dyDescent="0.45">
      <c r="A53">
        <v>5</v>
      </c>
      <c r="B53" t="s">
        <v>2572</v>
      </c>
      <c r="C53" t="s">
        <v>1862</v>
      </c>
      <c r="D53" t="b">
        <v>0</v>
      </c>
      <c r="E53" t="s">
        <v>1697</v>
      </c>
      <c r="F53" t="s">
        <v>2113</v>
      </c>
      <c r="G53">
        <v>1</v>
      </c>
      <c r="H53">
        <v>0</v>
      </c>
      <c r="I53">
        <v>0</v>
      </c>
      <c r="J53" t="s">
        <v>2088</v>
      </c>
      <c r="K53" t="s">
        <v>2575</v>
      </c>
    </row>
    <row r="54" spans="1:11" x14ac:dyDescent="0.45">
      <c r="A54">
        <v>5</v>
      </c>
      <c r="B54" t="s">
        <v>2572</v>
      </c>
      <c r="C54" t="s">
        <v>1862</v>
      </c>
      <c r="D54" t="b">
        <v>0</v>
      </c>
      <c r="E54" t="s">
        <v>1697</v>
      </c>
      <c r="F54" t="s">
        <v>2109</v>
      </c>
      <c r="G54">
        <v>1.05</v>
      </c>
      <c r="H54">
        <v>0</v>
      </c>
      <c r="I54">
        <v>0</v>
      </c>
      <c r="J54" t="s">
        <v>2089</v>
      </c>
      <c r="K54" t="s">
        <v>2576</v>
      </c>
    </row>
    <row r="55" spans="1:11" x14ac:dyDescent="0.45">
      <c r="A55">
        <v>5</v>
      </c>
      <c r="B55" t="s">
        <v>2572</v>
      </c>
      <c r="C55" t="s">
        <v>1862</v>
      </c>
      <c r="D55" t="b">
        <v>0</v>
      </c>
      <c r="E55" t="s">
        <v>1697</v>
      </c>
      <c r="F55" t="s">
        <v>2110</v>
      </c>
      <c r="G55">
        <v>1.18</v>
      </c>
      <c r="H55">
        <v>0</v>
      </c>
      <c r="I55">
        <v>0</v>
      </c>
      <c r="J55" t="s">
        <v>2090</v>
      </c>
      <c r="K55" t="s">
        <v>2577</v>
      </c>
    </row>
    <row r="56" spans="1:11" x14ac:dyDescent="0.45">
      <c r="A56">
        <v>5</v>
      </c>
      <c r="B56" t="s">
        <v>2572</v>
      </c>
      <c r="C56" t="s">
        <v>1862</v>
      </c>
      <c r="D56" t="b">
        <v>0</v>
      </c>
      <c r="E56" t="s">
        <v>1697</v>
      </c>
      <c r="F56" t="s">
        <v>2111</v>
      </c>
      <c r="G56">
        <v>1.38</v>
      </c>
      <c r="H56">
        <v>0</v>
      </c>
      <c r="I56">
        <v>0</v>
      </c>
      <c r="J56" t="s">
        <v>2091</v>
      </c>
      <c r="K56" t="s">
        <v>2578</v>
      </c>
    </row>
    <row r="57" spans="1:11" x14ac:dyDescent="0.45">
      <c r="A57">
        <v>5</v>
      </c>
      <c r="B57" t="s">
        <v>2572</v>
      </c>
      <c r="C57" t="s">
        <v>1862</v>
      </c>
      <c r="D57" t="b">
        <v>0</v>
      </c>
      <c r="E57" t="s">
        <v>1697</v>
      </c>
      <c r="F57" t="s">
        <v>2112</v>
      </c>
      <c r="G57">
        <v>1.75</v>
      </c>
      <c r="H57">
        <v>0</v>
      </c>
      <c r="I57">
        <v>0</v>
      </c>
      <c r="J57" t="s">
        <v>2092</v>
      </c>
      <c r="K57" t="s">
        <v>2579</v>
      </c>
    </row>
    <row r="58" spans="1:11" x14ac:dyDescent="0.45">
      <c r="A58">
        <v>5</v>
      </c>
      <c r="B58" t="s">
        <v>2572</v>
      </c>
      <c r="C58" t="s">
        <v>1862</v>
      </c>
      <c r="D58" t="b">
        <v>0</v>
      </c>
      <c r="E58" t="s">
        <v>1728</v>
      </c>
      <c r="F58" t="s">
        <v>2106</v>
      </c>
      <c r="G58">
        <v>0</v>
      </c>
      <c r="H58">
        <v>0.8</v>
      </c>
      <c r="I58">
        <v>0.9</v>
      </c>
      <c r="J58" t="s">
        <v>2086</v>
      </c>
      <c r="K58" t="s">
        <v>2573</v>
      </c>
    </row>
    <row r="59" spans="1:11" x14ac:dyDescent="0.45">
      <c r="A59">
        <v>5</v>
      </c>
      <c r="B59" t="s">
        <v>2572</v>
      </c>
      <c r="C59" t="s">
        <v>1862</v>
      </c>
      <c r="D59" t="b">
        <v>0</v>
      </c>
      <c r="E59" t="s">
        <v>1728</v>
      </c>
      <c r="F59" t="s">
        <v>2107</v>
      </c>
      <c r="G59">
        <v>0</v>
      </c>
      <c r="H59">
        <v>0.9</v>
      </c>
      <c r="I59">
        <v>1</v>
      </c>
      <c r="J59" t="s">
        <v>2087</v>
      </c>
      <c r="K59" t="s">
        <v>2574</v>
      </c>
    </row>
    <row r="60" spans="1:11" x14ac:dyDescent="0.45">
      <c r="A60">
        <v>5</v>
      </c>
      <c r="B60" t="s">
        <v>2572</v>
      </c>
      <c r="C60" t="s">
        <v>1862</v>
      </c>
      <c r="D60" t="b">
        <v>0</v>
      </c>
      <c r="E60" t="s">
        <v>1728</v>
      </c>
      <c r="F60" t="s">
        <v>2113</v>
      </c>
      <c r="G60">
        <v>0</v>
      </c>
      <c r="H60">
        <v>1</v>
      </c>
      <c r="I60">
        <v>1</v>
      </c>
      <c r="J60" t="s">
        <v>2088</v>
      </c>
      <c r="K60" t="s">
        <v>2575</v>
      </c>
    </row>
    <row r="61" spans="1:11" x14ac:dyDescent="0.45">
      <c r="A61">
        <v>5</v>
      </c>
      <c r="B61" t="s">
        <v>2572</v>
      </c>
      <c r="C61" t="s">
        <v>1862</v>
      </c>
      <c r="D61" t="b">
        <v>0</v>
      </c>
      <c r="E61" t="s">
        <v>1728</v>
      </c>
      <c r="F61" t="s">
        <v>2109</v>
      </c>
      <c r="G61">
        <v>0</v>
      </c>
      <c r="H61">
        <v>1</v>
      </c>
      <c r="I61">
        <v>1.1000000000000001</v>
      </c>
      <c r="J61" t="s">
        <v>2089</v>
      </c>
      <c r="K61" t="s">
        <v>2576</v>
      </c>
    </row>
    <row r="62" spans="1:11" x14ac:dyDescent="0.45">
      <c r="A62">
        <v>5</v>
      </c>
      <c r="B62" t="s">
        <v>2572</v>
      </c>
      <c r="C62" t="s">
        <v>1862</v>
      </c>
      <c r="D62" t="b">
        <v>0</v>
      </c>
      <c r="E62" t="s">
        <v>1728</v>
      </c>
      <c r="F62" t="s">
        <v>2110</v>
      </c>
      <c r="G62">
        <v>0</v>
      </c>
      <c r="H62">
        <v>1.1000000000000001</v>
      </c>
      <c r="I62">
        <v>1.25</v>
      </c>
      <c r="J62" t="s">
        <v>2090</v>
      </c>
      <c r="K62" t="s">
        <v>2577</v>
      </c>
    </row>
    <row r="63" spans="1:11" x14ac:dyDescent="0.45">
      <c r="A63">
        <v>5</v>
      </c>
      <c r="B63" t="s">
        <v>2572</v>
      </c>
      <c r="C63" t="s">
        <v>1862</v>
      </c>
      <c r="D63" t="b">
        <v>0</v>
      </c>
      <c r="E63" t="s">
        <v>1728</v>
      </c>
      <c r="F63" t="s">
        <v>2111</v>
      </c>
      <c r="G63">
        <v>0</v>
      </c>
      <c r="H63">
        <v>1.25</v>
      </c>
      <c r="I63">
        <v>1.5</v>
      </c>
      <c r="J63" t="s">
        <v>2091</v>
      </c>
      <c r="K63" t="s">
        <v>2578</v>
      </c>
    </row>
    <row r="64" spans="1:11" x14ac:dyDescent="0.45">
      <c r="A64">
        <v>5</v>
      </c>
      <c r="B64" t="s">
        <v>2572</v>
      </c>
      <c r="C64" t="s">
        <v>1862</v>
      </c>
      <c r="D64" t="b">
        <v>0</v>
      </c>
      <c r="E64" t="s">
        <v>1728</v>
      </c>
      <c r="F64" t="s">
        <v>2112</v>
      </c>
      <c r="G64">
        <v>0</v>
      </c>
      <c r="H64">
        <v>1.5</v>
      </c>
      <c r="I64">
        <v>2</v>
      </c>
      <c r="J64" t="s">
        <v>2092</v>
      </c>
      <c r="K64" t="s">
        <v>2579</v>
      </c>
    </row>
    <row r="65" spans="1:11" x14ac:dyDescent="0.45">
      <c r="A65">
        <v>6</v>
      </c>
      <c r="B65" t="s">
        <v>2580</v>
      </c>
      <c r="C65" t="s">
        <v>1863</v>
      </c>
      <c r="D65" t="b">
        <v>1</v>
      </c>
      <c r="E65" t="s">
        <v>1697</v>
      </c>
      <c r="F65" t="s">
        <v>2106</v>
      </c>
      <c r="G65">
        <v>0.85</v>
      </c>
      <c r="H65">
        <v>0</v>
      </c>
      <c r="I65">
        <v>0</v>
      </c>
      <c r="J65" t="s">
        <v>2093</v>
      </c>
      <c r="K65" t="s">
        <v>2581</v>
      </c>
    </row>
    <row r="66" spans="1:11" x14ac:dyDescent="0.45">
      <c r="A66">
        <v>6</v>
      </c>
      <c r="B66" t="s">
        <v>2580</v>
      </c>
      <c r="C66" t="s">
        <v>1863</v>
      </c>
      <c r="D66" t="b">
        <v>1</v>
      </c>
      <c r="E66" t="s">
        <v>1697</v>
      </c>
      <c r="F66" t="s">
        <v>2107</v>
      </c>
      <c r="G66">
        <v>0.95</v>
      </c>
      <c r="H66">
        <v>0</v>
      </c>
      <c r="I66">
        <v>0</v>
      </c>
      <c r="J66" t="s">
        <v>2094</v>
      </c>
      <c r="K66" t="s">
        <v>2582</v>
      </c>
    </row>
    <row r="67" spans="1:11" x14ac:dyDescent="0.45">
      <c r="A67">
        <v>6</v>
      </c>
      <c r="B67" t="s">
        <v>2580</v>
      </c>
      <c r="C67" t="s">
        <v>1863</v>
      </c>
      <c r="D67" t="b">
        <v>1</v>
      </c>
      <c r="E67" t="s">
        <v>1697</v>
      </c>
      <c r="F67" t="s">
        <v>2113</v>
      </c>
      <c r="G67">
        <v>1</v>
      </c>
      <c r="H67">
        <v>0</v>
      </c>
      <c r="I67">
        <v>0</v>
      </c>
      <c r="J67" t="s">
        <v>2095</v>
      </c>
      <c r="K67" t="s">
        <v>2583</v>
      </c>
    </row>
    <row r="68" spans="1:11" x14ac:dyDescent="0.45">
      <c r="A68">
        <v>6</v>
      </c>
      <c r="B68" t="s">
        <v>2580</v>
      </c>
      <c r="C68" t="s">
        <v>1863</v>
      </c>
      <c r="D68" t="b">
        <v>1</v>
      </c>
      <c r="E68" t="s">
        <v>1697</v>
      </c>
      <c r="F68" t="s">
        <v>2109</v>
      </c>
      <c r="G68">
        <v>1.05</v>
      </c>
      <c r="H68">
        <v>0</v>
      </c>
      <c r="I68">
        <v>0</v>
      </c>
      <c r="J68" t="s">
        <v>2096</v>
      </c>
      <c r="K68" t="s">
        <v>2584</v>
      </c>
    </row>
    <row r="69" spans="1:11" x14ac:dyDescent="0.45">
      <c r="A69">
        <v>6</v>
      </c>
      <c r="B69" t="s">
        <v>2580</v>
      </c>
      <c r="C69" t="s">
        <v>1863</v>
      </c>
      <c r="D69" t="b">
        <v>1</v>
      </c>
      <c r="E69" t="s">
        <v>1697</v>
      </c>
      <c r="F69" t="s">
        <v>2110</v>
      </c>
      <c r="G69">
        <v>1.18</v>
      </c>
      <c r="H69">
        <v>0</v>
      </c>
      <c r="I69">
        <v>0</v>
      </c>
      <c r="J69" t="s">
        <v>2097</v>
      </c>
      <c r="K69" t="s">
        <v>2585</v>
      </c>
    </row>
    <row r="70" spans="1:11" x14ac:dyDescent="0.45">
      <c r="A70">
        <v>6</v>
      </c>
      <c r="B70" t="s">
        <v>2580</v>
      </c>
      <c r="C70" t="s">
        <v>1863</v>
      </c>
      <c r="D70" t="b">
        <v>1</v>
      </c>
      <c r="E70" t="s">
        <v>1697</v>
      </c>
      <c r="F70" t="s">
        <v>2111</v>
      </c>
      <c r="G70">
        <v>1.38</v>
      </c>
      <c r="H70">
        <v>0</v>
      </c>
      <c r="I70">
        <v>0</v>
      </c>
      <c r="J70" t="s">
        <v>2098</v>
      </c>
      <c r="K70" t="s">
        <v>2586</v>
      </c>
    </row>
    <row r="71" spans="1:11" x14ac:dyDescent="0.45">
      <c r="A71">
        <v>6</v>
      </c>
      <c r="B71" t="s">
        <v>2580</v>
      </c>
      <c r="C71" t="s">
        <v>1863</v>
      </c>
      <c r="D71" t="b">
        <v>1</v>
      </c>
      <c r="E71" t="s">
        <v>1697</v>
      </c>
      <c r="F71" t="s">
        <v>2112</v>
      </c>
      <c r="G71">
        <v>1.75</v>
      </c>
      <c r="H71">
        <v>0</v>
      </c>
      <c r="I71">
        <v>0</v>
      </c>
      <c r="J71" t="s">
        <v>2099</v>
      </c>
      <c r="K71" t="s">
        <v>2587</v>
      </c>
    </row>
    <row r="72" spans="1:11" x14ac:dyDescent="0.45">
      <c r="A72">
        <v>6</v>
      </c>
      <c r="B72" t="s">
        <v>2580</v>
      </c>
      <c r="C72" t="s">
        <v>1863</v>
      </c>
      <c r="D72" t="b">
        <v>0</v>
      </c>
      <c r="E72" t="s">
        <v>1697</v>
      </c>
      <c r="F72" t="s">
        <v>2106</v>
      </c>
      <c r="G72">
        <v>0.85</v>
      </c>
      <c r="H72">
        <v>0</v>
      </c>
      <c r="I72">
        <v>0</v>
      </c>
      <c r="J72" t="s">
        <v>2093</v>
      </c>
      <c r="K72" t="s">
        <v>2581</v>
      </c>
    </row>
    <row r="73" spans="1:11" x14ac:dyDescent="0.45">
      <c r="A73">
        <v>6</v>
      </c>
      <c r="B73" t="s">
        <v>2580</v>
      </c>
      <c r="C73" t="s">
        <v>1863</v>
      </c>
      <c r="D73" t="b">
        <v>0</v>
      </c>
      <c r="E73" t="s">
        <v>1697</v>
      </c>
      <c r="F73" t="s">
        <v>2107</v>
      </c>
      <c r="G73">
        <v>0.95</v>
      </c>
      <c r="H73">
        <v>0</v>
      </c>
      <c r="I73">
        <v>0</v>
      </c>
      <c r="J73" t="s">
        <v>2094</v>
      </c>
      <c r="K73" t="s">
        <v>2582</v>
      </c>
    </row>
    <row r="74" spans="1:11" x14ac:dyDescent="0.45">
      <c r="A74">
        <v>6</v>
      </c>
      <c r="B74" t="s">
        <v>2580</v>
      </c>
      <c r="C74" t="s">
        <v>1863</v>
      </c>
      <c r="D74" t="b">
        <v>0</v>
      </c>
      <c r="E74" t="s">
        <v>1697</v>
      </c>
      <c r="F74" t="s">
        <v>2113</v>
      </c>
      <c r="G74">
        <v>1</v>
      </c>
      <c r="H74">
        <v>0</v>
      </c>
      <c r="I74">
        <v>0</v>
      </c>
      <c r="J74" t="s">
        <v>2095</v>
      </c>
      <c r="K74" t="s">
        <v>2583</v>
      </c>
    </row>
    <row r="75" spans="1:11" x14ac:dyDescent="0.45">
      <c r="A75">
        <v>6</v>
      </c>
      <c r="B75" t="s">
        <v>2580</v>
      </c>
      <c r="C75" t="s">
        <v>1863</v>
      </c>
      <c r="D75" t="b">
        <v>0</v>
      </c>
      <c r="E75" t="s">
        <v>1697</v>
      </c>
      <c r="F75" t="s">
        <v>2109</v>
      </c>
      <c r="G75">
        <v>1.05</v>
      </c>
      <c r="H75">
        <v>0</v>
      </c>
      <c r="I75">
        <v>0</v>
      </c>
      <c r="J75" t="s">
        <v>2096</v>
      </c>
      <c r="K75" t="s">
        <v>2584</v>
      </c>
    </row>
    <row r="76" spans="1:11" x14ac:dyDescent="0.45">
      <c r="A76">
        <v>6</v>
      </c>
      <c r="B76" t="s">
        <v>2580</v>
      </c>
      <c r="C76" t="s">
        <v>1863</v>
      </c>
      <c r="D76" t="b">
        <v>0</v>
      </c>
      <c r="E76" t="s">
        <v>1697</v>
      </c>
      <c r="F76" t="s">
        <v>2110</v>
      </c>
      <c r="G76">
        <v>1.18</v>
      </c>
      <c r="H76">
        <v>0</v>
      </c>
      <c r="I76">
        <v>0</v>
      </c>
      <c r="J76" t="s">
        <v>2097</v>
      </c>
      <c r="K76" t="s">
        <v>2585</v>
      </c>
    </row>
    <row r="77" spans="1:11" x14ac:dyDescent="0.45">
      <c r="A77">
        <v>6</v>
      </c>
      <c r="B77" t="s">
        <v>2580</v>
      </c>
      <c r="C77" t="s">
        <v>1863</v>
      </c>
      <c r="D77" t="b">
        <v>0</v>
      </c>
      <c r="E77" t="s">
        <v>1697</v>
      </c>
      <c r="F77" t="s">
        <v>2111</v>
      </c>
      <c r="G77">
        <v>1.38</v>
      </c>
      <c r="H77">
        <v>0</v>
      </c>
      <c r="I77">
        <v>0</v>
      </c>
      <c r="J77" t="s">
        <v>2098</v>
      </c>
      <c r="K77" t="s">
        <v>2586</v>
      </c>
    </row>
    <row r="78" spans="1:11" x14ac:dyDescent="0.45">
      <c r="A78">
        <v>6</v>
      </c>
      <c r="B78" t="s">
        <v>2580</v>
      </c>
      <c r="C78" t="s">
        <v>1863</v>
      </c>
      <c r="D78" t="b">
        <v>0</v>
      </c>
      <c r="E78" t="s">
        <v>1697</v>
      </c>
      <c r="F78" t="s">
        <v>2112</v>
      </c>
      <c r="G78">
        <v>1.75</v>
      </c>
      <c r="H78">
        <v>0</v>
      </c>
      <c r="I78">
        <v>0</v>
      </c>
      <c r="J78" t="s">
        <v>2099</v>
      </c>
      <c r="K78" t="s">
        <v>2587</v>
      </c>
    </row>
    <row r="79" spans="1:11" x14ac:dyDescent="0.45">
      <c r="A79">
        <v>6</v>
      </c>
      <c r="B79" t="s">
        <v>2580</v>
      </c>
      <c r="C79" t="s">
        <v>1863</v>
      </c>
      <c r="D79" t="b">
        <v>0</v>
      </c>
      <c r="E79" t="s">
        <v>1728</v>
      </c>
      <c r="F79" t="s">
        <v>2106</v>
      </c>
      <c r="G79">
        <v>0</v>
      </c>
      <c r="H79">
        <v>0.8</v>
      </c>
      <c r="I79">
        <v>0.9</v>
      </c>
      <c r="J79" t="s">
        <v>2093</v>
      </c>
      <c r="K79" t="s">
        <v>2581</v>
      </c>
    </row>
    <row r="80" spans="1:11" x14ac:dyDescent="0.45">
      <c r="A80">
        <v>6</v>
      </c>
      <c r="B80" t="s">
        <v>2580</v>
      </c>
      <c r="C80" t="s">
        <v>1863</v>
      </c>
      <c r="D80" t="b">
        <v>0</v>
      </c>
      <c r="E80" t="s">
        <v>1728</v>
      </c>
      <c r="F80" t="s">
        <v>2107</v>
      </c>
      <c r="G80">
        <v>0</v>
      </c>
      <c r="H80">
        <v>0.9</v>
      </c>
      <c r="I80">
        <v>1</v>
      </c>
      <c r="J80" t="s">
        <v>2094</v>
      </c>
      <c r="K80" t="s">
        <v>2582</v>
      </c>
    </row>
    <row r="81" spans="1:11" x14ac:dyDescent="0.45">
      <c r="A81">
        <v>6</v>
      </c>
      <c r="B81" t="s">
        <v>2580</v>
      </c>
      <c r="C81" t="s">
        <v>1863</v>
      </c>
      <c r="D81" t="b">
        <v>0</v>
      </c>
      <c r="E81" t="s">
        <v>1728</v>
      </c>
      <c r="F81" t="s">
        <v>2113</v>
      </c>
      <c r="G81">
        <v>0</v>
      </c>
      <c r="H81">
        <v>1</v>
      </c>
      <c r="I81">
        <v>1</v>
      </c>
      <c r="J81" t="s">
        <v>2095</v>
      </c>
      <c r="K81" t="s">
        <v>2583</v>
      </c>
    </row>
    <row r="82" spans="1:11" x14ac:dyDescent="0.45">
      <c r="A82">
        <v>6</v>
      </c>
      <c r="B82" t="s">
        <v>2580</v>
      </c>
      <c r="C82" t="s">
        <v>1863</v>
      </c>
      <c r="D82" t="b">
        <v>0</v>
      </c>
      <c r="E82" t="s">
        <v>1728</v>
      </c>
      <c r="F82" t="s">
        <v>2109</v>
      </c>
      <c r="G82">
        <v>0</v>
      </c>
      <c r="H82">
        <v>1</v>
      </c>
      <c r="I82">
        <v>1.1000000000000001</v>
      </c>
      <c r="J82" t="s">
        <v>2096</v>
      </c>
      <c r="K82" t="s">
        <v>2584</v>
      </c>
    </row>
    <row r="83" spans="1:11" x14ac:dyDescent="0.45">
      <c r="A83">
        <v>6</v>
      </c>
      <c r="B83" t="s">
        <v>2580</v>
      </c>
      <c r="C83" t="s">
        <v>1863</v>
      </c>
      <c r="D83" t="b">
        <v>0</v>
      </c>
      <c r="E83" t="s">
        <v>1728</v>
      </c>
      <c r="F83" t="s">
        <v>2110</v>
      </c>
      <c r="G83">
        <v>0</v>
      </c>
      <c r="H83">
        <v>1.1000000000000001</v>
      </c>
      <c r="I83">
        <v>1.25</v>
      </c>
      <c r="J83" t="s">
        <v>2097</v>
      </c>
      <c r="K83" t="s">
        <v>2585</v>
      </c>
    </row>
    <row r="84" spans="1:11" x14ac:dyDescent="0.45">
      <c r="A84">
        <v>6</v>
      </c>
      <c r="B84" t="s">
        <v>2580</v>
      </c>
      <c r="C84" t="s">
        <v>1863</v>
      </c>
      <c r="D84" t="b">
        <v>0</v>
      </c>
      <c r="E84" t="s">
        <v>1728</v>
      </c>
      <c r="F84" t="s">
        <v>2111</v>
      </c>
      <c r="G84">
        <v>0</v>
      </c>
      <c r="H84">
        <v>1.25</v>
      </c>
      <c r="I84">
        <v>1.5</v>
      </c>
      <c r="J84" t="s">
        <v>2098</v>
      </c>
      <c r="K84" t="s">
        <v>2586</v>
      </c>
    </row>
    <row r="85" spans="1:11" x14ac:dyDescent="0.45">
      <c r="A85">
        <v>6</v>
      </c>
      <c r="B85" t="s">
        <v>2580</v>
      </c>
      <c r="C85" t="s">
        <v>1863</v>
      </c>
      <c r="D85" t="b">
        <v>0</v>
      </c>
      <c r="E85" t="s">
        <v>1728</v>
      </c>
      <c r="F85" t="s">
        <v>2112</v>
      </c>
      <c r="G85">
        <v>0</v>
      </c>
      <c r="H85">
        <v>1.5</v>
      </c>
      <c r="I85">
        <v>2</v>
      </c>
      <c r="J85" t="s">
        <v>2099</v>
      </c>
      <c r="K85" t="s">
        <v>2587</v>
      </c>
    </row>
    <row r="86" spans="1:11" x14ac:dyDescent="0.45">
      <c r="A86">
        <v>7</v>
      </c>
      <c r="B86" t="s">
        <v>2641</v>
      </c>
      <c r="C86" t="s">
        <v>1869</v>
      </c>
      <c r="D86" t="b">
        <v>1</v>
      </c>
      <c r="E86" t="s">
        <v>1697</v>
      </c>
      <c r="F86" t="s">
        <v>1870</v>
      </c>
      <c r="G86">
        <v>1.2</v>
      </c>
      <c r="H86">
        <v>0</v>
      </c>
      <c r="I86">
        <v>0</v>
      </c>
    </row>
    <row r="87" spans="1:11" x14ac:dyDescent="0.45">
      <c r="A87">
        <v>7</v>
      </c>
      <c r="B87" t="s">
        <v>2641</v>
      </c>
      <c r="C87" t="s">
        <v>1869</v>
      </c>
      <c r="D87" t="b">
        <v>1</v>
      </c>
      <c r="E87" t="s">
        <v>1697</v>
      </c>
      <c r="F87" t="s">
        <v>1871</v>
      </c>
      <c r="G87">
        <v>1</v>
      </c>
      <c r="H87">
        <v>0</v>
      </c>
      <c r="I87">
        <v>0</v>
      </c>
    </row>
    <row r="88" spans="1:11" x14ac:dyDescent="0.45">
      <c r="A88">
        <v>7</v>
      </c>
      <c r="B88" t="s">
        <v>2641</v>
      </c>
      <c r="C88" t="s">
        <v>1869</v>
      </c>
      <c r="D88" t="b">
        <v>0</v>
      </c>
      <c r="E88" t="s">
        <v>1697</v>
      </c>
      <c r="F88" t="s">
        <v>1870</v>
      </c>
      <c r="G88">
        <v>1.2</v>
      </c>
      <c r="H88">
        <v>0</v>
      </c>
      <c r="I88">
        <v>0</v>
      </c>
    </row>
    <row r="89" spans="1:11" x14ac:dyDescent="0.45">
      <c r="A89">
        <v>7</v>
      </c>
      <c r="B89" t="s">
        <v>2641</v>
      </c>
      <c r="C89" t="s">
        <v>1869</v>
      </c>
      <c r="D89" t="b">
        <v>0</v>
      </c>
      <c r="E89" t="s">
        <v>1697</v>
      </c>
      <c r="F89" t="s">
        <v>1871</v>
      </c>
      <c r="G89">
        <v>1</v>
      </c>
      <c r="H89">
        <v>0</v>
      </c>
      <c r="I89">
        <v>0</v>
      </c>
    </row>
    <row r="90" spans="1:11" x14ac:dyDescent="0.45">
      <c r="A90">
        <v>7</v>
      </c>
      <c r="B90" t="s">
        <v>2641</v>
      </c>
      <c r="C90" t="s">
        <v>1869</v>
      </c>
      <c r="D90" t="b">
        <v>0</v>
      </c>
      <c r="E90" t="s">
        <v>1728</v>
      </c>
      <c r="F90" t="s">
        <v>1870</v>
      </c>
      <c r="G90">
        <v>0</v>
      </c>
      <c r="H90">
        <v>1</v>
      </c>
      <c r="I90">
        <v>1.5</v>
      </c>
    </row>
    <row r="91" spans="1:11" x14ac:dyDescent="0.45">
      <c r="A91">
        <v>7</v>
      </c>
      <c r="B91" t="s">
        <v>2641</v>
      </c>
      <c r="C91" t="s">
        <v>1869</v>
      </c>
      <c r="D91" t="b">
        <v>0</v>
      </c>
      <c r="E91" t="s">
        <v>1728</v>
      </c>
      <c r="F91" t="s">
        <v>1871</v>
      </c>
      <c r="G91">
        <v>0</v>
      </c>
      <c r="H91">
        <v>1</v>
      </c>
      <c r="I91">
        <v>1</v>
      </c>
    </row>
    <row r="92" spans="1:11" x14ac:dyDescent="0.45">
      <c r="A92">
        <v>8</v>
      </c>
      <c r="B92" t="s">
        <v>2588</v>
      </c>
      <c r="C92" t="s">
        <v>1872</v>
      </c>
      <c r="D92" t="b">
        <v>1</v>
      </c>
      <c r="E92" t="s">
        <v>1697</v>
      </c>
      <c r="F92" t="s">
        <v>1847</v>
      </c>
      <c r="G92">
        <v>1.1499999999999999</v>
      </c>
      <c r="H92">
        <v>0</v>
      </c>
      <c r="I92">
        <v>0</v>
      </c>
      <c r="J92" t="s">
        <v>2589</v>
      </c>
      <c r="K92" t="s">
        <v>2590</v>
      </c>
    </row>
    <row r="93" spans="1:11" x14ac:dyDescent="0.45">
      <c r="A93">
        <v>8</v>
      </c>
      <c r="B93" t="s">
        <v>2588</v>
      </c>
      <c r="C93" t="s">
        <v>1872</v>
      </c>
      <c r="D93" t="b">
        <v>1</v>
      </c>
      <c r="E93" t="s">
        <v>1697</v>
      </c>
      <c r="F93" t="s">
        <v>1848</v>
      </c>
      <c r="G93">
        <v>1.05</v>
      </c>
      <c r="H93">
        <v>0</v>
      </c>
      <c r="I93">
        <v>0</v>
      </c>
      <c r="J93" t="s">
        <v>2591</v>
      </c>
      <c r="K93" t="s">
        <v>2592</v>
      </c>
    </row>
    <row r="94" spans="1:11" x14ac:dyDescent="0.45">
      <c r="A94">
        <v>8</v>
      </c>
      <c r="B94" t="s">
        <v>2588</v>
      </c>
      <c r="C94" t="s">
        <v>1872</v>
      </c>
      <c r="D94" t="b">
        <v>1</v>
      </c>
      <c r="E94" t="s">
        <v>1697</v>
      </c>
      <c r="F94" t="s">
        <v>1849</v>
      </c>
      <c r="G94">
        <v>1</v>
      </c>
      <c r="H94">
        <v>0</v>
      </c>
      <c r="I94">
        <v>0</v>
      </c>
      <c r="J94" t="s">
        <v>2593</v>
      </c>
      <c r="K94" t="s">
        <v>2594</v>
      </c>
    </row>
    <row r="95" spans="1:11" x14ac:dyDescent="0.45">
      <c r="A95">
        <v>8</v>
      </c>
      <c r="B95" t="s">
        <v>2588</v>
      </c>
      <c r="C95" t="s">
        <v>1872</v>
      </c>
      <c r="D95" t="b">
        <v>1</v>
      </c>
      <c r="E95" t="s">
        <v>1697</v>
      </c>
      <c r="F95" t="s">
        <v>1850</v>
      </c>
      <c r="G95">
        <v>0.9</v>
      </c>
      <c r="H95">
        <v>0</v>
      </c>
      <c r="I95">
        <v>0</v>
      </c>
      <c r="J95" t="s">
        <v>2631</v>
      </c>
      <c r="K95" t="s">
        <v>2633</v>
      </c>
    </row>
    <row r="96" spans="1:11" x14ac:dyDescent="0.45">
      <c r="A96">
        <v>8</v>
      </c>
      <c r="B96" t="s">
        <v>2588</v>
      </c>
      <c r="C96" t="s">
        <v>1872</v>
      </c>
      <c r="D96" t="b">
        <v>1</v>
      </c>
      <c r="E96" t="s">
        <v>1697</v>
      </c>
      <c r="F96" t="s">
        <v>1851</v>
      </c>
      <c r="G96">
        <v>0.85</v>
      </c>
      <c r="H96">
        <v>0</v>
      </c>
      <c r="I96">
        <v>0</v>
      </c>
      <c r="J96" t="s">
        <v>2632</v>
      </c>
      <c r="K96" t="s">
        <v>2634</v>
      </c>
    </row>
    <row r="97" spans="1:11" x14ac:dyDescent="0.45">
      <c r="A97">
        <v>8</v>
      </c>
      <c r="B97" t="s">
        <v>2588</v>
      </c>
      <c r="C97" t="s">
        <v>1872</v>
      </c>
      <c r="D97" t="b">
        <v>0</v>
      </c>
      <c r="E97" t="s">
        <v>1697</v>
      </c>
      <c r="F97" t="s">
        <v>1847</v>
      </c>
      <c r="G97">
        <v>1.1499999999999999</v>
      </c>
      <c r="H97">
        <v>0</v>
      </c>
      <c r="I97">
        <v>0</v>
      </c>
      <c r="J97" t="s">
        <v>2589</v>
      </c>
      <c r="K97" t="s">
        <v>2590</v>
      </c>
    </row>
    <row r="98" spans="1:11" x14ac:dyDescent="0.45">
      <c r="A98">
        <v>8</v>
      </c>
      <c r="B98" t="s">
        <v>2588</v>
      </c>
      <c r="C98" t="s">
        <v>1872</v>
      </c>
      <c r="D98" t="b">
        <v>0</v>
      </c>
      <c r="E98" t="s">
        <v>1697</v>
      </c>
      <c r="F98" t="s">
        <v>1848</v>
      </c>
      <c r="G98">
        <v>1.05</v>
      </c>
      <c r="H98">
        <v>0</v>
      </c>
      <c r="I98">
        <v>0</v>
      </c>
      <c r="J98" t="s">
        <v>2591</v>
      </c>
      <c r="K98" t="s">
        <v>2592</v>
      </c>
    </row>
    <row r="99" spans="1:11" x14ac:dyDescent="0.45">
      <c r="A99">
        <v>8</v>
      </c>
      <c r="B99" t="s">
        <v>2588</v>
      </c>
      <c r="C99" t="s">
        <v>1872</v>
      </c>
      <c r="D99" t="b">
        <v>0</v>
      </c>
      <c r="E99" t="s">
        <v>1697</v>
      </c>
      <c r="F99" t="s">
        <v>1849</v>
      </c>
      <c r="G99">
        <v>1</v>
      </c>
      <c r="H99">
        <v>0</v>
      </c>
      <c r="I99">
        <v>0</v>
      </c>
      <c r="J99" t="s">
        <v>2593</v>
      </c>
      <c r="K99" t="s">
        <v>2594</v>
      </c>
    </row>
    <row r="100" spans="1:11" x14ac:dyDescent="0.45">
      <c r="A100">
        <v>8</v>
      </c>
      <c r="B100" t="s">
        <v>2588</v>
      </c>
      <c r="C100" t="s">
        <v>1872</v>
      </c>
      <c r="D100" t="b">
        <v>0</v>
      </c>
      <c r="E100" t="s">
        <v>1697</v>
      </c>
      <c r="F100" t="s">
        <v>1850</v>
      </c>
      <c r="G100">
        <v>0.9</v>
      </c>
      <c r="H100">
        <v>0</v>
      </c>
      <c r="I100">
        <v>0</v>
      </c>
      <c r="J100" t="s">
        <v>2631</v>
      </c>
      <c r="K100" t="s">
        <v>2633</v>
      </c>
    </row>
    <row r="101" spans="1:11" x14ac:dyDescent="0.45">
      <c r="A101">
        <v>8</v>
      </c>
      <c r="B101" t="s">
        <v>2588</v>
      </c>
      <c r="C101" t="s">
        <v>1872</v>
      </c>
      <c r="D101" t="b">
        <v>0</v>
      </c>
      <c r="E101" t="s">
        <v>1697</v>
      </c>
      <c r="F101" t="s">
        <v>1851</v>
      </c>
      <c r="G101">
        <v>0.85</v>
      </c>
      <c r="H101">
        <v>0</v>
      </c>
      <c r="I101">
        <v>0</v>
      </c>
      <c r="J101" t="s">
        <v>2632</v>
      </c>
      <c r="K101" t="s">
        <v>2634</v>
      </c>
    </row>
    <row r="102" spans="1:11" x14ac:dyDescent="0.45">
      <c r="A102">
        <v>8</v>
      </c>
      <c r="B102" t="s">
        <v>2588</v>
      </c>
      <c r="C102" t="s">
        <v>1872</v>
      </c>
      <c r="D102" t="b">
        <v>0</v>
      </c>
      <c r="E102" t="s">
        <v>1728</v>
      </c>
      <c r="F102" t="s">
        <v>1852</v>
      </c>
      <c r="G102">
        <v>0</v>
      </c>
      <c r="H102">
        <v>1</v>
      </c>
      <c r="I102">
        <v>1.1499999999999999</v>
      </c>
      <c r="J102" t="s">
        <v>2589</v>
      </c>
      <c r="K102" t="s">
        <v>2590</v>
      </c>
    </row>
    <row r="103" spans="1:11" x14ac:dyDescent="0.45">
      <c r="A103">
        <v>8</v>
      </c>
      <c r="B103" t="s">
        <v>2588</v>
      </c>
      <c r="C103" t="s">
        <v>1872</v>
      </c>
      <c r="D103" t="b">
        <v>0</v>
      </c>
      <c r="E103" t="s">
        <v>1728</v>
      </c>
      <c r="F103" t="s">
        <v>1853</v>
      </c>
      <c r="G103">
        <v>0</v>
      </c>
      <c r="H103">
        <v>1</v>
      </c>
      <c r="I103">
        <v>1</v>
      </c>
      <c r="J103" t="s">
        <v>2591</v>
      </c>
      <c r="K103" t="s">
        <v>2592</v>
      </c>
    </row>
    <row r="104" spans="1:11" x14ac:dyDescent="0.45">
      <c r="A104">
        <v>8</v>
      </c>
      <c r="B104" t="s">
        <v>2588</v>
      </c>
      <c r="C104" t="s">
        <v>1872</v>
      </c>
      <c r="D104" t="b">
        <v>0</v>
      </c>
      <c r="E104" t="s">
        <v>1728</v>
      </c>
      <c r="F104" t="s">
        <v>1854</v>
      </c>
      <c r="G104">
        <v>0</v>
      </c>
      <c r="H104">
        <v>0.85</v>
      </c>
      <c r="I104">
        <v>1</v>
      </c>
      <c r="J104" t="s">
        <v>2593</v>
      </c>
      <c r="K104" t="s">
        <v>2594</v>
      </c>
    </row>
    <row r="105" spans="1:11" x14ac:dyDescent="0.45">
      <c r="A105">
        <v>9</v>
      </c>
      <c r="B105" t="s">
        <v>2595</v>
      </c>
      <c r="C105" t="s">
        <v>1878</v>
      </c>
      <c r="D105" t="b">
        <v>1</v>
      </c>
      <c r="E105" t="s">
        <v>1697</v>
      </c>
      <c r="F105" t="s">
        <v>1847</v>
      </c>
      <c r="G105">
        <v>1.1499999999999999</v>
      </c>
      <c r="H105">
        <v>0</v>
      </c>
      <c r="I105">
        <v>0</v>
      </c>
      <c r="J105" t="s">
        <v>2596</v>
      </c>
      <c r="K105" t="s">
        <v>2597</v>
      </c>
    </row>
    <row r="106" spans="1:11" x14ac:dyDescent="0.45">
      <c r="A106">
        <v>9</v>
      </c>
      <c r="B106" t="s">
        <v>2595</v>
      </c>
      <c r="C106" t="s">
        <v>1878</v>
      </c>
      <c r="D106" t="b">
        <v>1</v>
      </c>
      <c r="E106" t="s">
        <v>1697</v>
      </c>
      <c r="F106" t="s">
        <v>1848</v>
      </c>
      <c r="G106">
        <v>1.05</v>
      </c>
      <c r="H106">
        <v>0</v>
      </c>
      <c r="I106">
        <v>0</v>
      </c>
      <c r="J106" t="s">
        <v>2598</v>
      </c>
      <c r="K106" t="s">
        <v>2599</v>
      </c>
    </row>
    <row r="107" spans="1:11" x14ac:dyDescent="0.45">
      <c r="A107">
        <v>9</v>
      </c>
      <c r="B107" t="s">
        <v>2595</v>
      </c>
      <c r="C107" t="s">
        <v>1878</v>
      </c>
      <c r="D107" t="b">
        <v>1</v>
      </c>
      <c r="E107" t="s">
        <v>1697</v>
      </c>
      <c r="F107" t="s">
        <v>1849</v>
      </c>
      <c r="G107">
        <v>1</v>
      </c>
      <c r="H107">
        <v>0</v>
      </c>
      <c r="I107">
        <v>0</v>
      </c>
      <c r="J107" t="s">
        <v>2600</v>
      </c>
      <c r="K107" t="s">
        <v>2601</v>
      </c>
    </row>
    <row r="108" spans="1:11" x14ac:dyDescent="0.45">
      <c r="A108">
        <v>9</v>
      </c>
      <c r="B108" t="s">
        <v>2595</v>
      </c>
      <c r="C108" t="s">
        <v>1878</v>
      </c>
      <c r="D108" t="b">
        <v>1</v>
      </c>
      <c r="E108" t="s">
        <v>1697</v>
      </c>
      <c r="F108" t="s">
        <v>1850</v>
      </c>
      <c r="G108">
        <v>0.9</v>
      </c>
      <c r="H108">
        <v>0</v>
      </c>
      <c r="I108">
        <v>0</v>
      </c>
      <c r="J108" t="s">
        <v>2635</v>
      </c>
      <c r="K108" t="s">
        <v>2637</v>
      </c>
    </row>
    <row r="109" spans="1:11" x14ac:dyDescent="0.45">
      <c r="A109">
        <v>9</v>
      </c>
      <c r="B109" t="s">
        <v>2595</v>
      </c>
      <c r="C109" t="s">
        <v>1878</v>
      </c>
      <c r="D109" t="b">
        <v>1</v>
      </c>
      <c r="E109" t="s">
        <v>1697</v>
      </c>
      <c r="F109" t="s">
        <v>1851</v>
      </c>
      <c r="G109">
        <v>0.85</v>
      </c>
      <c r="H109">
        <v>0</v>
      </c>
      <c r="I109">
        <v>0</v>
      </c>
      <c r="J109" t="s">
        <v>2636</v>
      </c>
      <c r="K109" t="s">
        <v>2638</v>
      </c>
    </row>
    <row r="110" spans="1:11" x14ac:dyDescent="0.45">
      <c r="A110">
        <v>9</v>
      </c>
      <c r="B110" t="s">
        <v>2595</v>
      </c>
      <c r="C110" t="s">
        <v>1878</v>
      </c>
      <c r="D110" t="b">
        <v>0</v>
      </c>
      <c r="E110" t="s">
        <v>1697</v>
      </c>
      <c r="F110" t="s">
        <v>1847</v>
      </c>
      <c r="G110">
        <v>1.1499999999999999</v>
      </c>
      <c r="H110">
        <v>0</v>
      </c>
      <c r="I110">
        <v>0</v>
      </c>
      <c r="J110" t="s">
        <v>2596</v>
      </c>
      <c r="K110" t="s">
        <v>2597</v>
      </c>
    </row>
    <row r="111" spans="1:11" x14ac:dyDescent="0.45">
      <c r="A111">
        <v>9</v>
      </c>
      <c r="B111" t="s">
        <v>2595</v>
      </c>
      <c r="C111" t="s">
        <v>1878</v>
      </c>
      <c r="D111" t="b">
        <v>0</v>
      </c>
      <c r="E111" t="s">
        <v>1697</v>
      </c>
      <c r="F111" t="s">
        <v>1848</v>
      </c>
      <c r="G111">
        <v>1.05</v>
      </c>
      <c r="H111">
        <v>0</v>
      </c>
      <c r="I111">
        <v>0</v>
      </c>
      <c r="J111" t="s">
        <v>2598</v>
      </c>
      <c r="K111" t="s">
        <v>2599</v>
      </c>
    </row>
    <row r="112" spans="1:11" x14ac:dyDescent="0.45">
      <c r="A112">
        <v>9</v>
      </c>
      <c r="B112" t="s">
        <v>2595</v>
      </c>
      <c r="C112" t="s">
        <v>1878</v>
      </c>
      <c r="D112" t="b">
        <v>0</v>
      </c>
      <c r="E112" t="s">
        <v>1697</v>
      </c>
      <c r="F112" t="s">
        <v>1849</v>
      </c>
      <c r="G112">
        <v>1</v>
      </c>
      <c r="H112">
        <v>0</v>
      </c>
      <c r="I112">
        <v>0</v>
      </c>
      <c r="J112" t="s">
        <v>2600</v>
      </c>
      <c r="K112" t="s">
        <v>2601</v>
      </c>
    </row>
    <row r="113" spans="1:11" x14ac:dyDescent="0.45">
      <c r="A113">
        <v>9</v>
      </c>
      <c r="B113" t="s">
        <v>2595</v>
      </c>
      <c r="C113" t="s">
        <v>1878</v>
      </c>
      <c r="D113" t="b">
        <v>0</v>
      </c>
      <c r="E113" t="s">
        <v>1697</v>
      </c>
      <c r="F113" t="s">
        <v>1850</v>
      </c>
      <c r="G113">
        <v>0.9</v>
      </c>
      <c r="H113">
        <v>0</v>
      </c>
      <c r="I113">
        <v>0</v>
      </c>
      <c r="J113" t="s">
        <v>2635</v>
      </c>
      <c r="K113" t="s">
        <v>2637</v>
      </c>
    </row>
    <row r="114" spans="1:11" x14ac:dyDescent="0.45">
      <c r="A114">
        <v>9</v>
      </c>
      <c r="B114" t="s">
        <v>2595</v>
      </c>
      <c r="C114" t="s">
        <v>1878</v>
      </c>
      <c r="D114" t="b">
        <v>0</v>
      </c>
      <c r="E114" t="s">
        <v>1697</v>
      </c>
      <c r="F114" t="s">
        <v>1851</v>
      </c>
      <c r="G114">
        <v>0.85</v>
      </c>
      <c r="H114">
        <v>0</v>
      </c>
      <c r="I114">
        <v>0</v>
      </c>
      <c r="J114" t="s">
        <v>2636</v>
      </c>
      <c r="K114" t="s">
        <v>2638</v>
      </c>
    </row>
    <row r="115" spans="1:11" x14ac:dyDescent="0.45">
      <c r="A115">
        <v>9</v>
      </c>
      <c r="B115" t="s">
        <v>2595</v>
      </c>
      <c r="C115" t="s">
        <v>1878</v>
      </c>
      <c r="D115" t="b">
        <v>0</v>
      </c>
      <c r="E115" t="s">
        <v>1728</v>
      </c>
      <c r="F115" t="s">
        <v>1852</v>
      </c>
      <c r="G115">
        <v>0</v>
      </c>
      <c r="H115">
        <v>1</v>
      </c>
      <c r="I115">
        <v>1.1499999999999999</v>
      </c>
      <c r="J115" t="s">
        <v>2596</v>
      </c>
      <c r="K115" t="s">
        <v>2597</v>
      </c>
    </row>
    <row r="116" spans="1:11" x14ac:dyDescent="0.45">
      <c r="A116">
        <v>9</v>
      </c>
      <c r="B116" t="s">
        <v>2595</v>
      </c>
      <c r="C116" t="s">
        <v>1878</v>
      </c>
      <c r="D116" t="b">
        <v>0</v>
      </c>
      <c r="E116" t="s">
        <v>1728</v>
      </c>
      <c r="F116" t="s">
        <v>1853</v>
      </c>
      <c r="G116">
        <v>0</v>
      </c>
      <c r="H116">
        <v>1</v>
      </c>
      <c r="I116">
        <v>1</v>
      </c>
      <c r="J116" t="s">
        <v>2598</v>
      </c>
      <c r="K116" t="s">
        <v>2599</v>
      </c>
    </row>
    <row r="117" spans="1:11" x14ac:dyDescent="0.45">
      <c r="A117">
        <v>9</v>
      </c>
      <c r="B117" t="s">
        <v>2595</v>
      </c>
      <c r="C117" t="s">
        <v>1878</v>
      </c>
      <c r="D117" t="b">
        <v>0</v>
      </c>
      <c r="E117" t="s">
        <v>1728</v>
      </c>
      <c r="F117" t="s">
        <v>1854</v>
      </c>
      <c r="G117">
        <v>0</v>
      </c>
      <c r="H117">
        <v>0.85</v>
      </c>
      <c r="I117">
        <v>1</v>
      </c>
      <c r="J117" t="s">
        <v>2600</v>
      </c>
      <c r="K117" t="s">
        <v>2601</v>
      </c>
    </row>
    <row r="118" spans="1:11" x14ac:dyDescent="0.45">
      <c r="A118">
        <v>10</v>
      </c>
      <c r="B118" t="s">
        <v>2602</v>
      </c>
      <c r="C118" t="s">
        <v>1884</v>
      </c>
      <c r="D118" t="b">
        <v>1</v>
      </c>
      <c r="E118" t="s">
        <v>1697</v>
      </c>
      <c r="F118" t="s">
        <v>1852</v>
      </c>
      <c r="G118">
        <v>0.85</v>
      </c>
      <c r="H118">
        <v>0</v>
      </c>
      <c r="I118">
        <v>0</v>
      </c>
      <c r="J118" t="s">
        <v>2603</v>
      </c>
      <c r="K118" t="s">
        <v>2603</v>
      </c>
    </row>
    <row r="119" spans="1:11" x14ac:dyDescent="0.45">
      <c r="A119">
        <v>10</v>
      </c>
      <c r="B119" t="s">
        <v>2602</v>
      </c>
      <c r="C119" t="s">
        <v>1884</v>
      </c>
      <c r="D119" t="b">
        <v>1</v>
      </c>
      <c r="E119" t="s">
        <v>1697</v>
      </c>
      <c r="F119" t="s">
        <v>1853</v>
      </c>
      <c r="G119">
        <v>1</v>
      </c>
      <c r="H119">
        <v>0</v>
      </c>
      <c r="I119">
        <v>0</v>
      </c>
      <c r="J119" t="s">
        <v>2604</v>
      </c>
      <c r="K119" t="s">
        <v>2605</v>
      </c>
    </row>
    <row r="120" spans="1:11" x14ac:dyDescent="0.45">
      <c r="A120">
        <v>10</v>
      </c>
      <c r="B120" t="s">
        <v>2602</v>
      </c>
      <c r="C120" t="s">
        <v>1884</v>
      </c>
      <c r="D120" t="b">
        <v>1</v>
      </c>
      <c r="E120" t="s">
        <v>1697</v>
      </c>
      <c r="F120" t="s">
        <v>1888</v>
      </c>
      <c r="G120">
        <v>1.2</v>
      </c>
      <c r="H120">
        <v>0</v>
      </c>
      <c r="I120">
        <v>0</v>
      </c>
      <c r="J120" t="s">
        <v>2639</v>
      </c>
      <c r="K120" t="s">
        <v>2640</v>
      </c>
    </row>
    <row r="121" spans="1:11" x14ac:dyDescent="0.45">
      <c r="A121">
        <v>10</v>
      </c>
      <c r="B121" t="s">
        <v>2602</v>
      </c>
      <c r="C121" t="s">
        <v>1884</v>
      </c>
      <c r="D121" t="b">
        <v>0</v>
      </c>
      <c r="E121" t="s">
        <v>1697</v>
      </c>
      <c r="F121" t="s">
        <v>1852</v>
      </c>
      <c r="G121">
        <v>0.85</v>
      </c>
      <c r="H121">
        <v>0</v>
      </c>
      <c r="I121">
        <v>0</v>
      </c>
      <c r="J121" t="s">
        <v>2603</v>
      </c>
      <c r="K121" t="s">
        <v>2603</v>
      </c>
    </row>
    <row r="122" spans="1:11" x14ac:dyDescent="0.45">
      <c r="A122">
        <v>10</v>
      </c>
      <c r="B122" t="s">
        <v>2602</v>
      </c>
      <c r="C122" t="s">
        <v>1884</v>
      </c>
      <c r="D122" t="b">
        <v>0</v>
      </c>
      <c r="E122" t="s">
        <v>1697</v>
      </c>
      <c r="F122" t="s">
        <v>1853</v>
      </c>
      <c r="G122">
        <v>1</v>
      </c>
      <c r="H122">
        <v>0</v>
      </c>
      <c r="I122">
        <v>0</v>
      </c>
      <c r="J122" t="s">
        <v>2604</v>
      </c>
      <c r="K122" t="s">
        <v>2605</v>
      </c>
    </row>
    <row r="123" spans="1:11" x14ac:dyDescent="0.45">
      <c r="A123">
        <v>10</v>
      </c>
      <c r="B123" t="s">
        <v>2602</v>
      </c>
      <c r="C123" t="s">
        <v>1884</v>
      </c>
      <c r="D123" t="b">
        <v>0</v>
      </c>
      <c r="E123" t="s">
        <v>1697</v>
      </c>
      <c r="F123" t="s">
        <v>1888</v>
      </c>
      <c r="G123">
        <v>1.2</v>
      </c>
      <c r="H123">
        <v>0</v>
      </c>
      <c r="I123">
        <v>0</v>
      </c>
      <c r="J123" t="s">
        <v>2639</v>
      </c>
      <c r="K123" t="s">
        <v>2640</v>
      </c>
    </row>
    <row r="124" spans="1:11" x14ac:dyDescent="0.45">
      <c r="A124">
        <v>10</v>
      </c>
      <c r="B124" t="s">
        <v>2602</v>
      </c>
      <c r="C124" t="s">
        <v>1884</v>
      </c>
      <c r="D124" t="b">
        <v>0</v>
      </c>
      <c r="E124" t="s">
        <v>1728</v>
      </c>
      <c r="F124" t="s">
        <v>1853</v>
      </c>
      <c r="G124">
        <v>0</v>
      </c>
      <c r="H124">
        <v>0.85</v>
      </c>
      <c r="I124">
        <v>1</v>
      </c>
      <c r="J124" t="s">
        <v>2603</v>
      </c>
      <c r="K124" t="s">
        <v>2603</v>
      </c>
    </row>
    <row r="125" spans="1:11" x14ac:dyDescent="0.45">
      <c r="A125">
        <v>10</v>
      </c>
      <c r="B125" t="s">
        <v>2602</v>
      </c>
      <c r="C125" t="s">
        <v>1884</v>
      </c>
      <c r="D125" t="b">
        <v>0</v>
      </c>
      <c r="E125" t="s">
        <v>1728</v>
      </c>
      <c r="F125" t="s">
        <v>1888</v>
      </c>
      <c r="G125">
        <v>0</v>
      </c>
      <c r="H125">
        <v>1.1000000000000001</v>
      </c>
      <c r="I125">
        <v>1.25</v>
      </c>
      <c r="J125" t="s">
        <v>2604</v>
      </c>
      <c r="K125" t="s">
        <v>2605</v>
      </c>
    </row>
    <row r="126" spans="1:11" x14ac:dyDescent="0.45">
      <c r="A126">
        <v>11</v>
      </c>
      <c r="B126" t="s">
        <v>2606</v>
      </c>
      <c r="C126" t="s">
        <v>1889</v>
      </c>
      <c r="D126" t="b">
        <v>1</v>
      </c>
      <c r="E126" t="s">
        <v>1697</v>
      </c>
      <c r="F126" t="s">
        <v>2107</v>
      </c>
      <c r="G126">
        <v>0.86</v>
      </c>
      <c r="H126">
        <v>0</v>
      </c>
      <c r="I126">
        <v>0</v>
      </c>
      <c r="J126" t="s">
        <v>2100</v>
      </c>
      <c r="K126" t="s">
        <v>2607</v>
      </c>
    </row>
    <row r="127" spans="1:11" x14ac:dyDescent="0.45">
      <c r="A127">
        <v>11</v>
      </c>
      <c r="B127" t="s">
        <v>2606</v>
      </c>
      <c r="C127" t="s">
        <v>1889</v>
      </c>
      <c r="D127" t="b">
        <v>1</v>
      </c>
      <c r="E127" t="s">
        <v>1697</v>
      </c>
      <c r="F127" t="s">
        <v>2113</v>
      </c>
      <c r="G127">
        <v>1</v>
      </c>
      <c r="H127">
        <v>0</v>
      </c>
      <c r="I127">
        <v>0</v>
      </c>
      <c r="J127" t="s">
        <v>2101</v>
      </c>
      <c r="K127" t="s">
        <v>2608</v>
      </c>
    </row>
    <row r="128" spans="1:11" x14ac:dyDescent="0.45">
      <c r="A128">
        <v>11</v>
      </c>
      <c r="B128" t="s">
        <v>2606</v>
      </c>
      <c r="C128" t="s">
        <v>1889</v>
      </c>
      <c r="D128" t="b">
        <v>1</v>
      </c>
      <c r="E128" t="s">
        <v>1697</v>
      </c>
      <c r="F128" t="s">
        <v>2109</v>
      </c>
      <c r="G128">
        <v>1.1100000000000001</v>
      </c>
      <c r="H128">
        <v>0</v>
      </c>
      <c r="I128">
        <v>0</v>
      </c>
      <c r="J128" t="s">
        <v>2102</v>
      </c>
      <c r="K128" t="s">
        <v>2609</v>
      </c>
    </row>
    <row r="129" spans="1:11" x14ac:dyDescent="0.45">
      <c r="A129">
        <v>11</v>
      </c>
      <c r="B129" t="s">
        <v>2606</v>
      </c>
      <c r="C129" t="s">
        <v>1889</v>
      </c>
      <c r="D129" t="b">
        <v>1</v>
      </c>
      <c r="E129" t="s">
        <v>1697</v>
      </c>
      <c r="F129" t="s">
        <v>2110</v>
      </c>
      <c r="G129">
        <v>1.33</v>
      </c>
      <c r="H129">
        <v>0</v>
      </c>
      <c r="I129">
        <v>0</v>
      </c>
      <c r="J129" t="s">
        <v>2103</v>
      </c>
      <c r="K129" t="s">
        <v>2610</v>
      </c>
    </row>
    <row r="130" spans="1:11" x14ac:dyDescent="0.45">
      <c r="A130">
        <v>11</v>
      </c>
      <c r="B130" t="s">
        <v>2606</v>
      </c>
      <c r="C130" t="s">
        <v>1889</v>
      </c>
      <c r="D130" t="b">
        <v>1</v>
      </c>
      <c r="E130" t="s">
        <v>1697</v>
      </c>
      <c r="F130" t="s">
        <v>2111</v>
      </c>
      <c r="G130">
        <v>1.63</v>
      </c>
      <c r="H130">
        <v>0</v>
      </c>
      <c r="I130">
        <v>0</v>
      </c>
      <c r="J130" t="s">
        <v>2104</v>
      </c>
      <c r="K130" t="s">
        <v>2611</v>
      </c>
    </row>
    <row r="131" spans="1:11" x14ac:dyDescent="0.45">
      <c r="A131">
        <v>11</v>
      </c>
      <c r="B131" t="s">
        <v>2606</v>
      </c>
      <c r="C131" t="s">
        <v>1889</v>
      </c>
      <c r="D131" t="b">
        <v>1</v>
      </c>
      <c r="E131" t="s">
        <v>1697</v>
      </c>
      <c r="F131" t="s">
        <v>2112</v>
      </c>
      <c r="G131">
        <v>2.11</v>
      </c>
      <c r="H131">
        <v>0</v>
      </c>
      <c r="I131">
        <v>0</v>
      </c>
      <c r="J131" t="s">
        <v>2105</v>
      </c>
      <c r="K131" t="s">
        <v>2612</v>
      </c>
    </row>
    <row r="132" spans="1:11" x14ac:dyDescent="0.45">
      <c r="A132">
        <v>11</v>
      </c>
      <c r="B132" t="s">
        <v>2606</v>
      </c>
      <c r="C132" t="s">
        <v>1889</v>
      </c>
      <c r="D132" t="b">
        <v>0</v>
      </c>
      <c r="E132" t="s">
        <v>1697</v>
      </c>
      <c r="F132" t="s">
        <v>2107</v>
      </c>
      <c r="G132">
        <v>0.86</v>
      </c>
      <c r="H132">
        <v>0</v>
      </c>
      <c r="I132">
        <v>0</v>
      </c>
      <c r="J132" t="s">
        <v>2100</v>
      </c>
      <c r="K132" t="s">
        <v>2607</v>
      </c>
    </row>
    <row r="133" spans="1:11" x14ac:dyDescent="0.45">
      <c r="A133">
        <v>11</v>
      </c>
      <c r="B133" t="s">
        <v>2606</v>
      </c>
      <c r="C133" t="s">
        <v>1889</v>
      </c>
      <c r="D133" t="b">
        <v>0</v>
      </c>
      <c r="E133" t="s">
        <v>1697</v>
      </c>
      <c r="F133" t="s">
        <v>2113</v>
      </c>
      <c r="G133">
        <v>1</v>
      </c>
      <c r="H133">
        <v>0</v>
      </c>
      <c r="I133">
        <v>0</v>
      </c>
      <c r="J133" t="s">
        <v>2101</v>
      </c>
      <c r="K133" t="s">
        <v>2608</v>
      </c>
    </row>
    <row r="134" spans="1:11" x14ac:dyDescent="0.45">
      <c r="A134">
        <v>11</v>
      </c>
      <c r="B134" t="s">
        <v>2606</v>
      </c>
      <c r="C134" t="s">
        <v>1889</v>
      </c>
      <c r="D134" t="b">
        <v>0</v>
      </c>
      <c r="E134" t="s">
        <v>1697</v>
      </c>
      <c r="F134" t="s">
        <v>2109</v>
      </c>
      <c r="G134">
        <v>1.1100000000000001</v>
      </c>
      <c r="H134">
        <v>0</v>
      </c>
      <c r="I134">
        <v>0</v>
      </c>
      <c r="J134" t="s">
        <v>2102</v>
      </c>
      <c r="K134" t="s">
        <v>2609</v>
      </c>
    </row>
    <row r="135" spans="1:11" x14ac:dyDescent="0.45">
      <c r="A135">
        <v>11</v>
      </c>
      <c r="B135" t="s">
        <v>2606</v>
      </c>
      <c r="C135" t="s">
        <v>1889</v>
      </c>
      <c r="D135" t="b">
        <v>0</v>
      </c>
      <c r="E135" t="s">
        <v>1697</v>
      </c>
      <c r="F135" t="s">
        <v>2110</v>
      </c>
      <c r="G135">
        <v>1.33</v>
      </c>
      <c r="H135">
        <v>0</v>
      </c>
      <c r="I135">
        <v>0</v>
      </c>
      <c r="J135" t="s">
        <v>2103</v>
      </c>
      <c r="K135" t="s">
        <v>2610</v>
      </c>
    </row>
    <row r="136" spans="1:11" x14ac:dyDescent="0.45">
      <c r="A136">
        <v>11</v>
      </c>
      <c r="B136" t="s">
        <v>2606</v>
      </c>
      <c r="C136" t="s">
        <v>1889</v>
      </c>
      <c r="D136" t="b">
        <v>0</v>
      </c>
      <c r="E136" t="s">
        <v>1697</v>
      </c>
      <c r="F136" t="s">
        <v>2111</v>
      </c>
      <c r="G136">
        <v>1.63</v>
      </c>
      <c r="H136">
        <v>0</v>
      </c>
      <c r="I136">
        <v>0</v>
      </c>
      <c r="J136" t="s">
        <v>2104</v>
      </c>
      <c r="K136" t="s">
        <v>2611</v>
      </c>
    </row>
    <row r="137" spans="1:11" x14ac:dyDescent="0.45">
      <c r="A137">
        <v>11</v>
      </c>
      <c r="B137" t="s">
        <v>2606</v>
      </c>
      <c r="C137" t="s">
        <v>1889</v>
      </c>
      <c r="D137" t="b">
        <v>0</v>
      </c>
      <c r="E137" t="s">
        <v>1697</v>
      </c>
      <c r="F137" t="s">
        <v>2112</v>
      </c>
      <c r="G137">
        <v>2.11</v>
      </c>
      <c r="H137">
        <v>0</v>
      </c>
      <c r="I137">
        <v>0</v>
      </c>
      <c r="J137" t="s">
        <v>2105</v>
      </c>
      <c r="K137" t="s">
        <v>2612</v>
      </c>
    </row>
    <row r="138" spans="1:11" x14ac:dyDescent="0.45">
      <c r="A138">
        <v>11</v>
      </c>
      <c r="B138" t="s">
        <v>2606</v>
      </c>
      <c r="C138" t="s">
        <v>1889</v>
      </c>
      <c r="D138" t="b">
        <v>0</v>
      </c>
      <c r="E138" t="s">
        <v>1728</v>
      </c>
      <c r="F138" t="s">
        <v>2107</v>
      </c>
      <c r="G138">
        <v>0</v>
      </c>
      <c r="H138">
        <v>0.72</v>
      </c>
      <c r="I138">
        <v>1</v>
      </c>
      <c r="J138" t="s">
        <v>2100</v>
      </c>
      <c r="K138" t="s">
        <v>2607</v>
      </c>
    </row>
    <row r="139" spans="1:11" x14ac:dyDescent="0.45">
      <c r="A139">
        <v>11</v>
      </c>
      <c r="B139" t="s">
        <v>2606</v>
      </c>
      <c r="C139" t="s">
        <v>1889</v>
      </c>
      <c r="D139" t="b">
        <v>0</v>
      </c>
      <c r="E139" t="s">
        <v>1728</v>
      </c>
      <c r="F139" t="s">
        <v>2113</v>
      </c>
      <c r="G139">
        <v>0</v>
      </c>
      <c r="H139">
        <v>1</v>
      </c>
      <c r="I139">
        <v>1</v>
      </c>
      <c r="J139" t="s">
        <v>2101</v>
      </c>
      <c r="K139" t="s">
        <v>2608</v>
      </c>
    </row>
    <row r="140" spans="1:11" x14ac:dyDescent="0.45">
      <c r="A140">
        <v>11</v>
      </c>
      <c r="B140" t="s">
        <v>2606</v>
      </c>
      <c r="C140" t="s">
        <v>1889</v>
      </c>
      <c r="D140" t="b">
        <v>0</v>
      </c>
      <c r="E140" t="s">
        <v>1728</v>
      </c>
      <c r="F140" t="s">
        <v>2109</v>
      </c>
      <c r="G140">
        <v>0</v>
      </c>
      <c r="H140">
        <v>1</v>
      </c>
      <c r="I140">
        <v>1.21</v>
      </c>
      <c r="J140" t="s">
        <v>2102</v>
      </c>
      <c r="K140" t="s">
        <v>2609</v>
      </c>
    </row>
    <row r="141" spans="1:11" x14ac:dyDescent="0.45">
      <c r="A141">
        <v>11</v>
      </c>
      <c r="B141" t="s">
        <v>2606</v>
      </c>
      <c r="C141" t="s">
        <v>1889</v>
      </c>
      <c r="D141" t="b">
        <v>0</v>
      </c>
      <c r="E141" t="s">
        <v>1728</v>
      </c>
      <c r="F141" t="s">
        <v>2110</v>
      </c>
      <c r="G141">
        <v>0</v>
      </c>
      <c r="H141">
        <v>1.21</v>
      </c>
      <c r="I141">
        <v>1.44</v>
      </c>
      <c r="J141" t="s">
        <v>2103</v>
      </c>
      <c r="K141" t="s">
        <v>2610</v>
      </c>
    </row>
    <row r="142" spans="1:11" x14ac:dyDescent="0.45">
      <c r="A142">
        <v>11</v>
      </c>
      <c r="B142" t="s">
        <v>2606</v>
      </c>
      <c r="C142" t="s">
        <v>1889</v>
      </c>
      <c r="D142" t="b">
        <v>0</v>
      </c>
      <c r="E142" t="s">
        <v>1728</v>
      </c>
      <c r="F142" t="s">
        <v>2111</v>
      </c>
      <c r="G142">
        <v>0</v>
      </c>
      <c r="H142">
        <v>1.44</v>
      </c>
      <c r="I142">
        <v>1.82</v>
      </c>
      <c r="J142" t="s">
        <v>2104</v>
      </c>
      <c r="K142" t="s">
        <v>2611</v>
      </c>
    </row>
    <row r="143" spans="1:11" x14ac:dyDescent="0.45">
      <c r="A143">
        <v>11</v>
      </c>
      <c r="B143" t="s">
        <v>2606</v>
      </c>
      <c r="C143" t="s">
        <v>1889</v>
      </c>
      <c r="D143" t="b">
        <v>0</v>
      </c>
      <c r="E143" t="s">
        <v>1728</v>
      </c>
      <c r="F143" t="s">
        <v>2112</v>
      </c>
      <c r="G143">
        <v>0</v>
      </c>
      <c r="H143">
        <v>1.82</v>
      </c>
      <c r="I143">
        <v>2.4</v>
      </c>
      <c r="J143" t="s">
        <v>2105</v>
      </c>
      <c r="K143" t="s">
        <v>2612</v>
      </c>
    </row>
    <row r="144" spans="1:11" x14ac:dyDescent="0.45">
      <c r="A144">
        <v>12</v>
      </c>
      <c r="B144" t="s">
        <v>2642</v>
      </c>
      <c r="C144" t="s">
        <v>1894</v>
      </c>
      <c r="D144" t="b">
        <v>1</v>
      </c>
      <c r="E144" t="s">
        <v>1697</v>
      </c>
      <c r="F144" t="s">
        <v>1895</v>
      </c>
      <c r="G144">
        <v>1</v>
      </c>
      <c r="H144">
        <v>0</v>
      </c>
      <c r="I144">
        <v>0</v>
      </c>
    </row>
    <row r="145" spans="1:11" x14ac:dyDescent="0.45">
      <c r="A145">
        <v>12</v>
      </c>
      <c r="B145" t="s">
        <v>2642</v>
      </c>
      <c r="C145" t="s">
        <v>1894</v>
      </c>
      <c r="D145" t="b">
        <v>1</v>
      </c>
      <c r="E145" t="s">
        <v>1697</v>
      </c>
      <c r="F145" t="s">
        <v>1896</v>
      </c>
      <c r="G145">
        <v>1.25</v>
      </c>
      <c r="H145">
        <v>0</v>
      </c>
      <c r="I145">
        <v>0</v>
      </c>
    </row>
    <row r="146" spans="1:11" x14ac:dyDescent="0.45">
      <c r="A146">
        <v>12</v>
      </c>
      <c r="B146" t="s">
        <v>2642</v>
      </c>
      <c r="C146" t="s">
        <v>1894</v>
      </c>
      <c r="D146" t="b">
        <v>1</v>
      </c>
      <c r="E146" t="s">
        <v>1697</v>
      </c>
      <c r="F146" t="s">
        <v>1897</v>
      </c>
      <c r="G146">
        <v>1.1000000000000001</v>
      </c>
      <c r="H146">
        <v>0</v>
      </c>
      <c r="I146">
        <v>0</v>
      </c>
    </row>
    <row r="147" spans="1:11" x14ac:dyDescent="0.45">
      <c r="A147">
        <v>12</v>
      </c>
      <c r="B147" t="s">
        <v>2642</v>
      </c>
      <c r="C147" t="s">
        <v>1894</v>
      </c>
      <c r="D147" t="b">
        <v>0</v>
      </c>
      <c r="E147" t="s">
        <v>1697</v>
      </c>
      <c r="F147" s="3" t="s">
        <v>1895</v>
      </c>
      <c r="G147">
        <v>1</v>
      </c>
      <c r="H147">
        <v>0</v>
      </c>
      <c r="I147">
        <v>0</v>
      </c>
    </row>
    <row r="148" spans="1:11" x14ac:dyDescent="0.45">
      <c r="A148">
        <v>12</v>
      </c>
      <c r="B148" t="s">
        <v>2642</v>
      </c>
      <c r="C148" t="s">
        <v>1894</v>
      </c>
      <c r="D148" t="b">
        <v>0</v>
      </c>
      <c r="E148" t="s">
        <v>1697</v>
      </c>
      <c r="F148" t="s">
        <v>1896</v>
      </c>
      <c r="G148">
        <v>1.25</v>
      </c>
      <c r="H148">
        <v>0</v>
      </c>
      <c r="I148">
        <v>0</v>
      </c>
    </row>
    <row r="149" spans="1:11" x14ac:dyDescent="0.45">
      <c r="A149">
        <v>12</v>
      </c>
      <c r="B149" t="s">
        <v>2642</v>
      </c>
      <c r="C149" t="s">
        <v>1894</v>
      </c>
      <c r="D149" t="b">
        <v>0</v>
      </c>
      <c r="E149" t="s">
        <v>1697</v>
      </c>
      <c r="F149" s="3" t="s">
        <v>1898</v>
      </c>
      <c r="G149">
        <v>1.1000000000000001</v>
      </c>
      <c r="H149">
        <v>0</v>
      </c>
      <c r="I149">
        <v>0</v>
      </c>
    </row>
    <row r="150" spans="1:11" x14ac:dyDescent="0.45">
      <c r="A150">
        <v>12</v>
      </c>
      <c r="B150" t="s">
        <v>2642</v>
      </c>
      <c r="C150" t="s">
        <v>1894</v>
      </c>
      <c r="D150" t="b">
        <v>0</v>
      </c>
      <c r="E150" t="s">
        <v>1728</v>
      </c>
      <c r="F150" s="3" t="s">
        <v>1895</v>
      </c>
      <c r="G150">
        <v>0</v>
      </c>
      <c r="H150">
        <v>1</v>
      </c>
      <c r="I150">
        <v>1.1499999999999999</v>
      </c>
    </row>
    <row r="151" spans="1:11" x14ac:dyDescent="0.45">
      <c r="A151">
        <v>12</v>
      </c>
      <c r="B151" t="s">
        <v>2642</v>
      </c>
      <c r="C151" t="s">
        <v>1894</v>
      </c>
      <c r="D151" t="b">
        <v>0</v>
      </c>
      <c r="E151" t="s">
        <v>1728</v>
      </c>
      <c r="F151" t="s">
        <v>1896</v>
      </c>
      <c r="G151">
        <v>0</v>
      </c>
      <c r="H151">
        <v>1</v>
      </c>
      <c r="I151">
        <v>1.5</v>
      </c>
    </row>
    <row r="152" spans="1:11" x14ac:dyDescent="0.45">
      <c r="A152">
        <v>12</v>
      </c>
      <c r="B152" t="s">
        <v>2642</v>
      </c>
      <c r="C152" t="s">
        <v>1894</v>
      </c>
      <c r="D152" t="b">
        <v>0</v>
      </c>
      <c r="E152" t="s">
        <v>1728</v>
      </c>
      <c r="F152" s="3" t="s">
        <v>1898</v>
      </c>
      <c r="G152">
        <v>0</v>
      </c>
      <c r="H152">
        <v>1</v>
      </c>
      <c r="I152">
        <v>1.1499999999999999</v>
      </c>
    </row>
    <row r="153" spans="1:11" x14ac:dyDescent="0.45">
      <c r="A153">
        <v>13</v>
      </c>
      <c r="B153" t="s">
        <v>2643</v>
      </c>
      <c r="C153" t="s">
        <v>1899</v>
      </c>
      <c r="D153" t="b">
        <v>1</v>
      </c>
      <c r="E153" t="s">
        <v>1697</v>
      </c>
      <c r="F153" t="s">
        <v>1900</v>
      </c>
      <c r="G153">
        <v>1.5</v>
      </c>
      <c r="H153">
        <v>0</v>
      </c>
      <c r="I153">
        <v>0</v>
      </c>
    </row>
    <row r="154" spans="1:11" x14ac:dyDescent="0.45">
      <c r="A154">
        <v>13</v>
      </c>
      <c r="B154" t="s">
        <v>2643</v>
      </c>
      <c r="C154" t="s">
        <v>1899</v>
      </c>
      <c r="D154" t="b">
        <v>1</v>
      </c>
      <c r="E154" t="s">
        <v>1697</v>
      </c>
      <c r="F154" t="s">
        <v>1901</v>
      </c>
      <c r="G154">
        <v>1</v>
      </c>
      <c r="H154">
        <v>0</v>
      </c>
      <c r="I154">
        <v>0</v>
      </c>
    </row>
    <row r="155" spans="1:11" x14ac:dyDescent="0.45">
      <c r="A155">
        <v>13</v>
      </c>
      <c r="B155" t="s">
        <v>2643</v>
      </c>
      <c r="C155" t="s">
        <v>1899</v>
      </c>
      <c r="D155" t="b">
        <v>0</v>
      </c>
      <c r="E155" t="s">
        <v>1697</v>
      </c>
      <c r="F155" t="s">
        <v>1900</v>
      </c>
      <c r="G155">
        <v>1.5</v>
      </c>
      <c r="H155">
        <v>0</v>
      </c>
      <c r="I155">
        <v>0</v>
      </c>
    </row>
    <row r="156" spans="1:11" x14ac:dyDescent="0.45">
      <c r="A156">
        <v>13</v>
      </c>
      <c r="B156" t="s">
        <v>2643</v>
      </c>
      <c r="C156" t="s">
        <v>1899</v>
      </c>
      <c r="D156" t="b">
        <v>0</v>
      </c>
      <c r="E156" t="s">
        <v>1697</v>
      </c>
      <c r="F156" t="s">
        <v>1901</v>
      </c>
      <c r="G156">
        <v>1</v>
      </c>
      <c r="H156">
        <v>0</v>
      </c>
      <c r="I156">
        <v>0</v>
      </c>
    </row>
    <row r="157" spans="1:11" x14ac:dyDescent="0.45">
      <c r="A157">
        <v>13</v>
      </c>
      <c r="B157" t="s">
        <v>2643</v>
      </c>
      <c r="C157" t="s">
        <v>1899</v>
      </c>
      <c r="D157" t="b">
        <v>0</v>
      </c>
      <c r="E157" t="s">
        <v>1728</v>
      </c>
      <c r="F157" t="s">
        <v>1900</v>
      </c>
      <c r="G157">
        <v>0</v>
      </c>
      <c r="H157">
        <v>1</v>
      </c>
      <c r="I157">
        <v>2</v>
      </c>
    </row>
    <row r="158" spans="1:11" x14ac:dyDescent="0.45">
      <c r="A158">
        <v>14</v>
      </c>
      <c r="B158" t="s">
        <v>2613</v>
      </c>
      <c r="C158" t="s">
        <v>1902</v>
      </c>
      <c r="D158" t="b">
        <v>1</v>
      </c>
      <c r="E158" t="s">
        <v>1697</v>
      </c>
      <c r="F158" t="s">
        <v>1906</v>
      </c>
      <c r="G158">
        <v>1.1000000000000001</v>
      </c>
      <c r="H158">
        <v>0</v>
      </c>
      <c r="I158">
        <v>0</v>
      </c>
      <c r="J158" t="s">
        <v>2614</v>
      </c>
      <c r="K158" t="s">
        <v>2615</v>
      </c>
    </row>
    <row r="159" spans="1:11" x14ac:dyDescent="0.45">
      <c r="A159">
        <v>14</v>
      </c>
      <c r="B159" t="s">
        <v>2613</v>
      </c>
      <c r="C159" t="s">
        <v>1902</v>
      </c>
      <c r="D159" t="b">
        <v>1</v>
      </c>
      <c r="E159" t="s">
        <v>1697</v>
      </c>
      <c r="F159" t="s">
        <v>1907</v>
      </c>
      <c r="G159">
        <v>1</v>
      </c>
      <c r="H159">
        <v>0</v>
      </c>
      <c r="I159">
        <v>0</v>
      </c>
      <c r="J159" t="s">
        <v>2616</v>
      </c>
      <c r="K159" t="s">
        <v>2617</v>
      </c>
    </row>
    <row r="160" spans="1:11" x14ac:dyDescent="0.45">
      <c r="A160">
        <v>14</v>
      </c>
      <c r="B160" t="s">
        <v>2613</v>
      </c>
      <c r="C160" t="s">
        <v>1902</v>
      </c>
      <c r="D160" t="b">
        <v>1</v>
      </c>
      <c r="E160" t="s">
        <v>1697</v>
      </c>
      <c r="F160" t="s">
        <v>1908</v>
      </c>
      <c r="G160">
        <v>0.9</v>
      </c>
      <c r="H160">
        <v>0</v>
      </c>
      <c r="I160">
        <v>0</v>
      </c>
      <c r="J160" t="s">
        <v>2618</v>
      </c>
      <c r="K160" t="s">
        <v>2619</v>
      </c>
    </row>
    <row r="161" spans="1:11" x14ac:dyDescent="0.45">
      <c r="A161">
        <v>14</v>
      </c>
      <c r="B161" t="s">
        <v>2613</v>
      </c>
      <c r="C161" t="s">
        <v>1902</v>
      </c>
      <c r="D161" t="b">
        <v>0</v>
      </c>
      <c r="E161" t="s">
        <v>1697</v>
      </c>
      <c r="F161" t="s">
        <v>1906</v>
      </c>
      <c r="G161">
        <v>1.1000000000000001</v>
      </c>
      <c r="H161">
        <v>0</v>
      </c>
      <c r="I161">
        <v>0</v>
      </c>
      <c r="J161" t="s">
        <v>2614</v>
      </c>
      <c r="K161" t="s">
        <v>2615</v>
      </c>
    </row>
    <row r="162" spans="1:11" x14ac:dyDescent="0.45">
      <c r="A162">
        <v>14</v>
      </c>
      <c r="B162" t="s">
        <v>2613</v>
      </c>
      <c r="C162" t="s">
        <v>1902</v>
      </c>
      <c r="D162" t="b">
        <v>0</v>
      </c>
      <c r="E162" t="s">
        <v>1697</v>
      </c>
      <c r="F162" t="s">
        <v>1907</v>
      </c>
      <c r="G162">
        <v>1</v>
      </c>
      <c r="H162">
        <v>0</v>
      </c>
      <c r="I162">
        <v>0</v>
      </c>
      <c r="J162" t="s">
        <v>2616</v>
      </c>
      <c r="K162" t="s">
        <v>2617</v>
      </c>
    </row>
    <row r="163" spans="1:11" x14ac:dyDescent="0.45">
      <c r="A163">
        <v>14</v>
      </c>
      <c r="B163" t="s">
        <v>2613</v>
      </c>
      <c r="C163" t="s">
        <v>1902</v>
      </c>
      <c r="D163" t="b">
        <v>0</v>
      </c>
      <c r="E163" t="s">
        <v>1697</v>
      </c>
      <c r="F163" t="s">
        <v>1908</v>
      </c>
      <c r="G163">
        <v>0.9</v>
      </c>
      <c r="H163">
        <v>0</v>
      </c>
      <c r="I163">
        <v>0</v>
      </c>
      <c r="J163" t="s">
        <v>2618</v>
      </c>
      <c r="K163" t="s">
        <v>2619</v>
      </c>
    </row>
    <row r="164" spans="1:11" x14ac:dyDescent="0.45">
      <c r="A164">
        <v>14</v>
      </c>
      <c r="B164" t="s">
        <v>2613</v>
      </c>
      <c r="C164" t="s">
        <v>1902</v>
      </c>
      <c r="D164" t="b">
        <v>0</v>
      </c>
      <c r="E164" t="s">
        <v>1728</v>
      </c>
      <c r="F164" t="s">
        <v>1906</v>
      </c>
      <c r="G164">
        <v>0</v>
      </c>
      <c r="H164">
        <v>1</v>
      </c>
      <c r="I164">
        <v>1.1499999999999999</v>
      </c>
      <c r="J164" t="s">
        <v>2614</v>
      </c>
      <c r="K164" t="s">
        <v>2615</v>
      </c>
    </row>
    <row r="165" spans="1:11" x14ac:dyDescent="0.45">
      <c r="A165">
        <v>14</v>
      </c>
      <c r="B165" t="s">
        <v>2613</v>
      </c>
      <c r="C165" t="s">
        <v>1902</v>
      </c>
      <c r="D165" t="b">
        <v>0</v>
      </c>
      <c r="E165" t="s">
        <v>1728</v>
      </c>
      <c r="F165" t="s">
        <v>1907</v>
      </c>
      <c r="G165">
        <v>0</v>
      </c>
      <c r="H165">
        <v>1</v>
      </c>
      <c r="I165">
        <v>1</v>
      </c>
      <c r="J165" t="s">
        <v>2616</v>
      </c>
      <c r="K165" t="s">
        <v>2617</v>
      </c>
    </row>
    <row r="166" spans="1:11" x14ac:dyDescent="0.45">
      <c r="A166">
        <v>14</v>
      </c>
      <c r="B166" t="s">
        <v>2613</v>
      </c>
      <c r="C166" t="s">
        <v>1902</v>
      </c>
      <c r="D166" t="b">
        <v>0</v>
      </c>
      <c r="E166" t="s">
        <v>1728</v>
      </c>
      <c r="F166" t="s">
        <v>1908</v>
      </c>
      <c r="G166">
        <v>0</v>
      </c>
      <c r="H166">
        <v>0.85</v>
      </c>
      <c r="I166">
        <v>1</v>
      </c>
      <c r="J166" t="s">
        <v>2618</v>
      </c>
      <c r="K166" t="s">
        <v>2619</v>
      </c>
    </row>
    <row r="167" spans="1:11" x14ac:dyDescent="0.45">
      <c r="A167">
        <v>16</v>
      </c>
      <c r="B167" t="s">
        <v>2644</v>
      </c>
      <c r="C167" t="s">
        <v>1909</v>
      </c>
      <c r="D167" t="b">
        <v>1</v>
      </c>
      <c r="E167" t="s">
        <v>1697</v>
      </c>
      <c r="F167" t="s">
        <v>1955</v>
      </c>
      <c r="G167">
        <v>0.5</v>
      </c>
      <c r="H167">
        <v>0</v>
      </c>
      <c r="I167">
        <v>0</v>
      </c>
    </row>
    <row r="168" spans="1:11" x14ac:dyDescent="0.45">
      <c r="A168">
        <v>16</v>
      </c>
      <c r="B168" t="s">
        <v>2644</v>
      </c>
      <c r="C168" t="s">
        <v>1909</v>
      </c>
      <c r="D168" t="b">
        <v>1</v>
      </c>
      <c r="E168" t="s">
        <v>1697</v>
      </c>
      <c r="F168" t="s">
        <v>1956</v>
      </c>
      <c r="G168">
        <v>1</v>
      </c>
      <c r="H168">
        <v>0</v>
      </c>
      <c r="I168">
        <v>0</v>
      </c>
    </row>
    <row r="169" spans="1:11" x14ac:dyDescent="0.45">
      <c r="A169">
        <v>16</v>
      </c>
      <c r="B169" t="s">
        <v>2644</v>
      </c>
      <c r="C169" t="s">
        <v>1909</v>
      </c>
      <c r="D169" t="b">
        <v>0</v>
      </c>
      <c r="E169" t="s">
        <v>1697</v>
      </c>
      <c r="F169" t="s">
        <v>1955</v>
      </c>
      <c r="G169">
        <v>0.5</v>
      </c>
      <c r="H169">
        <v>0</v>
      </c>
      <c r="I169">
        <v>0</v>
      </c>
    </row>
    <row r="170" spans="1:11" x14ac:dyDescent="0.45">
      <c r="A170">
        <v>16</v>
      </c>
      <c r="B170" t="s">
        <v>2644</v>
      </c>
      <c r="C170" t="s">
        <v>1909</v>
      </c>
      <c r="D170" t="b">
        <v>0</v>
      </c>
      <c r="E170" t="s">
        <v>1697</v>
      </c>
      <c r="F170" t="s">
        <v>1956</v>
      </c>
      <c r="G170">
        <v>1</v>
      </c>
      <c r="H170">
        <v>0</v>
      </c>
      <c r="I170">
        <v>0</v>
      </c>
    </row>
    <row r="171" spans="1:11" x14ac:dyDescent="0.45">
      <c r="A171">
        <v>16</v>
      </c>
      <c r="B171" t="s">
        <v>2644</v>
      </c>
      <c r="C171" t="s">
        <v>1909</v>
      </c>
      <c r="D171" t="b">
        <v>0</v>
      </c>
      <c r="E171" t="s">
        <v>1728</v>
      </c>
      <c r="F171" t="s">
        <v>1955</v>
      </c>
      <c r="G171">
        <v>0</v>
      </c>
      <c r="H171">
        <v>0.5</v>
      </c>
      <c r="I171">
        <v>0.5</v>
      </c>
    </row>
    <row r="172" spans="1:11" x14ac:dyDescent="0.45">
      <c r="A172">
        <v>16</v>
      </c>
      <c r="B172" t="s">
        <v>2644</v>
      </c>
      <c r="C172" t="s">
        <v>1909</v>
      </c>
      <c r="D172" t="b">
        <v>0</v>
      </c>
      <c r="E172" t="s">
        <v>1728</v>
      </c>
      <c r="F172" t="s">
        <v>1956</v>
      </c>
      <c r="G172">
        <v>0</v>
      </c>
      <c r="H172">
        <v>1</v>
      </c>
      <c r="I172">
        <v>1</v>
      </c>
    </row>
    <row r="173" spans="1:11" x14ac:dyDescent="0.45">
      <c r="A173">
        <v>17</v>
      </c>
      <c r="B173" t="s">
        <v>2645</v>
      </c>
      <c r="C173" t="s">
        <v>1912</v>
      </c>
      <c r="D173" t="b">
        <v>1</v>
      </c>
      <c r="E173" t="s">
        <v>1697</v>
      </c>
      <c r="F173" t="s">
        <v>1913</v>
      </c>
      <c r="G173">
        <v>0.65</v>
      </c>
      <c r="H173">
        <v>0</v>
      </c>
      <c r="I173">
        <v>0</v>
      </c>
    </row>
    <row r="174" spans="1:11" x14ac:dyDescent="0.45">
      <c r="A174">
        <v>17</v>
      </c>
      <c r="B174" t="s">
        <v>2645</v>
      </c>
      <c r="C174" t="s">
        <v>1912</v>
      </c>
      <c r="D174" t="b">
        <v>1</v>
      </c>
      <c r="E174" t="s">
        <v>1697</v>
      </c>
      <c r="F174" t="s">
        <v>1914</v>
      </c>
      <c r="G174">
        <v>0.95</v>
      </c>
      <c r="H174">
        <v>0</v>
      </c>
      <c r="I174">
        <v>0</v>
      </c>
    </row>
    <row r="175" spans="1:11" x14ac:dyDescent="0.45">
      <c r="A175">
        <v>17</v>
      </c>
      <c r="B175" t="s">
        <v>2645</v>
      </c>
      <c r="C175" t="s">
        <v>1912</v>
      </c>
      <c r="D175" t="b">
        <v>1</v>
      </c>
      <c r="E175" t="s">
        <v>1697</v>
      </c>
      <c r="F175" t="s">
        <v>1893</v>
      </c>
      <c r="G175">
        <v>1</v>
      </c>
      <c r="H175">
        <v>0</v>
      </c>
      <c r="I175">
        <v>0</v>
      </c>
    </row>
    <row r="176" spans="1:11" x14ac:dyDescent="0.45">
      <c r="A176">
        <v>17</v>
      </c>
      <c r="B176" t="s">
        <v>2645</v>
      </c>
      <c r="C176" t="s">
        <v>1912</v>
      </c>
      <c r="D176" t="b">
        <v>0</v>
      </c>
      <c r="E176" t="s">
        <v>1697</v>
      </c>
      <c r="F176" s="3" t="s">
        <v>1913</v>
      </c>
      <c r="G176">
        <v>0.65</v>
      </c>
      <c r="H176">
        <v>0</v>
      </c>
      <c r="I176">
        <v>0</v>
      </c>
    </row>
    <row r="177" spans="1:9" x14ac:dyDescent="0.45">
      <c r="A177">
        <v>17</v>
      </c>
      <c r="B177" t="s">
        <v>2645</v>
      </c>
      <c r="C177" t="s">
        <v>1912</v>
      </c>
      <c r="D177" t="b">
        <v>0</v>
      </c>
      <c r="E177" t="s">
        <v>1697</v>
      </c>
      <c r="F177" s="3" t="s">
        <v>1914</v>
      </c>
      <c r="G177">
        <v>0.95</v>
      </c>
      <c r="H177">
        <v>0</v>
      </c>
      <c r="I177">
        <v>0</v>
      </c>
    </row>
    <row r="178" spans="1:9" x14ac:dyDescent="0.45">
      <c r="A178">
        <v>17</v>
      </c>
      <c r="B178" t="s">
        <v>2645</v>
      </c>
      <c r="C178" t="s">
        <v>1912</v>
      </c>
      <c r="D178" t="b">
        <v>0</v>
      </c>
      <c r="E178" t="s">
        <v>1697</v>
      </c>
      <c r="F178" t="s">
        <v>1893</v>
      </c>
      <c r="G178">
        <v>1</v>
      </c>
      <c r="H178">
        <v>0</v>
      </c>
      <c r="I178">
        <v>0</v>
      </c>
    </row>
    <row r="179" spans="1:9" x14ac:dyDescent="0.45">
      <c r="A179">
        <v>17</v>
      </c>
      <c r="B179" t="s">
        <v>2645</v>
      </c>
      <c r="C179" t="s">
        <v>1912</v>
      </c>
      <c r="D179" t="b">
        <v>0</v>
      </c>
      <c r="E179" t="s">
        <v>1728</v>
      </c>
      <c r="F179" s="3" t="s">
        <v>1913</v>
      </c>
      <c r="G179">
        <v>0</v>
      </c>
      <c r="H179">
        <v>0.5</v>
      </c>
      <c r="I179">
        <v>0.9</v>
      </c>
    </row>
    <row r="180" spans="1:9" x14ac:dyDescent="0.45">
      <c r="A180">
        <v>17</v>
      </c>
      <c r="B180" t="s">
        <v>2645</v>
      </c>
      <c r="C180" t="s">
        <v>1912</v>
      </c>
      <c r="D180" t="b">
        <v>0</v>
      </c>
      <c r="E180" t="s">
        <v>1728</v>
      </c>
      <c r="F180" s="3" t="s">
        <v>1914</v>
      </c>
      <c r="G180">
        <v>0</v>
      </c>
      <c r="H180">
        <v>0.9</v>
      </c>
      <c r="I180">
        <v>1</v>
      </c>
    </row>
    <row r="181" spans="1:9" x14ac:dyDescent="0.45">
      <c r="A181">
        <v>18</v>
      </c>
      <c r="B181" t="s">
        <v>2646</v>
      </c>
      <c r="C181" t="s">
        <v>1960</v>
      </c>
      <c r="D181" t="b">
        <v>1</v>
      </c>
      <c r="E181" t="s">
        <v>1697</v>
      </c>
      <c r="F181" t="s">
        <v>1957</v>
      </c>
      <c r="G181">
        <v>1</v>
      </c>
      <c r="H181">
        <v>0</v>
      </c>
      <c r="I181">
        <v>0</v>
      </c>
    </row>
    <row r="182" spans="1:9" x14ac:dyDescent="0.45">
      <c r="A182">
        <v>18</v>
      </c>
      <c r="B182" t="s">
        <v>2646</v>
      </c>
      <c r="C182" t="s">
        <v>1960</v>
      </c>
      <c r="D182" t="b">
        <v>1</v>
      </c>
      <c r="E182" t="s">
        <v>1697</v>
      </c>
      <c r="F182" t="s">
        <v>1958</v>
      </c>
      <c r="G182">
        <v>1.05</v>
      </c>
      <c r="H182">
        <v>0</v>
      </c>
      <c r="I182">
        <v>0</v>
      </c>
    </row>
    <row r="183" spans="1:9" x14ac:dyDescent="0.45">
      <c r="A183">
        <v>18</v>
      </c>
      <c r="B183" t="s">
        <v>2646</v>
      </c>
      <c r="C183" t="s">
        <v>1960</v>
      </c>
      <c r="D183" t="b">
        <v>1</v>
      </c>
      <c r="E183" t="s">
        <v>1697</v>
      </c>
      <c r="F183" t="s">
        <v>1959</v>
      </c>
      <c r="G183">
        <v>1.1499999999999999</v>
      </c>
      <c r="H183">
        <v>0</v>
      </c>
      <c r="I183">
        <v>0</v>
      </c>
    </row>
    <row r="184" spans="1:9" x14ac:dyDescent="0.45">
      <c r="A184">
        <v>18</v>
      </c>
      <c r="B184" t="s">
        <v>2646</v>
      </c>
      <c r="C184" t="s">
        <v>1960</v>
      </c>
      <c r="D184" t="b">
        <v>0</v>
      </c>
      <c r="E184" t="s">
        <v>1697</v>
      </c>
      <c r="F184" t="s">
        <v>1957</v>
      </c>
      <c r="G184">
        <v>1</v>
      </c>
      <c r="H184">
        <v>0</v>
      </c>
      <c r="I184">
        <v>0</v>
      </c>
    </row>
    <row r="185" spans="1:9" x14ac:dyDescent="0.45">
      <c r="A185">
        <v>18</v>
      </c>
      <c r="B185" t="s">
        <v>2646</v>
      </c>
      <c r="C185" t="s">
        <v>1960</v>
      </c>
      <c r="D185" t="b">
        <v>0</v>
      </c>
      <c r="E185" t="s">
        <v>1697</v>
      </c>
      <c r="F185" t="s">
        <v>1958</v>
      </c>
      <c r="G185">
        <v>1.05</v>
      </c>
      <c r="H185">
        <v>0</v>
      </c>
      <c r="I185">
        <v>0</v>
      </c>
    </row>
    <row r="186" spans="1:9" x14ac:dyDescent="0.45">
      <c r="A186">
        <v>18</v>
      </c>
      <c r="B186" t="s">
        <v>2646</v>
      </c>
      <c r="C186" t="s">
        <v>1960</v>
      </c>
      <c r="D186" t="b">
        <v>0</v>
      </c>
      <c r="E186" t="s">
        <v>1697</v>
      </c>
      <c r="F186" t="s">
        <v>1959</v>
      </c>
      <c r="G186">
        <v>1.1499999999999999</v>
      </c>
      <c r="H186">
        <v>0</v>
      </c>
      <c r="I186">
        <v>0</v>
      </c>
    </row>
    <row r="187" spans="1:9" x14ac:dyDescent="0.45">
      <c r="A187">
        <v>18</v>
      </c>
      <c r="B187" t="s">
        <v>2646</v>
      </c>
      <c r="C187" t="s">
        <v>1960</v>
      </c>
      <c r="D187" t="b">
        <v>0</v>
      </c>
      <c r="E187" t="s">
        <v>1728</v>
      </c>
      <c r="F187" t="s">
        <v>1957</v>
      </c>
      <c r="G187">
        <v>0</v>
      </c>
      <c r="H187">
        <v>0.85</v>
      </c>
      <c r="I187">
        <v>1</v>
      </c>
    </row>
    <row r="188" spans="1:9" x14ac:dyDescent="0.45">
      <c r="A188">
        <v>18</v>
      </c>
      <c r="B188" t="s">
        <v>2646</v>
      </c>
      <c r="C188" t="s">
        <v>1960</v>
      </c>
      <c r="D188" t="b">
        <v>0</v>
      </c>
      <c r="E188" t="s">
        <v>1728</v>
      </c>
      <c r="F188" t="s">
        <v>1958</v>
      </c>
      <c r="G188">
        <v>0</v>
      </c>
      <c r="H188">
        <v>1</v>
      </c>
      <c r="I188">
        <v>1.05</v>
      </c>
    </row>
    <row r="189" spans="1:9" x14ac:dyDescent="0.45">
      <c r="A189">
        <v>18</v>
      </c>
      <c r="B189" t="s">
        <v>2646</v>
      </c>
      <c r="C189" t="s">
        <v>1960</v>
      </c>
      <c r="D189" t="b">
        <v>0</v>
      </c>
      <c r="E189" t="s">
        <v>1728</v>
      </c>
      <c r="F189" t="s">
        <v>1959</v>
      </c>
      <c r="G189">
        <v>0</v>
      </c>
      <c r="H189">
        <v>1.05</v>
      </c>
      <c r="I189">
        <v>1.25</v>
      </c>
    </row>
    <row r="190" spans="1:9" x14ac:dyDescent="0.45">
      <c r="A190">
        <v>19</v>
      </c>
      <c r="B190" t="s">
        <v>2647</v>
      </c>
      <c r="C190" t="s">
        <v>1961</v>
      </c>
      <c r="D190" t="b">
        <v>1</v>
      </c>
      <c r="E190" t="s">
        <v>1697</v>
      </c>
      <c r="F190" t="s">
        <v>1870</v>
      </c>
      <c r="G190">
        <v>0.6</v>
      </c>
      <c r="H190">
        <v>0</v>
      </c>
      <c r="I190">
        <v>0</v>
      </c>
    </row>
    <row r="191" spans="1:9" x14ac:dyDescent="0.45">
      <c r="A191">
        <v>19</v>
      </c>
      <c r="B191" t="s">
        <v>2647</v>
      </c>
      <c r="C191" t="s">
        <v>1961</v>
      </c>
      <c r="D191" t="b">
        <v>1</v>
      </c>
      <c r="E191" t="s">
        <v>1697</v>
      </c>
      <c r="F191" t="s">
        <v>1871</v>
      </c>
      <c r="G191">
        <v>1</v>
      </c>
      <c r="H191">
        <v>0</v>
      </c>
      <c r="I191">
        <v>0</v>
      </c>
    </row>
    <row r="192" spans="1:9" x14ac:dyDescent="0.45">
      <c r="A192">
        <v>19</v>
      </c>
      <c r="B192" t="s">
        <v>2647</v>
      </c>
      <c r="C192" t="s">
        <v>1961</v>
      </c>
      <c r="D192" t="b">
        <v>0</v>
      </c>
      <c r="E192" t="s">
        <v>1697</v>
      </c>
      <c r="F192" t="s">
        <v>1870</v>
      </c>
      <c r="G192">
        <v>0.6</v>
      </c>
      <c r="H192">
        <v>0</v>
      </c>
      <c r="I192">
        <v>0</v>
      </c>
    </row>
    <row r="193" spans="1:9" x14ac:dyDescent="0.45">
      <c r="A193">
        <v>19</v>
      </c>
      <c r="B193" t="s">
        <v>2647</v>
      </c>
      <c r="C193" t="s">
        <v>1961</v>
      </c>
      <c r="D193" t="b">
        <v>0</v>
      </c>
      <c r="E193" t="s">
        <v>1697</v>
      </c>
      <c r="F193" t="s">
        <v>1871</v>
      </c>
      <c r="G193">
        <v>1</v>
      </c>
      <c r="H193">
        <v>0</v>
      </c>
      <c r="I193">
        <v>0</v>
      </c>
    </row>
    <row r="194" spans="1:9" x14ac:dyDescent="0.45">
      <c r="A194">
        <v>19</v>
      </c>
      <c r="B194" t="s">
        <v>2647</v>
      </c>
      <c r="C194" t="s">
        <v>1961</v>
      </c>
      <c r="D194" t="b">
        <v>0</v>
      </c>
      <c r="E194" t="s">
        <v>1728</v>
      </c>
      <c r="F194" t="s">
        <v>1870</v>
      </c>
      <c r="G194">
        <v>0</v>
      </c>
      <c r="H194">
        <v>0.5</v>
      </c>
      <c r="I194">
        <v>0.7</v>
      </c>
    </row>
    <row r="195" spans="1:9" x14ac:dyDescent="0.45">
      <c r="A195">
        <v>19</v>
      </c>
      <c r="B195" t="s">
        <v>2647</v>
      </c>
      <c r="C195" t="s">
        <v>1961</v>
      </c>
      <c r="D195" t="b">
        <v>0</v>
      </c>
      <c r="E195" t="s">
        <v>1728</v>
      </c>
      <c r="F195" t="s">
        <v>1871</v>
      </c>
      <c r="G195">
        <v>0</v>
      </c>
      <c r="H195">
        <v>1</v>
      </c>
      <c r="I195">
        <v>1</v>
      </c>
    </row>
    <row r="196" spans="1:9" x14ac:dyDescent="0.45">
      <c r="A196">
        <v>20</v>
      </c>
      <c r="B196" t="s">
        <v>2648</v>
      </c>
      <c r="C196" t="s">
        <v>2620</v>
      </c>
      <c r="D196" t="b">
        <v>1</v>
      </c>
      <c r="E196" t="s">
        <v>1697</v>
      </c>
      <c r="F196" t="s">
        <v>1893</v>
      </c>
      <c r="G196">
        <v>0</v>
      </c>
      <c r="H196">
        <v>-0.1</v>
      </c>
      <c r="I196">
        <v>0.1</v>
      </c>
    </row>
    <row r="197" spans="1:9" x14ac:dyDescent="0.45">
      <c r="A197">
        <v>21</v>
      </c>
      <c r="B197" t="s">
        <v>2649</v>
      </c>
      <c r="C197" t="s">
        <v>2621</v>
      </c>
      <c r="D197" t="b">
        <v>1</v>
      </c>
      <c r="E197" t="s">
        <v>1697</v>
      </c>
      <c r="F197" t="s">
        <v>1893</v>
      </c>
      <c r="G197">
        <v>0</v>
      </c>
      <c r="H197">
        <v>-0.1</v>
      </c>
      <c r="I197">
        <v>0.1</v>
      </c>
    </row>
    <row r="198" spans="1:9" x14ac:dyDescent="0.45">
      <c r="A198">
        <v>22</v>
      </c>
      <c r="B198" t="s">
        <v>2650</v>
      </c>
      <c r="C198" t="s">
        <v>2622</v>
      </c>
      <c r="D198" t="b">
        <v>1</v>
      </c>
      <c r="E198" t="s">
        <v>1697</v>
      </c>
      <c r="F198" t="s">
        <v>1893</v>
      </c>
      <c r="G198">
        <v>0</v>
      </c>
      <c r="H198">
        <v>-0.1</v>
      </c>
      <c r="I198">
        <v>0.1</v>
      </c>
    </row>
    <row r="199" spans="1:9" x14ac:dyDescent="0.45">
      <c r="A199">
        <v>23</v>
      </c>
      <c r="B199" t="s">
        <v>2651</v>
      </c>
      <c r="C199" t="s">
        <v>2623</v>
      </c>
      <c r="D199" t="b">
        <v>1</v>
      </c>
      <c r="E199" t="s">
        <v>1697</v>
      </c>
      <c r="F199" t="s">
        <v>1893</v>
      </c>
      <c r="G199">
        <v>0</v>
      </c>
      <c r="H199">
        <v>-0.1</v>
      </c>
      <c r="I199">
        <v>0.1</v>
      </c>
    </row>
    <row r="200" spans="1:9" x14ac:dyDescent="0.45">
      <c r="A200">
        <v>24</v>
      </c>
      <c r="B200" t="s">
        <v>2652</v>
      </c>
      <c r="C200" t="s">
        <v>2624</v>
      </c>
      <c r="D200" t="b">
        <v>1</v>
      </c>
      <c r="E200" t="s">
        <v>1697</v>
      </c>
      <c r="F200" t="s">
        <v>1893</v>
      </c>
      <c r="G200">
        <v>0</v>
      </c>
      <c r="H200">
        <v>-0.1</v>
      </c>
      <c r="I200">
        <v>0.1</v>
      </c>
    </row>
    <row r="201" spans="1:9" x14ac:dyDescent="0.45">
      <c r="A201">
        <v>25</v>
      </c>
      <c r="B201" t="s">
        <v>2653</v>
      </c>
      <c r="C201" t="s">
        <v>2625</v>
      </c>
      <c r="D201" t="b">
        <v>1</v>
      </c>
      <c r="E201" t="s">
        <v>1697</v>
      </c>
      <c r="F201" t="s">
        <v>1893</v>
      </c>
      <c r="G201">
        <v>0</v>
      </c>
      <c r="H201">
        <v>-0.1</v>
      </c>
      <c r="I201">
        <v>0.1</v>
      </c>
    </row>
    <row r="202" spans="1:9" x14ac:dyDescent="0.45">
      <c r="A202">
        <v>26</v>
      </c>
      <c r="B202" t="s">
        <v>2654</v>
      </c>
      <c r="C202" t="s">
        <v>2626</v>
      </c>
      <c r="D202" t="b">
        <v>1</v>
      </c>
      <c r="E202" t="s">
        <v>1697</v>
      </c>
      <c r="F202" t="s">
        <v>1893</v>
      </c>
      <c r="G202">
        <v>0</v>
      </c>
      <c r="H202">
        <v>-0.25</v>
      </c>
      <c r="I202">
        <v>0.25</v>
      </c>
    </row>
    <row r="203" spans="1:9" x14ac:dyDescent="0.45">
      <c r="A203">
        <v>27</v>
      </c>
      <c r="B203" t="s">
        <v>2665</v>
      </c>
      <c r="C203" t="s">
        <v>1960</v>
      </c>
      <c r="D203" t="b">
        <v>1</v>
      </c>
      <c r="E203" t="s">
        <v>1697</v>
      </c>
      <c r="F203" t="s">
        <v>2662</v>
      </c>
      <c r="G203">
        <v>0.85</v>
      </c>
      <c r="H203">
        <v>0.85</v>
      </c>
      <c r="I203">
        <v>0.85</v>
      </c>
    </row>
    <row r="204" spans="1:9" x14ac:dyDescent="0.45">
      <c r="A204">
        <v>27</v>
      </c>
      <c r="B204" t="s">
        <v>2665</v>
      </c>
      <c r="C204" t="s">
        <v>1960</v>
      </c>
      <c r="D204" t="b">
        <v>1</v>
      </c>
      <c r="E204" t="s">
        <v>1697</v>
      </c>
      <c r="F204" t="s">
        <v>2663</v>
      </c>
      <c r="G204">
        <v>1</v>
      </c>
      <c r="H204">
        <v>1</v>
      </c>
      <c r="I204">
        <v>1</v>
      </c>
    </row>
    <row r="205" spans="1:9" x14ac:dyDescent="0.45">
      <c r="A205">
        <v>27</v>
      </c>
      <c r="B205" t="s">
        <v>2665</v>
      </c>
      <c r="C205" t="s">
        <v>1960</v>
      </c>
      <c r="D205" t="b">
        <v>1</v>
      </c>
      <c r="E205" t="s">
        <v>1697</v>
      </c>
      <c r="F205" t="s">
        <v>2664</v>
      </c>
      <c r="G205">
        <v>1.05</v>
      </c>
      <c r="H205">
        <v>1.05</v>
      </c>
      <c r="I205">
        <v>1.05</v>
      </c>
    </row>
    <row r="206" spans="1:9" x14ac:dyDescent="0.45">
      <c r="A206">
        <v>27</v>
      </c>
      <c r="B206" t="s">
        <v>2665</v>
      </c>
      <c r="C206" t="s">
        <v>1960</v>
      </c>
      <c r="D206" t="b">
        <v>1</v>
      </c>
      <c r="E206" t="s">
        <v>1697</v>
      </c>
      <c r="F206" t="s">
        <v>1959</v>
      </c>
      <c r="G206">
        <v>1.1499999999999999</v>
      </c>
      <c r="H206">
        <v>1.1499999999999999</v>
      </c>
      <c r="I206">
        <v>1.1499999999999999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A937-798E-4B65-A26D-860C5B3B296C}">
  <dimension ref="A1:G46"/>
  <sheetViews>
    <sheetView topLeftCell="A12" workbookViewId="0">
      <selection activeCell="F51" sqref="F51"/>
    </sheetView>
  </sheetViews>
  <sheetFormatPr defaultRowHeight="14.25" x14ac:dyDescent="0.45"/>
  <cols>
    <col min="1" max="1" width="10.59765625" bestFit="1" customWidth="1"/>
    <col min="2" max="2" width="13.59765625" style="12" bestFit="1" customWidth="1"/>
    <col min="3" max="4" width="6" style="13" bestFit="1" customWidth="1"/>
    <col min="5" max="5" width="25.3984375" bestFit="1" customWidth="1"/>
    <col min="6" max="6" width="225" bestFit="1" customWidth="1"/>
    <col min="7" max="7" width="222.3984375" bestFit="1" customWidth="1"/>
  </cols>
  <sheetData>
    <row r="1" spans="1:7" s="1" customFormat="1" x14ac:dyDescent="0.45">
      <c r="A1" s="1" t="s">
        <v>2557</v>
      </c>
      <c r="B1" s="10" t="s">
        <v>2558</v>
      </c>
      <c r="C1" s="11" t="s">
        <v>1835</v>
      </c>
      <c r="D1" s="11" t="s">
        <v>1836</v>
      </c>
      <c r="E1" s="1" t="s">
        <v>2559</v>
      </c>
      <c r="F1" s="1" t="s">
        <v>2560</v>
      </c>
      <c r="G1" s="1" t="s">
        <v>2561</v>
      </c>
    </row>
    <row r="2" spans="1:7" x14ac:dyDescent="0.45">
      <c r="A2" t="s">
        <v>2562</v>
      </c>
      <c r="B2" s="12" t="s">
        <v>2563</v>
      </c>
      <c r="C2" s="13">
        <v>0.8</v>
      </c>
      <c r="D2" s="13">
        <v>0.9</v>
      </c>
      <c r="E2" t="s">
        <v>2106</v>
      </c>
      <c r="F2" t="s">
        <v>2072</v>
      </c>
    </row>
    <row r="3" spans="1:7" x14ac:dyDescent="0.45">
      <c r="A3" t="s">
        <v>2562</v>
      </c>
      <c r="B3" s="12" t="s">
        <v>2563</v>
      </c>
      <c r="C3" s="13">
        <v>0.9</v>
      </c>
      <c r="D3" s="13">
        <v>1</v>
      </c>
      <c r="E3" t="s">
        <v>2107</v>
      </c>
      <c r="F3" t="s">
        <v>2073</v>
      </c>
    </row>
    <row r="4" spans="1:7" x14ac:dyDescent="0.45">
      <c r="A4" t="s">
        <v>2562</v>
      </c>
      <c r="B4" s="12" t="s">
        <v>2563</v>
      </c>
      <c r="C4" s="13">
        <v>1</v>
      </c>
      <c r="D4" s="13">
        <v>1</v>
      </c>
      <c r="E4" t="s">
        <v>2108</v>
      </c>
      <c r="F4" t="s">
        <v>2074</v>
      </c>
    </row>
    <row r="5" spans="1:7" x14ac:dyDescent="0.45">
      <c r="A5" t="s">
        <v>2562</v>
      </c>
      <c r="B5" s="12" t="s">
        <v>2563</v>
      </c>
      <c r="C5" s="13">
        <v>1</v>
      </c>
      <c r="D5" s="13">
        <v>1.1000000000000001</v>
      </c>
      <c r="E5" t="s">
        <v>2109</v>
      </c>
      <c r="F5" t="s">
        <v>2075</v>
      </c>
    </row>
    <row r="6" spans="1:7" x14ac:dyDescent="0.45">
      <c r="A6" t="s">
        <v>2562</v>
      </c>
      <c r="B6" s="12" t="s">
        <v>2563</v>
      </c>
      <c r="C6" s="13">
        <v>1.1000000000000001</v>
      </c>
      <c r="D6" s="13">
        <v>1.2</v>
      </c>
      <c r="E6" t="s">
        <v>2110</v>
      </c>
      <c r="F6" t="s">
        <v>2076</v>
      </c>
    </row>
    <row r="7" spans="1:7" x14ac:dyDescent="0.45">
      <c r="A7" t="s">
        <v>2562</v>
      </c>
      <c r="B7" s="12" t="s">
        <v>2563</v>
      </c>
      <c r="C7" s="13">
        <v>1.2</v>
      </c>
      <c r="D7" s="13">
        <v>1.3</v>
      </c>
      <c r="E7" t="s">
        <v>2111</v>
      </c>
      <c r="F7" t="s">
        <v>2077</v>
      </c>
    </row>
    <row r="8" spans="1:7" x14ac:dyDescent="0.45">
      <c r="A8" t="s">
        <v>2562</v>
      </c>
      <c r="B8" s="12" t="s">
        <v>2563</v>
      </c>
      <c r="C8" s="13">
        <v>1.3</v>
      </c>
      <c r="D8" s="13">
        <v>1.5</v>
      </c>
      <c r="E8" t="s">
        <v>2112</v>
      </c>
      <c r="F8" t="s">
        <v>2078</v>
      </c>
    </row>
    <row r="9" spans="1:7" x14ac:dyDescent="0.45">
      <c r="A9" t="s">
        <v>2562</v>
      </c>
      <c r="B9" s="12" t="s">
        <v>2564</v>
      </c>
      <c r="C9" s="13">
        <v>0.8</v>
      </c>
      <c r="D9" s="13">
        <v>0.9</v>
      </c>
      <c r="E9" t="s">
        <v>2106</v>
      </c>
      <c r="F9" t="s">
        <v>2079</v>
      </c>
      <c r="G9" t="s">
        <v>2565</v>
      </c>
    </row>
    <row r="10" spans="1:7" x14ac:dyDescent="0.45">
      <c r="A10" t="s">
        <v>2562</v>
      </c>
      <c r="B10" s="12" t="s">
        <v>2564</v>
      </c>
      <c r="C10" s="13">
        <v>0.9</v>
      </c>
      <c r="D10" s="13">
        <v>1</v>
      </c>
      <c r="E10" t="s">
        <v>2107</v>
      </c>
      <c r="F10" t="s">
        <v>2080</v>
      </c>
      <c r="G10" t="s">
        <v>2566</v>
      </c>
    </row>
    <row r="11" spans="1:7" x14ac:dyDescent="0.45">
      <c r="A11" t="s">
        <v>2562</v>
      </c>
      <c r="B11" s="12" t="s">
        <v>2564</v>
      </c>
      <c r="C11" s="13">
        <v>1</v>
      </c>
      <c r="D11" s="13">
        <v>1</v>
      </c>
      <c r="E11" t="s">
        <v>2113</v>
      </c>
      <c r="F11" t="s">
        <v>2081</v>
      </c>
      <c r="G11" t="s">
        <v>2567</v>
      </c>
    </row>
    <row r="12" spans="1:7" x14ac:dyDescent="0.45">
      <c r="A12" t="s">
        <v>2562</v>
      </c>
      <c r="B12" s="12" t="s">
        <v>2564</v>
      </c>
      <c r="C12" s="13">
        <v>1</v>
      </c>
      <c r="D12" s="13">
        <v>1.1000000000000001</v>
      </c>
      <c r="E12" t="s">
        <v>2109</v>
      </c>
      <c r="F12" t="s">
        <v>2082</v>
      </c>
      <c r="G12" t="s">
        <v>2568</v>
      </c>
    </row>
    <row r="13" spans="1:7" x14ac:dyDescent="0.45">
      <c r="A13" t="s">
        <v>2562</v>
      </c>
      <c r="B13" s="12" t="s">
        <v>2564</v>
      </c>
      <c r="C13" s="13">
        <v>1.1000000000000001</v>
      </c>
      <c r="D13" s="13">
        <v>1.25</v>
      </c>
      <c r="E13" t="s">
        <v>2110</v>
      </c>
      <c r="F13" t="s">
        <v>2083</v>
      </c>
      <c r="G13" t="s">
        <v>2569</v>
      </c>
    </row>
    <row r="14" spans="1:7" x14ac:dyDescent="0.45">
      <c r="A14" t="s">
        <v>2562</v>
      </c>
      <c r="B14" s="12" t="s">
        <v>2564</v>
      </c>
      <c r="C14" s="13">
        <v>1.25</v>
      </c>
      <c r="D14" s="13">
        <v>1.5</v>
      </c>
      <c r="E14" t="s">
        <v>2111</v>
      </c>
      <c r="F14" t="s">
        <v>2084</v>
      </c>
      <c r="G14" t="s">
        <v>2570</v>
      </c>
    </row>
    <row r="15" spans="1:7" x14ac:dyDescent="0.45">
      <c r="A15" t="s">
        <v>2562</v>
      </c>
      <c r="B15" s="12" t="s">
        <v>2564</v>
      </c>
      <c r="C15" s="13">
        <v>1.5</v>
      </c>
      <c r="D15" s="13">
        <v>2</v>
      </c>
      <c r="E15" t="s">
        <v>2112</v>
      </c>
      <c r="F15" t="s">
        <v>2085</v>
      </c>
      <c r="G15" t="s">
        <v>2571</v>
      </c>
    </row>
    <row r="16" spans="1:7" x14ac:dyDescent="0.45">
      <c r="A16" t="s">
        <v>2562</v>
      </c>
      <c r="B16" s="12" t="s">
        <v>2572</v>
      </c>
      <c r="C16" s="13">
        <v>0.8</v>
      </c>
      <c r="D16" s="13">
        <v>0.9</v>
      </c>
      <c r="E16" t="s">
        <v>2106</v>
      </c>
      <c r="F16" t="s">
        <v>2086</v>
      </c>
      <c r="G16" t="s">
        <v>2573</v>
      </c>
    </row>
    <row r="17" spans="1:7" x14ac:dyDescent="0.45">
      <c r="A17" t="s">
        <v>2562</v>
      </c>
      <c r="B17" s="12" t="s">
        <v>2572</v>
      </c>
      <c r="C17" s="13">
        <v>0.9</v>
      </c>
      <c r="D17" s="13">
        <v>1</v>
      </c>
      <c r="E17" t="s">
        <v>2107</v>
      </c>
      <c r="F17" t="s">
        <v>2087</v>
      </c>
      <c r="G17" t="s">
        <v>2574</v>
      </c>
    </row>
    <row r="18" spans="1:7" x14ac:dyDescent="0.45">
      <c r="A18" t="s">
        <v>2562</v>
      </c>
      <c r="B18" s="12" t="s">
        <v>2572</v>
      </c>
      <c r="C18" s="13">
        <v>1</v>
      </c>
      <c r="D18" s="13">
        <v>1</v>
      </c>
      <c r="E18" t="s">
        <v>2113</v>
      </c>
      <c r="F18" t="s">
        <v>2088</v>
      </c>
      <c r="G18" t="s">
        <v>2575</v>
      </c>
    </row>
    <row r="19" spans="1:7" x14ac:dyDescent="0.45">
      <c r="A19" t="s">
        <v>2562</v>
      </c>
      <c r="B19" s="12" t="s">
        <v>2572</v>
      </c>
      <c r="C19" s="13">
        <v>1</v>
      </c>
      <c r="D19" s="13">
        <v>1.1000000000000001</v>
      </c>
      <c r="E19" t="s">
        <v>2109</v>
      </c>
      <c r="F19" t="s">
        <v>2089</v>
      </c>
      <c r="G19" t="s">
        <v>2576</v>
      </c>
    </row>
    <row r="20" spans="1:7" x14ac:dyDescent="0.45">
      <c r="A20" t="s">
        <v>2562</v>
      </c>
      <c r="B20" s="12" t="s">
        <v>2572</v>
      </c>
      <c r="C20" s="13">
        <v>1.1000000000000001</v>
      </c>
      <c r="D20" s="13">
        <v>1.25</v>
      </c>
      <c r="E20" t="s">
        <v>2110</v>
      </c>
      <c r="F20" t="s">
        <v>2090</v>
      </c>
      <c r="G20" t="s">
        <v>2577</v>
      </c>
    </row>
    <row r="21" spans="1:7" x14ac:dyDescent="0.45">
      <c r="A21" t="s">
        <v>2562</v>
      </c>
      <c r="B21" s="12" t="s">
        <v>2572</v>
      </c>
      <c r="C21" s="13">
        <v>1.25</v>
      </c>
      <c r="D21" s="13">
        <v>1.5</v>
      </c>
      <c r="E21" t="s">
        <v>2111</v>
      </c>
      <c r="F21" t="s">
        <v>2091</v>
      </c>
      <c r="G21" t="s">
        <v>2578</v>
      </c>
    </row>
    <row r="22" spans="1:7" x14ac:dyDescent="0.45">
      <c r="A22" t="s">
        <v>2562</v>
      </c>
      <c r="B22" s="12" t="s">
        <v>2572</v>
      </c>
      <c r="C22" s="13">
        <v>1.5</v>
      </c>
      <c r="D22" s="13">
        <v>2</v>
      </c>
      <c r="E22" t="s">
        <v>2112</v>
      </c>
      <c r="F22" t="s">
        <v>2092</v>
      </c>
      <c r="G22" t="s">
        <v>2579</v>
      </c>
    </row>
    <row r="23" spans="1:7" x14ac:dyDescent="0.45">
      <c r="A23" t="s">
        <v>2562</v>
      </c>
      <c r="B23" s="12" t="s">
        <v>2580</v>
      </c>
      <c r="C23" s="13">
        <v>0.8</v>
      </c>
      <c r="D23" s="13">
        <v>0.9</v>
      </c>
      <c r="E23" t="s">
        <v>2106</v>
      </c>
      <c r="F23" t="s">
        <v>2093</v>
      </c>
      <c r="G23" t="s">
        <v>2581</v>
      </c>
    </row>
    <row r="24" spans="1:7" x14ac:dyDescent="0.45">
      <c r="A24" t="s">
        <v>2562</v>
      </c>
      <c r="B24" s="12" t="s">
        <v>2580</v>
      </c>
      <c r="C24" s="13">
        <v>0.9</v>
      </c>
      <c r="D24" s="13">
        <v>1</v>
      </c>
      <c r="E24" t="s">
        <v>2107</v>
      </c>
      <c r="F24" t="s">
        <v>2094</v>
      </c>
      <c r="G24" t="s">
        <v>2582</v>
      </c>
    </row>
    <row r="25" spans="1:7" x14ac:dyDescent="0.45">
      <c r="A25" t="s">
        <v>2562</v>
      </c>
      <c r="B25" s="12" t="s">
        <v>2580</v>
      </c>
      <c r="C25" s="13">
        <v>1</v>
      </c>
      <c r="D25" s="13">
        <v>1</v>
      </c>
      <c r="E25" t="s">
        <v>2113</v>
      </c>
      <c r="F25" t="s">
        <v>2095</v>
      </c>
      <c r="G25" t="s">
        <v>2583</v>
      </c>
    </row>
    <row r="26" spans="1:7" x14ac:dyDescent="0.45">
      <c r="A26" t="s">
        <v>2562</v>
      </c>
      <c r="B26" s="12" t="s">
        <v>2580</v>
      </c>
      <c r="C26" s="13">
        <v>1</v>
      </c>
      <c r="D26" s="13">
        <v>1.1000000000000001</v>
      </c>
      <c r="E26" t="s">
        <v>2109</v>
      </c>
      <c r="F26" t="s">
        <v>2096</v>
      </c>
      <c r="G26" t="s">
        <v>2584</v>
      </c>
    </row>
    <row r="27" spans="1:7" x14ac:dyDescent="0.45">
      <c r="A27" t="s">
        <v>2562</v>
      </c>
      <c r="B27" s="12" t="s">
        <v>2580</v>
      </c>
      <c r="C27" s="13">
        <v>1.1000000000000001</v>
      </c>
      <c r="D27" s="13">
        <v>1.25</v>
      </c>
      <c r="E27" t="s">
        <v>2110</v>
      </c>
      <c r="F27" t="s">
        <v>2097</v>
      </c>
      <c r="G27" t="s">
        <v>2585</v>
      </c>
    </row>
    <row r="28" spans="1:7" x14ac:dyDescent="0.45">
      <c r="A28" t="s">
        <v>2562</v>
      </c>
      <c r="B28" s="12" t="s">
        <v>2580</v>
      </c>
      <c r="C28" s="13">
        <v>1.25</v>
      </c>
      <c r="D28" s="13">
        <v>1.5</v>
      </c>
      <c r="E28" t="s">
        <v>2111</v>
      </c>
      <c r="F28" t="s">
        <v>2098</v>
      </c>
      <c r="G28" t="s">
        <v>2586</v>
      </c>
    </row>
    <row r="29" spans="1:7" x14ac:dyDescent="0.45">
      <c r="A29" t="s">
        <v>2562</v>
      </c>
      <c r="B29" s="12" t="s">
        <v>2580</v>
      </c>
      <c r="C29" s="13">
        <v>1.5</v>
      </c>
      <c r="D29" s="13">
        <v>2</v>
      </c>
      <c r="E29" t="s">
        <v>2112</v>
      </c>
      <c r="F29" t="s">
        <v>2099</v>
      </c>
      <c r="G29" t="s">
        <v>2587</v>
      </c>
    </row>
    <row r="30" spans="1:7" x14ac:dyDescent="0.45">
      <c r="A30" t="s">
        <v>2562</v>
      </c>
      <c r="B30" s="12" t="s">
        <v>2588</v>
      </c>
      <c r="C30" s="13">
        <v>1</v>
      </c>
      <c r="D30" s="13">
        <v>1.1499999999999999</v>
      </c>
      <c r="E30" t="s">
        <v>1847</v>
      </c>
      <c r="F30" t="s">
        <v>2589</v>
      </c>
      <c r="G30" t="s">
        <v>2590</v>
      </c>
    </row>
    <row r="31" spans="1:7" x14ac:dyDescent="0.45">
      <c r="A31" t="s">
        <v>2562</v>
      </c>
      <c r="B31" s="12" t="s">
        <v>2588</v>
      </c>
      <c r="C31" s="13">
        <v>1</v>
      </c>
      <c r="D31" s="13">
        <v>1</v>
      </c>
      <c r="E31" t="s">
        <v>1848</v>
      </c>
      <c r="F31" t="s">
        <v>2591</v>
      </c>
      <c r="G31" t="s">
        <v>2592</v>
      </c>
    </row>
    <row r="32" spans="1:7" x14ac:dyDescent="0.45">
      <c r="A32" t="s">
        <v>2562</v>
      </c>
      <c r="B32" s="12" t="s">
        <v>2588</v>
      </c>
      <c r="C32" s="13">
        <v>0.85</v>
      </c>
      <c r="D32" s="13">
        <v>1</v>
      </c>
      <c r="E32" t="s">
        <v>1849</v>
      </c>
      <c r="F32" t="s">
        <v>2593</v>
      </c>
      <c r="G32" t="s">
        <v>2594</v>
      </c>
    </row>
    <row r="33" spans="1:7" x14ac:dyDescent="0.45">
      <c r="A33" t="s">
        <v>2562</v>
      </c>
      <c r="B33" s="12" t="s">
        <v>2595</v>
      </c>
      <c r="C33" s="13">
        <v>1</v>
      </c>
      <c r="D33" s="13">
        <v>1.1499999999999999</v>
      </c>
      <c r="E33" t="s">
        <v>1847</v>
      </c>
      <c r="F33" t="s">
        <v>2596</v>
      </c>
      <c r="G33" t="s">
        <v>2597</v>
      </c>
    </row>
    <row r="34" spans="1:7" x14ac:dyDescent="0.45">
      <c r="A34" t="s">
        <v>2562</v>
      </c>
      <c r="B34" s="12" t="s">
        <v>2595</v>
      </c>
      <c r="C34" s="13">
        <v>1</v>
      </c>
      <c r="D34" s="13">
        <v>1</v>
      </c>
      <c r="E34" t="s">
        <v>1848</v>
      </c>
      <c r="F34" t="s">
        <v>2598</v>
      </c>
      <c r="G34" t="s">
        <v>2599</v>
      </c>
    </row>
    <row r="35" spans="1:7" x14ac:dyDescent="0.45">
      <c r="A35" t="s">
        <v>2562</v>
      </c>
      <c r="B35" s="12" t="s">
        <v>2595</v>
      </c>
      <c r="C35" s="13">
        <v>0.85</v>
      </c>
      <c r="D35" s="13">
        <v>1</v>
      </c>
      <c r="E35" t="s">
        <v>1849</v>
      </c>
      <c r="F35" t="s">
        <v>2600</v>
      </c>
      <c r="G35" t="s">
        <v>2601</v>
      </c>
    </row>
    <row r="36" spans="1:7" x14ac:dyDescent="0.45">
      <c r="A36" t="s">
        <v>2562</v>
      </c>
      <c r="B36" s="12" t="s">
        <v>2602</v>
      </c>
      <c r="C36" s="13">
        <v>0.85</v>
      </c>
      <c r="D36" s="13">
        <v>1</v>
      </c>
      <c r="E36" t="s">
        <v>1852</v>
      </c>
      <c r="F36" t="s">
        <v>2603</v>
      </c>
      <c r="G36" t="s">
        <v>2603</v>
      </c>
    </row>
    <row r="37" spans="1:7" x14ac:dyDescent="0.45">
      <c r="A37" t="s">
        <v>2562</v>
      </c>
      <c r="B37" s="12" t="s">
        <v>2602</v>
      </c>
      <c r="C37" s="13">
        <v>1.1000000000000001</v>
      </c>
      <c r="D37" s="13">
        <v>1.25</v>
      </c>
      <c r="E37" t="s">
        <v>1853</v>
      </c>
      <c r="F37" t="s">
        <v>2604</v>
      </c>
      <c r="G37" t="s">
        <v>2605</v>
      </c>
    </row>
    <row r="38" spans="1:7" x14ac:dyDescent="0.45">
      <c r="A38" t="s">
        <v>2562</v>
      </c>
      <c r="B38" s="12" t="s">
        <v>2606</v>
      </c>
      <c r="C38" s="13">
        <v>0.72</v>
      </c>
      <c r="D38" s="13">
        <v>1</v>
      </c>
      <c r="E38" t="s">
        <v>2107</v>
      </c>
      <c r="F38" t="s">
        <v>2100</v>
      </c>
      <c r="G38" t="s">
        <v>2607</v>
      </c>
    </row>
    <row r="39" spans="1:7" x14ac:dyDescent="0.45">
      <c r="A39" t="s">
        <v>2562</v>
      </c>
      <c r="B39" s="12" t="s">
        <v>2606</v>
      </c>
      <c r="C39" s="13">
        <v>1</v>
      </c>
      <c r="D39" s="13">
        <v>1</v>
      </c>
      <c r="E39" t="s">
        <v>2113</v>
      </c>
      <c r="F39" t="s">
        <v>2101</v>
      </c>
      <c r="G39" t="s">
        <v>2608</v>
      </c>
    </row>
    <row r="40" spans="1:7" x14ac:dyDescent="0.45">
      <c r="A40" t="s">
        <v>2562</v>
      </c>
      <c r="B40" s="12" t="s">
        <v>2606</v>
      </c>
      <c r="C40" s="13">
        <v>1</v>
      </c>
      <c r="D40" s="13">
        <v>1.21</v>
      </c>
      <c r="E40" t="s">
        <v>2109</v>
      </c>
      <c r="F40" t="s">
        <v>2102</v>
      </c>
      <c r="G40" t="s">
        <v>2609</v>
      </c>
    </row>
    <row r="41" spans="1:7" x14ac:dyDescent="0.45">
      <c r="A41" t="s">
        <v>2562</v>
      </c>
      <c r="B41" s="12" t="s">
        <v>2606</v>
      </c>
      <c r="C41" s="13">
        <v>1.21</v>
      </c>
      <c r="D41" s="13">
        <v>1.44</v>
      </c>
      <c r="E41" t="s">
        <v>2110</v>
      </c>
      <c r="F41" t="s">
        <v>2103</v>
      </c>
      <c r="G41" t="s">
        <v>2610</v>
      </c>
    </row>
    <row r="42" spans="1:7" x14ac:dyDescent="0.45">
      <c r="A42" t="s">
        <v>2562</v>
      </c>
      <c r="B42" s="12" t="s">
        <v>2606</v>
      </c>
      <c r="C42" s="13">
        <v>1.44</v>
      </c>
      <c r="D42" s="13">
        <v>1.82</v>
      </c>
      <c r="E42" t="s">
        <v>2111</v>
      </c>
      <c r="F42" t="s">
        <v>2104</v>
      </c>
      <c r="G42" t="s">
        <v>2611</v>
      </c>
    </row>
    <row r="43" spans="1:7" x14ac:dyDescent="0.45">
      <c r="A43" t="s">
        <v>2562</v>
      </c>
      <c r="B43" s="12" t="s">
        <v>2606</v>
      </c>
      <c r="C43" s="13">
        <v>1.82</v>
      </c>
      <c r="D43" s="13">
        <v>2.4</v>
      </c>
      <c r="E43" t="s">
        <v>2112</v>
      </c>
      <c r="F43" t="s">
        <v>2105</v>
      </c>
      <c r="G43" t="s">
        <v>2612</v>
      </c>
    </row>
    <row r="44" spans="1:7" x14ac:dyDescent="0.45">
      <c r="A44" t="s">
        <v>2562</v>
      </c>
      <c r="B44" s="12" t="s">
        <v>2613</v>
      </c>
      <c r="C44" s="13">
        <v>1</v>
      </c>
      <c r="D44" s="13">
        <v>1.1499999999999999</v>
      </c>
      <c r="E44" t="s">
        <v>1906</v>
      </c>
      <c r="F44" t="s">
        <v>2614</v>
      </c>
      <c r="G44" t="s">
        <v>2615</v>
      </c>
    </row>
    <row r="45" spans="1:7" x14ac:dyDescent="0.45">
      <c r="A45" t="s">
        <v>2562</v>
      </c>
      <c r="B45" s="12" t="s">
        <v>2613</v>
      </c>
      <c r="C45" s="13">
        <v>1</v>
      </c>
      <c r="D45" s="13">
        <v>1</v>
      </c>
      <c r="E45" t="s">
        <v>1907</v>
      </c>
      <c r="F45" t="s">
        <v>2616</v>
      </c>
      <c r="G45" t="s">
        <v>2617</v>
      </c>
    </row>
    <row r="46" spans="1:7" x14ac:dyDescent="0.45">
      <c r="A46" t="s">
        <v>2562</v>
      </c>
      <c r="B46" s="12" t="s">
        <v>2613</v>
      </c>
      <c r="C46" s="13">
        <v>0.85</v>
      </c>
      <c r="D46" s="13">
        <v>1</v>
      </c>
      <c r="E46" t="s">
        <v>1908</v>
      </c>
      <c r="F46" t="s">
        <v>2618</v>
      </c>
      <c r="G46" t="s">
        <v>2619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3A80-8F9C-42FD-9A2C-F4C805ECAED1}">
  <dimension ref="A1:D35"/>
  <sheetViews>
    <sheetView workbookViewId="0">
      <selection activeCell="D39" sqref="D39"/>
    </sheetView>
  </sheetViews>
  <sheetFormatPr defaultRowHeight="14.25" x14ac:dyDescent="0.45"/>
  <cols>
    <col min="1" max="1" width="4.86328125" bestFit="1" customWidth="1"/>
    <col min="2" max="2" width="28.3984375" bestFit="1" customWidth="1"/>
    <col min="3" max="3" width="27.86328125" bestFit="1" customWidth="1"/>
    <col min="4" max="4" width="11" bestFit="1" customWidth="1"/>
  </cols>
  <sheetData>
    <row r="1" spans="1:4" x14ac:dyDescent="0.45">
      <c r="A1" t="s">
        <v>1834</v>
      </c>
      <c r="B1" t="s">
        <v>42</v>
      </c>
      <c r="C1" t="s">
        <v>1833</v>
      </c>
      <c r="D1" t="s">
        <v>2071</v>
      </c>
    </row>
    <row r="2" spans="1:4" x14ac:dyDescent="0.45">
      <c r="A2">
        <v>3</v>
      </c>
      <c r="B2" t="s">
        <v>1860</v>
      </c>
      <c r="C2" t="s">
        <v>2106</v>
      </c>
      <c r="D2" t="s">
        <v>2072</v>
      </c>
    </row>
    <row r="3" spans="1:4" x14ac:dyDescent="0.45">
      <c r="A3">
        <v>3</v>
      </c>
      <c r="B3" t="s">
        <v>1860</v>
      </c>
      <c r="C3" t="s">
        <v>2107</v>
      </c>
      <c r="D3" t="s">
        <v>2073</v>
      </c>
    </row>
    <row r="4" spans="1:4" x14ac:dyDescent="0.45">
      <c r="A4">
        <v>3</v>
      </c>
      <c r="B4" t="s">
        <v>1860</v>
      </c>
      <c r="C4" t="s">
        <v>2108</v>
      </c>
      <c r="D4" t="s">
        <v>2074</v>
      </c>
    </row>
    <row r="5" spans="1:4" x14ac:dyDescent="0.45">
      <c r="A5">
        <v>3</v>
      </c>
      <c r="B5" t="s">
        <v>1860</v>
      </c>
      <c r="C5" t="s">
        <v>2109</v>
      </c>
      <c r="D5" t="s">
        <v>2075</v>
      </c>
    </row>
    <row r="6" spans="1:4" x14ac:dyDescent="0.45">
      <c r="A6">
        <v>3</v>
      </c>
      <c r="B6" t="s">
        <v>1860</v>
      </c>
      <c r="C6" t="s">
        <v>2110</v>
      </c>
      <c r="D6" t="s">
        <v>2076</v>
      </c>
    </row>
    <row r="7" spans="1:4" x14ac:dyDescent="0.45">
      <c r="A7">
        <v>3</v>
      </c>
      <c r="B7" t="s">
        <v>1860</v>
      </c>
      <c r="C7" t="s">
        <v>2111</v>
      </c>
      <c r="D7" t="s">
        <v>2077</v>
      </c>
    </row>
    <row r="8" spans="1:4" x14ac:dyDescent="0.45">
      <c r="A8">
        <v>3</v>
      </c>
      <c r="B8" t="s">
        <v>1860</v>
      </c>
      <c r="C8" t="s">
        <v>2112</v>
      </c>
      <c r="D8" t="s">
        <v>2078</v>
      </c>
    </row>
    <row r="9" spans="1:4" x14ac:dyDescent="0.45">
      <c r="A9">
        <v>4</v>
      </c>
      <c r="B9" t="s">
        <v>1861</v>
      </c>
      <c r="C9" t="s">
        <v>2106</v>
      </c>
      <c r="D9" t="s">
        <v>2079</v>
      </c>
    </row>
    <row r="10" spans="1:4" x14ac:dyDescent="0.45">
      <c r="A10">
        <v>4</v>
      </c>
      <c r="B10" t="s">
        <v>1861</v>
      </c>
      <c r="C10" t="s">
        <v>2107</v>
      </c>
      <c r="D10" t="s">
        <v>2080</v>
      </c>
    </row>
    <row r="11" spans="1:4" x14ac:dyDescent="0.45">
      <c r="A11">
        <v>4</v>
      </c>
      <c r="B11" t="s">
        <v>1861</v>
      </c>
      <c r="C11" t="s">
        <v>2113</v>
      </c>
      <c r="D11" t="s">
        <v>2081</v>
      </c>
    </row>
    <row r="12" spans="1:4" x14ac:dyDescent="0.45">
      <c r="A12">
        <v>4</v>
      </c>
      <c r="B12" t="s">
        <v>1861</v>
      </c>
      <c r="C12" t="s">
        <v>2109</v>
      </c>
      <c r="D12" t="s">
        <v>2082</v>
      </c>
    </row>
    <row r="13" spans="1:4" x14ac:dyDescent="0.45">
      <c r="A13">
        <v>4</v>
      </c>
      <c r="B13" t="s">
        <v>1861</v>
      </c>
      <c r="C13" t="s">
        <v>2110</v>
      </c>
      <c r="D13" t="s">
        <v>2083</v>
      </c>
    </row>
    <row r="14" spans="1:4" x14ac:dyDescent="0.45">
      <c r="A14">
        <v>4</v>
      </c>
      <c r="B14" t="s">
        <v>1861</v>
      </c>
      <c r="C14" t="s">
        <v>2111</v>
      </c>
      <c r="D14" t="s">
        <v>2084</v>
      </c>
    </row>
    <row r="15" spans="1:4" x14ac:dyDescent="0.45">
      <c r="A15">
        <v>4</v>
      </c>
      <c r="B15" t="s">
        <v>1861</v>
      </c>
      <c r="C15" t="s">
        <v>2112</v>
      </c>
      <c r="D15" t="s">
        <v>2085</v>
      </c>
    </row>
    <row r="16" spans="1:4" x14ac:dyDescent="0.45">
      <c r="A16">
        <v>5</v>
      </c>
      <c r="B16" t="s">
        <v>1862</v>
      </c>
      <c r="C16" t="s">
        <v>2106</v>
      </c>
      <c r="D16" t="s">
        <v>2086</v>
      </c>
    </row>
    <row r="17" spans="1:4" x14ac:dyDescent="0.45">
      <c r="A17">
        <v>5</v>
      </c>
      <c r="B17" t="s">
        <v>1862</v>
      </c>
      <c r="C17" t="s">
        <v>2107</v>
      </c>
      <c r="D17" t="s">
        <v>2087</v>
      </c>
    </row>
    <row r="18" spans="1:4" x14ac:dyDescent="0.45">
      <c r="A18">
        <v>5</v>
      </c>
      <c r="B18" t="s">
        <v>1862</v>
      </c>
      <c r="C18" t="s">
        <v>2113</v>
      </c>
      <c r="D18" t="s">
        <v>2088</v>
      </c>
    </row>
    <row r="19" spans="1:4" x14ac:dyDescent="0.45">
      <c r="A19">
        <v>5</v>
      </c>
      <c r="B19" t="s">
        <v>1862</v>
      </c>
      <c r="C19" t="s">
        <v>2109</v>
      </c>
      <c r="D19" t="s">
        <v>2089</v>
      </c>
    </row>
    <row r="20" spans="1:4" x14ac:dyDescent="0.45">
      <c r="A20">
        <v>5</v>
      </c>
      <c r="B20" t="s">
        <v>1862</v>
      </c>
      <c r="C20" t="s">
        <v>2110</v>
      </c>
      <c r="D20" t="s">
        <v>2090</v>
      </c>
    </row>
    <row r="21" spans="1:4" x14ac:dyDescent="0.45">
      <c r="A21">
        <v>5</v>
      </c>
      <c r="B21" t="s">
        <v>1862</v>
      </c>
      <c r="C21" t="s">
        <v>2111</v>
      </c>
      <c r="D21" t="s">
        <v>2091</v>
      </c>
    </row>
    <row r="22" spans="1:4" x14ac:dyDescent="0.45">
      <c r="A22">
        <v>5</v>
      </c>
      <c r="B22" t="s">
        <v>1862</v>
      </c>
      <c r="C22" t="s">
        <v>2112</v>
      </c>
      <c r="D22" t="s">
        <v>2092</v>
      </c>
    </row>
    <row r="23" spans="1:4" x14ac:dyDescent="0.45">
      <c r="A23">
        <v>6</v>
      </c>
      <c r="B23" t="s">
        <v>1863</v>
      </c>
      <c r="C23" t="s">
        <v>2106</v>
      </c>
      <c r="D23" t="s">
        <v>2093</v>
      </c>
    </row>
    <row r="24" spans="1:4" x14ac:dyDescent="0.45">
      <c r="A24">
        <v>6</v>
      </c>
      <c r="B24" t="s">
        <v>1863</v>
      </c>
      <c r="C24" t="s">
        <v>2107</v>
      </c>
      <c r="D24" t="s">
        <v>2094</v>
      </c>
    </row>
    <row r="25" spans="1:4" x14ac:dyDescent="0.45">
      <c r="A25">
        <v>6</v>
      </c>
      <c r="B25" t="s">
        <v>1863</v>
      </c>
      <c r="C25" t="s">
        <v>2113</v>
      </c>
      <c r="D25" t="s">
        <v>2095</v>
      </c>
    </row>
    <row r="26" spans="1:4" x14ac:dyDescent="0.45">
      <c r="A26">
        <v>6</v>
      </c>
      <c r="B26" t="s">
        <v>1863</v>
      </c>
      <c r="C26" t="s">
        <v>2109</v>
      </c>
      <c r="D26" t="s">
        <v>2096</v>
      </c>
    </row>
    <row r="27" spans="1:4" x14ac:dyDescent="0.45">
      <c r="A27">
        <v>6</v>
      </c>
      <c r="B27" t="s">
        <v>1863</v>
      </c>
      <c r="C27" t="s">
        <v>2110</v>
      </c>
      <c r="D27" t="s">
        <v>2097</v>
      </c>
    </row>
    <row r="28" spans="1:4" x14ac:dyDescent="0.45">
      <c r="A28">
        <v>6</v>
      </c>
      <c r="B28" t="s">
        <v>1863</v>
      </c>
      <c r="C28" t="s">
        <v>2111</v>
      </c>
      <c r="D28" t="s">
        <v>2098</v>
      </c>
    </row>
    <row r="29" spans="1:4" x14ac:dyDescent="0.45">
      <c r="A29">
        <v>6</v>
      </c>
      <c r="B29" t="s">
        <v>1863</v>
      </c>
      <c r="C29" t="s">
        <v>2112</v>
      </c>
      <c r="D29" t="s">
        <v>2099</v>
      </c>
    </row>
    <row r="30" spans="1:4" x14ac:dyDescent="0.45">
      <c r="A30">
        <v>11</v>
      </c>
      <c r="B30" t="s">
        <v>1889</v>
      </c>
      <c r="C30" t="s">
        <v>2107</v>
      </c>
      <c r="D30" t="s">
        <v>2100</v>
      </c>
    </row>
    <row r="31" spans="1:4" x14ac:dyDescent="0.45">
      <c r="A31">
        <v>11</v>
      </c>
      <c r="B31" t="s">
        <v>1889</v>
      </c>
      <c r="C31" t="s">
        <v>2113</v>
      </c>
      <c r="D31" t="s">
        <v>2101</v>
      </c>
    </row>
    <row r="32" spans="1:4" x14ac:dyDescent="0.45">
      <c r="A32">
        <v>11</v>
      </c>
      <c r="B32" t="s">
        <v>1889</v>
      </c>
      <c r="C32" t="s">
        <v>2109</v>
      </c>
      <c r="D32" t="s">
        <v>2102</v>
      </c>
    </row>
    <row r="33" spans="1:4" x14ac:dyDescent="0.45">
      <c r="A33">
        <v>11</v>
      </c>
      <c r="B33" t="s">
        <v>1889</v>
      </c>
      <c r="C33" t="s">
        <v>2110</v>
      </c>
      <c r="D33" t="s">
        <v>2103</v>
      </c>
    </row>
    <row r="34" spans="1:4" x14ac:dyDescent="0.45">
      <c r="A34">
        <v>11</v>
      </c>
      <c r="B34" t="s">
        <v>1889</v>
      </c>
      <c r="C34" t="s">
        <v>2111</v>
      </c>
      <c r="D34" t="s">
        <v>2104</v>
      </c>
    </row>
    <row r="35" spans="1:4" x14ac:dyDescent="0.45">
      <c r="A35">
        <v>11</v>
      </c>
      <c r="B35" t="s">
        <v>1889</v>
      </c>
      <c r="C35" t="s">
        <v>2112</v>
      </c>
      <c r="D35" t="s">
        <v>2105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D412-1478-4113-A295-28AE51EC6091}">
  <dimension ref="A1:G53"/>
  <sheetViews>
    <sheetView workbookViewId="0">
      <pane ySplit="1" topLeftCell="A2" activePane="bottomLeft" state="frozen"/>
      <selection pane="bottomLeft" activeCell="D7" sqref="D7"/>
    </sheetView>
  </sheetViews>
  <sheetFormatPr defaultRowHeight="14.25" x14ac:dyDescent="0.45"/>
  <cols>
    <col min="1" max="1" width="8.3984375" bestFit="1" customWidth="1"/>
    <col min="2" max="2" width="18.86328125" bestFit="1" customWidth="1"/>
    <col min="3" max="3" width="9.3984375" bestFit="1" customWidth="1"/>
    <col min="4" max="4" width="12" bestFit="1" customWidth="1"/>
    <col min="5" max="5" width="12.1328125" bestFit="1" customWidth="1"/>
    <col min="6" max="6" width="19" bestFit="1" customWidth="1"/>
    <col min="7" max="7" width="22.1328125" bestFit="1" customWidth="1"/>
  </cols>
  <sheetData>
    <row r="1" spans="1:7" x14ac:dyDescent="0.45">
      <c r="A1" s="1" t="s">
        <v>1717</v>
      </c>
      <c r="B1" s="1" t="s">
        <v>1718</v>
      </c>
      <c r="C1" s="1" t="s">
        <v>1719</v>
      </c>
      <c r="D1" s="1" t="s">
        <v>1720</v>
      </c>
      <c r="E1" s="1" t="s">
        <v>1721</v>
      </c>
      <c r="F1" s="1" t="s">
        <v>1722</v>
      </c>
      <c r="G1" s="1" t="s">
        <v>1723</v>
      </c>
    </row>
    <row r="2" spans="1:7" x14ac:dyDescent="0.45">
      <c r="A2" t="s">
        <v>1724</v>
      </c>
      <c r="B2" t="s">
        <v>1725</v>
      </c>
      <c r="C2" t="s">
        <v>1965</v>
      </c>
      <c r="D2" t="b">
        <v>0</v>
      </c>
      <c r="E2" t="b">
        <v>0</v>
      </c>
      <c r="F2" t="b">
        <v>0</v>
      </c>
      <c r="G2" t="s">
        <v>1965</v>
      </c>
    </row>
    <row r="3" spans="1:7" x14ac:dyDescent="0.45">
      <c r="A3" t="s">
        <v>1726</v>
      </c>
      <c r="B3" t="s">
        <v>1727</v>
      </c>
      <c r="C3" t="s">
        <v>1728</v>
      </c>
      <c r="D3" t="b">
        <v>0</v>
      </c>
      <c r="E3" t="b">
        <v>0</v>
      </c>
      <c r="F3" t="b">
        <v>1</v>
      </c>
      <c r="G3" t="s">
        <v>1729</v>
      </c>
    </row>
    <row r="4" spans="1:7" x14ac:dyDescent="0.45">
      <c r="A4" t="s">
        <v>1730</v>
      </c>
      <c r="B4" t="s">
        <v>1731</v>
      </c>
      <c r="C4" t="s">
        <v>1728</v>
      </c>
      <c r="D4" t="b">
        <v>0</v>
      </c>
      <c r="E4" t="b">
        <v>0</v>
      </c>
      <c r="F4" t="b">
        <v>1</v>
      </c>
      <c r="G4" t="s">
        <v>1729</v>
      </c>
    </row>
    <row r="5" spans="1:7" x14ac:dyDescent="0.45">
      <c r="A5" t="s">
        <v>1732</v>
      </c>
      <c r="B5" t="s">
        <v>1733</v>
      </c>
      <c r="C5" t="s">
        <v>1728</v>
      </c>
      <c r="D5" t="b">
        <v>0</v>
      </c>
      <c r="E5" t="b">
        <v>0</v>
      </c>
      <c r="F5" t="b">
        <v>1</v>
      </c>
      <c r="G5" t="s">
        <v>1729</v>
      </c>
    </row>
    <row r="6" spans="1:7" x14ac:dyDescent="0.45">
      <c r="A6" t="s">
        <v>1734</v>
      </c>
      <c r="B6" t="s">
        <v>1735</v>
      </c>
      <c r="C6" t="s">
        <v>1697</v>
      </c>
      <c r="D6" t="b">
        <v>1</v>
      </c>
      <c r="E6" t="b">
        <v>1</v>
      </c>
      <c r="F6" t="b">
        <v>0</v>
      </c>
      <c r="G6" t="s">
        <v>1736</v>
      </c>
    </row>
    <row r="7" spans="1:7" x14ac:dyDescent="0.45">
      <c r="A7" t="s">
        <v>1737</v>
      </c>
      <c r="B7" t="s">
        <v>1738</v>
      </c>
      <c r="C7" t="s">
        <v>1728</v>
      </c>
      <c r="D7" t="b">
        <v>0</v>
      </c>
      <c r="E7" t="b">
        <v>0</v>
      </c>
      <c r="F7" t="b">
        <v>1</v>
      </c>
      <c r="G7" t="s">
        <v>1729</v>
      </c>
    </row>
    <row r="8" spans="1:7" x14ac:dyDescent="0.45">
      <c r="A8" t="s">
        <v>1739</v>
      </c>
      <c r="B8" t="s">
        <v>1740</v>
      </c>
      <c r="C8" t="s">
        <v>1728</v>
      </c>
      <c r="D8" t="b">
        <v>0</v>
      </c>
      <c r="E8" t="b">
        <v>0</v>
      </c>
      <c r="F8" t="b">
        <v>1</v>
      </c>
      <c r="G8" t="s">
        <v>1729</v>
      </c>
    </row>
    <row r="9" spans="1:7" x14ac:dyDescent="0.45">
      <c r="A9" t="s">
        <v>1741</v>
      </c>
      <c r="B9" t="s">
        <v>1742</v>
      </c>
      <c r="C9" t="s">
        <v>1728</v>
      </c>
      <c r="D9" t="b">
        <v>1</v>
      </c>
      <c r="E9" t="b">
        <v>0</v>
      </c>
      <c r="F9" t="b">
        <v>0</v>
      </c>
      <c r="G9" t="s">
        <v>1729</v>
      </c>
    </row>
    <row r="10" spans="1:7" x14ac:dyDescent="0.45">
      <c r="A10" t="s">
        <v>1743</v>
      </c>
      <c r="B10" t="s">
        <v>1744</v>
      </c>
      <c r="C10" t="s">
        <v>1728</v>
      </c>
      <c r="D10" t="b">
        <v>0</v>
      </c>
      <c r="E10" t="b">
        <v>0</v>
      </c>
      <c r="F10" t="b">
        <v>1</v>
      </c>
      <c r="G10" t="s">
        <v>1729</v>
      </c>
    </row>
    <row r="11" spans="1:7" x14ac:dyDescent="0.45">
      <c r="A11" t="s">
        <v>1745</v>
      </c>
      <c r="B11" t="s">
        <v>1746</v>
      </c>
      <c r="C11" t="s">
        <v>1697</v>
      </c>
      <c r="D11" t="b">
        <v>1</v>
      </c>
      <c r="E11" t="b">
        <v>1</v>
      </c>
      <c r="F11" t="b">
        <v>0</v>
      </c>
      <c r="G11" t="s">
        <v>1736</v>
      </c>
    </row>
    <row r="12" spans="1:7" x14ac:dyDescent="0.45">
      <c r="A12" t="s">
        <v>1747</v>
      </c>
      <c r="B12" t="s">
        <v>1748</v>
      </c>
      <c r="C12" t="s">
        <v>1697</v>
      </c>
      <c r="D12" t="b">
        <v>0</v>
      </c>
      <c r="E12" t="b">
        <v>1</v>
      </c>
      <c r="F12" t="b">
        <v>1</v>
      </c>
      <c r="G12" t="s">
        <v>1736</v>
      </c>
    </row>
    <row r="13" spans="1:7" x14ac:dyDescent="0.45">
      <c r="A13" t="s">
        <v>1749</v>
      </c>
      <c r="B13" t="s">
        <v>1750</v>
      </c>
      <c r="C13" t="s">
        <v>1697</v>
      </c>
      <c r="D13" t="b">
        <v>0</v>
      </c>
      <c r="E13" t="b">
        <v>1</v>
      </c>
      <c r="F13" t="b">
        <v>1</v>
      </c>
      <c r="G13" t="s">
        <v>1736</v>
      </c>
    </row>
    <row r="14" spans="1:7" x14ac:dyDescent="0.45">
      <c r="A14" t="s">
        <v>1751</v>
      </c>
      <c r="B14" t="s">
        <v>1752</v>
      </c>
      <c r="C14" t="s">
        <v>1728</v>
      </c>
      <c r="D14" t="b">
        <v>0</v>
      </c>
      <c r="E14" t="b">
        <v>0</v>
      </c>
      <c r="F14" t="b">
        <v>1</v>
      </c>
      <c r="G14" t="s">
        <v>1729</v>
      </c>
    </row>
    <row r="15" spans="1:7" x14ac:dyDescent="0.45">
      <c r="A15" t="s">
        <v>1753</v>
      </c>
      <c r="B15" t="s">
        <v>1754</v>
      </c>
      <c r="C15" t="s">
        <v>1728</v>
      </c>
      <c r="D15" t="b">
        <v>0</v>
      </c>
      <c r="E15" t="b">
        <v>0</v>
      </c>
      <c r="F15" t="b">
        <v>1</v>
      </c>
      <c r="G15" t="s">
        <v>1729</v>
      </c>
    </row>
    <row r="16" spans="1:7" x14ac:dyDescent="0.45">
      <c r="A16" t="s">
        <v>1755</v>
      </c>
      <c r="B16" t="s">
        <v>1756</v>
      </c>
      <c r="C16" t="s">
        <v>1728</v>
      </c>
      <c r="D16" t="b">
        <v>0</v>
      </c>
      <c r="E16" t="b">
        <v>0</v>
      </c>
      <c r="F16" t="b">
        <v>1</v>
      </c>
      <c r="G16" t="s">
        <v>1729</v>
      </c>
    </row>
    <row r="17" spans="1:7" x14ac:dyDescent="0.45">
      <c r="A17" t="s">
        <v>1757</v>
      </c>
      <c r="B17" t="s">
        <v>1758</v>
      </c>
      <c r="C17" t="s">
        <v>1728</v>
      </c>
      <c r="D17" t="b">
        <v>1</v>
      </c>
      <c r="E17" t="b">
        <v>0</v>
      </c>
      <c r="F17" t="b">
        <v>0</v>
      </c>
      <c r="G17" t="s">
        <v>1729</v>
      </c>
    </row>
    <row r="18" spans="1:7" x14ac:dyDescent="0.45">
      <c r="A18" t="s">
        <v>1759</v>
      </c>
      <c r="B18" t="s">
        <v>1760</v>
      </c>
      <c r="C18" t="s">
        <v>1697</v>
      </c>
      <c r="D18" t="b">
        <v>0</v>
      </c>
      <c r="E18" t="b">
        <v>0</v>
      </c>
      <c r="F18" t="b">
        <v>1</v>
      </c>
      <c r="G18" t="s">
        <v>1761</v>
      </c>
    </row>
    <row r="19" spans="1:7" x14ac:dyDescent="0.45">
      <c r="A19" t="s">
        <v>1762</v>
      </c>
      <c r="B19" t="s">
        <v>1763</v>
      </c>
      <c r="C19" t="s">
        <v>1728</v>
      </c>
      <c r="D19" t="b">
        <v>0</v>
      </c>
      <c r="E19" t="b">
        <v>0</v>
      </c>
      <c r="F19" t="b">
        <v>1</v>
      </c>
      <c r="G19" t="s">
        <v>1729</v>
      </c>
    </row>
    <row r="20" spans="1:7" x14ac:dyDescent="0.45">
      <c r="A20" t="s">
        <v>1764</v>
      </c>
      <c r="B20" t="s">
        <v>1765</v>
      </c>
      <c r="C20" t="s">
        <v>1965</v>
      </c>
      <c r="D20" t="b">
        <v>0</v>
      </c>
      <c r="E20" t="b">
        <v>0</v>
      </c>
      <c r="F20" t="b">
        <v>0</v>
      </c>
      <c r="G20" t="s">
        <v>1965</v>
      </c>
    </row>
    <row r="21" spans="1:7" x14ac:dyDescent="0.45">
      <c r="A21" t="s">
        <v>1766</v>
      </c>
      <c r="B21" t="s">
        <v>1767</v>
      </c>
      <c r="C21" t="s">
        <v>1728</v>
      </c>
      <c r="D21" t="b">
        <v>0</v>
      </c>
      <c r="E21" t="b">
        <v>0</v>
      </c>
      <c r="F21" t="b">
        <v>1</v>
      </c>
      <c r="G21" t="s">
        <v>1729</v>
      </c>
    </row>
    <row r="22" spans="1:7" x14ac:dyDescent="0.45">
      <c r="A22" t="s">
        <v>1768</v>
      </c>
      <c r="B22" t="s">
        <v>1769</v>
      </c>
      <c r="C22" t="s">
        <v>1697</v>
      </c>
      <c r="D22" t="b">
        <v>0</v>
      </c>
      <c r="E22" t="b">
        <v>0</v>
      </c>
      <c r="F22" t="b">
        <v>1</v>
      </c>
      <c r="G22" t="s">
        <v>1761</v>
      </c>
    </row>
    <row r="23" spans="1:7" x14ac:dyDescent="0.45">
      <c r="A23" t="s">
        <v>1770</v>
      </c>
      <c r="B23" t="s">
        <v>1771</v>
      </c>
      <c r="C23" t="s">
        <v>1965</v>
      </c>
      <c r="D23" t="b">
        <v>0</v>
      </c>
      <c r="E23" t="b">
        <v>0</v>
      </c>
      <c r="F23" t="b">
        <v>0</v>
      </c>
      <c r="G23" t="s">
        <v>1965</v>
      </c>
    </row>
    <row r="24" spans="1:7" x14ac:dyDescent="0.45">
      <c r="A24" t="s">
        <v>1772</v>
      </c>
      <c r="B24" t="s">
        <v>1773</v>
      </c>
      <c r="C24" t="s">
        <v>1728</v>
      </c>
      <c r="D24" t="b">
        <v>0</v>
      </c>
      <c r="E24" t="b">
        <v>0</v>
      </c>
      <c r="F24" t="b">
        <v>1</v>
      </c>
      <c r="G24" t="s">
        <v>1729</v>
      </c>
    </row>
    <row r="25" spans="1:7" x14ac:dyDescent="0.45">
      <c r="A25" t="s">
        <v>1774</v>
      </c>
      <c r="B25" t="s">
        <v>1775</v>
      </c>
      <c r="C25" t="s">
        <v>1728</v>
      </c>
      <c r="D25" t="b">
        <v>0</v>
      </c>
      <c r="E25" t="b">
        <v>0</v>
      </c>
      <c r="F25" t="b">
        <v>1</v>
      </c>
      <c r="G25" t="s">
        <v>1729</v>
      </c>
    </row>
    <row r="26" spans="1:7" x14ac:dyDescent="0.45">
      <c r="A26" t="s">
        <v>1776</v>
      </c>
      <c r="B26" t="s">
        <v>1777</v>
      </c>
      <c r="C26" t="s">
        <v>1697</v>
      </c>
      <c r="D26" t="b">
        <v>0</v>
      </c>
      <c r="E26" t="b">
        <v>1</v>
      </c>
      <c r="F26" t="b">
        <v>1</v>
      </c>
      <c r="G26" t="s">
        <v>1736</v>
      </c>
    </row>
    <row r="27" spans="1:7" x14ac:dyDescent="0.45">
      <c r="A27" t="s">
        <v>1778</v>
      </c>
      <c r="B27" t="s">
        <v>1779</v>
      </c>
      <c r="C27" t="s">
        <v>1728</v>
      </c>
      <c r="D27" t="b">
        <v>0</v>
      </c>
      <c r="E27" t="b">
        <v>0</v>
      </c>
      <c r="F27" t="b">
        <v>1</v>
      </c>
      <c r="G27" t="s">
        <v>1729</v>
      </c>
    </row>
    <row r="28" spans="1:7" x14ac:dyDescent="0.45">
      <c r="A28" t="s">
        <v>1780</v>
      </c>
      <c r="B28" t="s">
        <v>1781</v>
      </c>
      <c r="C28" t="s">
        <v>1728</v>
      </c>
      <c r="D28" t="b">
        <v>0</v>
      </c>
      <c r="E28" t="b">
        <v>0</v>
      </c>
      <c r="F28" t="b">
        <v>1</v>
      </c>
      <c r="G28" t="s">
        <v>1729</v>
      </c>
    </row>
    <row r="29" spans="1:7" x14ac:dyDescent="0.45">
      <c r="A29" t="s">
        <v>1782</v>
      </c>
      <c r="B29" t="s">
        <v>1783</v>
      </c>
      <c r="C29" t="s">
        <v>1728</v>
      </c>
      <c r="D29" t="b">
        <v>0</v>
      </c>
      <c r="E29" t="b">
        <v>0</v>
      </c>
      <c r="F29" t="b">
        <v>1</v>
      </c>
      <c r="G29" t="s">
        <v>1729</v>
      </c>
    </row>
    <row r="30" spans="1:7" x14ac:dyDescent="0.45">
      <c r="A30" t="s">
        <v>1784</v>
      </c>
      <c r="B30" t="s">
        <v>1785</v>
      </c>
      <c r="C30" t="s">
        <v>1728</v>
      </c>
      <c r="D30" t="b">
        <v>0</v>
      </c>
      <c r="E30" t="b">
        <v>0</v>
      </c>
      <c r="F30" t="b">
        <v>1</v>
      </c>
      <c r="G30" t="s">
        <v>1729</v>
      </c>
    </row>
    <row r="31" spans="1:7" x14ac:dyDescent="0.45">
      <c r="A31" t="s">
        <v>1786</v>
      </c>
      <c r="B31" t="s">
        <v>1787</v>
      </c>
      <c r="C31" t="s">
        <v>1697</v>
      </c>
      <c r="D31" t="b">
        <v>0</v>
      </c>
      <c r="E31" t="b">
        <v>0</v>
      </c>
      <c r="F31" t="b">
        <v>1</v>
      </c>
      <c r="G31" t="s">
        <v>1761</v>
      </c>
    </row>
    <row r="32" spans="1:7" x14ac:dyDescent="0.45">
      <c r="A32" t="s">
        <v>1788</v>
      </c>
      <c r="B32" t="s">
        <v>1789</v>
      </c>
      <c r="C32" t="s">
        <v>1728</v>
      </c>
      <c r="D32" t="b">
        <v>0</v>
      </c>
      <c r="E32" t="b">
        <v>0</v>
      </c>
      <c r="F32" t="b">
        <v>1</v>
      </c>
      <c r="G32" t="s">
        <v>1729</v>
      </c>
    </row>
    <row r="33" spans="1:7" x14ac:dyDescent="0.45">
      <c r="A33" t="s">
        <v>1790</v>
      </c>
      <c r="B33" t="s">
        <v>1791</v>
      </c>
      <c r="C33" t="s">
        <v>1728</v>
      </c>
      <c r="D33" t="b">
        <v>0</v>
      </c>
      <c r="E33" t="b">
        <v>0</v>
      </c>
      <c r="F33" t="b">
        <v>1</v>
      </c>
      <c r="G33" t="s">
        <v>1729</v>
      </c>
    </row>
    <row r="34" spans="1:7" x14ac:dyDescent="0.45">
      <c r="A34" t="s">
        <v>1792</v>
      </c>
      <c r="B34" t="s">
        <v>1793</v>
      </c>
      <c r="C34" t="s">
        <v>1965</v>
      </c>
      <c r="D34" t="b">
        <v>0</v>
      </c>
      <c r="E34" t="b">
        <v>0</v>
      </c>
      <c r="F34" t="b">
        <v>0</v>
      </c>
      <c r="G34" t="s">
        <v>1965</v>
      </c>
    </row>
    <row r="35" spans="1:7" x14ac:dyDescent="0.45">
      <c r="A35" t="s">
        <v>1794</v>
      </c>
      <c r="B35" t="s">
        <v>1795</v>
      </c>
      <c r="C35" t="s">
        <v>1728</v>
      </c>
      <c r="D35" t="b">
        <v>0</v>
      </c>
      <c r="E35" t="b">
        <v>0</v>
      </c>
      <c r="F35" t="b">
        <v>1</v>
      </c>
      <c r="G35" t="s">
        <v>1729</v>
      </c>
    </row>
    <row r="36" spans="1:7" x14ac:dyDescent="0.45">
      <c r="A36" t="s">
        <v>1796</v>
      </c>
      <c r="B36" t="s">
        <v>1797</v>
      </c>
      <c r="C36" t="s">
        <v>1965</v>
      </c>
      <c r="D36" t="b">
        <v>0</v>
      </c>
      <c r="E36" t="b">
        <v>0</v>
      </c>
      <c r="F36" t="b">
        <v>0</v>
      </c>
      <c r="G36" t="s">
        <v>1965</v>
      </c>
    </row>
    <row r="37" spans="1:7" x14ac:dyDescent="0.45">
      <c r="A37" t="s">
        <v>1798</v>
      </c>
      <c r="B37" t="s">
        <v>1799</v>
      </c>
      <c r="C37" t="s">
        <v>1728</v>
      </c>
      <c r="D37" t="b">
        <v>0</v>
      </c>
      <c r="E37" t="b">
        <v>0</v>
      </c>
      <c r="F37" t="b">
        <v>1</v>
      </c>
      <c r="G37" t="s">
        <v>1729</v>
      </c>
    </row>
    <row r="38" spans="1:7" x14ac:dyDescent="0.45">
      <c r="A38" t="s">
        <v>1800</v>
      </c>
      <c r="B38" t="s">
        <v>1801</v>
      </c>
      <c r="C38" t="s">
        <v>1728</v>
      </c>
      <c r="D38" t="b">
        <v>0</v>
      </c>
      <c r="E38" t="b">
        <v>0</v>
      </c>
      <c r="F38" t="b">
        <v>1</v>
      </c>
      <c r="G38" t="s">
        <v>1729</v>
      </c>
    </row>
    <row r="39" spans="1:7" x14ac:dyDescent="0.45">
      <c r="A39" t="s">
        <v>1802</v>
      </c>
      <c r="B39" t="s">
        <v>1803</v>
      </c>
      <c r="C39" t="s">
        <v>1697</v>
      </c>
      <c r="D39" t="b">
        <v>0</v>
      </c>
      <c r="E39" t="b">
        <v>1</v>
      </c>
      <c r="F39" t="b">
        <v>1</v>
      </c>
      <c r="G39" t="s">
        <v>1736</v>
      </c>
    </row>
    <row r="40" spans="1:7" x14ac:dyDescent="0.45">
      <c r="A40" t="s">
        <v>1804</v>
      </c>
      <c r="B40" t="s">
        <v>1805</v>
      </c>
      <c r="C40" t="s">
        <v>1728</v>
      </c>
      <c r="D40" t="b">
        <v>0</v>
      </c>
      <c r="E40" t="b">
        <v>0</v>
      </c>
      <c r="F40" t="b">
        <v>1</v>
      </c>
      <c r="G40" t="s">
        <v>1729</v>
      </c>
    </row>
    <row r="41" spans="1:7" x14ac:dyDescent="0.45">
      <c r="A41" t="s">
        <v>1806</v>
      </c>
      <c r="B41" t="s">
        <v>1807</v>
      </c>
      <c r="C41" t="s">
        <v>1728</v>
      </c>
      <c r="D41" t="b">
        <v>0</v>
      </c>
      <c r="E41" t="b">
        <v>0</v>
      </c>
      <c r="F41" t="b">
        <v>1</v>
      </c>
      <c r="G41" t="s">
        <v>1729</v>
      </c>
    </row>
    <row r="42" spans="1:7" x14ac:dyDescent="0.45">
      <c r="A42" t="s">
        <v>1808</v>
      </c>
      <c r="B42" t="s">
        <v>1809</v>
      </c>
      <c r="C42" t="s">
        <v>1697</v>
      </c>
      <c r="D42" t="b">
        <v>0</v>
      </c>
      <c r="E42" t="b">
        <v>0</v>
      </c>
      <c r="F42" t="b">
        <v>1</v>
      </c>
      <c r="G42" t="s">
        <v>1761</v>
      </c>
    </row>
    <row r="43" spans="1:7" x14ac:dyDescent="0.45">
      <c r="A43" t="s">
        <v>1810</v>
      </c>
      <c r="B43" t="s">
        <v>1811</v>
      </c>
      <c r="C43" t="s">
        <v>1728</v>
      </c>
      <c r="D43" t="b">
        <v>0</v>
      </c>
      <c r="E43" t="b">
        <v>0</v>
      </c>
      <c r="F43" t="b">
        <v>1</v>
      </c>
      <c r="G43" t="s">
        <v>1729</v>
      </c>
    </row>
    <row r="44" spans="1:7" x14ac:dyDescent="0.45">
      <c r="A44" t="s">
        <v>1812</v>
      </c>
      <c r="B44" t="s">
        <v>1813</v>
      </c>
      <c r="C44" t="s">
        <v>1697</v>
      </c>
      <c r="D44" t="b">
        <v>1</v>
      </c>
      <c r="E44" t="b">
        <v>0</v>
      </c>
      <c r="F44" t="b">
        <v>0</v>
      </c>
      <c r="G44" t="s">
        <v>1761</v>
      </c>
    </row>
    <row r="45" spans="1:7" x14ac:dyDescent="0.45">
      <c r="A45" t="s">
        <v>1814</v>
      </c>
      <c r="B45" t="s">
        <v>1815</v>
      </c>
      <c r="C45" t="s">
        <v>1728</v>
      </c>
      <c r="D45" t="b">
        <v>0</v>
      </c>
      <c r="E45" t="b">
        <v>0</v>
      </c>
      <c r="F45" t="b">
        <v>1</v>
      </c>
      <c r="G45" t="s">
        <v>1729</v>
      </c>
    </row>
    <row r="46" spans="1:7" x14ac:dyDescent="0.45">
      <c r="A46" t="s">
        <v>1816</v>
      </c>
      <c r="B46" t="s">
        <v>1817</v>
      </c>
      <c r="C46" t="s">
        <v>1728</v>
      </c>
      <c r="D46" t="b">
        <v>0</v>
      </c>
      <c r="E46" t="b">
        <v>0</v>
      </c>
      <c r="F46" t="b">
        <v>1</v>
      </c>
      <c r="G46" t="s">
        <v>1729</v>
      </c>
    </row>
    <row r="47" spans="1:7" x14ac:dyDescent="0.45">
      <c r="A47" t="s">
        <v>1818</v>
      </c>
      <c r="B47" t="s">
        <v>1819</v>
      </c>
      <c r="C47" t="s">
        <v>1728</v>
      </c>
      <c r="D47" t="b">
        <v>0</v>
      </c>
      <c r="E47" t="b">
        <v>0</v>
      </c>
      <c r="F47" t="b">
        <v>1</v>
      </c>
      <c r="G47" t="s">
        <v>1729</v>
      </c>
    </row>
    <row r="48" spans="1:7" x14ac:dyDescent="0.45">
      <c r="A48" t="s">
        <v>1820</v>
      </c>
      <c r="B48" t="s">
        <v>1821</v>
      </c>
      <c r="C48" t="s">
        <v>1728</v>
      </c>
      <c r="D48" t="b">
        <v>0</v>
      </c>
      <c r="E48" t="b">
        <v>0</v>
      </c>
      <c r="F48" t="b">
        <v>1</v>
      </c>
      <c r="G48" t="s">
        <v>1729</v>
      </c>
    </row>
    <row r="49" spans="1:7" x14ac:dyDescent="0.45">
      <c r="A49" t="s">
        <v>1822</v>
      </c>
      <c r="B49" t="s">
        <v>1823</v>
      </c>
      <c r="C49" t="s">
        <v>1965</v>
      </c>
      <c r="D49" t="b">
        <v>0</v>
      </c>
      <c r="E49" t="b">
        <v>0</v>
      </c>
      <c r="F49" t="b">
        <v>0</v>
      </c>
      <c r="G49" t="s">
        <v>1965</v>
      </c>
    </row>
    <row r="50" spans="1:7" x14ac:dyDescent="0.45">
      <c r="A50" t="s">
        <v>1824</v>
      </c>
      <c r="B50" t="s">
        <v>1825</v>
      </c>
      <c r="C50" t="s">
        <v>1697</v>
      </c>
      <c r="D50" t="b">
        <v>1</v>
      </c>
      <c r="E50" t="b">
        <v>0</v>
      </c>
      <c r="F50" t="b">
        <v>0</v>
      </c>
      <c r="G50" t="s">
        <v>1761</v>
      </c>
    </row>
    <row r="51" spans="1:7" x14ac:dyDescent="0.45">
      <c r="A51" t="s">
        <v>1826</v>
      </c>
      <c r="B51" t="s">
        <v>1827</v>
      </c>
      <c r="C51" t="s">
        <v>1728</v>
      </c>
      <c r="D51" t="b">
        <v>0</v>
      </c>
      <c r="E51" t="b">
        <v>0</v>
      </c>
      <c r="F51" t="b">
        <v>1</v>
      </c>
      <c r="G51" t="s">
        <v>1729</v>
      </c>
    </row>
    <row r="52" spans="1:7" x14ac:dyDescent="0.45">
      <c r="A52" t="s">
        <v>1828</v>
      </c>
      <c r="B52" t="s">
        <v>1829</v>
      </c>
      <c r="C52" t="s">
        <v>1728</v>
      </c>
      <c r="D52" t="b">
        <v>0</v>
      </c>
      <c r="E52" t="b">
        <v>0</v>
      </c>
      <c r="F52" t="b">
        <v>1</v>
      </c>
      <c r="G52" t="s">
        <v>1729</v>
      </c>
    </row>
    <row r="53" spans="1:7" x14ac:dyDescent="0.45">
      <c r="A53" t="s">
        <v>1830</v>
      </c>
      <c r="B53" t="s">
        <v>1831</v>
      </c>
      <c r="C53" t="s">
        <v>1965</v>
      </c>
      <c r="D53" t="b">
        <v>0</v>
      </c>
      <c r="E53" t="b">
        <v>0</v>
      </c>
      <c r="F53" t="b">
        <v>0</v>
      </c>
      <c r="G53" t="s">
        <v>1965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B323-8A8F-4BA4-B8E2-352C8F0B4913}">
  <dimension ref="A1:AE24"/>
  <sheetViews>
    <sheetView workbookViewId="0">
      <selection activeCell="H36" sqref="H36"/>
    </sheetView>
  </sheetViews>
  <sheetFormatPr defaultRowHeight="14.25" x14ac:dyDescent="0.45"/>
  <cols>
    <col min="2" max="2" width="32.3984375" bestFit="1" customWidth="1"/>
    <col min="4" max="4" width="9.3984375" bestFit="1" customWidth="1"/>
  </cols>
  <sheetData>
    <row r="1" spans="1:31" x14ac:dyDescent="0.45">
      <c r="A1" t="s">
        <v>1927</v>
      </c>
      <c r="B1">
        <v>0</v>
      </c>
      <c r="C1">
        <v>10000</v>
      </c>
      <c r="D1">
        <v>25000</v>
      </c>
      <c r="E1">
        <v>75000</v>
      </c>
      <c r="F1">
        <v>100000</v>
      </c>
      <c r="G1">
        <v>150000</v>
      </c>
      <c r="H1">
        <v>200000</v>
      </c>
      <c r="I1">
        <v>250000</v>
      </c>
      <c r="J1">
        <v>500000</v>
      </c>
      <c r="K1">
        <v>750000</v>
      </c>
      <c r="L1">
        <v>1000000</v>
      </c>
      <c r="M1">
        <v>2000000</v>
      </c>
      <c r="N1">
        <v>3000000</v>
      </c>
      <c r="O1">
        <v>4000000</v>
      </c>
      <c r="P1">
        <v>5000000</v>
      </c>
      <c r="Q1">
        <v>6000000</v>
      </c>
      <c r="R1">
        <v>7000000</v>
      </c>
      <c r="S1">
        <v>8000000</v>
      </c>
      <c r="T1">
        <v>9000000</v>
      </c>
      <c r="U1">
        <v>10000000</v>
      </c>
      <c r="V1">
        <v>15000000</v>
      </c>
      <c r="W1">
        <v>20000000</v>
      </c>
      <c r="X1">
        <v>25000000</v>
      </c>
      <c r="Y1">
        <v>30000000</v>
      </c>
      <c r="Z1">
        <v>35000000</v>
      </c>
      <c r="AA1">
        <v>40000000</v>
      </c>
      <c r="AB1">
        <v>45000000</v>
      </c>
      <c r="AC1">
        <v>50000000</v>
      </c>
      <c r="AD1">
        <v>100000000</v>
      </c>
      <c r="AE1">
        <v>100000000000</v>
      </c>
    </row>
    <row r="2" spans="1:31" x14ac:dyDescent="0.45">
      <c r="A2">
        <v>0</v>
      </c>
      <c r="B2">
        <v>0.65300000000000002</v>
      </c>
      <c r="C2">
        <v>0.65300000000000002</v>
      </c>
      <c r="D2">
        <v>0.63390000000000002</v>
      </c>
      <c r="E2">
        <v>0.60060000000000002</v>
      </c>
      <c r="F2">
        <v>0.59130000000000005</v>
      </c>
      <c r="G2">
        <v>0.57379999999999998</v>
      </c>
      <c r="H2">
        <v>0.55640000000000001</v>
      </c>
      <c r="I2">
        <v>0.53890000000000005</v>
      </c>
      <c r="J2">
        <v>0.43909999999999999</v>
      </c>
      <c r="K2">
        <v>0.36299999999999999</v>
      </c>
      <c r="L2">
        <v>0.3382</v>
      </c>
      <c r="M2">
        <v>0.27060000000000001</v>
      </c>
      <c r="N2">
        <v>0.22270000000000001</v>
      </c>
      <c r="O2">
        <v>0.2114</v>
      </c>
      <c r="P2">
        <v>0.19839999999999999</v>
      </c>
      <c r="Q2">
        <v>0.19170000000000001</v>
      </c>
      <c r="R2">
        <v>0.1862</v>
      </c>
      <c r="S2">
        <v>0.184</v>
      </c>
      <c r="T2">
        <v>0.18210000000000001</v>
      </c>
      <c r="U2">
        <v>0.17730000000000001</v>
      </c>
      <c r="V2">
        <v>0.16739999999999999</v>
      </c>
      <c r="W2">
        <v>0.1578</v>
      </c>
      <c r="X2">
        <v>0.14660000000000001</v>
      </c>
      <c r="Y2">
        <v>0.128</v>
      </c>
      <c r="Z2">
        <v>0.10539999999999999</v>
      </c>
      <c r="AA2">
        <v>9.1300000000000006E-2</v>
      </c>
      <c r="AB2">
        <v>7.3300000000000004E-2</v>
      </c>
      <c r="AC2">
        <v>3.2399999999999998E-2</v>
      </c>
      <c r="AD2">
        <v>1.55E-2</v>
      </c>
      <c r="AE2">
        <v>1.55E-2</v>
      </c>
    </row>
    <row r="3" spans="1:31" x14ac:dyDescent="0.45">
      <c r="A3">
        <v>500000</v>
      </c>
      <c r="B3">
        <v>0.65300000000000002</v>
      </c>
      <c r="C3">
        <v>0.65300000000000002</v>
      </c>
      <c r="D3">
        <v>0.63390000000000002</v>
      </c>
      <c r="E3">
        <v>0.60060000000000002</v>
      </c>
      <c r="F3">
        <v>0.59130000000000005</v>
      </c>
      <c r="G3">
        <v>0.57379999999999998</v>
      </c>
      <c r="H3">
        <v>0.55640000000000001</v>
      </c>
      <c r="I3">
        <v>0.53890000000000005</v>
      </c>
      <c r="J3">
        <v>0.43909999999999999</v>
      </c>
      <c r="K3">
        <v>0.36299999999999999</v>
      </c>
      <c r="L3">
        <v>0.3382</v>
      </c>
      <c r="M3">
        <v>0.27060000000000001</v>
      </c>
      <c r="N3">
        <v>0.22270000000000001</v>
      </c>
      <c r="O3">
        <v>0.2114</v>
      </c>
      <c r="P3">
        <v>0.19839999999999999</v>
      </c>
      <c r="Q3">
        <v>0.19170000000000001</v>
      </c>
      <c r="R3">
        <v>0.1862</v>
      </c>
      <c r="S3">
        <v>0.184</v>
      </c>
      <c r="T3">
        <v>0.18210000000000001</v>
      </c>
      <c r="U3">
        <v>0.17730000000000001</v>
      </c>
      <c r="V3">
        <v>0.16739999999999999</v>
      </c>
      <c r="W3">
        <v>0.1578</v>
      </c>
      <c r="X3">
        <v>0.14660000000000001</v>
      </c>
      <c r="Y3">
        <v>0.128</v>
      </c>
      <c r="Z3">
        <v>0.10539999999999999</v>
      </c>
      <c r="AA3">
        <v>9.1300000000000006E-2</v>
      </c>
      <c r="AB3">
        <v>7.3300000000000004E-2</v>
      </c>
      <c r="AC3">
        <v>3.2399999999999998E-2</v>
      </c>
      <c r="AD3">
        <v>1.55E-2</v>
      </c>
      <c r="AE3">
        <v>1.55E-2</v>
      </c>
    </row>
    <row r="4" spans="1:31" x14ac:dyDescent="0.45">
      <c r="A4">
        <v>750000</v>
      </c>
      <c r="B4">
        <v>0.89610000000000001</v>
      </c>
      <c r="C4">
        <v>0.89610000000000001</v>
      </c>
      <c r="D4">
        <v>0.874</v>
      </c>
      <c r="E4">
        <v>0.83040000000000003</v>
      </c>
      <c r="F4">
        <v>0.81599999999999995</v>
      </c>
      <c r="G4">
        <v>0.7883</v>
      </c>
      <c r="H4">
        <v>0.76049999999999995</v>
      </c>
      <c r="I4">
        <v>0.73280000000000001</v>
      </c>
      <c r="J4">
        <v>0.60819999999999996</v>
      </c>
      <c r="K4">
        <v>0.53210000000000002</v>
      </c>
      <c r="L4">
        <v>0.50729999999999997</v>
      </c>
      <c r="M4">
        <v>0.40589999999999998</v>
      </c>
      <c r="N4">
        <v>0.33400000000000002</v>
      </c>
      <c r="O4">
        <v>0.31709999999999999</v>
      </c>
      <c r="P4">
        <v>0.29759999999999998</v>
      </c>
      <c r="Q4">
        <v>0.28749999999999998</v>
      </c>
      <c r="R4">
        <v>0.27939999999999998</v>
      </c>
      <c r="S4">
        <v>0.27610000000000001</v>
      </c>
      <c r="T4">
        <v>0.2732</v>
      </c>
      <c r="U4">
        <v>0.26600000000000001</v>
      </c>
      <c r="V4">
        <v>0.25109999999999999</v>
      </c>
      <c r="W4">
        <v>0.23680000000000001</v>
      </c>
      <c r="X4">
        <v>0.2198</v>
      </c>
      <c r="Y4">
        <v>0.19189999999999999</v>
      </c>
      <c r="Z4">
        <v>0.15809999999999999</v>
      </c>
      <c r="AA4">
        <v>0.13700000000000001</v>
      </c>
      <c r="AB4">
        <v>0.1099</v>
      </c>
      <c r="AC4">
        <v>4.8500000000000001E-2</v>
      </c>
      <c r="AD4">
        <v>2.3300000000000001E-2</v>
      </c>
      <c r="AE4">
        <v>2.3300000000000001E-2</v>
      </c>
    </row>
    <row r="5" spans="1:31" x14ac:dyDescent="0.45">
      <c r="A5">
        <v>1000000</v>
      </c>
      <c r="B5">
        <v>1.0891</v>
      </c>
      <c r="C5">
        <v>1.0891</v>
      </c>
      <c r="D5">
        <v>1.0653999999999999</v>
      </c>
      <c r="E5">
        <v>1.0168999999999999</v>
      </c>
      <c r="F5">
        <v>1</v>
      </c>
      <c r="G5">
        <v>0.96730000000000005</v>
      </c>
      <c r="H5">
        <v>0.93459999999999999</v>
      </c>
      <c r="I5">
        <v>0.90190000000000003</v>
      </c>
      <c r="J5">
        <v>0.77729999999999999</v>
      </c>
      <c r="K5">
        <v>0.70120000000000005</v>
      </c>
      <c r="L5">
        <v>0.6764</v>
      </c>
      <c r="M5">
        <v>0.54110000000000003</v>
      </c>
      <c r="N5">
        <v>0.44529999999999997</v>
      </c>
      <c r="O5">
        <v>0.42280000000000001</v>
      </c>
      <c r="P5">
        <v>0.39679999999999999</v>
      </c>
      <c r="Q5">
        <v>0.38329999999999997</v>
      </c>
      <c r="R5">
        <v>0.3725</v>
      </c>
      <c r="S5">
        <v>0.36809999999999998</v>
      </c>
      <c r="T5">
        <v>0.36430000000000001</v>
      </c>
      <c r="U5">
        <v>0.35470000000000002</v>
      </c>
      <c r="V5">
        <v>0.33479999999999999</v>
      </c>
      <c r="W5">
        <v>0.31569999999999998</v>
      </c>
      <c r="X5">
        <v>0.29310000000000003</v>
      </c>
      <c r="Y5">
        <v>0.25590000000000002</v>
      </c>
      <c r="Z5">
        <v>0.21079999999999999</v>
      </c>
      <c r="AA5">
        <v>0.18260000000000001</v>
      </c>
      <c r="AB5">
        <v>0.14660000000000001</v>
      </c>
      <c r="AC5">
        <v>6.4699999999999994E-2</v>
      </c>
      <c r="AD5">
        <v>3.1E-2</v>
      </c>
      <c r="AE5">
        <v>3.1E-2</v>
      </c>
    </row>
    <row r="6" spans="1:31" x14ac:dyDescent="0.45">
      <c r="A6">
        <v>2000000</v>
      </c>
      <c r="B6">
        <v>1.7641</v>
      </c>
      <c r="C6">
        <v>1.7641</v>
      </c>
      <c r="D6">
        <v>1.7383999999999999</v>
      </c>
      <c r="E6">
        <v>1.6832</v>
      </c>
      <c r="F6">
        <v>1.6629</v>
      </c>
      <c r="G6">
        <v>1.6234</v>
      </c>
      <c r="H6">
        <v>1.5839000000000001</v>
      </c>
      <c r="I6">
        <v>1.5445</v>
      </c>
      <c r="J6">
        <v>1.3861000000000001</v>
      </c>
      <c r="K6">
        <v>1.2762</v>
      </c>
      <c r="L6">
        <v>1.2176</v>
      </c>
      <c r="M6">
        <v>0.98650000000000004</v>
      </c>
      <c r="N6">
        <v>0.86809999999999998</v>
      </c>
      <c r="O6">
        <v>0.8196</v>
      </c>
      <c r="P6">
        <v>0.7802</v>
      </c>
      <c r="Q6">
        <v>0.75580000000000003</v>
      </c>
      <c r="R6">
        <v>0.74060000000000004</v>
      </c>
      <c r="S6">
        <v>0.73240000000000005</v>
      </c>
      <c r="T6">
        <v>0.71889999999999998</v>
      </c>
      <c r="U6">
        <v>0.70940000000000003</v>
      </c>
      <c r="V6">
        <v>0.66969999999999996</v>
      </c>
      <c r="W6">
        <v>0.63129999999999997</v>
      </c>
      <c r="X6">
        <v>0.58620000000000005</v>
      </c>
      <c r="Y6">
        <v>0.51180000000000003</v>
      </c>
      <c r="Z6">
        <v>0.42159999999999997</v>
      </c>
      <c r="AA6">
        <v>0.36530000000000001</v>
      </c>
      <c r="AB6">
        <v>0.29310000000000003</v>
      </c>
      <c r="AC6">
        <v>0.12939999999999999</v>
      </c>
      <c r="AD6">
        <v>6.2E-2</v>
      </c>
      <c r="AE6">
        <v>6.2E-2</v>
      </c>
    </row>
    <row r="7" spans="1:31" x14ac:dyDescent="0.45">
      <c r="A7">
        <v>3000000</v>
      </c>
      <c r="B7">
        <v>2.3043</v>
      </c>
      <c r="C7">
        <v>2.3043</v>
      </c>
      <c r="D7">
        <v>2.2772000000000001</v>
      </c>
      <c r="E7">
        <v>2.2172000000000001</v>
      </c>
      <c r="F7">
        <v>2.1945000000000001</v>
      </c>
      <c r="G7">
        <v>2.1501999999999999</v>
      </c>
      <c r="H7">
        <v>2.1059999999999999</v>
      </c>
      <c r="I7">
        <v>2.0617000000000001</v>
      </c>
      <c r="J7">
        <v>1.8794</v>
      </c>
      <c r="K7">
        <v>1.7455000000000001</v>
      </c>
      <c r="L7">
        <v>1.6629</v>
      </c>
      <c r="M7">
        <v>1.4092</v>
      </c>
      <c r="N7">
        <v>1.2648999999999999</v>
      </c>
      <c r="O7">
        <v>1.2029000000000001</v>
      </c>
      <c r="P7">
        <v>1.1526000000000001</v>
      </c>
      <c r="Q7">
        <v>1.1238999999999999</v>
      </c>
      <c r="R7">
        <v>1.1048</v>
      </c>
      <c r="S7">
        <v>1.087</v>
      </c>
      <c r="T7">
        <v>1.0736000000000001</v>
      </c>
      <c r="U7">
        <v>1.0640000000000001</v>
      </c>
      <c r="V7">
        <v>1.0044999999999999</v>
      </c>
      <c r="W7">
        <v>0.94699999999999995</v>
      </c>
      <c r="X7">
        <v>0.87939999999999996</v>
      </c>
      <c r="Y7">
        <v>0.76780000000000004</v>
      </c>
      <c r="Z7">
        <v>0.63249999999999995</v>
      </c>
      <c r="AA7">
        <v>0.54790000000000005</v>
      </c>
      <c r="AB7">
        <v>0.43969999999999998</v>
      </c>
      <c r="AC7">
        <v>0.19409999999999999</v>
      </c>
      <c r="AD7">
        <v>9.2999999999999999E-2</v>
      </c>
      <c r="AE7">
        <v>9.2999999999999999E-2</v>
      </c>
    </row>
    <row r="8" spans="1:31" x14ac:dyDescent="0.45">
      <c r="A8">
        <v>4000000</v>
      </c>
      <c r="B8">
        <v>2.7494000000000001</v>
      </c>
      <c r="C8">
        <v>2.7494000000000001</v>
      </c>
      <c r="D8">
        <v>2.722</v>
      </c>
      <c r="E8">
        <v>2.6608000000000001</v>
      </c>
      <c r="F8">
        <v>2.6375000000000002</v>
      </c>
      <c r="G8">
        <v>2.5920999999999998</v>
      </c>
      <c r="H8">
        <v>2.5478000000000001</v>
      </c>
      <c r="I8">
        <v>2.5013999999999998</v>
      </c>
      <c r="J8">
        <v>2.3134000000000001</v>
      </c>
      <c r="K8">
        <v>2.1739000000000002</v>
      </c>
      <c r="L8">
        <v>2.0857000000000001</v>
      </c>
      <c r="M8">
        <v>1.8061</v>
      </c>
      <c r="N8">
        <v>1.6483000000000001</v>
      </c>
      <c r="O8">
        <v>1.5753999999999999</v>
      </c>
      <c r="P8">
        <v>1.5206999999999999</v>
      </c>
      <c r="Q8">
        <v>1.4882</v>
      </c>
      <c r="R8">
        <v>1.4595</v>
      </c>
      <c r="S8">
        <v>1.4417</v>
      </c>
      <c r="T8">
        <v>1.4282999999999999</v>
      </c>
      <c r="U8">
        <v>1.4187000000000001</v>
      </c>
      <c r="V8">
        <v>1.3392999999999999</v>
      </c>
      <c r="W8">
        <v>1.2626999999999999</v>
      </c>
      <c r="X8">
        <v>1.1725000000000001</v>
      </c>
      <c r="Y8">
        <v>1.0237000000000001</v>
      </c>
      <c r="Z8">
        <v>0.84330000000000005</v>
      </c>
      <c r="AA8">
        <v>0.73060000000000003</v>
      </c>
      <c r="AB8">
        <v>0.58620000000000005</v>
      </c>
      <c r="AC8">
        <v>0.25890000000000002</v>
      </c>
      <c r="AD8">
        <v>0.124</v>
      </c>
      <c r="AE8">
        <v>0.124</v>
      </c>
    </row>
    <row r="9" spans="1:31" x14ac:dyDescent="0.45">
      <c r="A9">
        <v>5000000</v>
      </c>
      <c r="B9">
        <v>3.1720000000000002</v>
      </c>
      <c r="C9">
        <v>3.1720000000000002</v>
      </c>
      <c r="D9">
        <v>3.1440999999999999</v>
      </c>
      <c r="E9">
        <v>3.0815999999999999</v>
      </c>
      <c r="F9">
        <v>3.0577000000000001</v>
      </c>
      <c r="G9">
        <v>3.0110000000000001</v>
      </c>
      <c r="H9">
        <v>2.9643999999999999</v>
      </c>
      <c r="I9">
        <v>2.9177</v>
      </c>
      <c r="J9">
        <v>2.7231999999999998</v>
      </c>
      <c r="K9">
        <v>2.5771999999999999</v>
      </c>
      <c r="L9">
        <v>2.4824999999999999</v>
      </c>
      <c r="M9">
        <v>2.1894</v>
      </c>
      <c r="N9">
        <v>2.0207000000000002</v>
      </c>
      <c r="O9">
        <v>1.9435</v>
      </c>
      <c r="P9">
        <v>1.885</v>
      </c>
      <c r="Q9">
        <v>1.8428</v>
      </c>
      <c r="R9">
        <v>1.8142</v>
      </c>
      <c r="S9">
        <v>1.7964</v>
      </c>
      <c r="T9">
        <v>1.7829999999999999</v>
      </c>
      <c r="U9">
        <v>1.7734000000000001</v>
      </c>
      <c r="V9">
        <v>1.6741999999999999</v>
      </c>
      <c r="W9">
        <v>1.5784</v>
      </c>
      <c r="X9">
        <v>1.4656</v>
      </c>
      <c r="Y9">
        <v>1.2796000000000001</v>
      </c>
      <c r="Z9">
        <v>1.0541</v>
      </c>
      <c r="AA9">
        <v>0.91320000000000001</v>
      </c>
      <c r="AB9">
        <v>0.73280000000000001</v>
      </c>
      <c r="AC9">
        <v>0.3236</v>
      </c>
      <c r="AD9">
        <v>0.155</v>
      </c>
      <c r="AE9">
        <v>0.155</v>
      </c>
    </row>
    <row r="10" spans="1:31" x14ac:dyDescent="0.45">
      <c r="A10">
        <v>6000000</v>
      </c>
      <c r="B10">
        <v>3.5687000000000002</v>
      </c>
      <c r="C10">
        <v>3.5687000000000002</v>
      </c>
      <c r="D10">
        <v>3.5406</v>
      </c>
      <c r="E10">
        <v>3.4775</v>
      </c>
      <c r="F10">
        <v>3.4531999999999998</v>
      </c>
      <c r="G10">
        <v>3.4058999999999999</v>
      </c>
      <c r="H10">
        <v>3.3584999999999998</v>
      </c>
      <c r="I10">
        <v>3.3111999999999999</v>
      </c>
      <c r="J10">
        <v>3.1133000000000002</v>
      </c>
      <c r="K10">
        <v>2.9639000000000002</v>
      </c>
      <c r="L10">
        <v>2.8658000000000001</v>
      </c>
      <c r="M10">
        <v>2.5619000000000001</v>
      </c>
      <c r="N10">
        <v>2.3887999999999998</v>
      </c>
      <c r="O10">
        <v>2.3077999999999999</v>
      </c>
      <c r="P10">
        <v>2.2397</v>
      </c>
      <c r="Q10">
        <v>2.1974999999999998</v>
      </c>
      <c r="R10">
        <v>2.1688999999999998</v>
      </c>
      <c r="S10">
        <v>2.1511</v>
      </c>
      <c r="T10">
        <v>2.1377000000000002</v>
      </c>
      <c r="U10">
        <v>2.1082000000000001</v>
      </c>
      <c r="V10">
        <v>1.9899</v>
      </c>
      <c r="W10">
        <v>1.8714999999999999</v>
      </c>
      <c r="X10">
        <v>1.7215</v>
      </c>
      <c r="Y10">
        <v>1.4903999999999999</v>
      </c>
      <c r="Z10">
        <v>1.2367999999999999</v>
      </c>
      <c r="AA10">
        <v>1.0598000000000001</v>
      </c>
      <c r="AB10">
        <v>0.79749999999999999</v>
      </c>
      <c r="AC10">
        <v>0.38829999999999998</v>
      </c>
      <c r="AD10">
        <v>0.186</v>
      </c>
      <c r="AE10">
        <v>0.186</v>
      </c>
    </row>
    <row r="11" spans="1:31" x14ac:dyDescent="0.45">
      <c r="A11">
        <v>7000000</v>
      </c>
      <c r="B11">
        <v>3.9519000000000002</v>
      </c>
      <c r="C11">
        <v>3.9519000000000002</v>
      </c>
      <c r="D11">
        <v>3.9236</v>
      </c>
      <c r="E11">
        <v>3.86</v>
      </c>
      <c r="F11">
        <v>3.8353999999999999</v>
      </c>
      <c r="G11">
        <v>3.7875000000000001</v>
      </c>
      <c r="H11">
        <v>3.7397</v>
      </c>
      <c r="I11">
        <v>3.6918000000000002</v>
      </c>
      <c r="J11">
        <v>3.4912000000000001</v>
      </c>
      <c r="K11">
        <v>3.3391000000000002</v>
      </c>
      <c r="L11">
        <v>3.2383000000000002</v>
      </c>
      <c r="M11">
        <v>2.93</v>
      </c>
      <c r="N11">
        <v>2.7530999999999999</v>
      </c>
      <c r="O11">
        <v>2.6625000000000001</v>
      </c>
      <c r="P11">
        <v>2.5943999999999998</v>
      </c>
      <c r="Q11">
        <v>2.5522</v>
      </c>
      <c r="R11">
        <v>2.5236000000000001</v>
      </c>
      <c r="S11">
        <v>2.5057</v>
      </c>
      <c r="T11">
        <v>2.4725000000000001</v>
      </c>
      <c r="U11">
        <v>2.4430999999999998</v>
      </c>
      <c r="V11">
        <v>2.3054999999999999</v>
      </c>
      <c r="W11">
        <v>2.1646000000000001</v>
      </c>
      <c r="X11">
        <v>1.9775</v>
      </c>
      <c r="Y11">
        <v>1.7012</v>
      </c>
      <c r="Z11">
        <v>1.4194</v>
      </c>
      <c r="AA11">
        <v>1.2062999999999999</v>
      </c>
      <c r="AB11">
        <v>0.86219999999999997</v>
      </c>
      <c r="AC11">
        <v>0.45300000000000001</v>
      </c>
      <c r="AD11">
        <v>0.217</v>
      </c>
      <c r="AE11">
        <v>0.217</v>
      </c>
    </row>
    <row r="12" spans="1:31" x14ac:dyDescent="0.45">
      <c r="A12">
        <v>8000000</v>
      </c>
      <c r="B12">
        <v>4.3243</v>
      </c>
      <c r="C12">
        <v>4.3243</v>
      </c>
      <c r="D12">
        <v>4.2960000000000003</v>
      </c>
      <c r="E12">
        <v>4.2321</v>
      </c>
      <c r="F12">
        <v>4.2074999999999996</v>
      </c>
      <c r="G12">
        <v>4.1593999999999998</v>
      </c>
      <c r="H12">
        <v>4.1113</v>
      </c>
      <c r="I12">
        <v>4.0632000000000001</v>
      </c>
      <c r="J12">
        <v>3.8614999999999999</v>
      </c>
      <c r="K12">
        <v>3.7082999999999999</v>
      </c>
      <c r="L12">
        <v>3.6063999999999998</v>
      </c>
      <c r="M12">
        <v>3.2942999999999998</v>
      </c>
      <c r="N12">
        <v>3.1078000000000001</v>
      </c>
      <c r="O12">
        <v>3.0171000000000001</v>
      </c>
      <c r="P12">
        <v>2.9489999999999998</v>
      </c>
      <c r="Q12">
        <v>2.9068999999999998</v>
      </c>
      <c r="R12">
        <v>2.8782000000000001</v>
      </c>
      <c r="S12">
        <v>2.8405999999999998</v>
      </c>
      <c r="T12">
        <v>2.8073000000000001</v>
      </c>
      <c r="U12">
        <v>2.7778999999999998</v>
      </c>
      <c r="V12">
        <v>2.6212</v>
      </c>
      <c r="W12">
        <v>2.4577</v>
      </c>
      <c r="X12">
        <v>2.2334000000000001</v>
      </c>
      <c r="Y12">
        <v>1.9120999999999999</v>
      </c>
      <c r="Z12">
        <v>1.6020000000000001</v>
      </c>
      <c r="AA12">
        <v>1.3529</v>
      </c>
      <c r="AB12">
        <v>0.92689999999999995</v>
      </c>
      <c r="AC12">
        <v>0.51770000000000005</v>
      </c>
      <c r="AD12">
        <v>0.248</v>
      </c>
      <c r="AE12">
        <v>0.248</v>
      </c>
    </row>
    <row r="13" spans="1:31" x14ac:dyDescent="0.45">
      <c r="A13">
        <v>9000000</v>
      </c>
      <c r="B13">
        <v>4.6924000000000001</v>
      </c>
      <c r="C13">
        <v>4.6924000000000001</v>
      </c>
      <c r="D13">
        <v>4.6639999999999997</v>
      </c>
      <c r="E13">
        <v>4.5998999999999999</v>
      </c>
      <c r="F13">
        <v>4.5751999999999997</v>
      </c>
      <c r="G13">
        <v>4.5269000000000004</v>
      </c>
      <c r="H13">
        <v>4.4786000000000001</v>
      </c>
      <c r="I13">
        <v>4.4302999999999999</v>
      </c>
      <c r="J13">
        <v>4.2276999999999996</v>
      </c>
      <c r="K13">
        <v>4.0735000000000001</v>
      </c>
      <c r="L13">
        <v>3.9706999999999999</v>
      </c>
      <c r="M13">
        <v>3.6488999999999998</v>
      </c>
      <c r="N13">
        <v>3.4624999999999999</v>
      </c>
      <c r="O13">
        <v>3.3717999999999999</v>
      </c>
      <c r="P13">
        <v>3.3037000000000001</v>
      </c>
      <c r="Q13">
        <v>3.2616000000000001</v>
      </c>
      <c r="R13">
        <v>3.2130999999999998</v>
      </c>
      <c r="S13">
        <v>3.1753999999999998</v>
      </c>
      <c r="T13">
        <v>3.1421999999999999</v>
      </c>
      <c r="U13">
        <v>3.1126999999999998</v>
      </c>
      <c r="V13">
        <v>2.9369000000000001</v>
      </c>
      <c r="W13">
        <v>2.7507999999999999</v>
      </c>
      <c r="X13">
        <v>2.4893000000000001</v>
      </c>
      <c r="Y13">
        <v>2.1229</v>
      </c>
      <c r="Z13">
        <v>1.7847</v>
      </c>
      <c r="AA13">
        <v>1.4994000000000001</v>
      </c>
      <c r="AB13">
        <v>0.99170000000000003</v>
      </c>
      <c r="AC13">
        <v>0.58240000000000003</v>
      </c>
      <c r="AD13">
        <v>0.27900000000000003</v>
      </c>
      <c r="AE13">
        <v>0.27900000000000003</v>
      </c>
    </row>
    <row r="14" spans="1:31" x14ac:dyDescent="0.45">
      <c r="A14">
        <v>10000000</v>
      </c>
      <c r="B14">
        <v>5.0564999999999998</v>
      </c>
      <c r="C14">
        <v>5.0564999999999998</v>
      </c>
      <c r="D14">
        <v>5.0279999999999996</v>
      </c>
      <c r="E14">
        <v>4.9634999999999998</v>
      </c>
      <c r="F14">
        <v>4.9385000000000003</v>
      </c>
      <c r="G14">
        <v>4.8897000000000004</v>
      </c>
      <c r="H14">
        <v>4.8410000000000002</v>
      </c>
      <c r="I14">
        <v>4.7922000000000002</v>
      </c>
      <c r="J14">
        <v>4.5871000000000004</v>
      </c>
      <c r="K14">
        <v>4.4306000000000001</v>
      </c>
      <c r="L14">
        <v>4.3254000000000001</v>
      </c>
      <c r="M14">
        <v>4.0035999999999996</v>
      </c>
      <c r="N14">
        <v>3.8170999999999999</v>
      </c>
      <c r="O14">
        <v>3.7265000000000001</v>
      </c>
      <c r="P14">
        <v>3.6583999999999999</v>
      </c>
      <c r="Q14">
        <v>3.5964</v>
      </c>
      <c r="R14">
        <v>3.5478999999999998</v>
      </c>
      <c r="S14">
        <v>3.5103</v>
      </c>
      <c r="T14">
        <v>3.4769999999999999</v>
      </c>
      <c r="U14">
        <v>3.4476</v>
      </c>
      <c r="V14">
        <v>3.2524999999999999</v>
      </c>
      <c r="W14">
        <v>3.044</v>
      </c>
      <c r="X14">
        <v>2.7452000000000001</v>
      </c>
      <c r="Y14">
        <v>2.3336999999999999</v>
      </c>
      <c r="Z14">
        <v>1.9673</v>
      </c>
      <c r="AA14">
        <v>1.6459999999999999</v>
      </c>
      <c r="AB14">
        <v>1.0564</v>
      </c>
      <c r="AC14">
        <v>0.64710000000000001</v>
      </c>
      <c r="AD14">
        <v>0.31</v>
      </c>
      <c r="AE14">
        <v>0.31</v>
      </c>
    </row>
    <row r="15" spans="1:31" x14ac:dyDescent="0.45">
      <c r="A15">
        <v>15000000</v>
      </c>
      <c r="B15">
        <v>6.8296999999999999</v>
      </c>
      <c r="C15">
        <v>6.8296999999999999</v>
      </c>
      <c r="D15">
        <v>6.8009000000000004</v>
      </c>
      <c r="E15">
        <v>6.7354000000000003</v>
      </c>
      <c r="F15">
        <v>6.7099000000000002</v>
      </c>
      <c r="G15">
        <v>6.6600999999999999</v>
      </c>
      <c r="H15">
        <v>6.6104000000000003</v>
      </c>
      <c r="I15">
        <v>6.5606</v>
      </c>
      <c r="J15">
        <v>6.3506</v>
      </c>
      <c r="K15">
        <v>6.1890999999999998</v>
      </c>
      <c r="L15">
        <v>6.0789</v>
      </c>
      <c r="M15">
        <v>5.7373000000000003</v>
      </c>
      <c r="N15">
        <v>5.5309999999999997</v>
      </c>
      <c r="O15">
        <v>5.4204999999999997</v>
      </c>
      <c r="P15">
        <v>5.3326000000000002</v>
      </c>
      <c r="Q15">
        <v>5.2514000000000003</v>
      </c>
      <c r="R15">
        <v>5.1837999999999997</v>
      </c>
      <c r="S15">
        <v>5.1269</v>
      </c>
      <c r="T15">
        <v>5.0744999999999996</v>
      </c>
      <c r="U15">
        <v>5.0259</v>
      </c>
      <c r="V15">
        <v>4.7182000000000004</v>
      </c>
      <c r="W15">
        <v>4.3235999999999999</v>
      </c>
      <c r="X15">
        <v>3.7993000000000001</v>
      </c>
      <c r="Y15">
        <v>3.2469000000000001</v>
      </c>
      <c r="Z15">
        <v>2.7000999999999999</v>
      </c>
      <c r="AA15">
        <v>1.9696</v>
      </c>
      <c r="AB15">
        <v>1.3798999999999999</v>
      </c>
      <c r="AC15">
        <v>0.97070000000000001</v>
      </c>
      <c r="AD15">
        <v>0.46510000000000001</v>
      </c>
      <c r="AE15">
        <v>0.46510000000000001</v>
      </c>
    </row>
    <row r="16" spans="1:31" x14ac:dyDescent="0.45">
      <c r="A16">
        <v>20000000</v>
      </c>
      <c r="B16">
        <v>8.5037000000000003</v>
      </c>
      <c r="C16">
        <v>8.5037000000000003</v>
      </c>
      <c r="D16">
        <v>8.4746000000000006</v>
      </c>
      <c r="E16">
        <v>8.4080999999999992</v>
      </c>
      <c r="F16">
        <v>8.3821999999999992</v>
      </c>
      <c r="G16">
        <v>8.3315000000000001</v>
      </c>
      <c r="H16">
        <v>8.2806999999999995</v>
      </c>
      <c r="I16">
        <v>8.23</v>
      </c>
      <c r="J16">
        <v>8.0152000000000001</v>
      </c>
      <c r="K16">
        <v>7.8489000000000004</v>
      </c>
      <c r="L16">
        <v>7.7339000000000002</v>
      </c>
      <c r="M16">
        <v>7.3731999999999998</v>
      </c>
      <c r="N16">
        <v>7.1477000000000004</v>
      </c>
      <c r="O16">
        <v>7.0179999999999998</v>
      </c>
      <c r="P16">
        <v>6.9108999999999998</v>
      </c>
      <c r="Q16">
        <v>6.8071999999999999</v>
      </c>
      <c r="R16">
        <v>6.7169999999999996</v>
      </c>
      <c r="S16">
        <v>6.6376999999999997</v>
      </c>
      <c r="T16">
        <v>6.5627000000000004</v>
      </c>
      <c r="U16">
        <v>6.4915000000000003</v>
      </c>
      <c r="V16">
        <v>5.9977</v>
      </c>
      <c r="W16">
        <v>5.3776999999999999</v>
      </c>
      <c r="X16">
        <v>4.7125000000000004</v>
      </c>
      <c r="Y16">
        <v>3.9796999999999998</v>
      </c>
      <c r="Z16">
        <v>3.0236999999999998</v>
      </c>
      <c r="AA16">
        <v>2.2930999999999999</v>
      </c>
      <c r="AB16">
        <v>1.7035</v>
      </c>
      <c r="AC16">
        <v>1.2943</v>
      </c>
      <c r="AD16">
        <v>0.62009999999999998</v>
      </c>
      <c r="AE16">
        <v>0.62009999999999998</v>
      </c>
    </row>
    <row r="17" spans="1:31" x14ac:dyDescent="0.45">
      <c r="A17">
        <v>25000000</v>
      </c>
      <c r="B17">
        <v>10.081799999999999</v>
      </c>
      <c r="C17">
        <v>10.081799999999999</v>
      </c>
      <c r="D17">
        <v>10.0524</v>
      </c>
      <c r="E17">
        <v>9.9847999999999999</v>
      </c>
      <c r="F17">
        <v>9.9582999999999995</v>
      </c>
      <c r="G17">
        <v>9.9063999999999997</v>
      </c>
      <c r="H17">
        <v>9.8545999999999996</v>
      </c>
      <c r="I17">
        <v>9.8026999999999997</v>
      </c>
      <c r="J17">
        <v>9.5823</v>
      </c>
      <c r="K17">
        <v>9.4103999999999992</v>
      </c>
      <c r="L17">
        <v>9.2896999999999998</v>
      </c>
      <c r="M17">
        <v>8.9063999999999997</v>
      </c>
      <c r="N17">
        <v>8.6584000000000003</v>
      </c>
      <c r="O17">
        <v>8.5061999999999998</v>
      </c>
      <c r="P17">
        <v>8.3765999999999998</v>
      </c>
      <c r="Q17">
        <v>8.2355999999999998</v>
      </c>
      <c r="R17">
        <v>8.1082000000000001</v>
      </c>
      <c r="S17">
        <v>7.9916999999999998</v>
      </c>
      <c r="T17">
        <v>7.8795000000000002</v>
      </c>
      <c r="U17">
        <v>7.7710999999999997</v>
      </c>
      <c r="V17">
        <v>7.0518999999999998</v>
      </c>
      <c r="W17">
        <v>6.2908999999999997</v>
      </c>
      <c r="X17">
        <v>5.4452999999999996</v>
      </c>
      <c r="Y17">
        <v>4.3033000000000001</v>
      </c>
      <c r="Z17">
        <v>3.3472</v>
      </c>
      <c r="AA17">
        <v>2.6166999999999998</v>
      </c>
      <c r="AB17">
        <v>2.0270999999999999</v>
      </c>
      <c r="AC17">
        <v>1.6177999999999999</v>
      </c>
      <c r="AD17">
        <v>0.77510000000000001</v>
      </c>
      <c r="AE17">
        <v>0.77510000000000001</v>
      </c>
    </row>
    <row r="18" spans="1:31" x14ac:dyDescent="0.45">
      <c r="A18">
        <v>30000000</v>
      </c>
      <c r="B18">
        <v>11.5471</v>
      </c>
      <c r="C18">
        <v>11.5471</v>
      </c>
      <c r="D18">
        <v>11.517099999999999</v>
      </c>
      <c r="E18">
        <v>11.4476</v>
      </c>
      <c r="F18">
        <v>11.420199999999999</v>
      </c>
      <c r="G18">
        <v>11.3665</v>
      </c>
      <c r="H18">
        <v>11.3127</v>
      </c>
      <c r="I18">
        <v>11.259</v>
      </c>
      <c r="J18">
        <v>11.029299999999999</v>
      </c>
      <c r="K18">
        <v>10.848100000000001</v>
      </c>
      <c r="L18">
        <v>10.7182</v>
      </c>
      <c r="M18">
        <v>10.297599999999999</v>
      </c>
      <c r="N18">
        <v>10.0124</v>
      </c>
      <c r="O18">
        <v>9.8230000000000004</v>
      </c>
      <c r="P18">
        <v>9.6561000000000003</v>
      </c>
      <c r="Q18">
        <v>9.4701000000000004</v>
      </c>
      <c r="R18">
        <v>9.2975999999999992</v>
      </c>
      <c r="S18">
        <v>9.1359999999999992</v>
      </c>
      <c r="T18">
        <v>8.9786999999999999</v>
      </c>
      <c r="U18">
        <v>8.8253000000000004</v>
      </c>
      <c r="V18">
        <v>7.9650999999999996</v>
      </c>
      <c r="W18">
        <v>7.0236999999999998</v>
      </c>
      <c r="X18">
        <v>5.7689000000000004</v>
      </c>
      <c r="Y18">
        <v>4.6268000000000002</v>
      </c>
      <c r="Z18">
        <v>3.6707999999999998</v>
      </c>
      <c r="AA18">
        <v>2.9401999999999999</v>
      </c>
      <c r="AB18">
        <v>2.3506</v>
      </c>
      <c r="AC18">
        <v>1.9414</v>
      </c>
      <c r="AD18">
        <v>0.93010000000000004</v>
      </c>
      <c r="AE18">
        <v>0.93010000000000004</v>
      </c>
    </row>
    <row r="19" spans="1:31" x14ac:dyDescent="0.45">
      <c r="A19">
        <v>35000000</v>
      </c>
      <c r="B19">
        <v>12.8262</v>
      </c>
      <c r="C19">
        <v>12.8262</v>
      </c>
      <c r="D19">
        <v>12.7956</v>
      </c>
      <c r="E19">
        <v>12.723800000000001</v>
      </c>
      <c r="F19">
        <v>12.6953</v>
      </c>
      <c r="G19">
        <v>12.6393</v>
      </c>
      <c r="H19">
        <v>12.583299999999999</v>
      </c>
      <c r="I19">
        <v>12.5273</v>
      </c>
      <c r="J19">
        <v>12.2864</v>
      </c>
      <c r="K19">
        <v>12.0939</v>
      </c>
      <c r="L19">
        <v>11.9526</v>
      </c>
      <c r="M19">
        <v>11.487</v>
      </c>
      <c r="N19">
        <v>11.156700000000001</v>
      </c>
      <c r="O19">
        <v>10.9222</v>
      </c>
      <c r="P19">
        <v>10.7103</v>
      </c>
      <c r="Q19">
        <v>10.4961</v>
      </c>
      <c r="R19">
        <v>10.295400000000001</v>
      </c>
      <c r="S19">
        <v>10.105499999999999</v>
      </c>
      <c r="T19">
        <v>9.9200999999999997</v>
      </c>
      <c r="U19">
        <v>9.7384000000000004</v>
      </c>
      <c r="V19">
        <v>8.6979000000000006</v>
      </c>
      <c r="W19">
        <v>7.3472</v>
      </c>
      <c r="X19">
        <v>6.0923999999999996</v>
      </c>
      <c r="Y19">
        <v>4.9504000000000001</v>
      </c>
      <c r="Z19">
        <v>3.9944000000000002</v>
      </c>
      <c r="AA19">
        <v>3.2637999999999998</v>
      </c>
      <c r="AB19">
        <v>2.6741999999999999</v>
      </c>
      <c r="AC19">
        <v>2.2648999999999999</v>
      </c>
      <c r="AD19">
        <v>1.0851</v>
      </c>
      <c r="AE19">
        <v>1.0851</v>
      </c>
    </row>
    <row r="20" spans="1:31" x14ac:dyDescent="0.45">
      <c r="A20">
        <v>40000000</v>
      </c>
      <c r="B20">
        <v>13.880100000000001</v>
      </c>
      <c r="C20">
        <v>13.880100000000001</v>
      </c>
      <c r="D20">
        <v>13.849</v>
      </c>
      <c r="E20">
        <v>13.7758</v>
      </c>
      <c r="F20">
        <v>13.746600000000001</v>
      </c>
      <c r="G20">
        <v>13.6892</v>
      </c>
      <c r="H20">
        <v>13.6318</v>
      </c>
      <c r="I20">
        <v>13.574400000000001</v>
      </c>
      <c r="J20">
        <v>13.3264</v>
      </c>
      <c r="K20">
        <v>13.126799999999999</v>
      </c>
      <c r="L20">
        <v>12.9786</v>
      </c>
      <c r="M20">
        <v>12.4848</v>
      </c>
      <c r="N20">
        <v>12.126300000000001</v>
      </c>
      <c r="O20">
        <v>11.8636</v>
      </c>
      <c r="P20">
        <v>11.6234</v>
      </c>
      <c r="Q20">
        <v>11.373200000000001</v>
      </c>
      <c r="R20">
        <v>11.1364</v>
      </c>
      <c r="S20">
        <v>10.910500000000001</v>
      </c>
      <c r="T20">
        <v>10.689</v>
      </c>
      <c r="U20">
        <v>10.471299999999999</v>
      </c>
      <c r="V20">
        <v>9.0213999999999999</v>
      </c>
      <c r="W20">
        <v>7.6707999999999998</v>
      </c>
      <c r="X20">
        <v>6.4160000000000004</v>
      </c>
      <c r="Y20">
        <v>5.274</v>
      </c>
      <c r="Z20">
        <v>4.3178999999999998</v>
      </c>
      <c r="AA20">
        <v>3.5874000000000001</v>
      </c>
      <c r="AB20">
        <v>2.9977</v>
      </c>
      <c r="AC20">
        <v>2.5884999999999998</v>
      </c>
      <c r="AD20">
        <v>1.2401</v>
      </c>
      <c r="AE20">
        <v>1.2401</v>
      </c>
    </row>
    <row r="21" spans="1:31" x14ac:dyDescent="0.45">
      <c r="A21">
        <v>45000000</v>
      </c>
      <c r="B21">
        <v>14.792899999999999</v>
      </c>
      <c r="C21">
        <v>14.792899999999999</v>
      </c>
      <c r="D21">
        <v>14.7613</v>
      </c>
      <c r="E21">
        <v>14.686299999999999</v>
      </c>
      <c r="F21">
        <v>14.6561</v>
      </c>
      <c r="G21">
        <v>14.5969</v>
      </c>
      <c r="H21">
        <v>14.537800000000001</v>
      </c>
      <c r="I21">
        <v>14.4786</v>
      </c>
      <c r="J21">
        <v>14.221500000000001</v>
      </c>
      <c r="K21">
        <v>14.013</v>
      </c>
      <c r="L21">
        <v>13.855700000000001</v>
      </c>
      <c r="M21">
        <v>13.325799999999999</v>
      </c>
      <c r="N21">
        <v>12.9312</v>
      </c>
      <c r="O21">
        <v>12.6325</v>
      </c>
      <c r="P21">
        <v>12.356299999999999</v>
      </c>
      <c r="Q21">
        <v>12.024100000000001</v>
      </c>
      <c r="R21">
        <v>11.705500000000001</v>
      </c>
      <c r="S21">
        <v>11.3977</v>
      </c>
      <c r="T21">
        <v>11.0944</v>
      </c>
      <c r="U21">
        <v>10.7948</v>
      </c>
      <c r="V21">
        <v>9.3450000000000006</v>
      </c>
      <c r="W21">
        <v>7.9943999999999997</v>
      </c>
      <c r="X21">
        <v>6.7396000000000003</v>
      </c>
      <c r="Y21">
        <v>5.5975000000000001</v>
      </c>
      <c r="Z21">
        <v>4.6414999999999997</v>
      </c>
      <c r="AA21">
        <v>3.9108999999999998</v>
      </c>
      <c r="AB21">
        <v>3.3212999999999999</v>
      </c>
      <c r="AC21">
        <v>2.9121000000000001</v>
      </c>
      <c r="AD21">
        <v>1.3952</v>
      </c>
      <c r="AE21">
        <v>1.3952</v>
      </c>
    </row>
    <row r="22" spans="1:31" x14ac:dyDescent="0.45">
      <c r="A22">
        <v>50000000</v>
      </c>
      <c r="B22">
        <v>15.524900000000001</v>
      </c>
      <c r="C22">
        <v>15.524900000000001</v>
      </c>
      <c r="D22">
        <v>15.492000000000001</v>
      </c>
      <c r="E22">
        <v>15.413</v>
      </c>
      <c r="F22">
        <v>15.380800000000001</v>
      </c>
      <c r="G22">
        <v>15.317500000000001</v>
      </c>
      <c r="H22">
        <v>15.254200000000001</v>
      </c>
      <c r="I22">
        <v>15.190899999999999</v>
      </c>
      <c r="J22">
        <v>14.913399999999999</v>
      </c>
      <c r="K22">
        <v>14.6844</v>
      </c>
      <c r="L22">
        <v>14.5067</v>
      </c>
      <c r="M22">
        <v>13.8949</v>
      </c>
      <c r="N22">
        <v>13.4185</v>
      </c>
      <c r="O22">
        <v>13.0379</v>
      </c>
      <c r="P22">
        <v>12.6798</v>
      </c>
      <c r="Q22">
        <v>12.3477</v>
      </c>
      <c r="R22">
        <v>12.0291</v>
      </c>
      <c r="S22">
        <v>11.721299999999999</v>
      </c>
      <c r="T22">
        <v>11.417899999999999</v>
      </c>
      <c r="U22">
        <v>11.118399999999999</v>
      </c>
      <c r="V22">
        <v>9.6684999999999999</v>
      </c>
      <c r="W22">
        <v>8.3178999999999998</v>
      </c>
      <c r="X22">
        <v>7.0631000000000004</v>
      </c>
      <c r="Y22">
        <v>5.9211</v>
      </c>
      <c r="Z22">
        <v>4.9650999999999996</v>
      </c>
      <c r="AA22">
        <v>4.2344999999999997</v>
      </c>
      <c r="AB22">
        <v>3.6448999999999998</v>
      </c>
      <c r="AC22">
        <v>3.2355999999999998</v>
      </c>
      <c r="AD22">
        <v>1.5502</v>
      </c>
      <c r="AE22">
        <v>1.5502</v>
      </c>
    </row>
    <row r="23" spans="1:31" x14ac:dyDescent="0.45">
      <c r="A23">
        <v>100000000</v>
      </c>
      <c r="B23">
        <v>18.760200000000001</v>
      </c>
      <c r="C23">
        <v>18.760200000000001</v>
      </c>
      <c r="D23">
        <v>18.726800000000001</v>
      </c>
      <c r="E23">
        <v>18.646100000000001</v>
      </c>
      <c r="F23">
        <v>18.613</v>
      </c>
      <c r="G23">
        <v>18.547999999999998</v>
      </c>
      <c r="H23">
        <v>18.4831</v>
      </c>
      <c r="I23">
        <v>18.418099999999999</v>
      </c>
      <c r="J23">
        <v>18.132200000000001</v>
      </c>
      <c r="K23">
        <v>17.8947</v>
      </c>
      <c r="L23">
        <v>17.708600000000001</v>
      </c>
      <c r="M23">
        <v>17.063099999999999</v>
      </c>
      <c r="N23">
        <v>16.553000000000001</v>
      </c>
      <c r="O23">
        <v>16.1387</v>
      </c>
      <c r="P23">
        <v>15.7469</v>
      </c>
      <c r="Q23">
        <v>15.3811</v>
      </c>
      <c r="R23">
        <v>15.028700000000001</v>
      </c>
      <c r="S23">
        <v>14.6873</v>
      </c>
      <c r="T23">
        <v>14.350199999999999</v>
      </c>
      <c r="U23">
        <v>14.0169</v>
      </c>
      <c r="V23">
        <v>12.3985</v>
      </c>
      <c r="W23">
        <v>10.8794</v>
      </c>
      <c r="X23">
        <v>9.4559999999999995</v>
      </c>
      <c r="Y23">
        <v>8.1454000000000004</v>
      </c>
      <c r="Z23">
        <v>7.0209000000000001</v>
      </c>
      <c r="AA23">
        <v>6.1218000000000004</v>
      </c>
      <c r="AB23">
        <v>5.3635999999999999</v>
      </c>
      <c r="AC23">
        <v>4.7858000000000001</v>
      </c>
      <c r="AD23">
        <v>3.1002999999999998</v>
      </c>
      <c r="AE23">
        <v>3.1002999999999998</v>
      </c>
    </row>
    <row r="24" spans="1:31" x14ac:dyDescent="0.45">
      <c r="A24">
        <v>1000000000000</v>
      </c>
      <c r="B24">
        <v>18.760200000000001</v>
      </c>
      <c r="C24">
        <v>18.760200000000001</v>
      </c>
      <c r="D24">
        <v>18.726800000000001</v>
      </c>
      <c r="E24">
        <v>18.646100000000001</v>
      </c>
      <c r="F24">
        <v>18.613</v>
      </c>
      <c r="G24">
        <v>18.547999999999998</v>
      </c>
      <c r="H24">
        <v>18.4831</v>
      </c>
      <c r="I24">
        <v>18.418099999999999</v>
      </c>
      <c r="J24">
        <v>18.132200000000001</v>
      </c>
      <c r="K24">
        <v>17.8947</v>
      </c>
      <c r="L24">
        <v>17.708600000000001</v>
      </c>
      <c r="M24">
        <v>17.063099999999999</v>
      </c>
      <c r="N24">
        <v>16.553000000000001</v>
      </c>
      <c r="O24">
        <v>16.1387</v>
      </c>
      <c r="P24">
        <v>15.7469</v>
      </c>
      <c r="Q24">
        <v>15.3811</v>
      </c>
      <c r="R24">
        <v>15.028700000000001</v>
      </c>
      <c r="S24">
        <v>14.6873</v>
      </c>
      <c r="T24">
        <v>14.350199999999999</v>
      </c>
      <c r="U24">
        <v>14.0169</v>
      </c>
      <c r="V24">
        <v>12.3985</v>
      </c>
      <c r="W24">
        <v>10.8794</v>
      </c>
      <c r="X24">
        <v>9.4559999999999995</v>
      </c>
      <c r="Y24">
        <v>8.1454000000000004</v>
      </c>
      <c r="Z24">
        <v>7.0209000000000001</v>
      </c>
      <c r="AA24">
        <v>6.1218000000000004</v>
      </c>
      <c r="AB24">
        <v>5.3635999999999999</v>
      </c>
      <c r="AC24">
        <v>4.7858000000000001</v>
      </c>
      <c r="AD24">
        <v>3.1002999999999998</v>
      </c>
      <c r="AE24">
        <v>3.1002999999999998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B7DE-2864-41DC-A0FF-28E87E54F587}">
  <dimension ref="A1:E8"/>
  <sheetViews>
    <sheetView workbookViewId="0">
      <selection activeCell="G11" sqref="G11"/>
    </sheetView>
  </sheetViews>
  <sheetFormatPr defaultRowHeight="14.25" x14ac:dyDescent="0.45"/>
  <cols>
    <col min="1" max="1" width="16.3984375" customWidth="1"/>
    <col min="2" max="2" width="5.1328125" bestFit="1" customWidth="1"/>
    <col min="3" max="5" width="16.3984375" customWidth="1"/>
  </cols>
  <sheetData>
    <row r="1" spans="1:5" x14ac:dyDescent="0.45">
      <c r="A1" t="s">
        <v>1942</v>
      </c>
      <c r="B1" t="s">
        <v>1951</v>
      </c>
      <c r="C1" t="s">
        <v>2069</v>
      </c>
      <c r="D1" t="s">
        <v>2070</v>
      </c>
      <c r="E1" t="s">
        <v>1943</v>
      </c>
    </row>
    <row r="2" spans="1:5" x14ac:dyDescent="0.45">
      <c r="A2" t="s">
        <v>1944</v>
      </c>
      <c r="B2">
        <v>1</v>
      </c>
      <c r="C2">
        <v>0</v>
      </c>
      <c r="D2">
        <v>8000</v>
      </c>
      <c r="E2">
        <v>150</v>
      </c>
    </row>
    <row r="3" spans="1:5" x14ac:dyDescent="0.45">
      <c r="A3" t="s">
        <v>1945</v>
      </c>
      <c r="B3">
        <v>2</v>
      </c>
      <c r="C3">
        <v>8001</v>
      </c>
      <c r="D3">
        <v>25000</v>
      </c>
      <c r="E3">
        <v>250</v>
      </c>
    </row>
    <row r="4" spans="1:5" x14ac:dyDescent="0.45">
      <c r="A4" t="s">
        <v>1946</v>
      </c>
      <c r="B4">
        <v>3</v>
      </c>
      <c r="C4">
        <v>25001</v>
      </c>
      <c r="D4">
        <v>50000</v>
      </c>
      <c r="E4">
        <v>450</v>
      </c>
    </row>
    <row r="5" spans="1:5" x14ac:dyDescent="0.45">
      <c r="A5" t="s">
        <v>1947</v>
      </c>
      <c r="B5">
        <v>4</v>
      </c>
      <c r="C5">
        <v>50001</v>
      </c>
      <c r="D5">
        <v>100000</v>
      </c>
      <c r="E5">
        <v>750</v>
      </c>
    </row>
    <row r="6" spans="1:5" x14ac:dyDescent="0.45">
      <c r="A6" t="s">
        <v>1948</v>
      </c>
      <c r="B6">
        <v>5</v>
      </c>
      <c r="C6">
        <v>100001</v>
      </c>
      <c r="D6">
        <v>250000</v>
      </c>
      <c r="E6">
        <v>1500</v>
      </c>
    </row>
    <row r="7" spans="1:5" x14ac:dyDescent="0.45">
      <c r="A7" t="s">
        <v>1949</v>
      </c>
      <c r="B7">
        <v>6</v>
      </c>
      <c r="C7">
        <v>250001</v>
      </c>
      <c r="D7">
        <v>500000</v>
      </c>
      <c r="E7">
        <v>2500</v>
      </c>
    </row>
    <row r="8" spans="1:5" x14ac:dyDescent="0.45">
      <c r="A8" t="s">
        <v>1950</v>
      </c>
      <c r="B8">
        <v>7</v>
      </c>
      <c r="C8">
        <v>500001</v>
      </c>
      <c r="D8">
        <v>0</v>
      </c>
      <c r="E8">
        <v>5500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2719C-1C08-4378-8243-C01542521513}">
  <dimension ref="A1:C53"/>
  <sheetViews>
    <sheetView workbookViewId="0">
      <selection activeCell="K17" sqref="K17"/>
    </sheetView>
  </sheetViews>
  <sheetFormatPr defaultRowHeight="14.25" x14ac:dyDescent="0.45"/>
  <cols>
    <col min="2" max="2" width="18.86328125" bestFit="1" customWidth="1"/>
    <col min="3" max="3" width="22.3984375" bestFit="1" customWidth="1"/>
  </cols>
  <sheetData>
    <row r="1" spans="1:3" x14ac:dyDescent="0.45">
      <c r="A1" t="s">
        <v>1717</v>
      </c>
      <c r="B1" t="s">
        <v>1718</v>
      </c>
      <c r="C1" t="s">
        <v>1962</v>
      </c>
    </row>
    <row r="2" spans="1:3" x14ac:dyDescent="0.45">
      <c r="A2" t="s">
        <v>1726</v>
      </c>
      <c r="B2" t="s">
        <v>1727</v>
      </c>
      <c r="C2" t="s">
        <v>1963</v>
      </c>
    </row>
    <row r="3" spans="1:3" x14ac:dyDescent="0.45">
      <c r="A3" t="s">
        <v>1724</v>
      </c>
      <c r="B3" t="s">
        <v>1725</v>
      </c>
      <c r="C3" t="s">
        <v>1964</v>
      </c>
    </row>
    <row r="4" spans="1:3" x14ac:dyDescent="0.45">
      <c r="A4" t="s">
        <v>1732</v>
      </c>
      <c r="B4" t="s">
        <v>1733</v>
      </c>
      <c r="C4" t="s">
        <v>1963</v>
      </c>
    </row>
    <row r="5" spans="1:3" x14ac:dyDescent="0.45">
      <c r="A5" t="s">
        <v>1730</v>
      </c>
      <c r="B5" t="s">
        <v>1731</v>
      </c>
      <c r="C5" t="s">
        <v>1963</v>
      </c>
    </row>
    <row r="6" spans="1:3" x14ac:dyDescent="0.45">
      <c r="A6" t="s">
        <v>1734</v>
      </c>
      <c r="B6" t="s">
        <v>1735</v>
      </c>
      <c r="C6" t="s">
        <v>1963</v>
      </c>
    </row>
    <row r="7" spans="1:3" x14ac:dyDescent="0.45">
      <c r="A7" t="s">
        <v>1737</v>
      </c>
      <c r="B7" t="s">
        <v>1738</v>
      </c>
      <c r="C7" t="s">
        <v>1963</v>
      </c>
    </row>
    <row r="8" spans="1:3" x14ac:dyDescent="0.45">
      <c r="A8" t="s">
        <v>1739</v>
      </c>
      <c r="B8" t="s">
        <v>1740</v>
      </c>
      <c r="C8" t="s">
        <v>1963</v>
      </c>
    </row>
    <row r="9" spans="1:3" x14ac:dyDescent="0.45">
      <c r="A9" t="s">
        <v>1743</v>
      </c>
      <c r="B9" t="s">
        <v>1744</v>
      </c>
      <c r="C9" t="s">
        <v>1963</v>
      </c>
    </row>
    <row r="10" spans="1:3" x14ac:dyDescent="0.45">
      <c r="A10" t="s">
        <v>1741</v>
      </c>
      <c r="B10" t="s">
        <v>1742</v>
      </c>
      <c r="C10" t="s">
        <v>1963</v>
      </c>
    </row>
    <row r="11" spans="1:3" x14ac:dyDescent="0.45">
      <c r="A11" t="s">
        <v>1745</v>
      </c>
      <c r="B11" t="s">
        <v>1746</v>
      </c>
      <c r="C11" t="s">
        <v>1963</v>
      </c>
    </row>
    <row r="12" spans="1:3" x14ac:dyDescent="0.45">
      <c r="A12" t="s">
        <v>1747</v>
      </c>
      <c r="B12" t="s">
        <v>1748</v>
      </c>
      <c r="C12" t="s">
        <v>1963</v>
      </c>
    </row>
    <row r="13" spans="1:3" x14ac:dyDescent="0.45">
      <c r="A13" t="s">
        <v>1749</v>
      </c>
      <c r="B13" t="s">
        <v>1750</v>
      </c>
      <c r="C13" t="s">
        <v>1964</v>
      </c>
    </row>
    <row r="14" spans="1:3" x14ac:dyDescent="0.45">
      <c r="A14" t="s">
        <v>1753</v>
      </c>
      <c r="B14" t="s">
        <v>1754</v>
      </c>
      <c r="C14" t="s">
        <v>1964</v>
      </c>
    </row>
    <row r="15" spans="1:3" x14ac:dyDescent="0.45">
      <c r="A15" t="s">
        <v>1755</v>
      </c>
      <c r="B15" t="s">
        <v>1756</v>
      </c>
      <c r="C15" t="s">
        <v>1963</v>
      </c>
    </row>
    <row r="16" spans="1:3" x14ac:dyDescent="0.45">
      <c r="A16" t="s">
        <v>1757</v>
      </c>
      <c r="B16" t="s">
        <v>1758</v>
      </c>
      <c r="C16" t="s">
        <v>1963</v>
      </c>
    </row>
    <row r="17" spans="1:3" x14ac:dyDescent="0.45">
      <c r="A17" t="s">
        <v>1751</v>
      </c>
      <c r="B17" t="s">
        <v>1752</v>
      </c>
      <c r="C17" t="s">
        <v>1963</v>
      </c>
    </row>
    <row r="18" spans="1:3" x14ac:dyDescent="0.45">
      <c r="A18" t="s">
        <v>1759</v>
      </c>
      <c r="B18" t="s">
        <v>1760</v>
      </c>
      <c r="C18" t="s">
        <v>1963</v>
      </c>
    </row>
    <row r="19" spans="1:3" x14ac:dyDescent="0.45">
      <c r="A19" t="s">
        <v>1762</v>
      </c>
      <c r="B19" t="s">
        <v>1763</v>
      </c>
      <c r="C19" t="s">
        <v>1963</v>
      </c>
    </row>
    <row r="20" spans="1:3" x14ac:dyDescent="0.45">
      <c r="A20" t="s">
        <v>1764</v>
      </c>
      <c r="B20" t="s">
        <v>1765</v>
      </c>
      <c r="C20" t="s">
        <v>1963</v>
      </c>
    </row>
    <row r="21" spans="1:3" x14ac:dyDescent="0.45">
      <c r="A21" t="s">
        <v>1770</v>
      </c>
      <c r="B21" t="s">
        <v>1771</v>
      </c>
      <c r="C21" t="s">
        <v>1963</v>
      </c>
    </row>
    <row r="22" spans="1:3" x14ac:dyDescent="0.45">
      <c r="A22" t="s">
        <v>1768</v>
      </c>
      <c r="B22" t="s">
        <v>1769</v>
      </c>
      <c r="C22" t="s">
        <v>1964</v>
      </c>
    </row>
    <row r="23" spans="1:3" x14ac:dyDescent="0.45">
      <c r="A23" t="s">
        <v>1766</v>
      </c>
      <c r="B23" t="s">
        <v>1767</v>
      </c>
      <c r="C23" t="s">
        <v>1963</v>
      </c>
    </row>
    <row r="24" spans="1:3" x14ac:dyDescent="0.45">
      <c r="A24" t="s">
        <v>1772</v>
      </c>
      <c r="B24" t="s">
        <v>1773</v>
      </c>
      <c r="C24" t="s">
        <v>1963</v>
      </c>
    </row>
    <row r="25" spans="1:3" x14ac:dyDescent="0.45">
      <c r="A25" t="s">
        <v>1774</v>
      </c>
      <c r="B25" t="s">
        <v>1775</v>
      </c>
      <c r="C25" t="s">
        <v>1963</v>
      </c>
    </row>
    <row r="26" spans="1:3" x14ac:dyDescent="0.45">
      <c r="A26" t="s">
        <v>1778</v>
      </c>
      <c r="B26" t="s">
        <v>1779</v>
      </c>
      <c r="C26" t="s">
        <v>1963</v>
      </c>
    </row>
    <row r="27" spans="1:3" x14ac:dyDescent="0.45">
      <c r="A27" t="s">
        <v>1776</v>
      </c>
      <c r="B27" t="s">
        <v>1777</v>
      </c>
      <c r="C27" t="s">
        <v>1963</v>
      </c>
    </row>
    <row r="28" spans="1:3" x14ac:dyDescent="0.45">
      <c r="A28" t="s">
        <v>1780</v>
      </c>
      <c r="B28" t="s">
        <v>1781</v>
      </c>
      <c r="C28" t="s">
        <v>1963</v>
      </c>
    </row>
    <row r="29" spans="1:3" x14ac:dyDescent="0.45">
      <c r="A29" t="s">
        <v>1786</v>
      </c>
      <c r="B29" t="s">
        <v>1787</v>
      </c>
      <c r="C29" t="s">
        <v>1963</v>
      </c>
    </row>
    <row r="30" spans="1:3" x14ac:dyDescent="0.45">
      <c r="A30" t="s">
        <v>1794</v>
      </c>
      <c r="B30" t="s">
        <v>1795</v>
      </c>
      <c r="C30" t="s">
        <v>1963</v>
      </c>
    </row>
    <row r="31" spans="1:3" x14ac:dyDescent="0.45">
      <c r="A31" t="s">
        <v>1788</v>
      </c>
      <c r="B31" t="s">
        <v>1789</v>
      </c>
      <c r="C31" t="s">
        <v>1963</v>
      </c>
    </row>
    <row r="32" spans="1:3" x14ac:dyDescent="0.45">
      <c r="A32" t="s">
        <v>1790</v>
      </c>
      <c r="B32" t="s">
        <v>1791</v>
      </c>
      <c r="C32" t="s">
        <v>1963</v>
      </c>
    </row>
    <row r="33" spans="1:3" x14ac:dyDescent="0.45">
      <c r="A33" t="s">
        <v>1792</v>
      </c>
      <c r="B33" t="s">
        <v>1793</v>
      </c>
      <c r="C33" t="s">
        <v>1963</v>
      </c>
    </row>
    <row r="34" spans="1:3" x14ac:dyDescent="0.45">
      <c r="A34" t="s">
        <v>1796</v>
      </c>
      <c r="B34" t="s">
        <v>1797</v>
      </c>
      <c r="C34" t="s">
        <v>1964</v>
      </c>
    </row>
    <row r="35" spans="1:3" x14ac:dyDescent="0.45">
      <c r="A35" t="s">
        <v>1798</v>
      </c>
      <c r="B35" t="s">
        <v>1799</v>
      </c>
      <c r="C35" t="s">
        <v>1964</v>
      </c>
    </row>
    <row r="36" spans="1:3" x14ac:dyDescent="0.45">
      <c r="A36" t="s">
        <v>1782</v>
      </c>
      <c r="B36" t="s">
        <v>1783</v>
      </c>
      <c r="C36" t="s">
        <v>1963</v>
      </c>
    </row>
    <row r="37" spans="1:3" x14ac:dyDescent="0.45">
      <c r="A37" t="s">
        <v>1784</v>
      </c>
      <c r="B37" t="s">
        <v>1785</v>
      </c>
      <c r="C37" t="s">
        <v>1963</v>
      </c>
    </row>
    <row r="38" spans="1:3" x14ac:dyDescent="0.45">
      <c r="A38" t="s">
        <v>1800</v>
      </c>
      <c r="B38" t="s">
        <v>1801</v>
      </c>
      <c r="C38" t="s">
        <v>1963</v>
      </c>
    </row>
    <row r="39" spans="1:3" x14ac:dyDescent="0.45">
      <c r="A39" t="s">
        <v>1802</v>
      </c>
      <c r="B39" t="s">
        <v>1803</v>
      </c>
      <c r="C39" t="s">
        <v>1963</v>
      </c>
    </row>
    <row r="40" spans="1:3" x14ac:dyDescent="0.45">
      <c r="A40" t="s">
        <v>1804</v>
      </c>
      <c r="B40" t="s">
        <v>1805</v>
      </c>
      <c r="C40" t="s">
        <v>1963</v>
      </c>
    </row>
    <row r="41" spans="1:3" x14ac:dyDescent="0.45">
      <c r="A41" t="s">
        <v>1806</v>
      </c>
      <c r="B41" t="s">
        <v>1807</v>
      </c>
      <c r="C41" t="s">
        <v>1963</v>
      </c>
    </row>
    <row r="42" spans="1:3" x14ac:dyDescent="0.45">
      <c r="A42" t="s">
        <v>1808</v>
      </c>
      <c r="B42" t="s">
        <v>1809</v>
      </c>
      <c r="C42" t="s">
        <v>1963</v>
      </c>
    </row>
    <row r="43" spans="1:3" x14ac:dyDescent="0.45">
      <c r="A43" t="s">
        <v>1810</v>
      </c>
      <c r="B43" t="s">
        <v>1811</v>
      </c>
      <c r="C43" t="s">
        <v>1963</v>
      </c>
    </row>
    <row r="44" spans="1:3" x14ac:dyDescent="0.45">
      <c r="A44" t="s">
        <v>1812</v>
      </c>
      <c r="B44" t="s">
        <v>1813</v>
      </c>
      <c r="C44" t="s">
        <v>1963</v>
      </c>
    </row>
    <row r="45" spans="1:3" x14ac:dyDescent="0.45">
      <c r="A45" t="s">
        <v>1814</v>
      </c>
      <c r="B45" t="s">
        <v>1815</v>
      </c>
      <c r="C45" t="s">
        <v>1963</v>
      </c>
    </row>
    <row r="46" spans="1:3" x14ac:dyDescent="0.45">
      <c r="A46" t="s">
        <v>1816</v>
      </c>
      <c r="B46" t="s">
        <v>1817</v>
      </c>
      <c r="C46" t="s">
        <v>1963</v>
      </c>
    </row>
    <row r="47" spans="1:3" x14ac:dyDescent="0.45">
      <c r="A47" t="s">
        <v>1818</v>
      </c>
      <c r="B47" t="s">
        <v>1819</v>
      </c>
      <c r="C47" t="s">
        <v>1963</v>
      </c>
    </row>
    <row r="48" spans="1:3" x14ac:dyDescent="0.45">
      <c r="A48" t="s">
        <v>1822</v>
      </c>
      <c r="B48" t="s">
        <v>1823</v>
      </c>
      <c r="C48" t="s">
        <v>1964</v>
      </c>
    </row>
    <row r="49" spans="1:3" x14ac:dyDescent="0.45">
      <c r="A49" t="s">
        <v>1820</v>
      </c>
      <c r="B49" t="s">
        <v>1821</v>
      </c>
      <c r="C49" t="s">
        <v>1963</v>
      </c>
    </row>
    <row r="50" spans="1:3" x14ac:dyDescent="0.45">
      <c r="A50" t="s">
        <v>1824</v>
      </c>
      <c r="B50" t="s">
        <v>1825</v>
      </c>
      <c r="C50" t="s">
        <v>1963</v>
      </c>
    </row>
    <row r="51" spans="1:3" x14ac:dyDescent="0.45">
      <c r="A51" t="s">
        <v>1828</v>
      </c>
      <c r="B51" t="s">
        <v>1829</v>
      </c>
      <c r="C51" t="s">
        <v>1963</v>
      </c>
    </row>
    <row r="52" spans="1:3" x14ac:dyDescent="0.45">
      <c r="A52" t="s">
        <v>1826</v>
      </c>
      <c r="B52" t="s">
        <v>1827</v>
      </c>
      <c r="C52" t="s">
        <v>1963</v>
      </c>
    </row>
    <row r="53" spans="1:3" x14ac:dyDescent="0.45">
      <c r="A53" t="s">
        <v>1830</v>
      </c>
      <c r="B53" t="s">
        <v>1831</v>
      </c>
      <c r="C53" t="s">
        <v>1964</v>
      </c>
    </row>
  </sheetData>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00B8-AEDD-4782-BDB6-AD86AB10F507}">
  <dimension ref="A1:B53"/>
  <sheetViews>
    <sheetView workbookViewId="0">
      <selection activeCell="G25" sqref="G25"/>
    </sheetView>
  </sheetViews>
  <sheetFormatPr defaultRowHeight="14.25" x14ac:dyDescent="0.45"/>
  <cols>
    <col min="1" max="1" width="18.86328125" bestFit="1" customWidth="1"/>
    <col min="2" max="2" width="11.86328125" bestFit="1" customWidth="1"/>
  </cols>
  <sheetData>
    <row r="1" spans="1:2" x14ac:dyDescent="0.45">
      <c r="A1" t="s">
        <v>1718</v>
      </c>
      <c r="B1" t="s">
        <v>1952</v>
      </c>
    </row>
    <row r="2" spans="1:2" x14ac:dyDescent="0.45">
      <c r="A2" t="s">
        <v>1725</v>
      </c>
      <c r="B2">
        <v>0</v>
      </c>
    </row>
    <row r="3" spans="1:2" x14ac:dyDescent="0.45">
      <c r="A3" t="s">
        <v>1727</v>
      </c>
      <c r="B3">
        <v>2</v>
      </c>
    </row>
    <row r="4" spans="1:2" x14ac:dyDescent="0.45">
      <c r="A4" t="s">
        <v>1731</v>
      </c>
      <c r="B4">
        <v>2</v>
      </c>
    </row>
    <row r="5" spans="1:2" x14ac:dyDescent="0.45">
      <c r="A5" t="s">
        <v>1733</v>
      </c>
      <c r="B5">
        <v>2</v>
      </c>
    </row>
    <row r="6" spans="1:2" x14ac:dyDescent="0.45">
      <c r="A6" t="s">
        <v>1735</v>
      </c>
      <c r="B6">
        <v>3</v>
      </c>
    </row>
    <row r="7" spans="1:2" x14ac:dyDescent="0.45">
      <c r="A7" t="s">
        <v>1738</v>
      </c>
      <c r="B7">
        <v>2</v>
      </c>
    </row>
    <row r="8" spans="1:2" x14ac:dyDescent="0.45">
      <c r="A8" t="s">
        <v>1740</v>
      </c>
      <c r="B8">
        <v>2</v>
      </c>
    </row>
    <row r="9" spans="1:2" x14ac:dyDescent="0.45">
      <c r="A9" t="s">
        <v>1742</v>
      </c>
      <c r="B9">
        <v>2</v>
      </c>
    </row>
    <row r="10" spans="1:2" x14ac:dyDescent="0.45">
      <c r="A10" t="s">
        <v>1744</v>
      </c>
      <c r="B10">
        <v>2</v>
      </c>
    </row>
    <row r="11" spans="1:2" x14ac:dyDescent="0.45">
      <c r="A11" t="s">
        <v>1746</v>
      </c>
      <c r="B11">
        <v>2</v>
      </c>
    </row>
    <row r="12" spans="1:2" x14ac:dyDescent="0.45">
      <c r="A12" t="s">
        <v>1748</v>
      </c>
      <c r="B12">
        <v>2</v>
      </c>
    </row>
    <row r="13" spans="1:2" x14ac:dyDescent="0.45">
      <c r="A13" t="s">
        <v>1750</v>
      </c>
      <c r="B13">
        <v>2</v>
      </c>
    </row>
    <row r="14" spans="1:2" x14ac:dyDescent="0.45">
      <c r="A14" t="s">
        <v>1752</v>
      </c>
      <c r="B14">
        <v>2</v>
      </c>
    </row>
    <row r="15" spans="1:2" x14ac:dyDescent="0.45">
      <c r="A15" t="s">
        <v>1754</v>
      </c>
      <c r="B15">
        <v>2</v>
      </c>
    </row>
    <row r="16" spans="1:2" x14ac:dyDescent="0.45">
      <c r="A16" t="s">
        <v>1756</v>
      </c>
      <c r="B16">
        <v>2</v>
      </c>
    </row>
    <row r="17" spans="1:2" x14ac:dyDescent="0.45">
      <c r="A17" t="s">
        <v>1758</v>
      </c>
      <c r="B17">
        <v>2</v>
      </c>
    </row>
    <row r="18" spans="1:2" x14ac:dyDescent="0.45">
      <c r="A18" t="s">
        <v>1760</v>
      </c>
      <c r="B18">
        <v>2</v>
      </c>
    </row>
    <row r="19" spans="1:2" x14ac:dyDescent="0.45">
      <c r="A19" t="s">
        <v>1763</v>
      </c>
      <c r="B19">
        <v>2</v>
      </c>
    </row>
    <row r="20" spans="1:2" x14ac:dyDescent="0.45">
      <c r="A20" t="s">
        <v>1765</v>
      </c>
      <c r="B20">
        <v>0</v>
      </c>
    </row>
    <row r="21" spans="1:2" x14ac:dyDescent="0.45">
      <c r="A21" t="s">
        <v>1767</v>
      </c>
      <c r="B21">
        <v>2</v>
      </c>
    </row>
    <row r="22" spans="1:2" x14ac:dyDescent="0.45">
      <c r="A22" t="s">
        <v>1769</v>
      </c>
      <c r="B22">
        <v>2</v>
      </c>
    </row>
    <row r="23" spans="1:2" x14ac:dyDescent="0.45">
      <c r="A23" t="s">
        <v>1771</v>
      </c>
      <c r="B23">
        <v>0</v>
      </c>
    </row>
    <row r="24" spans="1:2" x14ac:dyDescent="0.45">
      <c r="A24" t="s">
        <v>1773</v>
      </c>
      <c r="B24">
        <v>2</v>
      </c>
    </row>
    <row r="25" spans="1:2" x14ac:dyDescent="0.45">
      <c r="A25" t="s">
        <v>1775</v>
      </c>
      <c r="B25">
        <v>2</v>
      </c>
    </row>
    <row r="26" spans="1:2" x14ac:dyDescent="0.45">
      <c r="A26" t="s">
        <v>1777</v>
      </c>
      <c r="B26">
        <v>2</v>
      </c>
    </row>
    <row r="27" spans="1:2" x14ac:dyDescent="0.45">
      <c r="A27" t="s">
        <v>1779</v>
      </c>
      <c r="B27">
        <v>2</v>
      </c>
    </row>
    <row r="28" spans="1:2" x14ac:dyDescent="0.45">
      <c r="A28" t="s">
        <v>1781</v>
      </c>
      <c r="B28">
        <v>2</v>
      </c>
    </row>
    <row r="29" spans="1:2" x14ac:dyDescent="0.45">
      <c r="A29" t="s">
        <v>1783</v>
      </c>
      <c r="B29">
        <v>2</v>
      </c>
    </row>
    <row r="30" spans="1:2" x14ac:dyDescent="0.45">
      <c r="A30" t="s">
        <v>1785</v>
      </c>
      <c r="B30">
        <v>2</v>
      </c>
    </row>
    <row r="31" spans="1:2" x14ac:dyDescent="0.45">
      <c r="A31" t="s">
        <v>1787</v>
      </c>
      <c r="B31">
        <v>2</v>
      </c>
    </row>
    <row r="32" spans="1:2" x14ac:dyDescent="0.45">
      <c r="A32" t="s">
        <v>1789</v>
      </c>
      <c r="B32">
        <v>2</v>
      </c>
    </row>
    <row r="33" spans="1:2" x14ac:dyDescent="0.45">
      <c r="A33" t="s">
        <v>1791</v>
      </c>
      <c r="B33">
        <v>2</v>
      </c>
    </row>
    <row r="34" spans="1:2" x14ac:dyDescent="0.45">
      <c r="A34" t="s">
        <v>1793</v>
      </c>
      <c r="B34">
        <v>0</v>
      </c>
    </row>
    <row r="35" spans="1:2" x14ac:dyDescent="0.45">
      <c r="A35" t="s">
        <v>1795</v>
      </c>
      <c r="B35">
        <v>2</v>
      </c>
    </row>
    <row r="36" spans="1:2" x14ac:dyDescent="0.45">
      <c r="A36" t="s">
        <v>1797</v>
      </c>
      <c r="B36">
        <v>0</v>
      </c>
    </row>
    <row r="37" spans="1:2" x14ac:dyDescent="0.45">
      <c r="A37" t="s">
        <v>1799</v>
      </c>
      <c r="B37">
        <v>1</v>
      </c>
    </row>
    <row r="38" spans="1:2" x14ac:dyDescent="0.45">
      <c r="A38" t="s">
        <v>1801</v>
      </c>
      <c r="B38">
        <v>2</v>
      </c>
    </row>
    <row r="39" spans="1:2" x14ac:dyDescent="0.45">
      <c r="A39" t="s">
        <v>1803</v>
      </c>
      <c r="B39">
        <v>2</v>
      </c>
    </row>
    <row r="40" spans="1:2" x14ac:dyDescent="0.45">
      <c r="A40" t="s">
        <v>1805</v>
      </c>
      <c r="B40">
        <v>2</v>
      </c>
    </row>
    <row r="41" spans="1:2" x14ac:dyDescent="0.45">
      <c r="A41" t="s">
        <v>1807</v>
      </c>
      <c r="B41">
        <v>2</v>
      </c>
    </row>
    <row r="42" spans="1:2" x14ac:dyDescent="0.45">
      <c r="A42" t="s">
        <v>1809</v>
      </c>
      <c r="B42">
        <v>2</v>
      </c>
    </row>
    <row r="43" spans="1:2" x14ac:dyDescent="0.45">
      <c r="A43" t="s">
        <v>1811</v>
      </c>
      <c r="B43">
        <v>2</v>
      </c>
    </row>
    <row r="44" spans="1:2" x14ac:dyDescent="0.45">
      <c r="A44" t="s">
        <v>1813</v>
      </c>
      <c r="B44">
        <v>2</v>
      </c>
    </row>
    <row r="45" spans="1:2" x14ac:dyDescent="0.45">
      <c r="A45" t="s">
        <v>1815</v>
      </c>
      <c r="B45">
        <v>2</v>
      </c>
    </row>
    <row r="46" spans="1:2" x14ac:dyDescent="0.45">
      <c r="A46" t="s">
        <v>1817</v>
      </c>
      <c r="B46">
        <v>2</v>
      </c>
    </row>
    <row r="47" spans="1:2" x14ac:dyDescent="0.45">
      <c r="A47" t="s">
        <v>1819</v>
      </c>
      <c r="B47">
        <v>2</v>
      </c>
    </row>
    <row r="48" spans="1:2" x14ac:dyDescent="0.45">
      <c r="A48" t="s">
        <v>1821</v>
      </c>
      <c r="B48">
        <v>2</v>
      </c>
    </row>
    <row r="49" spans="1:2" x14ac:dyDescent="0.45">
      <c r="A49" t="s">
        <v>1823</v>
      </c>
      <c r="B49">
        <v>0</v>
      </c>
    </row>
    <row r="50" spans="1:2" x14ac:dyDescent="0.45">
      <c r="A50" t="s">
        <v>1825</v>
      </c>
      <c r="B50">
        <v>2</v>
      </c>
    </row>
    <row r="51" spans="1:2" x14ac:dyDescent="0.45">
      <c r="A51" t="s">
        <v>1827</v>
      </c>
      <c r="B51">
        <v>2</v>
      </c>
    </row>
    <row r="52" spans="1:2" x14ac:dyDescent="0.45">
      <c r="A52" t="s">
        <v>1829</v>
      </c>
      <c r="B52">
        <v>2</v>
      </c>
    </row>
    <row r="53" spans="1:2" x14ac:dyDescent="0.45">
      <c r="A53" t="s">
        <v>1831</v>
      </c>
      <c r="B53">
        <v>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8243-B9B9-43F9-A708-015378A9ECEB}">
  <dimension ref="A1:F53"/>
  <sheetViews>
    <sheetView workbookViewId="0">
      <selection activeCell="D10" sqref="D10"/>
    </sheetView>
  </sheetViews>
  <sheetFormatPr defaultRowHeight="14.25" x14ac:dyDescent="0.45"/>
  <cols>
    <col min="1" max="1" width="31" bestFit="1" customWidth="1"/>
    <col min="2" max="2" width="9.59765625" customWidth="1"/>
    <col min="3" max="3" width="11.3984375" bestFit="1" customWidth="1"/>
    <col min="4" max="4" width="11.3984375" customWidth="1"/>
    <col min="5" max="5" width="11" bestFit="1" customWidth="1"/>
  </cols>
  <sheetData>
    <row r="1" spans="1:6" x14ac:dyDescent="0.45">
      <c r="A1" t="s">
        <v>1718</v>
      </c>
      <c r="B1" t="s">
        <v>2179</v>
      </c>
      <c r="C1" t="s">
        <v>2177</v>
      </c>
      <c r="D1" t="s">
        <v>2180</v>
      </c>
      <c r="E1" t="s">
        <v>2178</v>
      </c>
      <c r="F1" t="s">
        <v>2181</v>
      </c>
    </row>
    <row r="2" spans="1:6" x14ac:dyDescent="0.45">
      <c r="A2" s="9" t="s">
        <v>1799</v>
      </c>
      <c r="B2" s="9" t="s">
        <v>1798</v>
      </c>
      <c r="C2" s="9" t="s">
        <v>2172</v>
      </c>
      <c r="D2" s="9" t="s">
        <v>2172</v>
      </c>
      <c r="E2" s="9" t="s">
        <v>2172</v>
      </c>
      <c r="F2" s="9" t="s">
        <v>2172</v>
      </c>
    </row>
    <row r="3" spans="1:6" x14ac:dyDescent="0.45">
      <c r="A3" t="s">
        <v>1727</v>
      </c>
      <c r="B3" t="s">
        <v>1726</v>
      </c>
      <c r="C3" t="s">
        <v>2172</v>
      </c>
      <c r="D3" t="s">
        <v>2172</v>
      </c>
      <c r="E3" t="s">
        <v>2172</v>
      </c>
      <c r="F3" t="s">
        <v>2172</v>
      </c>
    </row>
    <row r="4" spans="1:6" x14ac:dyDescent="0.45">
      <c r="A4" t="s">
        <v>1725</v>
      </c>
      <c r="B4" t="s">
        <v>1724</v>
      </c>
      <c r="C4" t="s">
        <v>2172</v>
      </c>
      <c r="D4" t="s">
        <v>2172</v>
      </c>
      <c r="E4" t="s">
        <v>2172</v>
      </c>
      <c r="F4" t="s">
        <v>2172</v>
      </c>
    </row>
    <row r="5" spans="1:6" x14ac:dyDescent="0.45">
      <c r="A5" t="s">
        <v>1733</v>
      </c>
      <c r="B5" t="s">
        <v>1732</v>
      </c>
      <c r="C5" t="s">
        <v>2172</v>
      </c>
      <c r="D5" t="s">
        <v>2172</v>
      </c>
      <c r="E5" t="s">
        <v>2172</v>
      </c>
      <c r="F5" t="s">
        <v>2172</v>
      </c>
    </row>
    <row r="6" spans="1:6" x14ac:dyDescent="0.45">
      <c r="A6" t="s">
        <v>1731</v>
      </c>
      <c r="B6" t="s">
        <v>1730</v>
      </c>
      <c r="C6" t="s">
        <v>2172</v>
      </c>
      <c r="D6" t="s">
        <v>2172</v>
      </c>
      <c r="E6" t="s">
        <v>2172</v>
      </c>
      <c r="F6" t="s">
        <v>2172</v>
      </c>
    </row>
    <row r="7" spans="1:6" x14ac:dyDescent="0.45">
      <c r="A7" t="s">
        <v>1735</v>
      </c>
      <c r="B7" t="s">
        <v>1734</v>
      </c>
      <c r="C7" t="s">
        <v>2172</v>
      </c>
      <c r="D7" t="s">
        <v>2172</v>
      </c>
      <c r="E7" t="s">
        <v>2172</v>
      </c>
      <c r="F7" t="s">
        <v>2172</v>
      </c>
    </row>
    <row r="8" spans="1:6" x14ac:dyDescent="0.45">
      <c r="A8" t="s">
        <v>1738</v>
      </c>
      <c r="B8" t="s">
        <v>1737</v>
      </c>
      <c r="C8" t="s">
        <v>2172</v>
      </c>
      <c r="D8" t="s">
        <v>2172</v>
      </c>
      <c r="E8" t="s">
        <v>2172</v>
      </c>
      <c r="F8" t="s">
        <v>2172</v>
      </c>
    </row>
    <row r="9" spans="1:6" x14ac:dyDescent="0.45">
      <c r="A9" t="s">
        <v>1740</v>
      </c>
      <c r="B9" t="s">
        <v>1739</v>
      </c>
      <c r="C9" t="s">
        <v>2172</v>
      </c>
      <c r="D9" t="s">
        <v>2172</v>
      </c>
      <c r="E9" t="s">
        <v>2172</v>
      </c>
      <c r="F9" t="s">
        <v>2172</v>
      </c>
    </row>
    <row r="10" spans="1:6" x14ac:dyDescent="0.45">
      <c r="A10" t="s">
        <v>1744</v>
      </c>
      <c r="B10" t="s">
        <v>1743</v>
      </c>
      <c r="C10" t="s">
        <v>2172</v>
      </c>
      <c r="D10" t="s">
        <v>2172</v>
      </c>
      <c r="E10" t="s">
        <v>2172</v>
      </c>
      <c r="F10" t="s">
        <v>2172</v>
      </c>
    </row>
    <row r="11" spans="1:6" x14ac:dyDescent="0.45">
      <c r="A11" t="s">
        <v>1746</v>
      </c>
      <c r="B11" t="s">
        <v>1745</v>
      </c>
      <c r="C11" t="s">
        <v>2174</v>
      </c>
      <c r="D11" t="s">
        <v>2173</v>
      </c>
      <c r="E11" t="s">
        <v>2172</v>
      </c>
      <c r="F11" t="s">
        <v>1746</v>
      </c>
    </row>
    <row r="12" spans="1:6" x14ac:dyDescent="0.45">
      <c r="A12" t="s">
        <v>1748</v>
      </c>
      <c r="B12" t="s">
        <v>1747</v>
      </c>
      <c r="C12" t="s">
        <v>2172</v>
      </c>
      <c r="D12" t="s">
        <v>2172</v>
      </c>
      <c r="E12" t="s">
        <v>2172</v>
      </c>
      <c r="F12" t="s">
        <v>2172</v>
      </c>
    </row>
    <row r="13" spans="1:6" x14ac:dyDescent="0.45">
      <c r="A13" t="s">
        <v>1750</v>
      </c>
      <c r="B13" t="s">
        <v>1749</v>
      </c>
      <c r="C13" t="s">
        <v>2174</v>
      </c>
      <c r="D13" t="s">
        <v>2172</v>
      </c>
      <c r="E13" t="s">
        <v>2172</v>
      </c>
      <c r="F13" t="s">
        <v>2172</v>
      </c>
    </row>
    <row r="14" spans="1:6" x14ac:dyDescent="0.45">
      <c r="A14" t="s">
        <v>1754</v>
      </c>
      <c r="B14" t="s">
        <v>1753</v>
      </c>
      <c r="C14" t="s">
        <v>2172</v>
      </c>
      <c r="D14" t="s">
        <v>2172</v>
      </c>
      <c r="E14" t="s">
        <v>2172</v>
      </c>
      <c r="F14" t="s">
        <v>2172</v>
      </c>
    </row>
    <row r="15" spans="1:6" x14ac:dyDescent="0.45">
      <c r="A15" t="s">
        <v>1756</v>
      </c>
      <c r="B15" t="s">
        <v>1755</v>
      </c>
      <c r="C15" t="s">
        <v>2172</v>
      </c>
      <c r="D15" t="s">
        <v>2172</v>
      </c>
      <c r="E15" t="s">
        <v>2172</v>
      </c>
      <c r="F15" t="s">
        <v>2172</v>
      </c>
    </row>
    <row r="16" spans="1:6" x14ac:dyDescent="0.45">
      <c r="A16" t="s">
        <v>1758</v>
      </c>
      <c r="B16" t="s">
        <v>1757</v>
      </c>
      <c r="C16" t="s">
        <v>2172</v>
      </c>
      <c r="D16" t="s">
        <v>2172</v>
      </c>
      <c r="E16" t="s">
        <v>2172</v>
      </c>
      <c r="F16" t="s">
        <v>2172</v>
      </c>
    </row>
    <row r="17" spans="1:6" x14ac:dyDescent="0.45">
      <c r="A17" t="s">
        <v>1752</v>
      </c>
      <c r="B17" t="s">
        <v>1751</v>
      </c>
      <c r="C17" t="s">
        <v>2172</v>
      </c>
      <c r="D17" t="s">
        <v>2172</v>
      </c>
      <c r="E17" t="s">
        <v>2172</v>
      </c>
      <c r="F17" t="s">
        <v>2172</v>
      </c>
    </row>
    <row r="18" spans="1:6" x14ac:dyDescent="0.45">
      <c r="A18" t="s">
        <v>1760</v>
      </c>
      <c r="B18" t="s">
        <v>1759</v>
      </c>
      <c r="C18" t="s">
        <v>2172</v>
      </c>
      <c r="D18" t="s">
        <v>2172</v>
      </c>
      <c r="E18" t="s">
        <v>2172</v>
      </c>
      <c r="F18" t="s">
        <v>2172</v>
      </c>
    </row>
    <row r="19" spans="1:6" x14ac:dyDescent="0.45">
      <c r="A19" t="s">
        <v>1763</v>
      </c>
      <c r="B19" t="s">
        <v>1762</v>
      </c>
      <c r="C19" t="s">
        <v>2172</v>
      </c>
      <c r="D19" t="s">
        <v>2172</v>
      </c>
      <c r="E19" t="s">
        <v>2172</v>
      </c>
      <c r="F19" t="s">
        <v>2172</v>
      </c>
    </row>
    <row r="20" spans="1:6" x14ac:dyDescent="0.45">
      <c r="A20" t="s">
        <v>1765</v>
      </c>
      <c r="B20" t="s">
        <v>1764</v>
      </c>
      <c r="C20" t="s">
        <v>2172</v>
      </c>
      <c r="D20" t="s">
        <v>2172</v>
      </c>
      <c r="E20" t="s">
        <v>2172</v>
      </c>
      <c r="F20" t="s">
        <v>2172</v>
      </c>
    </row>
    <row r="21" spans="1:6" x14ac:dyDescent="0.45">
      <c r="A21" t="s">
        <v>1771</v>
      </c>
      <c r="B21" t="s">
        <v>1770</v>
      </c>
      <c r="C21" t="s">
        <v>2172</v>
      </c>
      <c r="D21" t="s">
        <v>2172</v>
      </c>
      <c r="E21" t="s">
        <v>2172</v>
      </c>
      <c r="F21" t="s">
        <v>2172</v>
      </c>
    </row>
    <row r="22" spans="1:6" x14ac:dyDescent="0.45">
      <c r="A22" t="s">
        <v>1769</v>
      </c>
      <c r="B22" t="s">
        <v>1768</v>
      </c>
      <c r="C22" t="s">
        <v>2172</v>
      </c>
      <c r="D22" t="s">
        <v>2172</v>
      </c>
      <c r="E22" t="s">
        <v>2172</v>
      </c>
      <c r="F22" t="s">
        <v>2172</v>
      </c>
    </row>
    <row r="23" spans="1:6" x14ac:dyDescent="0.45">
      <c r="A23" t="s">
        <v>1767</v>
      </c>
      <c r="B23" t="s">
        <v>1766</v>
      </c>
      <c r="C23" t="s">
        <v>2172</v>
      </c>
      <c r="D23" t="s">
        <v>2172</v>
      </c>
      <c r="E23" t="s">
        <v>2172</v>
      </c>
      <c r="F23" t="s">
        <v>2172</v>
      </c>
    </row>
    <row r="24" spans="1:6" x14ac:dyDescent="0.45">
      <c r="A24" t="s">
        <v>1773</v>
      </c>
      <c r="B24" t="s">
        <v>1772</v>
      </c>
      <c r="C24" t="s">
        <v>2172</v>
      </c>
      <c r="D24" t="s">
        <v>2172</v>
      </c>
      <c r="E24" t="s">
        <v>2172</v>
      </c>
      <c r="F24" t="s">
        <v>2172</v>
      </c>
    </row>
    <row r="25" spans="1:6" x14ac:dyDescent="0.45">
      <c r="A25" t="s">
        <v>1775</v>
      </c>
      <c r="B25" t="s">
        <v>1774</v>
      </c>
      <c r="C25" t="s">
        <v>2172</v>
      </c>
      <c r="D25" t="s">
        <v>2172</v>
      </c>
      <c r="E25" t="s">
        <v>2172</v>
      </c>
      <c r="F25" t="s">
        <v>2172</v>
      </c>
    </row>
    <row r="26" spans="1:6" x14ac:dyDescent="0.45">
      <c r="A26" t="s">
        <v>1779</v>
      </c>
      <c r="B26" t="s">
        <v>1778</v>
      </c>
      <c r="C26" t="s">
        <v>2172</v>
      </c>
      <c r="D26" t="s">
        <v>2172</v>
      </c>
      <c r="E26" t="s">
        <v>2172</v>
      </c>
      <c r="F26" t="s">
        <v>2172</v>
      </c>
    </row>
    <row r="27" spans="1:6" x14ac:dyDescent="0.45">
      <c r="A27" t="s">
        <v>1777</v>
      </c>
      <c r="B27" t="s">
        <v>1776</v>
      </c>
      <c r="C27" t="s">
        <v>2172</v>
      </c>
      <c r="D27" t="s">
        <v>2172</v>
      </c>
      <c r="E27" t="s">
        <v>2173</v>
      </c>
      <c r="F27" t="s">
        <v>2172</v>
      </c>
    </row>
    <row r="28" spans="1:6" x14ac:dyDescent="0.45">
      <c r="A28" t="s">
        <v>1781</v>
      </c>
      <c r="B28" t="s">
        <v>1780</v>
      </c>
      <c r="C28" t="s">
        <v>2172</v>
      </c>
      <c r="D28" t="s">
        <v>2172</v>
      </c>
      <c r="E28" t="s">
        <v>2172</v>
      </c>
      <c r="F28" t="s">
        <v>2172</v>
      </c>
    </row>
    <row r="29" spans="1:6" x14ac:dyDescent="0.45">
      <c r="A29" t="s">
        <v>1787</v>
      </c>
      <c r="B29" t="s">
        <v>1786</v>
      </c>
      <c r="C29" t="s">
        <v>2172</v>
      </c>
      <c r="D29" t="s">
        <v>2172</v>
      </c>
      <c r="E29" t="s">
        <v>2172</v>
      </c>
      <c r="F29" t="s">
        <v>2172</v>
      </c>
    </row>
    <row r="30" spans="1:6" x14ac:dyDescent="0.45">
      <c r="A30" t="s">
        <v>1795</v>
      </c>
      <c r="B30" t="s">
        <v>1794</v>
      </c>
      <c r="C30" t="s">
        <v>2172</v>
      </c>
      <c r="D30" t="s">
        <v>2172</v>
      </c>
      <c r="E30" t="s">
        <v>2172</v>
      </c>
      <c r="F30" t="s">
        <v>2172</v>
      </c>
    </row>
    <row r="31" spans="1:6" x14ac:dyDescent="0.45">
      <c r="A31" t="s">
        <v>1789</v>
      </c>
      <c r="B31" t="s">
        <v>1788</v>
      </c>
      <c r="C31" t="s">
        <v>2172</v>
      </c>
      <c r="D31" t="s">
        <v>2172</v>
      </c>
      <c r="E31" t="s">
        <v>2172</v>
      </c>
      <c r="F31" t="s">
        <v>2172</v>
      </c>
    </row>
    <row r="32" spans="1:6" x14ac:dyDescent="0.45">
      <c r="A32" t="s">
        <v>1791</v>
      </c>
      <c r="B32" t="s">
        <v>1790</v>
      </c>
      <c r="C32" t="s">
        <v>2172</v>
      </c>
      <c r="D32" t="s">
        <v>2172</v>
      </c>
      <c r="E32" t="s">
        <v>2172</v>
      </c>
      <c r="F32" t="s">
        <v>2172</v>
      </c>
    </row>
    <row r="33" spans="1:6" x14ac:dyDescent="0.45">
      <c r="A33" t="s">
        <v>1793</v>
      </c>
      <c r="B33" t="s">
        <v>1792</v>
      </c>
      <c r="C33" t="s">
        <v>2172</v>
      </c>
      <c r="D33" t="s">
        <v>2172</v>
      </c>
      <c r="E33" t="s">
        <v>2172</v>
      </c>
      <c r="F33" t="s">
        <v>2172</v>
      </c>
    </row>
    <row r="34" spans="1:6" x14ac:dyDescent="0.45">
      <c r="A34" t="s">
        <v>1797</v>
      </c>
      <c r="B34" t="s">
        <v>1796</v>
      </c>
      <c r="C34" t="s">
        <v>2172</v>
      </c>
      <c r="D34" t="s">
        <v>2172</v>
      </c>
      <c r="E34" t="s">
        <v>2172</v>
      </c>
      <c r="F34" t="s">
        <v>2172</v>
      </c>
    </row>
    <row r="35" spans="1:6" x14ac:dyDescent="0.45">
      <c r="A35" t="s">
        <v>1783</v>
      </c>
      <c r="B35" t="s">
        <v>1782</v>
      </c>
      <c r="C35" t="s">
        <v>2172</v>
      </c>
      <c r="D35" t="s">
        <v>2172</v>
      </c>
      <c r="E35" t="s">
        <v>2172</v>
      </c>
      <c r="F35" t="s">
        <v>2172</v>
      </c>
    </row>
    <row r="36" spans="1:6" x14ac:dyDescent="0.45">
      <c r="A36" t="s">
        <v>1785</v>
      </c>
      <c r="B36" t="s">
        <v>1784</v>
      </c>
      <c r="C36" t="s">
        <v>2172</v>
      </c>
      <c r="D36" t="s">
        <v>2172</v>
      </c>
      <c r="E36" t="s">
        <v>2172</v>
      </c>
      <c r="F36" t="s">
        <v>2172</v>
      </c>
    </row>
    <row r="37" spans="1:6" x14ac:dyDescent="0.45">
      <c r="A37" t="s">
        <v>1801</v>
      </c>
      <c r="B37" t="s">
        <v>1800</v>
      </c>
      <c r="C37" t="s">
        <v>2172</v>
      </c>
      <c r="D37" t="s">
        <v>2172</v>
      </c>
      <c r="E37" t="s">
        <v>2172</v>
      </c>
      <c r="F37" t="s">
        <v>2172</v>
      </c>
    </row>
    <row r="38" spans="1:6" x14ac:dyDescent="0.45">
      <c r="A38" t="s">
        <v>1803</v>
      </c>
      <c r="B38" t="s">
        <v>1802</v>
      </c>
      <c r="C38" t="s">
        <v>2172</v>
      </c>
      <c r="D38" t="s">
        <v>2172</v>
      </c>
      <c r="E38" t="s">
        <v>2172</v>
      </c>
      <c r="F38" t="s">
        <v>2172</v>
      </c>
    </row>
    <row r="39" spans="1:6" x14ac:dyDescent="0.45">
      <c r="A39" t="s">
        <v>1805</v>
      </c>
      <c r="B39" t="s">
        <v>1804</v>
      </c>
      <c r="C39" t="s">
        <v>2172</v>
      </c>
      <c r="D39" t="s">
        <v>2172</v>
      </c>
      <c r="E39" t="s">
        <v>2172</v>
      </c>
      <c r="F39" t="s">
        <v>2172</v>
      </c>
    </row>
    <row r="40" spans="1:6" x14ac:dyDescent="0.45">
      <c r="A40" t="s">
        <v>1807</v>
      </c>
      <c r="B40" t="s">
        <v>1806</v>
      </c>
      <c r="C40" t="s">
        <v>2172</v>
      </c>
      <c r="D40" t="s">
        <v>2172</v>
      </c>
      <c r="E40" t="s">
        <v>2172</v>
      </c>
      <c r="F40" t="s">
        <v>2172</v>
      </c>
    </row>
    <row r="41" spans="1:6" x14ac:dyDescent="0.45">
      <c r="A41" t="s">
        <v>1809</v>
      </c>
      <c r="B41" t="s">
        <v>1808</v>
      </c>
      <c r="C41" t="s">
        <v>2172</v>
      </c>
      <c r="D41" t="s">
        <v>2172</v>
      </c>
      <c r="E41" t="s">
        <v>2172</v>
      </c>
      <c r="F41" t="s">
        <v>2172</v>
      </c>
    </row>
    <row r="42" spans="1:6" x14ac:dyDescent="0.45">
      <c r="A42" t="s">
        <v>1811</v>
      </c>
      <c r="B42" t="s">
        <v>1810</v>
      </c>
      <c r="C42" t="s">
        <v>2172</v>
      </c>
      <c r="D42" t="s">
        <v>2172</v>
      </c>
      <c r="E42" t="s">
        <v>2172</v>
      </c>
      <c r="F42" t="s">
        <v>2172</v>
      </c>
    </row>
    <row r="43" spans="1:6" x14ac:dyDescent="0.45">
      <c r="A43" t="s">
        <v>1813</v>
      </c>
      <c r="B43" t="s">
        <v>1812</v>
      </c>
      <c r="C43" t="s">
        <v>2172</v>
      </c>
      <c r="D43" t="s">
        <v>2172</v>
      </c>
      <c r="E43" t="s">
        <v>2173</v>
      </c>
      <c r="F43" t="s">
        <v>2172</v>
      </c>
    </row>
    <row r="44" spans="1:6" x14ac:dyDescent="0.45">
      <c r="A44" t="s">
        <v>1815</v>
      </c>
      <c r="B44" t="s">
        <v>1814</v>
      </c>
      <c r="C44" t="s">
        <v>2172</v>
      </c>
      <c r="D44" t="s">
        <v>2172</v>
      </c>
      <c r="E44" t="s">
        <v>2172</v>
      </c>
      <c r="F44" t="s">
        <v>2172</v>
      </c>
    </row>
    <row r="45" spans="1:6" x14ac:dyDescent="0.45">
      <c r="A45" t="s">
        <v>1817</v>
      </c>
      <c r="B45" t="s">
        <v>1816</v>
      </c>
      <c r="C45" t="s">
        <v>2172</v>
      </c>
      <c r="D45" t="s">
        <v>2172</v>
      </c>
      <c r="E45" t="s">
        <v>2172</v>
      </c>
      <c r="F45" t="s">
        <v>2172</v>
      </c>
    </row>
    <row r="46" spans="1:6" x14ac:dyDescent="0.45">
      <c r="A46" t="s">
        <v>1819</v>
      </c>
      <c r="B46" t="s">
        <v>1818</v>
      </c>
      <c r="C46" t="s">
        <v>2172</v>
      </c>
      <c r="D46" t="s">
        <v>2172</v>
      </c>
      <c r="E46" t="s">
        <v>2172</v>
      </c>
      <c r="F46" t="s">
        <v>2172</v>
      </c>
    </row>
    <row r="47" spans="1:6" x14ac:dyDescent="0.45">
      <c r="A47" t="s">
        <v>1823</v>
      </c>
      <c r="B47" t="s">
        <v>1822</v>
      </c>
      <c r="C47" t="s">
        <v>2172</v>
      </c>
      <c r="D47" t="s">
        <v>2172</v>
      </c>
      <c r="E47" t="s">
        <v>2172</v>
      </c>
      <c r="F47" t="s">
        <v>2172</v>
      </c>
    </row>
    <row r="48" spans="1:6" x14ac:dyDescent="0.45">
      <c r="A48" t="s">
        <v>1821</v>
      </c>
      <c r="B48" t="s">
        <v>1820</v>
      </c>
      <c r="C48" t="s">
        <v>2172</v>
      </c>
      <c r="D48" t="s">
        <v>2172</v>
      </c>
      <c r="E48" t="s">
        <v>2172</v>
      </c>
      <c r="F48" t="s">
        <v>2172</v>
      </c>
    </row>
    <row r="49" spans="1:6" x14ac:dyDescent="0.45">
      <c r="A49" t="s">
        <v>1825</v>
      </c>
      <c r="B49" t="s">
        <v>1824</v>
      </c>
      <c r="C49" t="s">
        <v>2172</v>
      </c>
      <c r="D49" t="s">
        <v>2172</v>
      </c>
      <c r="E49" t="s">
        <v>2173</v>
      </c>
      <c r="F49" t="s">
        <v>2172</v>
      </c>
    </row>
    <row r="50" spans="1:6" x14ac:dyDescent="0.45">
      <c r="A50" t="s">
        <v>1829</v>
      </c>
      <c r="B50" t="s">
        <v>1828</v>
      </c>
      <c r="C50" t="s">
        <v>2172</v>
      </c>
      <c r="D50" t="s">
        <v>2172</v>
      </c>
      <c r="E50" t="s">
        <v>2172</v>
      </c>
      <c r="F50" t="s">
        <v>2172</v>
      </c>
    </row>
    <row r="51" spans="1:6" x14ac:dyDescent="0.45">
      <c r="A51" t="s">
        <v>1827</v>
      </c>
      <c r="B51" t="s">
        <v>1826</v>
      </c>
      <c r="C51" t="s">
        <v>2172</v>
      </c>
      <c r="D51" t="s">
        <v>2172</v>
      </c>
      <c r="E51" t="s">
        <v>2172</v>
      </c>
      <c r="F51" t="s">
        <v>2172</v>
      </c>
    </row>
    <row r="52" spans="1:6" x14ac:dyDescent="0.45">
      <c r="A52" t="s">
        <v>1831</v>
      </c>
      <c r="B52" t="s">
        <v>1830</v>
      </c>
      <c r="C52" t="s">
        <v>2172</v>
      </c>
      <c r="D52" t="s">
        <v>2172</v>
      </c>
      <c r="E52" t="s">
        <v>2172</v>
      </c>
      <c r="F52" t="s">
        <v>2172</v>
      </c>
    </row>
    <row r="53" spans="1:6" x14ac:dyDescent="0.45">
      <c r="A53" t="s">
        <v>1742</v>
      </c>
      <c r="B53" t="s">
        <v>1741</v>
      </c>
      <c r="C53" t="s">
        <v>2172</v>
      </c>
      <c r="D53" t="s">
        <v>2172</v>
      </c>
      <c r="E53" t="s">
        <v>2172</v>
      </c>
      <c r="F53" t="s">
        <v>2172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33DA-0C60-42C0-A7D4-1E2FE0625414}">
  <dimension ref="A1:E3"/>
  <sheetViews>
    <sheetView workbookViewId="0">
      <selection activeCell="B12" sqref="B12"/>
    </sheetView>
  </sheetViews>
  <sheetFormatPr defaultRowHeight="14.25" x14ac:dyDescent="0.45"/>
  <cols>
    <col min="1" max="1" width="16" bestFit="1" customWidth="1"/>
    <col min="2" max="2" width="29.1328125" bestFit="1" customWidth="1"/>
    <col min="3" max="3" width="13.1328125" bestFit="1" customWidth="1"/>
  </cols>
  <sheetData>
    <row r="1" spans="1:5" x14ac:dyDescent="0.45">
      <c r="A1" t="s">
        <v>1718</v>
      </c>
      <c r="B1" t="s">
        <v>1695</v>
      </c>
      <c r="C1" t="s">
        <v>1696</v>
      </c>
      <c r="D1" t="s">
        <v>1535</v>
      </c>
      <c r="E1" t="s">
        <v>1536</v>
      </c>
    </row>
    <row r="2" spans="1:5" x14ac:dyDescent="0.45">
      <c r="A2" t="s">
        <v>2172</v>
      </c>
      <c r="B2" t="s">
        <v>2175</v>
      </c>
      <c r="C2" t="s">
        <v>2176</v>
      </c>
      <c r="D2">
        <v>0.75</v>
      </c>
      <c r="E2">
        <v>1.25</v>
      </c>
    </row>
    <row r="3" spans="1:5" x14ac:dyDescent="0.45">
      <c r="A3" t="s">
        <v>2174</v>
      </c>
      <c r="B3" t="s">
        <v>2175</v>
      </c>
      <c r="C3">
        <v>1</v>
      </c>
      <c r="D3">
        <v>1</v>
      </c>
      <c r="E3">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2DFF-AAED-489D-8715-C9F430462065}">
  <dimension ref="A1:J38"/>
  <sheetViews>
    <sheetView workbookViewId="0">
      <selection activeCell="C41" sqref="C41"/>
    </sheetView>
  </sheetViews>
  <sheetFormatPr defaultRowHeight="14.25" x14ac:dyDescent="0.45"/>
  <cols>
    <col min="1" max="1" width="15" bestFit="1" customWidth="1"/>
    <col min="2" max="2" width="19" bestFit="1" customWidth="1"/>
    <col min="3" max="3" width="18" bestFit="1" customWidth="1"/>
    <col min="4" max="4" width="18" customWidth="1"/>
    <col min="5" max="6" width="12.59765625" customWidth="1"/>
    <col min="7" max="7" width="18" bestFit="1" customWidth="1"/>
    <col min="8" max="8" width="18" customWidth="1"/>
    <col min="9" max="9" width="12" bestFit="1" customWidth="1"/>
    <col min="10" max="10" width="12.1328125" bestFit="1" customWidth="1"/>
  </cols>
  <sheetData>
    <row r="1" spans="1:10" x14ac:dyDescent="0.45">
      <c r="A1" t="s">
        <v>2204</v>
      </c>
      <c r="B1" t="s">
        <v>2205</v>
      </c>
      <c r="C1" t="s">
        <v>2196</v>
      </c>
      <c r="D1" t="s">
        <v>2200</v>
      </c>
      <c r="E1" t="s">
        <v>2197</v>
      </c>
      <c r="F1" t="s">
        <v>2201</v>
      </c>
      <c r="G1" t="s">
        <v>2198</v>
      </c>
      <c r="H1" t="s">
        <v>2202</v>
      </c>
      <c r="I1" t="s">
        <v>2199</v>
      </c>
      <c r="J1" t="s">
        <v>2203</v>
      </c>
    </row>
    <row r="2" spans="1:10" x14ac:dyDescent="0.45">
      <c r="A2">
        <v>0</v>
      </c>
      <c r="B2">
        <v>10000</v>
      </c>
      <c r="C2">
        <v>0</v>
      </c>
      <c r="D2">
        <v>1.14E-2</v>
      </c>
      <c r="E2">
        <v>0</v>
      </c>
      <c r="F2">
        <v>1.01E-2</v>
      </c>
      <c r="G2">
        <v>0</v>
      </c>
      <c r="H2">
        <v>0.01</v>
      </c>
      <c r="I2">
        <v>0</v>
      </c>
      <c r="J2">
        <v>1.01E-2</v>
      </c>
    </row>
    <row r="3" spans="1:10" x14ac:dyDescent="0.45">
      <c r="A3">
        <v>10000</v>
      </c>
      <c r="B3">
        <v>15000</v>
      </c>
      <c r="C3">
        <v>1.14E-2</v>
      </c>
      <c r="D3">
        <v>1.7100000000000001E-2</v>
      </c>
      <c r="E3">
        <v>1.01E-2</v>
      </c>
      <c r="F3">
        <v>1.52E-2</v>
      </c>
      <c r="G3">
        <v>0.01</v>
      </c>
      <c r="H3">
        <v>1.4999999999999999E-2</v>
      </c>
      <c r="I3">
        <v>1.01E-2</v>
      </c>
      <c r="J3">
        <v>1.52E-2</v>
      </c>
    </row>
    <row r="4" spans="1:10" x14ac:dyDescent="0.45">
      <c r="A4">
        <v>15000</v>
      </c>
      <c r="B4">
        <v>20000</v>
      </c>
      <c r="C4">
        <v>1.7100000000000001E-2</v>
      </c>
      <c r="D4">
        <v>2.2700000000000001E-2</v>
      </c>
      <c r="E4">
        <v>1.52E-2</v>
      </c>
      <c r="F4">
        <v>2.0199999999999999E-2</v>
      </c>
      <c r="G4">
        <v>1.4999999999999999E-2</v>
      </c>
      <c r="H4">
        <v>0.02</v>
      </c>
      <c r="I4">
        <v>1.52E-2</v>
      </c>
      <c r="J4">
        <v>2.0199999999999999E-2</v>
      </c>
    </row>
    <row r="5" spans="1:10" x14ac:dyDescent="0.45">
      <c r="A5">
        <v>20000</v>
      </c>
      <c r="B5">
        <v>25000</v>
      </c>
      <c r="C5">
        <v>2.2700000000000001E-2</v>
      </c>
      <c r="D5">
        <v>2.8400000000000002E-2</v>
      </c>
      <c r="E5">
        <v>2.0199999999999999E-2</v>
      </c>
      <c r="F5">
        <v>2.53E-2</v>
      </c>
      <c r="G5">
        <v>0.02</v>
      </c>
      <c r="H5">
        <v>2.5000000000000001E-2</v>
      </c>
      <c r="I5">
        <v>2.0199999999999999E-2</v>
      </c>
      <c r="J5">
        <v>2.53E-2</v>
      </c>
    </row>
    <row r="6" spans="1:10" x14ac:dyDescent="0.45">
      <c r="A6">
        <v>25000</v>
      </c>
      <c r="B6">
        <v>50000</v>
      </c>
      <c r="C6">
        <v>2.8400000000000002E-2</v>
      </c>
      <c r="D6">
        <v>5.6800000000000003E-2</v>
      </c>
      <c r="E6">
        <v>2.53E-2</v>
      </c>
      <c r="F6">
        <v>5.0500000000000003E-2</v>
      </c>
      <c r="G6">
        <v>2.5000000000000001E-2</v>
      </c>
      <c r="H6">
        <v>0.05</v>
      </c>
      <c r="I6">
        <v>2.53E-2</v>
      </c>
      <c r="J6">
        <v>5.0500000000000003E-2</v>
      </c>
    </row>
    <row r="7" spans="1:10" x14ac:dyDescent="0.45">
      <c r="A7">
        <v>50000</v>
      </c>
      <c r="B7">
        <v>100000</v>
      </c>
      <c r="C7">
        <v>5.6800000000000003E-2</v>
      </c>
      <c r="D7">
        <v>0.1135</v>
      </c>
      <c r="E7">
        <v>5.0500000000000003E-2</v>
      </c>
      <c r="F7">
        <v>0.10100000000000001</v>
      </c>
      <c r="G7">
        <v>0.05</v>
      </c>
      <c r="H7">
        <v>0.1</v>
      </c>
      <c r="I7">
        <v>5.0500000000000003E-2</v>
      </c>
      <c r="J7">
        <v>0.10100000000000001</v>
      </c>
    </row>
    <row r="8" spans="1:10" x14ac:dyDescent="0.45">
      <c r="A8">
        <v>100000</v>
      </c>
      <c r="B8">
        <v>250000</v>
      </c>
      <c r="C8">
        <v>0.1135</v>
      </c>
      <c r="D8">
        <v>0.28060000000000002</v>
      </c>
      <c r="E8">
        <v>0.10100000000000001</v>
      </c>
      <c r="F8">
        <v>0.2525</v>
      </c>
      <c r="G8">
        <v>0.1</v>
      </c>
      <c r="H8">
        <v>0.25009999999999999</v>
      </c>
      <c r="I8">
        <v>0.10100000000000001</v>
      </c>
      <c r="J8">
        <v>0.2525</v>
      </c>
    </row>
    <row r="9" spans="1:10" x14ac:dyDescent="0.45">
      <c r="A9">
        <v>250000</v>
      </c>
      <c r="B9">
        <v>500000</v>
      </c>
      <c r="C9">
        <v>0.28060000000000002</v>
      </c>
      <c r="D9">
        <v>0.54300000000000004</v>
      </c>
      <c r="E9">
        <v>0.2525</v>
      </c>
      <c r="F9">
        <v>0.50409999999999999</v>
      </c>
      <c r="G9">
        <v>0.25009999999999999</v>
      </c>
      <c r="H9">
        <v>0.50009999999999999</v>
      </c>
      <c r="I9">
        <v>0.2525</v>
      </c>
      <c r="J9">
        <v>0.50409999999999999</v>
      </c>
    </row>
    <row r="10" spans="1:10" x14ac:dyDescent="0.45">
      <c r="A10">
        <v>500000</v>
      </c>
      <c r="B10">
        <v>1000000</v>
      </c>
      <c r="C10">
        <v>0.54300000000000004</v>
      </c>
      <c r="D10">
        <v>1</v>
      </c>
      <c r="E10">
        <v>0.50409999999999999</v>
      </c>
      <c r="F10">
        <v>1</v>
      </c>
      <c r="G10">
        <v>0.50009999999999999</v>
      </c>
      <c r="H10">
        <v>1</v>
      </c>
      <c r="I10">
        <v>0.50409999999999999</v>
      </c>
      <c r="J10">
        <v>1</v>
      </c>
    </row>
    <row r="11" spans="1:10" x14ac:dyDescent="0.45">
      <c r="A11">
        <v>1000000</v>
      </c>
      <c r="B11">
        <v>2000000</v>
      </c>
      <c r="C11">
        <v>1</v>
      </c>
      <c r="D11">
        <v>1.6961999999999999</v>
      </c>
      <c r="E11">
        <v>1</v>
      </c>
      <c r="F11">
        <v>1.9450000000000001</v>
      </c>
      <c r="G11">
        <v>1</v>
      </c>
      <c r="H11">
        <v>1.9972000000000001</v>
      </c>
      <c r="I11">
        <v>1</v>
      </c>
      <c r="J11">
        <v>1.9450000000000001</v>
      </c>
    </row>
    <row r="12" spans="1:10" x14ac:dyDescent="0.45">
      <c r="A12">
        <v>2000000</v>
      </c>
      <c r="B12">
        <v>3000000</v>
      </c>
      <c r="C12">
        <v>1.6961999999999999</v>
      </c>
      <c r="D12">
        <v>2.1985999999999999</v>
      </c>
      <c r="E12">
        <v>1.9450000000000001</v>
      </c>
      <c r="F12">
        <v>2.8172999999999999</v>
      </c>
      <c r="G12">
        <v>1.9972000000000001</v>
      </c>
      <c r="H12">
        <v>2.9876999999999998</v>
      </c>
      <c r="I12">
        <v>1.9450000000000001</v>
      </c>
      <c r="J12">
        <v>2.8172999999999999</v>
      </c>
    </row>
    <row r="13" spans="1:10" x14ac:dyDescent="0.45">
      <c r="A13">
        <v>3000000</v>
      </c>
      <c r="B13">
        <v>4000000</v>
      </c>
      <c r="C13">
        <v>2.1985999999999999</v>
      </c>
      <c r="D13">
        <v>2.5783999999999998</v>
      </c>
      <c r="E13">
        <v>2.8172999999999999</v>
      </c>
      <c r="F13">
        <v>3.6179999999999999</v>
      </c>
      <c r="G13">
        <v>2.9876999999999998</v>
      </c>
      <c r="H13">
        <v>3.9683000000000002</v>
      </c>
      <c r="I13">
        <v>2.8172999999999999</v>
      </c>
      <c r="J13">
        <v>3.6179999999999999</v>
      </c>
    </row>
    <row r="14" spans="1:10" x14ac:dyDescent="0.45">
      <c r="A14">
        <v>4000000</v>
      </c>
      <c r="B14">
        <v>5000000</v>
      </c>
      <c r="C14">
        <v>2.5783999999999998</v>
      </c>
      <c r="D14">
        <v>2.8754</v>
      </c>
      <c r="E14">
        <v>3.6179999999999999</v>
      </c>
      <c r="F14">
        <v>4.3532999999999999</v>
      </c>
      <c r="G14">
        <v>3.9683000000000002</v>
      </c>
      <c r="H14">
        <v>4.9363999999999999</v>
      </c>
      <c r="I14">
        <v>3.6179999999999999</v>
      </c>
      <c r="J14">
        <v>4.3532999999999999</v>
      </c>
    </row>
    <row r="15" spans="1:10" x14ac:dyDescent="0.45">
      <c r="A15">
        <v>5000000</v>
      </c>
      <c r="B15">
        <v>10000000</v>
      </c>
      <c r="C15">
        <v>2.8754</v>
      </c>
      <c r="D15">
        <v>3.7262</v>
      </c>
      <c r="E15">
        <v>4.3532999999999999</v>
      </c>
      <c r="F15">
        <v>7.2645999999999997</v>
      </c>
      <c r="G15">
        <v>4.9363999999999999</v>
      </c>
      <c r="H15">
        <v>9.5509000000000004</v>
      </c>
      <c r="I15">
        <v>4.3532999999999999</v>
      </c>
      <c r="J15">
        <v>7.2645999999999997</v>
      </c>
    </row>
    <row r="16" spans="1:10" x14ac:dyDescent="0.45">
      <c r="A16">
        <v>10000000</v>
      </c>
      <c r="B16">
        <v>15000000</v>
      </c>
      <c r="C16">
        <v>3.7262</v>
      </c>
      <c r="D16">
        <v>4.1201999999999996</v>
      </c>
      <c r="E16">
        <v>7.2645999999999997</v>
      </c>
      <c r="F16">
        <v>9.3119999999999994</v>
      </c>
      <c r="G16">
        <v>9.5509000000000004</v>
      </c>
      <c r="H16">
        <v>13.7607</v>
      </c>
      <c r="I16">
        <v>7.2645999999999997</v>
      </c>
      <c r="J16">
        <v>9.3119999999999994</v>
      </c>
    </row>
    <row r="17" spans="1:10" x14ac:dyDescent="0.45">
      <c r="A17">
        <v>15000000</v>
      </c>
      <c r="B17">
        <v>20000000</v>
      </c>
      <c r="C17">
        <v>4.1201999999999996</v>
      </c>
      <c r="D17">
        <v>4.3396999999999997</v>
      </c>
      <c r="E17">
        <v>9.3119999999999994</v>
      </c>
      <c r="F17">
        <v>10.830500000000001</v>
      </c>
      <c r="G17">
        <v>13.7607</v>
      </c>
      <c r="H17">
        <v>17.585000000000001</v>
      </c>
      <c r="I17">
        <v>9.3119999999999994</v>
      </c>
      <c r="J17">
        <v>10.830500000000001</v>
      </c>
    </row>
    <row r="18" spans="1:10" x14ac:dyDescent="0.45">
      <c r="A18">
        <v>20000000</v>
      </c>
      <c r="B18">
        <v>25000000</v>
      </c>
      <c r="C18">
        <v>4.3396999999999997</v>
      </c>
      <c r="D18">
        <v>4.4756</v>
      </c>
      <c r="E18">
        <v>10.830500000000001</v>
      </c>
      <c r="F18">
        <v>12.0006</v>
      </c>
      <c r="G18">
        <v>17.585000000000001</v>
      </c>
      <c r="H18">
        <v>21.0641</v>
      </c>
      <c r="I18">
        <v>10.830500000000001</v>
      </c>
      <c r="J18">
        <v>12.0006</v>
      </c>
    </row>
    <row r="19" spans="1:10" x14ac:dyDescent="0.45">
      <c r="A19">
        <v>25000000</v>
      </c>
      <c r="B19">
        <v>30000000</v>
      </c>
      <c r="C19">
        <v>4.4756</v>
      </c>
      <c r="D19">
        <v>4.5659000000000001</v>
      </c>
      <c r="E19">
        <v>12.0006</v>
      </c>
      <c r="F19">
        <v>12.9284</v>
      </c>
      <c r="G19">
        <v>21.0641</v>
      </c>
      <c r="H19">
        <v>24.238700000000001</v>
      </c>
      <c r="I19">
        <v>12.0006</v>
      </c>
      <c r="J19">
        <v>12.9284</v>
      </c>
    </row>
    <row r="20" spans="1:10" x14ac:dyDescent="0.45">
      <c r="A20">
        <v>30000000</v>
      </c>
      <c r="B20">
        <v>35000000</v>
      </c>
      <c r="C20">
        <v>4.5659000000000001</v>
      </c>
      <c r="D20">
        <v>4.6288999999999998</v>
      </c>
      <c r="E20">
        <v>12.9284</v>
      </c>
      <c r="F20">
        <v>13.6806</v>
      </c>
      <c r="G20">
        <v>24.238700000000001</v>
      </c>
      <c r="H20">
        <v>27.145800000000001</v>
      </c>
      <c r="I20">
        <v>12.9284</v>
      </c>
      <c r="J20">
        <v>13.6806</v>
      </c>
    </row>
    <row r="21" spans="1:10" x14ac:dyDescent="0.45">
      <c r="A21">
        <v>35000000</v>
      </c>
      <c r="B21">
        <v>40000000</v>
      </c>
      <c r="C21">
        <v>4.6288999999999998</v>
      </c>
      <c r="D21">
        <v>4.6745999999999999</v>
      </c>
      <c r="E21">
        <v>13.6806</v>
      </c>
      <c r="F21">
        <v>14.301399999999999</v>
      </c>
      <c r="G21">
        <v>27.145800000000001</v>
      </c>
      <c r="H21">
        <v>29.817399999999999</v>
      </c>
      <c r="I21">
        <v>13.6806</v>
      </c>
      <c r="J21">
        <v>14.301399999999999</v>
      </c>
    </row>
    <row r="22" spans="1:10" x14ac:dyDescent="0.45">
      <c r="A22">
        <v>40000000</v>
      </c>
      <c r="B22">
        <v>45000000</v>
      </c>
      <c r="C22">
        <v>4.6745999999999999</v>
      </c>
      <c r="D22">
        <v>4.7087000000000003</v>
      </c>
      <c r="E22">
        <v>14.301399999999999</v>
      </c>
      <c r="F22">
        <v>14.821099999999999</v>
      </c>
      <c r="G22">
        <v>29.817399999999999</v>
      </c>
      <c r="H22">
        <v>32.280900000000003</v>
      </c>
      <c r="I22">
        <v>14.301399999999999</v>
      </c>
      <c r="J22">
        <v>14.821099999999999</v>
      </c>
    </row>
    <row r="23" spans="1:10" x14ac:dyDescent="0.45">
      <c r="A23">
        <v>45000000</v>
      </c>
      <c r="B23">
        <v>50000000</v>
      </c>
      <c r="C23">
        <v>4.7087000000000003</v>
      </c>
      <c r="D23">
        <v>4.7347999999999999</v>
      </c>
      <c r="E23">
        <v>14.821099999999999</v>
      </c>
      <c r="F23">
        <v>15.261699999999999</v>
      </c>
      <c r="G23">
        <v>32.280900000000003</v>
      </c>
      <c r="H23">
        <v>34.559800000000003</v>
      </c>
      <c r="I23">
        <v>14.821099999999999</v>
      </c>
      <c r="J23">
        <v>15.261699999999999</v>
      </c>
    </row>
    <row r="24" spans="1:10" x14ac:dyDescent="0.45">
      <c r="A24">
        <v>50000000</v>
      </c>
      <c r="B24">
        <v>60000000</v>
      </c>
      <c r="C24">
        <v>4.7347999999999999</v>
      </c>
      <c r="D24">
        <v>4.7713999999999999</v>
      </c>
      <c r="E24">
        <v>15.261699999999999</v>
      </c>
      <c r="F24">
        <v>15.965199999999999</v>
      </c>
      <c r="G24">
        <v>34.559800000000003</v>
      </c>
      <c r="H24">
        <v>38.641300000000001</v>
      </c>
      <c r="I24">
        <v>15.261699999999999</v>
      </c>
      <c r="J24">
        <v>15.965199999999999</v>
      </c>
    </row>
    <row r="25" spans="1:10" x14ac:dyDescent="0.45">
      <c r="A25">
        <v>60000000</v>
      </c>
      <c r="B25">
        <v>70000000</v>
      </c>
      <c r="C25">
        <v>4.7713999999999999</v>
      </c>
      <c r="D25">
        <v>4.7950999999999997</v>
      </c>
      <c r="E25">
        <v>15.965199999999999</v>
      </c>
      <c r="F25">
        <v>16.4985</v>
      </c>
      <c r="G25">
        <v>38.641300000000001</v>
      </c>
      <c r="H25">
        <v>42.191400000000002</v>
      </c>
      <c r="I25">
        <v>15.965199999999999</v>
      </c>
      <c r="J25">
        <v>16.4985</v>
      </c>
    </row>
    <row r="26" spans="1:10" x14ac:dyDescent="0.45">
      <c r="A26">
        <v>70000000</v>
      </c>
      <c r="B26">
        <v>80000000</v>
      </c>
      <c r="C26">
        <v>4.7950999999999997</v>
      </c>
      <c r="D26">
        <v>4.8113000000000001</v>
      </c>
      <c r="E26">
        <v>16.4985</v>
      </c>
      <c r="F26">
        <v>16.913699999999999</v>
      </c>
      <c r="G26">
        <v>42.191400000000002</v>
      </c>
      <c r="H26">
        <v>45.307400000000001</v>
      </c>
      <c r="I26">
        <v>16.4985</v>
      </c>
      <c r="J26">
        <v>16.913699999999999</v>
      </c>
    </row>
    <row r="27" spans="1:10" x14ac:dyDescent="0.45">
      <c r="A27">
        <v>80000000</v>
      </c>
      <c r="B27">
        <v>90000000</v>
      </c>
      <c r="C27">
        <v>4.8113000000000001</v>
      </c>
      <c r="D27">
        <v>4.8227000000000002</v>
      </c>
      <c r="E27">
        <v>16.913699999999999</v>
      </c>
      <c r="F27">
        <v>17.244</v>
      </c>
      <c r="G27">
        <v>45.307400000000001</v>
      </c>
      <c r="H27">
        <v>48.064100000000003</v>
      </c>
      <c r="I27">
        <v>16.913699999999999</v>
      </c>
      <c r="J27">
        <v>17.244</v>
      </c>
    </row>
    <row r="28" spans="1:10" x14ac:dyDescent="0.45">
      <c r="A28">
        <v>90000000</v>
      </c>
      <c r="B28">
        <v>100000000</v>
      </c>
      <c r="C28">
        <v>4.8227000000000002</v>
      </c>
      <c r="D28">
        <v>4.8310000000000004</v>
      </c>
      <c r="E28">
        <v>17.244</v>
      </c>
      <c r="F28">
        <v>17.511299999999999</v>
      </c>
      <c r="G28">
        <v>48.064100000000003</v>
      </c>
      <c r="H28">
        <v>50.519500000000001</v>
      </c>
      <c r="I28">
        <v>17.244</v>
      </c>
      <c r="J28">
        <v>17.511299999999999</v>
      </c>
    </row>
    <row r="29" spans="1:10" x14ac:dyDescent="0.45">
      <c r="A29">
        <v>100000000</v>
      </c>
      <c r="B29">
        <v>125000000</v>
      </c>
      <c r="C29">
        <v>4.8310000000000004</v>
      </c>
      <c r="D29">
        <v>4.8438999999999997</v>
      </c>
      <c r="E29">
        <v>17.511299999999999</v>
      </c>
      <c r="F29">
        <v>17.9937</v>
      </c>
      <c r="G29">
        <v>50.519500000000001</v>
      </c>
      <c r="H29">
        <v>55.621099999999998</v>
      </c>
      <c r="I29">
        <v>17.511299999999999</v>
      </c>
      <c r="J29">
        <v>17.9937</v>
      </c>
    </row>
    <row r="30" spans="1:10" x14ac:dyDescent="0.45">
      <c r="A30">
        <v>125000000</v>
      </c>
      <c r="B30">
        <v>150000000</v>
      </c>
      <c r="C30">
        <v>4.8438999999999997</v>
      </c>
      <c r="D30">
        <v>4.8507999999999996</v>
      </c>
      <c r="E30">
        <v>17.9937</v>
      </c>
      <c r="F30">
        <v>18.3094</v>
      </c>
      <c r="G30">
        <v>55.621099999999998</v>
      </c>
      <c r="H30">
        <v>59.616300000000003</v>
      </c>
      <c r="I30">
        <v>17.9937</v>
      </c>
      <c r="J30">
        <v>18.3094</v>
      </c>
    </row>
    <row r="31" spans="1:10" x14ac:dyDescent="0.45">
      <c r="A31">
        <v>150000000</v>
      </c>
      <c r="B31">
        <v>175000000</v>
      </c>
      <c r="C31">
        <v>4.8507999999999996</v>
      </c>
      <c r="D31">
        <v>4.8548</v>
      </c>
      <c r="E31">
        <v>18.3094</v>
      </c>
      <c r="F31">
        <v>18.527200000000001</v>
      </c>
      <c r="G31">
        <v>59.616300000000003</v>
      </c>
      <c r="H31">
        <v>62.821199999999997</v>
      </c>
      <c r="I31">
        <v>18.3094</v>
      </c>
      <c r="J31">
        <v>18.527200000000001</v>
      </c>
    </row>
    <row r="32" spans="1:10" x14ac:dyDescent="0.45">
      <c r="A32">
        <v>175000000</v>
      </c>
      <c r="B32">
        <v>200000000</v>
      </c>
      <c r="C32">
        <v>4.8548</v>
      </c>
      <c r="D32">
        <v>4.8574000000000002</v>
      </c>
      <c r="E32">
        <v>18.527200000000001</v>
      </c>
      <c r="F32">
        <v>18.683499999999999</v>
      </c>
      <c r="G32">
        <v>62.821199999999997</v>
      </c>
      <c r="H32">
        <v>65.441699999999997</v>
      </c>
      <c r="I32">
        <v>18.527200000000001</v>
      </c>
      <c r="J32">
        <v>18.683499999999999</v>
      </c>
    </row>
    <row r="33" spans="1:10" x14ac:dyDescent="0.45">
      <c r="A33">
        <v>200000000</v>
      </c>
      <c r="B33">
        <v>250000000</v>
      </c>
      <c r="C33">
        <v>4.8574000000000002</v>
      </c>
      <c r="D33">
        <v>4.8601999999999999</v>
      </c>
      <c r="E33">
        <v>18.683499999999999</v>
      </c>
      <c r="F33">
        <v>18.887</v>
      </c>
      <c r="G33">
        <v>65.441699999999997</v>
      </c>
      <c r="H33">
        <v>69.449399999999997</v>
      </c>
      <c r="I33">
        <v>18.683499999999999</v>
      </c>
      <c r="J33">
        <v>18.887</v>
      </c>
    </row>
    <row r="34" spans="1:10" x14ac:dyDescent="0.45">
      <c r="A34">
        <v>250000000</v>
      </c>
      <c r="B34">
        <v>300000000</v>
      </c>
      <c r="C34">
        <v>4.8601999999999999</v>
      </c>
      <c r="D34">
        <v>4.8615000000000004</v>
      </c>
      <c r="E34">
        <v>18.887</v>
      </c>
      <c r="F34">
        <v>19.008900000000001</v>
      </c>
      <c r="G34">
        <v>69.449399999999997</v>
      </c>
      <c r="H34">
        <v>72.346199999999996</v>
      </c>
      <c r="I34">
        <v>18.887</v>
      </c>
      <c r="J34">
        <v>19.008900000000001</v>
      </c>
    </row>
    <row r="35" spans="1:10" x14ac:dyDescent="0.45">
      <c r="A35">
        <v>300000000</v>
      </c>
      <c r="B35">
        <v>400000000</v>
      </c>
      <c r="C35">
        <v>4.8615000000000004</v>
      </c>
      <c r="D35">
        <v>4.8627000000000002</v>
      </c>
      <c r="E35">
        <v>19.008900000000001</v>
      </c>
      <c r="F35">
        <v>19.139500000000002</v>
      </c>
      <c r="G35">
        <v>72.346199999999996</v>
      </c>
      <c r="H35">
        <v>76.191599999999994</v>
      </c>
      <c r="I35">
        <v>19.008900000000001</v>
      </c>
      <c r="J35">
        <v>19.139500000000002</v>
      </c>
    </row>
    <row r="36" spans="1:10" x14ac:dyDescent="0.45">
      <c r="A36">
        <v>400000000</v>
      </c>
      <c r="B36">
        <v>500000000</v>
      </c>
      <c r="C36">
        <v>4.8627000000000002</v>
      </c>
      <c r="D36">
        <v>4.8632</v>
      </c>
      <c r="E36">
        <v>19.139500000000002</v>
      </c>
      <c r="F36">
        <v>19.2028</v>
      </c>
      <c r="G36">
        <v>76.191599999999994</v>
      </c>
      <c r="H36">
        <v>78.572100000000006</v>
      </c>
      <c r="I36">
        <v>19.139500000000002</v>
      </c>
      <c r="J36">
        <v>19.2028</v>
      </c>
    </row>
    <row r="37" spans="1:10" x14ac:dyDescent="0.45">
      <c r="A37">
        <v>500000000</v>
      </c>
      <c r="B37">
        <v>600000000</v>
      </c>
      <c r="C37">
        <v>4.8632</v>
      </c>
      <c r="D37">
        <v>4.8634000000000004</v>
      </c>
      <c r="E37">
        <v>19.2028</v>
      </c>
      <c r="F37">
        <v>19.237400000000001</v>
      </c>
      <c r="G37">
        <v>78.572100000000006</v>
      </c>
      <c r="H37">
        <v>80.152000000000001</v>
      </c>
      <c r="I37">
        <v>19.2028</v>
      </c>
      <c r="J37">
        <v>19.237400000000001</v>
      </c>
    </row>
    <row r="38" spans="1:10" x14ac:dyDescent="0.45">
      <c r="A38">
        <v>600000000</v>
      </c>
      <c r="B38">
        <v>700000000</v>
      </c>
      <c r="C38">
        <v>4.8634000000000004</v>
      </c>
      <c r="D38">
        <v>4.8634000000000004</v>
      </c>
      <c r="E38">
        <v>19.237400000000001</v>
      </c>
      <c r="F38">
        <v>19.237400000000001</v>
      </c>
      <c r="G38">
        <v>80.152000000000001</v>
      </c>
      <c r="H38">
        <v>80.152000000000001</v>
      </c>
      <c r="I38">
        <v>19.237400000000001</v>
      </c>
      <c r="J38">
        <v>19.237400000000001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2C1C-733B-4A1F-B511-460FD4A749A8}">
  <dimension ref="A1:H10"/>
  <sheetViews>
    <sheetView workbookViewId="0">
      <selection activeCell="B7" sqref="B7"/>
    </sheetView>
  </sheetViews>
  <sheetFormatPr defaultRowHeight="14.25" x14ac:dyDescent="0.45"/>
  <cols>
    <col min="2" max="2" width="22" bestFit="1" customWidth="1"/>
    <col min="3" max="3" width="11.1328125" bestFit="1" customWidth="1"/>
    <col min="4" max="4" width="11.86328125" bestFit="1" customWidth="1"/>
    <col min="5" max="5" width="14.3984375" bestFit="1" customWidth="1"/>
    <col min="6" max="6" width="15" bestFit="1" customWidth="1"/>
    <col min="7" max="7" width="12" bestFit="1" customWidth="1"/>
    <col min="8" max="8" width="12.1328125" bestFit="1" customWidth="1"/>
  </cols>
  <sheetData>
    <row r="1" spans="1:8" x14ac:dyDescent="0.45">
      <c r="A1" t="s">
        <v>1718</v>
      </c>
      <c r="B1" t="s">
        <v>2162</v>
      </c>
      <c r="C1" t="s">
        <v>2163</v>
      </c>
      <c r="D1" t="s">
        <v>2164</v>
      </c>
      <c r="E1" t="s">
        <v>2165</v>
      </c>
      <c r="F1" t="s">
        <v>2166</v>
      </c>
      <c r="G1" t="s">
        <v>2167</v>
      </c>
      <c r="H1" t="s">
        <v>2168</v>
      </c>
    </row>
    <row r="2" spans="1:8" x14ac:dyDescent="0.45">
      <c r="A2" t="s">
        <v>2172</v>
      </c>
      <c r="B2" t="s">
        <v>2169</v>
      </c>
      <c r="C2">
        <v>0.75</v>
      </c>
      <c r="D2">
        <v>0.9</v>
      </c>
      <c r="E2">
        <v>0.9</v>
      </c>
      <c r="F2">
        <v>1.1000000000000001</v>
      </c>
      <c r="G2">
        <v>1.1000000000000001</v>
      </c>
      <c r="H2">
        <v>1.25</v>
      </c>
    </row>
    <row r="3" spans="1:8" x14ac:dyDescent="0.45">
      <c r="A3" t="s">
        <v>2172</v>
      </c>
      <c r="B3" t="s">
        <v>2170</v>
      </c>
      <c r="C3">
        <v>0.75</v>
      </c>
      <c r="D3">
        <v>0.9</v>
      </c>
      <c r="E3">
        <v>0.9</v>
      </c>
      <c r="F3">
        <v>1.1000000000000001</v>
      </c>
      <c r="G3">
        <v>1.1000000000000001</v>
      </c>
      <c r="H3">
        <v>1.25</v>
      </c>
    </row>
    <row r="4" spans="1:8" x14ac:dyDescent="0.45">
      <c r="A4" t="s">
        <v>2172</v>
      </c>
      <c r="B4" t="s">
        <v>2171</v>
      </c>
      <c r="C4">
        <v>0.75</v>
      </c>
      <c r="D4">
        <v>0.9</v>
      </c>
      <c r="E4">
        <v>0.9</v>
      </c>
      <c r="F4">
        <v>1.1000000000000001</v>
      </c>
      <c r="G4">
        <v>1.1000000000000001</v>
      </c>
      <c r="H4">
        <v>1.25</v>
      </c>
    </row>
    <row r="5" spans="1:8" x14ac:dyDescent="0.45">
      <c r="A5" t="s">
        <v>2173</v>
      </c>
      <c r="B5" t="s">
        <v>2169</v>
      </c>
      <c r="C5">
        <v>0.85</v>
      </c>
      <c r="D5">
        <v>0.85</v>
      </c>
      <c r="E5">
        <v>1</v>
      </c>
      <c r="F5">
        <v>1</v>
      </c>
      <c r="G5">
        <v>1.1499999999999999</v>
      </c>
      <c r="H5">
        <v>1.1499999999999999</v>
      </c>
    </row>
    <row r="6" spans="1:8" x14ac:dyDescent="0.45">
      <c r="A6" t="s">
        <v>2173</v>
      </c>
      <c r="B6" t="s">
        <v>2170</v>
      </c>
      <c r="C6">
        <v>0.85</v>
      </c>
      <c r="D6">
        <v>0.85</v>
      </c>
      <c r="E6">
        <v>1</v>
      </c>
      <c r="F6">
        <v>1</v>
      </c>
      <c r="G6">
        <v>1.1499999999999999</v>
      </c>
      <c r="H6">
        <v>1.1499999999999999</v>
      </c>
    </row>
    <row r="7" spans="1:8" x14ac:dyDescent="0.45">
      <c r="A7" t="s">
        <v>2173</v>
      </c>
      <c r="B7" t="s">
        <v>2171</v>
      </c>
      <c r="C7">
        <v>0.85</v>
      </c>
      <c r="D7">
        <v>0.85</v>
      </c>
      <c r="E7">
        <v>1</v>
      </c>
      <c r="F7">
        <v>1</v>
      </c>
      <c r="G7">
        <v>1.1499999999999999</v>
      </c>
      <c r="H7">
        <v>1.1499999999999999</v>
      </c>
    </row>
    <row r="8" spans="1:8" x14ac:dyDescent="0.45">
      <c r="A8" t="s">
        <v>2174</v>
      </c>
      <c r="B8" t="s">
        <v>2169</v>
      </c>
      <c r="C8">
        <v>1</v>
      </c>
      <c r="D8">
        <v>1</v>
      </c>
      <c r="E8">
        <v>1</v>
      </c>
      <c r="F8">
        <v>1</v>
      </c>
      <c r="G8">
        <v>1</v>
      </c>
      <c r="H8">
        <v>1</v>
      </c>
    </row>
    <row r="9" spans="1:8" x14ac:dyDescent="0.45">
      <c r="A9" t="s">
        <v>2174</v>
      </c>
      <c r="B9" t="s">
        <v>2170</v>
      </c>
      <c r="C9">
        <v>1</v>
      </c>
      <c r="D9">
        <v>1</v>
      </c>
      <c r="E9">
        <v>1</v>
      </c>
      <c r="F9">
        <v>1</v>
      </c>
      <c r="G9">
        <v>1</v>
      </c>
      <c r="H9">
        <v>1</v>
      </c>
    </row>
    <row r="10" spans="1:8" x14ac:dyDescent="0.45">
      <c r="A10" t="s">
        <v>2174</v>
      </c>
      <c r="B10" t="s">
        <v>2171</v>
      </c>
      <c r="C10">
        <v>1</v>
      </c>
      <c r="D10">
        <v>1</v>
      </c>
      <c r="E10">
        <v>1</v>
      </c>
      <c r="F10">
        <v>1</v>
      </c>
      <c r="G10">
        <v>1</v>
      </c>
      <c r="H10">
        <v>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1472-8AB7-41A0-84D6-5C45536267EF}">
  <dimension ref="A1:C3"/>
  <sheetViews>
    <sheetView workbookViewId="0">
      <selection activeCell="E18" sqref="E18"/>
    </sheetView>
  </sheetViews>
  <sheetFormatPr defaultRowHeight="14.25" x14ac:dyDescent="0.45"/>
  <sheetData>
    <row r="1" spans="1:3" x14ac:dyDescent="0.45">
      <c r="A1" t="s">
        <v>1718</v>
      </c>
      <c r="B1" t="s">
        <v>2182</v>
      </c>
      <c r="C1" t="s">
        <v>2183</v>
      </c>
    </row>
    <row r="2" spans="1:3" x14ac:dyDescent="0.45">
      <c r="A2" t="s">
        <v>1746</v>
      </c>
      <c r="B2">
        <v>0.75</v>
      </c>
      <c r="C2">
        <v>1.25</v>
      </c>
    </row>
    <row r="3" spans="1:3" x14ac:dyDescent="0.45">
      <c r="A3" t="s">
        <v>2172</v>
      </c>
      <c r="B3">
        <v>1</v>
      </c>
      <c r="C3">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5E08-CD51-417A-ABDB-E332E5A1AF85}">
  <dimension ref="A1:B7"/>
  <sheetViews>
    <sheetView workbookViewId="0">
      <selection activeCell="F38" sqref="F38"/>
    </sheetView>
  </sheetViews>
  <sheetFormatPr defaultRowHeight="14.25" x14ac:dyDescent="0.45"/>
  <cols>
    <col min="1" max="1" width="9.59765625" customWidth="1"/>
    <col min="2" max="2" width="16" bestFit="1" customWidth="1"/>
  </cols>
  <sheetData>
    <row r="1" spans="1:2" x14ac:dyDescent="0.45">
      <c r="A1" t="s">
        <v>2184</v>
      </c>
      <c r="B1" t="s">
        <v>2185</v>
      </c>
    </row>
    <row r="2" spans="1:2" x14ac:dyDescent="0.45">
      <c r="A2">
        <v>1</v>
      </c>
      <c r="B2">
        <v>1</v>
      </c>
    </row>
    <row r="3" spans="1:2" x14ac:dyDescent="0.45">
      <c r="A3">
        <v>2</v>
      </c>
      <c r="B3">
        <v>0.94</v>
      </c>
    </row>
    <row r="4" spans="1:2" x14ac:dyDescent="0.45">
      <c r="A4">
        <v>3</v>
      </c>
      <c r="B4">
        <v>0.9</v>
      </c>
    </row>
    <row r="5" spans="1:2" x14ac:dyDescent="0.45">
      <c r="A5">
        <v>4</v>
      </c>
      <c r="B5">
        <v>0.87</v>
      </c>
    </row>
    <row r="6" spans="1:2" x14ac:dyDescent="0.45">
      <c r="A6">
        <v>5</v>
      </c>
      <c r="B6">
        <v>0.85</v>
      </c>
    </row>
    <row r="7" spans="1:2" x14ac:dyDescent="0.45">
      <c r="A7">
        <v>6</v>
      </c>
      <c r="B7">
        <v>0.83499999999999996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2289-7B6C-46DE-8F7B-FE29BC48D59F}">
  <dimension ref="A1:D8"/>
  <sheetViews>
    <sheetView workbookViewId="0">
      <selection activeCell="C14" sqref="C14"/>
    </sheetView>
  </sheetViews>
  <sheetFormatPr defaultRowHeight="14.25" x14ac:dyDescent="0.45"/>
  <cols>
    <col min="1" max="1" width="19" bestFit="1" customWidth="1"/>
    <col min="2" max="2" width="19" customWidth="1"/>
    <col min="3" max="3" width="9" bestFit="1" customWidth="1"/>
    <col min="4" max="4" width="11.1328125" bestFit="1" customWidth="1"/>
  </cols>
  <sheetData>
    <row r="1" spans="1:4" x14ac:dyDescent="0.45">
      <c r="A1" t="s">
        <v>2206</v>
      </c>
      <c r="B1" t="s">
        <v>2207</v>
      </c>
      <c r="C1" t="s">
        <v>2186</v>
      </c>
      <c r="D1" t="s">
        <v>2187</v>
      </c>
    </row>
    <row r="2" spans="1:4" x14ac:dyDescent="0.45">
      <c r="A2">
        <v>0</v>
      </c>
      <c r="B2">
        <v>8001</v>
      </c>
      <c r="C2">
        <v>150</v>
      </c>
      <c r="D2">
        <v>150</v>
      </c>
    </row>
    <row r="3" spans="1:4" x14ac:dyDescent="0.45">
      <c r="A3">
        <v>8001</v>
      </c>
      <c r="B3">
        <v>25001</v>
      </c>
      <c r="C3">
        <v>250</v>
      </c>
      <c r="D3">
        <v>250</v>
      </c>
    </row>
    <row r="4" spans="1:4" x14ac:dyDescent="0.45">
      <c r="A4">
        <v>25001</v>
      </c>
      <c r="B4">
        <v>50001</v>
      </c>
      <c r="C4">
        <v>450</v>
      </c>
      <c r="D4">
        <v>450</v>
      </c>
    </row>
    <row r="5" spans="1:4" x14ac:dyDescent="0.45">
      <c r="A5">
        <v>50001</v>
      </c>
      <c r="B5">
        <v>100001</v>
      </c>
      <c r="C5">
        <v>750</v>
      </c>
      <c r="D5">
        <v>750</v>
      </c>
    </row>
    <row r="6" spans="1:4" x14ac:dyDescent="0.45">
      <c r="A6">
        <v>100001</v>
      </c>
      <c r="B6">
        <v>250001</v>
      </c>
      <c r="C6">
        <v>1500</v>
      </c>
      <c r="D6">
        <v>1500</v>
      </c>
    </row>
    <row r="7" spans="1:4" x14ac:dyDescent="0.45">
      <c r="A7">
        <v>250001</v>
      </c>
      <c r="B7">
        <v>500001</v>
      </c>
      <c r="C7">
        <v>2500</v>
      </c>
      <c r="D7">
        <v>2500</v>
      </c>
    </row>
    <row r="8" spans="1:4" x14ac:dyDescent="0.45">
      <c r="A8">
        <v>500001</v>
      </c>
      <c r="B8">
        <v>1000000000</v>
      </c>
      <c r="C8">
        <v>5500</v>
      </c>
      <c r="D8">
        <v>5500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319FB-EC8E-46A9-955B-22CF0071C6C5}">
  <dimension ref="A1:C9"/>
  <sheetViews>
    <sheetView workbookViewId="0">
      <selection activeCell="F32" sqref="F32"/>
    </sheetView>
  </sheetViews>
  <sheetFormatPr defaultRowHeight="14.25" x14ac:dyDescent="0.45"/>
  <cols>
    <col min="1" max="1" width="12.3984375" bestFit="1" customWidth="1"/>
  </cols>
  <sheetData>
    <row r="1" spans="1:3" x14ac:dyDescent="0.45">
      <c r="A1" t="s">
        <v>2188</v>
      </c>
      <c r="B1" t="s">
        <v>1769</v>
      </c>
      <c r="C1" t="s">
        <v>2172</v>
      </c>
    </row>
    <row r="2" spans="1:3" x14ac:dyDescent="0.45">
      <c r="A2" t="s">
        <v>2189</v>
      </c>
      <c r="B2">
        <v>0</v>
      </c>
      <c r="C2">
        <v>0</v>
      </c>
    </row>
    <row r="3" spans="1:3" x14ac:dyDescent="0.45">
      <c r="A3" t="s">
        <v>1450</v>
      </c>
      <c r="B3">
        <v>0</v>
      </c>
      <c r="C3">
        <v>0</v>
      </c>
    </row>
    <row r="4" spans="1:3" x14ac:dyDescent="0.45">
      <c r="A4" t="s">
        <v>2190</v>
      </c>
      <c r="B4">
        <v>0</v>
      </c>
      <c r="C4">
        <v>0</v>
      </c>
    </row>
    <row r="5" spans="1:3" x14ac:dyDescent="0.45">
      <c r="A5" t="s">
        <v>2191</v>
      </c>
      <c r="B5">
        <v>0</v>
      </c>
      <c r="C5">
        <v>0</v>
      </c>
    </row>
    <row r="6" spans="1:3" x14ac:dyDescent="0.45">
      <c r="A6" t="s">
        <v>2192</v>
      </c>
      <c r="B6">
        <v>0</v>
      </c>
      <c r="C6">
        <v>0</v>
      </c>
    </row>
    <row r="7" spans="1:3" x14ac:dyDescent="0.45">
      <c r="A7" t="s">
        <v>2193</v>
      </c>
      <c r="B7">
        <v>0</v>
      </c>
      <c r="C7">
        <v>0</v>
      </c>
    </row>
    <row r="8" spans="1:3" x14ac:dyDescent="0.45">
      <c r="A8" t="s">
        <v>2194</v>
      </c>
      <c r="B8">
        <v>0</v>
      </c>
      <c r="C8">
        <v>0</v>
      </c>
    </row>
    <row r="9" spans="1:3" x14ac:dyDescent="0.45">
      <c r="A9" t="s">
        <v>2195</v>
      </c>
      <c r="B9">
        <v>0</v>
      </c>
      <c r="C9">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2F10-2083-4119-8BCA-0963163CC873}">
  <dimension ref="A1:X91"/>
  <sheetViews>
    <sheetView workbookViewId="0">
      <selection activeCell="E35" sqref="E35"/>
    </sheetView>
  </sheetViews>
  <sheetFormatPr defaultRowHeight="14.25" x14ac:dyDescent="0.45"/>
  <cols>
    <col min="1" max="1" width="37.1328125" customWidth="1"/>
    <col min="2" max="2" width="15" bestFit="1" customWidth="1"/>
  </cols>
  <sheetData>
    <row r="1" spans="1:24" x14ac:dyDescent="0.45">
      <c r="A1" t="s">
        <v>2114</v>
      </c>
      <c r="B1" t="s">
        <v>2115</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c r="W1">
        <v>2022</v>
      </c>
      <c r="X1">
        <v>2023</v>
      </c>
    </row>
    <row r="2" spans="1:24" x14ac:dyDescent="0.45">
      <c r="A2" t="s">
        <v>8</v>
      </c>
      <c r="B2" t="s">
        <v>2116</v>
      </c>
      <c r="C2">
        <v>0</v>
      </c>
      <c r="D2">
        <v>0</v>
      </c>
      <c r="E2">
        <v>0</v>
      </c>
      <c r="F2">
        <v>0</v>
      </c>
      <c r="G2">
        <v>0</v>
      </c>
      <c r="H2">
        <v>0</v>
      </c>
      <c r="I2">
        <v>0</v>
      </c>
      <c r="J2">
        <v>0</v>
      </c>
      <c r="K2">
        <v>0</v>
      </c>
      <c r="L2">
        <v>0</v>
      </c>
      <c r="M2">
        <v>0</v>
      </c>
      <c r="N2">
        <v>0</v>
      </c>
      <c r="O2">
        <v>0</v>
      </c>
      <c r="P2">
        <v>0</v>
      </c>
      <c r="Q2">
        <v>0</v>
      </c>
      <c r="R2">
        <v>1</v>
      </c>
      <c r="S2">
        <v>0</v>
      </c>
      <c r="T2">
        <v>0</v>
      </c>
      <c r="U2">
        <v>0</v>
      </c>
      <c r="V2">
        <v>0</v>
      </c>
      <c r="W2">
        <v>0</v>
      </c>
      <c r="X2">
        <v>1</v>
      </c>
    </row>
    <row r="3" spans="1:24" x14ac:dyDescent="0.45">
      <c r="A3" t="s">
        <v>8</v>
      </c>
      <c r="B3" t="s">
        <v>2117</v>
      </c>
      <c r="C3">
        <v>14</v>
      </c>
      <c r="D3">
        <v>14</v>
      </c>
      <c r="E3">
        <v>14</v>
      </c>
      <c r="F3">
        <v>15</v>
      </c>
      <c r="G3">
        <v>11.43609</v>
      </c>
      <c r="H3">
        <v>10.84953</v>
      </c>
      <c r="I3">
        <v>11.403280000000001</v>
      </c>
      <c r="J3">
        <v>10.172739999999999</v>
      </c>
      <c r="K3">
        <v>11.45201</v>
      </c>
      <c r="L3">
        <v>11.656000000000001</v>
      </c>
      <c r="M3">
        <v>11.656000000000001</v>
      </c>
      <c r="N3">
        <v>11.6823</v>
      </c>
      <c r="O3">
        <v>13.38205</v>
      </c>
      <c r="P3">
        <v>11.850569999999999</v>
      </c>
      <c r="Q3">
        <v>12.343360000000001</v>
      </c>
      <c r="R3">
        <v>11.319889999999999</v>
      </c>
      <c r="S3">
        <v>11.24929</v>
      </c>
      <c r="T3">
        <v>8.0302417593106874</v>
      </c>
      <c r="U3">
        <v>7.8168485944133037</v>
      </c>
      <c r="V3">
        <v>9.4778625465056585</v>
      </c>
      <c r="W3">
        <v>11.373903323640318</v>
      </c>
      <c r="X3">
        <v>11.373903323640318</v>
      </c>
    </row>
    <row r="4" spans="1:24" x14ac:dyDescent="0.45">
      <c r="A4" t="s">
        <v>8</v>
      </c>
      <c r="B4" t="s">
        <v>2118</v>
      </c>
      <c r="C4">
        <f t="shared" ref="C4:X4" si="0">IFERROR(C2/C3, 0)</f>
        <v>0</v>
      </c>
      <c r="D4">
        <f t="shared" si="0"/>
        <v>0</v>
      </c>
      <c r="E4">
        <f t="shared" si="0"/>
        <v>0</v>
      </c>
      <c r="F4">
        <f t="shared" si="0"/>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8.8340081043190355E-2</v>
      </c>
      <c r="S4">
        <f t="shared" si="0"/>
        <v>0</v>
      </c>
      <c r="T4">
        <f t="shared" si="0"/>
        <v>0</v>
      </c>
      <c r="U4">
        <f t="shared" si="0"/>
        <v>0</v>
      </c>
      <c r="V4">
        <f t="shared" si="0"/>
        <v>0</v>
      </c>
      <c r="W4">
        <f t="shared" si="0"/>
        <v>0</v>
      </c>
      <c r="X4">
        <f t="shared" si="0"/>
        <v>8.7920564431168483E-2</v>
      </c>
    </row>
    <row r="5" spans="1:24" x14ac:dyDescent="0.45">
      <c r="A5" t="s">
        <v>10</v>
      </c>
      <c r="B5" t="s">
        <v>2116</v>
      </c>
      <c r="C5">
        <v>3</v>
      </c>
      <c r="D5">
        <v>0</v>
      </c>
      <c r="E5">
        <v>0</v>
      </c>
      <c r="F5">
        <v>2</v>
      </c>
      <c r="G5">
        <v>0</v>
      </c>
      <c r="H5">
        <v>2</v>
      </c>
      <c r="I5">
        <v>2</v>
      </c>
      <c r="J5">
        <v>1</v>
      </c>
      <c r="K5">
        <v>0</v>
      </c>
      <c r="L5">
        <v>0</v>
      </c>
      <c r="M5">
        <v>1</v>
      </c>
      <c r="N5">
        <v>0</v>
      </c>
      <c r="O5">
        <v>0</v>
      </c>
      <c r="P5">
        <v>1</v>
      </c>
      <c r="Q5">
        <v>0</v>
      </c>
      <c r="R5">
        <v>0</v>
      </c>
      <c r="S5">
        <v>3</v>
      </c>
      <c r="T5">
        <v>0</v>
      </c>
      <c r="U5">
        <v>0</v>
      </c>
      <c r="V5">
        <v>1</v>
      </c>
      <c r="W5">
        <v>1</v>
      </c>
      <c r="X5">
        <v>1</v>
      </c>
    </row>
    <row r="6" spans="1:24" x14ac:dyDescent="0.45">
      <c r="A6" t="s">
        <v>10</v>
      </c>
      <c r="B6" t="s">
        <v>2117</v>
      </c>
      <c r="C6">
        <v>52</v>
      </c>
      <c r="D6">
        <v>47</v>
      </c>
      <c r="E6">
        <v>43</v>
      </c>
      <c r="F6">
        <v>37</v>
      </c>
      <c r="G6">
        <v>55.607619999999997</v>
      </c>
      <c r="H6">
        <v>54.63402</v>
      </c>
      <c r="I6">
        <v>55.218359999999997</v>
      </c>
      <c r="J6">
        <v>49.626429999999999</v>
      </c>
      <c r="K6">
        <v>46.309240000000003</v>
      </c>
      <c r="L6">
        <v>49.949440000000003</v>
      </c>
      <c r="M6">
        <v>51.692770000000003</v>
      </c>
      <c r="N6">
        <v>47.236350000000002</v>
      </c>
      <c r="O6">
        <v>57.204250000000002</v>
      </c>
      <c r="P6">
        <v>53.911299999999997</v>
      </c>
      <c r="Q6">
        <v>55.266649999999998</v>
      </c>
      <c r="R6">
        <v>52.212800000000001</v>
      </c>
      <c r="S6">
        <v>45.14067</v>
      </c>
      <c r="T6">
        <v>51.82886334881826</v>
      </c>
      <c r="U6">
        <v>53.283011546347076</v>
      </c>
      <c r="V6">
        <v>55.804920226627431</v>
      </c>
      <c r="W6">
        <v>47.499875427997395</v>
      </c>
      <c r="X6">
        <v>47.499875427997395</v>
      </c>
    </row>
    <row r="7" spans="1:24" x14ac:dyDescent="0.45">
      <c r="A7" t="s">
        <v>10</v>
      </c>
      <c r="B7" t="s">
        <v>2118</v>
      </c>
      <c r="C7">
        <f t="shared" ref="C7:X7" si="1">IFERROR(C5/C6, 0)</f>
        <v>5.7692307692307696E-2</v>
      </c>
      <c r="D7">
        <f t="shared" si="1"/>
        <v>0</v>
      </c>
      <c r="E7">
        <f t="shared" si="1"/>
        <v>0</v>
      </c>
      <c r="F7">
        <f t="shared" si="1"/>
        <v>5.4054054054054057E-2</v>
      </c>
      <c r="G7">
        <f t="shared" si="1"/>
        <v>0</v>
      </c>
      <c r="H7">
        <f t="shared" si="1"/>
        <v>3.6607227511356477E-2</v>
      </c>
      <c r="I7">
        <f t="shared" si="1"/>
        <v>3.6219837025221323E-2</v>
      </c>
      <c r="J7">
        <f t="shared" si="1"/>
        <v>2.0150552840492456E-2</v>
      </c>
      <c r="K7">
        <f t="shared" si="1"/>
        <v>0</v>
      </c>
      <c r="L7">
        <f t="shared" si="1"/>
        <v>0</v>
      </c>
      <c r="M7">
        <f t="shared" si="1"/>
        <v>1.9345065083569712E-2</v>
      </c>
      <c r="N7">
        <f t="shared" si="1"/>
        <v>0</v>
      </c>
      <c r="O7">
        <f t="shared" si="1"/>
        <v>0</v>
      </c>
      <c r="P7">
        <f t="shared" si="1"/>
        <v>1.8548986947077885E-2</v>
      </c>
      <c r="Q7">
        <f t="shared" si="1"/>
        <v>0</v>
      </c>
      <c r="R7">
        <f t="shared" si="1"/>
        <v>0</v>
      </c>
      <c r="S7">
        <f t="shared" si="1"/>
        <v>6.6458916094953843E-2</v>
      </c>
      <c r="T7">
        <f t="shared" si="1"/>
        <v>0</v>
      </c>
      <c r="U7">
        <f t="shared" si="1"/>
        <v>0</v>
      </c>
      <c r="V7">
        <f t="shared" si="1"/>
        <v>1.791956687580476E-2</v>
      </c>
      <c r="W7">
        <f t="shared" si="1"/>
        <v>2.105268679106008E-2</v>
      </c>
      <c r="X7">
        <f t="shared" si="1"/>
        <v>2.105268679106008E-2</v>
      </c>
    </row>
    <row r="8" spans="1:24" x14ac:dyDescent="0.45">
      <c r="A8" t="s">
        <v>12</v>
      </c>
      <c r="B8" t="s">
        <v>2116</v>
      </c>
      <c r="C8">
        <v>17</v>
      </c>
      <c r="D8">
        <v>4</v>
      </c>
      <c r="E8">
        <v>6</v>
      </c>
      <c r="F8">
        <v>3</v>
      </c>
      <c r="G8">
        <v>5</v>
      </c>
      <c r="H8">
        <v>7</v>
      </c>
      <c r="I8">
        <v>1</v>
      </c>
      <c r="J8">
        <v>3</v>
      </c>
      <c r="K8">
        <v>0</v>
      </c>
      <c r="L8">
        <v>1</v>
      </c>
      <c r="M8">
        <v>0</v>
      </c>
      <c r="N8">
        <v>3</v>
      </c>
      <c r="O8">
        <v>1</v>
      </c>
      <c r="P8">
        <v>1</v>
      </c>
      <c r="Q8">
        <v>0</v>
      </c>
      <c r="R8">
        <v>4</v>
      </c>
      <c r="S8">
        <v>2</v>
      </c>
      <c r="T8">
        <v>7</v>
      </c>
      <c r="U8">
        <v>0</v>
      </c>
      <c r="V8">
        <v>2</v>
      </c>
      <c r="W8">
        <v>0</v>
      </c>
      <c r="X8">
        <v>5</v>
      </c>
    </row>
    <row r="9" spans="1:24" x14ac:dyDescent="0.45">
      <c r="A9" t="s">
        <v>12</v>
      </c>
      <c r="B9" t="s">
        <v>2117</v>
      </c>
      <c r="C9">
        <v>125</v>
      </c>
      <c r="D9">
        <v>123</v>
      </c>
      <c r="E9">
        <v>89</v>
      </c>
      <c r="F9">
        <v>83</v>
      </c>
      <c r="G9">
        <v>93.070999999999998</v>
      </c>
      <c r="H9">
        <v>87.466679999999997</v>
      </c>
      <c r="I9">
        <v>83.58126</v>
      </c>
      <c r="J9">
        <v>75.179280000000006</v>
      </c>
      <c r="K9">
        <v>72.726399999999998</v>
      </c>
      <c r="L9">
        <v>73.957030000000003</v>
      </c>
      <c r="M9">
        <v>73.368939999999995</v>
      </c>
      <c r="N9">
        <v>67.021810000000002</v>
      </c>
      <c r="O9">
        <v>69.242000000000004</v>
      </c>
      <c r="P9">
        <v>68.248149999999995</v>
      </c>
      <c r="Q9">
        <v>63.41516</v>
      </c>
      <c r="R9">
        <v>64.174620000000004</v>
      </c>
      <c r="S9">
        <v>67.314539999999994</v>
      </c>
      <c r="T9">
        <v>73.154442151654109</v>
      </c>
      <c r="U9">
        <v>54.395032346335405</v>
      </c>
      <c r="V9">
        <v>57.718378095720908</v>
      </c>
      <c r="W9">
        <v>52.6789058306044</v>
      </c>
      <c r="X9">
        <v>52.6789058306044</v>
      </c>
    </row>
    <row r="10" spans="1:24" x14ac:dyDescent="0.45">
      <c r="A10" t="s">
        <v>12</v>
      </c>
      <c r="B10" t="s">
        <v>2118</v>
      </c>
      <c r="C10">
        <f t="shared" ref="C10:X10" si="2">IFERROR(C8/C9, 0)</f>
        <v>0.13600000000000001</v>
      </c>
      <c r="D10">
        <f t="shared" si="2"/>
        <v>3.2520325203252036E-2</v>
      </c>
      <c r="E10">
        <f t="shared" si="2"/>
        <v>6.741573033707865E-2</v>
      </c>
      <c r="F10">
        <f t="shared" si="2"/>
        <v>3.614457831325301E-2</v>
      </c>
      <c r="G10">
        <f t="shared" si="2"/>
        <v>5.3722426964360546E-2</v>
      </c>
      <c r="H10">
        <f t="shared" si="2"/>
        <v>8.0030475605110424E-2</v>
      </c>
      <c r="I10">
        <f t="shared" si="2"/>
        <v>1.196440446099999E-2</v>
      </c>
      <c r="J10">
        <f t="shared" si="2"/>
        <v>3.9904612015438296E-2</v>
      </c>
      <c r="K10">
        <f t="shared" si="2"/>
        <v>0</v>
      </c>
      <c r="L10">
        <f t="shared" si="2"/>
        <v>1.3521365041294925E-2</v>
      </c>
      <c r="M10">
        <f t="shared" si="2"/>
        <v>0</v>
      </c>
      <c r="N10">
        <f t="shared" si="2"/>
        <v>4.4761548516818628E-2</v>
      </c>
      <c r="O10">
        <f t="shared" si="2"/>
        <v>1.4442101614626959E-2</v>
      </c>
      <c r="P10">
        <f t="shared" si="2"/>
        <v>1.4652411823617198E-2</v>
      </c>
      <c r="Q10">
        <f t="shared" si="2"/>
        <v>0</v>
      </c>
      <c r="R10">
        <f t="shared" si="2"/>
        <v>6.2329936663434858E-2</v>
      </c>
      <c r="S10">
        <f t="shared" si="2"/>
        <v>2.9711262975279935E-2</v>
      </c>
      <c r="T10">
        <f t="shared" si="2"/>
        <v>9.5687969098151637E-2</v>
      </c>
      <c r="U10">
        <f t="shared" si="2"/>
        <v>0</v>
      </c>
      <c r="V10">
        <f t="shared" si="2"/>
        <v>3.4651008326726955E-2</v>
      </c>
      <c r="W10">
        <f t="shared" si="2"/>
        <v>0</v>
      </c>
      <c r="X10">
        <f t="shared" si="2"/>
        <v>9.4914651721850957E-2</v>
      </c>
    </row>
    <row r="11" spans="1:24" x14ac:dyDescent="0.45">
      <c r="A11" t="s">
        <v>13</v>
      </c>
      <c r="B11" t="s">
        <v>2116</v>
      </c>
      <c r="C11">
        <v>17</v>
      </c>
      <c r="D11">
        <v>9</v>
      </c>
      <c r="E11">
        <v>8</v>
      </c>
      <c r="F11">
        <v>9</v>
      </c>
      <c r="G11">
        <v>7</v>
      </c>
      <c r="H11">
        <v>1</v>
      </c>
      <c r="I11">
        <v>3</v>
      </c>
      <c r="J11">
        <v>2</v>
      </c>
      <c r="K11">
        <v>2</v>
      </c>
      <c r="L11">
        <v>3</v>
      </c>
      <c r="M11">
        <v>1</v>
      </c>
      <c r="N11">
        <v>5</v>
      </c>
      <c r="O11">
        <v>1</v>
      </c>
      <c r="P11">
        <v>3</v>
      </c>
      <c r="Q11">
        <v>3</v>
      </c>
      <c r="R11">
        <v>3</v>
      </c>
      <c r="S11">
        <v>7</v>
      </c>
      <c r="T11">
        <v>6</v>
      </c>
      <c r="U11">
        <v>1</v>
      </c>
      <c r="V11">
        <v>2</v>
      </c>
      <c r="W11">
        <v>0</v>
      </c>
      <c r="X11">
        <v>2</v>
      </c>
    </row>
    <row r="12" spans="1:24" x14ac:dyDescent="0.45">
      <c r="A12" t="s">
        <v>13</v>
      </c>
      <c r="B12" t="s">
        <v>2117</v>
      </c>
      <c r="C12">
        <v>168</v>
      </c>
      <c r="D12">
        <v>153</v>
      </c>
      <c r="E12">
        <v>138</v>
      </c>
      <c r="F12">
        <v>120</v>
      </c>
      <c r="G12">
        <v>121.83450000000001</v>
      </c>
      <c r="H12">
        <v>123.79349999999999</v>
      </c>
      <c r="I12">
        <v>118.8754</v>
      </c>
      <c r="J12">
        <v>94.248800000000003</v>
      </c>
      <c r="K12">
        <v>85.39049</v>
      </c>
      <c r="L12">
        <v>98.252719999999997</v>
      </c>
      <c r="M12">
        <v>97.059929999999994</v>
      </c>
      <c r="N12">
        <v>86.428880000000007</v>
      </c>
      <c r="O12">
        <v>88.27467</v>
      </c>
      <c r="P12">
        <v>87.010980000000004</v>
      </c>
      <c r="Q12">
        <v>89.4328</v>
      </c>
      <c r="R12">
        <v>84.775810000000007</v>
      </c>
      <c r="S12">
        <v>81.694050000000004</v>
      </c>
      <c r="T12">
        <v>81.935880480676047</v>
      </c>
      <c r="U12">
        <v>85.106184455721802</v>
      </c>
      <c r="V12">
        <v>90.493380476400944</v>
      </c>
      <c r="W12">
        <v>70.188472317512989</v>
      </c>
      <c r="X12">
        <v>70.188472317512989</v>
      </c>
    </row>
    <row r="13" spans="1:24" x14ac:dyDescent="0.45">
      <c r="A13" t="s">
        <v>13</v>
      </c>
      <c r="B13" t="s">
        <v>2118</v>
      </c>
      <c r="C13">
        <f t="shared" ref="C13:X13" si="3">IFERROR(C11/C12, 0)</f>
        <v>0.10119047619047619</v>
      </c>
      <c r="D13">
        <f t="shared" si="3"/>
        <v>5.8823529411764705E-2</v>
      </c>
      <c r="E13">
        <f t="shared" si="3"/>
        <v>5.7971014492753624E-2</v>
      </c>
      <c r="F13">
        <f t="shared" si="3"/>
        <v>7.4999999999999997E-2</v>
      </c>
      <c r="G13">
        <f t="shared" si="3"/>
        <v>5.7454990171092749E-2</v>
      </c>
      <c r="H13">
        <f t="shared" si="3"/>
        <v>8.0779685524684248E-3</v>
      </c>
      <c r="I13">
        <f t="shared" si="3"/>
        <v>2.5236508142138743E-2</v>
      </c>
      <c r="J13">
        <f t="shared" si="3"/>
        <v>2.1220429331726239E-2</v>
      </c>
      <c r="K13">
        <f t="shared" si="3"/>
        <v>2.3421811960559074E-2</v>
      </c>
      <c r="L13">
        <f t="shared" si="3"/>
        <v>3.0533505840856113E-2</v>
      </c>
      <c r="M13">
        <f t="shared" si="3"/>
        <v>1.0302912849823816E-2</v>
      </c>
      <c r="N13">
        <f t="shared" si="3"/>
        <v>5.7851033126889988E-2</v>
      </c>
      <c r="O13">
        <f t="shared" si="3"/>
        <v>1.1328277976003762E-2</v>
      </c>
      <c r="P13">
        <f t="shared" si="3"/>
        <v>3.4478407207917894E-2</v>
      </c>
      <c r="Q13">
        <f t="shared" si="3"/>
        <v>3.3544739737545959E-2</v>
      </c>
      <c r="R13">
        <f t="shared" si="3"/>
        <v>3.5387453095405398E-2</v>
      </c>
      <c r="S13">
        <f t="shared" si="3"/>
        <v>8.5685554823148075E-2</v>
      </c>
      <c r="T13">
        <f t="shared" si="3"/>
        <v>7.3227991995705163E-2</v>
      </c>
      <c r="U13">
        <f t="shared" si="3"/>
        <v>1.1750027408645843E-2</v>
      </c>
      <c r="V13">
        <f t="shared" si="3"/>
        <v>2.2101064071991035E-2</v>
      </c>
      <c r="W13">
        <f t="shared" si="3"/>
        <v>0</v>
      </c>
      <c r="X13">
        <f t="shared" si="3"/>
        <v>2.8494707662998563E-2</v>
      </c>
    </row>
    <row r="14" spans="1:24" x14ac:dyDescent="0.45">
      <c r="A14" t="s">
        <v>14</v>
      </c>
      <c r="B14" t="s">
        <v>2116</v>
      </c>
      <c r="C14">
        <v>18</v>
      </c>
      <c r="D14">
        <v>12</v>
      </c>
      <c r="E14">
        <v>2</v>
      </c>
      <c r="F14">
        <v>13</v>
      </c>
      <c r="G14">
        <v>6</v>
      </c>
      <c r="H14">
        <v>6</v>
      </c>
      <c r="I14">
        <v>8</v>
      </c>
      <c r="J14">
        <v>4</v>
      </c>
      <c r="K14">
        <v>5</v>
      </c>
      <c r="L14">
        <v>8</v>
      </c>
      <c r="M14">
        <v>4</v>
      </c>
      <c r="N14">
        <v>4</v>
      </c>
      <c r="O14">
        <v>9</v>
      </c>
      <c r="P14">
        <v>4</v>
      </c>
      <c r="Q14">
        <v>9</v>
      </c>
      <c r="R14">
        <v>12</v>
      </c>
      <c r="S14">
        <v>17</v>
      </c>
      <c r="T14">
        <v>17</v>
      </c>
      <c r="U14">
        <v>8</v>
      </c>
      <c r="V14">
        <v>9</v>
      </c>
      <c r="W14">
        <v>14</v>
      </c>
      <c r="X14">
        <v>15</v>
      </c>
    </row>
    <row r="15" spans="1:24" x14ac:dyDescent="0.45">
      <c r="A15" t="s">
        <v>14</v>
      </c>
      <c r="B15" t="s">
        <v>2117</v>
      </c>
      <c r="C15">
        <v>366</v>
      </c>
      <c r="D15">
        <v>324</v>
      </c>
      <c r="E15">
        <v>274</v>
      </c>
      <c r="F15">
        <v>239</v>
      </c>
      <c r="G15">
        <v>244.8854</v>
      </c>
      <c r="H15">
        <v>243.0359</v>
      </c>
      <c r="I15">
        <v>248.678</v>
      </c>
      <c r="J15">
        <v>207.79990000000001</v>
      </c>
      <c r="K15">
        <v>191.6952</v>
      </c>
      <c r="L15">
        <v>219.74029999999999</v>
      </c>
      <c r="M15">
        <v>214.58840000000001</v>
      </c>
      <c r="N15">
        <v>202.2595</v>
      </c>
      <c r="O15">
        <v>219.81659999999999</v>
      </c>
      <c r="P15">
        <v>242.3021</v>
      </c>
      <c r="Q15">
        <v>258.64089999999999</v>
      </c>
      <c r="R15">
        <v>262.346</v>
      </c>
      <c r="S15">
        <v>280.53870000000001</v>
      </c>
      <c r="T15">
        <v>371.23837099088814</v>
      </c>
      <c r="U15">
        <v>390.83422282296777</v>
      </c>
      <c r="V15">
        <v>443.79478772302718</v>
      </c>
      <c r="W15">
        <v>444.3525110237934</v>
      </c>
      <c r="X15">
        <v>444.3525110237934</v>
      </c>
    </row>
    <row r="16" spans="1:24" x14ac:dyDescent="0.45">
      <c r="A16" t="s">
        <v>14</v>
      </c>
      <c r="B16" t="s">
        <v>2118</v>
      </c>
      <c r="C16">
        <f t="shared" ref="C16:X16" si="4">IFERROR(C14/C15, 0)</f>
        <v>4.9180327868852458E-2</v>
      </c>
      <c r="D16">
        <f t="shared" si="4"/>
        <v>3.7037037037037035E-2</v>
      </c>
      <c r="E16">
        <f t="shared" si="4"/>
        <v>7.2992700729927005E-3</v>
      </c>
      <c r="F16">
        <f t="shared" si="4"/>
        <v>5.4393305439330547E-2</v>
      </c>
      <c r="G16">
        <f t="shared" si="4"/>
        <v>2.4501256506104487E-2</v>
      </c>
      <c r="H16">
        <f t="shared" si="4"/>
        <v>2.4687710745614124E-2</v>
      </c>
      <c r="I16">
        <f t="shared" si="4"/>
        <v>3.217011557114019E-2</v>
      </c>
      <c r="J16">
        <f t="shared" si="4"/>
        <v>1.9249287415441491E-2</v>
      </c>
      <c r="K16">
        <f t="shared" si="4"/>
        <v>2.6083073545920817E-2</v>
      </c>
      <c r="L16">
        <f t="shared" si="4"/>
        <v>3.6406612715100511E-2</v>
      </c>
      <c r="M16">
        <f t="shared" si="4"/>
        <v>1.8640336569917107E-2</v>
      </c>
      <c r="N16">
        <f t="shared" si="4"/>
        <v>1.9776574153500825E-2</v>
      </c>
      <c r="O16">
        <f t="shared" si="4"/>
        <v>4.0943222668351709E-2</v>
      </c>
      <c r="P16">
        <f t="shared" si="4"/>
        <v>1.6508317509423154E-2</v>
      </c>
      <c r="Q16">
        <f t="shared" si="4"/>
        <v>3.4797280708503568E-2</v>
      </c>
      <c r="R16">
        <f t="shared" si="4"/>
        <v>4.5741120504981969E-2</v>
      </c>
      <c r="S16">
        <f t="shared" si="4"/>
        <v>6.0597700067762487E-2</v>
      </c>
      <c r="T16">
        <f t="shared" si="4"/>
        <v>4.5792680197967083E-2</v>
      </c>
      <c r="U16">
        <f t="shared" si="4"/>
        <v>2.0469036570586293E-2</v>
      </c>
      <c r="V16">
        <f t="shared" si="4"/>
        <v>2.0279643314821693E-2</v>
      </c>
      <c r="W16">
        <f t="shared" si="4"/>
        <v>3.1506517129258109E-2</v>
      </c>
      <c r="X16">
        <f t="shared" si="4"/>
        <v>3.3756982638490834E-2</v>
      </c>
    </row>
    <row r="17" spans="1:24" x14ac:dyDescent="0.45">
      <c r="A17" t="s">
        <v>15</v>
      </c>
      <c r="B17" t="s">
        <v>2116</v>
      </c>
      <c r="C17">
        <v>0</v>
      </c>
      <c r="D17">
        <v>0</v>
      </c>
      <c r="E17">
        <v>4</v>
      </c>
      <c r="F17">
        <v>0</v>
      </c>
      <c r="G17">
        <v>2</v>
      </c>
      <c r="H17">
        <v>4</v>
      </c>
      <c r="I17">
        <v>2</v>
      </c>
      <c r="J17">
        <v>0</v>
      </c>
      <c r="K17">
        <v>1</v>
      </c>
      <c r="L17">
        <v>0</v>
      </c>
      <c r="M17">
        <v>1</v>
      </c>
      <c r="N17">
        <v>1</v>
      </c>
      <c r="O17">
        <v>1</v>
      </c>
      <c r="P17">
        <v>1</v>
      </c>
      <c r="Q17">
        <v>0</v>
      </c>
      <c r="R17">
        <v>2</v>
      </c>
      <c r="S17">
        <v>2</v>
      </c>
      <c r="T17">
        <v>4</v>
      </c>
      <c r="U17">
        <v>0</v>
      </c>
      <c r="V17">
        <v>0</v>
      </c>
      <c r="W17">
        <v>0</v>
      </c>
      <c r="X17">
        <v>0</v>
      </c>
    </row>
    <row r="18" spans="1:24" x14ac:dyDescent="0.45">
      <c r="A18" t="s">
        <v>15</v>
      </c>
      <c r="B18" t="s">
        <v>2117</v>
      </c>
      <c r="C18">
        <v>61</v>
      </c>
      <c r="D18">
        <v>55</v>
      </c>
      <c r="E18">
        <v>47</v>
      </c>
      <c r="F18">
        <v>42</v>
      </c>
      <c r="G18">
        <v>52.509749999999997</v>
      </c>
      <c r="H18">
        <v>53.936410000000002</v>
      </c>
      <c r="I18">
        <v>56.292879999999997</v>
      </c>
      <c r="J18">
        <v>50.054020000000001</v>
      </c>
      <c r="K18">
        <v>48.24436</v>
      </c>
      <c r="L18">
        <v>49.791440000000001</v>
      </c>
      <c r="M18">
        <v>49.919890000000002</v>
      </c>
      <c r="N18">
        <v>50.942349999999998</v>
      </c>
      <c r="O18">
        <v>56.648879999999998</v>
      </c>
      <c r="P18">
        <v>59.091999999999999</v>
      </c>
      <c r="Q18">
        <v>57.544719999999998</v>
      </c>
      <c r="R18">
        <v>57.79419</v>
      </c>
      <c r="S18">
        <v>63.386380000000003</v>
      </c>
      <c r="T18">
        <v>65.402319146003592</v>
      </c>
      <c r="U18">
        <v>66.985735575482764</v>
      </c>
      <c r="V18">
        <v>78.436410450642228</v>
      </c>
      <c r="W18">
        <v>87.769878793286239</v>
      </c>
      <c r="X18">
        <v>87.769878793286239</v>
      </c>
    </row>
    <row r="19" spans="1:24" x14ac:dyDescent="0.45">
      <c r="A19" t="s">
        <v>15</v>
      </c>
      <c r="B19" t="s">
        <v>2118</v>
      </c>
      <c r="C19">
        <f t="shared" ref="C19:X19" si="5">IFERROR(C17/C18, 0)</f>
        <v>0</v>
      </c>
      <c r="D19">
        <f t="shared" si="5"/>
        <v>0</v>
      </c>
      <c r="E19">
        <f t="shared" si="5"/>
        <v>8.5106382978723402E-2</v>
      </c>
      <c r="F19">
        <f t="shared" si="5"/>
        <v>0</v>
      </c>
      <c r="G19">
        <f t="shared" si="5"/>
        <v>3.8088164578959145E-2</v>
      </c>
      <c r="H19">
        <f t="shared" si="5"/>
        <v>7.4161405996431715E-2</v>
      </c>
      <c r="I19">
        <f t="shared" si="5"/>
        <v>3.5528471806736482E-2</v>
      </c>
      <c r="J19">
        <f t="shared" si="5"/>
        <v>0</v>
      </c>
      <c r="K19">
        <f t="shared" si="5"/>
        <v>2.0727811499623997E-2</v>
      </c>
      <c r="L19">
        <f t="shared" si="5"/>
        <v>0</v>
      </c>
      <c r="M19">
        <f t="shared" si="5"/>
        <v>2.003209542328719E-2</v>
      </c>
      <c r="N19">
        <f t="shared" si="5"/>
        <v>1.9630032772339715E-2</v>
      </c>
      <c r="O19">
        <f t="shared" si="5"/>
        <v>1.7652599663047178E-2</v>
      </c>
      <c r="P19">
        <f t="shared" si="5"/>
        <v>1.692276450280918E-2</v>
      </c>
      <c r="Q19">
        <f t="shared" si="5"/>
        <v>0</v>
      </c>
      <c r="R19">
        <f t="shared" si="5"/>
        <v>3.4605554641392151E-2</v>
      </c>
      <c r="S19">
        <f t="shared" si="5"/>
        <v>3.1552519642232289E-2</v>
      </c>
      <c r="T19">
        <f t="shared" si="5"/>
        <v>6.1159910722285452E-2</v>
      </c>
      <c r="U19">
        <f t="shared" si="5"/>
        <v>0</v>
      </c>
      <c r="V19">
        <f t="shared" si="5"/>
        <v>0</v>
      </c>
      <c r="W19">
        <f t="shared" si="5"/>
        <v>0</v>
      </c>
      <c r="X19">
        <f t="shared" si="5"/>
        <v>0</v>
      </c>
    </row>
    <row r="20" spans="1:24" x14ac:dyDescent="0.45">
      <c r="A20" t="s">
        <v>16</v>
      </c>
      <c r="B20" t="s">
        <v>2116</v>
      </c>
      <c r="C20">
        <v>4</v>
      </c>
      <c r="D20">
        <v>2</v>
      </c>
      <c r="E20">
        <v>0</v>
      </c>
      <c r="F20">
        <v>0</v>
      </c>
      <c r="G20">
        <v>1</v>
      </c>
      <c r="H20">
        <v>0</v>
      </c>
      <c r="I20">
        <v>3</v>
      </c>
      <c r="J20">
        <v>2</v>
      </c>
      <c r="K20">
        <v>0</v>
      </c>
      <c r="L20">
        <v>0</v>
      </c>
      <c r="M20">
        <v>1</v>
      </c>
      <c r="N20">
        <v>0</v>
      </c>
      <c r="O20">
        <v>2</v>
      </c>
      <c r="P20">
        <v>1</v>
      </c>
      <c r="Q20">
        <v>0</v>
      </c>
      <c r="R20">
        <v>1</v>
      </c>
      <c r="S20">
        <v>1</v>
      </c>
      <c r="T20">
        <v>1</v>
      </c>
      <c r="U20">
        <v>3</v>
      </c>
      <c r="V20">
        <v>0</v>
      </c>
      <c r="W20">
        <v>0</v>
      </c>
      <c r="X20">
        <v>1</v>
      </c>
    </row>
    <row r="21" spans="1:24" x14ac:dyDescent="0.45">
      <c r="A21" t="s">
        <v>16</v>
      </c>
      <c r="B21" t="s">
        <v>2117</v>
      </c>
      <c r="C21">
        <v>34</v>
      </c>
      <c r="D21">
        <v>33</v>
      </c>
      <c r="E21">
        <v>32</v>
      </c>
      <c r="F21">
        <v>29</v>
      </c>
      <c r="G21">
        <v>32.090139999999998</v>
      </c>
      <c r="H21">
        <v>30.839659999999999</v>
      </c>
      <c r="I21">
        <v>28.87058</v>
      </c>
      <c r="J21">
        <v>25.974119999999999</v>
      </c>
      <c r="K21">
        <v>23.772819999999999</v>
      </c>
      <c r="L21">
        <v>27.343430000000001</v>
      </c>
      <c r="M21">
        <v>23.418050000000001</v>
      </c>
      <c r="N21">
        <v>24.836349999999999</v>
      </c>
      <c r="O21">
        <v>27.685580000000002</v>
      </c>
      <c r="P21">
        <v>28.621210000000001</v>
      </c>
      <c r="Q21">
        <v>27.965769999999999</v>
      </c>
      <c r="R21">
        <v>28.53107</v>
      </c>
      <c r="S21">
        <v>32.429580000000001</v>
      </c>
      <c r="T21">
        <v>35.566241673946259</v>
      </c>
      <c r="U21">
        <v>41.070827393424352</v>
      </c>
      <c r="V21">
        <v>44.87146620731307</v>
      </c>
      <c r="W21">
        <v>49.831084015078396</v>
      </c>
      <c r="X21">
        <v>49.831084015078396</v>
      </c>
    </row>
    <row r="22" spans="1:24" x14ac:dyDescent="0.45">
      <c r="A22" t="s">
        <v>16</v>
      </c>
      <c r="B22" t="s">
        <v>2118</v>
      </c>
      <c r="C22">
        <f t="shared" ref="C22:X22" si="6">IFERROR(C20/C21, 0)</f>
        <v>0.11764705882352941</v>
      </c>
      <c r="D22">
        <f t="shared" si="6"/>
        <v>6.0606060606060608E-2</v>
      </c>
      <c r="E22">
        <f t="shared" si="6"/>
        <v>0</v>
      </c>
      <c r="F22">
        <f t="shared" si="6"/>
        <v>0</v>
      </c>
      <c r="G22">
        <f t="shared" si="6"/>
        <v>3.1162219921757901E-2</v>
      </c>
      <c r="H22">
        <f t="shared" si="6"/>
        <v>0</v>
      </c>
      <c r="I22">
        <f t="shared" si="6"/>
        <v>0.10391201008085046</v>
      </c>
      <c r="J22">
        <f t="shared" si="6"/>
        <v>7.6999721261009041E-2</v>
      </c>
      <c r="K22">
        <f t="shared" si="6"/>
        <v>0</v>
      </c>
      <c r="L22">
        <f t="shared" si="6"/>
        <v>0</v>
      </c>
      <c r="M22">
        <f t="shared" si="6"/>
        <v>4.2702103719139725E-2</v>
      </c>
      <c r="N22">
        <f t="shared" si="6"/>
        <v>0</v>
      </c>
      <c r="O22">
        <f t="shared" si="6"/>
        <v>7.2239772473612615E-2</v>
      </c>
      <c r="P22">
        <f t="shared" si="6"/>
        <v>3.4939123817616373E-2</v>
      </c>
      <c r="Q22">
        <f t="shared" si="6"/>
        <v>0</v>
      </c>
      <c r="R22">
        <f t="shared" si="6"/>
        <v>3.5049509184198142E-2</v>
      </c>
      <c r="S22">
        <f t="shared" si="6"/>
        <v>3.0836045363523055E-2</v>
      </c>
      <c r="T22">
        <f t="shared" si="6"/>
        <v>2.8116549653109436E-2</v>
      </c>
      <c r="U22">
        <f t="shared" si="6"/>
        <v>7.304454744148435E-2</v>
      </c>
      <c r="V22">
        <f t="shared" si="6"/>
        <v>0</v>
      </c>
      <c r="W22">
        <f t="shared" si="6"/>
        <v>0</v>
      </c>
      <c r="X22">
        <f t="shared" si="6"/>
        <v>2.0067795428600547E-2</v>
      </c>
    </row>
    <row r="23" spans="1:24" x14ac:dyDescent="0.45">
      <c r="A23" t="s">
        <v>17</v>
      </c>
      <c r="B23" t="s">
        <v>2116</v>
      </c>
      <c r="C23">
        <v>9</v>
      </c>
      <c r="D23">
        <v>1</v>
      </c>
      <c r="E23">
        <v>8</v>
      </c>
      <c r="F23">
        <v>1</v>
      </c>
      <c r="G23">
        <v>1</v>
      </c>
      <c r="H23">
        <v>22</v>
      </c>
      <c r="I23">
        <v>27</v>
      </c>
      <c r="J23">
        <v>2</v>
      </c>
      <c r="K23">
        <v>16</v>
      </c>
      <c r="L23">
        <v>14</v>
      </c>
      <c r="M23">
        <v>5</v>
      </c>
      <c r="N23">
        <v>6</v>
      </c>
      <c r="O23">
        <v>9</v>
      </c>
      <c r="P23">
        <v>7</v>
      </c>
      <c r="Q23">
        <v>1</v>
      </c>
      <c r="R23">
        <v>1</v>
      </c>
      <c r="S23">
        <v>7</v>
      </c>
      <c r="T23">
        <v>1</v>
      </c>
      <c r="U23">
        <v>9</v>
      </c>
      <c r="V23">
        <v>3</v>
      </c>
      <c r="W23">
        <v>3</v>
      </c>
      <c r="X23">
        <v>14</v>
      </c>
    </row>
    <row r="24" spans="1:24" x14ac:dyDescent="0.45">
      <c r="A24" t="s">
        <v>17</v>
      </c>
      <c r="B24" t="s">
        <v>2117</v>
      </c>
      <c r="C24">
        <v>677</v>
      </c>
      <c r="D24">
        <v>628</v>
      </c>
      <c r="E24">
        <v>611</v>
      </c>
      <c r="F24">
        <v>601</v>
      </c>
      <c r="G24">
        <v>578.21479999999997</v>
      </c>
      <c r="H24">
        <v>580.64710000000002</v>
      </c>
      <c r="I24">
        <v>557.98720000000003</v>
      </c>
      <c r="J24">
        <v>506.75810000000001</v>
      </c>
      <c r="K24">
        <v>438.41590000000002</v>
      </c>
      <c r="L24">
        <v>474.05059999999997</v>
      </c>
      <c r="M24">
        <v>471.72199999999998</v>
      </c>
      <c r="N24">
        <v>473.53879999999998</v>
      </c>
      <c r="O24">
        <v>524.74480000000005</v>
      </c>
      <c r="P24">
        <v>537.47900000000004</v>
      </c>
      <c r="Q24">
        <v>553.55070000000001</v>
      </c>
      <c r="R24">
        <v>567.59849999999994</v>
      </c>
      <c r="S24">
        <v>586.09739999999999</v>
      </c>
      <c r="T24">
        <v>642.71651474885539</v>
      </c>
      <c r="U24">
        <v>666.83079123914683</v>
      </c>
      <c r="V24">
        <v>726.78571156574196</v>
      </c>
      <c r="W24">
        <v>1486.6511654254396</v>
      </c>
      <c r="X24">
        <v>1486.6511654254396</v>
      </c>
    </row>
    <row r="25" spans="1:24" x14ac:dyDescent="0.45">
      <c r="A25" t="s">
        <v>17</v>
      </c>
      <c r="B25" t="s">
        <v>2118</v>
      </c>
      <c r="C25">
        <f t="shared" ref="C25:X25" si="7">IFERROR(C23/C24, 0)</f>
        <v>1.3293943870014771E-2</v>
      </c>
      <c r="D25">
        <f t="shared" si="7"/>
        <v>1.5923566878980893E-3</v>
      </c>
      <c r="E25">
        <f t="shared" si="7"/>
        <v>1.3093289689034371E-2</v>
      </c>
      <c r="F25">
        <f t="shared" si="7"/>
        <v>1.6638935108153079E-3</v>
      </c>
      <c r="G25">
        <f t="shared" si="7"/>
        <v>1.7294610930055751E-3</v>
      </c>
      <c r="H25">
        <f t="shared" si="7"/>
        <v>3.7888762382521153E-2</v>
      </c>
      <c r="I25">
        <f t="shared" si="7"/>
        <v>4.838820675456354E-2</v>
      </c>
      <c r="J25">
        <f t="shared" si="7"/>
        <v>3.9466562053966179E-3</v>
      </c>
      <c r="K25">
        <f t="shared" si="7"/>
        <v>3.6495026754276017E-2</v>
      </c>
      <c r="L25">
        <f t="shared" si="7"/>
        <v>2.9532712330709001E-2</v>
      </c>
      <c r="M25">
        <f t="shared" si="7"/>
        <v>1.0599463243181366E-2</v>
      </c>
      <c r="N25">
        <f t="shared" si="7"/>
        <v>1.2670556245866231E-2</v>
      </c>
      <c r="O25">
        <f t="shared" si="7"/>
        <v>1.7151194256712975E-2</v>
      </c>
      <c r="P25">
        <f t="shared" si="7"/>
        <v>1.3023764649409558E-2</v>
      </c>
      <c r="Q25">
        <f t="shared" si="7"/>
        <v>1.8065192583082272E-3</v>
      </c>
      <c r="R25">
        <f t="shared" si="7"/>
        <v>1.7618087433282506E-3</v>
      </c>
      <c r="S25">
        <f t="shared" si="7"/>
        <v>1.1943407358572142E-2</v>
      </c>
      <c r="T25">
        <f t="shared" si="7"/>
        <v>1.5558959153099635E-3</v>
      </c>
      <c r="U25">
        <f t="shared" si="7"/>
        <v>1.349667729541348E-2</v>
      </c>
      <c r="V25">
        <f t="shared" si="7"/>
        <v>4.127764143212153E-3</v>
      </c>
      <c r="W25">
        <f t="shared" si="7"/>
        <v>2.0179582606666712E-3</v>
      </c>
      <c r="X25">
        <f t="shared" si="7"/>
        <v>9.4171385497777999E-3</v>
      </c>
    </row>
    <row r="26" spans="1:24" x14ac:dyDescent="0.45">
      <c r="A26" t="s">
        <v>19</v>
      </c>
      <c r="B26" t="s">
        <v>2116</v>
      </c>
      <c r="C26">
        <v>6</v>
      </c>
      <c r="D26">
        <v>7</v>
      </c>
      <c r="E26">
        <v>6</v>
      </c>
      <c r="F26">
        <v>2</v>
      </c>
      <c r="G26">
        <v>2</v>
      </c>
      <c r="H26">
        <v>3</v>
      </c>
      <c r="I26">
        <v>2</v>
      </c>
      <c r="J26">
        <v>3</v>
      </c>
      <c r="K26">
        <v>6</v>
      </c>
      <c r="L26">
        <v>2</v>
      </c>
      <c r="M26">
        <v>4</v>
      </c>
      <c r="N26">
        <v>1</v>
      </c>
      <c r="O26">
        <v>1</v>
      </c>
      <c r="P26">
        <v>1</v>
      </c>
      <c r="Q26">
        <v>3</v>
      </c>
      <c r="R26">
        <v>8</v>
      </c>
      <c r="S26">
        <v>6</v>
      </c>
      <c r="T26">
        <v>4</v>
      </c>
      <c r="U26">
        <v>2</v>
      </c>
      <c r="V26">
        <v>2</v>
      </c>
      <c r="W26">
        <v>5</v>
      </c>
      <c r="X26">
        <v>0</v>
      </c>
    </row>
    <row r="27" spans="1:24" x14ac:dyDescent="0.45">
      <c r="A27" t="s">
        <v>19</v>
      </c>
      <c r="B27" t="s">
        <v>2117</v>
      </c>
      <c r="C27">
        <v>76</v>
      </c>
      <c r="D27">
        <v>67</v>
      </c>
      <c r="E27">
        <v>58</v>
      </c>
      <c r="F27">
        <v>52</v>
      </c>
      <c r="G27">
        <v>76.906419999999997</v>
      </c>
      <c r="H27">
        <v>76.491219999999998</v>
      </c>
      <c r="I27">
        <v>76.39922</v>
      </c>
      <c r="J27">
        <v>69.267830000000004</v>
      </c>
      <c r="K27">
        <v>63.170409999999997</v>
      </c>
      <c r="L27">
        <v>70.887749999999997</v>
      </c>
      <c r="M27">
        <v>68.042249999999996</v>
      </c>
      <c r="N27">
        <v>61.790439999999997</v>
      </c>
      <c r="O27">
        <v>58.07817</v>
      </c>
      <c r="P27">
        <v>58.509120000000003</v>
      </c>
      <c r="Q27">
        <v>59.066130000000001</v>
      </c>
      <c r="R27">
        <v>59.111109999999996</v>
      </c>
      <c r="S27">
        <v>57.449750000000002</v>
      </c>
      <c r="T27">
        <v>64.353331051779861</v>
      </c>
      <c r="U27">
        <v>74.840121552110929</v>
      </c>
      <c r="V27">
        <v>77.512347062426116</v>
      </c>
      <c r="W27">
        <v>77.042838487899047</v>
      </c>
      <c r="X27">
        <v>77.042838487899047</v>
      </c>
    </row>
    <row r="28" spans="1:24" x14ac:dyDescent="0.45">
      <c r="A28" t="s">
        <v>19</v>
      </c>
      <c r="B28" t="s">
        <v>2118</v>
      </c>
      <c r="C28">
        <f t="shared" ref="C28:X28" si="8">IFERROR(C26/C27, 0)</f>
        <v>7.8947368421052627E-2</v>
      </c>
      <c r="D28">
        <f t="shared" si="8"/>
        <v>0.1044776119402985</v>
      </c>
      <c r="E28">
        <f t="shared" si="8"/>
        <v>0.10344827586206896</v>
      </c>
      <c r="F28">
        <f t="shared" si="8"/>
        <v>3.8461538461538464E-2</v>
      </c>
      <c r="G28">
        <f t="shared" si="8"/>
        <v>2.6005631259392911E-2</v>
      </c>
      <c r="H28">
        <f t="shared" si="8"/>
        <v>3.9220187624148237E-2</v>
      </c>
      <c r="I28">
        <f t="shared" si="8"/>
        <v>2.6178277736343382E-2</v>
      </c>
      <c r="J28">
        <f t="shared" si="8"/>
        <v>4.3310148448421147E-2</v>
      </c>
      <c r="K28">
        <f t="shared" si="8"/>
        <v>9.4981178687933168E-2</v>
      </c>
      <c r="L28">
        <f t="shared" si="8"/>
        <v>2.8213619419434247E-2</v>
      </c>
      <c r="M28">
        <f t="shared" si="8"/>
        <v>5.8787003663165173E-2</v>
      </c>
      <c r="N28">
        <f t="shared" si="8"/>
        <v>1.6183733276539221E-2</v>
      </c>
      <c r="O28">
        <f t="shared" si="8"/>
        <v>1.7218173368754558E-2</v>
      </c>
      <c r="P28">
        <f t="shared" si="8"/>
        <v>1.7091352595971363E-2</v>
      </c>
      <c r="Q28">
        <f t="shared" si="8"/>
        <v>5.07905291916027E-2</v>
      </c>
      <c r="R28">
        <f t="shared" si="8"/>
        <v>0.13533834840861558</v>
      </c>
      <c r="S28">
        <f t="shared" si="8"/>
        <v>0.10443909677587805</v>
      </c>
      <c r="T28">
        <f t="shared" si="8"/>
        <v>6.2156844636084604E-2</v>
      </c>
      <c r="U28">
        <f t="shared" si="8"/>
        <v>2.672363377453104E-2</v>
      </c>
      <c r="V28">
        <f t="shared" si="8"/>
        <v>2.5802340863053212E-2</v>
      </c>
      <c r="W28">
        <f t="shared" si="8"/>
        <v>6.4898958788821612E-2</v>
      </c>
      <c r="X28">
        <f t="shared" si="8"/>
        <v>0</v>
      </c>
    </row>
    <row r="29" spans="1:24" x14ac:dyDescent="0.45">
      <c r="A29" t="s">
        <v>20</v>
      </c>
      <c r="B29" t="s">
        <v>2116</v>
      </c>
      <c r="C29">
        <v>5</v>
      </c>
      <c r="D29">
        <v>6</v>
      </c>
      <c r="E29">
        <v>1</v>
      </c>
      <c r="F29">
        <v>6</v>
      </c>
      <c r="G29">
        <v>3</v>
      </c>
      <c r="H29">
        <v>6</v>
      </c>
      <c r="I29">
        <v>6</v>
      </c>
      <c r="J29">
        <v>4</v>
      </c>
      <c r="K29">
        <v>2</v>
      </c>
      <c r="L29">
        <v>3</v>
      </c>
      <c r="M29">
        <v>1</v>
      </c>
      <c r="N29">
        <v>3</v>
      </c>
      <c r="O29">
        <v>3</v>
      </c>
      <c r="P29">
        <v>1</v>
      </c>
      <c r="Q29">
        <v>2</v>
      </c>
      <c r="R29">
        <v>2</v>
      </c>
      <c r="S29">
        <v>3</v>
      </c>
      <c r="T29">
        <v>6</v>
      </c>
      <c r="U29">
        <v>4</v>
      </c>
      <c r="V29">
        <v>1</v>
      </c>
      <c r="W29">
        <v>1</v>
      </c>
      <c r="X29">
        <v>1</v>
      </c>
    </row>
    <row r="30" spans="1:24" x14ac:dyDescent="0.45">
      <c r="A30" t="s">
        <v>20</v>
      </c>
      <c r="B30" t="s">
        <v>2117</v>
      </c>
      <c r="C30">
        <v>106</v>
      </c>
      <c r="D30">
        <v>100</v>
      </c>
      <c r="E30">
        <v>105</v>
      </c>
      <c r="F30">
        <v>104</v>
      </c>
      <c r="G30">
        <v>171.40889999999999</v>
      </c>
      <c r="H30">
        <v>181.1421</v>
      </c>
      <c r="I30">
        <v>188.9359</v>
      </c>
      <c r="J30">
        <v>174.8502</v>
      </c>
      <c r="K30">
        <v>157.3665</v>
      </c>
      <c r="L30">
        <v>164.42609999999999</v>
      </c>
      <c r="M30">
        <v>160.6532</v>
      </c>
      <c r="N30">
        <v>158.1617</v>
      </c>
      <c r="O30">
        <v>163.59829999999999</v>
      </c>
      <c r="P30">
        <v>163.83539999999999</v>
      </c>
      <c r="Q30">
        <v>165.4006</v>
      </c>
      <c r="R30">
        <v>165.59370000000001</v>
      </c>
      <c r="S30">
        <v>163.79169999999999</v>
      </c>
      <c r="T30">
        <v>189.74803907846234</v>
      </c>
      <c r="U30">
        <v>180.53102013785204</v>
      </c>
      <c r="V30">
        <v>188.26694232662945</v>
      </c>
      <c r="W30">
        <v>190.46578599864381</v>
      </c>
      <c r="X30">
        <v>190.46578599864381</v>
      </c>
    </row>
    <row r="31" spans="1:24" x14ac:dyDescent="0.45">
      <c r="A31" t="s">
        <v>20</v>
      </c>
      <c r="B31" t="s">
        <v>2118</v>
      </c>
      <c r="C31">
        <f t="shared" ref="C31:X31" si="9">IFERROR(C29/C30, 0)</f>
        <v>4.716981132075472E-2</v>
      </c>
      <c r="D31">
        <f t="shared" si="9"/>
        <v>0.06</v>
      </c>
      <c r="E31">
        <f t="shared" si="9"/>
        <v>9.5238095238095247E-3</v>
      </c>
      <c r="F31">
        <f t="shared" si="9"/>
        <v>5.7692307692307696E-2</v>
      </c>
      <c r="G31">
        <f t="shared" si="9"/>
        <v>1.750200835545879E-2</v>
      </c>
      <c r="H31">
        <f t="shared" si="9"/>
        <v>3.3123166839735214E-2</v>
      </c>
      <c r="I31">
        <f t="shared" si="9"/>
        <v>3.1756802174705813E-2</v>
      </c>
      <c r="J31">
        <f t="shared" si="9"/>
        <v>2.2876725334028784E-2</v>
      </c>
      <c r="K31">
        <f t="shared" si="9"/>
        <v>1.2709185245906848E-2</v>
      </c>
      <c r="L31">
        <f t="shared" si="9"/>
        <v>1.824527857803597E-2</v>
      </c>
      <c r="M31">
        <f t="shared" si="9"/>
        <v>6.2245881190041655E-3</v>
      </c>
      <c r="N31">
        <f t="shared" si="9"/>
        <v>1.8967929656800605E-2</v>
      </c>
      <c r="O31">
        <f t="shared" si="9"/>
        <v>1.8337598862579869E-2</v>
      </c>
      <c r="P31">
        <f t="shared" si="9"/>
        <v>6.1036869931650915E-3</v>
      </c>
      <c r="Q31">
        <f t="shared" si="9"/>
        <v>1.2091854564010046E-2</v>
      </c>
      <c r="R31">
        <f t="shared" si="9"/>
        <v>1.2077754165768383E-2</v>
      </c>
      <c r="S31">
        <f t="shared" si="9"/>
        <v>1.8315946412425052E-2</v>
      </c>
      <c r="T31">
        <f t="shared" si="9"/>
        <v>3.1620880137364429E-2</v>
      </c>
      <c r="U31">
        <f t="shared" si="9"/>
        <v>2.2156857015185712E-2</v>
      </c>
      <c r="V31">
        <f t="shared" si="9"/>
        <v>5.3116069536258406E-3</v>
      </c>
      <c r="W31">
        <f t="shared" si="9"/>
        <v>5.2502867890778055E-3</v>
      </c>
      <c r="X31">
        <f t="shared" si="9"/>
        <v>5.2502867890778055E-3</v>
      </c>
    </row>
    <row r="32" spans="1:24" x14ac:dyDescent="0.45">
      <c r="A32" t="s">
        <v>21</v>
      </c>
      <c r="B32" t="s">
        <v>2116</v>
      </c>
      <c r="C32">
        <v>1</v>
      </c>
      <c r="D32">
        <v>1</v>
      </c>
      <c r="E32">
        <v>0</v>
      </c>
      <c r="F32">
        <v>2</v>
      </c>
      <c r="G32">
        <v>2</v>
      </c>
      <c r="H32">
        <v>2</v>
      </c>
      <c r="I32">
        <v>2</v>
      </c>
      <c r="J32">
        <v>1</v>
      </c>
      <c r="K32">
        <v>0</v>
      </c>
      <c r="L32">
        <v>0</v>
      </c>
      <c r="M32">
        <v>1</v>
      </c>
      <c r="N32">
        <v>0</v>
      </c>
      <c r="O32">
        <v>0</v>
      </c>
      <c r="P32">
        <v>0</v>
      </c>
      <c r="Q32">
        <v>2</v>
      </c>
      <c r="R32">
        <v>0</v>
      </c>
      <c r="S32">
        <v>3</v>
      </c>
      <c r="T32">
        <v>0</v>
      </c>
      <c r="U32">
        <v>0</v>
      </c>
      <c r="V32">
        <v>0</v>
      </c>
      <c r="W32">
        <v>0</v>
      </c>
      <c r="X32">
        <v>0</v>
      </c>
    </row>
    <row r="33" spans="1:24" x14ac:dyDescent="0.45">
      <c r="A33" t="s">
        <v>21</v>
      </c>
      <c r="B33" t="s">
        <v>2117</v>
      </c>
      <c r="C33">
        <v>24</v>
      </c>
      <c r="D33">
        <v>22</v>
      </c>
      <c r="E33">
        <v>20</v>
      </c>
      <c r="F33">
        <v>21</v>
      </c>
      <c r="G33">
        <v>30.905560000000001</v>
      </c>
      <c r="H33">
        <v>29.150960000000001</v>
      </c>
      <c r="I33">
        <v>27.93139</v>
      </c>
      <c r="J33">
        <v>27.205349999999999</v>
      </c>
      <c r="K33">
        <v>25.902149999999999</v>
      </c>
      <c r="L33">
        <v>27.619990000000001</v>
      </c>
      <c r="M33">
        <v>28.72157</v>
      </c>
      <c r="N33">
        <v>28.73818</v>
      </c>
      <c r="O33">
        <v>26.223569999999999</v>
      </c>
      <c r="P33">
        <v>24.743379999999998</v>
      </c>
      <c r="Q33">
        <v>24.890940000000001</v>
      </c>
      <c r="R33">
        <v>25.436689999999999</v>
      </c>
      <c r="S33">
        <v>22.364509999999999</v>
      </c>
      <c r="T33">
        <v>32.66289263861097</v>
      </c>
      <c r="U33">
        <v>30.795725050708572</v>
      </c>
      <c r="V33">
        <v>31.524604407051719</v>
      </c>
      <c r="W33">
        <v>28.083507912118346</v>
      </c>
      <c r="X33">
        <v>28.083507912118346</v>
      </c>
    </row>
    <row r="34" spans="1:24" x14ac:dyDescent="0.45">
      <c r="A34" t="s">
        <v>21</v>
      </c>
      <c r="B34" t="s">
        <v>2118</v>
      </c>
      <c r="C34">
        <f t="shared" ref="C34:X34" si="10">IFERROR(C32/C33, 0)</f>
        <v>4.1666666666666664E-2</v>
      </c>
      <c r="D34">
        <f t="shared" si="10"/>
        <v>4.5454545454545456E-2</v>
      </c>
      <c r="E34">
        <f t="shared" si="10"/>
        <v>0</v>
      </c>
      <c r="F34">
        <f t="shared" si="10"/>
        <v>9.5238095238095233E-2</v>
      </c>
      <c r="G34">
        <f t="shared" si="10"/>
        <v>6.4713274892931882E-2</v>
      </c>
      <c r="H34">
        <f t="shared" si="10"/>
        <v>6.8608375161572727E-2</v>
      </c>
      <c r="I34">
        <f t="shared" si="10"/>
        <v>7.1604026867262957E-2</v>
      </c>
      <c r="J34">
        <f t="shared" si="10"/>
        <v>3.6757476011152222E-2</v>
      </c>
      <c r="K34">
        <f t="shared" si="10"/>
        <v>0</v>
      </c>
      <c r="L34">
        <f t="shared" si="10"/>
        <v>0</v>
      </c>
      <c r="M34">
        <f t="shared" si="10"/>
        <v>3.4817038205084194E-2</v>
      </c>
      <c r="N34">
        <f t="shared" si="10"/>
        <v>0</v>
      </c>
      <c r="O34">
        <f t="shared" si="10"/>
        <v>0</v>
      </c>
      <c r="P34">
        <f t="shared" si="10"/>
        <v>0</v>
      </c>
      <c r="Q34">
        <f t="shared" si="10"/>
        <v>8.0350521113304679E-2</v>
      </c>
      <c r="R34">
        <f t="shared" si="10"/>
        <v>0</v>
      </c>
      <c r="S34">
        <f t="shared" si="10"/>
        <v>0.13414110123584197</v>
      </c>
      <c r="T34">
        <f t="shared" si="10"/>
        <v>0</v>
      </c>
      <c r="U34">
        <f t="shared" si="10"/>
        <v>0</v>
      </c>
      <c r="V34">
        <f t="shared" si="10"/>
        <v>0</v>
      </c>
      <c r="W34">
        <f t="shared" si="10"/>
        <v>0</v>
      </c>
      <c r="X34">
        <f t="shared" si="10"/>
        <v>0</v>
      </c>
    </row>
    <row r="35" spans="1:24" x14ac:dyDescent="0.45">
      <c r="A35" t="s">
        <v>22</v>
      </c>
      <c r="B35" t="s">
        <v>2116</v>
      </c>
      <c r="C35">
        <v>15</v>
      </c>
      <c r="D35">
        <v>19</v>
      </c>
      <c r="E35">
        <v>18</v>
      </c>
      <c r="F35">
        <v>33</v>
      </c>
      <c r="G35">
        <v>16</v>
      </c>
      <c r="H35">
        <v>14</v>
      </c>
      <c r="I35">
        <v>12</v>
      </c>
      <c r="J35">
        <v>17</v>
      </c>
      <c r="K35">
        <v>9</v>
      </c>
      <c r="L35">
        <v>13</v>
      </c>
      <c r="M35">
        <v>1</v>
      </c>
      <c r="N35">
        <v>19</v>
      </c>
      <c r="O35">
        <v>3</v>
      </c>
      <c r="P35">
        <v>18</v>
      </c>
      <c r="Q35">
        <v>14</v>
      </c>
      <c r="R35">
        <v>24</v>
      </c>
      <c r="S35">
        <v>3</v>
      </c>
      <c r="T35">
        <v>23</v>
      </c>
      <c r="U35">
        <v>17</v>
      </c>
      <c r="V35">
        <v>4</v>
      </c>
      <c r="W35">
        <v>7</v>
      </c>
      <c r="X35">
        <v>27</v>
      </c>
    </row>
    <row r="36" spans="1:24" x14ac:dyDescent="0.45">
      <c r="A36" t="s">
        <v>22</v>
      </c>
      <c r="B36" t="s">
        <v>2117</v>
      </c>
      <c r="C36">
        <v>839</v>
      </c>
      <c r="D36">
        <v>783</v>
      </c>
      <c r="E36">
        <v>727</v>
      </c>
      <c r="F36">
        <v>699</v>
      </c>
      <c r="G36">
        <v>712.09460000000001</v>
      </c>
      <c r="H36">
        <v>721.28920000000005</v>
      </c>
      <c r="I36">
        <v>723.37800000000004</v>
      </c>
      <c r="J36">
        <v>659.95740000000001</v>
      </c>
      <c r="K36">
        <v>598.43740000000003</v>
      </c>
      <c r="L36">
        <v>664.31479999999999</v>
      </c>
      <c r="M36">
        <v>676.33090000000004</v>
      </c>
      <c r="N36">
        <v>637.94719999999995</v>
      </c>
      <c r="O36">
        <v>675.32539999999995</v>
      </c>
      <c r="P36">
        <v>671.89149999999995</v>
      </c>
      <c r="Q36">
        <v>667.94489999999996</v>
      </c>
      <c r="R36">
        <v>649.78150000000005</v>
      </c>
      <c r="S36">
        <v>656.39419999999996</v>
      </c>
      <c r="T36">
        <v>719.78520874119215</v>
      </c>
      <c r="U36">
        <v>819.82176999418812</v>
      </c>
      <c r="V36">
        <v>891.37972455191107</v>
      </c>
      <c r="W36">
        <v>890.99386449030214</v>
      </c>
      <c r="X36">
        <v>890.99386449030214</v>
      </c>
    </row>
    <row r="37" spans="1:24" x14ac:dyDescent="0.45">
      <c r="A37" t="s">
        <v>22</v>
      </c>
      <c r="B37" t="s">
        <v>2118</v>
      </c>
      <c r="C37">
        <f t="shared" ref="C37:X37" si="11">IFERROR(C35/C36, 0)</f>
        <v>1.7878426698450536E-2</v>
      </c>
      <c r="D37">
        <f t="shared" si="11"/>
        <v>2.4265644955300127E-2</v>
      </c>
      <c r="E37">
        <f t="shared" si="11"/>
        <v>2.4759284731774415E-2</v>
      </c>
      <c r="F37">
        <f t="shared" si="11"/>
        <v>4.7210300429184553E-2</v>
      </c>
      <c r="G37">
        <f t="shared" si="11"/>
        <v>2.2468924774882437E-2</v>
      </c>
      <c r="H37">
        <f t="shared" si="11"/>
        <v>1.9409690315618199E-2</v>
      </c>
      <c r="I37">
        <f t="shared" si="11"/>
        <v>1.6588837371332828E-2</v>
      </c>
      <c r="J37">
        <f t="shared" si="11"/>
        <v>2.5759238399326985E-2</v>
      </c>
      <c r="K37">
        <f t="shared" si="11"/>
        <v>1.5039167003933911E-2</v>
      </c>
      <c r="L37">
        <f t="shared" si="11"/>
        <v>1.9569035643944709E-2</v>
      </c>
      <c r="M37">
        <f t="shared" si="11"/>
        <v>1.4785661870542954E-3</v>
      </c>
      <c r="N37">
        <f t="shared" si="11"/>
        <v>2.9783029065728325E-2</v>
      </c>
      <c r="O37">
        <f t="shared" si="11"/>
        <v>4.4423029253749385E-3</v>
      </c>
      <c r="P37">
        <f t="shared" si="11"/>
        <v>2.6790039760884014E-2</v>
      </c>
      <c r="Q37">
        <f t="shared" si="11"/>
        <v>2.0959812703113687E-2</v>
      </c>
      <c r="R37">
        <f t="shared" si="11"/>
        <v>3.6935492931085293E-2</v>
      </c>
      <c r="S37">
        <f t="shared" si="11"/>
        <v>4.5704242968630741E-3</v>
      </c>
      <c r="T37">
        <f t="shared" si="11"/>
        <v>3.1953976992975329E-2</v>
      </c>
      <c r="U37">
        <f t="shared" si="11"/>
        <v>2.0736214409286198E-2</v>
      </c>
      <c r="V37">
        <f t="shared" si="11"/>
        <v>4.4874253809292844E-3</v>
      </c>
      <c r="W37">
        <f t="shared" si="11"/>
        <v>7.8563952895504933E-3</v>
      </c>
      <c r="X37">
        <f t="shared" si="11"/>
        <v>3.0303238973980472E-2</v>
      </c>
    </row>
    <row r="38" spans="1:24" x14ac:dyDescent="0.45">
      <c r="A38" t="s">
        <v>23</v>
      </c>
      <c r="B38" t="s">
        <v>2116</v>
      </c>
      <c r="C38">
        <v>3</v>
      </c>
      <c r="D38">
        <v>5</v>
      </c>
      <c r="E38">
        <v>7</v>
      </c>
      <c r="F38">
        <v>8</v>
      </c>
      <c r="G38">
        <v>6</v>
      </c>
      <c r="H38">
        <v>5</v>
      </c>
      <c r="I38">
        <v>9</v>
      </c>
      <c r="J38">
        <v>5</v>
      </c>
      <c r="K38">
        <v>7</v>
      </c>
      <c r="L38">
        <v>2</v>
      </c>
      <c r="M38">
        <v>6</v>
      </c>
      <c r="N38">
        <v>11</v>
      </c>
      <c r="O38">
        <v>3</v>
      </c>
      <c r="P38">
        <v>6</v>
      </c>
      <c r="Q38">
        <v>9</v>
      </c>
      <c r="R38">
        <v>3</v>
      </c>
      <c r="S38">
        <v>9</v>
      </c>
      <c r="T38">
        <v>9</v>
      </c>
      <c r="U38">
        <v>7</v>
      </c>
      <c r="V38">
        <v>4</v>
      </c>
      <c r="W38">
        <v>5</v>
      </c>
      <c r="X38">
        <v>7</v>
      </c>
    </row>
    <row r="39" spans="1:24" x14ac:dyDescent="0.45">
      <c r="A39" t="s">
        <v>23</v>
      </c>
      <c r="B39" t="s">
        <v>2117</v>
      </c>
      <c r="C39">
        <v>150</v>
      </c>
      <c r="D39">
        <v>141</v>
      </c>
      <c r="E39">
        <v>133</v>
      </c>
      <c r="F39">
        <v>138</v>
      </c>
      <c r="G39">
        <v>140.84800000000001</v>
      </c>
      <c r="H39">
        <v>139.3186</v>
      </c>
      <c r="I39">
        <v>139.15309999999999</v>
      </c>
      <c r="J39">
        <v>122.58499999999999</v>
      </c>
      <c r="K39">
        <v>115.2666</v>
      </c>
      <c r="L39">
        <v>123.2179</v>
      </c>
      <c r="M39">
        <v>121.32129999999999</v>
      </c>
      <c r="N39">
        <v>116.2073</v>
      </c>
      <c r="O39">
        <v>124.50069999999999</v>
      </c>
      <c r="P39">
        <v>129.3579</v>
      </c>
      <c r="Q39">
        <v>130.22890000000001</v>
      </c>
      <c r="R39">
        <v>122.8946</v>
      </c>
      <c r="S39">
        <v>131.07589999999999</v>
      </c>
      <c r="T39">
        <v>149.2912740583906</v>
      </c>
      <c r="U39">
        <v>164.1386584029654</v>
      </c>
      <c r="V39">
        <v>178.89250515444442</v>
      </c>
      <c r="W39">
        <v>169.35056593403456</v>
      </c>
      <c r="X39">
        <v>169.35056593403456</v>
      </c>
    </row>
    <row r="40" spans="1:24" x14ac:dyDescent="0.45">
      <c r="A40" t="s">
        <v>23</v>
      </c>
      <c r="B40" t="s">
        <v>2118</v>
      </c>
      <c r="C40">
        <f t="shared" ref="C40:X40" si="12">IFERROR(C38/C39, 0)</f>
        <v>0.02</v>
      </c>
      <c r="D40">
        <f t="shared" si="12"/>
        <v>3.5460992907801421E-2</v>
      </c>
      <c r="E40">
        <f t="shared" si="12"/>
        <v>5.2631578947368418E-2</v>
      </c>
      <c r="F40">
        <f t="shared" si="12"/>
        <v>5.7971014492753624E-2</v>
      </c>
      <c r="G40">
        <f t="shared" si="12"/>
        <v>4.2599113938430078E-2</v>
      </c>
      <c r="H40">
        <f t="shared" si="12"/>
        <v>3.5888962421385229E-2</v>
      </c>
      <c r="I40">
        <f t="shared" si="12"/>
        <v>6.4676963718379249E-2</v>
      </c>
      <c r="J40">
        <f t="shared" si="12"/>
        <v>4.0788024635966882E-2</v>
      </c>
      <c r="K40">
        <f t="shared" si="12"/>
        <v>6.0728780062915017E-2</v>
      </c>
      <c r="L40">
        <f t="shared" si="12"/>
        <v>1.6231407936671539E-2</v>
      </c>
      <c r="M40">
        <f t="shared" si="12"/>
        <v>4.9455454235983298E-2</v>
      </c>
      <c r="N40">
        <f t="shared" si="12"/>
        <v>9.4658425073123637E-2</v>
      </c>
      <c r="O40">
        <f t="shared" si="12"/>
        <v>2.4096250061244637E-2</v>
      </c>
      <c r="P40">
        <f t="shared" si="12"/>
        <v>4.6382942209173154E-2</v>
      </c>
      <c r="Q40">
        <f t="shared" si="12"/>
        <v>6.9109084081951086E-2</v>
      </c>
      <c r="R40">
        <f t="shared" si="12"/>
        <v>2.4411162085234014E-2</v>
      </c>
      <c r="S40">
        <f t="shared" si="12"/>
        <v>6.8662507753141505E-2</v>
      </c>
      <c r="T40">
        <f t="shared" si="12"/>
        <v>6.0284836181918662E-2</v>
      </c>
      <c r="U40">
        <f t="shared" si="12"/>
        <v>4.2646869836201459E-2</v>
      </c>
      <c r="V40">
        <f t="shared" si="12"/>
        <v>2.2359796440586787E-2</v>
      </c>
      <c r="W40">
        <f t="shared" si="12"/>
        <v>2.9524554420134623E-2</v>
      </c>
      <c r="X40">
        <f t="shared" si="12"/>
        <v>4.1334376188188471E-2</v>
      </c>
    </row>
    <row r="41" spans="1:24" x14ac:dyDescent="0.45">
      <c r="A41" t="s">
        <v>24</v>
      </c>
      <c r="B41" t="s">
        <v>2116</v>
      </c>
      <c r="C41">
        <v>5</v>
      </c>
      <c r="D41">
        <v>8</v>
      </c>
      <c r="E41">
        <v>7</v>
      </c>
      <c r="F41">
        <v>9</v>
      </c>
      <c r="G41">
        <v>6</v>
      </c>
      <c r="H41">
        <v>5</v>
      </c>
      <c r="I41">
        <v>7</v>
      </c>
      <c r="J41">
        <v>8</v>
      </c>
      <c r="K41">
        <v>4</v>
      </c>
      <c r="L41">
        <v>7</v>
      </c>
      <c r="M41">
        <v>3</v>
      </c>
      <c r="N41">
        <v>1</v>
      </c>
      <c r="O41">
        <v>2</v>
      </c>
      <c r="P41">
        <v>5</v>
      </c>
      <c r="Q41">
        <v>12</v>
      </c>
      <c r="R41">
        <v>9</v>
      </c>
      <c r="S41">
        <v>8</v>
      </c>
      <c r="T41">
        <v>11</v>
      </c>
      <c r="U41">
        <v>8</v>
      </c>
      <c r="V41">
        <v>5</v>
      </c>
      <c r="W41">
        <v>1</v>
      </c>
      <c r="X41">
        <v>5</v>
      </c>
    </row>
    <row r="42" spans="1:24" x14ac:dyDescent="0.45">
      <c r="A42" t="s">
        <v>24</v>
      </c>
      <c r="B42" t="s">
        <v>2117</v>
      </c>
      <c r="C42">
        <v>361</v>
      </c>
      <c r="D42">
        <v>341</v>
      </c>
      <c r="E42">
        <v>327</v>
      </c>
      <c r="F42">
        <v>311</v>
      </c>
      <c r="G42">
        <v>367.3734</v>
      </c>
      <c r="H42">
        <v>375.61680000000001</v>
      </c>
      <c r="I42">
        <v>387.09589999999997</v>
      </c>
      <c r="J42">
        <v>370.56760000000003</v>
      </c>
      <c r="K42">
        <v>356.29680000000002</v>
      </c>
      <c r="L42">
        <v>376.3159</v>
      </c>
      <c r="M42">
        <v>378.41320000000002</v>
      </c>
      <c r="N42">
        <v>377.43290000000002</v>
      </c>
      <c r="O42">
        <v>388.0838</v>
      </c>
      <c r="P42">
        <v>399.34019999999998</v>
      </c>
      <c r="Q42">
        <v>405.26839999999999</v>
      </c>
      <c r="R42">
        <v>411.06130000000002</v>
      </c>
      <c r="S42">
        <v>408.5686</v>
      </c>
      <c r="T42">
        <v>450.65554533449284</v>
      </c>
      <c r="U42">
        <v>398.59984714041849</v>
      </c>
      <c r="V42">
        <v>424.97499634269928</v>
      </c>
      <c r="W42">
        <v>397.22605584216575</v>
      </c>
      <c r="X42">
        <v>397.22605584216575</v>
      </c>
    </row>
    <row r="43" spans="1:24" x14ac:dyDescent="0.45">
      <c r="A43" t="s">
        <v>24</v>
      </c>
      <c r="B43" t="s">
        <v>2118</v>
      </c>
      <c r="C43">
        <f t="shared" ref="C43:X43" si="13">IFERROR(C41/C42, 0)</f>
        <v>1.3850415512465374E-2</v>
      </c>
      <c r="D43">
        <f t="shared" si="13"/>
        <v>2.3460410557184751E-2</v>
      </c>
      <c r="E43">
        <f t="shared" si="13"/>
        <v>2.1406727828746176E-2</v>
      </c>
      <c r="F43">
        <f t="shared" si="13"/>
        <v>2.8938906752411574E-2</v>
      </c>
      <c r="G43">
        <f t="shared" si="13"/>
        <v>1.6332156873633201E-2</v>
      </c>
      <c r="H43">
        <f t="shared" si="13"/>
        <v>1.3311438678994123E-2</v>
      </c>
      <c r="I43">
        <f t="shared" si="13"/>
        <v>1.8083374171620006E-2</v>
      </c>
      <c r="J43">
        <f t="shared" si="13"/>
        <v>2.1588503690014992E-2</v>
      </c>
      <c r="K43">
        <f t="shared" si="13"/>
        <v>1.1226595355332969E-2</v>
      </c>
      <c r="L43">
        <f t="shared" si="13"/>
        <v>1.8601393138052365E-2</v>
      </c>
      <c r="M43">
        <f t="shared" si="13"/>
        <v>7.9278418406123242E-3</v>
      </c>
      <c r="N43">
        <f t="shared" si="13"/>
        <v>2.6494775627667858E-3</v>
      </c>
      <c r="O43">
        <f t="shared" si="13"/>
        <v>5.1535261198741101E-3</v>
      </c>
      <c r="P43">
        <f t="shared" si="13"/>
        <v>1.2520652816821347E-2</v>
      </c>
      <c r="Q43">
        <f t="shared" si="13"/>
        <v>2.9610006603031473E-2</v>
      </c>
      <c r="R43">
        <f t="shared" si="13"/>
        <v>2.1894544682265149E-2</v>
      </c>
      <c r="S43">
        <f t="shared" si="13"/>
        <v>1.9580555138108999E-2</v>
      </c>
      <c r="T43">
        <f t="shared" si="13"/>
        <v>2.4408886374260415E-2</v>
      </c>
      <c r="U43">
        <f t="shared" si="13"/>
        <v>2.0070253557276867E-2</v>
      </c>
      <c r="V43">
        <f t="shared" si="13"/>
        <v>1.1765398065838224E-2</v>
      </c>
      <c r="W43">
        <f t="shared" si="13"/>
        <v>2.5174582213140146E-3</v>
      </c>
      <c r="X43">
        <f t="shared" si="13"/>
        <v>1.2587291106570073E-2</v>
      </c>
    </row>
    <row r="44" spans="1:24" x14ac:dyDescent="0.45">
      <c r="A44" t="s">
        <v>25</v>
      </c>
      <c r="B44" t="s">
        <v>2116</v>
      </c>
      <c r="C44">
        <v>1</v>
      </c>
      <c r="D44">
        <v>1</v>
      </c>
      <c r="E44">
        <v>1</v>
      </c>
      <c r="F44">
        <v>0</v>
      </c>
      <c r="G44">
        <v>0</v>
      </c>
      <c r="H44">
        <v>1</v>
      </c>
      <c r="I44">
        <v>0</v>
      </c>
      <c r="J44">
        <v>1</v>
      </c>
      <c r="K44">
        <v>0</v>
      </c>
      <c r="L44">
        <v>0</v>
      </c>
      <c r="M44">
        <v>0</v>
      </c>
      <c r="N44">
        <v>1</v>
      </c>
      <c r="O44">
        <v>0</v>
      </c>
      <c r="P44">
        <v>1</v>
      </c>
      <c r="Q44">
        <v>0</v>
      </c>
      <c r="R44">
        <v>1</v>
      </c>
      <c r="S44">
        <v>0</v>
      </c>
      <c r="T44">
        <v>0</v>
      </c>
      <c r="U44">
        <v>0</v>
      </c>
      <c r="V44">
        <v>0</v>
      </c>
      <c r="W44">
        <v>0</v>
      </c>
      <c r="X44">
        <v>0</v>
      </c>
    </row>
    <row r="45" spans="1:24" x14ac:dyDescent="0.45">
      <c r="A45" t="s">
        <v>25</v>
      </c>
      <c r="B45" t="s">
        <v>2117</v>
      </c>
      <c r="C45">
        <v>25</v>
      </c>
      <c r="D45">
        <v>22</v>
      </c>
      <c r="E45">
        <v>21</v>
      </c>
      <c r="F45">
        <v>18</v>
      </c>
      <c r="G45">
        <v>32.24503</v>
      </c>
      <c r="H45">
        <v>31.352070000000001</v>
      </c>
      <c r="I45">
        <v>30.214089999999999</v>
      </c>
      <c r="J45">
        <v>28.69</v>
      </c>
      <c r="K45">
        <v>25.81897</v>
      </c>
      <c r="L45">
        <v>27.832740000000001</v>
      </c>
      <c r="M45">
        <v>28.8169</v>
      </c>
      <c r="N45">
        <v>28.381730000000001</v>
      </c>
      <c r="O45">
        <v>29.80772</v>
      </c>
      <c r="P45">
        <v>25.55048</v>
      </c>
      <c r="Q45">
        <v>24.284230000000001</v>
      </c>
      <c r="R45">
        <v>26.612660000000002</v>
      </c>
      <c r="S45">
        <v>26.243659999999998</v>
      </c>
      <c r="T45">
        <v>34.988741221503659</v>
      </c>
      <c r="U45">
        <v>44.277134850812701</v>
      </c>
      <c r="V45">
        <v>46.742899369060005</v>
      </c>
      <c r="W45">
        <v>47.44983631306723</v>
      </c>
      <c r="X45">
        <v>47.44983631306723</v>
      </c>
    </row>
    <row r="46" spans="1:24" x14ac:dyDescent="0.45">
      <c r="A46" t="s">
        <v>25</v>
      </c>
      <c r="B46" t="s">
        <v>2118</v>
      </c>
      <c r="C46">
        <f t="shared" ref="C46:X46" si="14">IFERROR(C44/C45, 0)</f>
        <v>0.04</v>
      </c>
      <c r="D46">
        <f t="shared" si="14"/>
        <v>4.5454545454545456E-2</v>
      </c>
      <c r="E46">
        <f t="shared" si="14"/>
        <v>4.7619047619047616E-2</v>
      </c>
      <c r="F46">
        <f t="shared" si="14"/>
        <v>0</v>
      </c>
      <c r="G46">
        <f t="shared" si="14"/>
        <v>0</v>
      </c>
      <c r="H46">
        <f t="shared" si="14"/>
        <v>3.1895820594939985E-2</v>
      </c>
      <c r="I46">
        <f t="shared" si="14"/>
        <v>0</v>
      </c>
      <c r="J46">
        <f t="shared" si="14"/>
        <v>3.4855350296270474E-2</v>
      </c>
      <c r="K46">
        <f t="shared" si="14"/>
        <v>0</v>
      </c>
      <c r="L46">
        <f t="shared" si="14"/>
        <v>0</v>
      </c>
      <c r="M46">
        <f t="shared" si="14"/>
        <v>0</v>
      </c>
      <c r="N46">
        <f t="shared" si="14"/>
        <v>3.5233933942715963E-2</v>
      </c>
      <c r="O46">
        <f t="shared" si="14"/>
        <v>0</v>
      </c>
      <c r="P46">
        <f t="shared" si="14"/>
        <v>3.913820797104399E-2</v>
      </c>
      <c r="Q46">
        <f t="shared" si="14"/>
        <v>0</v>
      </c>
      <c r="R46">
        <f t="shared" si="14"/>
        <v>3.7576100998547309E-2</v>
      </c>
      <c r="S46">
        <f t="shared" si="14"/>
        <v>0</v>
      </c>
      <c r="T46">
        <f t="shared" si="14"/>
        <v>0</v>
      </c>
      <c r="U46">
        <f t="shared" si="14"/>
        <v>0</v>
      </c>
      <c r="V46">
        <f t="shared" si="14"/>
        <v>0</v>
      </c>
      <c r="W46">
        <f t="shared" si="14"/>
        <v>0</v>
      </c>
      <c r="X46">
        <f t="shared" si="14"/>
        <v>0</v>
      </c>
    </row>
    <row r="47" spans="1:24" x14ac:dyDescent="0.45">
      <c r="A47" t="s">
        <v>26</v>
      </c>
      <c r="B47" t="s">
        <v>2116</v>
      </c>
      <c r="C47">
        <v>5</v>
      </c>
      <c r="D47">
        <v>3</v>
      </c>
      <c r="E47">
        <v>3</v>
      </c>
      <c r="F47">
        <v>3</v>
      </c>
      <c r="G47">
        <v>0</v>
      </c>
      <c r="H47">
        <v>3</v>
      </c>
      <c r="I47">
        <v>7</v>
      </c>
      <c r="J47">
        <v>3</v>
      </c>
      <c r="K47">
        <v>5</v>
      </c>
      <c r="L47">
        <v>6</v>
      </c>
      <c r="M47">
        <v>13</v>
      </c>
      <c r="N47">
        <v>9</v>
      </c>
      <c r="O47">
        <v>1</v>
      </c>
      <c r="P47">
        <v>3</v>
      </c>
      <c r="Q47">
        <v>6</v>
      </c>
      <c r="R47">
        <v>8</v>
      </c>
      <c r="S47">
        <v>5</v>
      </c>
      <c r="T47">
        <v>1</v>
      </c>
      <c r="U47">
        <v>10</v>
      </c>
      <c r="V47">
        <v>5</v>
      </c>
      <c r="W47">
        <v>2</v>
      </c>
      <c r="X47">
        <v>1</v>
      </c>
    </row>
    <row r="48" spans="1:24" x14ac:dyDescent="0.45">
      <c r="A48" t="s">
        <v>26</v>
      </c>
      <c r="B48" t="s">
        <v>2117</v>
      </c>
      <c r="C48">
        <v>218</v>
      </c>
      <c r="D48">
        <v>207</v>
      </c>
      <c r="E48">
        <v>210</v>
      </c>
      <c r="F48">
        <v>207</v>
      </c>
      <c r="G48">
        <v>183.81209999999999</v>
      </c>
      <c r="H48">
        <v>195.9205</v>
      </c>
      <c r="I48">
        <v>196.20060000000001</v>
      </c>
      <c r="J48">
        <v>206.86250000000001</v>
      </c>
      <c r="K48">
        <v>195.76779999999999</v>
      </c>
      <c r="L48">
        <v>223.50659999999999</v>
      </c>
      <c r="M48">
        <v>225.93180000000001</v>
      </c>
      <c r="N48">
        <v>207.73689999999999</v>
      </c>
      <c r="O48">
        <v>208.77209999999999</v>
      </c>
      <c r="P48">
        <v>221.1078</v>
      </c>
      <c r="Q48">
        <v>198.04839999999999</v>
      </c>
      <c r="R48">
        <v>187.04480000000001</v>
      </c>
      <c r="S48">
        <v>209.3657</v>
      </c>
      <c r="T48">
        <v>253.75134248282507</v>
      </c>
      <c r="U48">
        <v>261.51147638302143</v>
      </c>
      <c r="V48">
        <v>294.48378603760852</v>
      </c>
      <c r="W48">
        <v>303.00209221694666</v>
      </c>
      <c r="X48">
        <v>303.00209221694666</v>
      </c>
    </row>
    <row r="49" spans="1:24" x14ac:dyDescent="0.45">
      <c r="A49" t="s">
        <v>26</v>
      </c>
      <c r="B49" t="s">
        <v>2118</v>
      </c>
      <c r="C49">
        <f t="shared" ref="C49:X49" si="15">IFERROR(C47/C48, 0)</f>
        <v>2.2935779816513763E-2</v>
      </c>
      <c r="D49">
        <f t="shared" si="15"/>
        <v>1.4492753623188406E-2</v>
      </c>
      <c r="E49">
        <f t="shared" si="15"/>
        <v>1.4285714285714285E-2</v>
      </c>
      <c r="F49">
        <f t="shared" si="15"/>
        <v>1.4492753623188406E-2</v>
      </c>
      <c r="G49">
        <f t="shared" si="15"/>
        <v>0</v>
      </c>
      <c r="H49">
        <f t="shared" si="15"/>
        <v>1.5312333318871685E-2</v>
      </c>
      <c r="I49">
        <f t="shared" si="15"/>
        <v>3.5677770608244827E-2</v>
      </c>
      <c r="J49">
        <f t="shared" si="15"/>
        <v>1.4502386851169254E-2</v>
      </c>
      <c r="K49">
        <f t="shared" si="15"/>
        <v>2.5540461710250616E-2</v>
      </c>
      <c r="L49">
        <f t="shared" si="15"/>
        <v>2.684484485021919E-2</v>
      </c>
      <c r="M49">
        <f t="shared" si="15"/>
        <v>5.7539487579880297E-2</v>
      </c>
      <c r="N49">
        <f t="shared" si="15"/>
        <v>4.3324031503310198E-2</v>
      </c>
      <c r="O49">
        <f t="shared" si="15"/>
        <v>4.789912062004454E-3</v>
      </c>
      <c r="P49">
        <f t="shared" si="15"/>
        <v>1.3568042375709948E-2</v>
      </c>
      <c r="Q49">
        <f t="shared" si="15"/>
        <v>3.029562470587998E-2</v>
      </c>
      <c r="R49">
        <f t="shared" si="15"/>
        <v>4.2770502040152945E-2</v>
      </c>
      <c r="S49">
        <f t="shared" si="15"/>
        <v>2.3881657788262355E-2</v>
      </c>
      <c r="T49">
        <f t="shared" si="15"/>
        <v>3.9408658500700708E-3</v>
      </c>
      <c r="U49">
        <f t="shared" si="15"/>
        <v>3.8239239586386455E-2</v>
      </c>
      <c r="V49">
        <f t="shared" si="15"/>
        <v>1.697886347930018E-2</v>
      </c>
      <c r="W49">
        <f t="shared" si="15"/>
        <v>6.6006144887211498E-3</v>
      </c>
      <c r="X49">
        <f t="shared" si="15"/>
        <v>3.3003072443605749E-3</v>
      </c>
    </row>
    <row r="50" spans="1:24" x14ac:dyDescent="0.45">
      <c r="A50" t="s">
        <v>27</v>
      </c>
      <c r="B50" t="s">
        <v>2116</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row>
    <row r="51" spans="1:24" x14ac:dyDescent="0.45">
      <c r="A51" t="s">
        <v>27</v>
      </c>
      <c r="B51" t="s">
        <v>2117</v>
      </c>
      <c r="C51">
        <v>86</v>
      </c>
      <c r="D51">
        <v>85</v>
      </c>
      <c r="E51">
        <v>79</v>
      </c>
      <c r="F51">
        <v>70</v>
      </c>
      <c r="G51">
        <v>0</v>
      </c>
      <c r="H51">
        <v>0.74316599999999999</v>
      </c>
      <c r="I51">
        <v>1.4863310000000001</v>
      </c>
      <c r="J51">
        <v>1.4863310000000001</v>
      </c>
      <c r="K51">
        <v>0.74316599999999999</v>
      </c>
      <c r="L51">
        <v>2.7096840000000002</v>
      </c>
      <c r="M51">
        <v>2.4475370000000001</v>
      </c>
      <c r="N51">
        <v>2.2358509999999998</v>
      </c>
      <c r="O51">
        <v>1.492686</v>
      </c>
      <c r="P51">
        <v>1.492686</v>
      </c>
      <c r="Q51">
        <v>2.492686</v>
      </c>
      <c r="R51">
        <v>2.7043710000000001</v>
      </c>
      <c r="S51">
        <v>11.137280000000001</v>
      </c>
      <c r="T51">
        <v>0</v>
      </c>
      <c r="U51">
        <v>14.538331278175812</v>
      </c>
      <c r="V51">
        <v>15.023193412069062</v>
      </c>
      <c r="W51">
        <v>19.489510064640474</v>
      </c>
      <c r="X51">
        <v>19.489510064640474</v>
      </c>
    </row>
    <row r="52" spans="1:24" x14ac:dyDescent="0.45">
      <c r="A52" t="s">
        <v>27</v>
      </c>
      <c r="B52" t="s">
        <v>2118</v>
      </c>
      <c r="C52">
        <f t="shared" ref="C52:X52" si="16">IFERROR(C50/C51, 0)</f>
        <v>0</v>
      </c>
      <c r="D52">
        <f t="shared" si="16"/>
        <v>0</v>
      </c>
      <c r="E52">
        <f t="shared" si="16"/>
        <v>0</v>
      </c>
      <c r="F52">
        <f t="shared" si="16"/>
        <v>0</v>
      </c>
      <c r="G52">
        <f t="shared" si="16"/>
        <v>0</v>
      </c>
      <c r="H52">
        <f t="shared" si="16"/>
        <v>0</v>
      </c>
      <c r="I52">
        <f t="shared" si="16"/>
        <v>0</v>
      </c>
      <c r="J52">
        <f t="shared" si="16"/>
        <v>0</v>
      </c>
      <c r="K52">
        <f t="shared" si="16"/>
        <v>0</v>
      </c>
      <c r="L52">
        <f t="shared" si="16"/>
        <v>0</v>
      </c>
      <c r="M52">
        <f t="shared" si="16"/>
        <v>0</v>
      </c>
      <c r="N52">
        <f t="shared" si="16"/>
        <v>0</v>
      </c>
      <c r="O52">
        <f t="shared" si="16"/>
        <v>0</v>
      </c>
      <c r="P52">
        <f t="shared" si="16"/>
        <v>0</v>
      </c>
      <c r="Q52">
        <f t="shared" si="16"/>
        <v>0</v>
      </c>
      <c r="R52">
        <f t="shared" si="16"/>
        <v>0</v>
      </c>
      <c r="S52">
        <f t="shared" si="16"/>
        <v>0</v>
      </c>
      <c r="T52">
        <f t="shared" si="16"/>
        <v>0</v>
      </c>
      <c r="U52">
        <f t="shared" si="16"/>
        <v>0</v>
      </c>
      <c r="V52">
        <f t="shared" si="16"/>
        <v>0</v>
      </c>
      <c r="W52">
        <f t="shared" si="16"/>
        <v>0</v>
      </c>
      <c r="X52">
        <f t="shared" si="16"/>
        <v>0</v>
      </c>
    </row>
    <row r="53" spans="1:24" x14ac:dyDescent="0.45">
      <c r="A53" t="s">
        <v>28</v>
      </c>
      <c r="B53" t="s">
        <v>2116</v>
      </c>
      <c r="C53">
        <v>1</v>
      </c>
      <c r="D53">
        <v>13</v>
      </c>
      <c r="E53">
        <v>13</v>
      </c>
      <c r="F53">
        <v>8</v>
      </c>
      <c r="G53">
        <v>7</v>
      </c>
      <c r="H53">
        <v>9</v>
      </c>
      <c r="I53">
        <v>4</v>
      </c>
      <c r="J53">
        <v>5</v>
      </c>
      <c r="K53">
        <v>2</v>
      </c>
      <c r="L53">
        <v>7</v>
      </c>
      <c r="M53">
        <v>7</v>
      </c>
      <c r="N53">
        <v>8</v>
      </c>
      <c r="O53">
        <v>6</v>
      </c>
      <c r="P53">
        <v>4</v>
      </c>
      <c r="Q53">
        <v>8</v>
      </c>
      <c r="R53">
        <v>11</v>
      </c>
      <c r="S53">
        <v>8</v>
      </c>
      <c r="T53">
        <v>10</v>
      </c>
      <c r="U53">
        <v>5</v>
      </c>
      <c r="V53">
        <v>2</v>
      </c>
      <c r="W53">
        <v>8</v>
      </c>
      <c r="X53">
        <v>5</v>
      </c>
    </row>
    <row r="54" spans="1:24" x14ac:dyDescent="0.45">
      <c r="A54" t="s">
        <v>28</v>
      </c>
      <c r="B54" t="s">
        <v>2117</v>
      </c>
      <c r="C54">
        <v>277</v>
      </c>
      <c r="D54">
        <v>255</v>
      </c>
      <c r="E54">
        <v>229</v>
      </c>
      <c r="F54">
        <v>215</v>
      </c>
      <c r="G54">
        <v>294.9701</v>
      </c>
      <c r="H54">
        <v>292.37189999999998</v>
      </c>
      <c r="I54">
        <v>288.34769999999997</v>
      </c>
      <c r="J54">
        <v>257.88470000000001</v>
      </c>
      <c r="K54">
        <v>251.9633</v>
      </c>
      <c r="L54">
        <v>268.32229999999998</v>
      </c>
      <c r="M54">
        <v>270.41789999999997</v>
      </c>
      <c r="N54">
        <v>274.29199999999997</v>
      </c>
      <c r="O54">
        <v>281.25229999999999</v>
      </c>
      <c r="P54">
        <v>288.4674</v>
      </c>
      <c r="Q54">
        <v>289.70420000000001</v>
      </c>
      <c r="R54">
        <v>277.53680000000003</v>
      </c>
      <c r="S54">
        <v>276.70859999999999</v>
      </c>
      <c r="T54">
        <v>250.29673317458258</v>
      </c>
      <c r="U54">
        <v>264.87353626423942</v>
      </c>
      <c r="V54">
        <v>288.91582921625178</v>
      </c>
      <c r="W54">
        <v>293.12062645336505</v>
      </c>
      <c r="X54">
        <v>293.12062645336505</v>
      </c>
    </row>
    <row r="55" spans="1:24" x14ac:dyDescent="0.45">
      <c r="A55" t="s">
        <v>28</v>
      </c>
      <c r="B55" t="s">
        <v>2118</v>
      </c>
      <c r="C55">
        <f t="shared" ref="C55:X55" si="17">IFERROR(C53/C54, 0)</f>
        <v>3.6101083032490976E-3</v>
      </c>
      <c r="D55">
        <f t="shared" si="17"/>
        <v>5.0980392156862744E-2</v>
      </c>
      <c r="E55">
        <f t="shared" si="17"/>
        <v>5.6768558951965066E-2</v>
      </c>
      <c r="F55">
        <f t="shared" si="17"/>
        <v>3.7209302325581395E-2</v>
      </c>
      <c r="G55">
        <f t="shared" si="17"/>
        <v>2.3731218859131823E-2</v>
      </c>
      <c r="H55">
        <f t="shared" si="17"/>
        <v>3.0782712018494255E-2</v>
      </c>
      <c r="I55">
        <f t="shared" si="17"/>
        <v>1.3872141168457388E-2</v>
      </c>
      <c r="J55">
        <f t="shared" si="17"/>
        <v>1.9388509671182507E-2</v>
      </c>
      <c r="K55">
        <f t="shared" si="17"/>
        <v>7.9376639375655107E-3</v>
      </c>
      <c r="L55">
        <f t="shared" si="17"/>
        <v>2.6088029209648249E-2</v>
      </c>
      <c r="M55">
        <f t="shared" si="17"/>
        <v>2.5885860366492014E-2</v>
      </c>
      <c r="N55">
        <f t="shared" si="17"/>
        <v>2.9165998279206105E-2</v>
      </c>
      <c r="O55">
        <f t="shared" si="17"/>
        <v>2.1333158875500753E-2</v>
      </c>
      <c r="P55">
        <f t="shared" si="17"/>
        <v>1.3866384901725464E-2</v>
      </c>
      <c r="Q55">
        <f t="shared" si="17"/>
        <v>2.7614373557580455E-2</v>
      </c>
      <c r="R55">
        <f t="shared" si="17"/>
        <v>3.9634383620478435E-2</v>
      </c>
      <c r="S55">
        <f t="shared" si="17"/>
        <v>2.8911280675772276E-2</v>
      </c>
      <c r="T55">
        <f t="shared" si="17"/>
        <v>3.9952578977628828E-2</v>
      </c>
      <c r="U55">
        <f t="shared" si="17"/>
        <v>1.8876933009313434E-2</v>
      </c>
      <c r="V55">
        <f t="shared" si="17"/>
        <v>6.9224313718824031E-3</v>
      </c>
      <c r="W55">
        <f t="shared" si="17"/>
        <v>2.7292518089895614E-2</v>
      </c>
      <c r="X55">
        <f t="shared" si="17"/>
        <v>1.7057823806184758E-2</v>
      </c>
    </row>
    <row r="56" spans="1:24" x14ac:dyDescent="0.45">
      <c r="A56" t="s">
        <v>29</v>
      </c>
      <c r="B56" t="s">
        <v>2116</v>
      </c>
      <c r="C56">
        <v>15</v>
      </c>
      <c r="D56">
        <v>24</v>
      </c>
      <c r="E56">
        <v>21</v>
      </c>
      <c r="F56">
        <v>19</v>
      </c>
      <c r="G56">
        <v>11</v>
      </c>
      <c r="H56">
        <v>13</v>
      </c>
      <c r="I56">
        <v>1</v>
      </c>
      <c r="J56">
        <v>1</v>
      </c>
      <c r="K56">
        <v>15</v>
      </c>
      <c r="L56">
        <v>8</v>
      </c>
      <c r="M56">
        <v>13</v>
      </c>
      <c r="N56">
        <v>14</v>
      </c>
      <c r="O56">
        <v>18</v>
      </c>
      <c r="P56">
        <v>16</v>
      </c>
      <c r="Q56">
        <v>25</v>
      </c>
      <c r="R56">
        <v>35</v>
      </c>
      <c r="S56">
        <v>41</v>
      </c>
      <c r="T56">
        <v>30</v>
      </c>
      <c r="U56">
        <v>21</v>
      </c>
      <c r="V56">
        <v>24</v>
      </c>
      <c r="W56">
        <v>15</v>
      </c>
      <c r="X56">
        <v>19</v>
      </c>
    </row>
    <row r="57" spans="1:24" x14ac:dyDescent="0.45">
      <c r="A57" t="s">
        <v>29</v>
      </c>
      <c r="B57" t="s">
        <v>2117</v>
      </c>
      <c r="C57">
        <v>264</v>
      </c>
      <c r="D57">
        <v>262</v>
      </c>
      <c r="E57">
        <v>267</v>
      </c>
      <c r="F57">
        <v>263</v>
      </c>
      <c r="G57">
        <v>267.387</v>
      </c>
      <c r="H57">
        <v>271.1748</v>
      </c>
      <c r="I57">
        <v>287.71839999999997</v>
      </c>
      <c r="J57">
        <v>261.822</v>
      </c>
      <c r="K57">
        <v>244.87520000000001</v>
      </c>
      <c r="L57">
        <v>256.35829999999999</v>
      </c>
      <c r="M57">
        <v>259.61930000000001</v>
      </c>
      <c r="N57">
        <v>253.79650000000001</v>
      </c>
      <c r="O57">
        <v>283.55840000000001</v>
      </c>
      <c r="P57">
        <v>308.51949999999999</v>
      </c>
      <c r="Q57">
        <v>313.9271</v>
      </c>
      <c r="R57">
        <v>314.45729999999998</v>
      </c>
      <c r="S57">
        <v>374.59870000000001</v>
      </c>
      <c r="T57">
        <v>419.97295946825108</v>
      </c>
      <c r="U57">
        <v>494.59384831116427</v>
      </c>
      <c r="V57">
        <v>529.84600992917808</v>
      </c>
      <c r="W57">
        <v>526.75544856458782</v>
      </c>
      <c r="X57">
        <v>526.75544856458782</v>
      </c>
    </row>
    <row r="58" spans="1:24" x14ac:dyDescent="0.45">
      <c r="A58" t="s">
        <v>29</v>
      </c>
      <c r="B58" t="s">
        <v>2118</v>
      </c>
      <c r="C58">
        <f t="shared" ref="C58:X58" si="18">IFERROR(C56/C57, 0)</f>
        <v>5.6818181818181816E-2</v>
      </c>
      <c r="D58">
        <f t="shared" si="18"/>
        <v>9.1603053435114504E-2</v>
      </c>
      <c r="E58">
        <f t="shared" si="18"/>
        <v>7.8651685393258425E-2</v>
      </c>
      <c r="F58">
        <f t="shared" si="18"/>
        <v>7.2243346007604556E-2</v>
      </c>
      <c r="G58">
        <f t="shared" si="18"/>
        <v>4.1138873617640348E-2</v>
      </c>
      <c r="H58">
        <f t="shared" si="18"/>
        <v>4.7939557805518798E-2</v>
      </c>
      <c r="I58">
        <f t="shared" si="18"/>
        <v>3.4756206068155531E-3</v>
      </c>
      <c r="J58">
        <f t="shared" si="18"/>
        <v>3.8193887450252463E-3</v>
      </c>
      <c r="K58">
        <f t="shared" si="18"/>
        <v>6.1255692695707853E-2</v>
      </c>
      <c r="L58">
        <f t="shared" si="18"/>
        <v>3.120632333729784E-2</v>
      </c>
      <c r="M58">
        <f t="shared" si="18"/>
        <v>5.007331889424245E-2</v>
      </c>
      <c r="N58">
        <f t="shared" si="18"/>
        <v>5.5162305232735673E-2</v>
      </c>
      <c r="O58">
        <f t="shared" si="18"/>
        <v>6.3478987044644067E-2</v>
      </c>
      <c r="P58">
        <f t="shared" si="18"/>
        <v>5.186057931508381E-2</v>
      </c>
      <c r="Q58">
        <f t="shared" si="18"/>
        <v>7.9636323210070109E-2</v>
      </c>
      <c r="R58">
        <f t="shared" si="18"/>
        <v>0.11130287005580727</v>
      </c>
      <c r="S58">
        <f t="shared" si="18"/>
        <v>0.10945045991884114</v>
      </c>
      <c r="T58">
        <f t="shared" si="18"/>
        <v>7.1433170454556202E-2</v>
      </c>
      <c r="U58">
        <f t="shared" si="18"/>
        <v>4.2459080459060321E-2</v>
      </c>
      <c r="V58">
        <f t="shared" si="18"/>
        <v>4.5296179550749022E-2</v>
      </c>
      <c r="W58">
        <f t="shared" si="18"/>
        <v>2.8476212331310671E-2</v>
      </c>
      <c r="X58">
        <f t="shared" si="18"/>
        <v>3.6069868952993515E-2</v>
      </c>
    </row>
    <row r="59" spans="1:24" x14ac:dyDescent="0.45">
      <c r="A59" t="s">
        <v>30</v>
      </c>
      <c r="B59" t="s">
        <v>2116</v>
      </c>
      <c r="C59">
        <v>8</v>
      </c>
      <c r="D59">
        <v>14</v>
      </c>
      <c r="E59">
        <v>13</v>
      </c>
      <c r="F59">
        <v>8</v>
      </c>
      <c r="G59">
        <v>4</v>
      </c>
      <c r="H59">
        <v>3</v>
      </c>
      <c r="I59">
        <v>3</v>
      </c>
      <c r="J59">
        <v>2</v>
      </c>
      <c r="K59">
        <v>3</v>
      </c>
      <c r="L59">
        <v>6</v>
      </c>
      <c r="M59">
        <v>1</v>
      </c>
      <c r="N59">
        <v>2</v>
      </c>
      <c r="O59">
        <v>2</v>
      </c>
      <c r="P59">
        <v>2</v>
      </c>
      <c r="Q59">
        <v>4</v>
      </c>
      <c r="R59">
        <v>4</v>
      </c>
      <c r="S59">
        <v>7</v>
      </c>
      <c r="T59">
        <v>2</v>
      </c>
      <c r="U59">
        <v>4</v>
      </c>
      <c r="V59">
        <v>6</v>
      </c>
      <c r="W59">
        <v>3</v>
      </c>
      <c r="X59">
        <v>4</v>
      </c>
    </row>
    <row r="60" spans="1:24" x14ac:dyDescent="0.45">
      <c r="A60" t="s">
        <v>30</v>
      </c>
      <c r="B60" t="s">
        <v>2117</v>
      </c>
      <c r="C60">
        <v>245</v>
      </c>
      <c r="D60">
        <v>222</v>
      </c>
      <c r="E60">
        <v>184</v>
      </c>
      <c r="F60">
        <v>158</v>
      </c>
      <c r="G60">
        <v>167.68530000000001</v>
      </c>
      <c r="H60">
        <v>154.00360000000001</v>
      </c>
      <c r="I60">
        <v>147.3656</v>
      </c>
      <c r="J60">
        <v>129.3458</v>
      </c>
      <c r="K60">
        <v>115.1403</v>
      </c>
      <c r="L60">
        <v>124.1417</v>
      </c>
      <c r="M60">
        <v>120.1322</v>
      </c>
      <c r="N60">
        <v>116.86750000000001</v>
      </c>
      <c r="O60">
        <v>110.30110000000001</v>
      </c>
      <c r="P60">
        <v>116.0731</v>
      </c>
      <c r="Q60">
        <v>118.8492</v>
      </c>
      <c r="R60">
        <v>116.5132</v>
      </c>
      <c r="S60">
        <v>115.60339999999999</v>
      </c>
      <c r="T60">
        <v>119.266982473932</v>
      </c>
      <c r="U60">
        <v>116.65895312490773</v>
      </c>
      <c r="V60">
        <v>126.70526166591715</v>
      </c>
      <c r="W60">
        <v>121.06660794195743</v>
      </c>
      <c r="X60">
        <v>121.06660794195743</v>
      </c>
    </row>
    <row r="61" spans="1:24" x14ac:dyDescent="0.45">
      <c r="A61" t="s">
        <v>30</v>
      </c>
      <c r="B61" t="s">
        <v>2118</v>
      </c>
      <c r="C61">
        <f t="shared" ref="C61:X61" si="19">IFERROR(C59/C60, 0)</f>
        <v>3.2653061224489799E-2</v>
      </c>
      <c r="D61">
        <f t="shared" si="19"/>
        <v>6.3063063063063057E-2</v>
      </c>
      <c r="E61">
        <f t="shared" si="19"/>
        <v>7.0652173913043473E-2</v>
      </c>
      <c r="F61">
        <f t="shared" si="19"/>
        <v>5.0632911392405063E-2</v>
      </c>
      <c r="G61">
        <f t="shared" si="19"/>
        <v>2.385420785244741E-2</v>
      </c>
      <c r="H61">
        <f t="shared" si="19"/>
        <v>1.9480064102397606E-2</v>
      </c>
      <c r="I61">
        <f t="shared" si="19"/>
        <v>2.0357532558480405E-2</v>
      </c>
      <c r="J61">
        <f t="shared" si="19"/>
        <v>1.5462427075328307E-2</v>
      </c>
      <c r="K61">
        <f t="shared" si="19"/>
        <v>2.6055169215296471E-2</v>
      </c>
      <c r="L61">
        <f t="shared" si="19"/>
        <v>4.8331865924181802E-2</v>
      </c>
      <c r="M61">
        <f t="shared" si="19"/>
        <v>8.3241628805599162E-3</v>
      </c>
      <c r="N61">
        <f t="shared" si="19"/>
        <v>1.711339765118617E-2</v>
      </c>
      <c r="O61">
        <f t="shared" si="19"/>
        <v>1.813218544511342E-2</v>
      </c>
      <c r="P61">
        <f t="shared" si="19"/>
        <v>1.7230521111265228E-2</v>
      </c>
      <c r="Q61">
        <f t="shared" si="19"/>
        <v>3.3656095287136978E-2</v>
      </c>
      <c r="R61">
        <f t="shared" si="19"/>
        <v>3.4330874098385422E-2</v>
      </c>
      <c r="S61">
        <f t="shared" si="19"/>
        <v>6.0551852281161285E-2</v>
      </c>
      <c r="T61">
        <f t="shared" si="19"/>
        <v>1.6769100370566822E-2</v>
      </c>
      <c r="U61">
        <f t="shared" si="19"/>
        <v>3.4287981272360352E-2</v>
      </c>
      <c r="V61">
        <f t="shared" si="19"/>
        <v>4.7353992416038389E-2</v>
      </c>
      <c r="W61">
        <f t="shared" si="19"/>
        <v>2.4779747702506707E-2</v>
      </c>
      <c r="X61">
        <f t="shared" si="19"/>
        <v>3.3039663603342276E-2</v>
      </c>
    </row>
    <row r="62" spans="1:24" x14ac:dyDescent="0.45">
      <c r="A62" t="s">
        <v>31</v>
      </c>
      <c r="B62" t="s">
        <v>2116</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row>
    <row r="63" spans="1:24" x14ac:dyDescent="0.45">
      <c r="A63" t="s">
        <v>31</v>
      </c>
      <c r="B63" t="s">
        <v>2117</v>
      </c>
      <c r="C63">
        <v>2</v>
      </c>
      <c r="D63">
        <v>2</v>
      </c>
      <c r="E63">
        <v>2</v>
      </c>
      <c r="F63">
        <v>2</v>
      </c>
      <c r="G63">
        <v>0</v>
      </c>
      <c r="H63">
        <v>0</v>
      </c>
      <c r="I63">
        <v>0</v>
      </c>
      <c r="J63">
        <v>0</v>
      </c>
      <c r="K63">
        <v>0</v>
      </c>
      <c r="L63">
        <v>0</v>
      </c>
      <c r="M63">
        <v>0</v>
      </c>
      <c r="N63">
        <v>0</v>
      </c>
      <c r="O63">
        <v>0</v>
      </c>
      <c r="P63">
        <v>0</v>
      </c>
      <c r="Q63">
        <v>0</v>
      </c>
      <c r="R63">
        <v>0</v>
      </c>
      <c r="S63">
        <v>0</v>
      </c>
      <c r="T63">
        <v>0</v>
      </c>
      <c r="U63">
        <v>0</v>
      </c>
      <c r="V63">
        <v>0</v>
      </c>
      <c r="W63">
        <v>0</v>
      </c>
      <c r="X63">
        <v>0</v>
      </c>
    </row>
    <row r="64" spans="1:24" x14ac:dyDescent="0.45">
      <c r="A64" t="s">
        <v>31</v>
      </c>
      <c r="B64" t="s">
        <v>2118</v>
      </c>
      <c r="C64">
        <f t="shared" ref="C64:X64" si="20">IFERROR(C62/C63, 0)</f>
        <v>0</v>
      </c>
      <c r="D64">
        <f t="shared" si="20"/>
        <v>0</v>
      </c>
      <c r="E64">
        <f t="shared" si="20"/>
        <v>0</v>
      </c>
      <c r="F64">
        <f t="shared" si="20"/>
        <v>0</v>
      </c>
      <c r="G64">
        <f t="shared" si="20"/>
        <v>0</v>
      </c>
      <c r="H64">
        <f t="shared" si="20"/>
        <v>0</v>
      </c>
      <c r="I64">
        <f t="shared" si="20"/>
        <v>0</v>
      </c>
      <c r="J64">
        <f t="shared" si="20"/>
        <v>0</v>
      </c>
      <c r="K64">
        <f t="shared" si="20"/>
        <v>0</v>
      </c>
      <c r="L64">
        <f t="shared" si="20"/>
        <v>0</v>
      </c>
      <c r="M64">
        <f t="shared" si="20"/>
        <v>0</v>
      </c>
      <c r="N64">
        <f t="shared" si="20"/>
        <v>0</v>
      </c>
      <c r="O64">
        <f t="shared" si="20"/>
        <v>0</v>
      </c>
      <c r="P64">
        <f t="shared" si="20"/>
        <v>0</v>
      </c>
      <c r="Q64">
        <f t="shared" si="20"/>
        <v>0</v>
      </c>
      <c r="R64">
        <f t="shared" si="20"/>
        <v>0</v>
      </c>
      <c r="S64">
        <f t="shared" si="20"/>
        <v>0</v>
      </c>
      <c r="T64">
        <f t="shared" si="20"/>
        <v>0</v>
      </c>
      <c r="U64">
        <f t="shared" si="20"/>
        <v>0</v>
      </c>
      <c r="V64">
        <f t="shared" si="20"/>
        <v>0</v>
      </c>
      <c r="W64">
        <f t="shared" si="20"/>
        <v>0</v>
      </c>
      <c r="X64">
        <f t="shared" si="20"/>
        <v>0</v>
      </c>
    </row>
    <row r="65" spans="1:24" x14ac:dyDescent="0.45">
      <c r="A65" t="s">
        <v>32</v>
      </c>
      <c r="B65" t="s">
        <v>2116</v>
      </c>
      <c r="C65">
        <v>21</v>
      </c>
      <c r="D65">
        <v>5</v>
      </c>
      <c r="E65">
        <v>4</v>
      </c>
      <c r="F65">
        <v>0</v>
      </c>
      <c r="G65">
        <v>0</v>
      </c>
      <c r="H65">
        <v>1</v>
      </c>
      <c r="I65">
        <v>2</v>
      </c>
      <c r="J65">
        <v>0</v>
      </c>
      <c r="K65">
        <v>1</v>
      </c>
      <c r="L65">
        <v>1</v>
      </c>
      <c r="M65">
        <v>2</v>
      </c>
      <c r="N65">
        <v>1</v>
      </c>
      <c r="O65">
        <v>2</v>
      </c>
      <c r="P65">
        <v>2</v>
      </c>
      <c r="Q65">
        <v>3</v>
      </c>
      <c r="R65">
        <v>3</v>
      </c>
      <c r="S65">
        <v>4</v>
      </c>
      <c r="T65">
        <v>6</v>
      </c>
      <c r="U65">
        <v>3</v>
      </c>
      <c r="V65">
        <v>0</v>
      </c>
      <c r="W65">
        <v>2</v>
      </c>
      <c r="X65">
        <v>2</v>
      </c>
    </row>
    <row r="66" spans="1:24" x14ac:dyDescent="0.45">
      <c r="A66" t="s">
        <v>32</v>
      </c>
      <c r="B66" t="s">
        <v>2117</v>
      </c>
      <c r="C66">
        <v>98</v>
      </c>
      <c r="D66">
        <v>94</v>
      </c>
      <c r="E66">
        <v>94</v>
      </c>
      <c r="F66">
        <v>99</v>
      </c>
      <c r="G66">
        <v>163.58879999999999</v>
      </c>
      <c r="H66">
        <v>170.20660000000001</v>
      </c>
      <c r="I66">
        <v>174.93950000000001</v>
      </c>
      <c r="J66">
        <v>170.21449999999999</v>
      </c>
      <c r="K66">
        <v>165.98939999999999</v>
      </c>
      <c r="L66">
        <v>178.55539999999999</v>
      </c>
      <c r="M66">
        <v>181.9914</v>
      </c>
      <c r="N66">
        <v>175.92420000000001</v>
      </c>
      <c r="O66">
        <v>176.107</v>
      </c>
      <c r="P66">
        <v>177.62880000000001</v>
      </c>
      <c r="Q66">
        <v>180.45439999999999</v>
      </c>
      <c r="R66">
        <v>184.0412</v>
      </c>
      <c r="S66">
        <v>178.26599999999999</v>
      </c>
      <c r="T66">
        <v>203.58655069316251</v>
      </c>
      <c r="U66">
        <v>202.01676070587928</v>
      </c>
      <c r="V66">
        <v>209.89940267217872</v>
      </c>
      <c r="W66">
        <v>210.4218379317191</v>
      </c>
      <c r="X66">
        <v>210.4218379317191</v>
      </c>
    </row>
    <row r="67" spans="1:24" x14ac:dyDescent="0.45">
      <c r="A67" t="s">
        <v>32</v>
      </c>
      <c r="B67" t="s">
        <v>2118</v>
      </c>
      <c r="C67">
        <f t="shared" ref="C67:X67" si="21">IFERROR(C65/C66, 0)</f>
        <v>0.21428571428571427</v>
      </c>
      <c r="D67">
        <f t="shared" si="21"/>
        <v>5.3191489361702128E-2</v>
      </c>
      <c r="E67">
        <f t="shared" si="21"/>
        <v>4.2553191489361701E-2</v>
      </c>
      <c r="F67">
        <f t="shared" si="21"/>
        <v>0</v>
      </c>
      <c r="G67">
        <f t="shared" si="21"/>
        <v>0</v>
      </c>
      <c r="H67">
        <f t="shared" si="21"/>
        <v>5.875212829584751E-3</v>
      </c>
      <c r="I67">
        <f t="shared" si="21"/>
        <v>1.1432523815376173E-2</v>
      </c>
      <c r="J67">
        <f t="shared" si="21"/>
        <v>0</v>
      </c>
      <c r="K67">
        <f t="shared" si="21"/>
        <v>6.024481081322061E-3</v>
      </c>
      <c r="L67">
        <f t="shared" si="21"/>
        <v>5.6005027011224529E-3</v>
      </c>
      <c r="M67">
        <f t="shared" si="21"/>
        <v>1.0989530274507477E-2</v>
      </c>
      <c r="N67">
        <f t="shared" si="21"/>
        <v>5.6842662919598325E-3</v>
      </c>
      <c r="O67">
        <f t="shared" si="21"/>
        <v>1.1356731986803478E-2</v>
      </c>
      <c r="P67">
        <f t="shared" si="21"/>
        <v>1.1259435406870957E-2</v>
      </c>
      <c r="Q67">
        <f t="shared" si="21"/>
        <v>1.6624698538799831E-2</v>
      </c>
      <c r="R67">
        <f t="shared" si="21"/>
        <v>1.6300697887212209E-2</v>
      </c>
      <c r="S67">
        <f t="shared" si="21"/>
        <v>2.2438378602762165E-2</v>
      </c>
      <c r="T67">
        <f t="shared" si="21"/>
        <v>2.9471494946849214E-2</v>
      </c>
      <c r="U67">
        <f t="shared" si="21"/>
        <v>1.4850252966721742E-2</v>
      </c>
      <c r="V67">
        <f t="shared" si="21"/>
        <v>0</v>
      </c>
      <c r="W67">
        <f t="shared" si="21"/>
        <v>9.504716904188389E-3</v>
      </c>
      <c r="X67">
        <f t="shared" si="21"/>
        <v>9.504716904188389E-3</v>
      </c>
    </row>
    <row r="68" spans="1:24" x14ac:dyDescent="0.45">
      <c r="A68" t="s">
        <v>33</v>
      </c>
      <c r="B68" t="s">
        <v>2116</v>
      </c>
      <c r="C68">
        <v>1</v>
      </c>
      <c r="D68">
        <v>1</v>
      </c>
      <c r="E68">
        <v>0</v>
      </c>
      <c r="F68">
        <v>0</v>
      </c>
      <c r="G68">
        <v>2</v>
      </c>
      <c r="H68">
        <v>1</v>
      </c>
      <c r="I68">
        <v>2</v>
      </c>
      <c r="J68">
        <v>0</v>
      </c>
      <c r="K68">
        <v>1</v>
      </c>
      <c r="L68">
        <v>0</v>
      </c>
      <c r="M68">
        <v>0</v>
      </c>
      <c r="N68">
        <v>0</v>
      </c>
      <c r="O68">
        <v>0</v>
      </c>
      <c r="P68">
        <v>1</v>
      </c>
      <c r="Q68">
        <v>0</v>
      </c>
      <c r="R68">
        <v>4</v>
      </c>
      <c r="S68">
        <v>1</v>
      </c>
      <c r="T68">
        <v>1</v>
      </c>
      <c r="U68">
        <v>1</v>
      </c>
      <c r="V68">
        <v>1</v>
      </c>
      <c r="W68">
        <v>1</v>
      </c>
      <c r="X68">
        <v>0</v>
      </c>
    </row>
    <row r="69" spans="1:24" x14ac:dyDescent="0.45">
      <c r="A69" t="s">
        <v>33</v>
      </c>
      <c r="B69" t="s">
        <v>2117</v>
      </c>
      <c r="C69">
        <v>168</v>
      </c>
      <c r="D69">
        <v>158</v>
      </c>
      <c r="E69">
        <v>150</v>
      </c>
      <c r="F69">
        <v>142</v>
      </c>
      <c r="G69">
        <v>62.229709999999997</v>
      </c>
      <c r="H69">
        <v>65.289500000000004</v>
      </c>
      <c r="I69">
        <v>69.401359999999997</v>
      </c>
      <c r="J69">
        <v>68.798810000000003</v>
      </c>
      <c r="K69">
        <v>64.003010000000003</v>
      </c>
      <c r="L69">
        <v>68.957759999999993</v>
      </c>
      <c r="M69">
        <v>69.733949999999993</v>
      </c>
      <c r="N69">
        <v>71.726960000000005</v>
      </c>
      <c r="O69">
        <v>72.768259999999998</v>
      </c>
      <c r="P69">
        <v>80.352180000000004</v>
      </c>
      <c r="Q69">
        <v>75.832710000000006</v>
      </c>
      <c r="R69">
        <v>74.278689999999997</v>
      </c>
      <c r="S69">
        <v>77.984340000000003</v>
      </c>
      <c r="T69">
        <v>102.14529685447553</v>
      </c>
      <c r="U69">
        <v>49.643282415531786</v>
      </c>
      <c r="V69">
        <v>57.768985716833988</v>
      </c>
      <c r="W69">
        <v>57.780742457594499</v>
      </c>
      <c r="X69">
        <v>57.780742457594499</v>
      </c>
    </row>
    <row r="70" spans="1:24" x14ac:dyDescent="0.45">
      <c r="A70" t="s">
        <v>33</v>
      </c>
      <c r="B70" t="s">
        <v>2118</v>
      </c>
      <c r="C70">
        <f t="shared" ref="C70:X70" si="22">IFERROR(C68/C69, 0)</f>
        <v>5.9523809523809521E-3</v>
      </c>
      <c r="D70">
        <f t="shared" si="22"/>
        <v>6.3291139240506328E-3</v>
      </c>
      <c r="E70">
        <f t="shared" si="22"/>
        <v>0</v>
      </c>
      <c r="F70">
        <f t="shared" si="22"/>
        <v>0</v>
      </c>
      <c r="G70">
        <f t="shared" si="22"/>
        <v>3.2138989559809941E-2</v>
      </c>
      <c r="H70">
        <f t="shared" si="22"/>
        <v>1.5316398502056225E-2</v>
      </c>
      <c r="I70">
        <f t="shared" si="22"/>
        <v>2.8817879073263119E-2</v>
      </c>
      <c r="J70">
        <f t="shared" si="22"/>
        <v>0</v>
      </c>
      <c r="K70">
        <f t="shared" si="22"/>
        <v>1.5624265171278663E-2</v>
      </c>
      <c r="L70">
        <f t="shared" si="22"/>
        <v>0</v>
      </c>
      <c r="M70">
        <f t="shared" si="22"/>
        <v>0</v>
      </c>
      <c r="N70">
        <f t="shared" si="22"/>
        <v>0</v>
      </c>
      <c r="O70">
        <f t="shared" si="22"/>
        <v>0</v>
      </c>
      <c r="P70">
        <f t="shared" si="22"/>
        <v>1.244521306080308E-2</v>
      </c>
      <c r="Q70">
        <f t="shared" si="22"/>
        <v>0</v>
      </c>
      <c r="R70">
        <f t="shared" si="22"/>
        <v>5.3851245895693636E-2</v>
      </c>
      <c r="S70">
        <f t="shared" si="22"/>
        <v>1.2823087301886506E-2</v>
      </c>
      <c r="T70">
        <f t="shared" si="22"/>
        <v>9.7899759538090242E-3</v>
      </c>
      <c r="U70">
        <f t="shared" si="22"/>
        <v>2.0143712328077889E-2</v>
      </c>
      <c r="V70">
        <f t="shared" si="22"/>
        <v>1.7310326425007634E-2</v>
      </c>
      <c r="W70">
        <f t="shared" si="22"/>
        <v>1.7306804265000638E-2</v>
      </c>
      <c r="X70">
        <f t="shared" si="22"/>
        <v>0</v>
      </c>
    </row>
    <row r="71" spans="1:24" x14ac:dyDescent="0.45">
      <c r="A71" t="s">
        <v>34</v>
      </c>
      <c r="B71" t="s">
        <v>2116</v>
      </c>
      <c r="C71">
        <v>2</v>
      </c>
      <c r="D71">
        <v>0</v>
      </c>
      <c r="E71">
        <v>1</v>
      </c>
      <c r="F71">
        <v>2</v>
      </c>
      <c r="G71">
        <v>3</v>
      </c>
      <c r="H71">
        <v>12</v>
      </c>
      <c r="I71">
        <v>2</v>
      </c>
      <c r="J71">
        <v>0</v>
      </c>
      <c r="K71">
        <v>0</v>
      </c>
      <c r="L71">
        <v>1</v>
      </c>
      <c r="M71">
        <v>1</v>
      </c>
      <c r="N71">
        <v>0</v>
      </c>
      <c r="O71">
        <v>2</v>
      </c>
      <c r="P71">
        <v>2</v>
      </c>
      <c r="Q71">
        <v>4</v>
      </c>
      <c r="R71">
        <v>1</v>
      </c>
      <c r="S71">
        <v>4</v>
      </c>
      <c r="T71">
        <v>2</v>
      </c>
      <c r="U71">
        <v>2</v>
      </c>
      <c r="V71">
        <v>1</v>
      </c>
      <c r="W71">
        <v>1</v>
      </c>
      <c r="X71">
        <v>2</v>
      </c>
    </row>
    <row r="72" spans="1:24" x14ac:dyDescent="0.45">
      <c r="A72" t="s">
        <v>34</v>
      </c>
      <c r="B72" t="s">
        <v>2117</v>
      </c>
      <c r="C72">
        <v>154</v>
      </c>
      <c r="D72">
        <v>145</v>
      </c>
      <c r="E72">
        <v>144</v>
      </c>
      <c r="F72">
        <v>154</v>
      </c>
      <c r="G72">
        <v>221.46729999999999</v>
      </c>
      <c r="H72">
        <v>218.97139999999999</v>
      </c>
      <c r="I72">
        <v>218.4239</v>
      </c>
      <c r="J72">
        <v>191.81370000000001</v>
      </c>
      <c r="K72">
        <v>177.18950000000001</v>
      </c>
      <c r="L72">
        <v>193.62350000000001</v>
      </c>
      <c r="M72">
        <v>203.1951</v>
      </c>
      <c r="N72">
        <v>220.48419999999999</v>
      </c>
      <c r="O72">
        <v>251.06290000000001</v>
      </c>
      <c r="P72">
        <v>275.07060000000001</v>
      </c>
      <c r="Q72">
        <v>296.96100000000001</v>
      </c>
      <c r="R72">
        <v>310.24869999999999</v>
      </c>
      <c r="S72">
        <v>309.416</v>
      </c>
      <c r="T72">
        <v>360.63813282173959</v>
      </c>
      <c r="U72">
        <v>352.75613205598819</v>
      </c>
      <c r="V72">
        <v>383.48197801263586</v>
      </c>
      <c r="W72">
        <v>323.03321056445316</v>
      </c>
      <c r="X72">
        <v>323.03321056445316</v>
      </c>
    </row>
    <row r="73" spans="1:24" x14ac:dyDescent="0.45">
      <c r="A73" t="s">
        <v>34</v>
      </c>
      <c r="B73" t="s">
        <v>2118</v>
      </c>
      <c r="C73">
        <f t="shared" ref="C73:X73" si="23">IFERROR(C71/C72, 0)</f>
        <v>1.2987012987012988E-2</v>
      </c>
      <c r="D73">
        <f t="shared" si="23"/>
        <v>0</v>
      </c>
      <c r="E73">
        <f t="shared" si="23"/>
        <v>6.9444444444444441E-3</v>
      </c>
      <c r="F73">
        <f t="shared" si="23"/>
        <v>1.2987012987012988E-2</v>
      </c>
      <c r="G73">
        <f t="shared" si="23"/>
        <v>1.3546017854554601E-2</v>
      </c>
      <c r="H73">
        <f t="shared" si="23"/>
        <v>5.4801677296669793E-2</v>
      </c>
      <c r="I73">
        <f t="shared" si="23"/>
        <v>9.1565071404731812E-3</v>
      </c>
      <c r="J73">
        <f t="shared" si="23"/>
        <v>0</v>
      </c>
      <c r="K73">
        <f t="shared" si="23"/>
        <v>0</v>
      </c>
      <c r="L73">
        <f t="shared" si="23"/>
        <v>5.1646623472873902E-3</v>
      </c>
      <c r="M73">
        <f t="shared" si="23"/>
        <v>4.9213785174937784E-3</v>
      </c>
      <c r="N73">
        <f t="shared" si="23"/>
        <v>0</v>
      </c>
      <c r="O73">
        <f t="shared" si="23"/>
        <v>7.9661311966045152E-3</v>
      </c>
      <c r="P73">
        <f t="shared" si="23"/>
        <v>7.2708606445036289E-3</v>
      </c>
      <c r="Q73">
        <f t="shared" si="23"/>
        <v>1.346978222729584E-2</v>
      </c>
      <c r="R73">
        <f t="shared" si="23"/>
        <v>3.2232205968953298E-3</v>
      </c>
      <c r="S73">
        <f t="shared" si="23"/>
        <v>1.2927579698528842E-2</v>
      </c>
      <c r="T73">
        <f t="shared" si="23"/>
        <v>5.5457252519344183E-3</v>
      </c>
      <c r="U73">
        <f t="shared" si="23"/>
        <v>5.6696392160308848E-3</v>
      </c>
      <c r="V73">
        <f t="shared" si="23"/>
        <v>2.6076844736809238E-3</v>
      </c>
      <c r="W73">
        <f t="shared" si="23"/>
        <v>3.0956569395841583E-3</v>
      </c>
      <c r="X73">
        <f t="shared" si="23"/>
        <v>6.1913138791683166E-3</v>
      </c>
    </row>
    <row r="74" spans="1:24" x14ac:dyDescent="0.45">
      <c r="A74" t="s">
        <v>35</v>
      </c>
      <c r="B74" t="s">
        <v>2116</v>
      </c>
      <c r="C74">
        <v>8</v>
      </c>
      <c r="D74">
        <v>5</v>
      </c>
      <c r="E74">
        <v>1</v>
      </c>
      <c r="F74">
        <v>5</v>
      </c>
      <c r="G74">
        <v>2</v>
      </c>
      <c r="H74">
        <v>5</v>
      </c>
      <c r="I74">
        <v>3</v>
      </c>
      <c r="J74">
        <v>3</v>
      </c>
      <c r="K74">
        <v>2</v>
      </c>
      <c r="L74">
        <v>2</v>
      </c>
      <c r="M74">
        <v>3</v>
      </c>
      <c r="N74">
        <v>2</v>
      </c>
      <c r="O74">
        <v>7</v>
      </c>
      <c r="P74">
        <v>4</v>
      </c>
      <c r="Q74">
        <v>2</v>
      </c>
      <c r="R74">
        <v>6</v>
      </c>
      <c r="S74">
        <v>8</v>
      </c>
      <c r="T74">
        <v>7</v>
      </c>
      <c r="U74">
        <v>8</v>
      </c>
      <c r="V74">
        <v>1</v>
      </c>
      <c r="W74">
        <v>1</v>
      </c>
      <c r="X74">
        <v>4</v>
      </c>
    </row>
    <row r="75" spans="1:24" x14ac:dyDescent="0.45">
      <c r="A75" t="s">
        <v>35</v>
      </c>
      <c r="B75" t="s">
        <v>2117</v>
      </c>
      <c r="C75">
        <v>202</v>
      </c>
      <c r="D75">
        <v>190</v>
      </c>
      <c r="E75">
        <v>166</v>
      </c>
      <c r="F75">
        <v>165</v>
      </c>
      <c r="G75">
        <v>185.01150000000001</v>
      </c>
      <c r="H75">
        <v>179.4436</v>
      </c>
      <c r="I75">
        <v>180.5658</v>
      </c>
      <c r="J75">
        <v>160.80240000000001</v>
      </c>
      <c r="K75">
        <v>149.51249999999999</v>
      </c>
      <c r="L75">
        <v>169.77860000000001</v>
      </c>
      <c r="M75">
        <v>163.82769999999999</v>
      </c>
      <c r="N75">
        <v>161.80189999999999</v>
      </c>
      <c r="O75">
        <v>170.24789999999999</v>
      </c>
      <c r="P75">
        <v>177.35560000000001</v>
      </c>
      <c r="Q75">
        <v>176.2465</v>
      </c>
      <c r="R75">
        <v>178.26419999999999</v>
      </c>
      <c r="S75">
        <v>177.49279999999999</v>
      </c>
      <c r="T75">
        <v>192.57161235136454</v>
      </c>
      <c r="U75">
        <v>208.86934460583257</v>
      </c>
      <c r="V75">
        <v>230.68978780624496</v>
      </c>
      <c r="W75">
        <v>250.80507553488766</v>
      </c>
      <c r="X75">
        <v>250.80507553488766</v>
      </c>
    </row>
    <row r="76" spans="1:24" x14ac:dyDescent="0.45">
      <c r="A76" t="s">
        <v>35</v>
      </c>
      <c r="B76" t="s">
        <v>2118</v>
      </c>
      <c r="C76">
        <f t="shared" ref="C76:X76" si="24">IFERROR(C74/C75, 0)</f>
        <v>3.9603960396039604E-2</v>
      </c>
      <c r="D76">
        <f t="shared" si="24"/>
        <v>2.6315789473684209E-2</v>
      </c>
      <c r="E76">
        <f t="shared" si="24"/>
        <v>6.024096385542169E-3</v>
      </c>
      <c r="F76">
        <f t="shared" si="24"/>
        <v>3.0303030303030304E-2</v>
      </c>
      <c r="G76">
        <f t="shared" si="24"/>
        <v>1.0810138829207913E-2</v>
      </c>
      <c r="H76">
        <f t="shared" si="24"/>
        <v>2.786390821405723E-2</v>
      </c>
      <c r="I76">
        <f t="shared" si="24"/>
        <v>1.6614441937509761E-2</v>
      </c>
      <c r="J76">
        <f t="shared" si="24"/>
        <v>1.8656437963612483E-2</v>
      </c>
      <c r="K76">
        <f t="shared" si="24"/>
        <v>1.3376807959200737E-2</v>
      </c>
      <c r="L76">
        <f t="shared" si="24"/>
        <v>1.1780047662072839E-2</v>
      </c>
      <c r="M76">
        <f t="shared" si="24"/>
        <v>1.8311921610325972E-2</v>
      </c>
      <c r="N76">
        <f t="shared" si="24"/>
        <v>1.2360794279918839E-2</v>
      </c>
      <c r="O76">
        <f t="shared" si="24"/>
        <v>4.11165130377526E-2</v>
      </c>
      <c r="P76">
        <f t="shared" si="24"/>
        <v>2.2553559064388155E-2</v>
      </c>
      <c r="Q76">
        <f t="shared" si="24"/>
        <v>1.1347743075749022E-2</v>
      </c>
      <c r="R76">
        <f t="shared" si="24"/>
        <v>3.3657907757138006E-2</v>
      </c>
      <c r="S76">
        <f t="shared" si="24"/>
        <v>4.5072250818061356E-2</v>
      </c>
      <c r="T76">
        <f t="shared" si="24"/>
        <v>3.6350113677336093E-2</v>
      </c>
      <c r="U76">
        <f t="shared" si="24"/>
        <v>3.8301455941738061E-2</v>
      </c>
      <c r="V76">
        <f t="shared" si="24"/>
        <v>4.3348256093585485E-3</v>
      </c>
      <c r="W76">
        <f t="shared" si="24"/>
        <v>3.9871601396714845E-3</v>
      </c>
      <c r="X76">
        <f t="shared" si="24"/>
        <v>1.5948640558685938E-2</v>
      </c>
    </row>
    <row r="77" spans="1:24" x14ac:dyDescent="0.45">
      <c r="A77" t="s">
        <v>36</v>
      </c>
      <c r="B77" t="s">
        <v>2116</v>
      </c>
      <c r="C77">
        <v>7</v>
      </c>
      <c r="D77">
        <v>6</v>
      </c>
      <c r="E77">
        <v>8</v>
      </c>
      <c r="F77">
        <v>4</v>
      </c>
      <c r="G77">
        <v>9</v>
      </c>
      <c r="H77">
        <v>4</v>
      </c>
      <c r="I77">
        <v>1</v>
      </c>
      <c r="J77">
        <v>1</v>
      </c>
      <c r="K77">
        <v>0</v>
      </c>
      <c r="L77">
        <v>4</v>
      </c>
      <c r="M77">
        <v>1</v>
      </c>
      <c r="N77">
        <v>3</v>
      </c>
      <c r="O77">
        <v>3</v>
      </c>
      <c r="P77">
        <v>4</v>
      </c>
      <c r="Q77">
        <v>1</v>
      </c>
      <c r="R77">
        <v>3</v>
      </c>
      <c r="S77">
        <v>7</v>
      </c>
      <c r="T77">
        <v>1</v>
      </c>
      <c r="U77">
        <v>4</v>
      </c>
      <c r="V77">
        <v>1</v>
      </c>
      <c r="W77">
        <v>3</v>
      </c>
      <c r="X77">
        <v>4</v>
      </c>
    </row>
    <row r="78" spans="1:24" x14ac:dyDescent="0.45">
      <c r="A78" t="s">
        <v>36</v>
      </c>
      <c r="B78" t="s">
        <v>2117</v>
      </c>
      <c r="C78">
        <v>95</v>
      </c>
      <c r="D78">
        <v>90</v>
      </c>
      <c r="E78">
        <v>87</v>
      </c>
      <c r="F78">
        <v>85</v>
      </c>
      <c r="G78">
        <v>123.4979</v>
      </c>
      <c r="H78">
        <v>127.2679</v>
      </c>
      <c r="I78">
        <v>134.39789999999999</v>
      </c>
      <c r="J78">
        <v>124.59350000000001</v>
      </c>
      <c r="K78">
        <v>119.2799</v>
      </c>
      <c r="L78">
        <v>132.30760000000001</v>
      </c>
      <c r="M78">
        <v>130.8313</v>
      </c>
      <c r="N78">
        <v>121.17659999999999</v>
      </c>
      <c r="O78">
        <v>124.6576</v>
      </c>
      <c r="P78">
        <v>133.70259999999999</v>
      </c>
      <c r="Q78">
        <v>131.53030000000001</v>
      </c>
      <c r="R78">
        <v>118.1082</v>
      </c>
      <c r="S78">
        <v>106.61790000000001</v>
      </c>
      <c r="T78">
        <v>120.00259170851503</v>
      </c>
      <c r="U78">
        <v>124.34142415968419</v>
      </c>
      <c r="V78">
        <v>133.30631588718907</v>
      </c>
      <c r="W78">
        <v>127.31398034486253</v>
      </c>
      <c r="X78">
        <v>127.31398034486253</v>
      </c>
    </row>
    <row r="79" spans="1:24" x14ac:dyDescent="0.45">
      <c r="A79" t="s">
        <v>36</v>
      </c>
      <c r="B79" t="s">
        <v>2118</v>
      </c>
      <c r="C79">
        <f t="shared" ref="C79:X79" si="25">IFERROR(C77/C78, 0)</f>
        <v>7.3684210526315783E-2</v>
      </c>
      <c r="D79">
        <f t="shared" si="25"/>
        <v>6.6666666666666666E-2</v>
      </c>
      <c r="E79">
        <f t="shared" si="25"/>
        <v>9.1954022988505746E-2</v>
      </c>
      <c r="F79">
        <f t="shared" si="25"/>
        <v>4.7058823529411764E-2</v>
      </c>
      <c r="G79">
        <f t="shared" si="25"/>
        <v>7.2875733109631829E-2</v>
      </c>
      <c r="H79">
        <f t="shared" si="25"/>
        <v>3.1429763514601874E-2</v>
      </c>
      <c r="I79">
        <f t="shared" si="25"/>
        <v>7.4405924497332179E-3</v>
      </c>
      <c r="J79">
        <f t="shared" si="25"/>
        <v>8.0261008800619604E-3</v>
      </c>
      <c r="K79">
        <f t="shared" si="25"/>
        <v>0</v>
      </c>
      <c r="L79">
        <f t="shared" si="25"/>
        <v>3.0232579232032021E-2</v>
      </c>
      <c r="M79">
        <f t="shared" si="25"/>
        <v>7.6434308915374225E-3</v>
      </c>
      <c r="N79">
        <f t="shared" si="25"/>
        <v>2.4757255113611046E-2</v>
      </c>
      <c r="O79">
        <f t="shared" si="25"/>
        <v>2.4065921371821692E-2</v>
      </c>
      <c r="P79">
        <f t="shared" si="25"/>
        <v>2.9917144468394784E-2</v>
      </c>
      <c r="Q79">
        <f t="shared" si="25"/>
        <v>7.6028109112501064E-3</v>
      </c>
      <c r="R79">
        <f t="shared" si="25"/>
        <v>2.5400437903549459E-2</v>
      </c>
      <c r="S79">
        <f t="shared" si="25"/>
        <v>6.5655016652926002E-2</v>
      </c>
      <c r="T79">
        <f t="shared" si="25"/>
        <v>8.3331533574623872E-3</v>
      </c>
      <c r="U79">
        <f t="shared" si="25"/>
        <v>3.216948838275361E-2</v>
      </c>
      <c r="V79">
        <f t="shared" si="25"/>
        <v>7.5015200393524746E-3</v>
      </c>
      <c r="W79">
        <f t="shared" si="25"/>
        <v>2.3563790809726721E-2</v>
      </c>
      <c r="X79">
        <f t="shared" si="25"/>
        <v>3.1418387746302297E-2</v>
      </c>
    </row>
    <row r="80" spans="1:24" x14ac:dyDescent="0.45">
      <c r="A80" t="s">
        <v>37</v>
      </c>
      <c r="B80" t="s">
        <v>2116</v>
      </c>
      <c r="C80">
        <v>3</v>
      </c>
      <c r="D80">
        <v>1</v>
      </c>
      <c r="E80">
        <v>8</v>
      </c>
      <c r="F80">
        <v>1</v>
      </c>
      <c r="G80">
        <v>2</v>
      </c>
      <c r="H80">
        <v>1</v>
      </c>
      <c r="I80">
        <v>2</v>
      </c>
      <c r="J80">
        <v>0</v>
      </c>
      <c r="K80">
        <v>0</v>
      </c>
      <c r="L80">
        <v>3</v>
      </c>
      <c r="M80">
        <v>2</v>
      </c>
      <c r="N80">
        <v>1</v>
      </c>
      <c r="O80">
        <v>2</v>
      </c>
      <c r="P80">
        <v>1</v>
      </c>
      <c r="Q80">
        <v>1</v>
      </c>
      <c r="R80">
        <v>5</v>
      </c>
      <c r="S80">
        <v>5</v>
      </c>
      <c r="T80">
        <v>4</v>
      </c>
      <c r="U80">
        <v>5</v>
      </c>
      <c r="V80">
        <v>1</v>
      </c>
      <c r="W80">
        <v>1</v>
      </c>
      <c r="X80">
        <v>5</v>
      </c>
    </row>
    <row r="81" spans="1:24" x14ac:dyDescent="0.45">
      <c r="A81" t="s">
        <v>37</v>
      </c>
      <c r="B81" t="s">
        <v>2117</v>
      </c>
      <c r="C81">
        <v>107</v>
      </c>
      <c r="D81">
        <v>102</v>
      </c>
      <c r="E81">
        <v>96</v>
      </c>
      <c r="F81">
        <v>98</v>
      </c>
      <c r="G81">
        <v>123.6151</v>
      </c>
      <c r="H81">
        <v>125.8622</v>
      </c>
      <c r="I81">
        <v>131.68170000000001</v>
      </c>
      <c r="J81">
        <v>134.2236</v>
      </c>
      <c r="K81">
        <v>128.9759</v>
      </c>
      <c r="L81">
        <v>141.88300000000001</v>
      </c>
      <c r="M81">
        <v>143.8596</v>
      </c>
      <c r="N81">
        <v>132.8502</v>
      </c>
      <c r="O81">
        <v>152.36359999999999</v>
      </c>
      <c r="P81">
        <v>165.87979999999999</v>
      </c>
      <c r="Q81">
        <v>170.11930000000001</v>
      </c>
      <c r="R81">
        <v>163.8999</v>
      </c>
      <c r="S81">
        <v>172.86170000000001</v>
      </c>
      <c r="T81">
        <v>166.85581677803239</v>
      </c>
      <c r="U81">
        <v>163.49163883082838</v>
      </c>
      <c r="V81">
        <v>176.5536570166887</v>
      </c>
      <c r="W81">
        <v>200.61722299846679</v>
      </c>
      <c r="X81">
        <v>200.61722299846679</v>
      </c>
    </row>
    <row r="82" spans="1:24" x14ac:dyDescent="0.45">
      <c r="A82" t="s">
        <v>37</v>
      </c>
      <c r="B82" t="s">
        <v>2118</v>
      </c>
      <c r="C82">
        <f t="shared" ref="C82:X82" si="26">IFERROR(C80/C81, 0)</f>
        <v>2.8037383177570093E-2</v>
      </c>
      <c r="D82">
        <f t="shared" si="26"/>
        <v>9.8039215686274508E-3</v>
      </c>
      <c r="E82">
        <f t="shared" si="26"/>
        <v>8.3333333333333329E-2</v>
      </c>
      <c r="F82">
        <f t="shared" si="26"/>
        <v>1.020408163265306E-2</v>
      </c>
      <c r="G82">
        <f t="shared" si="26"/>
        <v>1.6179253181852378E-2</v>
      </c>
      <c r="H82">
        <f t="shared" si="26"/>
        <v>7.9451972077398941E-3</v>
      </c>
      <c r="I82">
        <f t="shared" si="26"/>
        <v>1.5188139278274809E-2</v>
      </c>
      <c r="J82">
        <f t="shared" si="26"/>
        <v>0</v>
      </c>
      <c r="K82">
        <f t="shared" si="26"/>
        <v>0</v>
      </c>
      <c r="L82">
        <f t="shared" si="26"/>
        <v>2.1144182178273647E-2</v>
      </c>
      <c r="M82">
        <f t="shared" si="26"/>
        <v>1.3902443771566166E-2</v>
      </c>
      <c r="N82">
        <f t="shared" si="26"/>
        <v>7.5272750812569343E-3</v>
      </c>
      <c r="O82">
        <f t="shared" si="26"/>
        <v>1.3126494779593026E-2</v>
      </c>
      <c r="P82">
        <f t="shared" si="26"/>
        <v>6.0284615727773973E-3</v>
      </c>
      <c r="Q82">
        <f t="shared" si="26"/>
        <v>5.8782278083674222E-3</v>
      </c>
      <c r="R82">
        <f t="shared" si="26"/>
        <v>3.0506424958160437E-2</v>
      </c>
      <c r="S82">
        <f t="shared" si="26"/>
        <v>2.8924857270291798E-2</v>
      </c>
      <c r="T82">
        <f t="shared" si="26"/>
        <v>2.397279326090971E-2</v>
      </c>
      <c r="U82">
        <f t="shared" si="26"/>
        <v>3.0582603708399478E-2</v>
      </c>
      <c r="V82">
        <f t="shared" si="26"/>
        <v>5.6640004908279822E-3</v>
      </c>
      <c r="W82">
        <f t="shared" si="26"/>
        <v>4.9846168990567794E-3</v>
      </c>
      <c r="X82">
        <f t="shared" si="26"/>
        <v>2.4923084495283899E-2</v>
      </c>
    </row>
    <row r="83" spans="1:24" x14ac:dyDescent="0.45">
      <c r="A83" t="s">
        <v>38</v>
      </c>
      <c r="B83" t="s">
        <v>2116</v>
      </c>
      <c r="C83">
        <v>7</v>
      </c>
      <c r="D83">
        <v>3</v>
      </c>
      <c r="E83">
        <v>7</v>
      </c>
      <c r="F83">
        <v>3</v>
      </c>
      <c r="G83">
        <v>4</v>
      </c>
      <c r="H83">
        <v>3</v>
      </c>
      <c r="I83">
        <v>3</v>
      </c>
      <c r="J83">
        <v>3</v>
      </c>
      <c r="K83">
        <v>11</v>
      </c>
      <c r="L83">
        <v>1</v>
      </c>
      <c r="M83">
        <v>5</v>
      </c>
      <c r="N83">
        <v>4</v>
      </c>
      <c r="O83">
        <v>6</v>
      </c>
      <c r="P83">
        <v>3</v>
      </c>
      <c r="Q83">
        <v>5</v>
      </c>
      <c r="R83">
        <v>4</v>
      </c>
      <c r="S83">
        <v>3</v>
      </c>
      <c r="T83">
        <v>3</v>
      </c>
      <c r="U83">
        <v>3</v>
      </c>
      <c r="V83">
        <v>0</v>
      </c>
      <c r="W83">
        <v>1</v>
      </c>
      <c r="X83">
        <v>2</v>
      </c>
    </row>
    <row r="84" spans="1:24" x14ac:dyDescent="0.45">
      <c r="A84" t="s">
        <v>38</v>
      </c>
      <c r="B84" t="s">
        <v>2117</v>
      </c>
      <c r="C84">
        <v>125</v>
      </c>
      <c r="D84">
        <v>116</v>
      </c>
      <c r="E84">
        <v>110</v>
      </c>
      <c r="F84">
        <v>104</v>
      </c>
      <c r="G84">
        <v>88.634780000000006</v>
      </c>
      <c r="H84">
        <v>92.705160000000006</v>
      </c>
      <c r="I84">
        <v>100.43689999999999</v>
      </c>
      <c r="J84">
        <v>91.703050000000005</v>
      </c>
      <c r="K84">
        <v>84.233320000000006</v>
      </c>
      <c r="L84">
        <v>88.342839999999995</v>
      </c>
      <c r="M84">
        <v>85.783060000000006</v>
      </c>
      <c r="N84">
        <v>86.762330000000006</v>
      </c>
      <c r="O84">
        <v>90.122230000000002</v>
      </c>
      <c r="P84">
        <v>91.815669999999997</v>
      </c>
      <c r="Q84">
        <v>88.71114</v>
      </c>
      <c r="R84">
        <v>89.553110000000004</v>
      </c>
      <c r="S84">
        <v>96.442340000000002</v>
      </c>
      <c r="T84">
        <v>92.358800590873585</v>
      </c>
      <c r="U84">
        <v>96.365506618791585</v>
      </c>
      <c r="V84">
        <v>99.137033440426691</v>
      </c>
      <c r="W84">
        <v>112.55301241837157</v>
      </c>
      <c r="X84">
        <v>112.55301241837157</v>
      </c>
    </row>
    <row r="85" spans="1:24" x14ac:dyDescent="0.45">
      <c r="A85" t="s">
        <v>38</v>
      </c>
      <c r="B85" t="s">
        <v>2118</v>
      </c>
      <c r="C85">
        <f t="shared" ref="C85:X85" si="27">IFERROR(C83/C84, 0)</f>
        <v>5.6000000000000001E-2</v>
      </c>
      <c r="D85">
        <f t="shared" si="27"/>
        <v>2.5862068965517241E-2</v>
      </c>
      <c r="E85">
        <f t="shared" si="27"/>
        <v>6.363636363636363E-2</v>
      </c>
      <c r="F85">
        <f t="shared" si="27"/>
        <v>2.8846153846153848E-2</v>
      </c>
      <c r="G85">
        <f t="shared" si="27"/>
        <v>4.5129011433209396E-2</v>
      </c>
      <c r="H85">
        <f t="shared" si="27"/>
        <v>3.2360658241677158E-2</v>
      </c>
      <c r="I85">
        <f t="shared" si="27"/>
        <v>2.9869500153827926E-2</v>
      </c>
      <c r="J85">
        <f t="shared" si="27"/>
        <v>3.2714288128911743E-2</v>
      </c>
      <c r="K85">
        <f t="shared" si="27"/>
        <v>0.1305896526457701</v>
      </c>
      <c r="L85">
        <f t="shared" si="27"/>
        <v>1.1319536478564648E-2</v>
      </c>
      <c r="M85">
        <f t="shared" si="27"/>
        <v>5.82865661355517E-2</v>
      </c>
      <c r="N85">
        <f t="shared" si="27"/>
        <v>4.6102957354879702E-2</v>
      </c>
      <c r="O85">
        <f t="shared" si="27"/>
        <v>6.6576248723539136E-2</v>
      </c>
      <c r="P85">
        <f t="shared" si="27"/>
        <v>3.2674161175320071E-2</v>
      </c>
      <c r="Q85">
        <f t="shared" si="27"/>
        <v>5.6362707096312817E-2</v>
      </c>
      <c r="R85">
        <f t="shared" si="27"/>
        <v>4.4666232138671678E-2</v>
      </c>
      <c r="S85">
        <f t="shared" si="27"/>
        <v>3.1106669539540412E-2</v>
      </c>
      <c r="T85">
        <f t="shared" si="27"/>
        <v>3.2482015582784046E-2</v>
      </c>
      <c r="U85">
        <f t="shared" si="27"/>
        <v>3.1131471262508679E-2</v>
      </c>
      <c r="V85">
        <f t="shared" si="27"/>
        <v>0</v>
      </c>
      <c r="W85">
        <f t="shared" si="27"/>
        <v>8.8847022262086885E-3</v>
      </c>
      <c r="X85">
        <f t="shared" si="27"/>
        <v>1.7769404452417377E-2</v>
      </c>
    </row>
    <row r="86" spans="1:24" x14ac:dyDescent="0.45">
      <c r="A86" t="s">
        <v>39</v>
      </c>
      <c r="B86" t="s">
        <v>2116</v>
      </c>
      <c r="C86">
        <v>1</v>
      </c>
      <c r="D86">
        <v>1</v>
      </c>
      <c r="E86">
        <v>2</v>
      </c>
      <c r="F86">
        <v>0</v>
      </c>
      <c r="G86">
        <v>0</v>
      </c>
      <c r="H86">
        <v>0</v>
      </c>
      <c r="I86">
        <v>0</v>
      </c>
      <c r="J86">
        <v>1</v>
      </c>
      <c r="K86">
        <v>0</v>
      </c>
      <c r="L86">
        <v>0</v>
      </c>
      <c r="M86">
        <v>0</v>
      </c>
      <c r="N86">
        <v>0</v>
      </c>
      <c r="O86">
        <v>0</v>
      </c>
      <c r="P86">
        <v>0</v>
      </c>
      <c r="Q86">
        <v>1</v>
      </c>
      <c r="R86">
        <v>0</v>
      </c>
      <c r="S86">
        <v>0</v>
      </c>
      <c r="T86">
        <v>0</v>
      </c>
      <c r="U86">
        <v>0</v>
      </c>
      <c r="V86">
        <v>0</v>
      </c>
      <c r="W86">
        <v>1</v>
      </c>
      <c r="X86">
        <v>0</v>
      </c>
    </row>
    <row r="87" spans="1:24" x14ac:dyDescent="0.45">
      <c r="A87" t="s">
        <v>39</v>
      </c>
      <c r="B87" t="s">
        <v>2117</v>
      </c>
      <c r="C87">
        <v>37</v>
      </c>
      <c r="D87">
        <v>33</v>
      </c>
      <c r="E87">
        <v>29</v>
      </c>
      <c r="F87">
        <v>27</v>
      </c>
      <c r="G87">
        <v>16.4757</v>
      </c>
      <c r="H87">
        <v>17.13448</v>
      </c>
      <c r="I87">
        <v>18.910540000000001</v>
      </c>
      <c r="J87">
        <v>17.720839999999999</v>
      </c>
      <c r="K87">
        <v>14.733129999999999</v>
      </c>
      <c r="L87">
        <v>16.814039999999999</v>
      </c>
      <c r="M87">
        <v>16.330780000000001</v>
      </c>
      <c r="N87">
        <v>16.083629999999999</v>
      </c>
      <c r="O87">
        <v>16.374919999999999</v>
      </c>
      <c r="P87">
        <v>15.63707</v>
      </c>
      <c r="Q87">
        <v>16.229610000000001</v>
      </c>
      <c r="R87">
        <v>16.431039999999999</v>
      </c>
      <c r="S87">
        <v>16.412939999999999</v>
      </c>
      <c r="T87">
        <v>25.611269528940994</v>
      </c>
      <c r="U87">
        <v>23.440685526305352</v>
      </c>
      <c r="V87">
        <v>23.023559809249633</v>
      </c>
      <c r="W87">
        <v>23.715920653968418</v>
      </c>
      <c r="X87">
        <v>23.715920653968418</v>
      </c>
    </row>
    <row r="88" spans="1:24" x14ac:dyDescent="0.45">
      <c r="A88" t="s">
        <v>39</v>
      </c>
      <c r="B88" t="s">
        <v>2118</v>
      </c>
      <c r="C88">
        <f t="shared" ref="C88:X88" si="28">IFERROR(C86/C87, 0)</f>
        <v>2.7027027027027029E-2</v>
      </c>
      <c r="D88">
        <f t="shared" si="28"/>
        <v>3.0303030303030304E-2</v>
      </c>
      <c r="E88">
        <f t="shared" si="28"/>
        <v>6.8965517241379309E-2</v>
      </c>
      <c r="F88">
        <f t="shared" si="28"/>
        <v>0</v>
      </c>
      <c r="G88">
        <f t="shared" si="28"/>
        <v>0</v>
      </c>
      <c r="H88">
        <f t="shared" si="28"/>
        <v>0</v>
      </c>
      <c r="I88">
        <f t="shared" si="28"/>
        <v>0</v>
      </c>
      <c r="J88">
        <f t="shared" si="28"/>
        <v>5.6430733531819037E-2</v>
      </c>
      <c r="K88">
        <f t="shared" si="28"/>
        <v>0</v>
      </c>
      <c r="L88">
        <f t="shared" si="28"/>
        <v>0</v>
      </c>
      <c r="M88">
        <f t="shared" si="28"/>
        <v>0</v>
      </c>
      <c r="N88">
        <f t="shared" si="28"/>
        <v>0</v>
      </c>
      <c r="O88">
        <f t="shared" si="28"/>
        <v>0</v>
      </c>
      <c r="P88">
        <f t="shared" si="28"/>
        <v>0</v>
      </c>
      <c r="Q88">
        <f t="shared" si="28"/>
        <v>6.1615775117208602E-2</v>
      </c>
      <c r="R88">
        <f t="shared" si="28"/>
        <v>0</v>
      </c>
      <c r="S88">
        <f t="shared" si="28"/>
        <v>0</v>
      </c>
      <c r="T88">
        <f t="shared" si="28"/>
        <v>0</v>
      </c>
      <c r="U88">
        <f t="shared" si="28"/>
        <v>0</v>
      </c>
      <c r="V88">
        <f t="shared" si="28"/>
        <v>0</v>
      </c>
      <c r="W88">
        <f t="shared" si="28"/>
        <v>4.2165767654171529E-2</v>
      </c>
      <c r="X88">
        <f t="shared" si="28"/>
        <v>0</v>
      </c>
    </row>
    <row r="89" spans="1:24" x14ac:dyDescent="0.45">
      <c r="A89" t="s">
        <v>40</v>
      </c>
      <c r="B89" t="s">
        <v>2116</v>
      </c>
      <c r="C89">
        <v>14</v>
      </c>
      <c r="D89">
        <v>6</v>
      </c>
      <c r="E89">
        <v>6</v>
      </c>
      <c r="F89">
        <v>4</v>
      </c>
      <c r="G89">
        <v>3</v>
      </c>
      <c r="H89">
        <v>1</v>
      </c>
      <c r="I89">
        <v>1</v>
      </c>
      <c r="J89">
        <v>2</v>
      </c>
      <c r="K89">
        <v>0</v>
      </c>
      <c r="L89">
        <v>4</v>
      </c>
      <c r="M89">
        <v>1</v>
      </c>
      <c r="N89">
        <v>2</v>
      </c>
      <c r="O89">
        <v>4</v>
      </c>
      <c r="P89">
        <v>0</v>
      </c>
      <c r="Q89">
        <v>2</v>
      </c>
      <c r="R89">
        <v>4</v>
      </c>
      <c r="S89">
        <v>11</v>
      </c>
      <c r="T89">
        <v>4</v>
      </c>
      <c r="U89">
        <v>1</v>
      </c>
      <c r="V89">
        <v>0</v>
      </c>
      <c r="W89">
        <v>0</v>
      </c>
      <c r="X89">
        <v>2</v>
      </c>
    </row>
    <row r="90" spans="1:24" x14ac:dyDescent="0.45">
      <c r="A90" t="s">
        <v>40</v>
      </c>
      <c r="B90" t="s">
        <v>2117</v>
      </c>
      <c r="C90">
        <v>182</v>
      </c>
      <c r="D90">
        <v>160</v>
      </c>
      <c r="E90">
        <v>139</v>
      </c>
      <c r="F90">
        <v>136</v>
      </c>
      <c r="G90">
        <v>120.6306</v>
      </c>
      <c r="H90">
        <v>117.7338</v>
      </c>
      <c r="I90">
        <v>121.87479999999999</v>
      </c>
      <c r="J90">
        <v>113.7123</v>
      </c>
      <c r="K90">
        <v>104.7187</v>
      </c>
      <c r="L90">
        <v>113.7841</v>
      </c>
      <c r="M90">
        <v>112.3342</v>
      </c>
      <c r="N90">
        <v>114.1708</v>
      </c>
      <c r="O90">
        <v>120.9004</v>
      </c>
      <c r="P90">
        <v>130.33799999999999</v>
      </c>
      <c r="Q90">
        <v>133.0076</v>
      </c>
      <c r="R90">
        <v>139.83320000000001</v>
      </c>
      <c r="S90">
        <v>138.30609999999999</v>
      </c>
      <c r="T90">
        <v>132.95579223989782</v>
      </c>
      <c r="U90">
        <v>125.6881671007811</v>
      </c>
      <c r="V90">
        <v>140.00192972375339</v>
      </c>
      <c r="W90">
        <v>141.65721101489734</v>
      </c>
      <c r="X90">
        <v>141.65721101489734</v>
      </c>
    </row>
    <row r="91" spans="1:24" x14ac:dyDescent="0.45">
      <c r="A91" t="s">
        <v>40</v>
      </c>
      <c r="B91" t="s">
        <v>2118</v>
      </c>
      <c r="C91">
        <f t="shared" ref="C91:X91" si="29">IFERROR(C89/C90, 0)</f>
        <v>7.6923076923076927E-2</v>
      </c>
      <c r="D91">
        <f t="shared" si="29"/>
        <v>3.7499999999999999E-2</v>
      </c>
      <c r="E91">
        <f t="shared" si="29"/>
        <v>4.3165467625899283E-2</v>
      </c>
      <c r="F91">
        <f t="shared" si="29"/>
        <v>2.9411764705882353E-2</v>
      </c>
      <c r="G91">
        <f t="shared" si="29"/>
        <v>2.486931176666617E-2</v>
      </c>
      <c r="H91">
        <f t="shared" si="29"/>
        <v>8.493737567291635E-3</v>
      </c>
      <c r="I91">
        <f t="shared" si="29"/>
        <v>8.2051416699760737E-3</v>
      </c>
      <c r="J91">
        <f t="shared" si="29"/>
        <v>1.7588246829938363E-2</v>
      </c>
      <c r="K91">
        <f t="shared" si="29"/>
        <v>0</v>
      </c>
      <c r="L91">
        <f t="shared" si="29"/>
        <v>3.515429660207358E-2</v>
      </c>
      <c r="M91">
        <f t="shared" si="29"/>
        <v>8.9020084711512616E-3</v>
      </c>
      <c r="N91">
        <f t="shared" si="29"/>
        <v>1.7517613960837623E-2</v>
      </c>
      <c r="O91">
        <f t="shared" si="29"/>
        <v>3.3085084912870426E-2</v>
      </c>
      <c r="P91">
        <f t="shared" si="29"/>
        <v>0</v>
      </c>
      <c r="Q91">
        <f t="shared" si="29"/>
        <v>1.5036734742977094E-2</v>
      </c>
      <c r="R91">
        <f t="shared" si="29"/>
        <v>2.8605509993334916E-2</v>
      </c>
      <c r="S91">
        <f t="shared" si="29"/>
        <v>7.953372989333081E-2</v>
      </c>
      <c r="T91">
        <f t="shared" si="29"/>
        <v>3.0085187960691696E-2</v>
      </c>
      <c r="U91">
        <f t="shared" si="29"/>
        <v>7.9561984478472465E-3</v>
      </c>
      <c r="V91">
        <f t="shared" si="29"/>
        <v>0</v>
      </c>
      <c r="W91">
        <f t="shared" si="29"/>
        <v>0</v>
      </c>
      <c r="X91">
        <f t="shared" si="29"/>
        <v>1.4118589415046937E-2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dd_country</vt:lpstr>
      <vt:lpstr>dd_state</vt:lpstr>
      <vt:lpstr>dd_incorporated_state</vt:lpstr>
      <vt:lpstr>dd_broker</vt:lpstr>
      <vt:lpstr>ref_state_indem</vt:lpstr>
      <vt:lpstr>ref_base_frequencies</vt:lpstr>
      <vt:lpstr>ref_ipo_lag</vt:lpstr>
      <vt:lpstr>ref_sic</vt:lpstr>
      <vt:lpstr>ref_sca_freq_modifiers</vt:lpstr>
      <vt:lpstr>ref_volatility_of_trading</vt:lpstr>
      <vt:lpstr>ref_min_trading_volumne</vt:lpstr>
      <vt:lpstr>ref_execs_under_50</vt:lpstr>
      <vt:lpstr>ref_years_in_business</vt:lpstr>
      <vt:lpstr>ref_mcap_banding</vt:lpstr>
      <vt:lpstr>ref_freq_mod_bounds</vt:lpstr>
      <vt:lpstr>ref_derivative_freq_modifiers</vt:lpstr>
      <vt:lpstr>ref_ma_freq_modifiers</vt:lpstr>
      <vt:lpstr>ref_interaction_modifiers</vt:lpstr>
      <vt:lpstr>ref_sca_severity_modifiers</vt:lpstr>
      <vt:lpstr>ref_mcap_catload_factor</vt:lpstr>
      <vt:lpstr>ref_mcap_factor</vt:lpstr>
      <vt:lpstr>ref_derivative_sev_modifiers</vt:lpstr>
      <vt:lpstr>ref_ma_sev_modifiers</vt:lpstr>
      <vt:lpstr>ref_dismissal_modifiers</vt:lpstr>
      <vt:lpstr>ref_monitoring_modifiers</vt:lpstr>
      <vt:lpstr>ref_sca_defense_costs</vt:lpstr>
      <vt:lpstr>ref_sca_dismissed_costs</vt:lpstr>
      <vt:lpstr>ref_plaintiff_fees</vt:lpstr>
      <vt:lpstr>ref_pro_rata</vt:lpstr>
      <vt:lpstr>ref_side_a_modifiers</vt:lpstr>
      <vt:lpstr>ref_dic_adjustment</vt:lpstr>
      <vt:lpstr>ref_side_a_bankruptcy</vt:lpstr>
      <vt:lpstr>ref_excess_load</vt:lpstr>
      <vt:lpstr>ref_tpi_params</vt:lpstr>
      <vt:lpstr>table_input_underwriters</vt:lpstr>
      <vt:lpstr>ref_capiq</vt:lpstr>
      <vt:lpstr>ref_book_averages</vt:lpstr>
      <vt:lpstr>ref_bridge_countries</vt:lpstr>
      <vt:lpstr>bici_1_base_premium</vt:lpstr>
      <vt:lpstr>bici_2a_industry</vt:lpstr>
      <vt:lpstr>bici_2b_industry</vt:lpstr>
      <vt:lpstr>bici_15_retention_v1</vt:lpstr>
      <vt:lpstr>bici_15_retention_v2</vt:lpstr>
      <vt:lpstr>bici_15_limit</vt:lpstr>
      <vt:lpstr>bici_all_other_steps</vt:lpstr>
      <vt:lpstr>bici_states_detail</vt:lpstr>
      <vt:lpstr>bici_rounding</vt:lpstr>
      <vt:lpstr>bici_version</vt:lpstr>
      <vt:lpstr>baic_1_base_premium</vt:lpstr>
      <vt:lpstr>baic_2a_industry</vt:lpstr>
      <vt:lpstr>baic_2b_industry</vt:lpstr>
      <vt:lpstr>baic_all_other_steps</vt:lpstr>
      <vt:lpstr>baic_reference_admitted</vt:lpstr>
      <vt:lpstr>baic_message</vt:lpstr>
      <vt:lpstr>baic_states_detail</vt:lpstr>
      <vt:lpstr>baic_15_combined_lr</vt:lpstr>
      <vt:lpstr>baic_rounding</vt:lpstr>
      <vt:lpstr>baic_approved_states</vt:lpstr>
      <vt:lpstr>baic_version</vt:lpstr>
      <vt:lpstr>excess_state_type</vt:lpstr>
      <vt:lpstr>excess_1_primary_adj</vt:lpstr>
      <vt:lpstr>excess_2_ilf</vt:lpstr>
      <vt:lpstr>excess_3_severity</vt:lpstr>
      <vt:lpstr>excess_3a_schedule</vt:lpstr>
      <vt:lpstr>excess_4_single_limit</vt:lpstr>
      <vt:lpstr>excess_5_rounding</vt:lpstr>
      <vt:lpstr>excess_6_erp</vt:lpstr>
      <vt:lpstr>historical_freq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Delaney</dc:creator>
  <cp:lastModifiedBy>Joe Delaney</cp:lastModifiedBy>
  <dcterms:created xsi:type="dcterms:W3CDTF">2024-06-07T08:41:05Z</dcterms:created>
  <dcterms:modified xsi:type="dcterms:W3CDTF">2026-03-24T08:33:25Z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d91fd61-bc48-4588-8d11-80a491ed1fbf_Enabled">
    <vt:lpwstr>true</vt:lpwstr>
  </property>
  <property fmtid="{D5CDD505-2E9C-101B-9397-08002B2CF9AE}" pid="3" name="MSIP_Label_ed91fd61-bc48-4588-8d11-80a491ed1fbf_SetDate">
    <vt:lpwstr>2025-12-26T20:56:37Z</vt:lpwstr>
  </property>
  <property fmtid="{D5CDD505-2E9C-101B-9397-08002B2CF9AE}" pid="4" name="MSIP_Label_ed91fd61-bc48-4588-8d11-80a491ed1fbf_Method">
    <vt:lpwstr>Privileged</vt:lpwstr>
  </property>
  <property fmtid="{D5CDD505-2E9C-101B-9397-08002B2CF9AE}" pid="5" name="MSIP_Label_ed91fd61-bc48-4588-8d11-80a491ed1fbf_Name">
    <vt:lpwstr>Internal</vt:lpwstr>
  </property>
  <property fmtid="{D5CDD505-2E9C-101B-9397-08002B2CF9AE}" pid="6" name="MSIP_Label_ed91fd61-bc48-4588-8d11-80a491ed1fbf_SiteId">
    <vt:lpwstr>9a50eba8-7568-447a-bcb9-27a0d464aa80</vt:lpwstr>
  </property>
  <property fmtid="{D5CDD505-2E9C-101B-9397-08002B2CF9AE}" pid="7" name="MSIP_Label_ed91fd61-bc48-4588-8d11-80a491ed1fbf_ActionId">
    <vt:lpwstr>815cabeb-5e76-421b-8ee6-dbdd549949fa</vt:lpwstr>
  </property>
  <property fmtid="{D5CDD505-2E9C-101B-9397-08002B2CF9AE}" pid="8" name="MSIP_Label_ed91fd61-bc48-4588-8d11-80a491ed1fbf_ContentBits">
    <vt:lpwstr>0</vt:lpwstr>
  </property>
  <property fmtid="{D5CDD505-2E9C-101B-9397-08002B2CF9AE}" pid="9" name="{A44787D4-0540-4523-9961-78E4036D8C6D}">
    <vt:lpwstr>{28F43BBD-1A73-42D3-A852-1079C70FE1D3}</vt:lpwstr>
  </property>
</Properties>
</file>