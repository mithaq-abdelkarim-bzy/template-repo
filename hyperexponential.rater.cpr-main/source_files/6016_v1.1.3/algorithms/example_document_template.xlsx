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\\bfl.local\dfsroot\Users\BuckJ\Citrix\Downloads\"/>
    </mc:Choice>
  </mc:AlternateContent>
  <xr:revisionPtr revIDLastSave="0" documentId="13_ncr:1_{02FEF8EA-00CA-4196-B895-06A6B6F105F3}" xr6:coauthVersionLast="47" xr6:coauthVersionMax="47" xr10:uidLastSave="{00000000-0000-0000-0000-000000000000}"/>
  <bookViews>
    <workbookView xWindow="-120" yWindow="-120" windowWidth="38640" windowHeight="21240" xr2:uid="{6D2E7A6F-5796-4991-9982-C532054B8709}"/>
  </bookViews>
  <sheets>
    <sheet name="RiskInformation" sheetId="1" r:id="rId1"/>
    <sheet name="Exposure" sheetId="8" r:id="rId2"/>
    <sheet name="RatingSummary" sheetId="10" r:id="rId3"/>
    <sheet name="helper_wrap_text" sheetId="9" state="hidden" r:id="rId4"/>
  </sheets>
  <definedNames>
    <definedName name="all.bpi">RatingSummary!$D$28</definedName>
    <definedName name="all.bpi_pre_uw_adjustment">RatingSummary!$H$28</definedName>
    <definedName name="all.commentary.underwriter_rationale">RatingSummary!$B$74</definedName>
    <definedName name="all.gross_benchmark_premium">RatingSummary!$D$21</definedName>
    <definedName name="all.gross_model_premium">RatingSummary!$H$17</definedName>
    <definedName name="all.gross_quoted_premium">RatingSummary!$D$17</definedName>
    <definedName name="all.gross_technical_premium">RatingSummary!$D$19</definedName>
    <definedName name="all.gross_technical_premium_pre_uw_adjustment">RatingSummary!$H$19</definedName>
    <definedName name="all.impact_of_underwriting_adjustments">RatingSummary!$H$35</definedName>
    <definedName name="all.priced_for_loss_ratio">RatingSummary!$D$30</definedName>
    <definedName name="all.priced_for_loss_ratio_pre_uw_adjustment">RatingSummary!$H$30</definedName>
    <definedName name="all.rate_chg.pct_comment.deductible_change">RatingSummary!$F$87</definedName>
    <definedName name="all.rate_chg.pct_comment.exposure_change">RatingSummary!$F$85</definedName>
    <definedName name="all.rate_chg.pct_comment.limit_change">RatingSummary!$F$88</definedName>
    <definedName name="all.rate_chg.pct_comment.other_change">RatingSummary!$F$90</definedName>
    <definedName name="all.rate_chg.pct_comment.risk_adjusted_rate_change">RatingSummary!$F$91</definedName>
    <definedName name="all.rate_chg.pct_comment.risk_characteristics_change">RatingSummary!$F$86</definedName>
    <definedName name="all.rate_chg.pct_comment.terms_conditions_change">RatingSummary!$F$89</definedName>
    <definedName name="all.rate_chg.pct_model.deductible_change">RatingSummary!$D$87</definedName>
    <definedName name="all.rate_chg.pct_model.exposure_change">RatingSummary!$D$85</definedName>
    <definedName name="all.rate_chg.pct_model.limit_change">RatingSummary!$D$88</definedName>
    <definedName name="all.rate_chg.pct_model.other_change">RatingSummary!$D$90</definedName>
    <definedName name="all.rate_chg.pct_model.risk_adjusted_rate_change">RatingSummary!$D$91</definedName>
    <definedName name="all.rate_chg.pct_model.risk_characteristics_change">RatingSummary!$D$86</definedName>
    <definedName name="all.rate_chg.pct_model.terms_conditions_change">RatingSummary!$D$89</definedName>
    <definedName name="all.rate_chg.pct_selected.deductible_change">RatingSummary!$E$87</definedName>
    <definedName name="all.rate_chg.pct_selected.exposure_change">RatingSummary!$E$85</definedName>
    <definedName name="all.rate_chg.pct_selected.limit_change">RatingSummary!$E$88</definedName>
    <definedName name="all.rate_chg.pct_selected.other_change">RatingSummary!$E$90</definedName>
    <definedName name="all.rate_chg.pct_selected.risk_adjusted_rate_change">RatingSummary!$E$91</definedName>
    <definedName name="all.rate_chg.pct_selected.risk_characteristics_change">RatingSummary!$E$86</definedName>
    <definedName name="all.rate_chg.pct_selected.terms_conditions_change">RatingSummary!$E$89</definedName>
    <definedName name="all.rate_chg.prem_expiring.annualized_100_share">RatingSummary!$D$81</definedName>
    <definedName name="all.rate_chg.prem_expiring.annualized_beazley_share">RatingSummary!$D$82</definedName>
    <definedName name="all.rate_chg.prem_renewal.annualized_100_share">RatingSummary!$E$81</definedName>
    <definedName name="all.rate_chg.prem_renewal.annualized_beazley_share">RatingSummary!$E$82</definedName>
    <definedName name="all.return_on_capital">RatingSummary!$D$35</definedName>
    <definedName name="all.tpi">RatingSummary!$D$26</definedName>
    <definedName name="all.tpi_pre_uw_adjustment">RatingSummary!$H$26</definedName>
    <definedName name="broker_contact">RiskInformation!$D$34</definedName>
    <definedName name="broker_name">RiskInformation!$D$32</definedName>
    <definedName name="brokerage">RiskInformation!$D$26</definedName>
    <definedName name="CIQWBGuid" hidden="1">"d1fa1c47-a428-497f-aca3-1ee4f6615dd2"</definedName>
    <definedName name="crcf.commentary.credit_rating_source">Exposure!$B$57</definedName>
    <definedName name="crcf.commentary.obligor_risk_drivers">Exposure!$B$61</definedName>
    <definedName name="crcf.commentary.security_lgd">Exposure!$B$65</definedName>
    <definedName name="crcf.commentary.underwriter_adjustments">Exposure!$B$69</definedName>
    <definedName name="crcf.corporate_credit_rating">Exposure!$E$42</definedName>
    <definedName name="crcf.country_credit_rating">Exposure!$E$43</definedName>
    <definedName name="crcf.default.grade">Exposure!$E$50</definedName>
    <definedName name="crcf.default.loss_given_default">Exposure!$E$52</definedName>
    <definedName name="crcf.default.probability_of_default">Exposure!$E$51</definedName>
    <definedName name="crcf.default.underwriter_adjustment">Exposure!$E$53</definedName>
    <definedName name="crcf.economic_outlook">Exposure!$E$44</definedName>
    <definedName name="crcf.exposure_profile">Exposure!$D$19</definedName>
    <definedName name="crcf.gross_sum_insured">Exposure!$E$11</definedName>
    <definedName name="crcf.indemnity">Exposure!$J$11</definedName>
    <definedName name="crcf.max.grade">Exposure!$I$50</definedName>
    <definedName name="crcf.max.loss_given_default">Exposure!$I$52</definedName>
    <definedName name="crcf.max.probability_of_default">Exposure!$I$51</definedName>
    <definedName name="crcf.max.underwriter_adjustment">Exposure!$I$53</definedName>
    <definedName name="crcf.min.grade">Exposure!$G$50</definedName>
    <definedName name="crcf.min.loss_given_default">Exposure!$G$52</definedName>
    <definedName name="crcf.min.probability_of_default">Exposure!$G$51</definedName>
    <definedName name="crcf.min.underwriter_adjustment">Exposure!$G$53</definedName>
    <definedName name="crcf.override.grade">Exposure!$H$50</definedName>
    <definedName name="crcf.override.loss_given_default">Exposure!$H$52</definedName>
    <definedName name="crcf.override.probability_of_default">Exposure!$H$51</definedName>
    <definedName name="crcf.override.underwriter_adjustment">Exposure!$H$53</definedName>
    <definedName name="crcf.post_shipment_percent">Exposure!$O$13</definedName>
    <definedName name="crcf.pre_shipment_percent">Exposure!$J$13</definedName>
    <definedName name="crcf.pre_shipment_risk">Exposure!$E$13</definedName>
    <definedName name="crcf.pre_uwadj_annual.bound_grade_implied">RatingSummary!$D$53</definedName>
    <definedName name="crcf.pre_uwadj_annual.bound_lgd_implied">RatingSummary!$D$52</definedName>
    <definedName name="crcf.pre_uwadj_annual.bpi">RatingSummary!$D$47</definedName>
    <definedName name="crcf.pre_uwadj_annual.priced_loss_ratio_gross_gross">RatingSummary!$D$50</definedName>
    <definedName name="crcf.pre_uwadj_annual.priced_loss_ratio_gross_net">RatingSummary!$D$51</definedName>
    <definedName name="crcf.pre_uwadj_annual.priced_to_plan">RatingSummary!$D$49</definedName>
    <definedName name="crcf.pre_uwadj_annual.rate_on_exposure_benchmark">RatingSummary!$D$45</definedName>
    <definedName name="crcf.pre_uwadj_annual.rate_on_exposure_offered">RatingSummary!$D$42</definedName>
    <definedName name="crcf.pre_uwadj_annual.rate_on_exposure_plan">RatingSummary!$D$43</definedName>
    <definedName name="crcf.pre_uwadj_annual.rate_on_exposure_technical">RatingSummary!$D$44</definedName>
    <definedName name="crcf.pre_uwadj_annual.tpi">RatingSummary!$D$48</definedName>
    <definedName name="crcf.pre_uwadj_term.bound_grade_implied">RatingSummary!$E$53</definedName>
    <definedName name="crcf.pre_uwadj_term.bound_lgd_implied">RatingSummary!$E$52</definedName>
    <definedName name="crcf.pre_uwadj_term.bpi">RatingSummary!$E$47</definedName>
    <definedName name="crcf.pre_uwadj_term.priced_loss_ratio_gross_gross">RatingSummary!$E$50</definedName>
    <definedName name="crcf.pre_uwadj_term.priced_loss_ratio_gross_net">RatingSummary!$E$51</definedName>
    <definedName name="crcf.pre_uwadj_term.priced_to_plan">RatingSummary!$E$49</definedName>
    <definedName name="crcf.pre_uwadj_term.rate_on_exposure_benchmark">RatingSummary!$E$45</definedName>
    <definedName name="crcf.pre_uwadj_term.rate_on_exposure_offered">RatingSummary!$E$42</definedName>
    <definedName name="crcf.pre_uwadj_term.rate_on_exposure_plan">RatingSummary!$E$43</definedName>
    <definedName name="crcf.pre_uwadj_term.rate_on_exposure_technical">RatingSummary!$E$44</definedName>
    <definedName name="crcf.pre_uwadj_term.tpi">RatingSummary!$E$48</definedName>
    <definedName name="crcf.pst_uwadj_annual.bound_grade_implied">RatingSummary!$F$53</definedName>
    <definedName name="crcf.pst_uwadj_annual.bound_lgd_implied">RatingSummary!$F$52</definedName>
    <definedName name="crcf.pst_uwadj_annual.bpi">RatingSummary!$F$47</definedName>
    <definedName name="crcf.pst_uwadj_annual.priced_loss_ratio_gross_gross">RatingSummary!$F$50</definedName>
    <definedName name="crcf.pst_uwadj_annual.priced_loss_ratio_gross_net">RatingSummary!$F$51</definedName>
    <definedName name="crcf.pst_uwadj_annual.priced_to_plan">RatingSummary!$F$49</definedName>
    <definedName name="crcf.pst_uwadj_annual.rate_on_exposure_benchmark">RatingSummary!$F$45</definedName>
    <definedName name="crcf.pst_uwadj_annual.rate_on_exposure_offered">RatingSummary!$F$42</definedName>
    <definedName name="crcf.pst_uwadj_annual.rate_on_exposure_plan">RatingSummary!$F$43</definedName>
    <definedName name="crcf.pst_uwadj_annual.rate_on_exposure_technical">RatingSummary!$F$44</definedName>
    <definedName name="crcf.pst_uwadj_annual.tpi">RatingSummary!$F$48</definedName>
    <definedName name="crcf.pst_uwadj_term.bound_grade_implied">RatingSummary!$G$53</definedName>
    <definedName name="crcf.pst_uwadj_term.bound_lgd_implied">RatingSummary!$G$52</definedName>
    <definedName name="crcf.pst_uwadj_term.bpi">RatingSummary!$G$47</definedName>
    <definedName name="crcf.pst_uwadj_term.priced_loss_ratio_gross_gross">RatingSummary!$G$50</definedName>
    <definedName name="crcf.pst_uwadj_term.priced_loss_ratio_gross_net">RatingSummary!$G$51</definedName>
    <definedName name="crcf.pst_uwadj_term.priced_to_plan">RatingSummary!$G$49</definedName>
    <definedName name="crcf.pst_uwadj_term.rate_on_exposure_benchmark">RatingSummary!$G$45</definedName>
    <definedName name="crcf.pst_uwadj_term.rate_on_exposure_offered">RatingSummary!$G$42</definedName>
    <definedName name="crcf.pst_uwadj_term.rate_on_exposure_plan">RatingSummary!$G$43</definedName>
    <definedName name="crcf.pst_uwadj_term.rate_on_exposure_technical">RatingSummary!$G$44</definedName>
    <definedName name="crcf.pst_uwadj_term.tpi">RatingSummary!$G$48</definedName>
    <definedName name="crcf.selected.grade">Exposure!$K$50</definedName>
    <definedName name="crcf.selected.loss_given_default">Exposure!$K$52</definedName>
    <definedName name="crcf.selected.probability_of_default">Exposure!$K$51</definedName>
    <definedName name="crcf.selected.underwriter_adjustment">Exposure!$K$53</definedName>
    <definedName name="crcf.source_of_rating">Exposure!$E$41</definedName>
    <definedName name="crcf.waiting_period_d">Exposure!$O$11</definedName>
    <definedName name="crcf_country">RiskInformation!$G$40</definedName>
    <definedName name="crcf_industry">RiskInformation!$G$42</definedName>
    <definedName name="crcf_industry_group">RiskInformation!$D$42</definedName>
    <definedName name="crcf_obligor">RiskInformation!$D$40</definedName>
    <definedName name="crcf_term">RiskInformation!#REF!</definedName>
    <definedName name="excess">RiskInformation!$G$24</definedName>
    <definedName name="expiry_date">RiskInformation!$G$8</definedName>
    <definedName name="hide_exposure_crcf">Exposure!$A:$Q</definedName>
    <definedName name="hide_exposure_political">Exposure!$R:$AC</definedName>
    <definedName name="hide_rating_summary_crcf">RatingSummary!$36:$53</definedName>
    <definedName name="hide_rating_summary_political">RatingSummary!$54:$69</definedName>
    <definedName name="inception_date">RiskInformation!$D$8</definedName>
    <definedName name="insured_name">RiskInformation!$D$12</definedName>
    <definedName name="is_renewal">RiskInformation!$D$16</definedName>
    <definedName name="limit">RiskInformation!$D$24</definedName>
    <definedName name="pol.commentary.underwriter_adjustments">Exposure!$S$33</definedName>
    <definedName name="pol.country_details">Exposure!$V$44</definedName>
    <definedName name="pol.deductible.contractual_relationship_with_government">Exposure!$Z$20</definedName>
    <definedName name="pol.deductible.currency_inconvertibility">Exposure!$Z$19</definedName>
    <definedName name="pol.deductible.government_action_intervention">Exposure!$Z$17</definedName>
    <definedName name="pol.deductible.political_violence">Exposure!$Z$18</definedName>
    <definedName name="pol.exposure_curve">Exposure!$AA$11</definedName>
    <definedName name="pol.fixed_assets.contractual_relationship_with_government">Exposure!$W$20</definedName>
    <definedName name="pol.fixed_assets.currency_inconvertibility">Exposure!$W$19</definedName>
    <definedName name="pol.fixed_assets.government_action_intervention">Exposure!$W$17</definedName>
    <definedName name="pol.fixed_assets.political_violence">Exposure!$W$18</definedName>
    <definedName name="pol.lenders_interest.contractual_relationship_with_government">Exposure!$X$20</definedName>
    <definedName name="pol.lenders_interest.currency_inconvertibility">Exposure!$X$19</definedName>
    <definedName name="pol.lenders_interest.government_action_intervention">Exposure!$X$17</definedName>
    <definedName name="pol.lenders_interest.political_violence">Exposure!$X$18</definedName>
    <definedName name="pol.max.total">Exposure!$X$26</definedName>
    <definedName name="pol.max.uw_adjustment_1_industry">Exposure!$X$27</definedName>
    <definedName name="pol.max.uw_adjustment_2_quality_of_insured">Exposure!$X$28</definedName>
    <definedName name="pol.max.uw_adjustment_3_asset_composition">Exposure!$X$29</definedName>
    <definedName name="pol.min.total">Exposure!$V$26</definedName>
    <definedName name="pol.min.uw_adjustment_1_industry">Exposure!$V$27</definedName>
    <definedName name="pol.min.uw_adjustment_2_quality_of_insured">Exposure!$V$28</definedName>
    <definedName name="pol.min.uw_adjustment_3_asset_composition">Exposure!$V$29</definedName>
    <definedName name="pol.mobile_assets.contractual_relationship_with_government">Exposure!$V$20</definedName>
    <definedName name="pol.mobile_assets.currency_inconvertibility">Exposure!$V$19</definedName>
    <definedName name="pol.mobile_assets.government_action_intervention">Exposure!$V$17</definedName>
    <definedName name="pol.mobile_assets.political_violence">Exposure!$V$18</definedName>
    <definedName name="pol.number_of_sims">Exposure!$Y$11</definedName>
    <definedName name="pol.override.total">Exposure!$W$26</definedName>
    <definedName name="pol.override.uw_adjustment_1_industry">Exposure!$W$27</definedName>
    <definedName name="pol.override.uw_adjustment_2_quality_of_insured">Exposure!$W$28</definedName>
    <definedName name="pol.override.uw_adjustment_3_asset_composition">Exposure!$W$29</definedName>
    <definedName name="pol.pre_uwadj.bpi">RatingSummary!$D$65</definedName>
    <definedName name="pol.pre_uwadj.priced_loss_ratio_gross_gross">RatingSummary!$D$68</definedName>
    <definedName name="pol.pre_uwadj.priced_loss_ratio_gross_net">RatingSummary!$D$69</definedName>
    <definedName name="pol.pre_uwadj.priced_to_plan">RatingSummary!$D$67</definedName>
    <definedName name="pol.pre_uwadj.rate_on_line_benchmark">RatingSummary!$D$63</definedName>
    <definedName name="pol.pre_uwadj.rate_on_line_model">RatingSummary!$D$61</definedName>
    <definedName name="pol.pre_uwadj.rate_on_line_offered">RatingSummary!$D$60</definedName>
    <definedName name="pol.pre_uwadj.rate_on_line_technical">RatingSummary!$D$62</definedName>
    <definedName name="pol.pre_uwadj.tpi">RatingSummary!$D$66</definedName>
    <definedName name="pol.pst_uwadj.bpi">RatingSummary!$E$65</definedName>
    <definedName name="pol.pst_uwadj.priced_loss_ratio_gross_gross">RatingSummary!$E$68</definedName>
    <definedName name="pol.pst_uwadj.priced_loss_ratio_gross_net">RatingSummary!$E$69</definedName>
    <definedName name="pol.pst_uwadj.priced_to_plan">RatingSummary!$E$67</definedName>
    <definedName name="pol.pst_uwadj.rate_on_line_benchmark">RatingSummary!$E$63</definedName>
    <definedName name="pol.pst_uwadj.rate_on_line_model">RatingSummary!$E$61</definedName>
    <definedName name="pol.pst_uwadj.rate_on_line_offered">RatingSummary!$E$60</definedName>
    <definedName name="pol.pst_uwadj.rate_on_line_technical">RatingSummary!$E$62</definedName>
    <definedName name="pol.pst_uwadj.tpi">RatingSummary!$E$66</definedName>
    <definedName name="pol.selected.total">Exposure!$Y$26</definedName>
    <definedName name="pol.selected.uw_adjustment_1_industry">Exposure!$Y$27</definedName>
    <definedName name="pol.selected.uw_adjustment_2_quality_of_insured">Exposure!$Y$28</definedName>
    <definedName name="pol.selected.uw_adjustment_3_asset_composition">Exposure!$Y$29</definedName>
    <definedName name="pol.sublimit.contractual_relationship_with_government">Exposure!$Y$20</definedName>
    <definedName name="pol.sublimit.currency_inconvertibility">Exposure!$Y$19</definedName>
    <definedName name="pol.sublimit.government_action_intervention">Exposure!$Y$17</definedName>
    <definedName name="pol.sublimit.political_violence">Exposure!$Y$18</definedName>
    <definedName name="pol.tenor_mths">Exposure!$U$11</definedName>
    <definedName name="pol.tenor_rate">Exposure!$W$11</definedName>
    <definedName name="policy_url">RiskInformation!$F$3</definedName>
    <definedName name="_xlnm.Print_Area" localSheetId="1">Exposure!$B$3:$AA$78</definedName>
    <definedName name="_xlnm.Print_Area" localSheetId="2">RatingSummary!$B$3:$I$91</definedName>
    <definedName name="_xlnm.Print_Area" localSheetId="0">RiskInformation!$B$2:$I$44</definedName>
    <definedName name="product">RiskInformation!$G$10</definedName>
    <definedName name="schema">#REF!</definedName>
    <definedName name="section_reference">RiskInformation!$D$14</definedName>
    <definedName name="source_currency">RiskInformation!$G$14</definedName>
    <definedName name="status">RiskInformation!$G$26</definedName>
    <definedName name="underwriter">RiskInformation!$D$10</definedName>
    <definedName name="written_line">RiskInformation!$D$22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5" i="8" l="1"/>
  <c r="U46" i="8" s="1"/>
  <c r="U47" i="8" s="1"/>
  <c r="U48" i="8" s="1"/>
  <c r="U49" i="8" s="1"/>
  <c r="U50" i="8" s="1"/>
  <c r="U51" i="8" s="1"/>
  <c r="U52" i="8" s="1"/>
  <c r="U53" i="8" s="1"/>
  <c r="U54" i="8" s="1"/>
  <c r="U55" i="8"/>
  <c r="U56" i="8" s="1"/>
  <c r="U57" i="8" s="1"/>
  <c r="U58" i="8" s="1"/>
  <c r="U59" i="8" s="1"/>
  <c r="U60" i="8" s="1"/>
  <c r="U61" i="8" s="1"/>
  <c r="U62" i="8" s="1"/>
  <c r="U63" i="8" s="1"/>
  <c r="H12" i="10"/>
  <c r="D12" i="10"/>
  <c r="H10" i="10"/>
  <c r="D10" i="10"/>
</calcChain>
</file>

<file path=xl/sharedStrings.xml><?xml version="1.0" encoding="utf-8"?>
<sst xmlns="http://schemas.openxmlformats.org/spreadsheetml/2006/main" count="234" uniqueCount="168">
  <si>
    <t>Currency</t>
  </si>
  <si>
    <t>Inception Date</t>
  </si>
  <si>
    <t>Expiry Date</t>
  </si>
  <si>
    <t>Rating Summary</t>
  </si>
  <si>
    <t>TPI</t>
  </si>
  <si>
    <t>BPI</t>
  </si>
  <si>
    <t>Link to hx</t>
  </si>
  <si>
    <t>.</t>
  </si>
  <si>
    <t>Written Line</t>
  </si>
  <si>
    <t>Risk Information</t>
  </si>
  <si>
    <t>Underwriter</t>
  </si>
  <si>
    <t>Insured Name</t>
  </si>
  <si>
    <t>Status</t>
  </si>
  <si>
    <t>Brokerage</t>
  </si>
  <si>
    <t>Country</t>
  </si>
  <si>
    <t>Product</t>
  </si>
  <si>
    <t>Is Renewal</t>
  </si>
  <si>
    <t>Limit</t>
  </si>
  <si>
    <t>Excess</t>
  </si>
  <si>
    <t>Policy Information</t>
  </si>
  <si>
    <t>Broker Details</t>
  </si>
  <si>
    <t>Broker Name</t>
  </si>
  <si>
    <t>Broker Contact</t>
  </si>
  <si>
    <t>Credit Risk &amp; Contract Frustration - additional fields</t>
  </si>
  <si>
    <t xml:space="preserve">Obligor </t>
  </si>
  <si>
    <t>Industry Group</t>
  </si>
  <si>
    <t>Industry</t>
  </si>
  <si>
    <t>Account Details</t>
  </si>
  <si>
    <t>Exposure Details</t>
  </si>
  <si>
    <t>Cover Details</t>
  </si>
  <si>
    <t>Gross Sum Insured</t>
  </si>
  <si>
    <t>Pre-Shipment Risk</t>
  </si>
  <si>
    <t>Pre-Shipment Percent</t>
  </si>
  <si>
    <t>Post-Shipment Percent</t>
  </si>
  <si>
    <t>Exposure Profile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</si>
  <si>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</si>
  <si>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</si>
  <si>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</si>
  <si>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</si>
  <si>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</si>
  <si>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</si>
  <si>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</si>
  <si>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</si>
  <si>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</si>
  <si>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</si>
  <si>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</si>
  <si>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</si>
  <si>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</si>
  <si>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</si>
  <si>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</si>
  <si>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</si>
  <si>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</si>
  <si>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</si>
  <si>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</si>
  <si>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</si>
  <si>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</si>
  <si>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</si>
  <si>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</si>
  <si>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</si>
  <si>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</si>
  <si>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</si>
  <si>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</si>
  <si>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Waiting Period (d)</t>
  </si>
  <si>
    <t>Credit Rating</t>
  </si>
  <si>
    <t>Corporate Credit Rating</t>
  </si>
  <si>
    <t>Source of Rating</t>
  </si>
  <si>
    <t>Country Credit Rating</t>
  </si>
  <si>
    <t>Economic Outlook</t>
  </si>
  <si>
    <t>Underwriter Adjustments</t>
  </si>
  <si>
    <t>Grade</t>
  </si>
  <si>
    <t>Probability of Default</t>
  </si>
  <si>
    <t>Loss Given Default</t>
  </si>
  <si>
    <t>Underwriter Adjustment</t>
  </si>
  <si>
    <t>Default</t>
  </si>
  <si>
    <t>Min</t>
  </si>
  <si>
    <t>Override</t>
  </si>
  <si>
    <t>Max</t>
  </si>
  <si>
    <t>Selected</t>
  </si>
  <si>
    <t>Please provide detail on the source of the credit rating.</t>
  </si>
  <si>
    <t>Please provide detail on the Obligor Risk Drivers</t>
  </si>
  <si>
    <t>Please provide detail on the Security &amp; its Impact on Average LGD</t>
  </si>
  <si>
    <t>Please provide detail on the Underwriter Adjustments</t>
  </si>
  <si>
    <t>Summary</t>
  </si>
  <si>
    <t>Risk Details</t>
  </si>
  <si>
    <t>Policy Section Reference</t>
  </si>
  <si>
    <t>Gross Quoted Premium</t>
  </si>
  <si>
    <t>Gross Model Premium</t>
  </si>
  <si>
    <t>Gross Technical Premium</t>
  </si>
  <si>
    <t>Gross Technical Premium (Pre-UW Adjustment)</t>
  </si>
  <si>
    <t>Gross Benchmark Premium</t>
  </si>
  <si>
    <t>Pricing Metrics</t>
  </si>
  <si>
    <t>TPI (Pre-UW Adjustment)</t>
  </si>
  <si>
    <t>Priced-for Loss Ratio</t>
  </si>
  <si>
    <t>Other Metrics</t>
  </si>
  <si>
    <t>Return on Capital</t>
  </si>
  <si>
    <t>Impact of Underwriting Adjustments</t>
  </si>
  <si>
    <t>Priced Quotes</t>
  </si>
  <si>
    <t>Rate-on-Exposure &amp; KPI's</t>
  </si>
  <si>
    <t>Rate-on-Exposure - Offered</t>
  </si>
  <si>
    <t>Rate-on-Exposure - Plan</t>
  </si>
  <si>
    <t>Rate-on-Exposure - Technical</t>
  </si>
  <si>
    <t>Rate-on-Exposure - Benchmark</t>
  </si>
  <si>
    <t>Priced to Plan</t>
  </si>
  <si>
    <t>Priced Loss Ratio - Gross Gross</t>
  </si>
  <si>
    <t>Priced Loss Ratio - Gross Net</t>
  </si>
  <si>
    <t>Bound LGD (implied)</t>
  </si>
  <si>
    <t>Bound Grade (implied)</t>
  </si>
  <si>
    <t>Pre-UWadj Annual</t>
  </si>
  <si>
    <t>Pre-UWadj Term</t>
  </si>
  <si>
    <t>Pst-UWadj Annual</t>
  </si>
  <si>
    <t>Pst-UWadj Term</t>
  </si>
  <si>
    <t>Tenor (mths)</t>
  </si>
  <si>
    <t>Tenor Rate</t>
  </si>
  <si>
    <t>Number of Sims</t>
  </si>
  <si>
    <t>Exposure Curve</t>
  </si>
  <si>
    <t>Coverage Matrix</t>
  </si>
  <si>
    <t>Mobile Assets</t>
  </si>
  <si>
    <t>Fixed Assets</t>
  </si>
  <si>
    <t>Lenders Interest</t>
  </si>
  <si>
    <t>Sublimit</t>
  </si>
  <si>
    <t>Deductible</t>
  </si>
  <si>
    <t>Government Action &amp; Intervention</t>
  </si>
  <si>
    <t>Political Violence</t>
  </si>
  <si>
    <t>Currency Inconvertibility</t>
  </si>
  <si>
    <t>Contractual Relationship with Government</t>
  </si>
  <si>
    <t>Total</t>
  </si>
  <si>
    <t>UW Adjustment 1 - Industry</t>
  </si>
  <si>
    <t>UW Adjustment 2 - Quality of Insured</t>
  </si>
  <si>
    <t>UW Adjustment 3 - Asset Composition</t>
  </si>
  <si>
    <t>Please provide information on the Underwriter Adjustments</t>
  </si>
  <si>
    <t>Exposure Details Political</t>
  </si>
  <si>
    <t>Exposure Details CRCF</t>
  </si>
  <si>
    <t>Country Details</t>
  </si>
  <si>
    <t>Total Sum Insured</t>
  </si>
  <si>
    <t>Complete Check</t>
  </si>
  <si>
    <t>Country 2 digit</t>
  </si>
  <si>
    <t>Rate-on-Line &amp; KPI's</t>
  </si>
  <si>
    <t>Rate-on-Line - Offered</t>
  </si>
  <si>
    <t>Rate-on-Line - Model</t>
  </si>
  <si>
    <t>Rate-on-Line - Technical</t>
  </si>
  <si>
    <t>Rate-on-Line - Benchmark</t>
  </si>
  <si>
    <t>Pre-UWadj</t>
  </si>
  <si>
    <t>Pst-UWadj</t>
  </si>
  <si>
    <t>Summary Metrics at 100% - CRCF</t>
  </si>
  <si>
    <t>Summary Metrics at 100% - Political</t>
  </si>
  <si>
    <t>crcf</t>
  </si>
  <si>
    <t>Rate Change</t>
  </si>
  <si>
    <t>Renewal</t>
  </si>
  <si>
    <t>Expiring</t>
  </si>
  <si>
    <t>Premium</t>
  </si>
  <si>
    <t>Annualized (100% Share)</t>
  </si>
  <si>
    <t>Annualized (Beazley Share)</t>
  </si>
  <si>
    <t>Rate Drivers</t>
  </si>
  <si>
    <t>Exposure Change</t>
  </si>
  <si>
    <t>Risk Characteristics Change</t>
  </si>
  <si>
    <t>Deductible Change</t>
  </si>
  <si>
    <t>Limit Change</t>
  </si>
  <si>
    <t>Terms &amp; Conditions Change</t>
  </si>
  <si>
    <t>Other Change</t>
  </si>
  <si>
    <t>Risk Adjusted Rate Change</t>
  </si>
  <si>
    <t>Underwriter Rationale</t>
  </si>
  <si>
    <t>pol</t>
  </si>
  <si>
    <t>Comment</t>
  </si>
  <si>
    <t>Model%</t>
  </si>
  <si>
    <t>Selected%</t>
  </si>
  <si>
    <t>Indemnity</t>
  </si>
  <si>
    <t>BPI (Pre-UW Adjustment)</t>
  </si>
  <si>
    <t>Priced-for Loss Ratio (Pre-UW Adjustment)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</si>
</sst>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0.000%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3"/>
      <color rgb="FFBF417B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20"/>
      <color rgb="FFBF417B"/>
      <name val="Arial"/>
      <family val="2"/>
      <scheme val="minor"/>
    </font>
    <font>
      <b/>
      <sz val="13"/>
      <color theme="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u/>
      <sz val="13"/>
      <color theme="1"/>
      <name val="Arial"/>
      <family val="2"/>
      <scheme val="minor"/>
    </font>
    <font>
      <sz val="11"/>
      <color rgb="FF4B0050"/>
      <name val="Arial"/>
      <family val="2"/>
      <scheme val="minor"/>
    </font>
    <font>
      <sz val="14"/>
      <color rgb="FF33383F"/>
      <name val="Arial"/>
      <family val="2"/>
      <scheme val="minor"/>
    </font>
    <font>
      <b/>
      <u/>
      <sz val="11"/>
      <color rgb="FF4B0050"/>
      <name val="Arial"/>
      <family val="2"/>
      <scheme val="minor"/>
    </font>
    <font>
      <sz val="11"/>
      <color rgb="FF151719"/>
      <name val="Inherit"/>
    </font>
    <font>
      <sz val="14"/>
      <color rgb="FF4B0050"/>
      <name val="Arial"/>
      <family val="2"/>
      <scheme val="minor"/>
    </font>
    <font>
      <sz val="14"/>
      <color rgb="FF151719"/>
      <name val="Inherit"/>
    </font>
    <font>
      <b/>
      <u/>
      <sz val="12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8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C7CE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BF417B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3" fontId="1" fillId="0" borderId="0" applyFont="0" applyFill="0" applyBorder="0" applyAlignment="0" applyProtection="0"/>
    <xf numFmtId="0" fontId="12" fillId="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57">
    <xf numFmtId="0" fontId="0" fillId="0" borderId="0" xfId="0"/>
    <xf numFmtId="3" fontId="4" fillId="0" borderId="12" xfId="4" applyNumberFormat="1" applyFont="1" applyFill="1" applyBorder="1" applyAlignment="1">
      <alignment horizontal="center"/>
    </xf>
    <xf numFmtId="3" fontId="4" fillId="0" borderId="11" xfId="4" applyNumberFormat="1" applyFont="1" applyFill="1" applyBorder="1" applyAlignment="1">
      <alignment horizontal="center"/>
    </xf>
    <xf numFmtId="0" fontId="4" fillId="0" borderId="2" xfId="4" applyNumberFormat="1" applyFont="1" applyFill="1" applyBorder="1" applyAlignment="1">
      <alignment horizontal="center"/>
    </xf>
    <xf numFmtId="14" fontId="4" fillId="0" borderId="2" xfId="4" applyNumberFormat="1" applyFont="1" applyFill="1" applyBorder="1" applyAlignment="1">
      <alignment horizontal="center"/>
    </xf>
    <xf numFmtId="164" fontId="4" fillId="0" borderId="2" xfId="4" applyNumberFormat="1" applyFont="1" applyFill="1" applyBorder="1" applyAlignment="1">
      <alignment horizontal="center"/>
    </xf>
    <xf numFmtId="3" fontId="4" fillId="0" borderId="2" xfId="5" applyNumberFormat="1" applyFont="1" applyFill="1" applyBorder="1" applyAlignment="1">
      <alignment horizontal="center"/>
    </xf>
    <xf numFmtId="0" fontId="6" fillId="0" borderId="12" xfId="3" applyFont="1" applyFill="1" applyBorder="1"/>
    <xf numFmtId="0" fontId="6" fillId="0" borderId="11" xfId="3" applyFont="1" applyFill="1" applyBorder="1"/>
    <xf numFmtId="0" fontId="9" fillId="0" borderId="0" xfId="1" applyFont="1" applyFill="1" applyBorder="1"/>
    <xf numFmtId="0" fontId="2" fillId="0" borderId="0" xfId="1" applyFill="1" applyBorder="1"/>
    <xf numFmtId="0" fontId="0" fillId="0" borderId="9" xfId="0" applyBorder="1"/>
    <xf numFmtId="0" fontId="5" fillId="0" borderId="0" xfId="0" applyFont="1"/>
    <xf numFmtId="0" fontId="7" fillId="0" borderId="0" xfId="2" applyFont="1" applyFill="1" applyAlignment="1">
      <alignment horizontal="right"/>
    </xf>
    <xf numFmtId="0" fontId="6" fillId="0" borderId="0" xfId="3" applyFont="1" applyFill="1"/>
    <xf numFmtId="0" fontId="10" fillId="0" borderId="0" xfId="0" applyFont="1" applyAlignment="1">
      <alignment horizontal="right"/>
    </xf>
    <xf numFmtId="0" fontId="8" fillId="0" borderId="0" xfId="0" applyFont="1"/>
    <xf numFmtId="3" fontId="4" fillId="0" borderId="2" xfId="4" applyNumberFormat="1" applyFont="1" applyFill="1" applyBorder="1" applyAlignment="1">
      <alignment horizontal="center"/>
    </xf>
    <xf numFmtId="0" fontId="13" fillId="0" borderId="0" xfId="1" applyFont="1" applyFill="1" applyBorder="1"/>
    <xf numFmtId="14" fontId="4" fillId="0" borderId="0" xfId="4" applyNumberFormat="1" applyFont="1" applyFill="1" applyBorder="1" applyAlignment="1">
      <alignment horizontal="center"/>
    </xf>
    <xf numFmtId="0" fontId="14" fillId="0" borderId="0" xfId="0" applyFont="1"/>
    <xf numFmtId="0" fontId="0" fillId="0" borderId="3" xfId="0" applyBorder="1"/>
    <xf numFmtId="0" fontId="0" fillId="0" borderId="1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4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/>
    <xf numFmtId="0" fontId="16" fillId="0" borderId="0" xfId="0" applyFont="1" applyAlignment="1">
      <alignment horizontal="right"/>
    </xf>
    <xf numFmtId="14" fontId="4" fillId="0" borderId="10" xfId="4" applyNumberFormat="1" applyFont="1" applyFill="1" applyBorder="1" applyAlignment="1"/>
    <xf numFmtId="14" fontId="4" fillId="0" borderId="2" xfId="4" applyNumberFormat="1" applyFont="1" applyFill="1" applyBorder="1" applyAlignment="1"/>
    <xf numFmtId="3" fontId="4" fillId="0" borderId="0" xfId="5" applyNumberFormat="1" applyFont="1" applyFill="1" applyBorder="1" applyAlignment="1">
      <alignment horizontal="center"/>
    </xf>
    <xf numFmtId="0" fontId="19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2" fillId="0" borderId="0" xfId="0" applyFont="1" applyAlignment="1">
      <alignment horizontal="right" vertical="center"/>
    </xf>
    <xf numFmtId="0" fontId="17" fillId="0" borderId="1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21" fillId="0" borderId="10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4" xfId="0" applyFont="1" applyBorder="1" applyAlignment="1">
      <alignment horizontal="right" vertical="center"/>
    </xf>
    <xf numFmtId="0" fontId="21" fillId="0" borderId="6" xfId="0" applyFont="1" applyBorder="1" applyAlignment="1">
      <alignment horizontal="right" vertical="center"/>
    </xf>
    <xf numFmtId="0" fontId="21" fillId="0" borderId="8" xfId="0" applyFont="1" applyBorder="1" applyAlignment="1">
      <alignment horizontal="right" vertical="center"/>
    </xf>
    <xf numFmtId="0" fontId="16" fillId="0" borderId="0" xfId="0" applyFont="1" applyAlignment="1">
      <alignment horizontal="left"/>
    </xf>
    <xf numFmtId="0" fontId="21" fillId="0" borderId="13" xfId="0" applyFont="1" applyBorder="1" applyAlignment="1">
      <alignment horizontal="right" vertical="center"/>
    </xf>
    <xf numFmtId="0" fontId="21" fillId="0" borderId="14" xfId="0" applyFont="1" applyBorder="1" applyAlignment="1">
      <alignment horizontal="right" vertical="center"/>
    </xf>
    <xf numFmtId="0" fontId="12" fillId="4" borderId="0" xfId="6"/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23" fillId="0" borderId="0" xfId="0" applyFont="1"/>
    <xf numFmtId="0" fontId="19" fillId="0" borderId="0" xfId="0" applyFont="1" applyAlignment="1">
      <alignment horizontal="right"/>
    </xf>
    <xf numFmtId="0" fontId="17" fillId="0" borderId="4" xfId="0" applyFont="1" applyBorder="1" applyAlignment="1">
      <alignment horizontal="right" vertical="center"/>
    </xf>
    <xf numFmtId="0" fontId="20" fillId="0" borderId="7" xfId="0" applyFont="1" applyBorder="1" applyAlignment="1">
      <alignment horizontal="right" vertical="center"/>
    </xf>
    <xf numFmtId="0" fontId="17" fillId="0" borderId="8" xfId="0" applyFont="1" applyBorder="1" applyAlignment="1">
      <alignment horizontal="right" vertical="center"/>
    </xf>
    <xf numFmtId="0" fontId="0" fillId="0" borderId="14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8" fillId="0" borderId="4" xfId="2" applyFont="1" applyFill="1" applyBorder="1" applyAlignment="1">
      <alignment horizontal="right"/>
    </xf>
    <xf numFmtId="0" fontId="8" fillId="0" borderId="6" xfId="2" applyFont="1" applyFill="1" applyBorder="1" applyAlignment="1">
      <alignment horizontal="right"/>
    </xf>
    <xf numFmtId="0" fontId="8" fillId="0" borderId="8" xfId="2" applyFont="1" applyFill="1" applyBorder="1" applyAlignment="1">
      <alignment horizontal="right"/>
    </xf>
    <xf numFmtId="0" fontId="8" fillId="0" borderId="0" xfId="2" applyFont="1" applyFill="1" applyAlignment="1">
      <alignment horizontal="right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165" fontId="0" fillId="0" borderId="13" xfId="5" applyNumberFormat="1" applyFont="1" applyBorder="1"/>
    <xf numFmtId="165" fontId="0" fillId="0" borderId="4" xfId="5" applyNumberFormat="1" applyFont="1" applyBorder="1"/>
    <xf numFmtId="165" fontId="0" fillId="0" borderId="0" xfId="5" applyNumberFormat="1" applyFont="1"/>
    <xf numFmtId="165" fontId="0" fillId="0" borderId="6" xfId="5" applyNumberFormat="1" applyFont="1" applyBorder="1"/>
    <xf numFmtId="165" fontId="0" fillId="0" borderId="14" xfId="5" applyNumberFormat="1" applyFont="1" applyBorder="1"/>
    <xf numFmtId="165" fontId="0" fillId="0" borderId="8" xfId="5" applyNumberFormat="1" applyFont="1" applyBorder="1"/>
    <xf numFmtId="9" fontId="0" fillId="0" borderId="3" xfId="9" applyFont="1" applyBorder="1"/>
    <xf numFmtId="9" fontId="0" fillId="0" borderId="13" xfId="9" applyFont="1" applyBorder="1"/>
    <xf numFmtId="9" fontId="0" fillId="0" borderId="4" xfId="9" applyFont="1" applyBorder="1"/>
    <xf numFmtId="9" fontId="0" fillId="0" borderId="17" xfId="9" applyFont="1" applyBorder="1"/>
    <xf numFmtId="9" fontId="0" fillId="0" borderId="5" xfId="9" applyFont="1" applyBorder="1"/>
    <xf numFmtId="9" fontId="0" fillId="0" borderId="0" xfId="9" applyFont="1"/>
    <xf numFmtId="9" fontId="0" fillId="0" borderId="6" xfId="9" applyFont="1" applyBorder="1"/>
    <xf numFmtId="9" fontId="0" fillId="0" borderId="15" xfId="9" applyFont="1" applyBorder="1"/>
    <xf numFmtId="9" fontId="0" fillId="0" borderId="7" xfId="9" applyFont="1" applyBorder="1"/>
    <xf numFmtId="9" fontId="0" fillId="0" borderId="14" xfId="9" applyFont="1" applyBorder="1"/>
    <xf numFmtId="9" fontId="0" fillId="0" borderId="8" xfId="9" applyFont="1" applyBorder="1"/>
    <xf numFmtId="9" fontId="0" fillId="0" borderId="16" xfId="9" applyFont="1" applyBorder="1"/>
    <xf numFmtId="0" fontId="21" fillId="0" borderId="3" xfId="0" applyFont="1" applyBorder="1" applyAlignment="1">
      <alignment horizontal="right" vertical="center"/>
    </xf>
    <xf numFmtId="0" fontId="21" fillId="0" borderId="17" xfId="0" applyFont="1" applyBorder="1" applyAlignment="1">
      <alignment horizontal="right" vertical="center"/>
    </xf>
    <xf numFmtId="43" fontId="0" fillId="0" borderId="2" xfId="5" applyFont="1" applyBorder="1"/>
    <xf numFmtId="165" fontId="0" fillId="0" borderId="2" xfId="5" applyNumberFormat="1" applyFont="1" applyBorder="1"/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1" xfId="0" applyBorder="1" applyAlignment="1">
      <alignment horizontal="right"/>
    </xf>
    <xf numFmtId="165" fontId="4" fillId="0" borderId="2" xfId="5" applyNumberFormat="1" applyFont="1" applyFill="1" applyBorder="1" applyAlignment="1">
      <alignment horizontal="center"/>
    </xf>
    <xf numFmtId="164" fontId="4" fillId="0" borderId="2" xfId="9" applyNumberFormat="1" applyFont="1" applyFill="1" applyBorder="1" applyAlignment="1">
      <alignment horizontal="center"/>
    </xf>
    <xf numFmtId="3" fontId="0" fillId="0" borderId="0" xfId="0" applyNumberFormat="1"/>
    <xf numFmtId="3" fontId="0" fillId="0" borderId="4" xfId="0" applyNumberFormat="1" applyBorder="1"/>
    <xf numFmtId="3" fontId="0" fillId="0" borderId="7" xfId="0" applyNumberFormat="1" applyBorder="1"/>
    <xf numFmtId="3" fontId="0" fillId="0" borderId="8" xfId="0" applyNumberFormat="1" applyBorder="1"/>
    <xf numFmtId="164" fontId="0" fillId="0" borderId="0" xfId="0" applyNumberFormat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4" fillId="0" borderId="2" xfId="5" applyNumberFormat="1" applyFont="1" applyFill="1" applyBorder="1" applyAlignment="1">
      <alignment horizontal="center"/>
    </xf>
    <xf numFmtId="10" fontId="0" fillId="0" borderId="3" xfId="0" applyNumberFormat="1" applyBorder="1"/>
    <xf numFmtId="10" fontId="0" fillId="0" borderId="4" xfId="0" applyNumberFormat="1" applyBorder="1"/>
    <xf numFmtId="10" fontId="0" fillId="0" borderId="13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10" fontId="0" fillId="0" borderId="0" xfId="0" applyNumberFormat="1"/>
    <xf numFmtId="10" fontId="0" fillId="0" borderId="7" xfId="0" applyNumberFormat="1" applyBorder="1"/>
    <xf numFmtId="10" fontId="0" fillId="0" borderId="8" xfId="0" applyNumberFormat="1" applyBorder="1"/>
    <xf numFmtId="10" fontId="0" fillId="0" borderId="14" xfId="0" applyNumberFormat="1" applyBorder="1"/>
    <xf numFmtId="3" fontId="0" fillId="0" borderId="6" xfId="0" applyNumberFormat="1" applyBorder="1"/>
    <xf numFmtId="3" fontId="0" fillId="0" borderId="14" xfId="0" applyNumberFormat="1" applyBorder="1"/>
    <xf numFmtId="3" fontId="4" fillId="0" borderId="10" xfId="4" applyNumberFormat="1" applyFont="1" applyFill="1" applyBorder="1" applyAlignment="1"/>
    <xf numFmtId="166" fontId="4" fillId="0" borderId="2" xfId="4" applyNumberFormat="1" applyFont="1" applyFill="1" applyBorder="1" applyAlignment="1"/>
    <xf numFmtId="166" fontId="0" fillId="0" borderId="0" xfId="0" applyNumberFormat="1"/>
    <xf numFmtId="0" fontId="25" fillId="0" borderId="10" xfId="10" applyFont="1" applyFill="1" applyBorder="1"/>
    <xf numFmtId="0" fontId="4" fillId="0" borderId="10" xfId="4" applyNumberFormat="1" applyFont="1" applyFill="1" applyBorder="1" applyAlignment="1">
      <alignment horizontal="left"/>
    </xf>
    <xf numFmtId="14" fontId="4" fillId="0" borderId="2" xfId="4" applyNumberFormat="1" applyFont="1" applyFill="1" applyBorder="1" applyAlignment="1">
      <alignment horizontal="left"/>
    </xf>
    <xf numFmtId="0" fontId="4" fillId="0" borderId="2" xfId="4" applyNumberFormat="1" applyFont="1" applyFill="1" applyBorder="1" applyAlignment="1">
      <alignment horizontal="left"/>
    </xf>
    <xf numFmtId="2" fontId="4" fillId="0" borderId="2" xfId="4" applyNumberFormat="1" applyFont="1" applyFill="1" applyBorder="1" applyAlignment="1">
      <alignment horizontal="left"/>
    </xf>
    <xf numFmtId="0" fontId="0" fillId="0" borderId="3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8" xfId="0" applyBorder="1" applyAlignment="1">
      <alignment vertical="top" wrapText="1"/>
    </xf>
  </cellXfs>
  <cellStyles count="11">
    <cellStyle name="20% - Accent1" xfId="3" builtinId="30"/>
    <cellStyle name="20% - Accent3" xfId="4" builtinId="38"/>
    <cellStyle name="Bad" xfId="6" builtinId="27"/>
    <cellStyle name="Comma" xfId="5" builtinId="3"/>
    <cellStyle name="Comma 2" xfId="7" xr:uid="{686864AE-8768-462B-A910-45775CB80FDB}"/>
    <cellStyle name="Comma 3" xfId="8" xr:uid="{20E672D1-7687-46A5-A1DE-C529302CD6EF}"/>
    <cellStyle name="Heading 2" xfId="1" builtinId="17"/>
    <cellStyle name="Heading 4" xfId="2" builtinId="19"/>
    <cellStyle name="Hyperlink" xfId="10" builtinId="8"/>
    <cellStyle name="Normal" xfId="0" builtinId="0"/>
    <cellStyle name="Percent" xfId="9" builtinId="5"/>
  </cellStyles>
  <dxfs count="0"/>
  <tableStyles count="0" defaultTableStyle="TableStyleMedium2" defaultPivotStyle="PivotStyleLight16"/>
  <colors>
    <mruColors>
      <color rgb="FFF0F0F0"/>
      <color rgb="FFBF41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J48"/>
  <sheetViews>
    <sheetView showGridLines="0" tabSelected="1" workbookViewId="0"/>
  </sheetViews>
  <sheetFormatPr defaultColWidth="9" defaultRowHeight="14.25"/>
  <cols>
    <col min="1" max="1" width="6.25" style="12" customWidth="1"/>
    <col min="2" max="2" width="10.125" customWidth="1"/>
    <col min="3" max="3" width="16" customWidth="1"/>
    <col min="4" max="4" width="14.75" customWidth="1"/>
    <col min="5" max="5" width="8.375" customWidth="1"/>
    <col min="6" max="6" width="12.5" customWidth="1"/>
    <col min="7" max="7" width="14.75" customWidth="1"/>
    <col min="8" max="8" width="6.5" customWidth="1"/>
    <col min="9" max="9" width="4.25" customWidth="1"/>
    <col min="10" max="10" width="6.25" customWidth="1"/>
    <col min="11" max="11" width="9" customWidth="1"/>
  </cols>
  <sheetData>
    <row r="2" spans="1:10" ht="26.25">
      <c r="B2" s="18" t="s">
        <v>9</v>
      </c>
      <c r="C2" s="9"/>
    </row>
    <row r="3" spans="1:10" ht="15">
      <c r="A3" s="12" t="s">
        <v>7</v>
      </c>
      <c r="E3" s="13" t="s">
        <v>6</v>
      </c>
      <c r="F3" s="143"/>
      <c r="G3" s="7"/>
      <c r="H3" s="8"/>
      <c r="I3" s="14"/>
    </row>
    <row r="5" spans="1:10" ht="17.25" thickBot="1">
      <c r="A5" s="12" t="s">
        <v>7</v>
      </c>
      <c r="B5" s="9" t="s">
        <v>27</v>
      </c>
      <c r="C5" s="10"/>
      <c r="D5" s="10"/>
      <c r="E5" s="10"/>
      <c r="F5" s="10"/>
      <c r="G5" s="10"/>
      <c r="H5" s="10"/>
      <c r="I5" s="10"/>
    </row>
    <row r="6" spans="1:10">
      <c r="A6" s="12" t="s">
        <v>7</v>
      </c>
      <c r="B6" s="11"/>
      <c r="C6" s="11"/>
      <c r="D6" s="11"/>
      <c r="E6" s="11"/>
      <c r="F6" s="11"/>
      <c r="G6" s="11"/>
      <c r="H6" s="11"/>
      <c r="I6" s="11"/>
    </row>
    <row r="8" spans="1:10" ht="15">
      <c r="C8" s="13" t="s">
        <v>1</v>
      </c>
      <c r="D8" s="4"/>
      <c r="F8" s="13" t="s">
        <v>2</v>
      </c>
      <c r="G8" s="4"/>
    </row>
    <row r="10" spans="1:10" ht="15">
      <c r="C10" s="15" t="s">
        <v>10</v>
      </c>
      <c r="D10" s="146"/>
      <c r="F10" s="13" t="s">
        <v>15</v>
      </c>
      <c r="G10" s="145"/>
    </row>
    <row r="12" spans="1:10" ht="15">
      <c r="A12" s="12" t="s">
        <v>7</v>
      </c>
      <c r="C12" s="13" t="s">
        <v>11</v>
      </c>
      <c r="D12" s="144"/>
      <c r="E12" s="1"/>
      <c r="F12" s="1"/>
      <c r="G12" s="2"/>
    </row>
    <row r="13" spans="1:10">
      <c r="A13" s="12" t="s">
        <v>7</v>
      </c>
      <c r="F13" s="16"/>
    </row>
    <row r="14" spans="1:10" ht="15">
      <c r="A14" s="12" t="s">
        <v>7</v>
      </c>
      <c r="C14" s="13" t="s">
        <v>84</v>
      </c>
      <c r="D14" s="146"/>
      <c r="F14" s="13" t="s">
        <v>0</v>
      </c>
      <c r="G14" s="3"/>
    </row>
    <row r="15" spans="1:10">
      <c r="A15" s="12" t="s">
        <v>7</v>
      </c>
      <c r="F15" s="16"/>
    </row>
    <row r="16" spans="1:10" ht="15">
      <c r="A16"/>
      <c r="C16" s="13" t="s">
        <v>16</v>
      </c>
      <c r="D16" s="5"/>
      <c r="H16" s="13"/>
      <c r="I16" s="13"/>
      <c r="J16" s="13"/>
    </row>
    <row r="17" spans="1:9">
      <c r="A17" s="12" t="s">
        <v>7</v>
      </c>
    </row>
    <row r="18" spans="1:9">
      <c r="A18" s="12" t="s">
        <v>7</v>
      </c>
      <c r="H18" s="16"/>
    </row>
    <row r="19" spans="1:9" ht="17.25" thickBot="1">
      <c r="B19" s="9" t="s">
        <v>19</v>
      </c>
      <c r="C19" s="10"/>
      <c r="D19" s="10"/>
      <c r="E19" s="10"/>
      <c r="F19" s="10"/>
      <c r="G19" s="10"/>
      <c r="H19" s="10"/>
      <c r="I19" s="10"/>
    </row>
    <row r="20" spans="1:9">
      <c r="B20" s="11"/>
      <c r="C20" s="11"/>
      <c r="D20" s="11"/>
      <c r="E20" s="11"/>
      <c r="F20" s="11"/>
      <c r="G20" s="11"/>
      <c r="H20" s="11"/>
      <c r="I20" s="11"/>
    </row>
    <row r="22" spans="1:9" ht="15">
      <c r="C22" s="13" t="s">
        <v>8</v>
      </c>
      <c r="D22" s="5"/>
      <c r="E22" s="13"/>
    </row>
    <row r="24" spans="1:9" ht="15">
      <c r="C24" s="13" t="s">
        <v>17</v>
      </c>
      <c r="D24" s="17"/>
      <c r="F24" s="13" t="s">
        <v>18</v>
      </c>
      <c r="G24" s="17"/>
    </row>
    <row r="26" spans="1:9" ht="15">
      <c r="C26" s="13" t="s">
        <v>13</v>
      </c>
      <c r="D26" s="5"/>
      <c r="F26" s="13" t="s">
        <v>12</v>
      </c>
      <c r="G26" s="147"/>
    </row>
    <row r="27" spans="1:9">
      <c r="H27" s="16"/>
    </row>
    <row r="28" spans="1:9">
      <c r="H28" s="16"/>
    </row>
    <row r="29" spans="1:9" ht="17.25" thickBot="1">
      <c r="B29" s="9" t="s">
        <v>20</v>
      </c>
      <c r="C29" s="10"/>
      <c r="D29" s="10"/>
      <c r="E29" s="10"/>
      <c r="F29" s="10"/>
      <c r="G29" s="10"/>
      <c r="H29" s="10"/>
      <c r="I29" s="10"/>
    </row>
    <row r="30" spans="1:9">
      <c r="B30" s="11"/>
      <c r="C30" s="11"/>
      <c r="D30" s="11"/>
      <c r="E30" s="11"/>
      <c r="F30" s="11"/>
      <c r="G30" s="11"/>
      <c r="H30" s="11"/>
      <c r="I30" s="11"/>
    </row>
    <row r="32" spans="1:9" ht="15">
      <c r="C32" s="15" t="s">
        <v>21</v>
      </c>
      <c r="D32" s="146"/>
    </row>
    <row r="33" spans="1:9">
      <c r="H33" s="16"/>
    </row>
    <row r="34" spans="1:9" ht="15">
      <c r="C34" s="13" t="s">
        <v>22</v>
      </c>
      <c r="D34" s="145"/>
      <c r="H34" s="16"/>
    </row>
    <row r="35" spans="1:9">
      <c r="H35" s="16"/>
    </row>
    <row r="36" spans="1:9">
      <c r="H36" s="16"/>
    </row>
    <row r="37" spans="1:9" ht="17.25" thickBot="1">
      <c r="B37" s="9" t="s">
        <v>23</v>
      </c>
      <c r="C37" s="10"/>
      <c r="D37" s="10"/>
      <c r="E37" s="10"/>
      <c r="F37" s="10"/>
      <c r="G37" s="10"/>
      <c r="H37" s="10"/>
      <c r="I37" s="10"/>
    </row>
    <row r="38" spans="1:9">
      <c r="B38" s="11"/>
      <c r="C38" s="11"/>
      <c r="D38" s="11"/>
      <c r="E38" s="11"/>
      <c r="F38" s="11"/>
      <c r="G38" s="11"/>
      <c r="H38" s="11"/>
      <c r="I38" s="11"/>
    </row>
    <row r="40" spans="1:9" ht="15">
      <c r="C40" s="15" t="s">
        <v>24</v>
      </c>
      <c r="D40" s="146"/>
      <c r="F40" s="13" t="s">
        <v>14</v>
      </c>
      <c r="G40" s="146"/>
    </row>
    <row r="42" spans="1:9" ht="15">
      <c r="C42" s="15" t="s">
        <v>25</v>
      </c>
      <c r="D42" s="146"/>
      <c r="F42" s="13" t="s">
        <v>26</v>
      </c>
      <c r="G42" s="146"/>
    </row>
    <row r="44" spans="1:9">
      <c r="H44" s="16"/>
    </row>
    <row r="46" spans="1:9">
      <c r="A46" s="12" t="s">
        <v>7</v>
      </c>
    </row>
    <row r="47" spans="1:9">
      <c r="A47" s="12" t="s">
        <v>7</v>
      </c>
    </row>
    <row r="48" spans="1:9">
      <c r="A48" s="12" t="s">
        <v>7</v>
      </c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3AA1-5373-451A-B4F7-FA7580E3E107}">
  <sheetPr codeName="Sheet3">
    <pageSetUpPr fitToPage="1"/>
  </sheetPr>
  <dimension ref="A1:AB93"/>
  <sheetViews>
    <sheetView showGridLines="0" topLeftCell="A2" zoomScaleNormal="100" workbookViewId="0">
      <selection activeCell="A2" sqref="A2"/>
    </sheetView>
  </sheetViews>
  <sheetFormatPr defaultColWidth="9" defaultRowHeight="14.25"/>
  <cols>
    <col min="1" max="1" width="6.25" style="12" customWidth="1"/>
    <col min="2" max="2" width="7.5" customWidth="1"/>
    <col min="3" max="15" width="9.25" customWidth="1"/>
    <col min="16" max="16" width="6.25" customWidth="1"/>
    <col min="17" max="17" width="9" customWidth="1"/>
    <col min="18" max="18" width="6.25" style="12" customWidth="1"/>
    <col min="19" max="19" width="7.5" customWidth="1"/>
    <col min="20" max="27" width="19.375" customWidth="1"/>
    <col min="28" max="28" width="6.25" customWidth="1"/>
    <col min="29" max="29" width="9" customWidth="1"/>
  </cols>
  <sheetData>
    <row r="1" spans="1:28" hidden="1">
      <c r="B1" s="61" t="s">
        <v>145</v>
      </c>
      <c r="C1" s="61" t="s">
        <v>145</v>
      </c>
      <c r="D1" s="61" t="s">
        <v>145</v>
      </c>
      <c r="E1" s="61" t="s">
        <v>145</v>
      </c>
      <c r="F1" s="61" t="s">
        <v>145</v>
      </c>
      <c r="G1" s="61" t="s">
        <v>145</v>
      </c>
      <c r="H1" s="61" t="s">
        <v>145</v>
      </c>
      <c r="I1" s="61" t="s">
        <v>145</v>
      </c>
      <c r="J1" s="61" t="s">
        <v>145</v>
      </c>
      <c r="K1" s="61" t="s">
        <v>145</v>
      </c>
      <c r="L1" s="61" t="s">
        <v>145</v>
      </c>
      <c r="M1" s="61" t="s">
        <v>145</v>
      </c>
      <c r="N1" s="61" t="s">
        <v>145</v>
      </c>
      <c r="O1" s="61" t="s">
        <v>145</v>
      </c>
      <c r="P1" s="61" t="s">
        <v>145</v>
      </c>
      <c r="S1" s="61" t="s">
        <v>161</v>
      </c>
      <c r="T1" s="61" t="s">
        <v>161</v>
      </c>
      <c r="U1" s="61" t="s">
        <v>161</v>
      </c>
      <c r="V1" s="61" t="s">
        <v>161</v>
      </c>
      <c r="W1" s="61" t="s">
        <v>161</v>
      </c>
      <c r="X1" s="61" t="s">
        <v>161</v>
      </c>
      <c r="Y1" s="61" t="s">
        <v>161</v>
      </c>
      <c r="Z1" s="61" t="s">
        <v>161</v>
      </c>
      <c r="AA1" s="61" t="s">
        <v>161</v>
      </c>
      <c r="AB1" s="61" t="s">
        <v>161</v>
      </c>
    </row>
    <row r="3" spans="1:28" ht="26.25">
      <c r="B3" s="18" t="s">
        <v>28</v>
      </c>
      <c r="C3" s="18"/>
      <c r="S3" s="18" t="s">
        <v>28</v>
      </c>
    </row>
    <row r="4" spans="1:28">
      <c r="A4" s="12" t="s">
        <v>7</v>
      </c>
      <c r="R4" s="12" t="s">
        <v>7</v>
      </c>
    </row>
    <row r="6" spans="1:28" ht="17.25" thickBot="1">
      <c r="A6" s="12" t="s">
        <v>7</v>
      </c>
      <c r="B6" s="9" t="s">
        <v>28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R6" s="12" t="s">
        <v>7</v>
      </c>
      <c r="S6" s="9" t="s">
        <v>28</v>
      </c>
      <c r="T6" s="10"/>
      <c r="U6" s="10"/>
      <c r="V6" s="10"/>
      <c r="W6" s="10"/>
      <c r="X6" s="10"/>
      <c r="Y6" s="10"/>
      <c r="Z6" s="10"/>
      <c r="AA6" s="10"/>
      <c r="AB6" s="10"/>
    </row>
    <row r="7" spans="1:28">
      <c r="A7" s="12" t="s">
        <v>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R7" s="12" t="s">
        <v>7</v>
      </c>
      <c r="S7" s="11"/>
      <c r="T7" s="11"/>
      <c r="U7" s="11"/>
      <c r="V7" s="11"/>
      <c r="W7" s="11"/>
      <c r="X7" s="11"/>
      <c r="Y7" s="11"/>
      <c r="Z7" s="11"/>
      <c r="AA7" s="11"/>
      <c r="AB7" s="11"/>
    </row>
    <row r="9" spans="1:28" ht="16.5">
      <c r="D9" s="38" t="s">
        <v>29</v>
      </c>
      <c r="S9" s="58" t="s">
        <v>29</v>
      </c>
    </row>
    <row r="11" spans="1:28" ht="18">
      <c r="D11" s="13" t="s">
        <v>30</v>
      </c>
      <c r="E11" s="140"/>
      <c r="F11" s="30"/>
      <c r="I11" s="13" t="s">
        <v>165</v>
      </c>
      <c r="J11" s="5"/>
      <c r="M11" s="19"/>
      <c r="N11" s="13" t="s">
        <v>62</v>
      </c>
      <c r="O11" s="17"/>
      <c r="T11" s="51" t="s">
        <v>111</v>
      </c>
      <c r="U11" s="104"/>
      <c r="V11" s="51" t="s">
        <v>112</v>
      </c>
      <c r="W11" s="103"/>
      <c r="X11" s="51" t="s">
        <v>113</v>
      </c>
      <c r="Y11" s="104"/>
      <c r="Z11" s="50" t="s">
        <v>114</v>
      </c>
      <c r="AA11" s="33"/>
    </row>
    <row r="13" spans="1:28" ht="15">
      <c r="D13" s="13" t="s">
        <v>31</v>
      </c>
      <c r="E13" s="4"/>
      <c r="I13" s="13" t="s">
        <v>32</v>
      </c>
      <c r="J13" s="5"/>
      <c r="M13" s="19"/>
      <c r="N13" s="13" t="s">
        <v>33</v>
      </c>
      <c r="O13" s="5"/>
    </row>
    <row r="15" spans="1:28" ht="16.5">
      <c r="S15" s="58" t="s">
        <v>115</v>
      </c>
    </row>
    <row r="16" spans="1:28" ht="18">
      <c r="C16" s="37"/>
      <c r="D16" s="38" t="s">
        <v>34</v>
      </c>
      <c r="V16" s="52" t="s">
        <v>116</v>
      </c>
      <c r="W16" s="53" t="s">
        <v>117</v>
      </c>
      <c r="X16" s="53" t="s">
        <v>118</v>
      </c>
      <c r="Y16" s="53" t="s">
        <v>119</v>
      </c>
      <c r="Z16" s="54" t="s">
        <v>120</v>
      </c>
    </row>
    <row r="17" spans="3:26" ht="18">
      <c r="D17" s="36"/>
      <c r="S17" s="21"/>
      <c r="T17" s="22"/>
      <c r="U17" s="55" t="s">
        <v>121</v>
      </c>
      <c r="V17" s="78"/>
      <c r="W17" s="79"/>
      <c r="X17" s="79"/>
      <c r="Y17" s="83"/>
      <c r="Z17" s="84"/>
    </row>
    <row r="18" spans="3:26" ht="18">
      <c r="C18" s="33"/>
      <c r="D18" s="31" t="s">
        <v>50</v>
      </c>
      <c r="E18" s="31" t="s">
        <v>51</v>
      </c>
      <c r="F18" s="31" t="s">
        <v>52</v>
      </c>
      <c r="G18" s="31" t="s">
        <v>53</v>
      </c>
      <c r="H18" s="31" t="s">
        <v>54</v>
      </c>
      <c r="I18" s="31" t="s">
        <v>55</v>
      </c>
      <c r="J18" s="31" t="s">
        <v>56</v>
      </c>
      <c r="K18" s="31" t="s">
        <v>57</v>
      </c>
      <c r="L18" s="31" t="s">
        <v>58</v>
      </c>
      <c r="M18" s="31" t="s">
        <v>59</v>
      </c>
      <c r="N18" s="31" t="s">
        <v>60</v>
      </c>
      <c r="O18" s="32" t="s">
        <v>61</v>
      </c>
      <c r="S18" s="24"/>
      <c r="U18" s="56" t="s">
        <v>122</v>
      </c>
      <c r="V18" s="80"/>
      <c r="W18" s="77"/>
      <c r="X18" s="77"/>
      <c r="Y18" s="85"/>
      <c r="Z18" s="86"/>
    </row>
    <row r="19" spans="3:26" ht="18">
      <c r="C19" s="34" t="s">
        <v>35</v>
      </c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38"/>
      <c r="S19" s="24"/>
      <c r="U19" s="56" t="s">
        <v>123</v>
      </c>
      <c r="V19" s="80"/>
      <c r="W19" s="77"/>
      <c r="X19" s="77"/>
      <c r="Y19" s="85"/>
      <c r="Z19" s="86"/>
    </row>
    <row r="20" spans="3:26" ht="18">
      <c r="C20" s="34" t="s">
        <v>36</v>
      </c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38"/>
      <c r="S20" s="26"/>
      <c r="T20" s="27"/>
      <c r="U20" s="57" t="s">
        <v>124</v>
      </c>
      <c r="V20" s="81"/>
      <c r="W20" s="82"/>
      <c r="X20" s="82"/>
      <c r="Y20" s="87"/>
      <c r="Z20" s="88"/>
    </row>
    <row r="21" spans="3:26">
      <c r="C21" s="34" t="s">
        <v>37</v>
      </c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38"/>
    </row>
    <row r="22" spans="3:26">
      <c r="C22" s="34" t="s">
        <v>38</v>
      </c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38"/>
    </row>
    <row r="23" spans="3:26">
      <c r="C23" s="34" t="s">
        <v>39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38"/>
    </row>
    <row r="24" spans="3:26" ht="16.5">
      <c r="C24" s="34" t="s">
        <v>40</v>
      </c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38"/>
      <c r="S24" s="58" t="s">
        <v>68</v>
      </c>
    </row>
    <row r="25" spans="3:26" ht="18">
      <c r="C25" s="34" t="s">
        <v>41</v>
      </c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38"/>
      <c r="V25" s="101" t="s">
        <v>74</v>
      </c>
      <c r="W25" s="59" t="s">
        <v>75</v>
      </c>
      <c r="X25" s="55" t="s">
        <v>76</v>
      </c>
      <c r="Y25" s="102" t="s">
        <v>77</v>
      </c>
    </row>
    <row r="26" spans="3:26" ht="18">
      <c r="C26" s="34" t="s">
        <v>42</v>
      </c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38"/>
      <c r="S26" s="21"/>
      <c r="T26" s="22"/>
      <c r="U26" s="59" t="s">
        <v>125</v>
      </c>
      <c r="V26" s="89"/>
      <c r="W26" s="90"/>
      <c r="X26" s="91"/>
      <c r="Y26" s="92"/>
    </row>
    <row r="27" spans="3:26" ht="18">
      <c r="C27" s="34" t="s">
        <v>43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38"/>
      <c r="S27" s="24"/>
      <c r="U27" s="50" t="s">
        <v>126</v>
      </c>
      <c r="V27" s="93"/>
      <c r="W27" s="94"/>
      <c r="X27" s="95"/>
      <c r="Y27" s="96"/>
    </row>
    <row r="28" spans="3:26" ht="18">
      <c r="C28" s="34" t="s">
        <v>44</v>
      </c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38"/>
      <c r="S28" s="24"/>
      <c r="U28" s="50" t="s">
        <v>127</v>
      </c>
      <c r="V28" s="93"/>
      <c r="W28" s="94"/>
      <c r="X28" s="95"/>
      <c r="Y28" s="96"/>
    </row>
    <row r="29" spans="3:26" ht="18">
      <c r="C29" s="34" t="s">
        <v>45</v>
      </c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38"/>
      <c r="S29" s="26"/>
      <c r="T29" s="27"/>
      <c r="U29" s="60" t="s">
        <v>128</v>
      </c>
      <c r="V29" s="97"/>
      <c r="W29" s="98"/>
      <c r="X29" s="99"/>
      <c r="Y29" s="100"/>
    </row>
    <row r="30" spans="3:26">
      <c r="C30" s="34" t="s">
        <v>46</v>
      </c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38"/>
    </row>
    <row r="31" spans="3:26" ht="15.75">
      <c r="C31" s="34" t="s">
        <v>47</v>
      </c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38"/>
      <c r="S31" s="65" t="s">
        <v>129</v>
      </c>
    </row>
    <row r="32" spans="3:26">
      <c r="C32" s="34" t="s">
        <v>48</v>
      </c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38"/>
    </row>
    <row r="33" spans="2:28">
      <c r="C33" s="35" t="s">
        <v>49</v>
      </c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19"/>
      <c r="S33" s="148"/>
      <c r="T33" s="149"/>
      <c r="U33" s="149"/>
      <c r="V33" s="149"/>
      <c r="W33" s="149"/>
      <c r="X33" s="149"/>
      <c r="Y33" s="150"/>
    </row>
    <row r="34" spans="2:28">
      <c r="S34" s="151"/>
      <c r="T34" s="152"/>
      <c r="U34" s="152"/>
      <c r="V34" s="152"/>
      <c r="W34" s="152"/>
      <c r="X34" s="152"/>
      <c r="Y34" s="153"/>
    </row>
    <row r="35" spans="2:28">
      <c r="S35" s="154"/>
      <c r="T35" s="155"/>
      <c r="U35" s="155"/>
      <c r="V35" s="155"/>
      <c r="W35" s="155"/>
      <c r="X35" s="155"/>
      <c r="Y35" s="156"/>
    </row>
    <row r="36" spans="2:28" ht="17.25" thickBot="1">
      <c r="B36" s="9" t="s">
        <v>63</v>
      </c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2:28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9" spans="2:28" ht="17.25" thickBot="1">
      <c r="B39" s="20"/>
      <c r="C39" s="20"/>
      <c r="D39" s="38" t="s">
        <v>64</v>
      </c>
      <c r="S39" s="9" t="s">
        <v>34</v>
      </c>
      <c r="T39" s="10"/>
      <c r="U39" s="10"/>
      <c r="V39" s="10"/>
      <c r="W39" s="10"/>
      <c r="X39" s="10"/>
      <c r="Y39" s="10"/>
      <c r="Z39" s="10"/>
      <c r="AA39" s="10"/>
      <c r="AB39" s="10"/>
    </row>
    <row r="40" spans="2:28"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2:28" ht="15">
      <c r="D41" s="13" t="s">
        <v>65</v>
      </c>
      <c r="E41" s="39"/>
      <c r="F41" s="30"/>
    </row>
    <row r="42" spans="2:28" ht="16.5">
      <c r="D42" s="13" t="s">
        <v>64</v>
      </c>
      <c r="E42" s="39"/>
      <c r="F42" s="30"/>
      <c r="S42" s="58" t="s">
        <v>132</v>
      </c>
    </row>
    <row r="43" spans="2:28" ht="15">
      <c r="D43" s="13" t="s">
        <v>66</v>
      </c>
      <c r="E43" s="39"/>
      <c r="F43" s="30"/>
      <c r="U43" s="43"/>
      <c r="V43" s="105" t="s">
        <v>14</v>
      </c>
      <c r="W43" s="72" t="s">
        <v>133</v>
      </c>
      <c r="X43" s="72" t="s">
        <v>18</v>
      </c>
      <c r="Y43" s="72" t="s">
        <v>17</v>
      </c>
      <c r="Z43" s="31" t="s">
        <v>134</v>
      </c>
      <c r="AA43" s="113" t="s">
        <v>135</v>
      </c>
    </row>
    <row r="44" spans="2:28" ht="15">
      <c r="D44" s="13" t="s">
        <v>67</v>
      </c>
      <c r="E44" s="39"/>
      <c r="F44" s="30"/>
      <c r="S44" s="21"/>
      <c r="T44" s="22"/>
      <c r="U44" s="23">
        <v>1</v>
      </c>
      <c r="V44" s="106"/>
      <c r="W44" s="83"/>
      <c r="X44" s="83"/>
      <c r="Y44" s="83"/>
      <c r="Z44" s="79"/>
      <c r="AA44" s="110"/>
    </row>
    <row r="45" spans="2:28">
      <c r="S45" s="24"/>
      <c r="U45" s="25">
        <f>U44+1</f>
        <v>2</v>
      </c>
      <c r="V45" s="107"/>
      <c r="W45" s="85"/>
      <c r="X45" s="85"/>
      <c r="Y45" s="85"/>
      <c r="Z45" s="77"/>
      <c r="AA45" s="111"/>
    </row>
    <row r="46" spans="2:28">
      <c r="S46" s="24"/>
      <c r="U46" s="25">
        <f t="shared" ref="U46:U63" si="0">U45+1</f>
        <v>3</v>
      </c>
      <c r="V46" s="107"/>
      <c r="W46" s="85"/>
      <c r="X46" s="85"/>
      <c r="Y46" s="85"/>
      <c r="Z46" s="77"/>
      <c r="AA46" s="111"/>
    </row>
    <row r="47" spans="2:28" ht="16.5">
      <c r="B47" s="20"/>
      <c r="C47" s="20"/>
      <c r="D47" s="38" t="s">
        <v>68</v>
      </c>
      <c r="S47" s="24"/>
      <c r="U47" s="25">
        <f t="shared" si="0"/>
        <v>4</v>
      </c>
      <c r="V47" s="107"/>
      <c r="W47" s="85"/>
      <c r="X47" s="85"/>
      <c r="Y47" s="85"/>
      <c r="Z47" s="77"/>
      <c r="AA47" s="111"/>
    </row>
    <row r="48" spans="2:28">
      <c r="S48" s="24"/>
      <c r="U48" s="25">
        <f t="shared" si="0"/>
        <v>5</v>
      </c>
      <c r="V48" s="107"/>
      <c r="W48" s="85"/>
      <c r="X48" s="85"/>
      <c r="Y48" s="85"/>
      <c r="Z48" s="77"/>
      <c r="AA48" s="111"/>
    </row>
    <row r="49" spans="2:27">
      <c r="E49" s="77" t="s">
        <v>73</v>
      </c>
      <c r="F49" s="77"/>
      <c r="G49" s="77" t="s">
        <v>74</v>
      </c>
      <c r="H49" s="77" t="s">
        <v>75</v>
      </c>
      <c r="I49" s="77" t="s">
        <v>76</v>
      </c>
      <c r="J49" s="77"/>
      <c r="K49" s="77" t="s">
        <v>77</v>
      </c>
      <c r="S49" s="24"/>
      <c r="U49" s="25">
        <f t="shared" si="0"/>
        <v>6</v>
      </c>
      <c r="V49" s="107"/>
      <c r="W49" s="85"/>
      <c r="X49" s="85"/>
      <c r="Y49" s="85"/>
      <c r="Z49" s="77"/>
      <c r="AA49" s="111"/>
    </row>
    <row r="50" spans="2:27">
      <c r="D50" s="76" t="s">
        <v>69</v>
      </c>
      <c r="E50" s="40"/>
      <c r="G50" s="40"/>
      <c r="H50" s="40"/>
      <c r="I50" s="40"/>
      <c r="K50" s="40"/>
      <c r="S50" s="24"/>
      <c r="U50" s="25">
        <f t="shared" si="0"/>
        <v>7</v>
      </c>
      <c r="V50" s="107"/>
      <c r="W50" s="85"/>
      <c r="X50" s="85"/>
      <c r="Y50" s="85"/>
      <c r="Z50" s="77"/>
      <c r="AA50" s="111"/>
    </row>
    <row r="51" spans="2:27">
      <c r="D51" s="76" t="s">
        <v>70</v>
      </c>
      <c r="E51" s="141"/>
      <c r="F51" s="142"/>
      <c r="G51" s="141"/>
      <c r="H51" s="141"/>
      <c r="I51" s="141"/>
      <c r="J51" s="142"/>
      <c r="K51" s="141"/>
      <c r="S51" s="24"/>
      <c r="U51" s="25">
        <f t="shared" si="0"/>
        <v>8</v>
      </c>
      <c r="V51" s="107"/>
      <c r="W51" s="85"/>
      <c r="X51" s="85"/>
      <c r="Y51" s="85"/>
      <c r="Z51" s="77"/>
      <c r="AA51" s="111"/>
    </row>
    <row r="52" spans="2:27">
      <c r="D52" s="76" t="s">
        <v>71</v>
      </c>
      <c r="E52" s="141"/>
      <c r="F52" s="142"/>
      <c r="G52" s="141"/>
      <c r="H52" s="141"/>
      <c r="I52" s="141"/>
      <c r="J52" s="142"/>
      <c r="K52" s="141"/>
      <c r="S52" s="24"/>
      <c r="U52" s="25">
        <f t="shared" si="0"/>
        <v>9</v>
      </c>
      <c r="V52" s="107"/>
      <c r="W52" s="85"/>
      <c r="X52" s="85"/>
      <c r="Y52" s="85"/>
      <c r="Z52" s="77"/>
      <c r="AA52" s="111"/>
    </row>
    <row r="53" spans="2:27">
      <c r="D53" s="76" t="s">
        <v>72</v>
      </c>
      <c r="E53" s="141"/>
      <c r="F53" s="142"/>
      <c r="G53" s="141"/>
      <c r="H53" s="141"/>
      <c r="I53" s="141"/>
      <c r="J53" s="142"/>
      <c r="K53" s="141"/>
      <c r="S53" s="24"/>
      <c r="U53" s="25">
        <f t="shared" si="0"/>
        <v>10</v>
      </c>
      <c r="V53" s="107"/>
      <c r="W53" s="85"/>
      <c r="X53" s="85"/>
      <c r="Y53" s="85"/>
      <c r="Z53" s="77"/>
      <c r="AA53" s="111"/>
    </row>
    <row r="54" spans="2:27">
      <c r="S54" s="24"/>
      <c r="U54" s="25">
        <f t="shared" si="0"/>
        <v>11</v>
      </c>
      <c r="V54" s="107"/>
      <c r="W54" s="85"/>
      <c r="X54" s="85"/>
      <c r="Y54" s="85"/>
      <c r="Z54" s="77"/>
      <c r="AA54" s="111"/>
    </row>
    <row r="55" spans="2:27">
      <c r="S55" s="24"/>
      <c r="U55" s="25">
        <f t="shared" si="0"/>
        <v>12</v>
      </c>
      <c r="V55" s="107"/>
      <c r="W55" s="85"/>
      <c r="X55" s="85"/>
      <c r="Y55" s="85"/>
      <c r="Z55" s="77"/>
      <c r="AA55" s="111"/>
    </row>
    <row r="56" spans="2:27" ht="15.75">
      <c r="B56" s="65" t="s">
        <v>78</v>
      </c>
      <c r="S56" s="24"/>
      <c r="U56" s="25">
        <f t="shared" si="0"/>
        <v>13</v>
      </c>
      <c r="V56" s="107"/>
      <c r="W56" s="85"/>
      <c r="X56" s="85"/>
      <c r="Y56" s="85"/>
      <c r="Z56" s="77"/>
      <c r="AA56" s="111"/>
    </row>
    <row r="57" spans="2:27">
      <c r="B57" s="148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50"/>
      <c r="S57" s="24"/>
      <c r="U57" s="25">
        <f t="shared" si="0"/>
        <v>14</v>
      </c>
      <c r="V57" s="107"/>
      <c r="W57" s="85"/>
      <c r="X57" s="85"/>
      <c r="Y57" s="85"/>
      <c r="Z57" s="77"/>
      <c r="AA57" s="111"/>
    </row>
    <row r="58" spans="2:27">
      <c r="B58" s="151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3"/>
      <c r="S58" s="24"/>
      <c r="U58" s="25">
        <f t="shared" si="0"/>
        <v>15</v>
      </c>
      <c r="V58" s="107"/>
      <c r="W58" s="85"/>
      <c r="X58" s="85"/>
      <c r="Y58" s="85"/>
      <c r="Z58" s="77"/>
      <c r="AA58" s="111"/>
    </row>
    <row r="59" spans="2:27">
      <c r="B59" s="154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6"/>
      <c r="S59" s="24"/>
      <c r="U59" s="25">
        <f t="shared" si="0"/>
        <v>16</v>
      </c>
      <c r="V59" s="107"/>
      <c r="W59" s="85"/>
      <c r="X59" s="85"/>
      <c r="Y59" s="85"/>
      <c r="Z59" s="77"/>
      <c r="AA59" s="111"/>
    </row>
    <row r="60" spans="2:27" ht="15.75">
      <c r="B60" s="65" t="s">
        <v>79</v>
      </c>
      <c r="S60" s="24"/>
      <c r="U60" s="25">
        <f t="shared" si="0"/>
        <v>17</v>
      </c>
      <c r="V60" s="107"/>
      <c r="W60" s="85"/>
      <c r="X60" s="85"/>
      <c r="Y60" s="85"/>
      <c r="Z60" s="77"/>
      <c r="AA60" s="111"/>
    </row>
    <row r="61" spans="2:27">
      <c r="B61" s="148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50"/>
      <c r="S61" s="24"/>
      <c r="U61" s="25">
        <f t="shared" si="0"/>
        <v>18</v>
      </c>
      <c r="V61" s="107"/>
      <c r="W61" s="85"/>
      <c r="X61" s="85"/>
      <c r="Y61" s="85"/>
      <c r="Z61" s="77"/>
      <c r="AA61" s="111"/>
    </row>
    <row r="62" spans="2:27">
      <c r="B62" s="151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3"/>
      <c r="S62" s="24"/>
      <c r="U62" s="25">
        <f t="shared" si="0"/>
        <v>19</v>
      </c>
      <c r="V62" s="107"/>
      <c r="W62" s="85"/>
      <c r="X62" s="85"/>
      <c r="Y62" s="85"/>
      <c r="Z62" s="77"/>
      <c r="AA62" s="111"/>
    </row>
    <row r="63" spans="2:27">
      <c r="B63" s="154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6"/>
      <c r="S63" s="26"/>
      <c r="T63" s="27"/>
      <c r="U63" s="28">
        <f t="shared" si="0"/>
        <v>20</v>
      </c>
      <c r="V63" s="108"/>
      <c r="W63" s="87"/>
      <c r="X63" s="87"/>
      <c r="Y63" s="87"/>
      <c r="Z63" s="82"/>
      <c r="AA63" s="112"/>
    </row>
    <row r="64" spans="2:27" ht="15.75">
      <c r="B64" s="65" t="s">
        <v>80</v>
      </c>
      <c r="V64" s="109"/>
      <c r="W64" s="85"/>
      <c r="X64" s="85"/>
      <c r="Y64" s="85"/>
      <c r="Z64" s="77"/>
      <c r="AA64" s="43"/>
    </row>
    <row r="65" spans="2:27">
      <c r="B65" s="148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50"/>
      <c r="V65" s="109"/>
      <c r="W65" s="85"/>
      <c r="X65" s="85"/>
      <c r="Y65" s="85"/>
      <c r="Z65" s="77"/>
      <c r="AA65" s="43"/>
    </row>
    <row r="66" spans="2:27">
      <c r="B66" s="151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3"/>
      <c r="V66" s="109"/>
      <c r="W66" s="85"/>
      <c r="X66" s="85"/>
      <c r="Y66" s="85"/>
      <c r="Z66" s="77"/>
      <c r="AA66" s="43"/>
    </row>
    <row r="67" spans="2:27">
      <c r="B67" s="154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6"/>
      <c r="V67" s="109"/>
      <c r="W67" s="85"/>
      <c r="X67" s="85"/>
      <c r="Y67" s="85"/>
      <c r="Z67" s="77"/>
      <c r="AA67" s="43"/>
    </row>
    <row r="68" spans="2:27" ht="15.75">
      <c r="B68" s="65" t="s">
        <v>81</v>
      </c>
      <c r="V68" s="109"/>
      <c r="W68" s="85"/>
      <c r="X68" s="85"/>
      <c r="Y68" s="85"/>
      <c r="Z68" s="77"/>
      <c r="AA68" s="43"/>
    </row>
    <row r="69" spans="2:27">
      <c r="B69" s="148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50"/>
      <c r="V69" s="109"/>
      <c r="W69" s="85"/>
      <c r="X69" s="85"/>
      <c r="Y69" s="85"/>
      <c r="Z69" s="77"/>
      <c r="AA69" s="43"/>
    </row>
    <row r="70" spans="2:27">
      <c r="B70" s="151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3"/>
      <c r="V70" s="109"/>
      <c r="W70" s="85"/>
      <c r="X70" s="85"/>
      <c r="Y70" s="85"/>
      <c r="Z70" s="77"/>
      <c r="AA70" s="43"/>
    </row>
    <row r="71" spans="2:27">
      <c r="B71" s="154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6"/>
      <c r="V71" s="109"/>
      <c r="W71" s="85"/>
      <c r="X71" s="85"/>
      <c r="Y71" s="85"/>
      <c r="Z71" s="77"/>
      <c r="AA71" s="43"/>
    </row>
    <row r="72" spans="2:27">
      <c r="V72" s="109"/>
      <c r="W72" s="85"/>
      <c r="X72" s="85"/>
      <c r="Y72" s="85"/>
      <c r="Z72" s="77"/>
      <c r="AA72" s="43"/>
    </row>
    <row r="73" spans="2:27">
      <c r="V73" s="109"/>
      <c r="W73" s="85"/>
      <c r="X73" s="85"/>
      <c r="Y73" s="85"/>
      <c r="Z73" s="77"/>
      <c r="AA73" s="43"/>
    </row>
    <row r="74" spans="2:27">
      <c r="V74" s="109"/>
      <c r="W74" s="85"/>
      <c r="X74" s="85"/>
      <c r="Y74" s="85"/>
      <c r="Z74" s="77"/>
      <c r="AA74" s="43"/>
    </row>
    <row r="75" spans="2:27">
      <c r="V75" s="109"/>
      <c r="W75" s="85"/>
      <c r="X75" s="85"/>
      <c r="Y75" s="85"/>
      <c r="Z75" s="77"/>
      <c r="AA75" s="43"/>
    </row>
    <row r="76" spans="2:27">
      <c r="V76" s="109"/>
      <c r="W76" s="85"/>
      <c r="X76" s="85"/>
      <c r="Y76" s="85"/>
      <c r="Z76" s="77"/>
      <c r="AA76" s="43"/>
    </row>
    <row r="77" spans="2:27">
      <c r="V77" s="109"/>
      <c r="W77" s="85"/>
      <c r="X77" s="85"/>
      <c r="Y77" s="85"/>
      <c r="Z77" s="77"/>
      <c r="AA77" s="43"/>
    </row>
    <row r="78" spans="2:27">
      <c r="V78" s="109"/>
      <c r="W78" s="85"/>
      <c r="X78" s="85"/>
      <c r="Y78" s="85"/>
      <c r="Z78" s="77"/>
      <c r="AA78" s="43"/>
    </row>
    <row r="79" spans="2:27">
      <c r="V79" s="109"/>
      <c r="W79" s="85"/>
      <c r="X79" s="85"/>
      <c r="Y79" s="85"/>
      <c r="Z79" s="77"/>
      <c r="AA79" s="43"/>
    </row>
    <row r="80" spans="2:27">
      <c r="V80" s="109"/>
      <c r="W80" s="85"/>
      <c r="X80" s="85"/>
      <c r="Y80" s="85"/>
      <c r="Z80" s="77"/>
      <c r="AA80" s="43"/>
    </row>
    <row r="81" spans="22:27">
      <c r="V81" s="109"/>
      <c r="W81" s="85"/>
      <c r="X81" s="85"/>
      <c r="Y81" s="85"/>
      <c r="Z81" s="77"/>
      <c r="AA81" s="43"/>
    </row>
    <row r="82" spans="22:27">
      <c r="V82" s="109"/>
      <c r="W82" s="85"/>
      <c r="X82" s="85"/>
      <c r="Y82" s="85"/>
      <c r="Z82" s="77"/>
      <c r="AA82" s="43"/>
    </row>
    <row r="83" spans="22:27">
      <c r="V83" s="109"/>
      <c r="W83" s="85"/>
      <c r="X83" s="85"/>
      <c r="Y83" s="85"/>
      <c r="Z83" s="77"/>
      <c r="AA83" s="43"/>
    </row>
    <row r="84" spans="22:27">
      <c r="V84" s="109"/>
      <c r="W84" s="85"/>
      <c r="X84" s="85"/>
      <c r="Y84" s="85"/>
      <c r="Z84" s="77"/>
      <c r="AA84" s="43"/>
    </row>
    <row r="85" spans="22:27">
      <c r="V85" s="109"/>
      <c r="W85" s="85"/>
      <c r="X85" s="85"/>
      <c r="Y85" s="85"/>
      <c r="Z85" s="77"/>
      <c r="AA85" s="43"/>
    </row>
    <row r="86" spans="22:27">
      <c r="V86" s="109"/>
      <c r="W86" s="85"/>
      <c r="X86" s="85"/>
      <c r="Y86" s="85"/>
      <c r="Z86" s="77"/>
      <c r="AA86" s="43"/>
    </row>
    <row r="87" spans="22:27">
      <c r="V87" s="109"/>
      <c r="W87" s="85"/>
      <c r="X87" s="85"/>
      <c r="Y87" s="85"/>
      <c r="Z87" s="77"/>
      <c r="AA87" s="43"/>
    </row>
    <row r="88" spans="22:27">
      <c r="V88" s="109"/>
      <c r="W88" s="85"/>
      <c r="X88" s="85"/>
      <c r="Y88" s="85"/>
      <c r="Z88" s="77"/>
      <c r="AA88" s="43"/>
    </row>
    <row r="89" spans="22:27">
      <c r="V89" s="109"/>
      <c r="W89" s="85"/>
      <c r="X89" s="85"/>
      <c r="Y89" s="85"/>
      <c r="Z89" s="77"/>
      <c r="AA89" s="43"/>
    </row>
    <row r="90" spans="22:27">
      <c r="V90" s="109"/>
      <c r="W90" s="85"/>
      <c r="X90" s="85"/>
      <c r="Y90" s="85"/>
      <c r="Z90" s="77"/>
      <c r="AA90" s="43"/>
    </row>
    <row r="91" spans="22:27">
      <c r="V91" s="109"/>
      <c r="W91" s="85"/>
      <c r="X91" s="85"/>
      <c r="Y91" s="85"/>
      <c r="Z91" s="77"/>
      <c r="AA91" s="43"/>
    </row>
    <row r="92" spans="22:27">
      <c r="V92" s="109"/>
      <c r="W92" s="85"/>
      <c r="X92" s="85"/>
      <c r="Y92" s="85"/>
      <c r="Z92" s="77"/>
      <c r="AA92" s="43"/>
    </row>
    <row r="93" spans="22:27">
      <c r="V93" s="109"/>
      <c r="W93" s="85"/>
      <c r="X93" s="85"/>
      <c r="Y93" s="85"/>
      <c r="Z93" s="77"/>
      <c r="AA93" s="43"/>
    </row>
  </sheetData>
  <dataConsolidate/>
  <mergeCells count="5">
    <mergeCell ref="B57:N59"/>
    <mergeCell ref="B61:N63"/>
    <mergeCell ref="B65:N67"/>
    <mergeCell ref="B69:N71"/>
    <mergeCell ref="S33:Y35"/>
  </mergeCells>
  <phoneticPr fontId="11" type="noConversion"/>
  <pageMargins left="0.25" right="0.25" top="0.75" bottom="0.75" header="0.3" footer="0.3"/>
  <pageSetup paperSize="9" scale="2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0BBE-6EAD-4265-AD5D-7E4EF03763E3}">
  <sheetPr codeName="Sheet5">
    <pageSetUpPr fitToPage="1"/>
  </sheetPr>
  <dimension ref="A2:I91"/>
  <sheetViews>
    <sheetView showGridLines="0" zoomScaleNormal="100" workbookViewId="0"/>
  </sheetViews>
  <sheetFormatPr defaultColWidth="9" defaultRowHeight="14.25"/>
  <cols>
    <col min="2" max="8" width="17.125" customWidth="1"/>
    <col min="9" max="9" width="6.875" customWidth="1"/>
    <col min="11" max="11" width="9" customWidth="1"/>
  </cols>
  <sheetData>
    <row r="2" spans="1:9">
      <c r="A2" s="12"/>
    </row>
    <row r="3" spans="1:9" ht="26.25">
      <c r="A3" s="12"/>
      <c r="B3" s="18" t="s">
        <v>3</v>
      </c>
      <c r="C3" s="9"/>
    </row>
    <row r="6" spans="1:9" ht="17.25" thickBot="1">
      <c r="B6" s="9" t="s">
        <v>82</v>
      </c>
      <c r="C6" s="10"/>
      <c r="D6" s="10"/>
      <c r="E6" s="10"/>
      <c r="F6" s="10"/>
      <c r="G6" s="10"/>
      <c r="H6" s="10"/>
      <c r="I6" s="10"/>
    </row>
    <row r="7" spans="1:9">
      <c r="B7" s="11"/>
      <c r="C7" s="11"/>
      <c r="D7" s="11"/>
      <c r="E7" s="11"/>
      <c r="F7" s="11"/>
      <c r="G7" s="11"/>
      <c r="H7" s="11"/>
      <c r="I7" s="11"/>
    </row>
    <row r="8" spans="1:9" ht="15">
      <c r="C8" s="42" t="s">
        <v>83</v>
      </c>
    </row>
    <row r="10" spans="1:9" ht="15">
      <c r="C10" s="13" t="s">
        <v>12</v>
      </c>
      <c r="D10" s="6" t="str">
        <f>IF(status="","",status)</f>
        <v/>
      </c>
      <c r="G10" s="13" t="s">
        <v>84</v>
      </c>
      <c r="H10" s="6" t="str">
        <f>IF(section_reference="","",section_reference)</f>
        <v/>
      </c>
    </row>
    <row r="12" spans="1:9" ht="15">
      <c r="C12" s="13" t="s">
        <v>13</v>
      </c>
      <c r="D12" s="115" t="str">
        <f>IF(brokerage="","",brokerage)</f>
        <v/>
      </c>
      <c r="G12" s="13" t="s">
        <v>8</v>
      </c>
      <c r="H12" s="115" t="str">
        <f>IF(written_line="","",written_line)</f>
        <v/>
      </c>
    </row>
    <row r="13" spans="1:9" ht="15">
      <c r="C13" s="13"/>
      <c r="D13" s="41"/>
      <c r="G13" s="13"/>
      <c r="H13" s="41"/>
    </row>
    <row r="14" spans="1:9" ht="15">
      <c r="C14" s="13"/>
      <c r="D14" s="41"/>
      <c r="G14" s="13"/>
      <c r="H14" s="41"/>
    </row>
    <row r="15" spans="1:9" ht="15">
      <c r="C15" s="42" t="s">
        <v>96</v>
      </c>
      <c r="D15" s="41"/>
      <c r="G15" s="13"/>
      <c r="H15" s="41"/>
    </row>
    <row r="17" spans="3:8" ht="15">
      <c r="C17" s="13" t="s">
        <v>85</v>
      </c>
      <c r="D17" s="114"/>
      <c r="G17" s="13" t="s">
        <v>86</v>
      </c>
      <c r="H17" s="114"/>
    </row>
    <row r="19" spans="3:8" ht="15">
      <c r="C19" s="13" t="s">
        <v>87</v>
      </c>
      <c r="D19" s="114"/>
      <c r="G19" s="13" t="s">
        <v>88</v>
      </c>
      <c r="H19" s="114"/>
    </row>
    <row r="21" spans="3:8" ht="15">
      <c r="C21" s="13" t="s">
        <v>89</v>
      </c>
      <c r="D21" s="114"/>
    </row>
    <row r="22" spans="3:8" ht="15">
      <c r="C22" s="13"/>
      <c r="D22" s="41"/>
    </row>
    <row r="23" spans="3:8" ht="15">
      <c r="C23" s="13"/>
      <c r="D23" s="41"/>
    </row>
    <row r="24" spans="3:8" ht="15">
      <c r="C24" s="42" t="s">
        <v>90</v>
      </c>
      <c r="D24" s="41"/>
    </row>
    <row r="26" spans="3:8" ht="15">
      <c r="C26" s="13" t="s">
        <v>4</v>
      </c>
      <c r="D26" s="115"/>
      <c r="G26" s="13" t="s">
        <v>91</v>
      </c>
      <c r="H26" s="115"/>
    </row>
    <row r="27" spans="3:8">
      <c r="D27" s="120"/>
      <c r="H27" s="120"/>
    </row>
    <row r="28" spans="3:8" ht="15">
      <c r="C28" s="13" t="s">
        <v>5</v>
      </c>
      <c r="D28" s="115"/>
      <c r="G28" s="13" t="s">
        <v>166</v>
      </c>
      <c r="H28" s="115"/>
    </row>
    <row r="29" spans="3:8">
      <c r="D29" s="120"/>
    </row>
    <row r="30" spans="3:8" ht="15">
      <c r="C30" s="13" t="s">
        <v>92</v>
      </c>
      <c r="D30" s="115"/>
      <c r="G30" s="13" t="s">
        <v>167</v>
      </c>
      <c r="H30" s="115"/>
    </row>
    <row r="31" spans="3:8">
      <c r="D31" s="120"/>
      <c r="H31" s="120"/>
    </row>
    <row r="32" spans="3:8">
      <c r="D32" s="120"/>
      <c r="H32" s="120"/>
    </row>
    <row r="33" spans="2:9" ht="15">
      <c r="C33" s="42" t="s">
        <v>93</v>
      </c>
      <c r="D33" s="120"/>
      <c r="H33" s="120"/>
    </row>
    <row r="34" spans="2:9" ht="15">
      <c r="C34" s="42"/>
      <c r="D34" s="120"/>
      <c r="H34" s="120"/>
    </row>
    <row r="35" spans="2:9" ht="15">
      <c r="C35" s="13" t="s">
        <v>94</v>
      </c>
      <c r="D35" s="128"/>
      <c r="G35" s="13" t="s">
        <v>95</v>
      </c>
      <c r="H35" s="128"/>
    </row>
    <row r="38" spans="2:9" ht="17.25" thickBot="1">
      <c r="B38" s="9" t="s">
        <v>143</v>
      </c>
      <c r="C38" s="10"/>
      <c r="D38" s="10"/>
      <c r="E38" s="10"/>
      <c r="F38" s="10"/>
      <c r="G38" s="10"/>
      <c r="H38" s="10"/>
      <c r="I38" s="10"/>
    </row>
    <row r="39" spans="2:9">
      <c r="B39" s="11"/>
      <c r="C39" s="11"/>
      <c r="D39" s="11"/>
      <c r="E39" s="11"/>
      <c r="F39" s="11"/>
      <c r="G39" s="11"/>
      <c r="H39" s="11"/>
      <c r="I39" s="11"/>
    </row>
    <row r="40" spans="2:9" ht="15">
      <c r="C40" s="42" t="s">
        <v>97</v>
      </c>
    </row>
    <row r="41" spans="2:9">
      <c r="D41" s="47" t="s">
        <v>107</v>
      </c>
      <c r="E41" s="46" t="s">
        <v>108</v>
      </c>
      <c r="F41" s="45" t="s">
        <v>109</v>
      </c>
      <c r="G41" s="46" t="s">
        <v>110</v>
      </c>
    </row>
    <row r="42" spans="2:9">
      <c r="B42" s="21"/>
      <c r="C42" s="73" t="s">
        <v>98</v>
      </c>
      <c r="D42" s="129"/>
      <c r="E42" s="130"/>
      <c r="F42" s="131"/>
      <c r="G42" s="130"/>
    </row>
    <row r="43" spans="2:9">
      <c r="B43" s="24"/>
      <c r="C43" s="74" t="s">
        <v>99</v>
      </c>
      <c r="D43" s="132"/>
      <c r="E43" s="133"/>
      <c r="F43" s="134"/>
      <c r="G43" s="133"/>
    </row>
    <row r="44" spans="2:9">
      <c r="B44" s="24"/>
      <c r="C44" s="74" t="s">
        <v>100</v>
      </c>
      <c r="D44" s="132"/>
      <c r="E44" s="133"/>
      <c r="F44" s="134"/>
      <c r="G44" s="133"/>
    </row>
    <row r="45" spans="2:9">
      <c r="B45" s="26"/>
      <c r="C45" s="75" t="s">
        <v>101</v>
      </c>
      <c r="D45" s="135"/>
      <c r="E45" s="136"/>
      <c r="F45" s="137"/>
      <c r="G45" s="136"/>
    </row>
    <row r="46" spans="2:9">
      <c r="D46" s="134"/>
      <c r="E46" s="134"/>
      <c r="F46" s="134"/>
      <c r="G46" s="134"/>
    </row>
    <row r="47" spans="2:9">
      <c r="B47" s="21"/>
      <c r="C47" s="73" t="s">
        <v>5</v>
      </c>
      <c r="D47" s="129"/>
      <c r="E47" s="130"/>
      <c r="F47" s="131"/>
      <c r="G47" s="130"/>
    </row>
    <row r="48" spans="2:9">
      <c r="B48" s="24"/>
      <c r="C48" s="74" t="s">
        <v>4</v>
      </c>
      <c r="D48" s="132"/>
      <c r="E48" s="133"/>
      <c r="F48" s="134"/>
      <c r="G48" s="133"/>
    </row>
    <row r="49" spans="2:9">
      <c r="B49" s="24"/>
      <c r="C49" s="74" t="s">
        <v>102</v>
      </c>
      <c r="D49" s="132"/>
      <c r="E49" s="133"/>
      <c r="F49" s="134"/>
      <c r="G49" s="133"/>
    </row>
    <row r="50" spans="2:9">
      <c r="B50" s="24"/>
      <c r="C50" s="74" t="s">
        <v>103</v>
      </c>
      <c r="D50" s="132"/>
      <c r="E50" s="133"/>
      <c r="F50" s="134"/>
      <c r="G50" s="133"/>
    </row>
    <row r="51" spans="2:9">
      <c r="B51" s="24"/>
      <c r="C51" s="74" t="s">
        <v>104</v>
      </c>
      <c r="D51" s="132"/>
      <c r="E51" s="133"/>
      <c r="F51" s="134"/>
      <c r="G51" s="133"/>
    </row>
    <row r="52" spans="2:9">
      <c r="B52" s="24"/>
      <c r="C52" s="74" t="s">
        <v>105</v>
      </c>
      <c r="D52" s="132"/>
      <c r="E52" s="133"/>
      <c r="F52" s="134"/>
      <c r="G52" s="133"/>
    </row>
    <row r="53" spans="2:9">
      <c r="B53" s="26"/>
      <c r="C53" s="75" t="s">
        <v>106</v>
      </c>
      <c r="D53" s="135"/>
      <c r="E53" s="136"/>
      <c r="F53" s="137"/>
      <c r="G53" s="136"/>
    </row>
    <row r="56" spans="2:9" ht="17.25" thickBot="1">
      <c r="B56" s="9" t="s">
        <v>144</v>
      </c>
      <c r="C56" s="10"/>
      <c r="D56" s="10"/>
      <c r="E56" s="10"/>
      <c r="F56" s="10"/>
      <c r="G56" s="10"/>
      <c r="H56" s="10"/>
      <c r="I56" s="10"/>
    </row>
    <row r="57" spans="2:9">
      <c r="B57" s="11"/>
      <c r="C57" s="11"/>
      <c r="D57" s="11"/>
      <c r="E57" s="11"/>
      <c r="F57" s="11"/>
      <c r="G57" s="11"/>
      <c r="H57" s="11"/>
      <c r="I57" s="11"/>
    </row>
    <row r="58" spans="2:9" ht="15">
      <c r="C58" s="42" t="s">
        <v>136</v>
      </c>
    </row>
    <row r="59" spans="2:9">
      <c r="D59" s="47" t="s">
        <v>141</v>
      </c>
      <c r="E59" s="46" t="s">
        <v>142</v>
      </c>
    </row>
    <row r="60" spans="2:9">
      <c r="B60" s="21"/>
      <c r="C60" s="73" t="s">
        <v>137</v>
      </c>
      <c r="D60" s="129"/>
      <c r="E60" s="130"/>
    </row>
    <row r="61" spans="2:9">
      <c r="B61" s="24"/>
      <c r="C61" s="74" t="s">
        <v>138</v>
      </c>
      <c r="D61" s="132"/>
      <c r="E61" s="133"/>
    </row>
    <row r="62" spans="2:9">
      <c r="B62" s="24"/>
      <c r="C62" s="74" t="s">
        <v>139</v>
      </c>
      <c r="D62" s="132"/>
      <c r="E62" s="133"/>
    </row>
    <row r="63" spans="2:9">
      <c r="B63" s="26"/>
      <c r="C63" s="75" t="s">
        <v>140</v>
      </c>
      <c r="D63" s="135"/>
      <c r="E63" s="136"/>
    </row>
    <row r="64" spans="2:9">
      <c r="D64" s="134"/>
      <c r="E64" s="134"/>
    </row>
    <row r="65" spans="2:9">
      <c r="B65" s="21"/>
      <c r="C65" s="73" t="s">
        <v>5</v>
      </c>
      <c r="D65" s="129"/>
      <c r="E65" s="130"/>
    </row>
    <row r="66" spans="2:9">
      <c r="B66" s="24"/>
      <c r="C66" s="74" t="s">
        <v>4</v>
      </c>
      <c r="D66" s="132"/>
      <c r="E66" s="133"/>
    </row>
    <row r="67" spans="2:9">
      <c r="B67" s="24"/>
      <c r="C67" s="74" t="s">
        <v>102</v>
      </c>
      <c r="D67" s="132"/>
      <c r="E67" s="133"/>
    </row>
    <row r="68" spans="2:9">
      <c r="B68" s="24"/>
      <c r="C68" s="74" t="s">
        <v>103</v>
      </c>
      <c r="D68" s="132"/>
      <c r="E68" s="133"/>
    </row>
    <row r="69" spans="2:9">
      <c r="B69" s="26"/>
      <c r="C69" s="75" t="s">
        <v>104</v>
      </c>
      <c r="D69" s="135"/>
      <c r="E69" s="136"/>
    </row>
    <row r="72" spans="2:9" ht="17.25" thickBot="1">
      <c r="B72" s="9" t="s">
        <v>160</v>
      </c>
      <c r="C72" s="10"/>
      <c r="D72" s="10"/>
      <c r="E72" s="10"/>
      <c r="F72" s="10"/>
      <c r="G72" s="10"/>
      <c r="H72" s="10"/>
      <c r="I72" s="10"/>
    </row>
    <row r="73" spans="2:9">
      <c r="B73" s="11"/>
      <c r="C73" s="11"/>
      <c r="D73" s="11"/>
      <c r="E73" s="11"/>
      <c r="F73" s="11"/>
      <c r="G73" s="11"/>
      <c r="H73" s="11"/>
      <c r="I73" s="11"/>
    </row>
    <row r="74" spans="2:9">
      <c r="B74" s="148"/>
      <c r="C74" s="149"/>
      <c r="D74" s="149"/>
      <c r="E74" s="149"/>
      <c r="F74" s="149"/>
      <c r="G74" s="149"/>
      <c r="H74" s="150"/>
    </row>
    <row r="75" spans="2:9">
      <c r="B75" s="151"/>
      <c r="C75" s="152"/>
      <c r="D75" s="152"/>
      <c r="E75" s="152"/>
      <c r="F75" s="152"/>
      <c r="G75" s="152"/>
      <c r="H75" s="153"/>
    </row>
    <row r="76" spans="2:9">
      <c r="B76" s="154"/>
      <c r="C76" s="155"/>
      <c r="D76" s="155"/>
      <c r="E76" s="155"/>
      <c r="F76" s="155"/>
      <c r="G76" s="155"/>
      <c r="H76" s="156"/>
    </row>
    <row r="78" spans="2:9" ht="17.25" thickBot="1">
      <c r="B78" s="9" t="s">
        <v>146</v>
      </c>
      <c r="C78" s="10"/>
      <c r="D78" s="10"/>
      <c r="E78" s="10"/>
      <c r="F78" s="10"/>
      <c r="G78" s="10"/>
      <c r="H78" s="10"/>
      <c r="I78" s="10"/>
    </row>
    <row r="79" spans="2:9">
      <c r="B79" s="11"/>
      <c r="C79" s="11"/>
      <c r="D79" s="11"/>
      <c r="E79" s="11"/>
      <c r="F79" s="11"/>
      <c r="G79" s="11"/>
      <c r="H79" s="11"/>
      <c r="I79" s="11"/>
    </row>
    <row r="80" spans="2:9" ht="15">
      <c r="C80" s="66" t="s">
        <v>149</v>
      </c>
      <c r="D80" s="49" t="s">
        <v>147</v>
      </c>
      <c r="E80" s="48" t="s">
        <v>148</v>
      </c>
    </row>
    <row r="81" spans="2:6">
      <c r="B81" s="21"/>
      <c r="C81" s="67" t="s">
        <v>150</v>
      </c>
      <c r="D81" s="116"/>
      <c r="E81" s="117"/>
    </row>
    <row r="82" spans="2:6">
      <c r="B82" s="68"/>
      <c r="C82" s="69" t="s">
        <v>151</v>
      </c>
      <c r="D82" s="118"/>
      <c r="E82" s="119"/>
    </row>
    <row r="84" spans="2:6" ht="18">
      <c r="B84" s="44"/>
      <c r="C84" s="66" t="s">
        <v>152</v>
      </c>
      <c r="D84" s="29" t="s">
        <v>163</v>
      </c>
      <c r="E84" s="30" t="s">
        <v>164</v>
      </c>
      <c r="F84" s="30" t="s">
        <v>162</v>
      </c>
    </row>
    <row r="85" spans="2:6">
      <c r="B85" s="62"/>
      <c r="C85" s="110" t="s">
        <v>153</v>
      </c>
      <c r="D85" s="120"/>
      <c r="E85" s="121"/>
      <c r="F85" s="23"/>
    </row>
    <row r="86" spans="2:6">
      <c r="B86" s="63"/>
      <c r="C86" s="43" t="s">
        <v>154</v>
      </c>
      <c r="D86" s="122"/>
      <c r="E86" s="123"/>
      <c r="F86" s="25"/>
    </row>
    <row r="87" spans="2:6">
      <c r="B87" s="63"/>
      <c r="C87" s="43" t="s">
        <v>155</v>
      </c>
      <c r="D87" s="122"/>
      <c r="E87" s="123"/>
      <c r="F87" s="25"/>
    </row>
    <row r="88" spans="2:6">
      <c r="B88" s="63"/>
      <c r="C88" s="43" t="s">
        <v>156</v>
      </c>
      <c r="D88" s="122"/>
      <c r="E88" s="123"/>
      <c r="F88" s="25"/>
    </row>
    <row r="89" spans="2:6">
      <c r="B89" s="63"/>
      <c r="C89" s="43" t="s">
        <v>157</v>
      </c>
      <c r="D89" s="122"/>
      <c r="E89" s="123"/>
      <c r="F89" s="25"/>
    </row>
    <row r="90" spans="2:6">
      <c r="B90" s="64"/>
      <c r="C90" s="70" t="s">
        <v>158</v>
      </c>
      <c r="D90" s="124"/>
      <c r="E90" s="125"/>
      <c r="F90" s="28"/>
    </row>
    <row r="91" spans="2:6">
      <c r="B91" s="71"/>
      <c r="C91" s="72" t="s">
        <v>159</v>
      </c>
      <c r="D91" s="126"/>
      <c r="E91" s="127"/>
      <c r="F91" s="30"/>
    </row>
  </sheetData>
  <mergeCells count="1">
    <mergeCell ref="B74:H76"/>
  </mergeCells>
  <pageMargins left="0.25" right="0.25" top="0.75" bottom="0.75" header="0.3" footer="0.3"/>
  <pageSetup paperSize="9"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2F78-7222-4D73-A40F-8C7B1CC39B29}">
  <sheetPr codeName="Sheet4">
    <tabColor theme="5" tint="0.499984740745262"/>
  </sheetPr>
  <dimension ref="B2:B31"/>
  <sheetViews>
    <sheetView workbookViewId="0">
      <selection activeCell="B32" sqref="B32"/>
    </sheetView>
  </sheetViews>
  <sheetFormatPr defaultRowHeight="14.25"/>
  <cols>
    <col min="2" max="2" width="125" customWidth="1"/>
  </cols>
  <sheetData>
    <row r="2" spans="2:2">
      <c r="B2" s="61" t="s">
        <v>131</v>
      </c>
    </row>
    <row r="22" spans="2:2">
      <c r="B22" s="61" t="s">
        <v>130</v>
      </c>
    </row>
    <row r="29" spans="2:2">
      <c r="B29" s="61" t="s">
        <v>160</v>
      </c>
    </row>
    <row r="31" spans="2:2" ht="15.75">
      <c r="B31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205</vt:i4>
      </vt:variant>
    </vt:vector>
  </HeadingPairs>
  <TitlesOfParts>
    <vt:vector size="209" baseType="lpstr">
      <vt:lpstr>RiskInformation</vt:lpstr>
      <vt:lpstr>Exposure</vt:lpstr>
      <vt:lpstr>RatingSummary</vt:lpstr>
      <vt:lpstr>helper_wrap_text</vt:lpstr>
      <vt:lpstr>all.bpi</vt:lpstr>
      <vt:lpstr>all.bpi_pre_uw_adjustment</vt:lpstr>
      <vt:lpstr>all.commentary.underwriter_rationale</vt:lpstr>
      <vt:lpstr>all.gross_benchmark_premium</vt:lpstr>
      <vt:lpstr>all.gross_model_premium</vt:lpstr>
      <vt:lpstr>all.gross_quoted_premium</vt:lpstr>
      <vt:lpstr>all.gross_technical_premium</vt:lpstr>
      <vt:lpstr>all.gross_technical_premium_pre_uw_adjustment</vt:lpstr>
      <vt:lpstr>all.impact_of_underwriting_adjustments</vt:lpstr>
      <vt:lpstr>all.priced_for_loss_ratio</vt:lpstr>
      <vt:lpstr>all.priced_for_loss_ratio_pre_uw_adjustment</vt:lpstr>
      <vt:lpstr>all.rate_chg.pct_comment.deductible_change</vt:lpstr>
      <vt:lpstr>all.rate_chg.pct_comment.exposure_change</vt:lpstr>
      <vt:lpstr>all.rate_chg.pct_comment.limit_change</vt:lpstr>
      <vt:lpstr>all.rate_chg.pct_comment.other_change</vt:lpstr>
      <vt:lpstr>all.rate_chg.pct_comment.risk_adjusted_rate_change</vt:lpstr>
      <vt:lpstr>all.rate_chg.pct_comment.risk_characteristics_change</vt:lpstr>
      <vt:lpstr>all.rate_chg.pct_comment.terms_conditions_change</vt:lpstr>
      <vt:lpstr>all.rate_chg.pct_model.deductible_change</vt:lpstr>
      <vt:lpstr>all.rate_chg.pct_model.exposure_change</vt:lpstr>
      <vt:lpstr>all.rate_chg.pct_model.limit_change</vt:lpstr>
      <vt:lpstr>all.rate_chg.pct_model.other_change</vt:lpstr>
      <vt:lpstr>all.rate_chg.pct_model.risk_adjusted_rate_change</vt:lpstr>
      <vt:lpstr>all.rate_chg.pct_model.risk_characteristics_change</vt:lpstr>
      <vt:lpstr>all.rate_chg.pct_model.terms_conditions_change</vt:lpstr>
      <vt:lpstr>all.rate_chg.pct_selected.deductible_change</vt:lpstr>
      <vt:lpstr>all.rate_chg.pct_selected.exposure_change</vt:lpstr>
      <vt:lpstr>all.rate_chg.pct_selected.limit_change</vt:lpstr>
      <vt:lpstr>all.rate_chg.pct_selected.other_change</vt:lpstr>
      <vt:lpstr>all.rate_chg.pct_selected.risk_adjusted_rate_change</vt:lpstr>
      <vt:lpstr>all.rate_chg.pct_selected.risk_characteristics_change</vt:lpstr>
      <vt:lpstr>all.rate_chg.pct_selected.terms_conditions_change</vt:lpstr>
      <vt:lpstr>all.rate_chg.prem_expiring.annualized_100_share</vt:lpstr>
      <vt:lpstr>all.rate_chg.prem_expiring.annualized_beazley_share</vt:lpstr>
      <vt:lpstr>all.rate_chg.prem_renewal.annualized_100_share</vt:lpstr>
      <vt:lpstr>all.rate_chg.prem_renewal.annualized_beazley_share</vt:lpstr>
      <vt:lpstr>all.return_on_capital</vt:lpstr>
      <vt:lpstr>all.tpi</vt:lpstr>
      <vt:lpstr>all.tpi_pre_uw_adjustment</vt:lpstr>
      <vt:lpstr>broker_contact</vt:lpstr>
      <vt:lpstr>broker_name</vt:lpstr>
      <vt:lpstr>brokerage</vt:lpstr>
      <vt:lpstr>crcf.commentary.credit_rating_source</vt:lpstr>
      <vt:lpstr>crcf.commentary.obligor_risk_drivers</vt:lpstr>
      <vt:lpstr>crcf.commentary.security_lgd</vt:lpstr>
      <vt:lpstr>crcf.commentary.underwriter_adjustments</vt:lpstr>
      <vt:lpstr>crcf.corporate_credit_rating</vt:lpstr>
      <vt:lpstr>crcf.country_credit_rating</vt:lpstr>
      <vt:lpstr>crcf.default.grade</vt:lpstr>
      <vt:lpstr>crcf.default.loss_given_default</vt:lpstr>
      <vt:lpstr>crcf.default.probability_of_default</vt:lpstr>
      <vt:lpstr>crcf.default.underwriter_adjustment</vt:lpstr>
      <vt:lpstr>crcf.economic_outlook</vt:lpstr>
      <vt:lpstr>crcf.exposure_profile</vt:lpstr>
      <vt:lpstr>crcf.gross_sum_insured</vt:lpstr>
      <vt:lpstr>crcf.indemnity</vt:lpstr>
      <vt:lpstr>crcf.max.grade</vt:lpstr>
      <vt:lpstr>crcf.max.loss_given_default</vt:lpstr>
      <vt:lpstr>crcf.max.probability_of_default</vt:lpstr>
      <vt:lpstr>crcf.max.underwriter_adjustment</vt:lpstr>
      <vt:lpstr>crcf.min.grade</vt:lpstr>
      <vt:lpstr>crcf.min.loss_given_default</vt:lpstr>
      <vt:lpstr>crcf.min.probability_of_default</vt:lpstr>
      <vt:lpstr>crcf.min.underwriter_adjustment</vt:lpstr>
      <vt:lpstr>crcf.override.grade</vt:lpstr>
      <vt:lpstr>crcf.override.loss_given_default</vt:lpstr>
      <vt:lpstr>crcf.override.probability_of_default</vt:lpstr>
      <vt:lpstr>crcf.override.underwriter_adjustment</vt:lpstr>
      <vt:lpstr>crcf.post_shipment_percent</vt:lpstr>
      <vt:lpstr>crcf.pre_shipment_percent</vt:lpstr>
      <vt:lpstr>crcf.pre_shipment_risk</vt:lpstr>
      <vt:lpstr>crcf.pre_uwadj_annual.bound_grade_implied</vt:lpstr>
      <vt:lpstr>crcf.pre_uwadj_annual.bound_lgd_implied</vt:lpstr>
      <vt:lpstr>crcf.pre_uwadj_annual.bpi</vt:lpstr>
      <vt:lpstr>crcf.pre_uwadj_annual.priced_loss_ratio_gross_gross</vt:lpstr>
      <vt:lpstr>crcf.pre_uwadj_annual.priced_loss_ratio_gross_net</vt:lpstr>
      <vt:lpstr>crcf.pre_uwadj_annual.priced_to_plan</vt:lpstr>
      <vt:lpstr>crcf.pre_uwadj_annual.rate_on_exposure_benchmark</vt:lpstr>
      <vt:lpstr>crcf.pre_uwadj_annual.rate_on_exposure_offered</vt:lpstr>
      <vt:lpstr>crcf.pre_uwadj_annual.rate_on_exposure_plan</vt:lpstr>
      <vt:lpstr>crcf.pre_uwadj_annual.rate_on_exposure_technical</vt:lpstr>
      <vt:lpstr>crcf.pre_uwadj_annual.tpi</vt:lpstr>
      <vt:lpstr>crcf.pre_uwadj_term.bound_grade_implied</vt:lpstr>
      <vt:lpstr>crcf.pre_uwadj_term.bound_lgd_implied</vt:lpstr>
      <vt:lpstr>crcf.pre_uwadj_term.bpi</vt:lpstr>
      <vt:lpstr>crcf.pre_uwadj_term.priced_loss_ratio_gross_gross</vt:lpstr>
      <vt:lpstr>crcf.pre_uwadj_term.priced_loss_ratio_gross_net</vt:lpstr>
      <vt:lpstr>crcf.pre_uwadj_term.priced_to_plan</vt:lpstr>
      <vt:lpstr>crcf.pre_uwadj_term.rate_on_exposure_benchmark</vt:lpstr>
      <vt:lpstr>crcf.pre_uwadj_term.rate_on_exposure_offered</vt:lpstr>
      <vt:lpstr>crcf.pre_uwadj_term.rate_on_exposure_plan</vt:lpstr>
      <vt:lpstr>crcf.pre_uwadj_term.rate_on_exposure_technical</vt:lpstr>
      <vt:lpstr>crcf.pre_uwadj_term.tpi</vt:lpstr>
      <vt:lpstr>crcf.pst_uwadj_annual.bound_grade_implied</vt:lpstr>
      <vt:lpstr>crcf.pst_uwadj_annual.bound_lgd_implied</vt:lpstr>
      <vt:lpstr>crcf.pst_uwadj_annual.bpi</vt:lpstr>
      <vt:lpstr>crcf.pst_uwadj_annual.priced_loss_ratio_gross_gross</vt:lpstr>
      <vt:lpstr>crcf.pst_uwadj_annual.priced_loss_ratio_gross_net</vt:lpstr>
      <vt:lpstr>crcf.pst_uwadj_annual.priced_to_plan</vt:lpstr>
      <vt:lpstr>crcf.pst_uwadj_annual.rate_on_exposure_benchmark</vt:lpstr>
      <vt:lpstr>crcf.pst_uwadj_annual.rate_on_exposure_offered</vt:lpstr>
      <vt:lpstr>crcf.pst_uwadj_annual.rate_on_exposure_plan</vt:lpstr>
      <vt:lpstr>crcf.pst_uwadj_annual.rate_on_exposure_technical</vt:lpstr>
      <vt:lpstr>crcf.pst_uwadj_annual.tpi</vt:lpstr>
      <vt:lpstr>crcf.pst_uwadj_term.bound_grade_implied</vt:lpstr>
      <vt:lpstr>crcf.pst_uwadj_term.bound_lgd_implied</vt:lpstr>
      <vt:lpstr>crcf.pst_uwadj_term.bpi</vt:lpstr>
      <vt:lpstr>crcf.pst_uwadj_term.priced_loss_ratio_gross_gross</vt:lpstr>
      <vt:lpstr>crcf.pst_uwadj_term.priced_loss_ratio_gross_net</vt:lpstr>
      <vt:lpstr>crcf.pst_uwadj_term.priced_to_plan</vt:lpstr>
      <vt:lpstr>crcf.pst_uwadj_term.rate_on_exposure_benchmark</vt:lpstr>
      <vt:lpstr>crcf.pst_uwadj_term.rate_on_exposure_offered</vt:lpstr>
      <vt:lpstr>crcf.pst_uwadj_term.rate_on_exposure_plan</vt:lpstr>
      <vt:lpstr>crcf.pst_uwadj_term.rate_on_exposure_technical</vt:lpstr>
      <vt:lpstr>crcf.pst_uwadj_term.tpi</vt:lpstr>
      <vt:lpstr>crcf.selected.grade</vt:lpstr>
      <vt:lpstr>crcf.selected.loss_given_default</vt:lpstr>
      <vt:lpstr>crcf.selected.probability_of_default</vt:lpstr>
      <vt:lpstr>crcf.selected.underwriter_adjustment</vt:lpstr>
      <vt:lpstr>crcf.source_of_rating</vt:lpstr>
      <vt:lpstr>crcf.waiting_period_d</vt:lpstr>
      <vt:lpstr>crcf_country</vt:lpstr>
      <vt:lpstr>crcf_industry</vt:lpstr>
      <vt:lpstr>crcf_industry_group</vt:lpstr>
      <vt:lpstr>crcf_obligor</vt:lpstr>
      <vt:lpstr>excess</vt:lpstr>
      <vt:lpstr>expiry_date</vt:lpstr>
      <vt:lpstr>hide_exposure_crcf</vt:lpstr>
      <vt:lpstr>hide_exposure_political</vt:lpstr>
      <vt:lpstr>hide_rating_summary_crcf</vt:lpstr>
      <vt:lpstr>hide_rating_summary_political</vt:lpstr>
      <vt:lpstr>inception_date</vt:lpstr>
      <vt:lpstr>insured_name</vt:lpstr>
      <vt:lpstr>is_renewal</vt:lpstr>
      <vt:lpstr>limit</vt:lpstr>
      <vt:lpstr>pol.commentary.underwriter_adjustments</vt:lpstr>
      <vt:lpstr>pol.country_details</vt:lpstr>
      <vt:lpstr>pol.deductible.contractual_relationship_with_government</vt:lpstr>
      <vt:lpstr>pol.deductible.currency_inconvertibility</vt:lpstr>
      <vt:lpstr>pol.deductible.government_action_intervention</vt:lpstr>
      <vt:lpstr>pol.deductible.political_violence</vt:lpstr>
      <vt:lpstr>pol.exposure_curve</vt:lpstr>
      <vt:lpstr>pol.fixed_assets.contractual_relationship_with_government</vt:lpstr>
      <vt:lpstr>pol.fixed_assets.currency_inconvertibility</vt:lpstr>
      <vt:lpstr>pol.fixed_assets.government_action_intervention</vt:lpstr>
      <vt:lpstr>pol.fixed_assets.political_violence</vt:lpstr>
      <vt:lpstr>pol.lenders_interest.contractual_relationship_with_government</vt:lpstr>
      <vt:lpstr>pol.lenders_interest.currency_inconvertibility</vt:lpstr>
      <vt:lpstr>pol.lenders_interest.government_action_intervention</vt:lpstr>
      <vt:lpstr>pol.lenders_interest.political_violence</vt:lpstr>
      <vt:lpstr>pol.max.total</vt:lpstr>
      <vt:lpstr>pol.max.uw_adjustment_1_industry</vt:lpstr>
      <vt:lpstr>pol.max.uw_adjustment_2_quality_of_insured</vt:lpstr>
      <vt:lpstr>pol.max.uw_adjustment_3_asset_composition</vt:lpstr>
      <vt:lpstr>pol.min.total</vt:lpstr>
      <vt:lpstr>pol.min.uw_adjustment_1_industry</vt:lpstr>
      <vt:lpstr>pol.min.uw_adjustment_2_quality_of_insured</vt:lpstr>
      <vt:lpstr>pol.min.uw_adjustment_3_asset_composition</vt:lpstr>
      <vt:lpstr>pol.mobile_assets.contractual_relationship_with_government</vt:lpstr>
      <vt:lpstr>pol.mobile_assets.currency_inconvertibility</vt:lpstr>
      <vt:lpstr>pol.mobile_assets.government_action_intervention</vt:lpstr>
      <vt:lpstr>pol.mobile_assets.political_violence</vt:lpstr>
      <vt:lpstr>pol.number_of_sims</vt:lpstr>
      <vt:lpstr>pol.override.total</vt:lpstr>
      <vt:lpstr>pol.override.uw_adjustment_1_industry</vt:lpstr>
      <vt:lpstr>pol.override.uw_adjustment_2_quality_of_insured</vt:lpstr>
      <vt:lpstr>pol.override.uw_adjustment_3_asset_composition</vt:lpstr>
      <vt:lpstr>pol.pre_uwadj.bpi</vt:lpstr>
      <vt:lpstr>pol.pre_uwadj.priced_loss_ratio_gross_gross</vt:lpstr>
      <vt:lpstr>pol.pre_uwadj.priced_loss_ratio_gross_net</vt:lpstr>
      <vt:lpstr>pol.pre_uwadj.priced_to_plan</vt:lpstr>
      <vt:lpstr>pol.pre_uwadj.rate_on_line_benchmark</vt:lpstr>
      <vt:lpstr>pol.pre_uwadj.rate_on_line_model</vt:lpstr>
      <vt:lpstr>pol.pre_uwadj.rate_on_line_offered</vt:lpstr>
      <vt:lpstr>pol.pre_uwadj.rate_on_line_technical</vt:lpstr>
      <vt:lpstr>pol.pre_uwadj.tpi</vt:lpstr>
      <vt:lpstr>pol.pst_uwadj.bpi</vt:lpstr>
      <vt:lpstr>pol.pst_uwadj.priced_loss_ratio_gross_gross</vt:lpstr>
      <vt:lpstr>pol.pst_uwadj.priced_loss_ratio_gross_net</vt:lpstr>
      <vt:lpstr>pol.pst_uwadj.priced_to_plan</vt:lpstr>
      <vt:lpstr>pol.pst_uwadj.rate_on_line_benchmark</vt:lpstr>
      <vt:lpstr>pol.pst_uwadj.rate_on_line_model</vt:lpstr>
      <vt:lpstr>pol.pst_uwadj.rate_on_line_offered</vt:lpstr>
      <vt:lpstr>pol.pst_uwadj.rate_on_line_technical</vt:lpstr>
      <vt:lpstr>pol.pst_uwadj.tpi</vt:lpstr>
      <vt:lpstr>pol.selected.total</vt:lpstr>
      <vt:lpstr>pol.selected.uw_adjustment_1_industry</vt:lpstr>
      <vt:lpstr>pol.selected.uw_adjustment_2_quality_of_insured</vt:lpstr>
      <vt:lpstr>pol.selected.uw_adjustment_3_asset_composition</vt:lpstr>
      <vt:lpstr>pol.sublimit.contractual_relationship_with_government</vt:lpstr>
      <vt:lpstr>pol.sublimit.currency_inconvertibility</vt:lpstr>
      <vt:lpstr>pol.sublimit.government_action_intervention</vt:lpstr>
      <vt:lpstr>pol.sublimit.political_violence</vt:lpstr>
      <vt:lpstr>pol.tenor_mths</vt:lpstr>
      <vt:lpstr>pol.tenor_rate</vt:lpstr>
      <vt:lpstr>policy_url</vt:lpstr>
      <vt:lpstr>Exposure!Print_Area</vt:lpstr>
      <vt:lpstr>RatingSummary!Print_Area</vt:lpstr>
      <vt:lpstr>RiskInformation!Print_Area</vt:lpstr>
      <vt:lpstr>product</vt:lpstr>
      <vt:lpstr>section_reference</vt:lpstr>
      <vt:lpstr>source_currency</vt:lpstr>
      <vt:lpstr>status</vt:lpstr>
      <vt:lpstr>underwriter</vt:lpstr>
      <vt:lpstr>written_line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James Buckley</cp:lastModifiedBy>
  <cp:lastPrinted>2025-03-10T12:53:02Z</cp:lastPrinted>
  <dcterms:created xsi:type="dcterms:W3CDTF">2015-06-05T18:19:34Z</dcterms:created>
  <dcterms:modified xsi:type="dcterms:W3CDTF">2025-03-31T14:57:00Z</dcterms:modified>
</cp:coreProperties>
</file>